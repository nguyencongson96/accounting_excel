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66925"/>
  <mc:AlternateContent xmlns:mc="http://schemas.openxmlformats.org/markup-compatibility/2006">
    <mc:Choice Requires="x15">
      <x15ac:absPath xmlns:x15ac="http://schemas.microsoft.com/office/spreadsheetml/2010/11/ac" url="D:\DEVELOPER\8.Invoice\public\2026.Q1\"/>
    </mc:Choice>
  </mc:AlternateContent>
  <xr:revisionPtr revIDLastSave="0" documentId="13_ncr:1_{C5AA2AD9-3820-43CC-8ACE-715708171E50}" xr6:coauthVersionLast="47" xr6:coauthVersionMax="47" xr10:uidLastSave="{00000000-0000-0000-0000-000000000000}"/>
  <bookViews>
    <workbookView xWindow="-120" yWindow="-120" windowWidth="29040" windowHeight="15720" tabRatio="761" firstSheet="10" activeTab="20" xr2:uid="{00000000-000D-0000-FFFF-FFFF00000000}"/>
  </bookViews>
  <sheets>
    <sheet name="Summary" sheetId="17" r:id="rId1"/>
    <sheet name="8443847047-001" sheetId="12" r:id="rId2"/>
    <sheet name="8710040770-001" sheetId="4" r:id="rId3"/>
    <sheet name="8836978269-001" sheetId="18" r:id="rId4"/>
    <sheet name="8785516231-001" sheetId="8" r:id="rId5"/>
    <sheet name="8417307084-001" sheetId="19" r:id="rId6"/>
    <sheet name="8339629042-001" sheetId="20" r:id="rId7"/>
    <sheet name="8077953218-001" sheetId="7" r:id="rId8"/>
    <sheet name="8307704000-002" sheetId="21" r:id="rId9"/>
    <sheet name="8568979698-001" sheetId="3" r:id="rId10"/>
    <sheet name="8456794480-001" sheetId="10" r:id="rId11"/>
    <sheet name="8427727031-001" sheetId="1" r:id="rId12"/>
    <sheet name="8423525669-001" sheetId="13" r:id="rId13"/>
    <sheet name="8336384757-001" sheetId="9" r:id="rId14"/>
    <sheet name="8783523554-001" sheetId="6" r:id="rId15"/>
    <sheet name="8537932805-001" sheetId="5" r:id="rId16"/>
    <sheet name="8548655046-002" sheetId="22" r:id="rId17"/>
    <sheet name="070095006110" sheetId="14" r:id="rId18"/>
    <sheet name="079200020738" sheetId="11" r:id="rId19"/>
    <sheet name="072098001948" sheetId="15" r:id="rId20"/>
    <sheet name="079302004855" sheetId="23" r:id="rId21"/>
    <sheet name="079098009021" sheetId="25" r:id="rId22"/>
    <sheet name="014198000033" sheetId="26" r:id="rId23"/>
    <sheet name="052300008705" sheetId="27" r:id="rId24"/>
    <sheet name="068199000053" sheetId="28" r:id="rId25"/>
    <sheet name="092097002234" sheetId="29" r:id="rId26"/>
    <sheet name="082198013719" sheetId="30" r:id="rId27"/>
    <sheet name="031196005568" sheetId="31" r:id="rId28"/>
    <sheet name="089200016993" sheetId="33" r:id="rId29"/>
    <sheet name="079195008785" sheetId="32" r:id="rId30"/>
    <sheet name="001095012873" sheetId="34" r:id="rId31"/>
    <sheet name="019303002169" sheetId="35" r:id="rId32"/>
    <sheet name="089202017472" sheetId="36" r:id="rId33"/>
    <sheet name="079302025196" sheetId="37" r:id="rId34"/>
    <sheet name="051198010997" sheetId="38" r:id="rId35"/>
  </sheets>
  <definedNames>
    <definedName name="_xlnm._FilterDatabase" localSheetId="30" hidden="1">'001095012873'!$A$3:$P$264</definedName>
    <definedName name="_xlnm._FilterDatabase" localSheetId="22" hidden="1">'014198000033'!$A$3:$P$83</definedName>
    <definedName name="_xlnm._FilterDatabase" localSheetId="31" hidden="1">'019303002169'!$A$3:$P$143</definedName>
    <definedName name="_xlnm._FilterDatabase" localSheetId="27" hidden="1">'031196005568'!$A$3:$P$233</definedName>
    <definedName name="_xlnm._FilterDatabase" localSheetId="34" hidden="1">'051198010997'!$A$3:$P$50</definedName>
    <definedName name="_xlnm._FilterDatabase" localSheetId="23" hidden="1">'052300008705'!$A$3:$Q$60</definedName>
    <definedName name="_xlnm._FilterDatabase" localSheetId="24" hidden="1">'068199000053'!$A$3:$R$305</definedName>
    <definedName name="_xlnm._FilterDatabase" localSheetId="17" hidden="1">'070095006110'!$A$3:$P$201</definedName>
    <definedName name="_xlnm._FilterDatabase" localSheetId="19" hidden="1">'072098001948'!$A$3:$Q$140</definedName>
    <definedName name="_xlnm._FilterDatabase" localSheetId="21" hidden="1">'079098009021'!$A$3:$P$110</definedName>
    <definedName name="_xlnm._FilterDatabase" localSheetId="29" hidden="1">'079195008785'!$A$3:$P$149</definedName>
    <definedName name="_xlnm._FilterDatabase" localSheetId="18" hidden="1">'079200020738'!$A$3:$Q$177</definedName>
    <definedName name="_xlnm._FilterDatabase" localSheetId="20" hidden="1">'079302004855'!$A$3:$Q$190</definedName>
    <definedName name="_xlnm._FilterDatabase" localSheetId="33" hidden="1">'079302025196'!$A$3:$P$74</definedName>
    <definedName name="_xlnm._FilterDatabase" localSheetId="26" hidden="1">'082198013719'!$A$3:$P$66</definedName>
    <definedName name="_xlnm._FilterDatabase" localSheetId="28" hidden="1">'089200016993'!$A$3:$P$186</definedName>
    <definedName name="_xlnm._FilterDatabase" localSheetId="32" hidden="1">'089202017472'!$A$3:$P$206</definedName>
    <definedName name="_xlnm._FilterDatabase" localSheetId="25" hidden="1">'092097002234'!$A$3:$P$98</definedName>
    <definedName name="_xlnm._FilterDatabase" localSheetId="7" hidden="1">'8077953218-001'!$A$3:$Q$97</definedName>
    <definedName name="_xlnm._FilterDatabase" localSheetId="8" hidden="1">'8307704000-002'!$A$3:$P$86</definedName>
    <definedName name="_xlnm._FilterDatabase" localSheetId="13" hidden="1">'8336384757-001'!$A$3:$P$95</definedName>
    <definedName name="_xlnm._FilterDatabase" localSheetId="6" hidden="1">'8339629042-001'!$A$3:$P$129</definedName>
    <definedName name="_xlnm._FilterDatabase" localSheetId="5" hidden="1">'8417307084-001'!$A$3:$P$255</definedName>
    <definedName name="_xlnm._FilterDatabase" localSheetId="12" hidden="1">'8423525669-001'!$A$3:$Q$970</definedName>
    <definedName name="_xlnm._FilterDatabase" localSheetId="11" hidden="1">'8427727031-001'!$A$3:$P$818</definedName>
    <definedName name="_xlnm._FilterDatabase" localSheetId="1" hidden="1">'8443847047-001'!$A$3:$P$39</definedName>
    <definedName name="_xlnm._FilterDatabase" localSheetId="10" hidden="1">'8456794480-001'!$A$3:$Q$167</definedName>
    <definedName name="_xlnm._FilterDatabase" localSheetId="15" hidden="1">'8537932805-001'!$A$3:$Q$199</definedName>
    <definedName name="_xlnm._FilterDatabase" localSheetId="16" hidden="1">'8548655046-002'!$A$3:$P$175</definedName>
    <definedName name="_xlnm._FilterDatabase" localSheetId="9" hidden="1">'8568979698-001'!$A$3:$P$113</definedName>
    <definedName name="_xlnm._FilterDatabase" localSheetId="2" hidden="1">'8710040770-001'!$A$3:$Q$142</definedName>
    <definedName name="_xlnm._FilterDatabase" localSheetId="14" hidden="1">'8783523554-001'!$A$3:$Q$104</definedName>
    <definedName name="_xlnm._FilterDatabase" localSheetId="4" hidden="1">'8785516231-001'!$A$3:$P$271</definedName>
    <definedName name="_xlnm._FilterDatabase" localSheetId="3" hidden="1">'8836978269-001'!$A$3:$P$338</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229" i="19" l="1"/>
  <c r="P221" i="19"/>
  <c r="P205" i="19"/>
  <c r="P201" i="19"/>
  <c r="P183" i="19"/>
  <c r="P181" i="19"/>
  <c r="P180" i="19"/>
  <c r="P175" i="19"/>
  <c r="P174" i="19"/>
  <c r="P173" i="19"/>
  <c r="P172" i="19"/>
  <c r="P171" i="19"/>
  <c r="P5" i="19"/>
  <c r="P6" i="19"/>
  <c r="P7" i="19"/>
  <c r="P8" i="19"/>
  <c r="P9" i="19"/>
  <c r="P10" i="19"/>
  <c r="P11" i="19"/>
  <c r="P12" i="19"/>
  <c r="P13" i="19"/>
  <c r="P14" i="19"/>
  <c r="P15" i="19"/>
  <c r="P16" i="19"/>
  <c r="P17" i="19"/>
  <c r="P18" i="19"/>
  <c r="P19" i="19"/>
  <c r="P20" i="19"/>
  <c r="P21" i="19"/>
  <c r="P22" i="19"/>
  <c r="P23" i="19"/>
  <c r="P24" i="19"/>
  <c r="P25" i="19"/>
  <c r="P26" i="19"/>
  <c r="P27" i="19"/>
  <c r="P28" i="19"/>
  <c r="P29" i="19"/>
  <c r="P30" i="19"/>
  <c r="P31" i="19"/>
  <c r="P32" i="19"/>
  <c r="P33" i="19"/>
  <c r="P34" i="19"/>
  <c r="P35" i="19"/>
  <c r="P36" i="19"/>
  <c r="P37" i="19"/>
  <c r="P38" i="19"/>
  <c r="P39" i="19"/>
  <c r="P40" i="19"/>
  <c r="P41" i="19"/>
  <c r="P42" i="19"/>
  <c r="P43" i="19"/>
  <c r="P44" i="19"/>
  <c r="P45" i="19"/>
  <c r="P46" i="19"/>
  <c r="P47" i="19"/>
  <c r="P48" i="19"/>
  <c r="P49" i="19"/>
  <c r="P50" i="19"/>
  <c r="P51" i="19"/>
  <c r="P52" i="19"/>
  <c r="P53" i="19"/>
  <c r="P54" i="19"/>
  <c r="P55" i="19"/>
  <c r="P56" i="19"/>
  <c r="P57" i="19"/>
  <c r="P58" i="19"/>
  <c r="P59" i="19"/>
  <c r="P60" i="19"/>
  <c r="P61" i="19"/>
  <c r="P62" i="19"/>
  <c r="P63" i="19"/>
  <c r="P64" i="19"/>
  <c r="P65" i="19"/>
  <c r="P66" i="19"/>
  <c r="P67" i="19"/>
  <c r="P68" i="19"/>
  <c r="P69" i="19"/>
  <c r="P70" i="19"/>
  <c r="P71" i="19"/>
  <c r="P72" i="19"/>
  <c r="P73" i="19"/>
  <c r="P74" i="19"/>
  <c r="P75" i="19"/>
  <c r="P76" i="19"/>
  <c r="P77" i="19"/>
  <c r="P78" i="19"/>
  <c r="P79" i="19"/>
  <c r="P80" i="19"/>
  <c r="P81" i="19"/>
  <c r="P82" i="19"/>
  <c r="P83" i="19"/>
  <c r="P84" i="19"/>
  <c r="P85" i="19"/>
  <c r="P86" i="19"/>
  <c r="P87" i="19"/>
  <c r="P88" i="19"/>
  <c r="P89" i="19"/>
  <c r="P90" i="19"/>
  <c r="P91" i="19"/>
  <c r="P92" i="19"/>
  <c r="P93" i="19"/>
  <c r="P94" i="19"/>
  <c r="P95" i="19"/>
  <c r="P96" i="19"/>
  <c r="P97" i="19"/>
  <c r="P98" i="19"/>
  <c r="P99" i="19"/>
  <c r="P100" i="19"/>
  <c r="P101" i="19"/>
  <c r="P102" i="19"/>
  <c r="P103" i="19"/>
  <c r="P104" i="19"/>
  <c r="P105" i="19"/>
  <c r="P106" i="19"/>
  <c r="P107" i="19"/>
  <c r="P108" i="19"/>
  <c r="P109" i="19"/>
  <c r="P110" i="19"/>
  <c r="P111" i="19"/>
  <c r="P112" i="19"/>
  <c r="P113" i="19"/>
  <c r="P114" i="19"/>
  <c r="P115" i="19"/>
  <c r="P116" i="19"/>
  <c r="P117" i="19"/>
  <c r="P118" i="19"/>
  <c r="P119" i="19"/>
  <c r="P120" i="19"/>
  <c r="P121" i="19"/>
  <c r="P122" i="19"/>
  <c r="P123" i="19"/>
  <c r="P124" i="19"/>
  <c r="P125" i="19"/>
  <c r="P126" i="19"/>
  <c r="P127" i="19"/>
  <c r="P128" i="19"/>
  <c r="P129" i="19"/>
  <c r="P130" i="19"/>
  <c r="P131" i="19"/>
  <c r="P132" i="19"/>
  <c r="P133" i="19"/>
  <c r="P134" i="19"/>
  <c r="P135" i="19"/>
  <c r="P136" i="19"/>
  <c r="P137" i="19"/>
  <c r="P138" i="19"/>
  <c r="P139" i="19"/>
  <c r="P140" i="19"/>
  <c r="P141" i="19"/>
  <c r="P142" i="19"/>
  <c r="P143" i="19"/>
  <c r="P144" i="19"/>
  <c r="P145" i="19"/>
  <c r="P146" i="19"/>
  <c r="P147" i="19"/>
  <c r="P148" i="19"/>
  <c r="P149" i="19"/>
  <c r="P150" i="19"/>
  <c r="P151" i="19"/>
  <c r="P152" i="19"/>
  <c r="P153" i="19"/>
  <c r="P154" i="19"/>
  <c r="P155" i="19"/>
  <c r="P156" i="19"/>
  <c r="P157" i="19"/>
  <c r="P158" i="19"/>
  <c r="P159" i="19"/>
  <c r="P160" i="19"/>
  <c r="P161" i="19"/>
  <c r="P162" i="19"/>
  <c r="P163" i="19"/>
  <c r="P164" i="19"/>
  <c r="P165" i="19"/>
  <c r="P166" i="19"/>
  <c r="P167" i="19"/>
  <c r="P168" i="19"/>
  <c r="P169" i="19"/>
  <c r="P170" i="19"/>
  <c r="P176" i="19"/>
  <c r="P177" i="19"/>
  <c r="P178" i="19"/>
  <c r="P179" i="19"/>
  <c r="P182" i="19"/>
  <c r="P184" i="19"/>
  <c r="P185" i="19"/>
  <c r="P186" i="19"/>
  <c r="P187" i="19"/>
  <c r="P188" i="19"/>
  <c r="P189" i="19"/>
  <c r="P190" i="19"/>
  <c r="P191" i="19"/>
  <c r="P192" i="19"/>
  <c r="P194" i="19"/>
  <c r="P193" i="19"/>
  <c r="P195" i="19"/>
  <c r="P196" i="19"/>
  <c r="P197" i="19"/>
  <c r="P198" i="19"/>
  <c r="P199" i="19"/>
  <c r="P200" i="19"/>
  <c r="P202" i="19"/>
  <c r="P203" i="19"/>
  <c r="P204" i="19"/>
  <c r="P206" i="19"/>
  <c r="P207" i="19"/>
  <c r="P208" i="19"/>
  <c r="P209" i="19"/>
  <c r="P211" i="19"/>
  <c r="P210" i="19"/>
  <c r="P212" i="19"/>
  <c r="P213" i="19"/>
  <c r="P214" i="19"/>
  <c r="P215" i="19"/>
  <c r="P216" i="19"/>
  <c r="P217" i="19"/>
  <c r="P218" i="19"/>
  <c r="P220" i="19"/>
  <c r="P219" i="19"/>
  <c r="P222" i="19"/>
  <c r="P223" i="19"/>
  <c r="P224" i="19"/>
  <c r="P225" i="19"/>
  <c r="P226" i="19"/>
  <c r="P227" i="19"/>
  <c r="P228" i="19"/>
  <c r="P230" i="19"/>
  <c r="P231" i="19"/>
  <c r="P232" i="19"/>
  <c r="P233" i="19"/>
  <c r="P234" i="19"/>
  <c r="P235" i="19"/>
  <c r="P237" i="19"/>
  <c r="P236" i="19"/>
  <c r="P238" i="19"/>
  <c r="P239" i="19"/>
  <c r="P240" i="19"/>
  <c r="P241" i="19"/>
  <c r="P242" i="19"/>
  <c r="P243" i="19"/>
  <c r="P244" i="19"/>
  <c r="P245" i="19"/>
  <c r="P246" i="19"/>
  <c r="P247" i="19"/>
  <c r="P248" i="19"/>
  <c r="P249" i="19"/>
  <c r="P251" i="19"/>
  <c r="P250" i="19"/>
  <c r="P252" i="19"/>
  <c r="P253" i="19"/>
  <c r="P254" i="19"/>
  <c r="P255" i="19"/>
  <c r="P4" i="19"/>
  <c r="D123" i="19"/>
  <c r="D127" i="19"/>
  <c r="D124" i="19"/>
  <c r="D125" i="19"/>
  <c r="D134" i="19"/>
  <c r="D132" i="19"/>
  <c r="D133" i="19"/>
  <c r="D24" i="19"/>
  <c r="D135" i="19"/>
  <c r="D136" i="19"/>
  <c r="D137" i="19"/>
  <c r="D26" i="19"/>
  <c r="D138" i="19"/>
  <c r="D140" i="19"/>
  <c r="D139" i="19"/>
  <c r="D28" i="19"/>
  <c r="D141" i="19"/>
  <c r="D142" i="19"/>
  <c r="D143" i="19"/>
  <c r="D29" i="19"/>
  <c r="D31" i="19"/>
  <c r="D147" i="19"/>
  <c r="D148" i="19"/>
  <c r="D152" i="19"/>
  <c r="D32" i="19"/>
  <c r="D33" i="19"/>
  <c r="D149" i="19"/>
  <c r="D150" i="19"/>
  <c r="D151" i="19"/>
  <c r="D153" i="19"/>
  <c r="D154" i="19"/>
  <c r="D155" i="19"/>
  <c r="D156" i="19"/>
  <c r="D157" i="19"/>
  <c r="D169" i="19"/>
  <c r="D158" i="19"/>
  <c r="D159" i="19"/>
  <c r="D170" i="19"/>
  <c r="D160" i="19"/>
  <c r="D161" i="19"/>
  <c r="D166" i="19"/>
  <c r="D162" i="19"/>
  <c r="D163" i="19"/>
  <c r="D168" i="19"/>
  <c r="D164" i="19"/>
  <c r="D165" i="19"/>
  <c r="D167" i="19"/>
  <c r="N123" i="19"/>
  <c r="N127" i="19"/>
  <c r="N124" i="19"/>
  <c r="N125" i="19"/>
  <c r="N134" i="19"/>
  <c r="N132" i="19"/>
  <c r="N133" i="19"/>
  <c r="N24" i="19"/>
  <c r="N135" i="19"/>
  <c r="N136" i="19"/>
  <c r="N137" i="19"/>
  <c r="N26" i="19"/>
  <c r="N138" i="19"/>
  <c r="N140" i="19"/>
  <c r="N139" i="19"/>
  <c r="N28" i="19"/>
  <c r="N141" i="19"/>
  <c r="N142" i="19"/>
  <c r="N143" i="19"/>
  <c r="N29" i="19"/>
  <c r="N31" i="19"/>
  <c r="N147" i="19"/>
  <c r="N148" i="19"/>
  <c r="N152" i="19"/>
  <c r="N32" i="19"/>
  <c r="N33" i="19"/>
  <c r="N149" i="19"/>
  <c r="N150" i="19"/>
  <c r="N151" i="19"/>
  <c r="N153" i="19"/>
  <c r="N154" i="19"/>
  <c r="N155" i="19"/>
  <c r="N156" i="19"/>
  <c r="N157" i="19"/>
  <c r="N169" i="19"/>
  <c r="N158" i="19"/>
  <c r="N159" i="19"/>
  <c r="N170" i="19"/>
  <c r="N160" i="19"/>
  <c r="N161" i="19"/>
  <c r="N166" i="19"/>
  <c r="N162" i="19"/>
  <c r="N163" i="19"/>
  <c r="N168" i="19"/>
  <c r="N164" i="19"/>
  <c r="N165" i="19"/>
  <c r="N167" i="19"/>
  <c r="D40" i="30"/>
  <c r="D18" i="30"/>
  <c r="P7" i="30"/>
  <c r="P8" i="30"/>
  <c r="P26" i="30"/>
  <c r="P9" i="30"/>
  <c r="P10" i="30"/>
  <c r="P11" i="30"/>
  <c r="P27" i="30"/>
  <c r="P12" i="30"/>
  <c r="P28" i="30"/>
  <c r="P29" i="30"/>
  <c r="P13" i="30"/>
  <c r="P14" i="30"/>
  <c r="P30" i="30"/>
  <c r="P15" i="30"/>
  <c r="P31" i="30"/>
  <c r="P32" i="30"/>
  <c r="P16" i="30"/>
  <c r="N7" i="30"/>
  <c r="N8" i="30"/>
  <c r="N26" i="30"/>
  <c r="N9" i="30"/>
  <c r="N10" i="30"/>
  <c r="N11" i="30"/>
  <c r="N27" i="30"/>
  <c r="N12" i="30"/>
  <c r="N28" i="30"/>
  <c r="N29" i="30"/>
  <c r="N13" i="30"/>
  <c r="N14" i="30"/>
  <c r="N30" i="30"/>
  <c r="N15" i="30"/>
  <c r="N31" i="30"/>
  <c r="N32" i="30"/>
  <c r="N16" i="30"/>
  <c r="D7" i="30"/>
  <c r="D8" i="30"/>
  <c r="D26" i="30"/>
  <c r="D9" i="30"/>
  <c r="D10" i="30"/>
  <c r="D11" i="30"/>
  <c r="D27" i="30"/>
  <c r="D12" i="30"/>
  <c r="D28" i="30"/>
  <c r="D29" i="30"/>
  <c r="D13" i="30"/>
  <c r="D14" i="30"/>
  <c r="D30" i="30"/>
  <c r="D15" i="30"/>
  <c r="D31" i="30"/>
  <c r="D32" i="30"/>
  <c r="D16" i="30"/>
  <c r="Q199" i="5"/>
  <c r="Q198" i="5"/>
  <c r="Q197" i="5"/>
  <c r="Q196" i="5"/>
  <c r="Q195" i="5"/>
  <c r="Q194" i="5"/>
  <c r="Q193" i="5"/>
  <c r="Q192" i="5"/>
  <c r="Q191" i="5"/>
  <c r="Q190" i="5"/>
  <c r="Q189" i="5"/>
  <c r="Q188" i="5"/>
  <c r="Q187" i="5"/>
  <c r="Q186" i="5"/>
  <c r="Q185" i="5"/>
  <c r="Q184" i="5"/>
  <c r="Q182" i="5"/>
  <c r="Q181" i="5"/>
  <c r="Q180" i="5"/>
  <c r="Q179" i="5"/>
  <c r="Q178" i="5"/>
  <c r="Q177" i="5"/>
  <c r="Q176" i="5"/>
  <c r="Q175" i="5"/>
  <c r="Q174" i="5"/>
  <c r="Q173" i="5"/>
  <c r="Q172" i="5"/>
  <c r="Q171" i="5"/>
  <c r="Q170" i="5"/>
  <c r="Q169" i="5"/>
  <c r="Q167" i="5"/>
  <c r="Q165" i="5"/>
  <c r="Q164" i="5"/>
  <c r="Q162" i="5"/>
  <c r="Q161" i="5"/>
  <c r="Q160" i="5"/>
  <c r="Q157" i="5"/>
  <c r="Q156" i="5"/>
  <c r="Q155" i="5"/>
  <c r="Q154" i="5"/>
  <c r="Q153" i="5"/>
  <c r="Q152" i="5"/>
  <c r="Q151" i="5"/>
  <c r="Q150" i="5"/>
  <c r="Q149" i="5"/>
  <c r="Q148" i="5"/>
  <c r="Q147" i="5"/>
  <c r="Q146" i="5"/>
  <c r="Q145" i="5"/>
  <c r="Q144" i="5"/>
  <c r="Q143" i="5"/>
  <c r="Q142" i="5"/>
  <c r="Q141" i="5"/>
  <c r="Q140" i="5"/>
  <c r="Q139" i="5"/>
  <c r="Q138" i="5"/>
  <c r="Q137" i="5"/>
  <c r="Q136" i="5"/>
  <c r="Q135" i="5"/>
  <c r="Q134" i="5"/>
  <c r="Q133" i="5"/>
  <c r="Q132" i="5"/>
  <c r="Q131" i="5"/>
  <c r="Q130" i="5"/>
  <c r="Q129" i="5"/>
  <c r="Q128" i="5"/>
  <c r="Q127" i="5"/>
  <c r="Q126" i="5"/>
  <c r="Q125" i="5"/>
  <c r="Q124" i="5"/>
  <c r="Q123" i="5"/>
  <c r="Q122" i="5"/>
  <c r="Q121" i="5"/>
  <c r="Q120" i="5"/>
  <c r="Q119" i="5"/>
  <c r="Q118" i="5"/>
  <c r="Q117" i="5"/>
  <c r="Q116" i="5"/>
  <c r="Q115" i="5"/>
  <c r="Q114" i="5"/>
  <c r="Q113" i="5"/>
  <c r="Q112" i="5"/>
  <c r="Q111" i="5"/>
  <c r="Q110" i="5"/>
  <c r="Q109" i="5"/>
  <c r="Q108" i="5"/>
  <c r="Q107" i="5"/>
  <c r="Q106" i="5"/>
  <c r="Q105" i="5"/>
  <c r="Q104" i="5"/>
  <c r="Q103" i="5"/>
  <c r="Q102" i="5"/>
  <c r="Q101" i="5"/>
  <c r="Q100" i="5"/>
  <c r="Q99" i="5"/>
  <c r="Q98" i="5"/>
  <c r="Q97" i="5"/>
  <c r="Q96" i="5"/>
  <c r="Q95" i="5"/>
  <c r="Q94" i="5"/>
  <c r="Q93" i="5"/>
  <c r="Q92" i="5"/>
  <c r="Q91" i="5"/>
  <c r="Q90" i="5"/>
  <c r="Q89" i="5"/>
  <c r="Q88" i="5"/>
  <c r="Q87" i="5"/>
  <c r="Q86" i="5"/>
  <c r="Q85" i="5"/>
  <c r="Q84" i="5"/>
  <c r="Q83" i="5"/>
  <c r="Q82" i="5"/>
  <c r="Q81" i="5"/>
  <c r="Q80" i="5"/>
  <c r="Q79" i="5"/>
  <c r="Q78" i="5"/>
  <c r="Q77" i="5"/>
  <c r="Q76" i="5"/>
  <c r="Q75" i="5"/>
  <c r="Q74" i="5"/>
  <c r="Q73" i="5"/>
  <c r="Q72" i="5"/>
  <c r="Q71" i="5"/>
  <c r="Q70" i="5"/>
  <c r="Q69" i="5"/>
  <c r="Q68" i="5"/>
  <c r="Q67" i="5"/>
  <c r="Q66" i="5"/>
  <c r="Q65" i="5"/>
  <c r="Q64" i="5"/>
  <c r="Q63" i="5"/>
  <c r="Q62" i="5"/>
  <c r="Q61" i="5"/>
  <c r="Q60" i="5"/>
  <c r="Q59" i="5"/>
  <c r="Q58" i="5"/>
  <c r="Q57" i="5"/>
  <c r="Q56" i="5"/>
  <c r="Q55" i="5"/>
  <c r="Q54" i="5"/>
  <c r="Q53" i="5"/>
  <c r="Q52" i="5"/>
  <c r="Q51" i="5"/>
  <c r="Q50" i="5"/>
  <c r="Q49" i="5"/>
  <c r="Q48" i="5"/>
  <c r="Q47" i="5"/>
  <c r="Q46" i="5"/>
  <c r="Q45" i="5"/>
  <c r="Q44" i="5"/>
  <c r="Q43" i="5"/>
  <c r="Q42" i="5"/>
  <c r="Q41" i="5"/>
  <c r="Q40" i="5"/>
  <c r="Q39" i="5"/>
  <c r="Q38" i="5"/>
  <c r="Q37" i="5"/>
  <c r="Q36" i="5"/>
  <c r="Q35" i="5"/>
  <c r="Q34" i="5"/>
  <c r="Q33" i="5"/>
  <c r="Q32" i="5"/>
  <c r="Q31" i="5"/>
  <c r="Q30" i="5"/>
  <c r="Q29" i="5"/>
  <c r="Q28" i="5"/>
  <c r="Q27" i="5"/>
  <c r="Q26" i="5"/>
  <c r="Q25" i="5"/>
  <c r="Q24" i="5"/>
  <c r="Q23" i="5"/>
  <c r="Q22" i="5"/>
  <c r="Q21" i="5"/>
  <c r="Q20" i="5"/>
  <c r="Q19" i="5"/>
  <c r="Q18" i="5"/>
  <c r="Q17" i="5"/>
  <c r="Q16" i="5"/>
  <c r="Q15" i="5"/>
  <c r="Q14" i="5"/>
  <c r="Q13" i="5"/>
  <c r="Q12" i="5"/>
  <c r="Q11" i="5"/>
  <c r="Q10" i="5"/>
  <c r="Q9" i="5"/>
  <c r="Q8" i="5"/>
  <c r="Q7" i="5"/>
  <c r="Q6" i="5"/>
  <c r="Q5" i="5"/>
  <c r="Q183" i="5"/>
  <c r="Q168" i="5"/>
  <c r="Q166" i="5"/>
  <c r="Q163" i="5"/>
  <c r="Q159" i="5"/>
  <c r="Q158" i="5"/>
  <c r="P288" i="28"/>
  <c r="P270" i="28"/>
  <c r="D238" i="28"/>
  <c r="D213" i="28"/>
  <c r="D202" i="28"/>
  <c r="P200" i="28"/>
  <c r="P188" i="28"/>
  <c r="D116" i="28"/>
  <c r="D114" i="28"/>
  <c r="P113" i="28"/>
  <c r="P112" i="28"/>
  <c r="D112" i="28"/>
  <c r="P107" i="28"/>
  <c r="D106" i="28"/>
  <c r="P105" i="28"/>
  <c r="P104" i="28"/>
  <c r="P103" i="28"/>
  <c r="P102" i="28"/>
  <c r="P99" i="28"/>
  <c r="P98" i="28"/>
  <c r="P97" i="28"/>
  <c r="P96" i="28"/>
  <c r="P95" i="28"/>
  <c r="P91" i="28"/>
  <c r="P89" i="28"/>
  <c r="P88" i="28"/>
  <c r="P87" i="28"/>
  <c r="P86" i="28"/>
  <c r="P82" i="28"/>
  <c r="P81" i="28"/>
  <c r="P80" i="28"/>
  <c r="P79" i="28"/>
  <c r="P75" i="28"/>
  <c r="P74" i="28"/>
  <c r="P73" i="28"/>
  <c r="P72" i="28"/>
  <c r="P70" i="28"/>
  <c r="P66" i="28"/>
  <c r="P65" i="28"/>
  <c r="P64" i="28"/>
  <c r="P63" i="28"/>
  <c r="P59" i="28"/>
  <c r="P57" i="28"/>
  <c r="P56" i="28"/>
  <c r="P55" i="28"/>
  <c r="P51" i="28"/>
  <c r="P50" i="28"/>
  <c r="P49" i="28"/>
  <c r="P48" i="28"/>
  <c r="P47" i="28"/>
  <c r="P46" i="28"/>
  <c r="P42" i="28"/>
  <c r="P5" i="28"/>
  <c r="P6" i="28"/>
  <c r="P7" i="28"/>
  <c r="P8" i="28"/>
  <c r="P9" i="28"/>
  <c r="P10" i="28"/>
  <c r="P11" i="28"/>
  <c r="P12" i="28"/>
  <c r="P13" i="28"/>
  <c r="P14" i="28"/>
  <c r="P15" i="28"/>
  <c r="P16" i="28"/>
  <c r="P17" i="28"/>
  <c r="P18" i="28"/>
  <c r="P19" i="28"/>
  <c r="P20" i="28"/>
  <c r="P21" i="28"/>
  <c r="P22" i="28"/>
  <c r="P23" i="28"/>
  <c r="P24" i="28"/>
  <c r="P25" i="28"/>
  <c r="P26" i="28"/>
  <c r="P27" i="28"/>
  <c r="P28" i="28"/>
  <c r="P29" i="28"/>
  <c r="P30" i="28"/>
  <c r="P31" i="28"/>
  <c r="P32" i="28"/>
  <c r="P33" i="28"/>
  <c r="P34" i="28"/>
  <c r="P35" i="28"/>
  <c r="P36" i="28"/>
  <c r="P37" i="28"/>
  <c r="P38" i="28"/>
  <c r="P39" i="28"/>
  <c r="P40" i="28"/>
  <c r="P41" i="28"/>
  <c r="P43" i="28"/>
  <c r="P44" i="28"/>
  <c r="P45" i="28"/>
  <c r="P52" i="28"/>
  <c r="P53" i="28"/>
  <c r="P54" i="28"/>
  <c r="P58" i="28"/>
  <c r="P60" i="28"/>
  <c r="P61" i="28"/>
  <c r="P62" i="28"/>
  <c r="P67" i="28"/>
  <c r="P68" i="28"/>
  <c r="P69" i="28"/>
  <c r="P71" i="28"/>
  <c r="P76" i="28"/>
  <c r="P77" i="28"/>
  <c r="P78" i="28"/>
  <c r="P83" i="28"/>
  <c r="P84" i="28"/>
  <c r="P85" i="28"/>
  <c r="P90" i="28"/>
  <c r="P92" i="28"/>
  <c r="P93" i="28"/>
  <c r="P94" i="28"/>
  <c r="P100" i="28"/>
  <c r="P101" i="28"/>
  <c r="P108" i="28"/>
  <c r="P109" i="28"/>
  <c r="P110" i="28"/>
  <c r="P111" i="28"/>
  <c r="P116" i="28"/>
  <c r="P117" i="28"/>
  <c r="P118" i="28"/>
  <c r="P119" i="28"/>
  <c r="P120" i="28"/>
  <c r="P121" i="28"/>
  <c r="P122" i="28"/>
  <c r="P123" i="28"/>
  <c r="P124" i="28"/>
  <c r="P125" i="28"/>
  <c r="P126" i="28"/>
  <c r="P127" i="28"/>
  <c r="P128" i="28"/>
  <c r="P129" i="28"/>
  <c r="P130" i="28"/>
  <c r="P131" i="28"/>
  <c r="P132" i="28"/>
  <c r="P133" i="28"/>
  <c r="P134" i="28"/>
  <c r="P135" i="28"/>
  <c r="P136" i="28"/>
  <c r="P137" i="28"/>
  <c r="P138" i="28"/>
  <c r="P139" i="28"/>
  <c r="P140" i="28"/>
  <c r="P141" i="28"/>
  <c r="P142" i="28"/>
  <c r="P143" i="28"/>
  <c r="P144" i="28"/>
  <c r="P145" i="28"/>
  <c r="P146" i="28"/>
  <c r="P147" i="28"/>
  <c r="P148" i="28"/>
  <c r="P149" i="28"/>
  <c r="P150" i="28"/>
  <c r="P151" i="28"/>
  <c r="P152" i="28"/>
  <c r="P153" i="28"/>
  <c r="P154" i="28"/>
  <c r="P155" i="28"/>
  <c r="P156" i="28"/>
  <c r="P157" i="28"/>
  <c r="P158" i="28"/>
  <c r="P159" i="28"/>
  <c r="P160" i="28"/>
  <c r="P161" i="28"/>
  <c r="P162" i="28"/>
  <c r="P163" i="28"/>
  <c r="P164" i="28"/>
  <c r="P165" i="28"/>
  <c r="P166" i="28"/>
  <c r="P167" i="28"/>
  <c r="P168" i="28"/>
  <c r="P169" i="28"/>
  <c r="P170" i="28"/>
  <c r="P171" i="28"/>
  <c r="P172" i="28"/>
  <c r="P173" i="28"/>
  <c r="P174" i="28"/>
  <c r="P175" i="28"/>
  <c r="P176" i="28"/>
  <c r="P177" i="28"/>
  <c r="P178" i="28"/>
  <c r="P179" i="28"/>
  <c r="P180" i="28"/>
  <c r="P181" i="28"/>
  <c r="P182" i="28"/>
  <c r="P183" i="28"/>
  <c r="P184" i="28"/>
  <c r="P185" i="28"/>
  <c r="P186" i="28"/>
  <c r="P187" i="28"/>
  <c r="P189" i="28"/>
  <c r="P190" i="28"/>
  <c r="P191" i="28"/>
  <c r="P192" i="28"/>
  <c r="P193" i="28"/>
  <c r="P194" i="28"/>
  <c r="P195" i="28"/>
  <c r="P196" i="28"/>
  <c r="P197" i="28"/>
  <c r="P198" i="28"/>
  <c r="P199" i="28"/>
  <c r="P201" i="28"/>
  <c r="P203" i="28"/>
  <c r="P204" i="28"/>
  <c r="P205" i="28"/>
  <c r="P206" i="28"/>
  <c r="P207" i="28"/>
  <c r="P208" i="28"/>
  <c r="P209" i="28"/>
  <c r="P210" i="28"/>
  <c r="P211" i="28"/>
  <c r="P212" i="28"/>
  <c r="P214" i="28"/>
  <c r="P215" i="28"/>
  <c r="P216" i="28"/>
  <c r="P217" i="28"/>
  <c r="P218" i="28"/>
  <c r="P219" i="28"/>
  <c r="P220" i="28"/>
  <c r="P221" i="28"/>
  <c r="P222" i="28"/>
  <c r="P223" i="28"/>
  <c r="P224" i="28"/>
  <c r="P225" i="28"/>
  <c r="P226" i="28"/>
  <c r="P227" i="28"/>
  <c r="P228" i="28"/>
  <c r="P229" i="28"/>
  <c r="P230" i="28"/>
  <c r="P231" i="28"/>
  <c r="P232" i="28"/>
  <c r="P233" i="28"/>
  <c r="P234" i="28"/>
  <c r="P235" i="28"/>
  <c r="P236" i="28"/>
  <c r="P238" i="28"/>
  <c r="P239" i="28"/>
  <c r="P240" i="28"/>
  <c r="P241" i="28"/>
  <c r="P242" i="28"/>
  <c r="P243" i="28"/>
  <c r="P244" i="28"/>
  <c r="P245" i="28"/>
  <c r="P246" i="28"/>
  <c r="P247" i="28"/>
  <c r="P248" i="28"/>
  <c r="P249" i="28"/>
  <c r="P250" i="28"/>
  <c r="P251" i="28"/>
  <c r="P252" i="28"/>
  <c r="P253" i="28"/>
  <c r="P254" i="28"/>
  <c r="P255" i="28"/>
  <c r="P256" i="28"/>
  <c r="P257" i="28"/>
  <c r="P258" i="28"/>
  <c r="P259" i="28"/>
  <c r="P260" i="28"/>
  <c r="P261" i="28"/>
  <c r="P262" i="28"/>
  <c r="P263" i="28"/>
  <c r="P264" i="28"/>
  <c r="P265" i="28"/>
  <c r="P266" i="28"/>
  <c r="P267" i="28"/>
  <c r="P268" i="28"/>
  <c r="P269" i="28"/>
  <c r="P271" i="28"/>
  <c r="P272" i="28"/>
  <c r="P273" i="28"/>
  <c r="P274" i="28"/>
  <c r="P275" i="28"/>
  <c r="P276" i="28"/>
  <c r="P277" i="28"/>
  <c r="P278" i="28"/>
  <c r="P279" i="28"/>
  <c r="P280" i="28"/>
  <c r="P281" i="28"/>
  <c r="P282" i="28"/>
  <c r="P283" i="28"/>
  <c r="P284" i="28"/>
  <c r="P285" i="28"/>
  <c r="P286" i="28"/>
  <c r="P287" i="28"/>
  <c r="P289" i="28"/>
  <c r="P290" i="28"/>
  <c r="P291" i="28"/>
  <c r="P292" i="28"/>
  <c r="P293" i="28"/>
  <c r="P294" i="28"/>
  <c r="P295" i="28"/>
  <c r="P296" i="28"/>
  <c r="P297" i="28"/>
  <c r="P298" i="28"/>
  <c r="P299" i="28"/>
  <c r="P300" i="28"/>
  <c r="P301" i="28"/>
  <c r="P302" i="28"/>
  <c r="P303" i="28"/>
  <c r="P304" i="28"/>
  <c r="P305" i="28"/>
  <c r="P4" i="28"/>
  <c r="N275" i="28"/>
  <c r="N276" i="28"/>
  <c r="N106" i="28"/>
  <c r="N277" i="28"/>
  <c r="N278" i="28"/>
  <c r="N107" i="28"/>
  <c r="N279" i="28"/>
  <c r="N280" i="28"/>
  <c r="N108" i="28"/>
  <c r="N281" i="28"/>
  <c r="N282" i="28"/>
  <c r="N109" i="28"/>
  <c r="N283" i="28"/>
  <c r="N284" i="28"/>
  <c r="N110" i="28"/>
  <c r="N285" i="28"/>
  <c r="N286" i="28"/>
  <c r="N111" i="28"/>
  <c r="N289" i="28"/>
  <c r="N290" i="28"/>
  <c r="N112" i="28"/>
  <c r="N293" i="28"/>
  <c r="N294" i="28"/>
  <c r="N113" i="28"/>
  <c r="N297" i="28"/>
  <c r="N298" i="28"/>
  <c r="N115" i="28"/>
  <c r="N295" i="28"/>
  <c r="N296" i="28"/>
  <c r="N114" i="28"/>
  <c r="N301" i="28"/>
  <c r="N302" i="28"/>
  <c r="N116" i="28"/>
  <c r="N155" i="28"/>
  <c r="N156" i="28"/>
  <c r="N185" i="28"/>
  <c r="N186" i="28"/>
  <c r="N187" i="28"/>
  <c r="N188" i="28"/>
  <c r="N197" i="28"/>
  <c r="N198" i="28"/>
  <c r="N199" i="28"/>
  <c r="N200" i="28"/>
  <c r="N201" i="28"/>
  <c r="N202" i="28"/>
  <c r="N212" i="28"/>
  <c r="N213" i="28"/>
  <c r="N216" i="28"/>
  <c r="N217" i="28"/>
  <c r="N232" i="28"/>
  <c r="N233" i="28"/>
  <c r="N234" i="28"/>
  <c r="N235" i="28"/>
  <c r="N238" i="28"/>
  <c r="N239" i="28"/>
  <c r="N236" i="28"/>
  <c r="N237" i="28"/>
  <c r="N256" i="28"/>
  <c r="N257" i="28"/>
  <c r="N269" i="28"/>
  <c r="N270" i="28"/>
  <c r="N287" i="28"/>
  <c r="N288" i="28"/>
  <c r="N291" i="28"/>
  <c r="N292" i="28"/>
  <c r="N299" i="28"/>
  <c r="N300" i="28"/>
  <c r="N303" i="28"/>
  <c r="N304" i="28"/>
  <c r="N4" i="28"/>
  <c r="N5" i="28"/>
  <c r="N6" i="28"/>
  <c r="N7" i="28"/>
  <c r="N8" i="28"/>
  <c r="N9" i="28"/>
  <c r="N10" i="28"/>
  <c r="N11" i="28"/>
  <c r="N12" i="28"/>
  <c r="N13" i="28"/>
  <c r="N14" i="28"/>
  <c r="N15" i="28"/>
  <c r="N34" i="28"/>
  <c r="N35" i="28"/>
  <c r="N36" i="28"/>
  <c r="N17" i="28"/>
  <c r="N16" i="28"/>
  <c r="N18" i="28"/>
  <c r="N20" i="28"/>
  <c r="N19" i="28"/>
  <c r="N22" i="28"/>
  <c r="N21" i="28"/>
  <c r="N23" i="28"/>
  <c r="N24" i="28"/>
  <c r="N25" i="28"/>
  <c r="N37" i="28"/>
  <c r="N38" i="28"/>
  <c r="N39" i="28"/>
  <c r="N40" i="28"/>
  <c r="N26" i="28"/>
  <c r="N41" i="28"/>
  <c r="N28" i="28"/>
  <c r="N27" i="28"/>
  <c r="N29" i="28"/>
  <c r="N31" i="28"/>
  <c r="N30" i="28"/>
  <c r="N32" i="28"/>
  <c r="N33" i="28"/>
  <c r="D275" i="28"/>
  <c r="D276" i="28"/>
  <c r="D277" i="28"/>
  <c r="D278" i="28"/>
  <c r="D279" i="28"/>
  <c r="D280" i="28"/>
  <c r="D281" i="28"/>
  <c r="D282" i="28"/>
  <c r="D109" i="28"/>
  <c r="D283" i="28"/>
  <c r="D284" i="28"/>
  <c r="D110" i="28"/>
  <c r="D285" i="28"/>
  <c r="D286" i="28"/>
  <c r="D111" i="28"/>
  <c r="D290" i="28"/>
  <c r="D293" i="28"/>
  <c r="D294" i="28"/>
  <c r="D113" i="28"/>
  <c r="D297" i="28"/>
  <c r="D298" i="28"/>
  <c r="D295" i="28"/>
  <c r="D296" i="28"/>
  <c r="D301" i="28"/>
  <c r="D302" i="28"/>
  <c r="D155" i="28"/>
  <c r="D156" i="28"/>
  <c r="D185" i="28"/>
  <c r="D186" i="28"/>
  <c r="D187" i="28"/>
  <c r="D197" i="28"/>
  <c r="D198" i="28"/>
  <c r="D199" i="28"/>
  <c r="D200" i="28"/>
  <c r="D201" i="28"/>
  <c r="D212" i="28"/>
  <c r="D216" i="28"/>
  <c r="D217" i="28"/>
  <c r="D232" i="28"/>
  <c r="D233" i="28"/>
  <c r="D234" i="28"/>
  <c r="D235" i="28"/>
  <c r="D239" i="28"/>
  <c r="D236" i="28"/>
  <c r="D256" i="28"/>
  <c r="D257" i="28"/>
  <c r="D269" i="28"/>
  <c r="D287" i="28"/>
  <c r="D291" i="28"/>
  <c r="D292" i="28"/>
  <c r="D299" i="28"/>
  <c r="D300" i="28"/>
  <c r="D303" i="28"/>
  <c r="D304" i="28"/>
  <c r="D4" i="28"/>
  <c r="D5" i="28"/>
  <c r="D6" i="28"/>
  <c r="D7" i="28"/>
  <c r="D8" i="28"/>
  <c r="D9" i="28"/>
  <c r="D10" i="28"/>
  <c r="D11" i="28"/>
  <c r="D12" i="28"/>
  <c r="D13" i="28"/>
  <c r="D14" i="28"/>
  <c r="D15" i="28"/>
  <c r="D34" i="28"/>
  <c r="D35" i="28"/>
  <c r="D36" i="28"/>
  <c r="D17" i="28"/>
  <c r="D16" i="28"/>
  <c r="D18" i="28"/>
  <c r="D20" i="28"/>
  <c r="D19" i="28"/>
  <c r="D22" i="28"/>
  <c r="D21" i="28"/>
  <c r="D23" i="28"/>
  <c r="D24" i="28"/>
  <c r="D25" i="28"/>
  <c r="D37" i="28"/>
  <c r="D38" i="28"/>
  <c r="D39" i="28"/>
  <c r="D40" i="28"/>
  <c r="D26" i="28"/>
  <c r="D41" i="28"/>
  <c r="D28" i="28"/>
  <c r="D27" i="28"/>
  <c r="D29" i="28"/>
  <c r="D31" i="28"/>
  <c r="D30" i="28"/>
  <c r="D32" i="28"/>
  <c r="D33" i="28"/>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136" i="5"/>
  <c r="N137" i="5"/>
  <c r="N138" i="5"/>
  <c r="N139" i="5"/>
  <c r="N140" i="5"/>
  <c r="N141" i="5"/>
  <c r="N142" i="5"/>
  <c r="N143" i="5"/>
  <c r="N144" i="5"/>
  <c r="N145" i="5"/>
  <c r="N146" i="5"/>
  <c r="N147" i="5"/>
  <c r="N148" i="5"/>
  <c r="N149" i="5"/>
  <c r="N150" i="5"/>
  <c r="N151" i="5"/>
  <c r="N152" i="5"/>
  <c r="N153" i="5"/>
  <c r="N154" i="5"/>
  <c r="N155" i="5"/>
  <c r="N156" i="5"/>
  <c r="N157"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P338" i="18"/>
  <c r="P337" i="18"/>
  <c r="P336" i="18"/>
  <c r="P335" i="18"/>
  <c r="P334" i="18"/>
  <c r="P333" i="18"/>
  <c r="P332" i="18"/>
  <c r="P331" i="18"/>
  <c r="P330" i="18"/>
  <c r="P329" i="18"/>
  <c r="P328" i="18"/>
  <c r="P327" i="18"/>
  <c r="P326" i="18"/>
  <c r="P325" i="18"/>
  <c r="N338" i="18"/>
  <c r="N337" i="18"/>
  <c r="N336" i="18"/>
  <c r="N335" i="18"/>
  <c r="N334" i="18"/>
  <c r="N333" i="18"/>
  <c r="N332" i="18"/>
  <c r="N331" i="18"/>
  <c r="N330" i="18"/>
  <c r="N329" i="18"/>
  <c r="N328" i="18"/>
  <c r="N327" i="18"/>
  <c r="N326" i="18"/>
  <c r="N325" i="18"/>
  <c r="D325" i="18"/>
  <c r="P4" i="18"/>
  <c r="P5" i="18"/>
  <c r="P6" i="18"/>
  <c r="P7" i="18"/>
  <c r="P40" i="18"/>
  <c r="P41" i="18"/>
  <c r="P9" i="18"/>
  <c r="P10" i="18"/>
  <c r="P11" i="18"/>
  <c r="P12" i="18"/>
  <c r="P14" i="18"/>
  <c r="P15" i="18"/>
  <c r="P16" i="18"/>
  <c r="P17" i="18"/>
  <c r="P18" i="18"/>
  <c r="P19" i="18"/>
  <c r="P44" i="18"/>
  <c r="P45" i="18"/>
  <c r="P46" i="18"/>
  <c r="P21" i="18"/>
  <c r="P22" i="18"/>
  <c r="P23" i="18"/>
  <c r="P24" i="18"/>
  <c r="P25" i="18"/>
  <c r="P27" i="18"/>
  <c r="P28" i="18"/>
  <c r="P29" i="18"/>
  <c r="P49" i="18"/>
  <c r="P30" i="18"/>
  <c r="P31" i="18"/>
  <c r="P50" i="18"/>
  <c r="P51" i="18"/>
  <c r="P33" i="18"/>
  <c r="P52" i="18"/>
  <c r="P34" i="18"/>
  <c r="N4" i="18"/>
  <c r="N5" i="18"/>
  <c r="N6" i="18"/>
  <c r="N7" i="18"/>
  <c r="N40" i="18"/>
  <c r="N41" i="18"/>
  <c r="N9" i="18"/>
  <c r="N10" i="18"/>
  <c r="N11" i="18"/>
  <c r="N12" i="18"/>
  <c r="N14" i="18"/>
  <c r="N15" i="18"/>
  <c r="N16" i="18"/>
  <c r="N17" i="18"/>
  <c r="N18" i="18"/>
  <c r="N19" i="18"/>
  <c r="N44" i="18"/>
  <c r="N45" i="18"/>
  <c r="N46" i="18"/>
  <c r="N21" i="18"/>
  <c r="N22" i="18"/>
  <c r="N23" i="18"/>
  <c r="N24" i="18"/>
  <c r="N25" i="18"/>
  <c r="N27" i="18"/>
  <c r="N28" i="18"/>
  <c r="N29" i="18"/>
  <c r="N49" i="18"/>
  <c r="N30" i="18"/>
  <c r="N31" i="18"/>
  <c r="N50" i="18"/>
  <c r="N51" i="18"/>
  <c r="N33" i="18"/>
  <c r="N52" i="18"/>
  <c r="N34" i="18"/>
  <c r="D4" i="18"/>
  <c r="D5" i="18"/>
  <c r="D6" i="18"/>
  <c r="D7" i="18"/>
  <c r="D40" i="18"/>
  <c r="D41" i="18"/>
  <c r="D9" i="18"/>
  <c r="D10" i="18"/>
  <c r="D11" i="18"/>
  <c r="D12" i="18"/>
  <c r="D14" i="18"/>
  <c r="D15" i="18"/>
  <c r="D16" i="18"/>
  <c r="D17" i="18"/>
  <c r="D18" i="18"/>
  <c r="D19" i="18"/>
  <c r="D44" i="18"/>
  <c r="D45" i="18"/>
  <c r="D46" i="18"/>
  <c r="D21" i="18"/>
  <c r="D22" i="18"/>
  <c r="D23" i="18"/>
  <c r="D24" i="18"/>
  <c r="D25" i="18"/>
  <c r="D27" i="18"/>
  <c r="D28" i="18"/>
  <c r="D29" i="18"/>
  <c r="D49" i="18"/>
  <c r="D30" i="18"/>
  <c r="D31" i="18"/>
  <c r="D50" i="18"/>
  <c r="D51" i="18"/>
  <c r="D33" i="18"/>
  <c r="D52" i="18"/>
  <c r="D34" i="18"/>
  <c r="P35" i="18"/>
  <c r="P8" i="18"/>
  <c r="P38" i="18"/>
  <c r="P36" i="18"/>
  <c r="P37" i="18"/>
  <c r="P39" i="18"/>
  <c r="P13" i="18"/>
  <c r="P42" i="18"/>
  <c r="P43" i="18"/>
  <c r="P20" i="18"/>
  <c r="P47" i="18"/>
  <c r="P26" i="18"/>
  <c r="P48" i="18"/>
  <c r="P32" i="18"/>
  <c r="N35" i="18"/>
  <c r="N8" i="18"/>
  <c r="N38" i="18"/>
  <c r="N36" i="18"/>
  <c r="N37" i="18"/>
  <c r="N39" i="18"/>
  <c r="N13" i="18"/>
  <c r="N42" i="18"/>
  <c r="N43" i="18"/>
  <c r="N20" i="18"/>
  <c r="N47" i="18"/>
  <c r="N26" i="18"/>
  <c r="N48" i="18"/>
  <c r="N32" i="18"/>
  <c r="D35" i="18"/>
  <c r="D8" i="18"/>
  <c r="D38" i="18"/>
  <c r="D36" i="18"/>
  <c r="D37" i="18"/>
  <c r="D39" i="18"/>
  <c r="D13" i="18"/>
  <c r="D42" i="18"/>
  <c r="D43" i="18"/>
  <c r="D20" i="18"/>
  <c r="D47" i="18"/>
  <c r="D26" i="18"/>
  <c r="D48" i="18"/>
  <c r="D32" i="18"/>
  <c r="P54" i="18"/>
  <c r="P55" i="18"/>
  <c r="P56" i="18"/>
  <c r="P57" i="18"/>
  <c r="P58" i="18"/>
  <c r="P59" i="18"/>
  <c r="P60" i="18"/>
  <c r="P61" i="18"/>
  <c r="P62" i="18"/>
  <c r="P63" i="18"/>
  <c r="P64" i="18"/>
  <c r="P65" i="18"/>
  <c r="P66" i="18"/>
  <c r="P67" i="18"/>
  <c r="P68" i="18"/>
  <c r="P69" i="18"/>
  <c r="P70" i="18"/>
  <c r="P71" i="18"/>
  <c r="P72" i="18"/>
  <c r="P73" i="18"/>
  <c r="P74" i="18"/>
  <c r="P75" i="18"/>
  <c r="P76" i="18"/>
  <c r="P77" i="18"/>
  <c r="P78" i="18"/>
  <c r="P79" i="18"/>
  <c r="P80" i="18"/>
  <c r="P81" i="18"/>
  <c r="P82" i="18"/>
  <c r="P83" i="18"/>
  <c r="P84" i="18"/>
  <c r="P85" i="18"/>
  <c r="P86" i="18"/>
  <c r="P87" i="18"/>
  <c r="P88" i="18"/>
  <c r="P89" i="18"/>
  <c r="P90" i="18"/>
  <c r="P91" i="18"/>
  <c r="P92" i="18"/>
  <c r="P93" i="18"/>
  <c r="P94" i="18"/>
  <c r="P95" i="18"/>
  <c r="P96" i="18"/>
  <c r="P97" i="18"/>
  <c r="P98" i="18"/>
  <c r="P99" i="18"/>
  <c r="P100" i="18"/>
  <c r="P101" i="18"/>
  <c r="P102" i="18"/>
  <c r="P103" i="18"/>
  <c r="P104" i="18"/>
  <c r="P105" i="18"/>
  <c r="P106" i="18"/>
  <c r="P107" i="18"/>
  <c r="P108" i="18"/>
  <c r="P109" i="18"/>
  <c r="P110" i="18"/>
  <c r="P111" i="18"/>
  <c r="P112" i="18"/>
  <c r="P113" i="18"/>
  <c r="P114" i="18"/>
  <c r="P115" i="18"/>
  <c r="P116" i="18"/>
  <c r="P117" i="18"/>
  <c r="P118" i="18"/>
  <c r="P119" i="18"/>
  <c r="P120" i="18"/>
  <c r="P121" i="18"/>
  <c r="P122" i="18"/>
  <c r="P123" i="18"/>
  <c r="P124" i="18"/>
  <c r="P125" i="18"/>
  <c r="P126" i="18"/>
  <c r="P127" i="18"/>
  <c r="P128" i="18"/>
  <c r="P129" i="18"/>
  <c r="P130" i="18"/>
  <c r="P131" i="18"/>
  <c r="P132" i="18"/>
  <c r="P133" i="18"/>
  <c r="P134" i="18"/>
  <c r="P135" i="18"/>
  <c r="P136" i="18"/>
  <c r="P137" i="18"/>
  <c r="P138" i="18"/>
  <c r="P139" i="18"/>
  <c r="P140" i="18"/>
  <c r="P141" i="18"/>
  <c r="P142" i="18"/>
  <c r="P143" i="18"/>
  <c r="P144" i="18"/>
  <c r="P145" i="18"/>
  <c r="P146" i="18"/>
  <c r="P147" i="18"/>
  <c r="P148" i="18"/>
  <c r="P149" i="18"/>
  <c r="P150" i="18"/>
  <c r="P151" i="18"/>
  <c r="P152" i="18"/>
  <c r="P153" i="18"/>
  <c r="P154" i="18"/>
  <c r="P155" i="18"/>
  <c r="P156" i="18"/>
  <c r="P157" i="18"/>
  <c r="P158" i="18"/>
  <c r="P159" i="18"/>
  <c r="P160" i="18"/>
  <c r="P161" i="18"/>
  <c r="P162" i="18"/>
  <c r="P163" i="18"/>
  <c r="P164" i="18"/>
  <c r="P165" i="18"/>
  <c r="P166" i="18"/>
  <c r="P167" i="18"/>
  <c r="P168" i="18"/>
  <c r="P169" i="18"/>
  <c r="P170" i="18"/>
  <c r="P171" i="18"/>
  <c r="P172" i="18"/>
  <c r="P173" i="18"/>
  <c r="P174" i="18"/>
  <c r="P175" i="18"/>
  <c r="P176" i="18"/>
  <c r="P177" i="18"/>
  <c r="P178" i="18"/>
  <c r="P179" i="18"/>
  <c r="P180" i="18"/>
  <c r="P181" i="18"/>
  <c r="P182" i="18"/>
  <c r="P183" i="18"/>
  <c r="P184" i="18"/>
  <c r="P185" i="18"/>
  <c r="P186" i="18"/>
  <c r="P188" i="18"/>
  <c r="P187" i="18"/>
  <c r="P189" i="18"/>
  <c r="P190" i="18"/>
  <c r="P191" i="18"/>
  <c r="P192" i="18"/>
  <c r="P193" i="18"/>
  <c r="P194" i="18"/>
  <c r="P195" i="18"/>
  <c r="P196" i="18"/>
  <c r="P197" i="18"/>
  <c r="P198" i="18"/>
  <c r="P199" i="18"/>
  <c r="P200" i="18"/>
  <c r="P201" i="18"/>
  <c r="P202" i="18"/>
  <c r="P203" i="18"/>
  <c r="P204" i="18"/>
  <c r="P205" i="18"/>
  <c r="P206" i="18"/>
  <c r="P207" i="18"/>
  <c r="P208" i="18"/>
  <c r="P209" i="18"/>
  <c r="P210" i="18"/>
  <c r="P211" i="18"/>
  <c r="P212" i="18"/>
  <c r="P213" i="18"/>
  <c r="P214" i="18"/>
  <c r="P215" i="18"/>
  <c r="P216" i="18"/>
  <c r="P217" i="18"/>
  <c r="P218" i="18"/>
  <c r="P219" i="18"/>
  <c r="P220" i="18"/>
  <c r="P222" i="18"/>
  <c r="P221" i="18"/>
  <c r="P223" i="18"/>
  <c r="P224" i="18"/>
  <c r="P225" i="18"/>
  <c r="P226" i="18"/>
  <c r="P227" i="18"/>
  <c r="P228" i="18"/>
  <c r="P229" i="18"/>
  <c r="P230" i="18"/>
  <c r="P231" i="18"/>
  <c r="P232" i="18"/>
  <c r="P233" i="18"/>
  <c r="P234" i="18"/>
  <c r="P235" i="18"/>
  <c r="P236" i="18"/>
  <c r="P237" i="18"/>
  <c r="P238" i="18"/>
  <c r="P239" i="18"/>
  <c r="P240" i="18"/>
  <c r="P241" i="18"/>
  <c r="P242" i="18"/>
  <c r="P243" i="18"/>
  <c r="P244" i="18"/>
  <c r="P245" i="18"/>
  <c r="P246" i="18"/>
  <c r="P247" i="18"/>
  <c r="P248" i="18"/>
  <c r="P249" i="18"/>
  <c r="P250" i="18"/>
  <c r="P251" i="18"/>
  <c r="P252" i="18"/>
  <c r="P253" i="18"/>
  <c r="P254" i="18"/>
  <c r="P255" i="18"/>
  <c r="P256" i="18"/>
  <c r="P257" i="18"/>
  <c r="P258" i="18"/>
  <c r="P259" i="18"/>
  <c r="P260" i="18"/>
  <c r="P261" i="18"/>
  <c r="P262" i="18"/>
  <c r="P263" i="18"/>
  <c r="P264" i="18"/>
  <c r="P265" i="18"/>
  <c r="P266" i="18"/>
  <c r="P267" i="18"/>
  <c r="P268" i="18"/>
  <c r="P269" i="18"/>
  <c r="P270" i="18"/>
  <c r="P271" i="18"/>
  <c r="P272" i="18"/>
  <c r="P273" i="18"/>
  <c r="P274" i="18"/>
  <c r="P275" i="18"/>
  <c r="P276" i="18"/>
  <c r="P277" i="18"/>
  <c r="P278" i="18"/>
  <c r="P279" i="18"/>
  <c r="P280" i="18"/>
  <c r="P281" i="18"/>
  <c r="P282" i="18"/>
  <c r="P283" i="18"/>
  <c r="P284" i="18"/>
  <c r="P285" i="18"/>
  <c r="P286" i="18"/>
  <c r="P287" i="18"/>
  <c r="P288" i="18"/>
  <c r="P289" i="18"/>
  <c r="P290" i="18"/>
  <c r="P291" i="18"/>
  <c r="P292" i="18"/>
  <c r="P293" i="18"/>
  <c r="P294" i="18"/>
  <c r="P295" i="18"/>
  <c r="P296" i="18"/>
  <c r="P297" i="18"/>
  <c r="P298" i="18"/>
  <c r="P299" i="18"/>
  <c r="P300" i="18"/>
  <c r="P301" i="18"/>
  <c r="P302" i="18"/>
  <c r="P303" i="18"/>
  <c r="P304" i="18"/>
  <c r="P305" i="18"/>
  <c r="P306" i="18"/>
  <c r="P307" i="18"/>
  <c r="P308" i="18"/>
  <c r="P309" i="18"/>
  <c r="P310" i="18"/>
  <c r="P311" i="18"/>
  <c r="P312" i="18"/>
  <c r="P313" i="18"/>
  <c r="P314" i="18"/>
  <c r="P315" i="18"/>
  <c r="P316" i="18"/>
  <c r="P317" i="18"/>
  <c r="P318" i="18"/>
  <c r="P319" i="18"/>
  <c r="P320" i="18"/>
  <c r="P321" i="18"/>
  <c r="P322" i="18"/>
  <c r="P323" i="18"/>
  <c r="P324" i="18"/>
  <c r="P53" i="18"/>
  <c r="P62" i="37"/>
  <c r="P56" i="37"/>
  <c r="P54" i="37"/>
  <c r="P52" i="37"/>
  <c r="P45" i="37"/>
  <c r="P42" i="37"/>
  <c r="P36" i="37"/>
  <c r="P33" i="37"/>
  <c r="P30" i="37"/>
  <c r="P18" i="37"/>
  <c r="P15" i="37"/>
  <c r="P9" i="37"/>
  <c r="P6" i="37"/>
  <c r="P5" i="37"/>
  <c r="P7" i="37"/>
  <c r="P8" i="37"/>
  <c r="P10" i="37"/>
  <c r="P11" i="37"/>
  <c r="P12" i="37"/>
  <c r="P13" i="37"/>
  <c r="P14" i="37"/>
  <c r="P16" i="37"/>
  <c r="P17" i="37"/>
  <c r="P19" i="37"/>
  <c r="P20" i="37"/>
  <c r="P21" i="37"/>
  <c r="P22" i="37"/>
  <c r="P23" i="37"/>
  <c r="P24" i="37"/>
  <c r="P25" i="37"/>
  <c r="P26" i="37"/>
  <c r="P27" i="37"/>
  <c r="P28" i="37"/>
  <c r="P29" i="37"/>
  <c r="P31" i="37"/>
  <c r="P32" i="37"/>
  <c r="P34" i="37"/>
  <c r="P35" i="37"/>
  <c r="P37" i="37"/>
  <c r="P38" i="37"/>
  <c r="P39" i="37"/>
  <c r="P40" i="37"/>
  <c r="P41" i="37"/>
  <c r="P43" i="37"/>
  <c r="P44" i="37"/>
  <c r="P46" i="37"/>
  <c r="P47" i="37"/>
  <c r="P48" i="37"/>
  <c r="P49" i="37"/>
  <c r="P50" i="37"/>
  <c r="P51" i="37"/>
  <c r="P53" i="37"/>
  <c r="P55" i="37"/>
  <c r="P57" i="37"/>
  <c r="P58" i="37"/>
  <c r="P59" i="37"/>
  <c r="P60" i="37"/>
  <c r="P61" i="37"/>
  <c r="P63" i="37"/>
  <c r="P64" i="37"/>
  <c r="P65" i="37"/>
  <c r="P66" i="37"/>
  <c r="P67" i="37"/>
  <c r="P68" i="37"/>
  <c r="P69" i="37"/>
  <c r="P70" i="37"/>
  <c r="P71" i="37"/>
  <c r="P72" i="37"/>
  <c r="P73" i="37"/>
  <c r="P74" i="37"/>
  <c r="P4" i="37"/>
  <c r="P5" i="33"/>
  <c r="P6" i="33"/>
  <c r="P7" i="33"/>
  <c r="P8" i="33"/>
  <c r="P9" i="33"/>
  <c r="P10" i="33"/>
  <c r="P11" i="33"/>
  <c r="P12" i="33"/>
  <c r="P13" i="33"/>
  <c r="P14" i="33"/>
  <c r="P15" i="33"/>
  <c r="P16" i="33"/>
  <c r="P17" i="33"/>
  <c r="P18" i="33"/>
  <c r="P19" i="33"/>
  <c r="P20" i="33"/>
  <c r="P21" i="33"/>
  <c r="P22" i="33"/>
  <c r="P23" i="33"/>
  <c r="P24" i="33"/>
  <c r="P25" i="33"/>
  <c r="P26" i="33"/>
  <c r="P27" i="33"/>
  <c r="P28" i="33"/>
  <c r="P29" i="33"/>
  <c r="P30" i="33"/>
  <c r="P31" i="33"/>
  <c r="P32" i="33"/>
  <c r="P33" i="33"/>
  <c r="P34" i="33"/>
  <c r="P35" i="33"/>
  <c r="P36" i="33"/>
  <c r="P37" i="33"/>
  <c r="P38" i="33"/>
  <c r="P39" i="33"/>
  <c r="P40" i="33"/>
  <c r="P41" i="33"/>
  <c r="P42" i="33"/>
  <c r="P43" i="33"/>
  <c r="P44" i="33"/>
  <c r="P45" i="33"/>
  <c r="P46" i="33"/>
  <c r="P47" i="33"/>
  <c r="P48" i="33"/>
  <c r="P49" i="33"/>
  <c r="P50" i="33"/>
  <c r="P51" i="33"/>
  <c r="P52" i="33"/>
  <c r="P53" i="33"/>
  <c r="P54" i="33"/>
  <c r="P55" i="33"/>
  <c r="P56" i="33"/>
  <c r="P57" i="33"/>
  <c r="P58" i="33"/>
  <c r="P59" i="33"/>
  <c r="P60" i="33"/>
  <c r="P61" i="33"/>
  <c r="P62" i="33"/>
  <c r="P63" i="33"/>
  <c r="P64" i="33"/>
  <c r="P65" i="33"/>
  <c r="P66" i="33"/>
  <c r="P67" i="33"/>
  <c r="P68" i="33"/>
  <c r="P69" i="33"/>
  <c r="P70" i="33"/>
  <c r="P71" i="33"/>
  <c r="P72" i="33"/>
  <c r="P73" i="33"/>
  <c r="P74" i="33"/>
  <c r="P75" i="33"/>
  <c r="P76" i="33"/>
  <c r="P77" i="33"/>
  <c r="P78" i="33"/>
  <c r="P79" i="33"/>
  <c r="P80" i="33"/>
  <c r="P81" i="33"/>
  <c r="P82" i="33"/>
  <c r="P83" i="33"/>
  <c r="P84" i="33"/>
  <c r="P85" i="33"/>
  <c r="P86" i="33"/>
  <c r="P87" i="33"/>
  <c r="P88" i="33"/>
  <c r="P89" i="33"/>
  <c r="P90" i="33"/>
  <c r="P91" i="33"/>
  <c r="P92" i="33"/>
  <c r="P93" i="33"/>
  <c r="P94" i="33"/>
  <c r="P95" i="33"/>
  <c r="P96" i="33"/>
  <c r="P97" i="33"/>
  <c r="P98" i="33"/>
  <c r="P99" i="33"/>
  <c r="P100" i="33"/>
  <c r="P101" i="33"/>
  <c r="P102" i="33"/>
  <c r="P103" i="33"/>
  <c r="P104" i="33"/>
  <c r="P105" i="33"/>
  <c r="P106" i="33"/>
  <c r="P107" i="33"/>
  <c r="P108" i="33"/>
  <c r="P109" i="33"/>
  <c r="P110" i="33"/>
  <c r="P111" i="33"/>
  <c r="P112" i="33"/>
  <c r="P113" i="33"/>
  <c r="P114" i="33"/>
  <c r="P115" i="33"/>
  <c r="P116" i="33"/>
  <c r="P117" i="33"/>
  <c r="P118" i="33"/>
  <c r="P119" i="33"/>
  <c r="P120" i="33"/>
  <c r="P121" i="33"/>
  <c r="P122" i="33"/>
  <c r="P123" i="33"/>
  <c r="P124" i="33"/>
  <c r="P125" i="33"/>
  <c r="P126" i="33"/>
  <c r="P127" i="33"/>
  <c r="P128" i="33"/>
  <c r="P129" i="33"/>
  <c r="P130" i="33"/>
  <c r="P131" i="33"/>
  <c r="P132" i="33"/>
  <c r="P133" i="33"/>
  <c r="P134" i="33"/>
  <c r="P135" i="33"/>
  <c r="P136" i="33"/>
  <c r="P137" i="33"/>
  <c r="P138" i="33"/>
  <c r="P139" i="33"/>
  <c r="P140" i="33"/>
  <c r="P141" i="33"/>
  <c r="P142" i="33"/>
  <c r="P143" i="33"/>
  <c r="P144" i="33"/>
  <c r="P145" i="33"/>
  <c r="P146" i="33"/>
  <c r="P147" i="33"/>
  <c r="P148" i="33"/>
  <c r="P149" i="33"/>
  <c r="P150" i="33"/>
  <c r="P151" i="33"/>
  <c r="P152" i="33"/>
  <c r="P153" i="33"/>
  <c r="P154" i="33"/>
  <c r="P155" i="33"/>
  <c r="P156" i="33"/>
  <c r="P157" i="33"/>
  <c r="P158" i="33"/>
  <c r="P159" i="33"/>
  <c r="P160" i="33"/>
  <c r="P161" i="33"/>
  <c r="P162" i="33"/>
  <c r="P163" i="33"/>
  <c r="P164" i="33"/>
  <c r="P165" i="33"/>
  <c r="P166" i="33"/>
  <c r="P167" i="33"/>
  <c r="P168" i="33"/>
  <c r="P169" i="33"/>
  <c r="P170" i="33"/>
  <c r="P171" i="33"/>
  <c r="P172" i="33"/>
  <c r="P173" i="33"/>
  <c r="P174" i="33"/>
  <c r="P175" i="33"/>
  <c r="P176" i="33"/>
  <c r="P177" i="33"/>
  <c r="P178" i="33"/>
  <c r="P179" i="33"/>
  <c r="P180" i="33"/>
  <c r="P181" i="33"/>
  <c r="P182" i="33"/>
  <c r="P183" i="33"/>
  <c r="P184" i="33"/>
  <c r="P185" i="33"/>
  <c r="P186" i="33"/>
  <c r="P4" i="33"/>
  <c r="N4" i="33"/>
  <c r="N6" i="33"/>
  <c r="N5" i="33"/>
  <c r="N7" i="33"/>
  <c r="N8" i="33"/>
  <c r="N9" i="33"/>
  <c r="N10" i="33"/>
  <c r="N27" i="33"/>
  <c r="N11" i="33"/>
  <c r="N28" i="33"/>
  <c r="N12" i="33"/>
  <c r="N15" i="33"/>
  <c r="N13" i="33"/>
  <c r="N14" i="33"/>
  <c r="N29" i="33"/>
  <c r="N30" i="33"/>
  <c r="N16" i="33"/>
  <c r="N17" i="33"/>
  <c r="N18" i="33"/>
  <c r="N31" i="33"/>
  <c r="N19" i="33"/>
  <c r="N20" i="33"/>
  <c r="N21" i="33"/>
  <c r="N32" i="33"/>
  <c r="N22" i="33"/>
  <c r="N33" i="33"/>
  <c r="N23" i="33"/>
  <c r="N34" i="33"/>
  <c r="N24" i="33"/>
  <c r="N25" i="33"/>
  <c r="N26" i="33"/>
  <c r="D4" i="33"/>
  <c r="D6" i="33"/>
  <c r="D5" i="33"/>
  <c r="D7" i="33"/>
  <c r="D8" i="33"/>
  <c r="D9" i="33"/>
  <c r="D10" i="33"/>
  <c r="D27" i="33"/>
  <c r="D11" i="33"/>
  <c r="D28" i="33"/>
  <c r="D12" i="33"/>
  <c r="D15" i="33"/>
  <c r="D13" i="33"/>
  <c r="D14" i="33"/>
  <c r="D29" i="33"/>
  <c r="D30" i="33"/>
  <c r="D16" i="33"/>
  <c r="D17" i="33"/>
  <c r="D18" i="33"/>
  <c r="D31" i="33"/>
  <c r="D19" i="33"/>
  <c r="D20" i="33"/>
  <c r="D21" i="33"/>
  <c r="D32" i="33"/>
  <c r="D22" i="33"/>
  <c r="D33" i="33"/>
  <c r="D23" i="33"/>
  <c r="D34" i="33"/>
  <c r="D24" i="33"/>
  <c r="D25" i="33"/>
  <c r="D26" i="33"/>
  <c r="D175" i="33"/>
  <c r="D173" i="33"/>
  <c r="D166" i="33"/>
  <c r="D165" i="33"/>
  <c r="D148" i="33"/>
  <c r="D140" i="33"/>
  <c r="D141" i="33"/>
  <c r="D130" i="33"/>
  <c r="D120" i="33"/>
  <c r="D121" i="33"/>
  <c r="D122" i="33"/>
  <c r="D108" i="33"/>
  <c r="D102" i="33"/>
  <c r="D72" i="33"/>
  <c r="D66" i="33"/>
  <c r="D181" i="33"/>
  <c r="D182" i="33"/>
  <c r="D71" i="33"/>
  <c r="D76" i="33"/>
  <c r="D83" i="33"/>
  <c r="D85" i="33"/>
  <c r="D84" i="33"/>
  <c r="D86" i="33"/>
  <c r="D101" i="33"/>
  <c r="D115" i="33"/>
  <c r="D116" i="33"/>
  <c r="D119" i="33"/>
  <c r="D125" i="33"/>
  <c r="D127" i="33"/>
  <c r="D126" i="33"/>
  <c r="D128" i="33"/>
  <c r="D129" i="33"/>
  <c r="D146" i="33"/>
  <c r="D149" i="33"/>
  <c r="D147" i="33"/>
  <c r="D150" i="33"/>
  <c r="D153" i="33"/>
  <c r="D154" i="33"/>
  <c r="D168" i="33"/>
  <c r="D167" i="33"/>
  <c r="D163" i="33"/>
  <c r="D169" i="33"/>
  <c r="D170" i="33"/>
  <c r="D174" i="33"/>
  <c r="D176" i="33"/>
  <c r="D180" i="33"/>
  <c r="D179" i="33"/>
  <c r="D184" i="33"/>
  <c r="D186" i="33"/>
  <c r="D183" i="33"/>
  <c r="D185" i="33"/>
  <c r="P113" i="32"/>
  <c r="P114" i="32"/>
  <c r="P115" i="32"/>
  <c r="P116" i="32"/>
  <c r="P117" i="32"/>
  <c r="P118" i="32"/>
  <c r="P119" i="32"/>
  <c r="P120" i="32"/>
  <c r="P121" i="32"/>
  <c r="P122" i="32"/>
  <c r="P123" i="32"/>
  <c r="P124" i="32"/>
  <c r="P125" i="32"/>
  <c r="P126" i="32"/>
  <c r="P127" i="32"/>
  <c r="P128" i="32"/>
  <c r="P129" i="32"/>
  <c r="P130" i="32"/>
  <c r="P131" i="32"/>
  <c r="P132" i="32"/>
  <c r="P133" i="32"/>
  <c r="P134" i="32"/>
  <c r="P135" i="32"/>
  <c r="P136" i="32"/>
  <c r="P137" i="32"/>
  <c r="P138" i="32"/>
  <c r="P139" i="32"/>
  <c r="P140" i="32"/>
  <c r="P141" i="32"/>
  <c r="P142" i="32"/>
  <c r="P143" i="32"/>
  <c r="P144" i="32"/>
  <c r="P145" i="32"/>
  <c r="P146" i="32"/>
  <c r="P147" i="32"/>
  <c r="P148" i="32"/>
  <c r="P149" i="32"/>
  <c r="N113" i="32"/>
  <c r="N114" i="32"/>
  <c r="N115" i="32"/>
  <c r="N116" i="32"/>
  <c r="N117" i="32"/>
  <c r="N118" i="32"/>
  <c r="N119" i="32"/>
  <c r="N120" i="32"/>
  <c r="N121" i="32"/>
  <c r="N122" i="32"/>
  <c r="N123" i="32"/>
  <c r="N124" i="32"/>
  <c r="N125" i="32"/>
  <c r="N126" i="32"/>
  <c r="N127" i="32"/>
  <c r="N128" i="32"/>
  <c r="N129" i="32"/>
  <c r="N130" i="32"/>
  <c r="N131" i="32"/>
  <c r="N132" i="32"/>
  <c r="N133" i="32"/>
  <c r="N134" i="32"/>
  <c r="N135" i="32"/>
  <c r="N136" i="32"/>
  <c r="N137" i="32"/>
  <c r="N138" i="32"/>
  <c r="N139" i="32"/>
  <c r="N140" i="32"/>
  <c r="N141" i="32"/>
  <c r="N142" i="32"/>
  <c r="N143" i="32"/>
  <c r="N144" i="32"/>
  <c r="N145" i="32"/>
  <c r="N146" i="32"/>
  <c r="N147" i="32"/>
  <c r="N148" i="32"/>
  <c r="N149" i="32"/>
  <c r="D113" i="32"/>
  <c r="D114" i="32"/>
  <c r="D115" i="32"/>
  <c r="D116" i="32"/>
  <c r="D117" i="32"/>
  <c r="D118" i="32"/>
  <c r="D119" i="32"/>
  <c r="D120" i="32"/>
  <c r="D121" i="32"/>
  <c r="D122" i="32"/>
  <c r="D123" i="32"/>
  <c r="D124" i="32"/>
  <c r="D125" i="32"/>
  <c r="D126" i="32"/>
  <c r="D127" i="32"/>
  <c r="D128" i="32"/>
  <c r="D129" i="32"/>
  <c r="D130" i="32"/>
  <c r="D131" i="32"/>
  <c r="D132" i="32"/>
  <c r="D133" i="32"/>
  <c r="D134" i="32"/>
  <c r="D135" i="32"/>
  <c r="D136" i="32"/>
  <c r="D137" i="32"/>
  <c r="D138" i="32"/>
  <c r="D139" i="32"/>
  <c r="D140" i="32"/>
  <c r="D141" i="32"/>
  <c r="D142" i="32"/>
  <c r="D143" i="32"/>
  <c r="D144" i="32"/>
  <c r="D145" i="32"/>
  <c r="D146" i="32"/>
  <c r="D147" i="32"/>
  <c r="D148" i="32"/>
  <c r="D149" i="32"/>
  <c r="P5" i="32"/>
  <c r="P6" i="32"/>
  <c r="P7" i="32"/>
  <c r="P8" i="32"/>
  <c r="P9" i="32"/>
  <c r="P10" i="32"/>
  <c r="P11" i="32"/>
  <c r="P12" i="32"/>
  <c r="P13" i="32"/>
  <c r="P14" i="32"/>
  <c r="P15" i="32"/>
  <c r="P16" i="32"/>
  <c r="P17" i="32"/>
  <c r="P18" i="32"/>
  <c r="P19" i="32"/>
  <c r="P20" i="32"/>
  <c r="P21" i="32"/>
  <c r="P22" i="32"/>
  <c r="P23" i="32"/>
  <c r="P24" i="32"/>
  <c r="P25" i="32"/>
  <c r="P26" i="32"/>
  <c r="P27" i="32"/>
  <c r="P28" i="32"/>
  <c r="P29" i="32"/>
  <c r="P30" i="32"/>
  <c r="P31" i="32"/>
  <c r="P32" i="32"/>
  <c r="P33" i="32"/>
  <c r="P34" i="32"/>
  <c r="P35" i="32"/>
  <c r="P36" i="32"/>
  <c r="P37" i="32"/>
  <c r="P38" i="32"/>
  <c r="P39" i="32"/>
  <c r="P40" i="32"/>
  <c r="P41" i="32"/>
  <c r="P42" i="32"/>
  <c r="P43" i="32"/>
  <c r="P44" i="32"/>
  <c r="P45" i="32"/>
  <c r="P46" i="32"/>
  <c r="P47" i="32"/>
  <c r="P48" i="32"/>
  <c r="P49" i="32"/>
  <c r="P50" i="32"/>
  <c r="P51" i="32"/>
  <c r="P52" i="32"/>
  <c r="P53" i="32"/>
  <c r="P54" i="32"/>
  <c r="P55" i="32"/>
  <c r="P56" i="32"/>
  <c r="P57" i="32"/>
  <c r="P58" i="32"/>
  <c r="P59" i="32"/>
  <c r="P60" i="32"/>
  <c r="P61" i="32"/>
  <c r="P62" i="32"/>
  <c r="P63" i="32"/>
  <c r="P64" i="32"/>
  <c r="P65" i="32"/>
  <c r="P66" i="32"/>
  <c r="P67" i="32"/>
  <c r="P68" i="32"/>
  <c r="P69" i="32"/>
  <c r="P70" i="32"/>
  <c r="P71" i="32"/>
  <c r="P72" i="32"/>
  <c r="P73" i="32"/>
  <c r="P74" i="32"/>
  <c r="P75" i="32"/>
  <c r="P76" i="32"/>
  <c r="P77" i="32"/>
  <c r="P78" i="32"/>
  <c r="P79" i="32"/>
  <c r="P80" i="32"/>
  <c r="P81" i="32"/>
  <c r="P82" i="32"/>
  <c r="P83" i="32"/>
  <c r="P84" i="32"/>
  <c r="P85" i="32"/>
  <c r="P86" i="32"/>
  <c r="P87" i="32"/>
  <c r="P88" i="32"/>
  <c r="P89" i="32"/>
  <c r="P90" i="32"/>
  <c r="P91" i="32"/>
  <c r="P92" i="32"/>
  <c r="P93" i="32"/>
  <c r="P94" i="32"/>
  <c r="P95" i="32"/>
  <c r="P96" i="32"/>
  <c r="P97" i="32"/>
  <c r="P98" i="32"/>
  <c r="P99" i="32"/>
  <c r="P100" i="32"/>
  <c r="P101" i="32"/>
  <c r="P102" i="32"/>
  <c r="P103" i="32"/>
  <c r="P104" i="32"/>
  <c r="P105" i="32"/>
  <c r="P106" i="32"/>
  <c r="P107" i="32"/>
  <c r="P108" i="32"/>
  <c r="P109" i="32"/>
  <c r="P110" i="32"/>
  <c r="P111" i="32"/>
  <c r="P112" i="32"/>
  <c r="P4" i="32"/>
  <c r="N181" i="33"/>
  <c r="N182" i="33"/>
  <c r="N66" i="33"/>
  <c r="N71" i="33"/>
  <c r="N72" i="33"/>
  <c r="N75" i="33"/>
  <c r="N76" i="33"/>
  <c r="N83" i="33"/>
  <c r="N85" i="33"/>
  <c r="N84" i="33"/>
  <c r="N86" i="33"/>
  <c r="N101" i="33"/>
  <c r="N102" i="33"/>
  <c r="N107" i="33"/>
  <c r="N108" i="33"/>
  <c r="N115" i="33"/>
  <c r="N116" i="33"/>
  <c r="N122" i="33"/>
  <c r="N121" i="33"/>
  <c r="N118" i="33"/>
  <c r="N120" i="33"/>
  <c r="N117" i="33"/>
  <c r="N119" i="33"/>
  <c r="N125" i="33"/>
  <c r="N127" i="33"/>
  <c r="N126" i="33"/>
  <c r="N128" i="33"/>
  <c r="N129" i="33"/>
  <c r="N130" i="33"/>
  <c r="N144" i="33"/>
  <c r="N141" i="33"/>
  <c r="N139" i="33"/>
  <c r="N140" i="33"/>
  <c r="N145" i="33"/>
  <c r="N148" i="33"/>
  <c r="N146" i="33"/>
  <c r="N149" i="33"/>
  <c r="N147" i="33"/>
  <c r="N150" i="33"/>
  <c r="N153" i="33"/>
  <c r="N154" i="33"/>
  <c r="N168" i="33"/>
  <c r="N167" i="33"/>
  <c r="N163" i="33"/>
  <c r="N165" i="33"/>
  <c r="N164" i="33"/>
  <c r="N166" i="33"/>
  <c r="N169" i="33"/>
  <c r="N170" i="33"/>
  <c r="N173" i="33"/>
  <c r="N175" i="33"/>
  <c r="N174" i="33"/>
  <c r="N176" i="33"/>
  <c r="N180" i="33"/>
  <c r="N179" i="33"/>
  <c r="N184" i="33"/>
  <c r="N186" i="33"/>
  <c r="N183" i="33"/>
  <c r="N185" i="33"/>
  <c r="P34" i="30"/>
  <c r="P35" i="30"/>
  <c r="P36" i="30"/>
  <c r="P37" i="30"/>
  <c r="P38" i="30"/>
  <c r="P39" i="30"/>
  <c r="P40" i="30"/>
  <c r="P41" i="30"/>
  <c r="P42" i="30"/>
  <c r="P43" i="30"/>
  <c r="P44" i="30"/>
  <c r="P45" i="30"/>
  <c r="P46" i="30"/>
  <c r="P47" i="30"/>
  <c r="P48" i="30"/>
  <c r="P49" i="30"/>
  <c r="P50" i="30"/>
  <c r="P51" i="30"/>
  <c r="P52" i="30"/>
  <c r="P53" i="30"/>
  <c r="P54" i="30"/>
  <c r="P55" i="30"/>
  <c r="P56" i="30"/>
  <c r="P57" i="30"/>
  <c r="P58" i="30"/>
  <c r="P59" i="30"/>
  <c r="P60" i="30"/>
  <c r="P61" i="30"/>
  <c r="P62" i="30"/>
  <c r="P63" i="30"/>
  <c r="P64" i="30"/>
  <c r="P65" i="30"/>
  <c r="P66" i="30"/>
  <c r="P17" i="30"/>
  <c r="P18" i="30"/>
  <c r="P19" i="30"/>
  <c r="P20" i="30"/>
  <c r="P4" i="30"/>
  <c r="P21" i="30"/>
  <c r="P22" i="30"/>
  <c r="P5" i="30"/>
  <c r="P6" i="30"/>
  <c r="P23" i="30"/>
  <c r="P24" i="30"/>
  <c r="P25" i="30"/>
  <c r="N25" i="30"/>
  <c r="P33" i="30"/>
  <c r="D25" i="30"/>
  <c r="P5" i="26"/>
  <c r="P6" i="26"/>
  <c r="P7" i="26"/>
  <c r="P8" i="26"/>
  <c r="P9" i="26"/>
  <c r="P10" i="26"/>
  <c r="P11" i="26"/>
  <c r="P12" i="26"/>
  <c r="P13" i="26"/>
  <c r="P14" i="26"/>
  <c r="P15" i="26"/>
  <c r="P16" i="26"/>
  <c r="P17" i="26"/>
  <c r="P18" i="26"/>
  <c r="P19" i="26"/>
  <c r="P20" i="26"/>
  <c r="P21" i="26"/>
  <c r="P22" i="26"/>
  <c r="P23" i="26"/>
  <c r="P24" i="26"/>
  <c r="P25" i="26"/>
  <c r="P26" i="26"/>
  <c r="P27" i="26"/>
  <c r="P28" i="26"/>
  <c r="P29" i="26"/>
  <c r="P30" i="26"/>
  <c r="P31" i="26"/>
  <c r="P32" i="26"/>
  <c r="P33" i="26"/>
  <c r="P34" i="26"/>
  <c r="P35" i="26"/>
  <c r="P36" i="26"/>
  <c r="P37" i="26"/>
  <c r="P38" i="26"/>
  <c r="P39" i="26"/>
  <c r="P40" i="26"/>
  <c r="P41" i="26"/>
  <c r="P42" i="26"/>
  <c r="P43" i="26"/>
  <c r="P44" i="26"/>
  <c r="P45" i="26"/>
  <c r="P46" i="26"/>
  <c r="P47" i="26"/>
  <c r="P48" i="26"/>
  <c r="P49" i="26"/>
  <c r="P50" i="26"/>
  <c r="P51" i="26"/>
  <c r="P52" i="26"/>
  <c r="P53" i="26"/>
  <c r="P54" i="26"/>
  <c r="P55" i="26"/>
  <c r="P56" i="26"/>
  <c r="P57" i="26"/>
  <c r="P58" i="26"/>
  <c r="P59" i="26"/>
  <c r="P60" i="26"/>
  <c r="P61" i="26"/>
  <c r="P62" i="26"/>
  <c r="P63" i="26"/>
  <c r="P64" i="26"/>
  <c r="P65" i="26"/>
  <c r="P66" i="26"/>
  <c r="P67" i="26"/>
  <c r="P68" i="26"/>
  <c r="P69" i="26"/>
  <c r="P70" i="26"/>
  <c r="P71" i="26"/>
  <c r="P72" i="26"/>
  <c r="P73" i="26"/>
  <c r="P74" i="26"/>
  <c r="P75" i="26"/>
  <c r="P76" i="26"/>
  <c r="P77" i="26"/>
  <c r="P78" i="26"/>
  <c r="P79" i="26"/>
  <c r="P80" i="26"/>
  <c r="P81" i="26"/>
  <c r="P82" i="26"/>
  <c r="P83" i="26"/>
  <c r="P4" i="26"/>
  <c r="P5" i="25"/>
  <c r="P6" i="25"/>
  <c r="P7" i="25"/>
  <c r="P8" i="25"/>
  <c r="P9" i="25"/>
  <c r="P10" i="25"/>
  <c r="P11" i="25"/>
  <c r="P12" i="25"/>
  <c r="P13" i="25"/>
  <c r="P14" i="25"/>
  <c r="P15" i="25"/>
  <c r="P16" i="25"/>
  <c r="P17" i="25"/>
  <c r="P18" i="25"/>
  <c r="P19" i="25"/>
  <c r="P20" i="25"/>
  <c r="P21" i="25"/>
  <c r="P22" i="25"/>
  <c r="P23" i="25"/>
  <c r="P24" i="25"/>
  <c r="P25" i="25"/>
  <c r="P26" i="25"/>
  <c r="P27" i="25"/>
  <c r="P28" i="25"/>
  <c r="P29" i="25"/>
  <c r="P30" i="25"/>
  <c r="P31" i="25"/>
  <c r="P32" i="25"/>
  <c r="P33" i="25"/>
  <c r="P34" i="25"/>
  <c r="P35" i="25"/>
  <c r="P36" i="25"/>
  <c r="P37" i="25"/>
  <c r="P38" i="25"/>
  <c r="P39" i="25"/>
  <c r="P40" i="25"/>
  <c r="P41" i="25"/>
  <c r="P42" i="25"/>
  <c r="P43" i="25"/>
  <c r="P44" i="25"/>
  <c r="P45" i="25"/>
  <c r="P46" i="25"/>
  <c r="P47" i="25"/>
  <c r="P48" i="25"/>
  <c r="P49" i="25"/>
  <c r="P50" i="25"/>
  <c r="P51" i="25"/>
  <c r="P52" i="25"/>
  <c r="P53" i="25"/>
  <c r="P54" i="25"/>
  <c r="P55" i="25"/>
  <c r="P56" i="25"/>
  <c r="P57" i="25"/>
  <c r="P58" i="25"/>
  <c r="P59" i="25"/>
  <c r="P60" i="25"/>
  <c r="P61" i="25"/>
  <c r="P62" i="25"/>
  <c r="P63" i="25"/>
  <c r="P64" i="25"/>
  <c r="P65" i="25"/>
  <c r="P66" i="25"/>
  <c r="P67" i="25"/>
  <c r="P68" i="25"/>
  <c r="P69" i="25"/>
  <c r="P70" i="25"/>
  <c r="P71" i="25"/>
  <c r="P72" i="25"/>
  <c r="P73" i="25"/>
  <c r="P74" i="25"/>
  <c r="P75" i="25"/>
  <c r="P76" i="25"/>
  <c r="P77" i="25"/>
  <c r="P78" i="25"/>
  <c r="P79" i="25"/>
  <c r="P80" i="25"/>
  <c r="P81" i="25"/>
  <c r="P82" i="25"/>
  <c r="P83" i="25"/>
  <c r="P84" i="25"/>
  <c r="P85" i="25"/>
  <c r="P86" i="25"/>
  <c r="P87" i="25"/>
  <c r="P88" i="25"/>
  <c r="P89" i="25"/>
  <c r="P90" i="25"/>
  <c r="P91" i="25"/>
  <c r="P92" i="25"/>
  <c r="P93" i="25"/>
  <c r="P94" i="25"/>
  <c r="P95" i="25"/>
  <c r="P96" i="25"/>
  <c r="P97" i="25"/>
  <c r="P98" i="25"/>
  <c r="P99" i="25"/>
  <c r="P100" i="25"/>
  <c r="P101" i="25"/>
  <c r="P102" i="25"/>
  <c r="P103" i="25"/>
  <c r="P104" i="25"/>
  <c r="P105" i="25"/>
  <c r="P106" i="25"/>
  <c r="P107" i="25"/>
  <c r="P108" i="25"/>
  <c r="P109" i="25"/>
  <c r="P110" i="25"/>
  <c r="P4" i="25"/>
  <c r="P5" i="21"/>
  <c r="P6" i="21"/>
  <c r="P7" i="21"/>
  <c r="P8" i="21"/>
  <c r="P9" i="21"/>
  <c r="P10" i="21"/>
  <c r="P11" i="21"/>
  <c r="P12" i="21"/>
  <c r="P13" i="21"/>
  <c r="P14" i="21"/>
  <c r="P15" i="21"/>
  <c r="P16" i="21"/>
  <c r="P17" i="21"/>
  <c r="P18" i="21"/>
  <c r="P19" i="21"/>
  <c r="P20" i="21"/>
  <c r="P21" i="21"/>
  <c r="P22" i="21"/>
  <c r="P23" i="21"/>
  <c r="P24" i="21"/>
  <c r="P25" i="21"/>
  <c r="P26" i="21"/>
  <c r="P27" i="21"/>
  <c r="P28" i="21"/>
  <c r="P29" i="21"/>
  <c r="P30" i="21"/>
  <c r="P31" i="21"/>
  <c r="P32" i="21"/>
  <c r="P33" i="21"/>
  <c r="P34" i="21"/>
  <c r="P35" i="21"/>
  <c r="P36" i="21"/>
  <c r="P37" i="21"/>
  <c r="P38" i="21"/>
  <c r="P39" i="21"/>
  <c r="P40" i="21"/>
  <c r="P41" i="21"/>
  <c r="P42" i="21"/>
  <c r="P43" i="21"/>
  <c r="P44" i="21"/>
  <c r="P45" i="21"/>
  <c r="P46" i="21"/>
  <c r="P47" i="21"/>
  <c r="P48" i="21"/>
  <c r="P49" i="21"/>
  <c r="P50" i="21"/>
  <c r="P51" i="21"/>
  <c r="P52" i="21"/>
  <c r="P53" i="21"/>
  <c r="P54" i="21"/>
  <c r="P55" i="21"/>
  <c r="P56" i="21"/>
  <c r="P57" i="21"/>
  <c r="P58" i="21"/>
  <c r="P59" i="21"/>
  <c r="P60" i="21"/>
  <c r="P61" i="21"/>
  <c r="P62" i="21"/>
  <c r="P63" i="21"/>
  <c r="P64" i="21"/>
  <c r="P65" i="21"/>
  <c r="P66" i="21"/>
  <c r="P67" i="21"/>
  <c r="P68" i="21"/>
  <c r="P69" i="21"/>
  <c r="P70" i="21"/>
  <c r="P71" i="21"/>
  <c r="P72" i="21"/>
  <c r="P73" i="21"/>
  <c r="P74" i="21"/>
  <c r="P75" i="21"/>
  <c r="P76" i="21"/>
  <c r="P77" i="21"/>
  <c r="P78" i="21"/>
  <c r="P79" i="21"/>
  <c r="P80" i="21"/>
  <c r="P81" i="21"/>
  <c r="P82" i="21"/>
  <c r="P83" i="21"/>
  <c r="P84" i="21"/>
  <c r="P85" i="21"/>
  <c r="P86" i="21"/>
  <c r="P4" i="21"/>
  <c r="N81" i="21"/>
  <c r="N82" i="21"/>
  <c r="N83" i="21"/>
  <c r="N84" i="21"/>
  <c r="N85" i="21"/>
  <c r="N86" i="21"/>
  <c r="D81" i="21"/>
  <c r="D82" i="21"/>
  <c r="D83" i="21"/>
  <c r="D84" i="21"/>
  <c r="D85" i="21"/>
  <c r="D86" i="21"/>
  <c r="P43" i="20"/>
  <c r="P44" i="20"/>
  <c r="P45" i="20"/>
  <c r="P46" i="20"/>
  <c r="P47" i="20"/>
  <c r="P48" i="20"/>
  <c r="P49" i="20"/>
  <c r="P50" i="20"/>
  <c r="P51" i="20"/>
  <c r="P52" i="20"/>
  <c r="P53" i="20"/>
  <c r="P54" i="20"/>
  <c r="P55" i="20"/>
  <c r="P56" i="20"/>
  <c r="P57" i="20"/>
  <c r="P58" i="20"/>
  <c r="P59" i="20"/>
  <c r="P60" i="20"/>
  <c r="P61" i="20"/>
  <c r="P62" i="20"/>
  <c r="P63" i="20"/>
  <c r="P64" i="20"/>
  <c r="P65" i="20"/>
  <c r="P66" i="20"/>
  <c r="P67" i="20"/>
  <c r="P68" i="20"/>
  <c r="P69" i="20"/>
  <c r="P70" i="20"/>
  <c r="P71" i="20"/>
  <c r="P72" i="20"/>
  <c r="P73" i="20"/>
  <c r="P74" i="20"/>
  <c r="P75" i="20"/>
  <c r="P76" i="20"/>
  <c r="P77" i="20"/>
  <c r="P78" i="20"/>
  <c r="P79" i="20"/>
  <c r="P80" i="20"/>
  <c r="P81" i="20"/>
  <c r="P82" i="20"/>
  <c r="P83" i="20"/>
  <c r="P84" i="20"/>
  <c r="P85" i="20"/>
  <c r="P86" i="20"/>
  <c r="P87" i="20"/>
  <c r="P88" i="20"/>
  <c r="P89" i="20"/>
  <c r="P90" i="20"/>
  <c r="P91" i="20"/>
  <c r="P92" i="20"/>
  <c r="P93" i="20"/>
  <c r="P94" i="20"/>
  <c r="P95" i="20"/>
  <c r="P96" i="20"/>
  <c r="P97" i="20"/>
  <c r="P98" i="20"/>
  <c r="P99" i="20"/>
  <c r="P100" i="20"/>
  <c r="P101" i="20"/>
  <c r="P102" i="20"/>
  <c r="P103" i="20"/>
  <c r="P104" i="20"/>
  <c r="P105" i="20"/>
  <c r="P106" i="20"/>
  <c r="P107" i="20"/>
  <c r="P108" i="20"/>
  <c r="P109" i="20"/>
  <c r="P110" i="20"/>
  <c r="P111" i="20"/>
  <c r="P112" i="20"/>
  <c r="P113" i="20"/>
  <c r="P114" i="20"/>
  <c r="P115" i="20"/>
  <c r="P116" i="20"/>
  <c r="P117" i="20"/>
  <c r="P118" i="20"/>
  <c r="P119" i="20"/>
  <c r="P120" i="20"/>
  <c r="P121" i="20"/>
  <c r="P122" i="20"/>
  <c r="P123" i="20"/>
  <c r="P124" i="20"/>
  <c r="P125" i="20"/>
  <c r="P126" i="20"/>
  <c r="P127" i="20"/>
  <c r="P128" i="20"/>
  <c r="P129" i="20"/>
  <c r="P4" i="20"/>
  <c r="P24" i="20"/>
  <c r="P25" i="20"/>
  <c r="P5" i="20"/>
  <c r="P6" i="20"/>
  <c r="P26" i="20"/>
  <c r="P8" i="20"/>
  <c r="P7" i="20"/>
  <c r="P27" i="20"/>
  <c r="P28" i="20"/>
  <c r="P9" i="20"/>
  <c r="P29" i="20"/>
  <c r="P30" i="20"/>
  <c r="P31" i="20"/>
  <c r="P10" i="20"/>
  <c r="P11" i="20"/>
  <c r="P32" i="20"/>
  <c r="P33" i="20"/>
  <c r="P12" i="20"/>
  <c r="P13" i="20"/>
  <c r="P34" i="20"/>
  <c r="P14" i="20"/>
  <c r="P35" i="20"/>
  <c r="P36" i="20"/>
  <c r="P37" i="20"/>
  <c r="P15" i="20"/>
  <c r="P16" i="20"/>
  <c r="P17" i="20"/>
  <c r="P18" i="20"/>
  <c r="P38" i="20"/>
  <c r="P19" i="20"/>
  <c r="P39" i="20"/>
  <c r="P20" i="20"/>
  <c r="P21" i="20"/>
  <c r="P22" i="20"/>
  <c r="P40" i="20"/>
  <c r="P23" i="20"/>
  <c r="P41" i="20"/>
  <c r="P42" i="20"/>
  <c r="N17" i="20"/>
  <c r="N18" i="20"/>
  <c r="N38" i="20"/>
  <c r="N19" i="20"/>
  <c r="N39" i="20"/>
  <c r="N20" i="20"/>
  <c r="N21" i="20"/>
  <c r="N22" i="20"/>
  <c r="N40" i="20"/>
  <c r="N23" i="20"/>
  <c r="N41" i="20"/>
  <c r="D17" i="20"/>
  <c r="D18" i="20"/>
  <c r="D38" i="20"/>
  <c r="D19" i="20"/>
  <c r="D39" i="20"/>
  <c r="D20" i="20"/>
  <c r="D21" i="20"/>
  <c r="D22" i="20"/>
  <c r="D40" i="20"/>
  <c r="D23" i="20"/>
  <c r="D41" i="20"/>
  <c r="D10" i="20"/>
  <c r="P264" i="34"/>
  <c r="N264" i="34"/>
  <c r="P257" i="34"/>
  <c r="P258" i="34"/>
  <c r="P259" i="34"/>
  <c r="P260" i="34"/>
  <c r="P261" i="34"/>
  <c r="P262" i="34"/>
  <c r="P263" i="34"/>
  <c r="N258" i="34"/>
  <c r="N259" i="34"/>
  <c r="N260" i="34"/>
  <c r="N261" i="34"/>
  <c r="N262" i="34"/>
  <c r="N263" i="34"/>
  <c r="N257" i="34"/>
  <c r="P255" i="34"/>
  <c r="P256" i="34"/>
  <c r="N255" i="34"/>
  <c r="N256" i="34"/>
  <c r="P253" i="34"/>
  <c r="P254" i="34"/>
  <c r="N253" i="34"/>
  <c r="N254" i="34"/>
  <c r="P231" i="34"/>
  <c r="P232" i="34"/>
  <c r="P233" i="34"/>
  <c r="P234" i="34"/>
  <c r="P235" i="34"/>
  <c r="P236" i="34"/>
  <c r="P237" i="34"/>
  <c r="P238" i="34"/>
  <c r="P239" i="34"/>
  <c r="P240" i="34"/>
  <c r="P241" i="34"/>
  <c r="P242" i="34"/>
  <c r="P243" i="34"/>
  <c r="P244" i="34"/>
  <c r="P245" i="34"/>
  <c r="P246" i="34"/>
  <c r="P247" i="34"/>
  <c r="P248" i="34"/>
  <c r="P249" i="34"/>
  <c r="P250" i="34"/>
  <c r="P251" i="34"/>
  <c r="P252" i="34"/>
  <c r="N252" i="34"/>
  <c r="N251" i="34"/>
  <c r="N250" i="34"/>
  <c r="N249" i="34"/>
  <c r="N248" i="34"/>
  <c r="N247" i="34"/>
  <c r="N246" i="34"/>
  <c r="N245" i="34"/>
  <c r="N244" i="34"/>
  <c r="N243" i="34"/>
  <c r="N242" i="34"/>
  <c r="N241" i="34"/>
  <c r="N240" i="34"/>
  <c r="N239" i="34"/>
  <c r="N238" i="34"/>
  <c r="N237" i="34"/>
  <c r="N236" i="34"/>
  <c r="N235" i="34"/>
  <c r="N234" i="34"/>
  <c r="N233" i="34"/>
  <c r="N232" i="34"/>
  <c r="N231" i="34"/>
  <c r="N230" i="34"/>
  <c r="P230" i="34"/>
  <c r="D128" i="34"/>
  <c r="D129" i="34"/>
  <c r="D131" i="34"/>
  <c r="D132" i="34"/>
  <c r="D134" i="34"/>
  <c r="D135" i="34"/>
  <c r="D136" i="34"/>
  <c r="D137" i="34"/>
  <c r="D141" i="34"/>
  <c r="D142" i="34"/>
  <c r="D139" i="34"/>
  <c r="D140" i="34"/>
  <c r="D146" i="34"/>
  <c r="D147" i="34"/>
  <c r="D150" i="34"/>
  <c r="D151" i="34"/>
  <c r="D154" i="34"/>
  <c r="D155" i="34"/>
  <c r="D158" i="34"/>
  <c r="D159" i="34"/>
  <c r="D160" i="34"/>
  <c r="D161" i="34"/>
  <c r="D164" i="34"/>
  <c r="D165" i="34"/>
  <c r="D167" i="34"/>
  <c r="D168" i="34"/>
  <c r="D169" i="34"/>
  <c r="D170" i="34"/>
  <c r="D172" i="34"/>
  <c r="D173" i="34"/>
  <c r="D174" i="34"/>
  <c r="D175" i="34"/>
  <c r="D186" i="34"/>
  <c r="D187" i="34"/>
  <c r="D190" i="34"/>
  <c r="D191" i="34"/>
  <c r="D194" i="34"/>
  <c r="D195" i="34"/>
  <c r="D196" i="34"/>
  <c r="D197" i="34"/>
  <c r="D198" i="34"/>
  <c r="D199" i="34"/>
  <c r="D200" i="34"/>
  <c r="D201" i="34"/>
  <c r="D202" i="34"/>
  <c r="D203" i="34"/>
  <c r="D204" i="34"/>
  <c r="D205" i="34"/>
  <c r="D207" i="34"/>
  <c r="D208" i="34"/>
  <c r="D210" i="34"/>
  <c r="D211" i="34"/>
  <c r="D212" i="34"/>
  <c r="D213" i="34"/>
  <c r="D222" i="34"/>
  <c r="D223" i="34"/>
  <c r="D216" i="34"/>
  <c r="D217" i="34"/>
  <c r="D224" i="34"/>
  <c r="D225" i="34"/>
  <c r="D228" i="34"/>
  <c r="D229" i="34"/>
  <c r="D156" i="34"/>
  <c r="D157" i="34"/>
  <c r="D166" i="34"/>
  <c r="D162" i="34"/>
  <c r="D177" i="34"/>
  <c r="D178" i="34"/>
  <c r="D180" i="34"/>
  <c r="D181" i="34"/>
  <c r="D184" i="34"/>
  <c r="D182" i="34"/>
  <c r="D192" i="34"/>
  <c r="D193" i="34"/>
  <c r="D218" i="34"/>
  <c r="D219" i="34"/>
  <c r="D226" i="34"/>
  <c r="D227" i="34"/>
  <c r="D4" i="34"/>
  <c r="D5" i="34"/>
  <c r="D123" i="34"/>
  <c r="D130" i="34"/>
  <c r="D133" i="34"/>
  <c r="D138" i="34"/>
  <c r="D143" i="34"/>
  <c r="D148" i="34"/>
  <c r="D152" i="34"/>
  <c r="D163" i="34"/>
  <c r="D171" i="34"/>
  <c r="D176" i="34"/>
  <c r="D179" i="34"/>
  <c r="D183" i="34"/>
  <c r="D185" i="34"/>
  <c r="D188" i="34"/>
  <c r="D206" i="34"/>
  <c r="D209" i="34"/>
  <c r="D214" i="34"/>
  <c r="D220" i="34"/>
  <c r="P124" i="34"/>
  <c r="P125" i="34"/>
  <c r="P126" i="34"/>
  <c r="P127" i="34"/>
  <c r="P130" i="34"/>
  <c r="P133" i="34"/>
  <c r="P138" i="34"/>
  <c r="P143" i="34"/>
  <c r="P144" i="34"/>
  <c r="P145" i="34"/>
  <c r="P148" i="34"/>
  <c r="P149" i="34"/>
  <c r="P152" i="34"/>
  <c r="P153" i="34"/>
  <c r="P163" i="34"/>
  <c r="P171" i="34"/>
  <c r="P176" i="34"/>
  <c r="P179" i="34"/>
  <c r="P183" i="34"/>
  <c r="P185" i="34"/>
  <c r="P188" i="34"/>
  <c r="P189" i="34"/>
  <c r="P206" i="34"/>
  <c r="P209" i="34"/>
  <c r="P214" i="34"/>
  <c r="P215" i="34"/>
  <c r="P220" i="34"/>
  <c r="P221" i="34"/>
  <c r="N221" i="34"/>
  <c r="N220" i="34"/>
  <c r="N215" i="34"/>
  <c r="N214" i="34"/>
  <c r="N209" i="34"/>
  <c r="N206" i="34"/>
  <c r="N189" i="34"/>
  <c r="N188" i="34"/>
  <c r="N185" i="34"/>
  <c r="N183" i="34"/>
  <c r="N179" i="34"/>
  <c r="N176" i="34"/>
  <c r="N171" i="34"/>
  <c r="N163" i="34"/>
  <c r="N153" i="34"/>
  <c r="N152" i="34"/>
  <c r="N149" i="34"/>
  <c r="N148" i="34"/>
  <c r="N145" i="34"/>
  <c r="N144" i="34"/>
  <c r="N143" i="34"/>
  <c r="N138" i="34"/>
  <c r="N133" i="34"/>
  <c r="N130" i="34"/>
  <c r="N127" i="34"/>
  <c r="N126" i="34"/>
  <c r="N125" i="34"/>
  <c r="N124" i="34"/>
  <c r="N123" i="34"/>
  <c r="P123" i="34"/>
  <c r="P4" i="34"/>
  <c r="P48" i="34"/>
  <c r="P5" i="34"/>
  <c r="P49" i="34"/>
  <c r="P6" i="34"/>
  <c r="P7" i="34"/>
  <c r="P8" i="34"/>
  <c r="P9" i="34"/>
  <c r="P50" i="34"/>
  <c r="P51" i="34"/>
  <c r="P52" i="34"/>
  <c r="P10" i="34"/>
  <c r="P53" i="34"/>
  <c r="P11" i="34"/>
  <c r="P54" i="34"/>
  <c r="P12" i="34"/>
  <c r="P56" i="34"/>
  <c r="P57" i="34"/>
  <c r="P55" i="34"/>
  <c r="P59" i="34"/>
  <c r="P13" i="34"/>
  <c r="P58" i="34"/>
  <c r="P63" i="34"/>
  <c r="P64" i="34"/>
  <c r="P65" i="34"/>
  <c r="P14" i="34"/>
  <c r="P66" i="34"/>
  <c r="P60" i="34"/>
  <c r="P61" i="34"/>
  <c r="P62" i="34"/>
  <c r="P67" i="34"/>
  <c r="P15" i="34"/>
  <c r="P68" i="34"/>
  <c r="P69" i="34"/>
  <c r="P16" i="34"/>
  <c r="P70" i="34"/>
  <c r="P17" i="34"/>
  <c r="P71" i="34"/>
  <c r="P72" i="34"/>
  <c r="P73" i="34"/>
  <c r="P18" i="34"/>
  <c r="P74" i="34"/>
  <c r="P75" i="34"/>
  <c r="P19" i="34"/>
  <c r="P76" i="34"/>
  <c r="P77" i="34"/>
  <c r="P78" i="34"/>
  <c r="P80" i="34"/>
  <c r="P79" i="34"/>
  <c r="P81" i="34"/>
  <c r="P20" i="34"/>
  <c r="P21" i="34"/>
  <c r="P82" i="34"/>
  <c r="P83" i="34"/>
  <c r="P84" i="34"/>
  <c r="P24" i="34"/>
  <c r="P22" i="34"/>
  <c r="P23" i="34"/>
  <c r="P86" i="34"/>
  <c r="P85" i="34"/>
  <c r="P25" i="34"/>
  <c r="P87" i="34"/>
  <c r="P88" i="34"/>
  <c r="P89" i="34"/>
  <c r="P90" i="34"/>
  <c r="P26" i="34"/>
  <c r="P28" i="34"/>
  <c r="P27" i="34"/>
  <c r="P29" i="34"/>
  <c r="P30" i="34"/>
  <c r="P92" i="34"/>
  <c r="P91" i="34"/>
  <c r="P93" i="34"/>
  <c r="P31" i="34"/>
  <c r="P94" i="34"/>
  <c r="P96" i="34"/>
  <c r="P95" i="34"/>
  <c r="P32" i="34"/>
  <c r="P97" i="34"/>
  <c r="P33" i="34"/>
  <c r="P98" i="34"/>
  <c r="P34" i="34"/>
  <c r="P99" i="34"/>
  <c r="P100" i="34"/>
  <c r="P101" i="34"/>
  <c r="P35" i="34"/>
  <c r="P102" i="34"/>
  <c r="P103" i="34"/>
  <c r="P104" i="34"/>
  <c r="P36" i="34"/>
  <c r="P105" i="34"/>
  <c r="P37" i="34"/>
  <c r="P106" i="34"/>
  <c r="P107" i="34"/>
  <c r="P108" i="34"/>
  <c r="P38" i="34"/>
  <c r="P111" i="34"/>
  <c r="P109" i="34"/>
  <c r="P110" i="34"/>
  <c r="P112" i="34"/>
  <c r="P39" i="34"/>
  <c r="P40" i="34"/>
  <c r="P41" i="34"/>
  <c r="P42" i="34"/>
  <c r="P113" i="34"/>
  <c r="P114" i="34"/>
  <c r="P115" i="34"/>
  <c r="P116" i="34"/>
  <c r="P117" i="34"/>
  <c r="P118" i="34"/>
  <c r="P43" i="34"/>
  <c r="P44" i="34"/>
  <c r="P45" i="34"/>
  <c r="P119" i="34"/>
  <c r="P46" i="34"/>
  <c r="P120" i="34"/>
  <c r="P47" i="34"/>
  <c r="N4" i="34"/>
  <c r="N48" i="34"/>
  <c r="N5" i="34"/>
  <c r="N49" i="34"/>
  <c r="N6" i="34"/>
  <c r="N7" i="34"/>
  <c r="N8" i="34"/>
  <c r="N9" i="34"/>
  <c r="N50" i="34"/>
  <c r="N51" i="34"/>
  <c r="N52" i="34"/>
  <c r="N10" i="34"/>
  <c r="N53" i="34"/>
  <c r="N11" i="34"/>
  <c r="N54" i="34"/>
  <c r="N12" i="34"/>
  <c r="N56" i="34"/>
  <c r="N57" i="34"/>
  <c r="N55" i="34"/>
  <c r="N59" i="34"/>
  <c r="N13" i="34"/>
  <c r="N58" i="34"/>
  <c r="N63" i="34"/>
  <c r="N64" i="34"/>
  <c r="N65" i="34"/>
  <c r="N14" i="34"/>
  <c r="N66" i="34"/>
  <c r="N60" i="34"/>
  <c r="N61" i="34"/>
  <c r="N62" i="34"/>
  <c r="N67" i="34"/>
  <c r="N15" i="34"/>
  <c r="N68" i="34"/>
  <c r="N69" i="34"/>
  <c r="N16" i="34"/>
  <c r="N70" i="34"/>
  <c r="N17" i="34"/>
  <c r="N71" i="34"/>
  <c r="N72" i="34"/>
  <c r="N73" i="34"/>
  <c r="N18" i="34"/>
  <c r="N74" i="34"/>
  <c r="N75" i="34"/>
  <c r="N19" i="34"/>
  <c r="N76" i="34"/>
  <c r="N77" i="34"/>
  <c r="N78" i="34"/>
  <c r="N80" i="34"/>
  <c r="N79" i="34"/>
  <c r="N81" i="34"/>
  <c r="N20" i="34"/>
  <c r="N21" i="34"/>
  <c r="N82" i="34"/>
  <c r="N83" i="34"/>
  <c r="N84" i="34"/>
  <c r="N24" i="34"/>
  <c r="N22" i="34"/>
  <c r="N23" i="34"/>
  <c r="N86" i="34"/>
  <c r="N85" i="34"/>
  <c r="N25" i="34"/>
  <c r="N87" i="34"/>
  <c r="N88" i="34"/>
  <c r="N89" i="34"/>
  <c r="N90" i="34"/>
  <c r="N26" i="34"/>
  <c r="N28" i="34"/>
  <c r="N27" i="34"/>
  <c r="N29" i="34"/>
  <c r="N30" i="34"/>
  <c r="N92" i="34"/>
  <c r="N91" i="34"/>
  <c r="N93" i="34"/>
  <c r="N31" i="34"/>
  <c r="N94" i="34"/>
  <c r="N96" i="34"/>
  <c r="N95" i="34"/>
  <c r="N32" i="34"/>
  <c r="N97" i="34"/>
  <c r="N33" i="34"/>
  <c r="N98" i="34"/>
  <c r="N34" i="34"/>
  <c r="N99" i="34"/>
  <c r="N100" i="34"/>
  <c r="N101" i="34"/>
  <c r="N35" i="34"/>
  <c r="N102" i="34"/>
  <c r="N103" i="34"/>
  <c r="N104" i="34"/>
  <c r="N36" i="34"/>
  <c r="N105" i="34"/>
  <c r="N37" i="34"/>
  <c r="N106" i="34"/>
  <c r="N107" i="34"/>
  <c r="N108" i="34"/>
  <c r="N38" i="34"/>
  <c r="N111" i="34"/>
  <c r="N109" i="34"/>
  <c r="N110" i="34"/>
  <c r="N112" i="34"/>
  <c r="N39" i="34"/>
  <c r="N40" i="34"/>
  <c r="N41" i="34"/>
  <c r="N42" i="34"/>
  <c r="N113" i="34"/>
  <c r="N114" i="34"/>
  <c r="N115" i="34"/>
  <c r="N116" i="34"/>
  <c r="N117" i="34"/>
  <c r="N118" i="34"/>
  <c r="N43" i="34"/>
  <c r="N44" i="34"/>
  <c r="N45" i="34"/>
  <c r="N119" i="34"/>
  <c r="N46" i="34"/>
  <c r="N120" i="34"/>
  <c r="N47" i="34"/>
  <c r="P122" i="34"/>
  <c r="P128" i="34"/>
  <c r="P129" i="34"/>
  <c r="P131" i="34"/>
  <c r="P132" i="34"/>
  <c r="P134" i="34"/>
  <c r="P135" i="34"/>
  <c r="P136" i="34"/>
  <c r="P137" i="34"/>
  <c r="P141" i="34"/>
  <c r="P142" i="34"/>
  <c r="P139" i="34"/>
  <c r="P140" i="34"/>
  <c r="P146" i="34"/>
  <c r="P147" i="34"/>
  <c r="P150" i="34"/>
  <c r="P151" i="34"/>
  <c r="P154" i="34"/>
  <c r="P155" i="34"/>
  <c r="P158" i="34"/>
  <c r="P159" i="34"/>
  <c r="P160" i="34"/>
  <c r="P161" i="34"/>
  <c r="P164" i="34"/>
  <c r="P165" i="34"/>
  <c r="P167" i="34"/>
  <c r="P168" i="34"/>
  <c r="P169" i="34"/>
  <c r="P170" i="34"/>
  <c r="P172" i="34"/>
  <c r="P173" i="34"/>
  <c r="P174" i="34"/>
  <c r="P175" i="34"/>
  <c r="P186" i="34"/>
  <c r="P187" i="34"/>
  <c r="P190" i="34"/>
  <c r="P191" i="34"/>
  <c r="P194" i="34"/>
  <c r="P195" i="34"/>
  <c r="P196" i="34"/>
  <c r="P197" i="34"/>
  <c r="P198" i="34"/>
  <c r="P199" i="34"/>
  <c r="P200" i="34"/>
  <c r="P201" i="34"/>
  <c r="P202" i="34"/>
  <c r="P203" i="34"/>
  <c r="P204" i="34"/>
  <c r="P205" i="34"/>
  <c r="P207" i="34"/>
  <c r="P208" i="34"/>
  <c r="P210" i="34"/>
  <c r="P211" i="34"/>
  <c r="P212" i="34"/>
  <c r="P213" i="34"/>
  <c r="P222" i="34"/>
  <c r="P223" i="34"/>
  <c r="P216" i="34"/>
  <c r="P217" i="34"/>
  <c r="P224" i="34"/>
  <c r="P225" i="34"/>
  <c r="P228" i="34"/>
  <c r="P229" i="34"/>
  <c r="P156" i="34"/>
  <c r="P157" i="34"/>
  <c r="P166" i="34"/>
  <c r="P162" i="34"/>
  <c r="P177" i="34"/>
  <c r="P178" i="34"/>
  <c r="P180" i="34"/>
  <c r="P181" i="34"/>
  <c r="P184" i="34"/>
  <c r="P182" i="34"/>
  <c r="P192" i="34"/>
  <c r="P193" i="34"/>
  <c r="P218" i="34"/>
  <c r="P219" i="34"/>
  <c r="P226" i="34"/>
  <c r="P227" i="34"/>
  <c r="P121" i="34"/>
  <c r="D98" i="3"/>
  <c r="D99" i="3"/>
  <c r="D100" i="3"/>
  <c r="D101" i="3"/>
  <c r="D102" i="3"/>
  <c r="D103" i="3"/>
  <c r="D104" i="3"/>
  <c r="D105" i="3"/>
  <c r="D106" i="3"/>
  <c r="D107" i="3"/>
  <c r="D108" i="3"/>
  <c r="D109" i="3"/>
  <c r="D110" i="3"/>
  <c r="D111" i="3"/>
  <c r="D112" i="3"/>
  <c r="D113" i="3"/>
  <c r="P98" i="3"/>
  <c r="P99" i="3"/>
  <c r="P100" i="3"/>
  <c r="P101" i="3"/>
  <c r="P102" i="3"/>
  <c r="P103" i="3"/>
  <c r="P104" i="3"/>
  <c r="P105" i="3"/>
  <c r="P106" i="3"/>
  <c r="P107" i="3"/>
  <c r="P108" i="3"/>
  <c r="P109" i="3"/>
  <c r="P110" i="3"/>
  <c r="P111" i="3"/>
  <c r="P112" i="3"/>
  <c r="P113" i="3"/>
  <c r="N98" i="3"/>
  <c r="N99" i="3"/>
  <c r="N100" i="3"/>
  <c r="N101" i="3"/>
  <c r="N102" i="3"/>
  <c r="N103" i="3"/>
  <c r="N104" i="3"/>
  <c r="N105" i="3"/>
  <c r="N106" i="3"/>
  <c r="N107" i="3"/>
  <c r="N108" i="3"/>
  <c r="N109" i="3"/>
  <c r="N110" i="3"/>
  <c r="N111" i="3"/>
  <c r="N112" i="3"/>
  <c r="N113" i="3"/>
  <c r="D104" i="23"/>
  <c r="D105" i="23"/>
  <c r="D119" i="23"/>
  <c r="D120" i="23"/>
  <c r="D149" i="23"/>
  <c r="D150" i="23"/>
  <c r="D160" i="23"/>
  <c r="D161" i="23"/>
  <c r="D178" i="23"/>
  <c r="D179" i="23"/>
  <c r="D189" i="23"/>
  <c r="D190" i="23"/>
  <c r="P104" i="23"/>
  <c r="P105" i="23"/>
  <c r="P119" i="23"/>
  <c r="P120" i="23"/>
  <c r="P149" i="23"/>
  <c r="P150" i="23"/>
  <c r="P160" i="23"/>
  <c r="P161" i="23"/>
  <c r="P178" i="23"/>
  <c r="P179" i="23"/>
  <c r="P189" i="23"/>
  <c r="P190" i="23"/>
  <c r="N104" i="23"/>
  <c r="N105" i="23"/>
  <c r="N119" i="23"/>
  <c r="N120" i="23"/>
  <c r="N149" i="23"/>
  <c r="N150" i="23"/>
  <c r="N160" i="23"/>
  <c r="N161" i="23"/>
  <c r="N178" i="23"/>
  <c r="N179" i="23"/>
  <c r="N189" i="23"/>
  <c r="N190" i="23"/>
  <c r="P4" i="23"/>
  <c r="P5" i="23"/>
  <c r="P6" i="23"/>
  <c r="P7" i="23"/>
  <c r="P9" i="23"/>
  <c r="P8" i="23"/>
  <c r="P10" i="23"/>
  <c r="P11" i="23"/>
  <c r="P12" i="23"/>
  <c r="P13" i="23"/>
  <c r="P52" i="23"/>
  <c r="P14" i="23"/>
  <c r="P15" i="23"/>
  <c r="P16" i="23"/>
  <c r="P17" i="23"/>
  <c r="P18" i="23"/>
  <c r="P19" i="23"/>
  <c r="P20" i="23"/>
  <c r="P53" i="23"/>
  <c r="P21" i="23"/>
  <c r="P54" i="23"/>
  <c r="P22" i="23"/>
  <c r="P23" i="23"/>
  <c r="P24" i="23"/>
  <c r="P25" i="23"/>
  <c r="P26" i="23"/>
  <c r="P27" i="23"/>
  <c r="P28" i="23"/>
  <c r="P29" i="23"/>
  <c r="P30" i="23"/>
  <c r="P31" i="23"/>
  <c r="P55" i="23"/>
  <c r="P56" i="23"/>
  <c r="P57" i="23"/>
  <c r="P58" i="23"/>
  <c r="P32" i="23"/>
  <c r="P33" i="23"/>
  <c r="P34" i="23"/>
  <c r="P59" i="23"/>
  <c r="P35" i="23"/>
  <c r="P36" i="23"/>
  <c r="P60" i="23"/>
  <c r="P37" i="23"/>
  <c r="P38" i="23"/>
  <c r="P39" i="23"/>
  <c r="P40" i="23"/>
  <c r="P42" i="23"/>
  <c r="P41" i="23"/>
  <c r="P43" i="23"/>
  <c r="P44" i="23"/>
  <c r="P61" i="23"/>
  <c r="P45" i="23"/>
  <c r="P46" i="23"/>
  <c r="P48" i="23"/>
  <c r="P47" i="23"/>
  <c r="P49" i="23"/>
  <c r="P50" i="23"/>
  <c r="P51" i="23"/>
  <c r="N4" i="23"/>
  <c r="N5" i="23"/>
  <c r="N6" i="23"/>
  <c r="N7" i="23"/>
  <c r="N9" i="23"/>
  <c r="N8" i="23"/>
  <c r="N10" i="23"/>
  <c r="N11" i="23"/>
  <c r="N12" i="23"/>
  <c r="N13" i="23"/>
  <c r="N52" i="23"/>
  <c r="N14" i="23"/>
  <c r="N15" i="23"/>
  <c r="N16" i="23"/>
  <c r="N17" i="23"/>
  <c r="N18" i="23"/>
  <c r="N19" i="23"/>
  <c r="N20" i="23"/>
  <c r="N53" i="23"/>
  <c r="N21" i="23"/>
  <c r="N54" i="23"/>
  <c r="N22" i="23"/>
  <c r="N23" i="23"/>
  <c r="N24" i="23"/>
  <c r="N25" i="23"/>
  <c r="N26" i="23"/>
  <c r="N27" i="23"/>
  <c r="N28" i="23"/>
  <c r="N29" i="23"/>
  <c r="N30" i="23"/>
  <c r="N31" i="23"/>
  <c r="N55" i="23"/>
  <c r="N56" i="23"/>
  <c r="N57" i="23"/>
  <c r="N58" i="23"/>
  <c r="N32" i="23"/>
  <c r="N33" i="23"/>
  <c r="N34" i="23"/>
  <c r="N59" i="23"/>
  <c r="N35" i="23"/>
  <c r="N36" i="23"/>
  <c r="N60" i="23"/>
  <c r="N37" i="23"/>
  <c r="N38" i="23"/>
  <c r="N39" i="23"/>
  <c r="N40" i="23"/>
  <c r="N42" i="23"/>
  <c r="N41" i="23"/>
  <c r="N43" i="23"/>
  <c r="N44" i="23"/>
  <c r="N61" i="23"/>
  <c r="N45" i="23"/>
  <c r="N46" i="23"/>
  <c r="N48" i="23"/>
  <c r="N47" i="23"/>
  <c r="N49" i="23"/>
  <c r="N50" i="23"/>
  <c r="N51" i="23"/>
  <c r="D4" i="23"/>
  <c r="D5" i="23"/>
  <c r="D6" i="23"/>
  <c r="D7" i="23"/>
  <c r="D9" i="23"/>
  <c r="D8" i="23"/>
  <c r="D10" i="23"/>
  <c r="D11" i="23"/>
  <c r="D12" i="23"/>
  <c r="D13" i="23"/>
  <c r="D52" i="23"/>
  <c r="D14" i="23"/>
  <c r="D15" i="23"/>
  <c r="D16" i="23"/>
  <c r="D17" i="23"/>
  <c r="D18" i="23"/>
  <c r="D19" i="23"/>
  <c r="D20" i="23"/>
  <c r="D53" i="23"/>
  <c r="D21" i="23"/>
  <c r="D54" i="23"/>
  <c r="D22" i="23"/>
  <c r="D23" i="23"/>
  <c r="D24" i="23"/>
  <c r="D25" i="23"/>
  <c r="D26" i="23"/>
  <c r="D27" i="23"/>
  <c r="D28" i="23"/>
  <c r="D29" i="23"/>
  <c r="D30" i="23"/>
  <c r="D31" i="23"/>
  <c r="D55" i="23"/>
  <c r="D56" i="23"/>
  <c r="D57" i="23"/>
  <c r="D58" i="23"/>
  <c r="D32" i="23"/>
  <c r="D33" i="23"/>
  <c r="D34" i="23"/>
  <c r="D59" i="23"/>
  <c r="D35" i="23"/>
  <c r="D36" i="23"/>
  <c r="D60" i="23"/>
  <c r="D37" i="23"/>
  <c r="D38" i="23"/>
  <c r="D39" i="23"/>
  <c r="D40" i="23"/>
  <c r="D42" i="23"/>
  <c r="D41" i="23"/>
  <c r="D43" i="23"/>
  <c r="D44" i="23"/>
  <c r="D61" i="23"/>
  <c r="D45" i="23"/>
  <c r="D46" i="23"/>
  <c r="D48" i="23"/>
  <c r="D47" i="23"/>
  <c r="D49" i="23"/>
  <c r="D50" i="23"/>
  <c r="D51" i="23"/>
  <c r="P159" i="23"/>
  <c r="P188" i="23"/>
  <c r="P78" i="23"/>
  <c r="P79" i="23"/>
  <c r="P62" i="23"/>
  <c r="P80" i="23"/>
  <c r="P81" i="23"/>
  <c r="P63" i="23"/>
  <c r="P96" i="23"/>
  <c r="P97" i="23"/>
  <c r="P64" i="23"/>
  <c r="P98" i="23"/>
  <c r="P99" i="23"/>
  <c r="P65" i="23"/>
  <c r="P106" i="23"/>
  <c r="P107" i="23"/>
  <c r="P66" i="23"/>
  <c r="P110" i="23"/>
  <c r="P111" i="23"/>
  <c r="P68" i="23"/>
  <c r="P108" i="23"/>
  <c r="P109" i="23"/>
  <c r="P67" i="23"/>
  <c r="P121" i="23"/>
  <c r="P122" i="23"/>
  <c r="P69" i="23"/>
  <c r="P126" i="23"/>
  <c r="P127" i="23"/>
  <c r="P70" i="23"/>
  <c r="P151" i="23"/>
  <c r="P152" i="23"/>
  <c r="P71" i="23"/>
  <c r="P153" i="23"/>
  <c r="P154" i="23"/>
  <c r="P72" i="23"/>
  <c r="P157" i="23"/>
  <c r="P158" i="23"/>
  <c r="P73" i="23"/>
  <c r="P162" i="23"/>
  <c r="P163" i="23"/>
  <c r="P74" i="23"/>
  <c r="P166" i="23"/>
  <c r="P167" i="23"/>
  <c r="P75" i="23"/>
  <c r="P176" i="23"/>
  <c r="P177" i="23"/>
  <c r="P76" i="23"/>
  <c r="P182" i="23"/>
  <c r="P183" i="23"/>
  <c r="P77" i="23"/>
  <c r="P82" i="23"/>
  <c r="P83" i="23"/>
  <c r="P84" i="23"/>
  <c r="P85" i="23"/>
  <c r="P86" i="23"/>
  <c r="P87" i="23"/>
  <c r="P91" i="23"/>
  <c r="P95" i="23"/>
  <c r="P90" i="23"/>
  <c r="P94" i="23"/>
  <c r="P89" i="23"/>
  <c r="P93" i="23"/>
  <c r="P88" i="23"/>
  <c r="P92" i="23"/>
  <c r="P100" i="23"/>
  <c r="P101" i="23"/>
  <c r="P102" i="23"/>
  <c r="P103" i="23"/>
  <c r="P112" i="23"/>
  <c r="P113" i="23"/>
  <c r="P114" i="23"/>
  <c r="P115" i="23"/>
  <c r="P116" i="23"/>
  <c r="P117" i="23"/>
  <c r="P123" i="23"/>
  <c r="P124" i="23"/>
  <c r="P128" i="23"/>
  <c r="P125" i="23"/>
  <c r="P129" i="23"/>
  <c r="P130" i="23"/>
  <c r="P131" i="23"/>
  <c r="P133" i="23"/>
  <c r="P132" i="23"/>
  <c r="P134" i="23"/>
  <c r="P137" i="23"/>
  <c r="P141" i="23"/>
  <c r="P138" i="23"/>
  <c r="P142" i="23"/>
  <c r="P135" i="23"/>
  <c r="P139" i="23"/>
  <c r="P136" i="23"/>
  <c r="P140" i="23"/>
  <c r="P144" i="23"/>
  <c r="P146" i="23"/>
  <c r="P143" i="23"/>
  <c r="P145" i="23"/>
  <c r="P147" i="23"/>
  <c r="P148" i="23"/>
  <c r="P155" i="23"/>
  <c r="P156" i="23"/>
  <c r="P164" i="23"/>
  <c r="P165" i="23"/>
  <c r="P168" i="23"/>
  <c r="P171" i="23"/>
  <c r="P170" i="23"/>
  <c r="P173" i="23"/>
  <c r="P169" i="23"/>
  <c r="P172" i="23"/>
  <c r="P174" i="23"/>
  <c r="P175" i="23"/>
  <c r="P180" i="23"/>
  <c r="P181" i="23"/>
  <c r="P184" i="23"/>
  <c r="P185" i="23"/>
  <c r="P186" i="23"/>
  <c r="P187" i="23"/>
  <c r="P118" i="23"/>
  <c r="Q166" i="10"/>
  <c r="Q167" i="10"/>
  <c r="N166" i="10"/>
  <c r="N167" i="10"/>
  <c r="Q155" i="10"/>
  <c r="Q156" i="10"/>
  <c r="Q157" i="10"/>
  <c r="Q158" i="10"/>
  <c r="Q159" i="10"/>
  <c r="Q160" i="10"/>
  <c r="Q161" i="10"/>
  <c r="Q162" i="10"/>
  <c r="Q163" i="10"/>
  <c r="Q164" i="10"/>
  <c r="Q165" i="10"/>
  <c r="N155" i="10"/>
  <c r="N156" i="10"/>
  <c r="N157" i="10"/>
  <c r="N158" i="10"/>
  <c r="N159" i="10"/>
  <c r="N160" i="10"/>
  <c r="N161" i="10"/>
  <c r="N162" i="10"/>
  <c r="N163" i="10"/>
  <c r="N164" i="10"/>
  <c r="N165" i="10"/>
  <c r="N4" i="12"/>
  <c r="N6" i="12"/>
  <c r="N5" i="12"/>
  <c r="N7" i="12"/>
  <c r="N8" i="12"/>
  <c r="N9" i="12"/>
  <c r="N10" i="12"/>
  <c r="D4" i="12"/>
  <c r="C4" i="12" s="1"/>
  <c r="D6" i="12"/>
  <c r="D5" i="12"/>
  <c r="D7" i="12"/>
  <c r="D8" i="12"/>
  <c r="D9" i="12"/>
  <c r="D10" i="12"/>
  <c r="D21" i="12"/>
  <c r="D20" i="12"/>
  <c r="D19" i="12"/>
  <c r="D18" i="12"/>
  <c r="D17" i="12"/>
  <c r="D16" i="12"/>
  <c r="D15" i="12"/>
  <c r="D14" i="12"/>
  <c r="D13" i="12"/>
  <c r="D12" i="12"/>
  <c r="D11" i="12"/>
  <c r="D46" i="12"/>
  <c r="D43" i="12"/>
  <c r="D30" i="12"/>
  <c r="D45" i="12"/>
  <c r="D44" i="12"/>
  <c r="D42" i="12"/>
  <c r="D41" i="12"/>
  <c r="D40" i="12"/>
  <c r="D39" i="12"/>
  <c r="D38" i="12"/>
  <c r="D37" i="12"/>
  <c r="D36" i="12"/>
  <c r="D35" i="12"/>
  <c r="D34" i="12"/>
  <c r="D33" i="12"/>
  <c r="D32" i="12"/>
  <c r="D31" i="12"/>
  <c r="D29" i="12"/>
  <c r="D28" i="12"/>
  <c r="D27" i="12"/>
  <c r="D26" i="12"/>
  <c r="D25" i="12"/>
  <c r="D24" i="12"/>
  <c r="D23" i="12"/>
  <c r="D22" i="12"/>
  <c r="P464" i="1"/>
  <c r="N464" i="1"/>
  <c r="D18" i="1"/>
  <c r="D464" i="1"/>
  <c r="P4" i="1"/>
  <c r="P17" i="1"/>
  <c r="P5" i="1"/>
  <c r="P6" i="1"/>
  <c r="P7" i="1"/>
  <c r="P8" i="1"/>
  <c r="P9" i="1"/>
  <c r="P10" i="1"/>
  <c r="P11" i="1"/>
  <c r="P12" i="1"/>
  <c r="P18" i="1"/>
  <c r="P19" i="1"/>
  <c r="P13" i="1"/>
  <c r="P20" i="1"/>
  <c r="P14" i="1"/>
  <c r="P15" i="1"/>
  <c r="P16" i="1"/>
  <c r="N4" i="1"/>
  <c r="N17" i="1"/>
  <c r="N5" i="1"/>
  <c r="N6" i="1"/>
  <c r="N7" i="1"/>
  <c r="N8" i="1"/>
  <c r="N9" i="1"/>
  <c r="N10" i="1"/>
  <c r="N11" i="1"/>
  <c r="N12" i="1"/>
  <c r="N18" i="1"/>
  <c r="N19" i="1"/>
  <c r="N13" i="1"/>
  <c r="N20" i="1"/>
  <c r="N14" i="1"/>
  <c r="N15" i="1"/>
  <c r="N16" i="1"/>
  <c r="D4" i="1"/>
  <c r="D17" i="1"/>
  <c r="D5" i="1"/>
  <c r="D6" i="1"/>
  <c r="D7" i="1"/>
  <c r="D8" i="1"/>
  <c r="D9" i="1"/>
  <c r="D10" i="1"/>
  <c r="D11" i="1"/>
  <c r="D12" i="1"/>
  <c r="D19" i="1"/>
  <c r="D13" i="1"/>
  <c r="D20" i="1"/>
  <c r="D14" i="1"/>
  <c r="D15" i="1"/>
  <c r="D16" i="1"/>
  <c r="D243" i="1"/>
  <c r="D732" i="1"/>
  <c r="D733" i="1"/>
  <c r="D242" i="1"/>
  <c r="D730" i="1"/>
  <c r="D731" i="1"/>
  <c r="D241" i="1"/>
  <c r="D728" i="1"/>
  <c r="D729" i="1"/>
  <c r="D240" i="1"/>
  <c r="D724" i="1"/>
  <c r="D725" i="1"/>
  <c r="D238" i="1"/>
  <c r="D736" i="1"/>
  <c r="D737" i="1"/>
  <c r="D244" i="1"/>
  <c r="D738" i="1"/>
  <c r="D739" i="1"/>
  <c r="D245" i="1"/>
  <c r="D740" i="1"/>
  <c r="D741" i="1"/>
  <c r="D246" i="1"/>
  <c r="D744" i="1"/>
  <c r="D745" i="1"/>
  <c r="D248" i="1"/>
  <c r="D742" i="1"/>
  <c r="D743" i="1"/>
  <c r="D247" i="1"/>
  <c r="D750" i="1"/>
  <c r="D751" i="1"/>
  <c r="D250" i="1"/>
  <c r="D752" i="1"/>
  <c r="D753" i="1"/>
  <c r="D251" i="1"/>
  <c r="D748" i="1"/>
  <c r="D749" i="1"/>
  <c r="D249" i="1"/>
  <c r="D758" i="1"/>
  <c r="D759" i="1"/>
  <c r="D252" i="1"/>
  <c r="D756" i="1"/>
  <c r="D757" i="1"/>
  <c r="D254" i="1"/>
  <c r="D754" i="1"/>
  <c r="D755" i="1"/>
  <c r="D253" i="1"/>
  <c r="D762" i="1"/>
  <c r="D763" i="1"/>
  <c r="D256" i="1"/>
  <c r="D768" i="1"/>
  <c r="D769" i="1"/>
  <c r="D259" i="1"/>
  <c r="D766" i="1"/>
  <c r="D767" i="1"/>
  <c r="D258" i="1"/>
  <c r="D764" i="1"/>
  <c r="D765" i="1"/>
  <c r="D257" i="1"/>
  <c r="D760" i="1"/>
  <c r="D761" i="1"/>
  <c r="D255" i="1"/>
  <c r="D770" i="1"/>
  <c r="D771" i="1"/>
  <c r="D260" i="1"/>
  <c r="D772" i="1"/>
  <c r="D773" i="1"/>
  <c r="D261" i="1"/>
  <c r="D778" i="1"/>
  <c r="D779" i="1"/>
  <c r="D264" i="1"/>
  <c r="D776" i="1"/>
  <c r="D777" i="1"/>
  <c r="D263" i="1"/>
  <c r="D774" i="1"/>
  <c r="D775" i="1"/>
  <c r="D262" i="1"/>
  <c r="D780" i="1"/>
  <c r="D781" i="1"/>
  <c r="D265" i="1"/>
  <c r="D790" i="1"/>
  <c r="D791" i="1"/>
  <c r="D267" i="1"/>
  <c r="D786" i="1"/>
  <c r="D787" i="1"/>
  <c r="D269" i="1"/>
  <c r="D784" i="1"/>
  <c r="D785" i="1"/>
  <c r="D268" i="1"/>
  <c r="D782" i="1"/>
  <c r="D783" i="1"/>
  <c r="D266" i="1"/>
  <c r="D798" i="1"/>
  <c r="D799" i="1"/>
  <c r="D271" i="1"/>
  <c r="D796" i="1"/>
  <c r="D797" i="1"/>
  <c r="D270" i="1"/>
  <c r="D794" i="1"/>
  <c r="D795" i="1"/>
  <c r="D273" i="1"/>
  <c r="D792" i="1"/>
  <c r="D793" i="1"/>
  <c r="D272" i="1"/>
  <c r="D802" i="1"/>
  <c r="D803" i="1"/>
  <c r="D277" i="1"/>
  <c r="D808" i="1"/>
  <c r="D809" i="1"/>
  <c r="D278" i="1"/>
  <c r="D804" i="1"/>
  <c r="D805" i="1"/>
  <c r="D274" i="1"/>
  <c r="D806" i="1"/>
  <c r="D807" i="1"/>
  <c r="D275" i="1"/>
  <c r="D800" i="1"/>
  <c r="D801" i="1"/>
  <c r="D276" i="1"/>
  <c r="D810" i="1"/>
  <c r="D811" i="1"/>
  <c r="D279" i="1"/>
  <c r="D812" i="1"/>
  <c r="D813" i="1"/>
  <c r="D280" i="1"/>
  <c r="D814" i="1"/>
  <c r="D815" i="1"/>
  <c r="D281" i="1"/>
  <c r="D817" i="1"/>
  <c r="D818" i="1"/>
  <c r="D282" i="1"/>
  <c r="D393" i="1"/>
  <c r="D394" i="1"/>
  <c r="D469" i="1"/>
  <c r="D470" i="1"/>
  <c r="D746" i="1"/>
  <c r="D747" i="1"/>
  <c r="D788" i="1"/>
  <c r="D789" i="1"/>
  <c r="P581" i="1"/>
  <c r="P816" i="1"/>
  <c r="P285" i="1"/>
  <c r="P286" i="1"/>
  <c r="P22" i="1"/>
  <c r="P283" i="1"/>
  <c r="P284" i="1"/>
  <c r="P21" i="1"/>
  <c r="P289" i="1"/>
  <c r="P290" i="1"/>
  <c r="P23" i="1"/>
  <c r="P287" i="1"/>
  <c r="P288" i="1"/>
  <c r="P24" i="1"/>
  <c r="P291" i="1"/>
  <c r="P292" i="1"/>
  <c r="P25" i="1"/>
  <c r="P293" i="1"/>
  <c r="P294" i="1"/>
  <c r="P26" i="1"/>
  <c r="P295" i="1"/>
  <c r="P296" i="1"/>
  <c r="P27" i="1"/>
  <c r="P297" i="1"/>
  <c r="P298" i="1"/>
  <c r="P28" i="1"/>
  <c r="P299" i="1"/>
  <c r="P300" i="1"/>
  <c r="P29" i="1"/>
  <c r="P305" i="1"/>
  <c r="P306" i="1"/>
  <c r="P31" i="1"/>
  <c r="P303" i="1"/>
  <c r="P304" i="1"/>
  <c r="P30" i="1"/>
  <c r="P307" i="1"/>
  <c r="P308" i="1"/>
  <c r="P32" i="1"/>
  <c r="P301" i="1"/>
  <c r="P302" i="1"/>
  <c r="P33" i="1"/>
  <c r="P309" i="1"/>
  <c r="P310" i="1"/>
  <c r="P34" i="1"/>
  <c r="P313" i="1"/>
  <c r="P314" i="1"/>
  <c r="P35" i="1"/>
  <c r="P319" i="1"/>
  <c r="P320" i="1"/>
  <c r="P38" i="1"/>
  <c r="P317" i="1"/>
  <c r="P318" i="1"/>
  <c r="P37" i="1"/>
  <c r="P315" i="1"/>
  <c r="P316" i="1"/>
  <c r="P36" i="1"/>
  <c r="P311" i="1"/>
  <c r="P312" i="1"/>
  <c r="P41" i="1"/>
  <c r="P323" i="1"/>
  <c r="P324" i="1"/>
  <c r="P40" i="1"/>
  <c r="P321" i="1"/>
  <c r="P322" i="1"/>
  <c r="P39" i="1"/>
  <c r="P329" i="1"/>
  <c r="P330" i="1"/>
  <c r="P44" i="1"/>
  <c r="P327" i="1"/>
  <c r="P328" i="1"/>
  <c r="P43" i="1"/>
  <c r="P325" i="1"/>
  <c r="P326" i="1"/>
  <c r="P42" i="1"/>
  <c r="P331" i="1"/>
  <c r="P332" i="1"/>
  <c r="P45" i="1"/>
  <c r="P333" i="1"/>
  <c r="P334" i="1"/>
  <c r="P46" i="1"/>
  <c r="P335" i="1"/>
  <c r="P336" i="1"/>
  <c r="P47" i="1"/>
  <c r="P339" i="1"/>
  <c r="P340" i="1"/>
  <c r="P49" i="1"/>
  <c r="P337" i="1"/>
  <c r="P338" i="1"/>
  <c r="P48" i="1"/>
  <c r="P341" i="1"/>
  <c r="P342" i="1"/>
  <c r="P50" i="1"/>
  <c r="P343" i="1"/>
  <c r="P344" i="1"/>
  <c r="P51" i="1"/>
  <c r="P345" i="1"/>
  <c r="P346" i="1"/>
  <c r="P52" i="1"/>
  <c r="P349" i="1"/>
  <c r="P350" i="1"/>
  <c r="P54" i="1"/>
  <c r="P347" i="1"/>
  <c r="P348" i="1"/>
  <c r="P53" i="1"/>
  <c r="P351" i="1"/>
  <c r="P352" i="1"/>
  <c r="P55" i="1"/>
  <c r="P355" i="1"/>
  <c r="P356" i="1"/>
  <c r="P57" i="1"/>
  <c r="P353" i="1"/>
  <c r="P354" i="1"/>
  <c r="P56" i="1"/>
  <c r="P359" i="1"/>
  <c r="P360" i="1"/>
  <c r="P58" i="1"/>
  <c r="P357" i="1"/>
  <c r="P358" i="1"/>
  <c r="P59" i="1"/>
  <c r="P361" i="1"/>
  <c r="P362" i="1"/>
  <c r="P60" i="1"/>
  <c r="P363" i="1"/>
  <c r="P364" i="1"/>
  <c r="P61" i="1"/>
  <c r="P365" i="1"/>
  <c r="P366" i="1"/>
  <c r="P62" i="1"/>
  <c r="P367" i="1"/>
  <c r="P368" i="1"/>
  <c r="P63" i="1"/>
  <c r="P369" i="1"/>
  <c r="P370" i="1"/>
  <c r="P64" i="1"/>
  <c r="P371" i="1"/>
  <c r="P372" i="1"/>
  <c r="P65" i="1"/>
  <c r="P379" i="1"/>
  <c r="P380" i="1"/>
  <c r="P69" i="1"/>
  <c r="P377" i="1"/>
  <c r="P378" i="1"/>
  <c r="P68" i="1"/>
  <c r="P375" i="1"/>
  <c r="P376" i="1"/>
  <c r="P67" i="1"/>
  <c r="P373" i="1"/>
  <c r="P374" i="1"/>
  <c r="P66" i="1"/>
  <c r="P381" i="1"/>
  <c r="P382" i="1"/>
  <c r="P70" i="1"/>
  <c r="P387" i="1"/>
  <c r="P388" i="1"/>
  <c r="P72" i="1"/>
  <c r="P385" i="1"/>
  <c r="P386" i="1"/>
  <c r="P71" i="1"/>
  <c r="P383" i="1"/>
  <c r="P384" i="1"/>
  <c r="P73" i="1"/>
  <c r="P395" i="1"/>
  <c r="P396" i="1"/>
  <c r="P76" i="1"/>
  <c r="P391" i="1"/>
  <c r="P392" i="1"/>
  <c r="P75" i="1"/>
  <c r="P389" i="1"/>
  <c r="P390" i="1"/>
  <c r="P74" i="1"/>
  <c r="P397" i="1"/>
  <c r="P398" i="1"/>
  <c r="P77" i="1"/>
  <c r="P401" i="1"/>
  <c r="P402" i="1"/>
  <c r="P79" i="1"/>
  <c r="P399" i="1"/>
  <c r="P400" i="1"/>
  <c r="P78" i="1"/>
  <c r="P403" i="1"/>
  <c r="P404" i="1"/>
  <c r="P80" i="1"/>
  <c r="P409" i="1"/>
  <c r="P410" i="1"/>
  <c r="P82" i="1"/>
  <c r="P405" i="1"/>
  <c r="P406" i="1"/>
  <c r="P81" i="1"/>
  <c r="P407" i="1"/>
  <c r="P408" i="1"/>
  <c r="P83" i="1"/>
  <c r="P411" i="1"/>
  <c r="P412" i="1"/>
  <c r="P84" i="1"/>
  <c r="P415" i="1"/>
  <c r="P416" i="1"/>
  <c r="P86" i="1"/>
  <c r="P413" i="1"/>
  <c r="P414" i="1"/>
  <c r="P85" i="1"/>
  <c r="P417" i="1"/>
  <c r="P418" i="1"/>
  <c r="P87" i="1"/>
  <c r="P421" i="1"/>
  <c r="P422" i="1"/>
  <c r="P88" i="1"/>
  <c r="P425" i="1"/>
  <c r="P426" i="1"/>
  <c r="P90" i="1"/>
  <c r="P419" i="1"/>
  <c r="P420" i="1"/>
  <c r="P91" i="1"/>
  <c r="P423" i="1"/>
  <c r="P424" i="1"/>
  <c r="P89" i="1"/>
  <c r="P435" i="1"/>
  <c r="P436" i="1"/>
  <c r="P95" i="1"/>
  <c r="P433" i="1"/>
  <c r="P434" i="1"/>
  <c r="P94" i="1"/>
  <c r="P431" i="1"/>
  <c r="P432" i="1"/>
  <c r="P93" i="1"/>
  <c r="P429" i="1"/>
  <c r="P430" i="1"/>
  <c r="P92" i="1"/>
  <c r="P427" i="1"/>
  <c r="P428" i="1"/>
  <c r="P96" i="1"/>
  <c r="P437" i="1"/>
  <c r="P438" i="1"/>
  <c r="P97" i="1"/>
  <c r="P442" i="1"/>
  <c r="P443" i="1"/>
  <c r="P98" i="1"/>
  <c r="P440" i="1"/>
  <c r="P441" i="1"/>
  <c r="P99" i="1"/>
  <c r="P444" i="1"/>
  <c r="P445" i="1"/>
  <c r="P100" i="1"/>
  <c r="P446" i="1"/>
  <c r="P447" i="1"/>
  <c r="P101" i="1"/>
  <c r="P448" i="1"/>
  <c r="P449" i="1"/>
  <c r="P102" i="1"/>
  <c r="P450" i="1"/>
  <c r="P451" i="1"/>
  <c r="P106" i="1"/>
  <c r="P456" i="1"/>
  <c r="P457" i="1"/>
  <c r="P105" i="1"/>
  <c r="P452" i="1"/>
  <c r="P453" i="1"/>
  <c r="P103" i="1"/>
  <c r="P454" i="1"/>
  <c r="P455" i="1"/>
  <c r="P104" i="1"/>
  <c r="P458" i="1"/>
  <c r="P459" i="1"/>
  <c r="P107" i="1"/>
  <c r="P462" i="1"/>
  <c r="P463" i="1"/>
  <c r="P108" i="1"/>
  <c r="P460" i="1"/>
  <c r="P461" i="1"/>
  <c r="P109" i="1"/>
  <c r="P467" i="1"/>
  <c r="P468" i="1"/>
  <c r="P111" i="1"/>
  <c r="P465" i="1"/>
  <c r="P466" i="1"/>
  <c r="P110" i="1"/>
  <c r="P471" i="1"/>
  <c r="P472" i="1"/>
  <c r="P112" i="1"/>
  <c r="P477" i="1"/>
  <c r="P478" i="1"/>
  <c r="P114" i="1"/>
  <c r="P481" i="1"/>
  <c r="P482" i="1"/>
  <c r="P116" i="1"/>
  <c r="P479" i="1"/>
  <c r="P480" i="1"/>
  <c r="P115" i="1"/>
  <c r="P475" i="1"/>
  <c r="P476" i="1"/>
  <c r="P113" i="1"/>
  <c r="P485" i="1"/>
  <c r="P486" i="1"/>
  <c r="P119" i="1"/>
  <c r="P483" i="1"/>
  <c r="P484" i="1"/>
  <c r="P117" i="1"/>
  <c r="P473" i="1"/>
  <c r="P474" i="1"/>
  <c r="P118" i="1"/>
  <c r="P491" i="1"/>
  <c r="P492" i="1"/>
  <c r="P120" i="1"/>
  <c r="P489" i="1"/>
  <c r="P490" i="1"/>
  <c r="P122" i="1"/>
  <c r="P487" i="1"/>
  <c r="P488" i="1"/>
  <c r="P121" i="1"/>
  <c r="P497" i="1"/>
  <c r="P498" i="1"/>
  <c r="P125" i="1"/>
  <c r="P495" i="1"/>
  <c r="P496" i="1"/>
  <c r="P124" i="1"/>
  <c r="P493" i="1"/>
  <c r="P494" i="1"/>
  <c r="P123" i="1"/>
  <c r="P499" i="1"/>
  <c r="P500" i="1"/>
  <c r="P126" i="1"/>
  <c r="P507" i="1"/>
  <c r="P508" i="1"/>
  <c r="P130" i="1"/>
  <c r="P509" i="1"/>
  <c r="P510" i="1"/>
  <c r="P131" i="1"/>
  <c r="P511" i="1"/>
  <c r="P512" i="1"/>
  <c r="P132" i="1"/>
  <c r="P505" i="1"/>
  <c r="P506" i="1"/>
  <c r="P129" i="1"/>
  <c r="P503" i="1"/>
  <c r="P504" i="1"/>
  <c r="P128" i="1"/>
  <c r="P501" i="1"/>
  <c r="P502" i="1"/>
  <c r="P127" i="1"/>
  <c r="P515" i="1"/>
  <c r="P516" i="1"/>
  <c r="P134" i="1"/>
  <c r="P513" i="1"/>
  <c r="P514" i="1"/>
  <c r="P133" i="1"/>
  <c r="P517" i="1"/>
  <c r="P518" i="1"/>
  <c r="P135" i="1"/>
  <c r="P521" i="1"/>
  <c r="P522" i="1"/>
  <c r="P137" i="1"/>
  <c r="P519" i="1"/>
  <c r="P520" i="1"/>
  <c r="P136" i="1"/>
  <c r="P523" i="1"/>
  <c r="P524" i="1"/>
  <c r="P138" i="1"/>
  <c r="P525" i="1"/>
  <c r="P526" i="1"/>
  <c r="P139" i="1"/>
  <c r="P529" i="1"/>
  <c r="P530" i="1"/>
  <c r="P141" i="1"/>
  <c r="P527" i="1"/>
  <c r="P528" i="1"/>
  <c r="P140" i="1"/>
  <c r="P531" i="1"/>
  <c r="P532" i="1"/>
  <c r="P142" i="1"/>
  <c r="P533" i="1"/>
  <c r="P534" i="1"/>
  <c r="P143" i="1"/>
  <c r="P535" i="1"/>
  <c r="P536" i="1"/>
  <c r="P144" i="1"/>
  <c r="P537" i="1"/>
  <c r="P538" i="1"/>
  <c r="P145" i="1"/>
  <c r="P539" i="1"/>
  <c r="P540" i="1"/>
  <c r="P146" i="1"/>
  <c r="P553" i="1"/>
  <c r="P554" i="1"/>
  <c r="P151" i="1"/>
  <c r="P551" i="1"/>
  <c r="P552" i="1"/>
  <c r="P150" i="1"/>
  <c r="P549" i="1"/>
  <c r="P550" i="1"/>
  <c r="P149" i="1"/>
  <c r="P547" i="1"/>
  <c r="P548" i="1"/>
  <c r="P148" i="1"/>
  <c r="P545" i="1"/>
  <c r="P546" i="1"/>
  <c r="P147" i="1"/>
  <c r="P541" i="1"/>
  <c r="P542" i="1"/>
  <c r="P152" i="1"/>
  <c r="P543" i="1"/>
  <c r="P544" i="1"/>
  <c r="P153" i="1"/>
  <c r="P557" i="1"/>
  <c r="P558" i="1"/>
  <c r="P154" i="1"/>
  <c r="P555" i="1"/>
  <c r="P556" i="1"/>
  <c r="P155" i="1"/>
  <c r="P559" i="1"/>
  <c r="P560" i="1"/>
  <c r="P156" i="1"/>
  <c r="P563" i="1"/>
  <c r="P564" i="1"/>
  <c r="P158" i="1"/>
  <c r="P565" i="1"/>
  <c r="P566" i="1"/>
  <c r="P159" i="1"/>
  <c r="P561" i="1"/>
  <c r="P562" i="1"/>
  <c r="P157" i="1"/>
  <c r="P573" i="1"/>
  <c r="P574" i="1"/>
  <c r="P160" i="1"/>
  <c r="P575" i="1"/>
  <c r="P576" i="1"/>
  <c r="P161" i="1"/>
  <c r="P567" i="1"/>
  <c r="P568" i="1"/>
  <c r="P162" i="1"/>
  <c r="P571" i="1"/>
  <c r="P572" i="1"/>
  <c r="P164" i="1"/>
  <c r="P569" i="1"/>
  <c r="P570" i="1"/>
  <c r="P163" i="1"/>
  <c r="P579" i="1"/>
  <c r="P580" i="1"/>
  <c r="P166" i="1"/>
  <c r="P577" i="1"/>
  <c r="P578" i="1"/>
  <c r="P165" i="1"/>
  <c r="P586" i="1"/>
  <c r="P587" i="1"/>
  <c r="P168" i="1"/>
  <c r="P584" i="1"/>
  <c r="P585" i="1"/>
  <c r="P167" i="1"/>
  <c r="P588" i="1"/>
  <c r="P589" i="1"/>
  <c r="P169" i="1"/>
  <c r="P582" i="1"/>
  <c r="P583" i="1"/>
  <c r="P170" i="1"/>
  <c r="P594" i="1"/>
  <c r="P595" i="1"/>
  <c r="P173" i="1"/>
  <c r="P592" i="1"/>
  <c r="P593" i="1"/>
  <c r="P172" i="1"/>
  <c r="P590" i="1"/>
  <c r="P591" i="1"/>
  <c r="P171" i="1"/>
  <c r="P602" i="1"/>
  <c r="P603" i="1"/>
  <c r="P177" i="1"/>
  <c r="P604" i="1"/>
  <c r="P605" i="1"/>
  <c r="P178" i="1"/>
  <c r="P596" i="1"/>
  <c r="P597" i="1"/>
  <c r="P174" i="1"/>
  <c r="P598" i="1"/>
  <c r="P599" i="1"/>
  <c r="P175" i="1"/>
  <c r="P606" i="1"/>
  <c r="P607" i="1"/>
  <c r="P179" i="1"/>
  <c r="P600" i="1"/>
  <c r="P601" i="1"/>
  <c r="P176" i="1"/>
  <c r="P608" i="1"/>
  <c r="P609" i="1"/>
  <c r="P180" i="1"/>
  <c r="P610" i="1"/>
  <c r="P611" i="1"/>
  <c r="P181" i="1"/>
  <c r="P614" i="1"/>
  <c r="P615" i="1"/>
  <c r="P183" i="1"/>
  <c r="P612" i="1"/>
  <c r="P613" i="1"/>
  <c r="P182" i="1"/>
  <c r="P616" i="1"/>
  <c r="P617" i="1"/>
  <c r="P184" i="1"/>
  <c r="P618" i="1"/>
  <c r="P619" i="1"/>
  <c r="P185" i="1"/>
  <c r="P620" i="1"/>
  <c r="P621" i="1"/>
  <c r="P186" i="1"/>
  <c r="P624" i="1"/>
  <c r="P625" i="1"/>
  <c r="P187" i="1"/>
  <c r="P628" i="1"/>
  <c r="P629" i="1"/>
  <c r="P189" i="1"/>
  <c r="P626" i="1"/>
  <c r="P627" i="1"/>
  <c r="P188" i="1"/>
  <c r="P622" i="1"/>
  <c r="P623" i="1"/>
  <c r="P190" i="1"/>
  <c r="P640" i="1"/>
  <c r="P641" i="1"/>
  <c r="P196" i="1"/>
  <c r="P630" i="1"/>
  <c r="P631" i="1"/>
  <c r="P191" i="1"/>
  <c r="P634" i="1"/>
  <c r="P635" i="1"/>
  <c r="P193" i="1"/>
  <c r="P632" i="1"/>
  <c r="P633" i="1"/>
  <c r="P192" i="1"/>
  <c r="P636" i="1"/>
  <c r="P637" i="1"/>
  <c r="P194" i="1"/>
  <c r="P638" i="1"/>
  <c r="P639" i="1"/>
  <c r="P195" i="1"/>
  <c r="P642" i="1"/>
  <c r="P643" i="1"/>
  <c r="P197" i="1"/>
  <c r="P644" i="1"/>
  <c r="P645" i="1"/>
  <c r="P198" i="1"/>
  <c r="P646" i="1"/>
  <c r="P647" i="1"/>
  <c r="P199" i="1"/>
  <c r="P660" i="1"/>
  <c r="P661" i="1"/>
  <c r="P204" i="1"/>
  <c r="P658" i="1"/>
  <c r="P659" i="1"/>
  <c r="P203" i="1"/>
  <c r="P656" i="1"/>
  <c r="P657" i="1"/>
  <c r="P202" i="1"/>
  <c r="P654" i="1"/>
  <c r="P655" i="1"/>
  <c r="P201" i="1"/>
  <c r="P652" i="1"/>
  <c r="P653" i="1"/>
  <c r="P200" i="1"/>
  <c r="P650" i="1"/>
  <c r="P651" i="1"/>
  <c r="P208" i="1"/>
  <c r="P662" i="1"/>
  <c r="P663" i="1"/>
  <c r="P205" i="1"/>
  <c r="P664" i="1"/>
  <c r="P665" i="1"/>
  <c r="P206" i="1"/>
  <c r="P648" i="1"/>
  <c r="P649" i="1"/>
  <c r="P207" i="1"/>
  <c r="P672" i="1"/>
  <c r="P673" i="1"/>
  <c r="P210" i="1"/>
  <c r="P670" i="1"/>
  <c r="P671" i="1"/>
  <c r="P209" i="1"/>
  <c r="P668" i="1"/>
  <c r="P669" i="1"/>
  <c r="P212" i="1"/>
  <c r="P666" i="1"/>
  <c r="P667" i="1"/>
  <c r="P211" i="1"/>
  <c r="P678" i="1"/>
  <c r="P679" i="1"/>
  <c r="P215" i="1"/>
  <c r="P674" i="1"/>
  <c r="P675" i="1"/>
  <c r="P213" i="1"/>
  <c r="P676" i="1"/>
  <c r="P677" i="1"/>
  <c r="P214" i="1"/>
  <c r="P688" i="1"/>
  <c r="P689" i="1"/>
  <c r="P220" i="1"/>
  <c r="P692" i="1"/>
  <c r="P693" i="1"/>
  <c r="P222" i="1"/>
  <c r="P682" i="1"/>
  <c r="P683" i="1"/>
  <c r="P217" i="1"/>
  <c r="P686" i="1"/>
  <c r="P687" i="1"/>
  <c r="P219" i="1"/>
  <c r="P684" i="1"/>
  <c r="P685" i="1"/>
  <c r="P218" i="1"/>
  <c r="P690" i="1"/>
  <c r="P691" i="1"/>
  <c r="P221" i="1"/>
  <c r="P680" i="1"/>
  <c r="P681" i="1"/>
  <c r="P216" i="1"/>
  <c r="P706" i="1"/>
  <c r="P707" i="1"/>
  <c r="P228" i="1"/>
  <c r="P704" i="1"/>
  <c r="P705" i="1"/>
  <c r="P227" i="1"/>
  <c r="P702" i="1"/>
  <c r="P703" i="1"/>
  <c r="P226" i="1"/>
  <c r="P700" i="1"/>
  <c r="P701" i="1"/>
  <c r="P225" i="1"/>
  <c r="P698" i="1"/>
  <c r="P699" i="1"/>
  <c r="P224" i="1"/>
  <c r="P696" i="1"/>
  <c r="P697" i="1"/>
  <c r="P223" i="1"/>
  <c r="P708" i="1"/>
  <c r="P709" i="1"/>
  <c r="P229" i="1"/>
  <c r="P694" i="1"/>
  <c r="P695" i="1"/>
  <c r="P230" i="1"/>
  <c r="P716" i="1"/>
  <c r="P717" i="1"/>
  <c r="P234" i="1"/>
  <c r="P714" i="1"/>
  <c r="P715" i="1"/>
  <c r="P233" i="1"/>
  <c r="P712" i="1"/>
  <c r="P713" i="1"/>
  <c r="P232" i="1"/>
  <c r="P710" i="1"/>
  <c r="P711" i="1"/>
  <c r="P231" i="1"/>
  <c r="P720" i="1"/>
  <c r="P721" i="1"/>
  <c r="P236" i="1"/>
  <c r="P718" i="1"/>
  <c r="P719" i="1"/>
  <c r="P235" i="1"/>
  <c r="P722" i="1"/>
  <c r="P723" i="1"/>
  <c r="P237" i="1"/>
  <c r="P726" i="1"/>
  <c r="P727" i="1"/>
  <c r="P239" i="1"/>
  <c r="P734" i="1"/>
  <c r="P735" i="1"/>
  <c r="P243" i="1"/>
  <c r="P732" i="1"/>
  <c r="P733" i="1"/>
  <c r="P242" i="1"/>
  <c r="P730" i="1"/>
  <c r="P731" i="1"/>
  <c r="P241" i="1"/>
  <c r="P728" i="1"/>
  <c r="P729" i="1"/>
  <c r="P240" i="1"/>
  <c r="P724" i="1"/>
  <c r="P725" i="1"/>
  <c r="P238" i="1"/>
  <c r="P736" i="1"/>
  <c r="P737" i="1"/>
  <c r="P244" i="1"/>
  <c r="P738" i="1"/>
  <c r="P739" i="1"/>
  <c r="P245" i="1"/>
  <c r="P740" i="1"/>
  <c r="P741" i="1"/>
  <c r="P246" i="1"/>
  <c r="P744" i="1"/>
  <c r="P745" i="1"/>
  <c r="P248" i="1"/>
  <c r="P742" i="1"/>
  <c r="P743" i="1"/>
  <c r="P247" i="1"/>
  <c r="P750" i="1"/>
  <c r="P751" i="1"/>
  <c r="P250" i="1"/>
  <c r="P752" i="1"/>
  <c r="P753" i="1"/>
  <c r="P251" i="1"/>
  <c r="P748" i="1"/>
  <c r="P749" i="1"/>
  <c r="P249" i="1"/>
  <c r="P758" i="1"/>
  <c r="P759" i="1"/>
  <c r="P252" i="1"/>
  <c r="P756" i="1"/>
  <c r="P757" i="1"/>
  <c r="P254" i="1"/>
  <c r="P754" i="1"/>
  <c r="P755" i="1"/>
  <c r="P253" i="1"/>
  <c r="P762" i="1"/>
  <c r="P763" i="1"/>
  <c r="P256" i="1"/>
  <c r="P768" i="1"/>
  <c r="P769" i="1"/>
  <c r="P259" i="1"/>
  <c r="P766" i="1"/>
  <c r="P767" i="1"/>
  <c r="P258" i="1"/>
  <c r="P764" i="1"/>
  <c r="P765" i="1"/>
  <c r="P257" i="1"/>
  <c r="P760" i="1"/>
  <c r="P761" i="1"/>
  <c r="P255" i="1"/>
  <c r="P770" i="1"/>
  <c r="P771" i="1"/>
  <c r="P260" i="1"/>
  <c r="P772" i="1"/>
  <c r="P773" i="1"/>
  <c r="P261" i="1"/>
  <c r="P778" i="1"/>
  <c r="P779" i="1"/>
  <c r="P264" i="1"/>
  <c r="P776" i="1"/>
  <c r="P777" i="1"/>
  <c r="P263" i="1"/>
  <c r="P774" i="1"/>
  <c r="P775" i="1"/>
  <c r="P262" i="1"/>
  <c r="P780" i="1"/>
  <c r="P781" i="1"/>
  <c r="P265" i="1"/>
  <c r="P790" i="1"/>
  <c r="P791" i="1"/>
  <c r="P267" i="1"/>
  <c r="P786" i="1"/>
  <c r="P787" i="1"/>
  <c r="P269" i="1"/>
  <c r="P784" i="1"/>
  <c r="P785" i="1"/>
  <c r="P268" i="1"/>
  <c r="P782" i="1"/>
  <c r="P783" i="1"/>
  <c r="P266" i="1"/>
  <c r="P798" i="1"/>
  <c r="P799" i="1"/>
  <c r="P271" i="1"/>
  <c r="P796" i="1"/>
  <c r="P797" i="1"/>
  <c r="P270" i="1"/>
  <c r="P794" i="1"/>
  <c r="P795" i="1"/>
  <c r="P273" i="1"/>
  <c r="P792" i="1"/>
  <c r="P793" i="1"/>
  <c r="P272" i="1"/>
  <c r="P802" i="1"/>
  <c r="P803" i="1"/>
  <c r="P277" i="1"/>
  <c r="P808" i="1"/>
  <c r="P809" i="1"/>
  <c r="P278" i="1"/>
  <c r="P804" i="1"/>
  <c r="P805" i="1"/>
  <c r="P274" i="1"/>
  <c r="P806" i="1"/>
  <c r="P807" i="1"/>
  <c r="P275" i="1"/>
  <c r="P800" i="1"/>
  <c r="P801" i="1"/>
  <c r="P276" i="1"/>
  <c r="P810" i="1"/>
  <c r="P811" i="1"/>
  <c r="P279" i="1"/>
  <c r="P812" i="1"/>
  <c r="P813" i="1"/>
  <c r="P280" i="1"/>
  <c r="P814" i="1"/>
  <c r="P815" i="1"/>
  <c r="P281" i="1"/>
  <c r="P817" i="1"/>
  <c r="P818" i="1"/>
  <c r="P282" i="1"/>
  <c r="P393" i="1"/>
  <c r="P394" i="1"/>
  <c r="P469" i="1"/>
  <c r="P470" i="1"/>
  <c r="P746" i="1"/>
  <c r="P747" i="1"/>
  <c r="P788" i="1"/>
  <c r="P789" i="1"/>
  <c r="P439" i="1"/>
  <c r="P30" i="3"/>
  <c r="P31" i="3"/>
  <c r="P32" i="3"/>
  <c r="P33" i="3"/>
  <c r="P34" i="3"/>
  <c r="P35" i="3"/>
  <c r="P36" i="3"/>
  <c r="P37" i="3"/>
  <c r="P38" i="3"/>
  <c r="P39" i="3"/>
  <c r="P40" i="3"/>
  <c r="P42" i="3"/>
  <c r="P43" i="3"/>
  <c r="P44" i="3"/>
  <c r="P45" i="3"/>
  <c r="P46" i="3"/>
  <c r="P47" i="3"/>
  <c r="P48" i="3"/>
  <c r="P49" i="3"/>
  <c r="P50" i="3"/>
  <c r="P53" i="3"/>
  <c r="P51" i="3"/>
  <c r="P54" i="3"/>
  <c r="P52" i="3"/>
  <c r="P55" i="3"/>
  <c r="P56" i="3"/>
  <c r="P57" i="3"/>
  <c r="P58" i="3"/>
  <c r="P61" i="3"/>
  <c r="P59" i="3"/>
  <c r="P62" i="3"/>
  <c r="P60" i="3"/>
  <c r="P64" i="3"/>
  <c r="P63" i="3"/>
  <c r="P65" i="3"/>
  <c r="P66" i="3"/>
  <c r="P68" i="3"/>
  <c r="P67" i="3"/>
  <c r="P69" i="3"/>
  <c r="P70" i="3"/>
  <c r="P71" i="3"/>
  <c r="P72" i="3"/>
  <c r="P74" i="3"/>
  <c r="P73" i="3"/>
  <c r="P75" i="3"/>
  <c r="P76" i="3"/>
  <c r="P77" i="3"/>
  <c r="P78" i="3"/>
  <c r="P80" i="3"/>
  <c r="P79" i="3"/>
  <c r="P81" i="3"/>
  <c r="P82" i="3"/>
  <c r="P83" i="3"/>
  <c r="P84" i="3"/>
  <c r="P85" i="3"/>
  <c r="P86" i="3"/>
  <c r="P87" i="3"/>
  <c r="P88" i="3"/>
  <c r="P89" i="3"/>
  <c r="P91" i="3"/>
  <c r="P90" i="3"/>
  <c r="P92" i="3"/>
  <c r="P95" i="3"/>
  <c r="P93" i="3"/>
  <c r="P96" i="3"/>
  <c r="P94" i="3"/>
  <c r="P97" i="3"/>
  <c r="P22" i="3"/>
  <c r="P23" i="3"/>
  <c r="P5" i="3"/>
  <c r="P4" i="3"/>
  <c r="P6" i="3"/>
  <c r="P7" i="3"/>
  <c r="P8" i="3"/>
  <c r="P9" i="3"/>
  <c r="P10" i="3"/>
  <c r="P24" i="3"/>
  <c r="P11" i="3"/>
  <c r="P25" i="3"/>
  <c r="P12" i="3"/>
  <c r="P14" i="3"/>
  <c r="P13" i="3"/>
  <c r="P26" i="3"/>
  <c r="P15" i="3"/>
  <c r="P16" i="3"/>
  <c r="P27" i="3"/>
  <c r="P28" i="3"/>
  <c r="P17" i="3"/>
  <c r="P29" i="3"/>
  <c r="P18" i="3"/>
  <c r="P19" i="3"/>
  <c r="P20" i="3"/>
  <c r="P21" i="3"/>
  <c r="P41" i="3"/>
  <c r="P5" i="9"/>
  <c r="P6" i="9"/>
  <c r="P7" i="9"/>
  <c r="P8" i="9"/>
  <c r="P9" i="9"/>
  <c r="P10" i="9"/>
  <c r="P11" i="9"/>
  <c r="P12" i="9"/>
  <c r="P13" i="9"/>
  <c r="P14" i="9"/>
  <c r="P15" i="9"/>
  <c r="P16" i="9"/>
  <c r="P17" i="9"/>
  <c r="P18" i="9"/>
  <c r="P19" i="9"/>
  <c r="P20" i="9"/>
  <c r="P21" i="9"/>
  <c r="P22" i="9"/>
  <c r="P23" i="9"/>
  <c r="P24" i="9"/>
  <c r="P25" i="9"/>
  <c r="P26" i="9"/>
  <c r="P27" i="9"/>
  <c r="P28" i="9"/>
  <c r="P29" i="9"/>
  <c r="P30" i="9"/>
  <c r="P31" i="9"/>
  <c r="P32" i="9"/>
  <c r="P33" i="9"/>
  <c r="P34" i="9"/>
  <c r="P35" i="9"/>
  <c r="P36" i="9"/>
  <c r="P37" i="9"/>
  <c r="P38" i="9"/>
  <c r="P39" i="9"/>
  <c r="P40" i="9"/>
  <c r="P41" i="9"/>
  <c r="P42" i="9"/>
  <c r="P43" i="9"/>
  <c r="P44" i="9"/>
  <c r="P45" i="9"/>
  <c r="P46" i="9"/>
  <c r="P47" i="9"/>
  <c r="P49" i="9"/>
  <c r="P48" i="9"/>
  <c r="P51" i="9"/>
  <c r="P50" i="9"/>
  <c r="P52" i="9"/>
  <c r="P53" i="9"/>
  <c r="P54" i="9"/>
  <c r="P55" i="9"/>
  <c r="P56" i="9"/>
  <c r="P57" i="9"/>
  <c r="P58" i="9"/>
  <c r="P59" i="9"/>
  <c r="P60" i="9"/>
  <c r="P61" i="9"/>
  <c r="P62" i="9"/>
  <c r="P63" i="9"/>
  <c r="P65" i="9"/>
  <c r="P64" i="9"/>
  <c r="P66" i="9"/>
  <c r="P67" i="9"/>
  <c r="P68" i="9"/>
  <c r="P69" i="9"/>
  <c r="P70" i="9"/>
  <c r="P71" i="9"/>
  <c r="P72" i="9"/>
  <c r="P73" i="9"/>
  <c r="P74" i="9"/>
  <c r="P75" i="9"/>
  <c r="P76" i="9"/>
  <c r="P77" i="9"/>
  <c r="P78" i="9"/>
  <c r="P79" i="9"/>
  <c r="P80" i="9"/>
  <c r="P81" i="9"/>
  <c r="P83" i="9"/>
  <c r="P82" i="9"/>
  <c r="P84" i="9"/>
  <c r="P85" i="9"/>
  <c r="P86" i="9"/>
  <c r="P87" i="9"/>
  <c r="P88" i="9"/>
  <c r="P90" i="9"/>
  <c r="P89" i="9"/>
  <c r="P91" i="9"/>
  <c r="P92" i="9"/>
  <c r="P93" i="9"/>
  <c r="P94" i="9"/>
  <c r="P95" i="9"/>
  <c r="P4" i="9"/>
  <c r="D73" i="9"/>
  <c r="D54" i="9"/>
  <c r="N54" i="9"/>
  <c r="N73" i="9"/>
  <c r="N93" i="9"/>
  <c r="N94" i="9"/>
  <c r="N95" i="9"/>
  <c r="D93" i="9"/>
  <c r="D94" i="9"/>
  <c r="N26" i="9"/>
  <c r="N18" i="9"/>
  <c r="N17" i="9"/>
  <c r="N16" i="9"/>
  <c r="N15" i="9"/>
  <c r="N25" i="9"/>
  <c r="N14" i="9"/>
  <c r="N24" i="9"/>
  <c r="N13" i="9"/>
  <c r="N23" i="9"/>
  <c r="N22" i="9"/>
  <c r="N12" i="9"/>
  <c r="N11" i="9"/>
  <c r="N21" i="9"/>
  <c r="N9" i="9"/>
  <c r="N10" i="9"/>
  <c r="N20" i="9"/>
  <c r="N8" i="9"/>
  <c r="N7" i="9"/>
  <c r="N6" i="9"/>
  <c r="N19" i="9"/>
  <c r="N5" i="9"/>
  <c r="N4" i="9"/>
  <c r="D26" i="9"/>
  <c r="D18" i="9"/>
  <c r="D17" i="9"/>
  <c r="D16" i="9"/>
  <c r="D15" i="9"/>
  <c r="D25" i="9"/>
  <c r="D14" i="9"/>
  <c r="D24" i="9"/>
  <c r="D13" i="9"/>
  <c r="D23" i="9"/>
  <c r="D22" i="9"/>
  <c r="D12" i="9"/>
  <c r="D11" i="9"/>
  <c r="D21" i="9"/>
  <c r="D9" i="9"/>
  <c r="D10" i="9"/>
  <c r="D20" i="9"/>
  <c r="D8" i="9"/>
  <c r="D7" i="9"/>
  <c r="D6" i="9"/>
  <c r="D19" i="9"/>
  <c r="D5" i="9"/>
  <c r="D4" i="9"/>
  <c r="P5" i="8"/>
  <c r="P6" i="8"/>
  <c r="P7" i="8"/>
  <c r="P8" i="8"/>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0" i="8"/>
  <c r="P61" i="8"/>
  <c r="P62" i="8"/>
  <c r="P63" i="8"/>
  <c r="P64" i="8"/>
  <c r="P65" i="8"/>
  <c r="P66" i="8"/>
  <c r="P67" i="8"/>
  <c r="P68" i="8"/>
  <c r="P69" i="8"/>
  <c r="P70" i="8"/>
  <c r="P71" i="8"/>
  <c r="P72" i="8"/>
  <c r="P73" i="8"/>
  <c r="P74" i="8"/>
  <c r="P75" i="8"/>
  <c r="P76" i="8"/>
  <c r="P77" i="8"/>
  <c r="P78" i="8"/>
  <c r="P79" i="8"/>
  <c r="P80" i="8"/>
  <c r="P81" i="8"/>
  <c r="P82" i="8"/>
  <c r="P83" i="8"/>
  <c r="P84" i="8"/>
  <c r="P85" i="8"/>
  <c r="P86" i="8"/>
  <c r="P87" i="8"/>
  <c r="P88" i="8"/>
  <c r="P89" i="8"/>
  <c r="P90" i="8"/>
  <c r="P91" i="8"/>
  <c r="P92" i="8"/>
  <c r="P93" i="8"/>
  <c r="P94" i="8"/>
  <c r="P95" i="8"/>
  <c r="P96" i="8"/>
  <c r="P97" i="8"/>
  <c r="P98" i="8"/>
  <c r="P99" i="8"/>
  <c r="P100" i="8"/>
  <c r="P101" i="8"/>
  <c r="P102" i="8"/>
  <c r="P103" i="8"/>
  <c r="P104" i="8"/>
  <c r="P105" i="8"/>
  <c r="P106" i="8"/>
  <c r="P107" i="8"/>
  <c r="P108" i="8"/>
  <c r="P109" i="8"/>
  <c r="P110" i="8"/>
  <c r="P111" i="8"/>
  <c r="P112" i="8"/>
  <c r="P113" i="8"/>
  <c r="P114" i="8"/>
  <c r="P115" i="8"/>
  <c r="P116" i="8"/>
  <c r="P117" i="8"/>
  <c r="P118" i="8"/>
  <c r="P119" i="8"/>
  <c r="P120" i="8"/>
  <c r="P121" i="8"/>
  <c r="P122" i="8"/>
  <c r="P123" i="8"/>
  <c r="P124" i="8"/>
  <c r="P125" i="8"/>
  <c r="P126" i="8"/>
  <c r="P127" i="8"/>
  <c r="P128" i="8"/>
  <c r="P129" i="8"/>
  <c r="P130" i="8"/>
  <c r="P131" i="8"/>
  <c r="P132" i="8"/>
  <c r="P133" i="8"/>
  <c r="P134" i="8"/>
  <c r="P135" i="8"/>
  <c r="P136" i="8"/>
  <c r="P137" i="8"/>
  <c r="P138" i="8"/>
  <c r="P139" i="8"/>
  <c r="P140" i="8"/>
  <c r="P141" i="8"/>
  <c r="P142" i="8"/>
  <c r="P143" i="8"/>
  <c r="P144" i="8"/>
  <c r="P145" i="8"/>
  <c r="P146" i="8"/>
  <c r="P147" i="8"/>
  <c r="P148" i="8"/>
  <c r="P149" i="8"/>
  <c r="P150" i="8"/>
  <c r="P151" i="8"/>
  <c r="P152" i="8"/>
  <c r="P153" i="8"/>
  <c r="P154" i="8"/>
  <c r="P155" i="8"/>
  <c r="P156" i="8"/>
  <c r="P157" i="8"/>
  <c r="P158" i="8"/>
  <c r="P159" i="8"/>
  <c r="P160" i="8"/>
  <c r="P161" i="8"/>
  <c r="P162" i="8"/>
  <c r="P163" i="8"/>
  <c r="P164" i="8"/>
  <c r="P165" i="8"/>
  <c r="P166" i="8"/>
  <c r="P167" i="8"/>
  <c r="P168" i="8"/>
  <c r="P169" i="8"/>
  <c r="P170" i="8"/>
  <c r="P171" i="8"/>
  <c r="P172" i="8"/>
  <c r="P173" i="8"/>
  <c r="P174" i="8"/>
  <c r="P175" i="8"/>
  <c r="P176" i="8"/>
  <c r="P177" i="8"/>
  <c r="P178" i="8"/>
  <c r="P179" i="8"/>
  <c r="P180" i="8"/>
  <c r="P181" i="8"/>
  <c r="P182" i="8"/>
  <c r="P183" i="8"/>
  <c r="P184" i="8"/>
  <c r="P185" i="8"/>
  <c r="P186" i="8"/>
  <c r="P187" i="8"/>
  <c r="P188" i="8"/>
  <c r="P189" i="8"/>
  <c r="P190" i="8"/>
  <c r="P191" i="8"/>
  <c r="P192" i="8"/>
  <c r="P193" i="8"/>
  <c r="P194" i="8"/>
  <c r="P195" i="8"/>
  <c r="P196" i="8"/>
  <c r="P197" i="8"/>
  <c r="P198" i="8"/>
  <c r="P199" i="8"/>
  <c r="P200" i="8"/>
  <c r="P201" i="8"/>
  <c r="P202" i="8"/>
  <c r="P203" i="8"/>
  <c r="P204" i="8"/>
  <c r="P205" i="8"/>
  <c r="P206" i="8"/>
  <c r="P207" i="8"/>
  <c r="P208" i="8"/>
  <c r="P209" i="8"/>
  <c r="P210" i="8"/>
  <c r="P211" i="8"/>
  <c r="P212" i="8"/>
  <c r="P213" i="8"/>
  <c r="P214" i="8"/>
  <c r="P215" i="8"/>
  <c r="P216" i="8"/>
  <c r="P217" i="8"/>
  <c r="P218" i="8"/>
  <c r="P219" i="8"/>
  <c r="P220" i="8"/>
  <c r="P221" i="8"/>
  <c r="P222" i="8"/>
  <c r="P223" i="8"/>
  <c r="P224" i="8"/>
  <c r="P225" i="8"/>
  <c r="P226" i="8"/>
  <c r="P227" i="8"/>
  <c r="P228" i="8"/>
  <c r="P229" i="8"/>
  <c r="P230" i="8"/>
  <c r="P231" i="8"/>
  <c r="P232" i="8"/>
  <c r="P233" i="8"/>
  <c r="P234" i="8"/>
  <c r="P235" i="8"/>
  <c r="P236" i="8"/>
  <c r="P237" i="8"/>
  <c r="P238" i="8"/>
  <c r="P239" i="8"/>
  <c r="P240" i="8"/>
  <c r="P241" i="8"/>
  <c r="P242" i="8"/>
  <c r="P243" i="8"/>
  <c r="P244" i="8"/>
  <c r="P245" i="8"/>
  <c r="P246" i="8"/>
  <c r="P247" i="8"/>
  <c r="P248" i="8"/>
  <c r="P249" i="8"/>
  <c r="P250" i="8"/>
  <c r="P251" i="8"/>
  <c r="P252" i="8"/>
  <c r="P253" i="8"/>
  <c r="P254" i="8"/>
  <c r="P255" i="8"/>
  <c r="P256" i="8"/>
  <c r="P257" i="8"/>
  <c r="P258" i="8"/>
  <c r="P259" i="8"/>
  <c r="P260" i="8"/>
  <c r="P261" i="8"/>
  <c r="P262" i="8"/>
  <c r="P263" i="8"/>
  <c r="P264" i="8"/>
  <c r="P265" i="8"/>
  <c r="P266" i="8"/>
  <c r="P267" i="8"/>
  <c r="P268" i="8"/>
  <c r="P269" i="8"/>
  <c r="P270" i="8"/>
  <c r="P271" i="8"/>
  <c r="P4" i="8"/>
  <c r="N226" i="8"/>
  <c r="N227" i="8"/>
  <c r="N228" i="8"/>
  <c r="N229" i="8"/>
  <c r="N230" i="8"/>
  <c r="N231" i="8"/>
  <c r="N232" i="8"/>
  <c r="N233" i="8"/>
  <c r="N234" i="8"/>
  <c r="N235" i="8"/>
  <c r="N236" i="8"/>
  <c r="N237" i="8"/>
  <c r="N238" i="8"/>
  <c r="N239" i="8"/>
  <c r="N240" i="8"/>
  <c r="N241" i="8"/>
  <c r="N242" i="8"/>
  <c r="N243" i="8"/>
  <c r="N244" i="8"/>
  <c r="N245" i="8"/>
  <c r="N246" i="8"/>
  <c r="N247" i="8"/>
  <c r="N248" i="8"/>
  <c r="N249" i="8"/>
  <c r="N250" i="8"/>
  <c r="N251" i="8"/>
  <c r="N252" i="8"/>
  <c r="N253" i="8"/>
  <c r="N254" i="8"/>
  <c r="N255" i="8"/>
  <c r="N256" i="8"/>
  <c r="N257" i="8"/>
  <c r="N258" i="8"/>
  <c r="N259" i="8"/>
  <c r="N260" i="8"/>
  <c r="N261" i="8"/>
  <c r="N262" i="8"/>
  <c r="N263" i="8"/>
  <c r="N264" i="8"/>
  <c r="N265" i="8"/>
  <c r="N266" i="8"/>
  <c r="N267" i="8"/>
  <c r="N268" i="8"/>
  <c r="N269" i="8"/>
  <c r="N270" i="8"/>
  <c r="N271"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N182" i="8"/>
  <c r="N183" i="8"/>
  <c r="N184" i="8"/>
  <c r="N185" i="8"/>
  <c r="N186" i="8"/>
  <c r="N187" i="8"/>
  <c r="N188" i="8"/>
  <c r="N189" i="8"/>
  <c r="N190" i="8"/>
  <c r="N191" i="8"/>
  <c r="N192" i="8"/>
  <c r="N193" i="8"/>
  <c r="N194" i="8"/>
  <c r="N195" i="8"/>
  <c r="N196" i="8"/>
  <c r="N197" i="8"/>
  <c r="N198" i="8"/>
  <c r="N199" i="8"/>
  <c r="N200" i="8"/>
  <c r="N201" i="8"/>
  <c r="N202" i="8"/>
  <c r="N203" i="8"/>
  <c r="N204" i="8"/>
  <c r="N205" i="8"/>
  <c r="N206" i="8"/>
  <c r="N207" i="8"/>
  <c r="N208" i="8"/>
  <c r="N209" i="8"/>
  <c r="N210" i="8"/>
  <c r="N211" i="8"/>
  <c r="N212" i="8"/>
  <c r="N213" i="8"/>
  <c r="N214" i="8"/>
  <c r="N215" i="8"/>
  <c r="N216" i="8"/>
  <c r="N217" i="8"/>
  <c r="N218" i="8"/>
  <c r="N219" i="8"/>
  <c r="N220" i="8"/>
  <c r="N221" i="8"/>
  <c r="N222" i="8"/>
  <c r="N223" i="8"/>
  <c r="N224" i="8"/>
  <c r="N225" i="8"/>
  <c r="D218" i="8"/>
  <c r="D210" i="8"/>
  <c r="D202" i="8"/>
  <c r="D194" i="8"/>
  <c r="D186" i="8"/>
  <c r="D169" i="8"/>
  <c r="D165" i="8"/>
  <c r="D157" i="8"/>
  <c r="D156" i="8"/>
  <c r="D139" i="8"/>
  <c r="D124" i="8"/>
  <c r="D121" i="8"/>
  <c r="D111" i="8"/>
  <c r="D103" i="8"/>
  <c r="D94" i="8"/>
  <c r="D87" i="8"/>
  <c r="D85" i="8"/>
  <c r="D84" i="8"/>
  <c r="D79" i="8"/>
  <c r="D52" i="8"/>
  <c r="D50" i="8"/>
  <c r="D48" i="8"/>
  <c r="D46" i="8"/>
  <c r="D40" i="8"/>
  <c r="D29" i="8"/>
  <c r="D21" i="8"/>
  <c r="D20" i="8"/>
  <c r="D17" i="8"/>
  <c r="D15" i="8"/>
  <c r="D13" i="8"/>
  <c r="D5" i="8"/>
  <c r="D6" i="8"/>
  <c r="D7" i="8"/>
  <c r="D8" i="8"/>
  <c r="D9" i="8"/>
  <c r="D10" i="8"/>
  <c r="D11" i="8"/>
  <c r="D12" i="8"/>
  <c r="D23" i="8"/>
  <c r="D24" i="8"/>
  <c r="D25" i="8"/>
  <c r="D26" i="8"/>
  <c r="D27" i="8"/>
  <c r="D28" i="8"/>
  <c r="D30" i="8"/>
  <c r="D31" i="8"/>
  <c r="D32" i="8"/>
  <c r="D33" i="8"/>
  <c r="D34" i="8"/>
  <c r="D35" i="8"/>
  <c r="D36" i="8"/>
  <c r="D37" i="8"/>
  <c r="D38" i="8"/>
  <c r="D39" i="8"/>
  <c r="D42" i="8"/>
  <c r="D43" i="8"/>
  <c r="D44" i="8"/>
  <c r="D45" i="8"/>
  <c r="D51" i="8"/>
  <c r="D53" i="8"/>
  <c r="D54" i="8"/>
  <c r="D55" i="8"/>
  <c r="D56" i="8"/>
  <c r="D57" i="8"/>
  <c r="D58" i="8"/>
  <c r="D59" i="8"/>
  <c r="D60" i="8"/>
  <c r="D61" i="8"/>
  <c r="D62" i="8"/>
  <c r="D63" i="8"/>
  <c r="D64" i="8"/>
  <c r="D65" i="8"/>
  <c r="D66" i="8"/>
  <c r="D67" i="8"/>
  <c r="D68" i="8"/>
  <c r="D69" i="8"/>
  <c r="D70" i="8"/>
  <c r="D71" i="8"/>
  <c r="D72" i="8"/>
  <c r="D73" i="8"/>
  <c r="D74" i="8"/>
  <c r="D75" i="8"/>
  <c r="D76" i="8"/>
  <c r="D77" i="8"/>
  <c r="D78" i="8"/>
  <c r="D81" i="8"/>
  <c r="D82" i="8"/>
  <c r="D89" i="8"/>
  <c r="D90" i="8"/>
  <c r="D91" i="8"/>
  <c r="D92" i="8"/>
  <c r="D93" i="8"/>
  <c r="D95" i="8"/>
  <c r="D96" i="8"/>
  <c r="D97" i="8"/>
  <c r="D98" i="8"/>
  <c r="D99" i="8"/>
  <c r="D100" i="8"/>
  <c r="D101" i="8"/>
  <c r="D102" i="8"/>
  <c r="D105" i="8"/>
  <c r="D106" i="8"/>
  <c r="D107" i="8"/>
  <c r="D108" i="8"/>
  <c r="D109" i="8"/>
  <c r="D110" i="8"/>
  <c r="D112" i="8"/>
  <c r="D113" i="8"/>
  <c r="D114" i="8"/>
  <c r="D115" i="8"/>
  <c r="D116" i="8"/>
  <c r="D117" i="8"/>
  <c r="D118" i="8"/>
  <c r="D119" i="8"/>
  <c r="D120" i="8"/>
  <c r="D125" i="8"/>
  <c r="D126" i="8"/>
  <c r="D127" i="8"/>
  <c r="D128" i="8"/>
  <c r="D129" i="8"/>
  <c r="D130" i="8"/>
  <c r="D131" i="8"/>
  <c r="D132" i="8"/>
  <c r="D133" i="8"/>
  <c r="D134" i="8"/>
  <c r="D135" i="8"/>
  <c r="D136" i="8"/>
  <c r="D137" i="8"/>
  <c r="D138" i="8"/>
  <c r="D141" i="8"/>
  <c r="D142" i="8"/>
  <c r="D143" i="8"/>
  <c r="D144" i="8"/>
  <c r="D145" i="8"/>
  <c r="D146" i="8"/>
  <c r="D147" i="8"/>
  <c r="D148" i="8"/>
  <c r="D149" i="8"/>
  <c r="D150" i="8"/>
  <c r="D151" i="8"/>
  <c r="D152" i="8"/>
  <c r="D153" i="8"/>
  <c r="D154" i="8"/>
  <c r="D159" i="8"/>
  <c r="D160" i="8"/>
  <c r="D161" i="8"/>
  <c r="D162" i="8"/>
  <c r="D163" i="8"/>
  <c r="D164" i="8"/>
  <c r="D167" i="8"/>
  <c r="D170" i="8"/>
  <c r="D171" i="8"/>
  <c r="D172" i="8"/>
  <c r="D173" i="8"/>
  <c r="D174" i="8"/>
  <c r="D175" i="8"/>
  <c r="D176" i="8"/>
  <c r="D177" i="8"/>
  <c r="D178" i="8"/>
  <c r="D179" i="8"/>
  <c r="D180" i="8"/>
  <c r="D181" i="8"/>
  <c r="D182" i="8"/>
  <c r="D183" i="8"/>
  <c r="D185" i="8"/>
  <c r="D191" i="8"/>
  <c r="D192" i="8"/>
  <c r="D193" i="8"/>
  <c r="D199" i="8"/>
  <c r="D201" i="8"/>
  <c r="D207" i="8"/>
  <c r="D208" i="8"/>
  <c r="D209" i="8"/>
  <c r="D215" i="8"/>
  <c r="D217" i="8"/>
  <c r="D223" i="8"/>
  <c r="D224" i="8"/>
  <c r="D225" i="8"/>
  <c r="N176" i="8"/>
  <c r="D5" i="36"/>
  <c r="D6" i="36"/>
  <c r="D7" i="36"/>
  <c r="D8" i="36"/>
  <c r="D9" i="36"/>
  <c r="D10" i="36"/>
  <c r="D11" i="36"/>
  <c r="D12" i="36"/>
  <c r="D13" i="36"/>
  <c r="D14" i="36"/>
  <c r="D15" i="36"/>
  <c r="D16" i="36"/>
  <c r="D17" i="36"/>
  <c r="D18" i="36"/>
  <c r="D19" i="36"/>
  <c r="D20" i="36"/>
  <c r="D21" i="36"/>
  <c r="D22" i="36"/>
  <c r="D23" i="36"/>
  <c r="D24" i="36"/>
  <c r="D25" i="36"/>
  <c r="D26" i="36"/>
  <c r="D27" i="36"/>
  <c r="D28" i="36"/>
  <c r="D29" i="36"/>
  <c r="D30" i="36"/>
  <c r="D31" i="36"/>
  <c r="D32" i="36"/>
  <c r="D33" i="36"/>
  <c r="D34" i="36"/>
  <c r="D35" i="36"/>
  <c r="D36" i="36"/>
  <c r="D37" i="36"/>
  <c r="D38" i="36"/>
  <c r="D39" i="36"/>
  <c r="D40" i="36"/>
  <c r="D41" i="36"/>
  <c r="D42" i="36"/>
  <c r="D43" i="36"/>
  <c r="D44" i="36"/>
  <c r="D45" i="36"/>
  <c r="D46" i="36"/>
  <c r="D47" i="36"/>
  <c r="D48" i="36"/>
  <c r="D49" i="36"/>
  <c r="D50" i="36"/>
  <c r="D51" i="36"/>
  <c r="D52" i="36"/>
  <c r="D53" i="36"/>
  <c r="D54" i="36"/>
  <c r="D55" i="36"/>
  <c r="D56" i="36"/>
  <c r="D57" i="36"/>
  <c r="D58" i="36"/>
  <c r="D59" i="36"/>
  <c r="D60" i="36"/>
  <c r="D61" i="36"/>
  <c r="D62" i="36"/>
  <c r="D63" i="36"/>
  <c r="D64" i="36"/>
  <c r="D65" i="36"/>
  <c r="D66" i="36"/>
  <c r="D67" i="36"/>
  <c r="D68" i="36"/>
  <c r="D69" i="36"/>
  <c r="D70" i="36"/>
  <c r="D71" i="36"/>
  <c r="D72" i="36"/>
  <c r="D73" i="36"/>
  <c r="D74" i="36"/>
  <c r="D75" i="36"/>
  <c r="D76" i="36"/>
  <c r="D77" i="36"/>
  <c r="D78" i="36"/>
  <c r="D79" i="36"/>
  <c r="D80" i="36"/>
  <c r="D81" i="36"/>
  <c r="D82" i="36"/>
  <c r="D83" i="36"/>
  <c r="D84" i="36"/>
  <c r="D85" i="36"/>
  <c r="D86" i="36"/>
  <c r="D87" i="36"/>
  <c r="D88" i="36"/>
  <c r="D89" i="36"/>
  <c r="D90" i="36"/>
  <c r="D91" i="36"/>
  <c r="D92" i="36"/>
  <c r="D93" i="36"/>
  <c r="D94" i="36"/>
  <c r="D95" i="36"/>
  <c r="D96" i="36"/>
  <c r="D97" i="36"/>
  <c r="D98" i="36"/>
  <c r="D99" i="36"/>
  <c r="D100" i="36"/>
  <c r="D101" i="36"/>
  <c r="D102" i="36"/>
  <c r="D103" i="36"/>
  <c r="D104" i="36"/>
  <c r="D105" i="36"/>
  <c r="D106" i="36"/>
  <c r="D107" i="36"/>
  <c r="D108" i="36"/>
  <c r="D109" i="36"/>
  <c r="D110" i="36"/>
  <c r="D111" i="36"/>
  <c r="D112" i="36"/>
  <c r="D113" i="36"/>
  <c r="D114" i="36"/>
  <c r="D115" i="36"/>
  <c r="D116" i="36"/>
  <c r="D117" i="36"/>
  <c r="D118" i="36"/>
  <c r="D119" i="36"/>
  <c r="D120" i="36"/>
  <c r="D121" i="36"/>
  <c r="D122" i="36"/>
  <c r="D123" i="36"/>
  <c r="D124" i="36"/>
  <c r="D125" i="36"/>
  <c r="D126" i="36"/>
  <c r="D127" i="36"/>
  <c r="D128" i="36"/>
  <c r="D129" i="36"/>
  <c r="D130" i="36"/>
  <c r="D131" i="36"/>
  <c r="D132" i="36"/>
  <c r="D133" i="36"/>
  <c r="D134" i="36"/>
  <c r="D135" i="36"/>
  <c r="D136" i="36"/>
  <c r="D137" i="36"/>
  <c r="D138" i="36"/>
  <c r="D139" i="36"/>
  <c r="D140" i="36"/>
  <c r="D141" i="36"/>
  <c r="D142" i="36"/>
  <c r="D143" i="36"/>
  <c r="D144" i="36"/>
  <c r="D145" i="36"/>
  <c r="D146" i="36"/>
  <c r="D147" i="36"/>
  <c r="D148" i="36"/>
  <c r="D149" i="36"/>
  <c r="D150" i="36"/>
  <c r="D151" i="36"/>
  <c r="D152" i="36"/>
  <c r="D153" i="36"/>
  <c r="D154" i="36"/>
  <c r="D155" i="36"/>
  <c r="D156" i="36"/>
  <c r="D157" i="36"/>
  <c r="D158" i="36"/>
  <c r="D159" i="36"/>
  <c r="D160" i="36"/>
  <c r="D161" i="36"/>
  <c r="D162" i="36"/>
  <c r="D163" i="36"/>
  <c r="D164" i="36"/>
  <c r="D165" i="36"/>
  <c r="D166" i="36"/>
  <c r="D167" i="36"/>
  <c r="D168" i="36"/>
  <c r="D169" i="36"/>
  <c r="D170" i="36"/>
  <c r="D171" i="36"/>
  <c r="D172" i="36"/>
  <c r="D173" i="36"/>
  <c r="D174" i="36"/>
  <c r="D175" i="36"/>
  <c r="D176" i="36"/>
  <c r="D177" i="36"/>
  <c r="D178" i="36"/>
  <c r="D179" i="36"/>
  <c r="D180" i="36"/>
  <c r="D181" i="36"/>
  <c r="D182" i="36"/>
  <c r="D183" i="36"/>
  <c r="D184" i="36"/>
  <c r="D185" i="36"/>
  <c r="D186" i="36"/>
  <c r="D187" i="36"/>
  <c r="D188" i="36"/>
  <c r="D189" i="36"/>
  <c r="D190" i="36"/>
  <c r="D191" i="36"/>
  <c r="D192" i="36"/>
  <c r="D193" i="36"/>
  <c r="D194" i="36"/>
  <c r="D195" i="36"/>
  <c r="D196" i="36"/>
  <c r="D197" i="36"/>
  <c r="D198" i="36"/>
  <c r="D199" i="36"/>
  <c r="D200" i="36"/>
  <c r="D201" i="36"/>
  <c r="D202" i="36"/>
  <c r="D203" i="36"/>
  <c r="D204" i="36"/>
  <c r="D205" i="36"/>
  <c r="D206" i="36"/>
  <c r="N70" i="36"/>
  <c r="P70" i="36"/>
  <c r="P7" i="36"/>
  <c r="P8" i="36"/>
  <c r="P9" i="36"/>
  <c r="P10" i="36"/>
  <c r="P11" i="36"/>
  <c r="N7" i="36"/>
  <c r="N8" i="36"/>
  <c r="N9" i="36"/>
  <c r="N10" i="36"/>
  <c r="N11" i="36"/>
  <c r="P6" i="36"/>
  <c r="P5" i="36"/>
  <c r="P4" i="36"/>
  <c r="P19" i="36"/>
  <c r="P17" i="36"/>
  <c r="P18" i="36"/>
  <c r="P16" i="36"/>
  <c r="P15" i="36"/>
  <c r="P14" i="36"/>
  <c r="P13" i="36"/>
  <c r="P12" i="36"/>
  <c r="N6" i="36"/>
  <c r="N5" i="36"/>
  <c r="N4" i="36"/>
  <c r="N19" i="36"/>
  <c r="N17" i="36"/>
  <c r="N18" i="36"/>
  <c r="N16" i="36"/>
  <c r="N15" i="36"/>
  <c r="N14" i="36"/>
  <c r="N13" i="36"/>
  <c r="N12" i="36"/>
  <c r="D4" i="36"/>
  <c r="P194" i="36"/>
  <c r="P169" i="36"/>
  <c r="P159" i="36"/>
  <c r="P116" i="36"/>
  <c r="P115" i="36"/>
  <c r="P96" i="36"/>
  <c r="P90" i="36"/>
  <c r="P59" i="36"/>
  <c r="P56" i="36"/>
  <c r="P55" i="36"/>
  <c r="P51" i="36"/>
  <c r="P50" i="36"/>
  <c r="P47" i="36"/>
  <c r="P45" i="36"/>
  <c r="P43" i="36"/>
  <c r="P42" i="36"/>
  <c r="P38" i="36"/>
  <c r="P40" i="36"/>
  <c r="P36" i="36"/>
  <c r="P35" i="36"/>
  <c r="P34" i="36"/>
  <c r="P31" i="36"/>
  <c r="P30" i="36"/>
  <c r="P27" i="36"/>
  <c r="P25" i="36"/>
  <c r="P23" i="36"/>
  <c r="P21" i="36"/>
  <c r="P67" i="36"/>
  <c r="P20" i="36"/>
  <c r="P68" i="36"/>
  <c r="P69" i="36"/>
  <c r="P75" i="36"/>
  <c r="P76" i="36"/>
  <c r="P24" i="36"/>
  <c r="P73" i="36"/>
  <c r="P74" i="36"/>
  <c r="P71" i="36"/>
  <c r="P72" i="36"/>
  <c r="P22" i="36"/>
  <c r="P79" i="36"/>
  <c r="P80" i="36"/>
  <c r="P26" i="36"/>
  <c r="P77" i="36"/>
  <c r="P78" i="36"/>
  <c r="P81" i="36"/>
  <c r="P82" i="36"/>
  <c r="P83" i="36"/>
  <c r="P84" i="36"/>
  <c r="P28" i="36"/>
  <c r="P85" i="36"/>
  <c r="P86" i="36"/>
  <c r="P29" i="36"/>
  <c r="P99" i="36"/>
  <c r="P100" i="36"/>
  <c r="P105" i="36"/>
  <c r="P106" i="36"/>
  <c r="P109" i="36"/>
  <c r="P110" i="36"/>
  <c r="P33" i="36"/>
  <c r="P107" i="36"/>
  <c r="P108" i="36"/>
  <c r="P32" i="36"/>
  <c r="P111" i="36"/>
  <c r="P112" i="36"/>
  <c r="P117" i="36"/>
  <c r="P118" i="36"/>
  <c r="P119" i="36"/>
  <c r="P120" i="36"/>
  <c r="P127" i="36"/>
  <c r="P128" i="36"/>
  <c r="P125" i="36"/>
  <c r="P126" i="36"/>
  <c r="P39" i="36"/>
  <c r="P123" i="36"/>
  <c r="P124" i="36"/>
  <c r="P121" i="36"/>
  <c r="P122" i="36"/>
  <c r="P37" i="36"/>
  <c r="P129" i="36"/>
  <c r="P130" i="36"/>
  <c r="P41" i="36"/>
  <c r="P133" i="36"/>
  <c r="P134" i="36"/>
  <c r="P135" i="36"/>
  <c r="P136" i="36"/>
  <c r="P137" i="36"/>
  <c r="P138" i="36"/>
  <c r="P44" i="36"/>
  <c r="P139" i="36"/>
  <c r="P140" i="36"/>
  <c r="P143" i="36"/>
  <c r="P144" i="36"/>
  <c r="P141" i="36"/>
  <c r="P142" i="36"/>
  <c r="P46" i="36"/>
  <c r="P147" i="36"/>
  <c r="P148" i="36"/>
  <c r="P48" i="36"/>
  <c r="P149" i="36"/>
  <c r="P150" i="36"/>
  <c r="P49" i="36"/>
  <c r="P161" i="36"/>
  <c r="P162" i="36"/>
  <c r="P163" i="36"/>
  <c r="P164" i="36"/>
  <c r="P165" i="36"/>
  <c r="P166" i="36"/>
  <c r="P52" i="36"/>
  <c r="P167" i="36"/>
  <c r="P168" i="36"/>
  <c r="P53" i="36"/>
  <c r="P173" i="36"/>
  <c r="P174" i="36"/>
  <c r="P171" i="36"/>
  <c r="P172" i="36"/>
  <c r="P54" i="36"/>
  <c r="P179" i="36"/>
  <c r="P180" i="36"/>
  <c r="P58" i="36"/>
  <c r="P177" i="36"/>
  <c r="P178" i="36"/>
  <c r="P57" i="36"/>
  <c r="P175" i="36"/>
  <c r="P176" i="36"/>
  <c r="P181" i="36"/>
  <c r="P182" i="36"/>
  <c r="P183" i="36"/>
  <c r="P184" i="36"/>
  <c r="P187" i="36"/>
  <c r="P188" i="36"/>
  <c r="P62" i="36"/>
  <c r="P185" i="36"/>
  <c r="P186" i="36"/>
  <c r="P61" i="36"/>
  <c r="P197" i="36"/>
  <c r="P198" i="36"/>
  <c r="P63" i="36"/>
  <c r="P203" i="36"/>
  <c r="P204" i="36"/>
  <c r="P65" i="36"/>
  <c r="P201" i="36"/>
  <c r="P202" i="36"/>
  <c r="P64" i="36"/>
  <c r="P88" i="36"/>
  <c r="P87" i="36"/>
  <c r="P91" i="36"/>
  <c r="P92" i="36"/>
  <c r="P94" i="36"/>
  <c r="P98" i="36"/>
  <c r="P93" i="36"/>
  <c r="P97" i="36"/>
  <c r="P102" i="36"/>
  <c r="P104" i="36"/>
  <c r="P101" i="36"/>
  <c r="P103" i="36"/>
  <c r="P113" i="36"/>
  <c r="P114" i="36"/>
  <c r="P131" i="36"/>
  <c r="P145" i="36"/>
  <c r="P151" i="36"/>
  <c r="P154" i="36"/>
  <c r="P158" i="36"/>
  <c r="P157" i="36"/>
  <c r="P153" i="36"/>
  <c r="P156" i="36"/>
  <c r="P152" i="36"/>
  <c r="P155" i="36"/>
  <c r="P160" i="36"/>
  <c r="P170" i="36"/>
  <c r="P192" i="36"/>
  <c r="P189" i="36"/>
  <c r="P190" i="36"/>
  <c r="P193" i="36"/>
  <c r="P196" i="36"/>
  <c r="P195" i="36"/>
  <c r="P199" i="36"/>
  <c r="P200" i="36"/>
  <c r="P205" i="36"/>
  <c r="P206" i="36"/>
  <c r="P66" i="36"/>
  <c r="N184" i="36"/>
  <c r="N60" i="36"/>
  <c r="N187" i="36"/>
  <c r="N188" i="36"/>
  <c r="N62" i="36"/>
  <c r="N185" i="36"/>
  <c r="N186" i="36"/>
  <c r="N61" i="36"/>
  <c r="N197" i="36"/>
  <c r="N198" i="36"/>
  <c r="N63" i="36"/>
  <c r="N203" i="36"/>
  <c r="N204" i="36"/>
  <c r="N65" i="36"/>
  <c r="N201" i="36"/>
  <c r="N202" i="36"/>
  <c r="N64" i="36"/>
  <c r="N88" i="36"/>
  <c r="N90" i="36"/>
  <c r="N87" i="36"/>
  <c r="N89" i="36"/>
  <c r="N91" i="36"/>
  <c r="N95" i="36"/>
  <c r="N92" i="36"/>
  <c r="N96" i="36"/>
  <c r="N94" i="36"/>
  <c r="N98" i="36"/>
  <c r="N93" i="36"/>
  <c r="N97" i="36"/>
  <c r="N102" i="36"/>
  <c r="N104" i="36"/>
  <c r="N101" i="36"/>
  <c r="N103" i="36"/>
  <c r="N113" i="36"/>
  <c r="N115" i="36"/>
  <c r="N114" i="36"/>
  <c r="N116" i="36"/>
  <c r="N131" i="36"/>
  <c r="N132" i="36"/>
  <c r="N145" i="36"/>
  <c r="N146" i="36"/>
  <c r="N151" i="36"/>
  <c r="N154" i="36"/>
  <c r="N158" i="36"/>
  <c r="N157" i="36"/>
  <c r="N153" i="36"/>
  <c r="N156" i="36"/>
  <c r="N152" i="36"/>
  <c r="N155" i="36"/>
  <c r="N160" i="36"/>
  <c r="N159" i="36"/>
  <c r="N170" i="36"/>
  <c r="N169" i="36"/>
  <c r="N192" i="36"/>
  <c r="N191" i="36"/>
  <c r="N189" i="36"/>
  <c r="N190" i="36"/>
  <c r="N193" i="36"/>
  <c r="N194" i="36"/>
  <c r="N196" i="36"/>
  <c r="N195" i="36"/>
  <c r="N199" i="36"/>
  <c r="N200" i="36"/>
  <c r="N205" i="36"/>
  <c r="N206" i="36"/>
  <c r="D50" i="38"/>
  <c r="P50" i="38"/>
  <c r="N50" i="38"/>
  <c r="P4" i="38"/>
  <c r="P7" i="38"/>
  <c r="P5" i="38"/>
  <c r="P8" i="38"/>
  <c r="P6" i="38"/>
  <c r="N4" i="38"/>
  <c r="N7" i="38"/>
  <c r="N5" i="38"/>
  <c r="N8" i="38"/>
  <c r="N6" i="38"/>
  <c r="D4" i="38"/>
  <c r="C4" i="38" s="1"/>
  <c r="E4" i="38" s="1"/>
  <c r="D7" i="38"/>
  <c r="D5" i="38"/>
  <c r="D8" i="38"/>
  <c r="D6" i="38"/>
  <c r="P139" i="35"/>
  <c r="P140" i="35"/>
  <c r="P141" i="35"/>
  <c r="P142" i="35"/>
  <c r="P143" i="35"/>
  <c r="N139" i="35"/>
  <c r="N140" i="35"/>
  <c r="N141" i="35"/>
  <c r="N142" i="35"/>
  <c r="N143" i="35"/>
  <c r="D139" i="35"/>
  <c r="D140" i="35"/>
  <c r="D141" i="35"/>
  <c r="D142" i="35"/>
  <c r="D143" i="35"/>
  <c r="P45" i="38"/>
  <c r="D15" i="38"/>
  <c r="D16" i="38"/>
  <c r="D18" i="38"/>
  <c r="D9" i="38"/>
  <c r="N49" i="38"/>
  <c r="D49" i="38"/>
  <c r="N43" i="38"/>
  <c r="D43" i="38"/>
  <c r="N41" i="38"/>
  <c r="D41" i="38"/>
  <c r="N37" i="38"/>
  <c r="D37" i="38"/>
  <c r="N35" i="38"/>
  <c r="D35" i="38"/>
  <c r="N31" i="38"/>
  <c r="D31" i="38"/>
  <c r="N29" i="38"/>
  <c r="D29" i="38"/>
  <c r="N27" i="38"/>
  <c r="D27" i="38"/>
  <c r="N25" i="38"/>
  <c r="D25" i="38"/>
  <c r="N23" i="38"/>
  <c r="D23" i="38"/>
  <c r="N21" i="38"/>
  <c r="D21" i="38"/>
  <c r="N45" i="38"/>
  <c r="P44" i="38"/>
  <c r="N44" i="38"/>
  <c r="D44" i="38"/>
  <c r="P39" i="38"/>
  <c r="N39" i="38"/>
  <c r="D39" i="38"/>
  <c r="P33" i="38"/>
  <c r="N33" i="38"/>
  <c r="D33" i="38"/>
  <c r="P47" i="38"/>
  <c r="N47" i="38"/>
  <c r="D47" i="38"/>
  <c r="P46" i="38"/>
  <c r="N46" i="38"/>
  <c r="D46" i="38"/>
  <c r="P38" i="38"/>
  <c r="N38" i="38"/>
  <c r="D38" i="38"/>
  <c r="P32" i="38"/>
  <c r="N32" i="38"/>
  <c r="D32" i="38"/>
  <c r="P19" i="38"/>
  <c r="N19" i="38"/>
  <c r="D19" i="38"/>
  <c r="P18" i="38"/>
  <c r="N18" i="38"/>
  <c r="N17" i="38"/>
  <c r="N16" i="38"/>
  <c r="P15" i="38"/>
  <c r="N15" i="38"/>
  <c r="P14" i="38"/>
  <c r="N14" i="38"/>
  <c r="D14" i="38"/>
  <c r="P13" i="38"/>
  <c r="N13" i="38"/>
  <c r="D13" i="38"/>
  <c r="P12" i="38"/>
  <c r="N12" i="38"/>
  <c r="D12" i="38"/>
  <c r="P11" i="38"/>
  <c r="N11" i="38"/>
  <c r="D11" i="38"/>
  <c r="P10" i="38"/>
  <c r="N10" i="38"/>
  <c r="D10" i="38"/>
  <c r="P9" i="38"/>
  <c r="N9" i="38"/>
  <c r="P49" i="38"/>
  <c r="P43" i="38"/>
  <c r="P41" i="38"/>
  <c r="P37" i="38"/>
  <c r="P35" i="38"/>
  <c r="P31" i="38"/>
  <c r="P29" i="38"/>
  <c r="P27" i="38"/>
  <c r="P25" i="38"/>
  <c r="P23" i="38"/>
  <c r="P21" i="38"/>
  <c r="P48" i="38"/>
  <c r="N48" i="38"/>
  <c r="D48" i="38"/>
  <c r="P42" i="38"/>
  <c r="N42" i="38"/>
  <c r="D42" i="38"/>
  <c r="P40" i="38"/>
  <c r="N40" i="38"/>
  <c r="D40" i="38"/>
  <c r="P36" i="38"/>
  <c r="N36" i="38"/>
  <c r="D36" i="38"/>
  <c r="P34" i="38"/>
  <c r="N34" i="38"/>
  <c r="D34" i="38"/>
  <c r="P30" i="38"/>
  <c r="N30" i="38"/>
  <c r="D30" i="38"/>
  <c r="P28" i="38"/>
  <c r="N28" i="38"/>
  <c r="D28" i="38"/>
  <c r="P26" i="38"/>
  <c r="N26" i="38"/>
  <c r="D26" i="38"/>
  <c r="P24" i="38"/>
  <c r="N24" i="38"/>
  <c r="D24" i="38"/>
  <c r="P22" i="38"/>
  <c r="N22" i="38"/>
  <c r="D22" i="38"/>
  <c r="P20" i="38"/>
  <c r="N20" i="38"/>
  <c r="D20" i="38"/>
  <c r="P44" i="35"/>
  <c r="P4" i="35"/>
  <c r="P45" i="35"/>
  <c r="P46" i="35"/>
  <c r="P5" i="35"/>
  <c r="P49" i="35"/>
  <c r="P50" i="35"/>
  <c r="P7" i="35"/>
  <c r="P51" i="35"/>
  <c r="P52" i="35"/>
  <c r="P8" i="35"/>
  <c r="P47" i="35"/>
  <c r="P48" i="35"/>
  <c r="P6" i="35"/>
  <c r="P55" i="35"/>
  <c r="P56" i="35"/>
  <c r="P10" i="35"/>
  <c r="P53" i="35"/>
  <c r="P54" i="35"/>
  <c r="P9" i="35"/>
  <c r="P57" i="35"/>
  <c r="P58" i="35"/>
  <c r="P11" i="35"/>
  <c r="P61" i="35"/>
  <c r="P62" i="35"/>
  <c r="P12" i="35"/>
  <c r="P63" i="35"/>
  <c r="P64" i="35"/>
  <c r="P13" i="35"/>
  <c r="P65" i="35"/>
  <c r="P66" i="35"/>
  <c r="P14" i="35"/>
  <c r="P67" i="35"/>
  <c r="P68" i="35"/>
  <c r="P15" i="35"/>
  <c r="P69" i="35"/>
  <c r="P70" i="35"/>
  <c r="P16" i="35"/>
  <c r="P71" i="35"/>
  <c r="P72" i="35"/>
  <c r="P17" i="35"/>
  <c r="P73" i="35"/>
  <c r="P74" i="35"/>
  <c r="P18" i="35"/>
  <c r="P75" i="35"/>
  <c r="P76" i="35"/>
  <c r="P19" i="35"/>
  <c r="P77" i="35"/>
  <c r="P78" i="35"/>
  <c r="P20" i="35"/>
  <c r="P79" i="35"/>
  <c r="P80" i="35"/>
  <c r="P21" i="35"/>
  <c r="P81" i="35"/>
  <c r="P82" i="35"/>
  <c r="P22" i="35"/>
  <c r="P83" i="35"/>
  <c r="P84" i="35"/>
  <c r="P23" i="35"/>
  <c r="P85" i="35"/>
  <c r="P86" i="35"/>
  <c r="P24" i="35"/>
  <c r="P87" i="35"/>
  <c r="P88" i="35"/>
  <c r="P25" i="35"/>
  <c r="P89" i="35"/>
  <c r="P90" i="35"/>
  <c r="P26" i="35"/>
  <c r="P91" i="35"/>
  <c r="P92" i="35"/>
  <c r="P27" i="35"/>
  <c r="P93" i="35"/>
  <c r="P94" i="35"/>
  <c r="P28" i="35"/>
  <c r="P95" i="35"/>
  <c r="P96" i="35"/>
  <c r="P29" i="35"/>
  <c r="P99" i="35"/>
  <c r="P100" i="35"/>
  <c r="P31" i="35"/>
  <c r="P97" i="35"/>
  <c r="P98" i="35"/>
  <c r="P30" i="35"/>
  <c r="P105" i="35"/>
  <c r="P106" i="35"/>
  <c r="P32" i="35"/>
  <c r="P107" i="35"/>
  <c r="P108" i="35"/>
  <c r="P33" i="35"/>
  <c r="P111" i="35"/>
  <c r="P112" i="35"/>
  <c r="P35" i="35"/>
  <c r="P109" i="35"/>
  <c r="P110" i="35"/>
  <c r="P34" i="35"/>
  <c r="P113" i="35"/>
  <c r="P114" i="35"/>
  <c r="P36" i="35"/>
  <c r="P115" i="35"/>
  <c r="P116" i="35"/>
  <c r="P37" i="35"/>
  <c r="P119" i="35"/>
  <c r="P120" i="35"/>
  <c r="P39" i="35"/>
  <c r="P121" i="35"/>
  <c r="P122" i="35"/>
  <c r="P40" i="35"/>
  <c r="P117" i="35"/>
  <c r="P118" i="35"/>
  <c r="P38" i="35"/>
  <c r="P131" i="35"/>
  <c r="P132" i="35"/>
  <c r="P41" i="35"/>
  <c r="P133" i="35"/>
  <c r="P134" i="35"/>
  <c r="P42" i="35"/>
  <c r="P59" i="35"/>
  <c r="P60" i="35"/>
  <c r="P101" i="35"/>
  <c r="P102" i="35"/>
  <c r="P103" i="35"/>
  <c r="P104" i="35"/>
  <c r="P124" i="35"/>
  <c r="P126" i="35"/>
  <c r="P123" i="35"/>
  <c r="P125" i="35"/>
  <c r="P130" i="35"/>
  <c r="P128" i="35"/>
  <c r="P129" i="35"/>
  <c r="P127" i="35"/>
  <c r="P138" i="35"/>
  <c r="P136" i="35"/>
  <c r="P137" i="35"/>
  <c r="P135" i="35"/>
  <c r="P43" i="35"/>
  <c r="N103" i="35"/>
  <c r="N104" i="35"/>
  <c r="N124" i="35"/>
  <c r="N126" i="35"/>
  <c r="N123" i="35"/>
  <c r="N125" i="35"/>
  <c r="N130" i="35"/>
  <c r="N128" i="35"/>
  <c r="N129" i="35"/>
  <c r="N127" i="35"/>
  <c r="N138" i="35"/>
  <c r="N136" i="35"/>
  <c r="N137" i="35"/>
  <c r="N135" i="35"/>
  <c r="D103" i="35"/>
  <c r="D104" i="35"/>
  <c r="D124" i="35"/>
  <c r="D126" i="35"/>
  <c r="D123" i="35"/>
  <c r="D125" i="35"/>
  <c r="D130" i="35"/>
  <c r="D128" i="35"/>
  <c r="D129" i="35"/>
  <c r="D127" i="35"/>
  <c r="D138" i="35"/>
  <c r="D136" i="35"/>
  <c r="D137" i="35"/>
  <c r="D135" i="35"/>
  <c r="P220" i="31"/>
  <c r="P195" i="31"/>
  <c r="P194" i="31"/>
  <c r="P162" i="31"/>
  <c r="P151" i="31"/>
  <c r="P143" i="31"/>
  <c r="P137" i="31"/>
  <c r="P135" i="31"/>
  <c r="P133" i="31"/>
  <c r="P131" i="31"/>
  <c r="P127" i="31"/>
  <c r="P121" i="31"/>
  <c r="P119" i="31"/>
  <c r="P117" i="31"/>
  <c r="P115" i="31"/>
  <c r="P111" i="31"/>
  <c r="P107" i="31"/>
  <c r="P105" i="31"/>
  <c r="P103" i="31"/>
  <c r="P101" i="31"/>
  <c r="P99" i="31"/>
  <c r="P95" i="31"/>
  <c r="P91" i="31"/>
  <c r="P87" i="31"/>
  <c r="P85" i="31"/>
  <c r="P83" i="31"/>
  <c r="P79" i="31"/>
  <c r="P75" i="31"/>
  <c r="P233" i="31"/>
  <c r="P232" i="31"/>
  <c r="P231" i="31"/>
  <c r="P230" i="31"/>
  <c r="P229" i="31"/>
  <c r="P228" i="31"/>
  <c r="P227" i="31"/>
  <c r="P226" i="31"/>
  <c r="P225" i="31"/>
  <c r="P224" i="31"/>
  <c r="P223" i="31"/>
  <c r="P222" i="31"/>
  <c r="P221" i="31"/>
  <c r="P219" i="31"/>
  <c r="P218" i="31"/>
  <c r="P217" i="31"/>
  <c r="P216" i="31"/>
  <c r="P215" i="31"/>
  <c r="P214" i="31"/>
  <c r="P213" i="31"/>
  <c r="P212" i="31"/>
  <c r="P211" i="31"/>
  <c r="P210" i="31"/>
  <c r="P209" i="31"/>
  <c r="P208" i="31"/>
  <c r="P207" i="31"/>
  <c r="P206" i="31"/>
  <c r="P205" i="31"/>
  <c r="P204" i="31"/>
  <c r="P203" i="31"/>
  <c r="P202" i="31"/>
  <c r="P201" i="31"/>
  <c r="P200" i="31"/>
  <c r="P199" i="31"/>
  <c r="P198" i="31"/>
  <c r="P197" i="31"/>
  <c r="P196" i="31"/>
  <c r="P193" i="31"/>
  <c r="P192" i="31"/>
  <c r="P191" i="31"/>
  <c r="P190" i="31"/>
  <c r="P189" i="31"/>
  <c r="P188" i="31"/>
  <c r="P187" i="31"/>
  <c r="P186" i="31"/>
  <c r="P185" i="31"/>
  <c r="P184" i="31"/>
  <c r="P183" i="31"/>
  <c r="P182" i="31"/>
  <c r="P181" i="31"/>
  <c r="P180" i="31"/>
  <c r="P179" i="31"/>
  <c r="P178" i="31"/>
  <c r="P177" i="31"/>
  <c r="P176" i="31"/>
  <c r="P175" i="31"/>
  <c r="P174" i="31"/>
  <c r="P173" i="31"/>
  <c r="P172" i="31"/>
  <c r="P171" i="31"/>
  <c r="P170" i="31"/>
  <c r="P169" i="31"/>
  <c r="P168" i="31"/>
  <c r="P167" i="31"/>
  <c r="P166" i="31"/>
  <c r="P165" i="31"/>
  <c r="P164" i="31"/>
  <c r="P163" i="31"/>
  <c r="P161" i="31"/>
  <c r="P160" i="31"/>
  <c r="P159" i="31"/>
  <c r="P158" i="31"/>
  <c r="P157" i="31"/>
  <c r="P156" i="31"/>
  <c r="P155" i="31"/>
  <c r="P154" i="31"/>
  <c r="P153" i="31"/>
  <c r="P152" i="31"/>
  <c r="P150" i="31"/>
  <c r="P149" i="31"/>
  <c r="P148" i="31"/>
  <c r="P147" i="31"/>
  <c r="P146" i="31"/>
  <c r="P145" i="31"/>
  <c r="P144" i="31"/>
  <c r="P142" i="31"/>
  <c r="P141" i="31"/>
  <c r="P140" i="31"/>
  <c r="P139" i="31"/>
  <c r="P138" i="31"/>
  <c r="P136" i="31"/>
  <c r="P134" i="31"/>
  <c r="P132" i="31"/>
  <c r="P130" i="31"/>
  <c r="P129" i="31"/>
  <c r="P128" i="31"/>
  <c r="P126" i="31"/>
  <c r="P125" i="31"/>
  <c r="P124" i="31"/>
  <c r="P123" i="31"/>
  <c r="P122" i="31"/>
  <c r="P120" i="31"/>
  <c r="P118" i="31"/>
  <c r="P116" i="31"/>
  <c r="P114" i="31"/>
  <c r="P113" i="31"/>
  <c r="P112" i="31"/>
  <c r="P110" i="31"/>
  <c r="P109" i="31"/>
  <c r="P108" i="31"/>
  <c r="P106" i="31"/>
  <c r="P104" i="31"/>
  <c r="P102" i="31"/>
  <c r="P100" i="31"/>
  <c r="P98" i="31"/>
  <c r="P97" i="31"/>
  <c r="P96" i="31"/>
  <c r="P94" i="31"/>
  <c r="P93" i="31"/>
  <c r="P92" i="31"/>
  <c r="P90" i="31"/>
  <c r="P89" i="31"/>
  <c r="P88" i="31"/>
  <c r="P86" i="31"/>
  <c r="P84" i="31"/>
  <c r="P82" i="31"/>
  <c r="P81" i="31"/>
  <c r="P80" i="31"/>
  <c r="P78" i="31"/>
  <c r="P77" i="31"/>
  <c r="P76" i="31"/>
  <c r="P74" i="31"/>
  <c r="P73" i="31"/>
  <c r="P72" i="31"/>
  <c r="P71" i="31"/>
  <c r="P70" i="31"/>
  <c r="P69" i="31"/>
  <c r="P68" i="31"/>
  <c r="P67" i="31"/>
  <c r="P66" i="31"/>
  <c r="P65" i="31"/>
  <c r="P64" i="31"/>
  <c r="P63" i="31"/>
  <c r="P62" i="31"/>
  <c r="P61" i="31"/>
  <c r="P60" i="31"/>
  <c r="P59" i="31"/>
  <c r="P58" i="31"/>
  <c r="P57" i="31"/>
  <c r="P56" i="31"/>
  <c r="P55" i="31"/>
  <c r="P54" i="31"/>
  <c r="P53" i="31"/>
  <c r="P52" i="31"/>
  <c r="P51" i="31"/>
  <c r="P50" i="31"/>
  <c r="P49" i="31"/>
  <c r="P48" i="31"/>
  <c r="P47" i="31"/>
  <c r="P46" i="31"/>
  <c r="P45" i="31"/>
  <c r="P44" i="31"/>
  <c r="P43" i="31"/>
  <c r="P42" i="31"/>
  <c r="P41" i="31"/>
  <c r="P40" i="31"/>
  <c r="P39" i="31"/>
  <c r="P38" i="31"/>
  <c r="P37" i="31"/>
  <c r="P36" i="31"/>
  <c r="P35" i="31"/>
  <c r="P34" i="31"/>
  <c r="P33" i="31"/>
  <c r="P32" i="31"/>
  <c r="P31" i="31"/>
  <c r="P30" i="31"/>
  <c r="P29" i="31"/>
  <c r="P28" i="31"/>
  <c r="P27" i="31"/>
  <c r="P26" i="31"/>
  <c r="P25" i="31"/>
  <c r="P24" i="31"/>
  <c r="P23" i="31"/>
  <c r="P22" i="31"/>
  <c r="P21" i="31"/>
  <c r="P20" i="31"/>
  <c r="P19" i="31"/>
  <c r="P18" i="31"/>
  <c r="P17" i="31"/>
  <c r="P16" i="31"/>
  <c r="P15" i="31"/>
  <c r="P14" i="31"/>
  <c r="P13" i="31"/>
  <c r="P12" i="31"/>
  <c r="P11" i="31"/>
  <c r="P10" i="31"/>
  <c r="P9" i="31"/>
  <c r="P8" i="31"/>
  <c r="P7" i="31"/>
  <c r="P6" i="31"/>
  <c r="P5" i="31"/>
  <c r="P4" i="31"/>
  <c r="N231" i="31"/>
  <c r="N232" i="31"/>
  <c r="N233" i="31"/>
  <c r="D233" i="31"/>
  <c r="D232" i="31"/>
  <c r="D231" i="31"/>
  <c r="N210" i="31"/>
  <c r="N211" i="31"/>
  <c r="N212" i="31"/>
  <c r="N213" i="31"/>
  <c r="N214" i="31"/>
  <c r="N215" i="31"/>
  <c r="N216" i="31"/>
  <c r="N217" i="31"/>
  <c r="N218" i="31"/>
  <c r="N219" i="31"/>
  <c r="N220" i="31"/>
  <c r="N221" i="31"/>
  <c r="N222" i="31"/>
  <c r="N223" i="31"/>
  <c r="N224" i="31"/>
  <c r="N225" i="31"/>
  <c r="N226" i="31"/>
  <c r="N227" i="31"/>
  <c r="N228" i="31"/>
  <c r="N229" i="31"/>
  <c r="N230" i="31"/>
  <c r="D210" i="31"/>
  <c r="D211" i="31"/>
  <c r="D212" i="31"/>
  <c r="D213" i="31"/>
  <c r="D214" i="31"/>
  <c r="D215" i="31"/>
  <c r="D216" i="31"/>
  <c r="D217" i="31"/>
  <c r="D218" i="31"/>
  <c r="D219" i="31"/>
  <c r="D220" i="31"/>
  <c r="D221" i="31"/>
  <c r="D222" i="31"/>
  <c r="D223" i="31"/>
  <c r="D224" i="31"/>
  <c r="D225" i="31"/>
  <c r="D226" i="31"/>
  <c r="D227" i="31"/>
  <c r="D228" i="31"/>
  <c r="D229" i="31"/>
  <c r="D230" i="31"/>
  <c r="D41" i="27"/>
  <c r="D42" i="27"/>
  <c r="D43" i="27"/>
  <c r="D44" i="27"/>
  <c r="D45" i="27"/>
  <c r="D46" i="27"/>
  <c r="D47" i="27"/>
  <c r="D48" i="27"/>
  <c r="D49" i="27"/>
  <c r="D50" i="27"/>
  <c r="D51" i="27"/>
  <c r="D52" i="27"/>
  <c r="D53" i="27"/>
  <c r="D54" i="27"/>
  <c r="D55" i="27"/>
  <c r="D56" i="27"/>
  <c r="D57" i="27"/>
  <c r="D58" i="27"/>
  <c r="D59" i="27"/>
  <c r="D60" i="27"/>
  <c r="Q41" i="27"/>
  <c r="Q42" i="27"/>
  <c r="Q43" i="27"/>
  <c r="Q44" i="27"/>
  <c r="Q45" i="27"/>
  <c r="Q46" i="27"/>
  <c r="Q47" i="27"/>
  <c r="Q48" i="27"/>
  <c r="Q49" i="27"/>
  <c r="Q50" i="27"/>
  <c r="Q51" i="27"/>
  <c r="Q52" i="27"/>
  <c r="Q53" i="27"/>
  <c r="Q54" i="27"/>
  <c r="Q55" i="27"/>
  <c r="Q56" i="27"/>
  <c r="Q57" i="27"/>
  <c r="Q58" i="27"/>
  <c r="Q59" i="27"/>
  <c r="Q60" i="27"/>
  <c r="N41" i="27"/>
  <c r="N42" i="27"/>
  <c r="N43" i="27"/>
  <c r="N44" i="27"/>
  <c r="N45" i="27"/>
  <c r="N46" i="27"/>
  <c r="N47" i="27"/>
  <c r="N48" i="27"/>
  <c r="N49" i="27"/>
  <c r="N50" i="27"/>
  <c r="N51" i="27"/>
  <c r="N52" i="27"/>
  <c r="N53" i="27"/>
  <c r="N54" i="27"/>
  <c r="N55" i="27"/>
  <c r="N56" i="27"/>
  <c r="N57" i="27"/>
  <c r="N58" i="27"/>
  <c r="N59" i="27"/>
  <c r="N60" i="27"/>
  <c r="Q5" i="27"/>
  <c r="Q6" i="27"/>
  <c r="Q7" i="27"/>
  <c r="Q8" i="27"/>
  <c r="Q9" i="27"/>
  <c r="Q10" i="27"/>
  <c r="Q11" i="27"/>
  <c r="Q12" i="27"/>
  <c r="Q13" i="27"/>
  <c r="Q14" i="27"/>
  <c r="Q15" i="27"/>
  <c r="Q16" i="27"/>
  <c r="Q17" i="27"/>
  <c r="Q18" i="27"/>
  <c r="Q19" i="27"/>
  <c r="Q20" i="27"/>
  <c r="Q21" i="27"/>
  <c r="Q22" i="27"/>
  <c r="Q23" i="27"/>
  <c r="Q24" i="27"/>
  <c r="Q25" i="27"/>
  <c r="Q26" i="27"/>
  <c r="Q27" i="27"/>
  <c r="Q28" i="27"/>
  <c r="Q29" i="27"/>
  <c r="Q30" i="27"/>
  <c r="Q31" i="27"/>
  <c r="Q32" i="27"/>
  <c r="Q33" i="27"/>
  <c r="Q34" i="27"/>
  <c r="Q35" i="27"/>
  <c r="Q36" i="27"/>
  <c r="Q37" i="27"/>
  <c r="Q38" i="27"/>
  <c r="Q39" i="27"/>
  <c r="Q40" i="27"/>
  <c r="Q4" i="27"/>
  <c r="D900" i="13"/>
  <c r="D897" i="13"/>
  <c r="P894" i="13"/>
  <c r="D891" i="13"/>
  <c r="D888" i="13"/>
  <c r="D876" i="13"/>
  <c r="D874" i="13"/>
  <c r="D870" i="13"/>
  <c r="D867" i="13"/>
  <c r="D864" i="13"/>
  <c r="D852" i="13"/>
  <c r="D847" i="13"/>
  <c r="D843" i="13"/>
  <c r="D840" i="13"/>
  <c r="D828" i="13"/>
  <c r="D825" i="13"/>
  <c r="D823" i="13"/>
  <c r="D819" i="13"/>
  <c r="D816" i="13"/>
  <c r="D803" i="13"/>
  <c r="D796" i="13"/>
  <c r="D793" i="13"/>
  <c r="P790" i="13"/>
  <c r="D779" i="13"/>
  <c r="D773" i="13"/>
  <c r="P769" i="13"/>
  <c r="P766" i="13"/>
  <c r="D755" i="13"/>
  <c r="D746" i="13"/>
  <c r="D744" i="13"/>
  <c r="D728" i="13"/>
  <c r="D726" i="13"/>
  <c r="D723" i="13"/>
  <c r="D720" i="13"/>
  <c r="D704" i="13"/>
  <c r="D696" i="13"/>
  <c r="D680" i="13"/>
  <c r="D674" i="13"/>
  <c r="D672" i="13"/>
  <c r="D656" i="13"/>
  <c r="D654" i="13"/>
  <c r="D650" i="13"/>
  <c r="D648" i="13"/>
  <c r="P644" i="13"/>
  <c r="D632" i="13"/>
  <c r="P626" i="13"/>
  <c r="D624" i="13"/>
  <c r="D608" i="13"/>
  <c r="D602" i="13"/>
  <c r="D600" i="13"/>
  <c r="D584" i="13"/>
  <c r="D582" i="13"/>
  <c r="D578" i="13"/>
  <c r="D576" i="13"/>
  <c r="D560" i="13"/>
  <c r="P554" i="13"/>
  <c r="D552" i="13"/>
  <c r="D536" i="13"/>
  <c r="P530" i="13"/>
  <c r="D528" i="13"/>
  <c r="P524" i="13"/>
  <c r="D512" i="13"/>
  <c r="D506" i="13"/>
  <c r="D504" i="13"/>
  <c r="P500" i="13"/>
  <c r="D488" i="13"/>
  <c r="D480" i="13"/>
  <c r="P476" i="13"/>
  <c r="D468" i="13"/>
  <c r="D464" i="13"/>
  <c r="D462" i="13"/>
  <c r="P458" i="13"/>
  <c r="D456" i="13"/>
  <c r="D444" i="13"/>
  <c r="D440" i="13"/>
  <c r="P434" i="13"/>
  <c r="D432" i="13"/>
  <c r="P428" i="13"/>
  <c r="D420" i="13"/>
  <c r="D416" i="13"/>
  <c r="D410" i="13"/>
  <c r="D408" i="13"/>
  <c r="P404" i="13"/>
  <c r="D396" i="13"/>
  <c r="D392" i="13"/>
  <c r="D386" i="13"/>
  <c r="D384" i="13"/>
  <c r="D372" i="13"/>
  <c r="D368" i="13"/>
  <c r="D362" i="13"/>
  <c r="P359" i="13"/>
  <c r="P356" i="13"/>
  <c r="D348" i="13"/>
  <c r="D344" i="13"/>
  <c r="D338" i="13"/>
  <c r="P335" i="13"/>
  <c r="D324" i="13"/>
  <c r="D320" i="13"/>
  <c r="D315" i="13"/>
  <c r="P311" i="13"/>
  <c r="P308" i="13"/>
  <c r="D300" i="13"/>
  <c r="D296" i="13"/>
  <c r="P290" i="13"/>
  <c r="P287" i="13"/>
  <c r="D275" i="13"/>
  <c r="D272" i="13"/>
  <c r="P264" i="13"/>
  <c r="P261" i="13"/>
  <c r="P246" i="13"/>
  <c r="D240" i="13"/>
  <c r="P237" i="13"/>
  <c r="D234" i="13"/>
  <c r="P222" i="13"/>
  <c r="P216" i="13"/>
  <c r="P213" i="13"/>
  <c r="P198" i="13"/>
  <c r="D192" i="13"/>
  <c r="P189" i="13"/>
  <c r="P174" i="13"/>
  <c r="D168" i="13"/>
  <c r="P165" i="13"/>
  <c r="D162" i="13"/>
  <c r="P150" i="13"/>
  <c r="P144" i="13"/>
  <c r="P141" i="13"/>
  <c r="D138" i="13"/>
  <c r="P126" i="13"/>
  <c r="D120" i="13"/>
  <c r="P117" i="13"/>
  <c r="D114" i="13"/>
  <c r="D112" i="13"/>
  <c r="P102" i="13"/>
  <c r="D96" i="13"/>
  <c r="P93" i="13"/>
  <c r="D90" i="13"/>
  <c r="D88" i="13"/>
  <c r="P78" i="13"/>
  <c r="P69" i="13"/>
  <c r="D64" i="13"/>
  <c r="P54" i="13"/>
  <c r="P51" i="13"/>
  <c r="P48" i="13"/>
  <c r="P45" i="13"/>
  <c r="D40" i="13"/>
  <c r="P30" i="13"/>
  <c r="D24" i="13"/>
  <c r="P21" i="13"/>
  <c r="D18" i="13"/>
  <c r="D16" i="13"/>
  <c r="D6" i="13"/>
  <c r="D7" i="13"/>
  <c r="D8" i="13"/>
  <c r="D9" i="13"/>
  <c r="D10" i="13"/>
  <c r="D11" i="13"/>
  <c r="D12" i="13"/>
  <c r="D13" i="13"/>
  <c r="D14" i="13"/>
  <c r="D15" i="13"/>
  <c r="D17" i="13"/>
  <c r="D20" i="13"/>
  <c r="D22" i="13"/>
  <c r="D23" i="13"/>
  <c r="D26" i="13"/>
  <c r="D29" i="13"/>
  <c r="D30" i="13"/>
  <c r="D31" i="13"/>
  <c r="D32" i="13"/>
  <c r="D33" i="13"/>
  <c r="D34" i="13"/>
  <c r="D35" i="13"/>
  <c r="D36" i="13"/>
  <c r="D37" i="13"/>
  <c r="D38" i="13"/>
  <c r="D39" i="13"/>
  <c r="D41" i="13"/>
  <c r="D44" i="13"/>
  <c r="D47" i="13"/>
  <c r="D50" i="13"/>
  <c r="D53" i="13"/>
  <c r="D54" i="13"/>
  <c r="D56" i="13"/>
  <c r="D57" i="13"/>
  <c r="D58" i="13"/>
  <c r="D59" i="13"/>
  <c r="D60" i="13"/>
  <c r="D61" i="13"/>
  <c r="D62" i="13"/>
  <c r="D63" i="13"/>
  <c r="D65" i="13"/>
  <c r="D68" i="13"/>
  <c r="D71" i="13"/>
  <c r="D72" i="13"/>
  <c r="D73" i="13"/>
  <c r="D74" i="13"/>
  <c r="D77" i="13"/>
  <c r="D80" i="13"/>
  <c r="D81" i="13"/>
  <c r="D82" i="13"/>
  <c r="D83" i="13"/>
  <c r="D84" i="13"/>
  <c r="D85" i="13"/>
  <c r="D86" i="13"/>
  <c r="D87" i="13"/>
  <c r="D89" i="13"/>
  <c r="D92" i="13"/>
  <c r="D94" i="13"/>
  <c r="D95" i="13"/>
  <c r="D98" i="13"/>
  <c r="D101" i="13"/>
  <c r="D102" i="13"/>
  <c r="D103" i="13"/>
  <c r="D104" i="13"/>
  <c r="D105" i="13"/>
  <c r="D106" i="13"/>
  <c r="D107" i="13"/>
  <c r="D108" i="13"/>
  <c r="D109" i="13"/>
  <c r="D110" i="13"/>
  <c r="D111" i="13"/>
  <c r="D113" i="13"/>
  <c r="D116" i="13"/>
  <c r="D119" i="13"/>
  <c r="D122" i="13"/>
  <c r="D125" i="13"/>
  <c r="D126" i="13"/>
  <c r="D127" i="13"/>
  <c r="D128" i="13"/>
  <c r="D129" i="13"/>
  <c r="D130" i="13"/>
  <c r="D131" i="13"/>
  <c r="D132" i="13"/>
  <c r="D133" i="13"/>
  <c r="D134" i="13"/>
  <c r="D135" i="13"/>
  <c r="D136" i="13"/>
  <c r="D137" i="13"/>
  <c r="D140" i="13"/>
  <c r="D143" i="13"/>
  <c r="D144" i="13"/>
  <c r="D145" i="13"/>
  <c r="D146" i="13"/>
  <c r="D149" i="13"/>
  <c r="D152" i="13"/>
  <c r="D153" i="13"/>
  <c r="D154" i="13"/>
  <c r="D155" i="13"/>
  <c r="D156" i="13"/>
  <c r="D157" i="13"/>
  <c r="D158" i="13"/>
  <c r="D159" i="13"/>
  <c r="D160" i="13"/>
  <c r="D161" i="13"/>
  <c r="D164" i="13"/>
  <c r="D166" i="13"/>
  <c r="D167" i="13"/>
  <c r="D170" i="13"/>
  <c r="D173" i="13"/>
  <c r="D174" i="13"/>
  <c r="D175" i="13"/>
  <c r="D176" i="13"/>
  <c r="D177" i="13"/>
  <c r="D178" i="13"/>
  <c r="D179" i="13"/>
  <c r="D180" i="13"/>
  <c r="D181" i="13"/>
  <c r="D182" i="13"/>
  <c r="D183" i="13"/>
  <c r="D184" i="13"/>
  <c r="D185" i="13"/>
  <c r="D188" i="13"/>
  <c r="D191" i="13"/>
  <c r="D194" i="13"/>
  <c r="D197" i="13"/>
  <c r="D198" i="13"/>
  <c r="D200" i="13"/>
  <c r="D201" i="13"/>
  <c r="D202" i="13"/>
  <c r="D203" i="13"/>
  <c r="D204" i="13"/>
  <c r="D205" i="13"/>
  <c r="D206" i="13"/>
  <c r="D207" i="13"/>
  <c r="D208" i="13"/>
  <c r="D209" i="13"/>
  <c r="D212" i="13"/>
  <c r="D215" i="13"/>
  <c r="D216" i="13"/>
  <c r="D217" i="13"/>
  <c r="D218" i="13"/>
  <c r="D221" i="13"/>
  <c r="D223" i="13"/>
  <c r="D224" i="13"/>
  <c r="D225" i="13"/>
  <c r="D226" i="13"/>
  <c r="D227" i="13"/>
  <c r="D228" i="13"/>
  <c r="D229" i="13"/>
  <c r="D230" i="13"/>
  <c r="D231" i="13"/>
  <c r="D232" i="13"/>
  <c r="D233" i="13"/>
  <c r="D236" i="13"/>
  <c r="D238" i="13"/>
  <c r="D239" i="13"/>
  <c r="D242" i="13"/>
  <c r="D245" i="13"/>
  <c r="D246" i="13"/>
  <c r="D247" i="13"/>
  <c r="D248" i="13"/>
  <c r="D249" i="13"/>
  <c r="D250" i="13"/>
  <c r="D251" i="13"/>
  <c r="D252" i="13"/>
  <c r="D253" i="13"/>
  <c r="D254" i="13"/>
  <c r="D255" i="13"/>
  <c r="D256" i="13"/>
  <c r="D257" i="13"/>
  <c r="D260" i="13"/>
  <c r="D263" i="13"/>
  <c r="D265" i="13"/>
  <c r="D266" i="13"/>
  <c r="D267" i="13"/>
  <c r="D268" i="13"/>
  <c r="D271" i="13"/>
  <c r="D273" i="13"/>
  <c r="D274" i="13"/>
  <c r="D277" i="13"/>
  <c r="D278" i="13"/>
  <c r="D279" i="13"/>
  <c r="D280" i="13"/>
  <c r="D281" i="13"/>
  <c r="D282" i="13"/>
  <c r="D283" i="13"/>
  <c r="D286" i="13"/>
  <c r="D289" i="13"/>
  <c r="D290" i="13"/>
  <c r="D291" i="13"/>
  <c r="D292" i="13"/>
  <c r="D295" i="13"/>
  <c r="D297" i="13"/>
  <c r="D298" i="13"/>
  <c r="D299" i="13"/>
  <c r="D301" i="13"/>
  <c r="D302" i="13"/>
  <c r="D303" i="13"/>
  <c r="D304" i="13"/>
  <c r="D305" i="13"/>
  <c r="D306" i="13"/>
  <c r="D307" i="13"/>
  <c r="D310" i="13"/>
  <c r="D313" i="13"/>
  <c r="D314" i="13"/>
  <c r="D316" i="13"/>
  <c r="D319" i="13"/>
  <c r="D321" i="13"/>
  <c r="D322" i="13"/>
  <c r="D323" i="13"/>
  <c r="D325" i="13"/>
  <c r="D326" i="13"/>
  <c r="D327" i="13"/>
  <c r="D328" i="13"/>
  <c r="D329" i="13"/>
  <c r="D330" i="13"/>
  <c r="D331" i="13"/>
  <c r="D334" i="13"/>
  <c r="D335" i="13"/>
  <c r="D337" i="13"/>
  <c r="D340" i="13"/>
  <c r="D343" i="13"/>
  <c r="D345" i="13"/>
  <c r="D346" i="13"/>
  <c r="D347" i="13"/>
  <c r="D349" i="13"/>
  <c r="D350" i="13"/>
  <c r="D351" i="13"/>
  <c r="D352" i="13"/>
  <c r="D353" i="13"/>
  <c r="D354" i="13"/>
  <c r="D355" i="13"/>
  <c r="D358" i="13"/>
  <c r="D359" i="13"/>
  <c r="D361" i="13"/>
  <c r="D364" i="13"/>
  <c r="D367" i="13"/>
  <c r="D369" i="13"/>
  <c r="D370" i="13"/>
  <c r="D371" i="13"/>
  <c r="D373" i="13"/>
  <c r="D374" i="13"/>
  <c r="D375" i="13"/>
  <c r="D376" i="13"/>
  <c r="D377" i="13"/>
  <c r="D378" i="13"/>
  <c r="D379" i="13"/>
  <c r="D382" i="13"/>
  <c r="D385" i="13"/>
  <c r="D388" i="13"/>
  <c r="D391" i="13"/>
  <c r="D393" i="13"/>
  <c r="D394" i="13"/>
  <c r="D395" i="13"/>
  <c r="D397" i="13"/>
  <c r="D398" i="13"/>
  <c r="D399" i="13"/>
  <c r="D400" i="13"/>
  <c r="D401" i="13"/>
  <c r="D402" i="13"/>
  <c r="D403" i="13"/>
  <c r="D406" i="13"/>
  <c r="D409" i="13"/>
  <c r="D412" i="13"/>
  <c r="D415" i="13"/>
  <c r="D417" i="13"/>
  <c r="D418" i="13"/>
  <c r="D419" i="13"/>
  <c r="D421" i="13"/>
  <c r="D422" i="13"/>
  <c r="D423" i="13"/>
  <c r="D424" i="13"/>
  <c r="D425" i="13"/>
  <c r="D426" i="13"/>
  <c r="D427" i="13"/>
  <c r="D430" i="13"/>
  <c r="D433" i="13"/>
  <c r="D435" i="13"/>
  <c r="D436" i="13"/>
  <c r="D439" i="13"/>
  <c r="D441" i="13"/>
  <c r="D442" i="13"/>
  <c r="D443" i="13"/>
  <c r="D445" i="13"/>
  <c r="D446" i="13"/>
  <c r="D447" i="13"/>
  <c r="D448" i="13"/>
  <c r="D449" i="13"/>
  <c r="D450" i="13"/>
  <c r="D451" i="13"/>
  <c r="D454" i="13"/>
  <c r="D457" i="13"/>
  <c r="D458" i="13"/>
  <c r="D459" i="13"/>
  <c r="D460" i="13"/>
  <c r="D463" i="13"/>
  <c r="D465" i="13"/>
  <c r="D466" i="13"/>
  <c r="D467" i="13"/>
  <c r="D469" i="13"/>
  <c r="D470" i="13"/>
  <c r="D471" i="13"/>
  <c r="D472" i="13"/>
  <c r="D473" i="13"/>
  <c r="D474" i="13"/>
  <c r="D475" i="13"/>
  <c r="D478" i="13"/>
  <c r="D481" i="13"/>
  <c r="D482" i="13"/>
  <c r="D483" i="13"/>
  <c r="D484" i="13"/>
  <c r="D486" i="13"/>
  <c r="D487" i="13"/>
  <c r="D489" i="13"/>
  <c r="D490" i="13"/>
  <c r="D491" i="13"/>
  <c r="D492" i="13"/>
  <c r="D493" i="13"/>
  <c r="D494" i="13"/>
  <c r="D495" i="13"/>
  <c r="D496" i="13"/>
  <c r="D497" i="13"/>
  <c r="D498" i="13"/>
  <c r="D499" i="13"/>
  <c r="D502" i="13"/>
  <c r="D503" i="13"/>
  <c r="D505" i="13"/>
  <c r="D508" i="13"/>
  <c r="D511" i="13"/>
  <c r="D513" i="13"/>
  <c r="D514" i="13"/>
  <c r="D515" i="13"/>
  <c r="D516" i="13"/>
  <c r="D517" i="13"/>
  <c r="D518" i="13"/>
  <c r="D519" i="13"/>
  <c r="D520" i="13"/>
  <c r="D521" i="13"/>
  <c r="D522" i="13"/>
  <c r="D523" i="13"/>
  <c r="D526" i="13"/>
  <c r="D529" i="13"/>
  <c r="D532" i="13"/>
  <c r="D535" i="13"/>
  <c r="D537" i="13"/>
  <c r="D538" i="13"/>
  <c r="D539" i="13"/>
  <c r="D540" i="13"/>
  <c r="D541" i="13"/>
  <c r="D542" i="13"/>
  <c r="D543" i="13"/>
  <c r="D544" i="13"/>
  <c r="D545" i="13"/>
  <c r="D546" i="13"/>
  <c r="D547" i="13"/>
  <c r="D550" i="13"/>
  <c r="D553" i="13"/>
  <c r="D554" i="13"/>
  <c r="D555" i="13"/>
  <c r="D556" i="13"/>
  <c r="D558" i="13"/>
  <c r="D559" i="13"/>
  <c r="D561" i="13"/>
  <c r="D562" i="13"/>
  <c r="D563" i="13"/>
  <c r="D564" i="13"/>
  <c r="D565" i="13"/>
  <c r="D566" i="13"/>
  <c r="D567" i="13"/>
  <c r="D568" i="13"/>
  <c r="D569" i="13"/>
  <c r="D570" i="13"/>
  <c r="D571" i="13"/>
  <c r="D574" i="13"/>
  <c r="D575" i="13"/>
  <c r="D577" i="13"/>
  <c r="D580" i="13"/>
  <c r="D583" i="13"/>
  <c r="D585" i="13"/>
  <c r="D586" i="13"/>
  <c r="D587" i="13"/>
  <c r="D588" i="13"/>
  <c r="D589" i="13"/>
  <c r="D590" i="13"/>
  <c r="D591" i="13"/>
  <c r="D592" i="13"/>
  <c r="D593" i="13"/>
  <c r="D594" i="13"/>
  <c r="D595" i="13"/>
  <c r="D598" i="13"/>
  <c r="D601" i="13"/>
  <c r="D604" i="13"/>
  <c r="D606" i="13"/>
  <c r="D607" i="13"/>
  <c r="D609" i="13"/>
  <c r="D610" i="13"/>
  <c r="D611" i="13"/>
  <c r="D612" i="13"/>
  <c r="D613" i="13"/>
  <c r="D614" i="13"/>
  <c r="D615" i="13"/>
  <c r="D616" i="13"/>
  <c r="D617" i="13"/>
  <c r="D618" i="13"/>
  <c r="D619" i="13"/>
  <c r="D622" i="13"/>
  <c r="D625" i="13"/>
  <c r="D626" i="13"/>
  <c r="D627" i="13"/>
  <c r="D628" i="13"/>
  <c r="D630" i="13"/>
  <c r="D631" i="13"/>
  <c r="D633" i="13"/>
  <c r="D634" i="13"/>
  <c r="D635" i="13"/>
  <c r="D636" i="13"/>
  <c r="D637" i="13"/>
  <c r="D638" i="13"/>
  <c r="D639" i="13"/>
  <c r="D640" i="13"/>
  <c r="D641" i="13"/>
  <c r="D642" i="13"/>
  <c r="D643" i="13"/>
  <c r="D646" i="13"/>
  <c r="D647" i="13"/>
  <c r="D649" i="13"/>
  <c r="D652" i="13"/>
  <c r="D655" i="13"/>
  <c r="D657" i="13"/>
  <c r="D658" i="13"/>
  <c r="D659" i="13"/>
  <c r="D660" i="13"/>
  <c r="D661" i="13"/>
  <c r="D662" i="13"/>
  <c r="D663" i="13"/>
  <c r="D664" i="13"/>
  <c r="D665" i="13"/>
  <c r="D666" i="13"/>
  <c r="D667" i="13"/>
  <c r="D670" i="13"/>
  <c r="D673" i="13"/>
  <c r="D676" i="13"/>
  <c r="D678" i="13"/>
  <c r="D679" i="13"/>
  <c r="D681" i="13"/>
  <c r="D682" i="13"/>
  <c r="D683" i="13"/>
  <c r="D684" i="13"/>
  <c r="D685" i="13"/>
  <c r="D686" i="13"/>
  <c r="D687" i="13"/>
  <c r="D688" i="13"/>
  <c r="D689" i="13"/>
  <c r="D690" i="13"/>
  <c r="D691" i="13"/>
  <c r="D694" i="13"/>
  <c r="D697" i="13"/>
  <c r="D698" i="13"/>
  <c r="D699" i="13"/>
  <c r="D700" i="13"/>
  <c r="D703" i="13"/>
  <c r="D705" i="13"/>
  <c r="D706" i="13"/>
  <c r="D707" i="13"/>
  <c r="D708" i="13"/>
  <c r="D709" i="13"/>
  <c r="D710" i="13"/>
  <c r="D711" i="13"/>
  <c r="D712" i="13"/>
  <c r="D713" i="13"/>
  <c r="D714" i="13"/>
  <c r="D715" i="13"/>
  <c r="D718" i="13"/>
  <c r="D721" i="13"/>
  <c r="D722" i="13"/>
  <c r="D724" i="13"/>
  <c r="D727" i="13"/>
  <c r="D729" i="13"/>
  <c r="D730" i="13"/>
  <c r="D731" i="13"/>
  <c r="D732" i="13"/>
  <c r="D733" i="13"/>
  <c r="D734" i="13"/>
  <c r="D735" i="13"/>
  <c r="D736" i="13"/>
  <c r="D737" i="13"/>
  <c r="D738" i="13"/>
  <c r="D739" i="13"/>
  <c r="D742" i="13"/>
  <c r="D743" i="13"/>
  <c r="D745" i="13"/>
  <c r="D748" i="13"/>
  <c r="D750" i="13"/>
  <c r="D751" i="13"/>
  <c r="D752" i="13"/>
  <c r="D753" i="13"/>
  <c r="D754" i="13"/>
  <c r="D756" i="13"/>
  <c r="D757" i="13"/>
  <c r="D758" i="13"/>
  <c r="D759" i="13"/>
  <c r="D760" i="13"/>
  <c r="D761" i="13"/>
  <c r="D762" i="13"/>
  <c r="D763" i="13"/>
  <c r="D764" i="13"/>
  <c r="D765" i="13"/>
  <c r="D768" i="13"/>
  <c r="D771" i="13"/>
  <c r="D772" i="13"/>
  <c r="D774" i="13"/>
  <c r="D775" i="13"/>
  <c r="D777" i="13"/>
  <c r="D778" i="13"/>
  <c r="D780" i="13"/>
  <c r="D781" i="13"/>
  <c r="D782" i="13"/>
  <c r="D783" i="13"/>
  <c r="D784" i="13"/>
  <c r="D785" i="13"/>
  <c r="D786" i="13"/>
  <c r="D787" i="13"/>
  <c r="D788" i="13"/>
  <c r="D789" i="13"/>
  <c r="D792" i="13"/>
  <c r="D795" i="13"/>
  <c r="D798" i="13"/>
  <c r="D799" i="13"/>
  <c r="D801" i="13"/>
  <c r="D802" i="13"/>
  <c r="D804" i="13"/>
  <c r="D805" i="13"/>
  <c r="D806" i="13"/>
  <c r="D807" i="13"/>
  <c r="D808" i="13"/>
  <c r="D809" i="13"/>
  <c r="D810" i="13"/>
  <c r="D811" i="13"/>
  <c r="D812" i="13"/>
  <c r="D813" i="13"/>
  <c r="D814" i="13"/>
  <c r="D815" i="13"/>
  <c r="D818" i="13"/>
  <c r="D821" i="13"/>
  <c r="D822" i="13"/>
  <c r="D824" i="13"/>
  <c r="D827" i="13"/>
  <c r="D830" i="13"/>
  <c r="D831" i="13"/>
  <c r="D832" i="13"/>
  <c r="D833" i="13"/>
  <c r="D834" i="13"/>
  <c r="D835" i="13"/>
  <c r="D836" i="13"/>
  <c r="D837" i="13"/>
  <c r="D838" i="13"/>
  <c r="D839" i="13"/>
  <c r="D842" i="13"/>
  <c r="D845" i="13"/>
  <c r="D846" i="13"/>
  <c r="D848" i="13"/>
  <c r="D849" i="13"/>
  <c r="D850" i="13"/>
  <c r="D851" i="13"/>
  <c r="D854" i="13"/>
  <c r="D855" i="13"/>
  <c r="D856" i="13"/>
  <c r="D857" i="13"/>
  <c r="D858" i="13"/>
  <c r="D859" i="13"/>
  <c r="D860" i="13"/>
  <c r="D861" i="13"/>
  <c r="D862" i="13"/>
  <c r="D863" i="13"/>
  <c r="D866" i="13"/>
  <c r="D869" i="13"/>
  <c r="D872" i="13"/>
  <c r="D873" i="13"/>
  <c r="D875" i="13"/>
  <c r="D878" i="13"/>
  <c r="D879" i="13"/>
  <c r="D880" i="13"/>
  <c r="D881" i="13"/>
  <c r="D882" i="13"/>
  <c r="D883" i="13"/>
  <c r="D884" i="13"/>
  <c r="D885" i="13"/>
  <c r="D886" i="13"/>
  <c r="D887" i="13"/>
  <c r="D890" i="13"/>
  <c r="D893" i="13"/>
  <c r="D896" i="13"/>
  <c r="D899" i="13"/>
  <c r="D902" i="13"/>
  <c r="D903" i="13"/>
  <c r="D904" i="13"/>
  <c r="D905" i="13"/>
  <c r="D906" i="13"/>
  <c r="D907" i="13"/>
  <c r="D908" i="13"/>
  <c r="D909" i="13"/>
  <c r="D910" i="13"/>
  <c r="D911" i="13"/>
  <c r="D912" i="13"/>
  <c r="D913" i="13"/>
  <c r="D914" i="13"/>
  <c r="D915" i="13"/>
  <c r="D916" i="13"/>
  <c r="D917" i="13"/>
  <c r="D918" i="13"/>
  <c r="D919" i="13"/>
  <c r="D920" i="13"/>
  <c r="D921" i="13"/>
  <c r="D922" i="13"/>
  <c r="D923" i="13"/>
  <c r="D924" i="13"/>
  <c r="D925" i="13"/>
  <c r="D926" i="13"/>
  <c r="D927" i="13"/>
  <c r="D928" i="13"/>
  <c r="D929" i="13"/>
  <c r="D930" i="13"/>
  <c r="D931" i="13"/>
  <c r="D932" i="13"/>
  <c r="D933" i="13"/>
  <c r="D934" i="13"/>
  <c r="D935" i="13"/>
  <c r="D936" i="13"/>
  <c r="D937" i="13"/>
  <c r="D938" i="13"/>
  <c r="D939" i="13"/>
  <c r="D940" i="13"/>
  <c r="D941" i="13"/>
  <c r="D942" i="13"/>
  <c r="D943" i="13"/>
  <c r="D944" i="13"/>
  <c r="D945" i="13"/>
  <c r="D946" i="13"/>
  <c r="D947" i="13"/>
  <c r="D948" i="13"/>
  <c r="D949" i="13"/>
  <c r="D950" i="13"/>
  <c r="D951" i="13"/>
  <c r="D952" i="13"/>
  <c r="D953" i="13"/>
  <c r="D954" i="13"/>
  <c r="D955" i="13"/>
  <c r="D956" i="13"/>
  <c r="D957" i="13"/>
  <c r="D958" i="13"/>
  <c r="D959" i="13"/>
  <c r="D960" i="13"/>
  <c r="D961" i="13"/>
  <c r="D962" i="13"/>
  <c r="D963" i="13"/>
  <c r="D964" i="13"/>
  <c r="D965" i="13"/>
  <c r="D966" i="13"/>
  <c r="D967" i="13"/>
  <c r="D968" i="13"/>
  <c r="D969" i="13"/>
  <c r="D970" i="13"/>
  <c r="P5" i="13"/>
  <c r="P6" i="13"/>
  <c r="P7" i="13"/>
  <c r="P8" i="13"/>
  <c r="P9" i="13"/>
  <c r="P10" i="13"/>
  <c r="P11" i="13"/>
  <c r="P12" i="13"/>
  <c r="P13" i="13"/>
  <c r="P14" i="13"/>
  <c r="P15" i="13"/>
  <c r="P16" i="13"/>
  <c r="P17" i="13"/>
  <c r="P19" i="13"/>
  <c r="P20" i="13"/>
  <c r="P22" i="13"/>
  <c r="P23" i="13"/>
  <c r="P25" i="13"/>
  <c r="P26" i="13"/>
  <c r="P27" i="13"/>
  <c r="P28" i="13"/>
  <c r="P29" i="13"/>
  <c r="P31" i="13"/>
  <c r="P32" i="13"/>
  <c r="P33" i="13"/>
  <c r="P34" i="13"/>
  <c r="P35" i="13"/>
  <c r="P36" i="13"/>
  <c r="P37" i="13"/>
  <c r="P38" i="13"/>
  <c r="P39" i="13"/>
  <c r="P40" i="13"/>
  <c r="P41" i="13"/>
  <c r="P43" i="13"/>
  <c r="P44" i="13"/>
  <c r="P46" i="13"/>
  <c r="P47" i="13"/>
  <c r="P49" i="13"/>
  <c r="P50" i="13"/>
  <c r="P52" i="13"/>
  <c r="P53" i="13"/>
  <c r="P55" i="13"/>
  <c r="P56" i="13"/>
  <c r="P57" i="13"/>
  <c r="P58" i="13"/>
  <c r="P59" i="13"/>
  <c r="P60" i="13"/>
  <c r="P61" i="13"/>
  <c r="P62" i="13"/>
  <c r="P63" i="13"/>
  <c r="P64" i="13"/>
  <c r="P65" i="13"/>
  <c r="P67" i="13"/>
  <c r="P68" i="13"/>
  <c r="P70" i="13"/>
  <c r="P71" i="13"/>
  <c r="P72" i="13"/>
  <c r="P73" i="13"/>
  <c r="P74" i="13"/>
  <c r="P76" i="13"/>
  <c r="P77" i="13"/>
  <c r="P79" i="13"/>
  <c r="P80" i="13"/>
  <c r="P81" i="13"/>
  <c r="P82" i="13"/>
  <c r="P83" i="13"/>
  <c r="P84" i="13"/>
  <c r="P85" i="13"/>
  <c r="P86" i="13"/>
  <c r="P87" i="13"/>
  <c r="P88" i="13"/>
  <c r="P89" i="13"/>
  <c r="P91" i="13"/>
  <c r="P92" i="13"/>
  <c r="P94" i="13"/>
  <c r="P95" i="13"/>
  <c r="P97" i="13"/>
  <c r="P98" i="13"/>
  <c r="P99" i="13"/>
  <c r="P100" i="13"/>
  <c r="P101" i="13"/>
  <c r="P103" i="13"/>
  <c r="P104" i="13"/>
  <c r="P105" i="13"/>
  <c r="P106" i="13"/>
  <c r="P107" i="13"/>
  <c r="P108" i="13"/>
  <c r="P109" i="13"/>
  <c r="P110" i="13"/>
  <c r="P111" i="13"/>
  <c r="P112" i="13"/>
  <c r="P113" i="13"/>
  <c r="P115" i="13"/>
  <c r="P116" i="13"/>
  <c r="P118" i="13"/>
  <c r="P119" i="13"/>
  <c r="P120" i="13"/>
  <c r="P121" i="13"/>
  <c r="P122" i="13"/>
  <c r="P124" i="13"/>
  <c r="P125" i="13"/>
  <c r="P127" i="13"/>
  <c r="P128" i="13"/>
  <c r="P129" i="13"/>
  <c r="P130" i="13"/>
  <c r="P131" i="13"/>
  <c r="P132" i="13"/>
  <c r="P133" i="13"/>
  <c r="P134" i="13"/>
  <c r="P135" i="13"/>
  <c r="P136" i="13"/>
  <c r="P137" i="13"/>
  <c r="P139" i="13"/>
  <c r="P140" i="13"/>
  <c r="P142" i="13"/>
  <c r="P143" i="13"/>
  <c r="P145" i="13"/>
  <c r="P146" i="13"/>
  <c r="P147" i="13"/>
  <c r="P148" i="13"/>
  <c r="P149" i="13"/>
  <c r="P151" i="13"/>
  <c r="P152" i="13"/>
  <c r="P153" i="13"/>
  <c r="P154" i="13"/>
  <c r="P155" i="13"/>
  <c r="P156" i="13"/>
  <c r="P157" i="13"/>
  <c r="P158" i="13"/>
  <c r="P159" i="13"/>
  <c r="P160" i="13"/>
  <c r="P161" i="13"/>
  <c r="P163" i="13"/>
  <c r="P164" i="13"/>
  <c r="P166" i="13"/>
  <c r="P167" i="13"/>
  <c r="P168" i="13"/>
  <c r="P169" i="13"/>
  <c r="P170" i="13"/>
  <c r="P171" i="13"/>
  <c r="P172" i="13"/>
  <c r="P173" i="13"/>
  <c r="P175" i="13"/>
  <c r="P176" i="13"/>
  <c r="P177" i="13"/>
  <c r="P178" i="13"/>
  <c r="P179" i="13"/>
  <c r="P180" i="13"/>
  <c r="P181" i="13"/>
  <c r="P182" i="13"/>
  <c r="P183" i="13"/>
  <c r="P184" i="13"/>
  <c r="P185" i="13"/>
  <c r="P187" i="13"/>
  <c r="P188" i="13"/>
  <c r="P190" i="13"/>
  <c r="P191" i="13"/>
  <c r="P193" i="13"/>
  <c r="P194" i="13"/>
  <c r="P196" i="13"/>
  <c r="P197" i="13"/>
  <c r="P199" i="13"/>
  <c r="P200" i="13"/>
  <c r="P201" i="13"/>
  <c r="P202" i="13"/>
  <c r="P203" i="13"/>
  <c r="P204" i="13"/>
  <c r="P205" i="13"/>
  <c r="P206" i="13"/>
  <c r="P207" i="13"/>
  <c r="P208" i="13"/>
  <c r="P209" i="13"/>
  <c r="P211" i="13"/>
  <c r="P212" i="13"/>
  <c r="P214" i="13"/>
  <c r="P215" i="13"/>
  <c r="P217" i="13"/>
  <c r="P218" i="13"/>
  <c r="P219" i="13"/>
  <c r="P220" i="13"/>
  <c r="P221" i="13"/>
  <c r="P223" i="13"/>
  <c r="P224" i="13"/>
  <c r="P225" i="13"/>
  <c r="P226" i="13"/>
  <c r="P227" i="13"/>
  <c r="P228" i="13"/>
  <c r="P229" i="13"/>
  <c r="P230" i="13"/>
  <c r="P231" i="13"/>
  <c r="P232" i="13"/>
  <c r="P233" i="13"/>
  <c r="P235" i="13"/>
  <c r="P236" i="13"/>
  <c r="P238" i="13"/>
  <c r="P239" i="13"/>
  <c r="P240" i="13"/>
  <c r="P241" i="13"/>
  <c r="P242" i="13"/>
  <c r="P244" i="13"/>
  <c r="P245" i="13"/>
  <c r="P247" i="13"/>
  <c r="P248" i="13"/>
  <c r="P249" i="13"/>
  <c r="P250" i="13"/>
  <c r="P251" i="13"/>
  <c r="P252" i="13"/>
  <c r="P253" i="13"/>
  <c r="P254" i="13"/>
  <c r="P255" i="13"/>
  <c r="P256" i="13"/>
  <c r="P257" i="13"/>
  <c r="P259" i="13"/>
  <c r="P260" i="13"/>
  <c r="P262" i="13"/>
  <c r="P263" i="13"/>
  <c r="P265" i="13"/>
  <c r="P266" i="13"/>
  <c r="P267" i="13"/>
  <c r="P268" i="13"/>
  <c r="P270" i="13"/>
  <c r="P271" i="13"/>
  <c r="P272" i="13"/>
  <c r="P273" i="13"/>
  <c r="P274" i="13"/>
  <c r="P275" i="13"/>
  <c r="P276" i="13"/>
  <c r="P277" i="13"/>
  <c r="P278" i="13"/>
  <c r="P279" i="13"/>
  <c r="P280" i="13"/>
  <c r="P281" i="13"/>
  <c r="P282" i="13"/>
  <c r="P283" i="13"/>
  <c r="P285" i="13"/>
  <c r="P286" i="13"/>
  <c r="P288" i="13"/>
  <c r="P289" i="13"/>
  <c r="P291" i="13"/>
  <c r="P292" i="13"/>
  <c r="P294" i="13"/>
  <c r="P295" i="13"/>
  <c r="P296" i="13"/>
  <c r="P297" i="13"/>
  <c r="P298" i="13"/>
  <c r="P299" i="13"/>
  <c r="P300" i="13"/>
  <c r="P301" i="13"/>
  <c r="P302" i="13"/>
  <c r="P303" i="13"/>
  <c r="P304" i="13"/>
  <c r="P305" i="13"/>
  <c r="P306" i="13"/>
  <c r="P307" i="13"/>
  <c r="P309" i="13"/>
  <c r="P310" i="13"/>
  <c r="P312" i="13"/>
  <c r="P313" i="13"/>
  <c r="P314" i="13"/>
  <c r="P315" i="13"/>
  <c r="P316" i="13"/>
  <c r="P318" i="13"/>
  <c r="P319" i="13"/>
  <c r="P320" i="13"/>
  <c r="P321" i="13"/>
  <c r="P322" i="13"/>
  <c r="P323" i="13"/>
  <c r="P324" i="13"/>
  <c r="P325" i="13"/>
  <c r="P326" i="13"/>
  <c r="P327" i="13"/>
  <c r="P328" i="13"/>
  <c r="P329" i="13"/>
  <c r="P330" i="13"/>
  <c r="P331" i="13"/>
  <c r="P333" i="13"/>
  <c r="P334" i="13"/>
  <c r="P336" i="13"/>
  <c r="P337" i="13"/>
  <c r="P339" i="13"/>
  <c r="P340" i="13"/>
  <c r="P342" i="13"/>
  <c r="P343" i="13"/>
  <c r="P344" i="13"/>
  <c r="P345" i="13"/>
  <c r="P346" i="13"/>
  <c r="P347" i="13"/>
  <c r="P348" i="13"/>
  <c r="P349" i="13"/>
  <c r="P350" i="13"/>
  <c r="P351" i="13"/>
  <c r="P352" i="13"/>
  <c r="P353" i="13"/>
  <c r="P354" i="13"/>
  <c r="P355" i="13"/>
  <c r="P357" i="13"/>
  <c r="P358" i="13"/>
  <c r="P360" i="13"/>
  <c r="P361" i="13"/>
  <c r="P362" i="13"/>
  <c r="P363" i="13"/>
  <c r="P364" i="13"/>
  <c r="P366" i="13"/>
  <c r="P367" i="13"/>
  <c r="P368" i="13"/>
  <c r="P369" i="13"/>
  <c r="P370" i="13"/>
  <c r="P371" i="13"/>
  <c r="P372" i="13"/>
  <c r="P373" i="13"/>
  <c r="P374" i="13"/>
  <c r="P375" i="13"/>
  <c r="P376" i="13"/>
  <c r="P377" i="13"/>
  <c r="P378" i="13"/>
  <c r="P379" i="13"/>
  <c r="P381" i="13"/>
  <c r="P382" i="13"/>
  <c r="P384" i="13"/>
  <c r="P385" i="13"/>
  <c r="P386" i="13"/>
  <c r="P387" i="13"/>
  <c r="P388" i="13"/>
  <c r="P390" i="13"/>
  <c r="P391" i="13"/>
  <c r="P392" i="13"/>
  <c r="P393" i="13"/>
  <c r="P394" i="13"/>
  <c r="P395" i="13"/>
  <c r="P396" i="13"/>
  <c r="P397" i="13"/>
  <c r="P398" i="13"/>
  <c r="P399" i="13"/>
  <c r="P400" i="13"/>
  <c r="P401" i="13"/>
  <c r="P402" i="13"/>
  <c r="P403" i="13"/>
  <c r="P405" i="13"/>
  <c r="P406" i="13"/>
  <c r="P408" i="13"/>
  <c r="P409" i="13"/>
  <c r="P411" i="13"/>
  <c r="P412" i="13"/>
  <c r="P414" i="13"/>
  <c r="P415" i="13"/>
  <c r="P416" i="13"/>
  <c r="P417" i="13"/>
  <c r="P418" i="13"/>
  <c r="P419" i="13"/>
  <c r="P420" i="13"/>
  <c r="P421" i="13"/>
  <c r="P422" i="13"/>
  <c r="P423" i="13"/>
  <c r="P424" i="13"/>
  <c r="P425" i="13"/>
  <c r="P426" i="13"/>
  <c r="P427" i="13"/>
  <c r="P429" i="13"/>
  <c r="P430" i="13"/>
  <c r="P431" i="13"/>
  <c r="P432" i="13"/>
  <c r="P433" i="13"/>
  <c r="P435" i="13"/>
  <c r="P436" i="13"/>
  <c r="P438" i="13"/>
  <c r="P439" i="13"/>
  <c r="P440" i="13"/>
  <c r="P441" i="13"/>
  <c r="P442" i="13"/>
  <c r="P443" i="13"/>
  <c r="P444" i="13"/>
  <c r="P445" i="13"/>
  <c r="P446" i="13"/>
  <c r="P447" i="13"/>
  <c r="P448" i="13"/>
  <c r="P449" i="13"/>
  <c r="P450" i="13"/>
  <c r="P451" i="13"/>
  <c r="P453" i="13"/>
  <c r="P454" i="13"/>
  <c r="P456" i="13"/>
  <c r="P457" i="13"/>
  <c r="P459" i="13"/>
  <c r="P460" i="13"/>
  <c r="P462" i="13"/>
  <c r="P463" i="13"/>
  <c r="P464" i="13"/>
  <c r="P465" i="13"/>
  <c r="P466" i="13"/>
  <c r="P467" i="13"/>
  <c r="P468" i="13"/>
  <c r="P469" i="13"/>
  <c r="P470" i="13"/>
  <c r="P471" i="13"/>
  <c r="P472" i="13"/>
  <c r="P473" i="13"/>
  <c r="P474" i="13"/>
  <c r="P475" i="13"/>
  <c r="P477" i="13"/>
  <c r="P478" i="13"/>
  <c r="P480" i="13"/>
  <c r="P481" i="13"/>
  <c r="P482" i="13"/>
  <c r="P483" i="13"/>
  <c r="P484" i="13"/>
  <c r="P486" i="13"/>
  <c r="P487" i="13"/>
  <c r="P488" i="13"/>
  <c r="P489" i="13"/>
  <c r="P490" i="13"/>
  <c r="P491" i="13"/>
  <c r="P492" i="13"/>
  <c r="P493" i="13"/>
  <c r="P494" i="13"/>
  <c r="P495" i="13"/>
  <c r="P496" i="13"/>
  <c r="P497" i="13"/>
  <c r="P498" i="13"/>
  <c r="P499" i="13"/>
  <c r="P501" i="13"/>
  <c r="P502" i="13"/>
  <c r="P504" i="13"/>
  <c r="P505" i="13"/>
  <c r="P507" i="13"/>
  <c r="P508" i="13"/>
  <c r="P510" i="13"/>
  <c r="P511" i="13"/>
  <c r="P512" i="13"/>
  <c r="P513" i="13"/>
  <c r="P514" i="13"/>
  <c r="P515" i="13"/>
  <c r="P516" i="13"/>
  <c r="P517" i="13"/>
  <c r="P518" i="13"/>
  <c r="P519" i="13"/>
  <c r="P520" i="13"/>
  <c r="P521" i="13"/>
  <c r="P522" i="13"/>
  <c r="P523" i="13"/>
  <c r="P525" i="13"/>
  <c r="P526" i="13"/>
  <c r="P527" i="13"/>
  <c r="P528" i="13"/>
  <c r="P529" i="13"/>
  <c r="P531" i="13"/>
  <c r="P532" i="13"/>
  <c r="P534" i="13"/>
  <c r="P535" i="13"/>
  <c r="P536" i="13"/>
  <c r="P537" i="13"/>
  <c r="P538" i="13"/>
  <c r="P539" i="13"/>
  <c r="P540" i="13"/>
  <c r="P541" i="13"/>
  <c r="P542" i="13"/>
  <c r="P543" i="13"/>
  <c r="P544" i="13"/>
  <c r="P545" i="13"/>
  <c r="P546" i="13"/>
  <c r="P547" i="13"/>
  <c r="P549" i="13"/>
  <c r="P550" i="13"/>
  <c r="P552" i="13"/>
  <c r="P553" i="13"/>
  <c r="P555" i="13"/>
  <c r="P556" i="13"/>
  <c r="P558" i="13"/>
  <c r="P559" i="13"/>
  <c r="P560" i="13"/>
  <c r="P561" i="13"/>
  <c r="P562" i="13"/>
  <c r="P563" i="13"/>
  <c r="P564" i="13"/>
  <c r="P565" i="13"/>
  <c r="P566" i="13"/>
  <c r="P567" i="13"/>
  <c r="P568" i="13"/>
  <c r="P569" i="13"/>
  <c r="P570" i="13"/>
  <c r="P571" i="13"/>
  <c r="P573" i="13"/>
  <c r="P574" i="13"/>
  <c r="P576" i="13"/>
  <c r="P577" i="13"/>
  <c r="P578" i="13"/>
  <c r="P579" i="13"/>
  <c r="P580" i="13"/>
  <c r="P582" i="13"/>
  <c r="P583" i="13"/>
  <c r="P584" i="13"/>
  <c r="P585" i="13"/>
  <c r="P586" i="13"/>
  <c r="P587" i="13"/>
  <c r="P588" i="13"/>
  <c r="P589" i="13"/>
  <c r="P590" i="13"/>
  <c r="P591" i="13"/>
  <c r="P592" i="13"/>
  <c r="P593" i="13"/>
  <c r="P594" i="13"/>
  <c r="P595" i="13"/>
  <c r="P596" i="13"/>
  <c r="P597" i="13"/>
  <c r="P598" i="13"/>
  <c r="P600" i="13"/>
  <c r="P601" i="13"/>
  <c r="P602" i="13"/>
  <c r="P603" i="13"/>
  <c r="P604" i="13"/>
  <c r="P606" i="13"/>
  <c r="P607" i="13"/>
  <c r="P608" i="13"/>
  <c r="P609" i="13"/>
  <c r="P610" i="13"/>
  <c r="P611" i="13"/>
  <c r="P612" i="13"/>
  <c r="P613" i="13"/>
  <c r="P614" i="13"/>
  <c r="P615" i="13"/>
  <c r="P616" i="13"/>
  <c r="P617" i="13"/>
  <c r="P618" i="13"/>
  <c r="P619" i="13"/>
  <c r="P621" i="13"/>
  <c r="P622" i="13"/>
  <c r="P624" i="13"/>
  <c r="P625" i="13"/>
  <c r="P627" i="13"/>
  <c r="P628" i="13"/>
  <c r="P630" i="13"/>
  <c r="P631" i="13"/>
  <c r="P632" i="13"/>
  <c r="P633" i="13"/>
  <c r="P634" i="13"/>
  <c r="P635" i="13"/>
  <c r="P636" i="13"/>
  <c r="P637" i="13"/>
  <c r="P638" i="13"/>
  <c r="P639" i="13"/>
  <c r="P640" i="13"/>
  <c r="P641" i="13"/>
  <c r="P642" i="13"/>
  <c r="P643" i="13"/>
  <c r="P645" i="13"/>
  <c r="P646" i="13"/>
  <c r="P647" i="13"/>
  <c r="P648" i="13"/>
  <c r="P649" i="13"/>
  <c r="P651" i="13"/>
  <c r="P652" i="13"/>
  <c r="P654" i="13"/>
  <c r="P655" i="13"/>
  <c r="P656" i="13"/>
  <c r="P657" i="13"/>
  <c r="P658" i="13"/>
  <c r="P659" i="13"/>
  <c r="P660" i="13"/>
  <c r="P661" i="13"/>
  <c r="P662" i="13"/>
  <c r="P663" i="13"/>
  <c r="P664" i="13"/>
  <c r="P665" i="13"/>
  <c r="P666" i="13"/>
  <c r="P667" i="13"/>
  <c r="P669" i="13"/>
  <c r="P670" i="13"/>
  <c r="P672" i="13"/>
  <c r="P673" i="13"/>
  <c r="P674" i="13"/>
  <c r="P675" i="13"/>
  <c r="P676" i="13"/>
  <c r="P678" i="13"/>
  <c r="P679" i="13"/>
  <c r="P680" i="13"/>
  <c r="P681" i="13"/>
  <c r="P682" i="13"/>
  <c r="P683" i="13"/>
  <c r="P684" i="13"/>
  <c r="P685" i="13"/>
  <c r="P686" i="13"/>
  <c r="P687" i="13"/>
  <c r="P688" i="13"/>
  <c r="P689" i="13"/>
  <c r="P690" i="13"/>
  <c r="P691" i="13"/>
  <c r="P693" i="13"/>
  <c r="P694" i="13"/>
  <c r="P696" i="13"/>
  <c r="P697" i="13"/>
  <c r="P698" i="13"/>
  <c r="P699" i="13"/>
  <c r="P700" i="13"/>
  <c r="P702" i="13"/>
  <c r="P703" i="13"/>
  <c r="P704" i="13"/>
  <c r="P705" i="13"/>
  <c r="P706" i="13"/>
  <c r="P707" i="13"/>
  <c r="P708" i="13"/>
  <c r="P709" i="13"/>
  <c r="P710" i="13"/>
  <c r="P711" i="13"/>
  <c r="P712" i="13"/>
  <c r="P713" i="13"/>
  <c r="P714" i="13"/>
  <c r="P715" i="13"/>
  <c r="P717" i="13"/>
  <c r="P718" i="13"/>
  <c r="P720" i="13"/>
  <c r="P721" i="13"/>
  <c r="P723" i="13"/>
  <c r="P724" i="13"/>
  <c r="P726" i="13"/>
  <c r="P727" i="13"/>
  <c r="P728" i="13"/>
  <c r="P729" i="13"/>
  <c r="P730" i="13"/>
  <c r="P731" i="13"/>
  <c r="P732" i="13"/>
  <c r="P733" i="13"/>
  <c r="P734" i="13"/>
  <c r="P735" i="13"/>
  <c r="P736" i="13"/>
  <c r="P737" i="13"/>
  <c r="P738" i="13"/>
  <c r="P739" i="13"/>
  <c r="P741" i="13"/>
  <c r="P742" i="13"/>
  <c r="P743" i="13"/>
  <c r="P744" i="13"/>
  <c r="P745" i="13"/>
  <c r="P747" i="13"/>
  <c r="P748" i="13"/>
  <c r="P750" i="13"/>
  <c r="P751" i="13"/>
  <c r="P752" i="13"/>
  <c r="P753" i="13"/>
  <c r="P755" i="13"/>
  <c r="P756" i="13"/>
  <c r="P757" i="13"/>
  <c r="P758" i="13"/>
  <c r="P759" i="13"/>
  <c r="P760" i="13"/>
  <c r="P761" i="13"/>
  <c r="P762" i="13"/>
  <c r="P763" i="13"/>
  <c r="P764" i="13"/>
  <c r="P765" i="13"/>
  <c r="P767" i="13"/>
  <c r="P768" i="13"/>
  <c r="P770" i="13"/>
  <c r="P771" i="13"/>
  <c r="P773" i="13"/>
  <c r="P774" i="13"/>
  <c r="P776" i="13"/>
  <c r="P777" i="13"/>
  <c r="P779" i="13"/>
  <c r="P780" i="13"/>
  <c r="P781" i="13"/>
  <c r="P782" i="13"/>
  <c r="P783" i="13"/>
  <c r="P784" i="13"/>
  <c r="P785" i="13"/>
  <c r="P786" i="13"/>
  <c r="P787" i="13"/>
  <c r="P788" i="13"/>
  <c r="P789" i="13"/>
  <c r="P791" i="13"/>
  <c r="P792" i="13"/>
  <c r="P794" i="13"/>
  <c r="P795" i="13"/>
  <c r="P796" i="13"/>
  <c r="P797" i="13"/>
  <c r="P798" i="13"/>
  <c r="P800" i="13"/>
  <c r="P801" i="13"/>
  <c r="P803" i="13"/>
  <c r="P804" i="13"/>
  <c r="P805" i="13"/>
  <c r="P806" i="13"/>
  <c r="P807" i="13"/>
  <c r="P808" i="13"/>
  <c r="P809" i="13"/>
  <c r="P810" i="13"/>
  <c r="P811" i="13"/>
  <c r="P812" i="13"/>
  <c r="P813" i="13"/>
  <c r="P814" i="13"/>
  <c r="P815" i="13"/>
  <c r="P817" i="13"/>
  <c r="P818" i="13"/>
  <c r="P820" i="13"/>
  <c r="P821" i="13"/>
  <c r="P823" i="13"/>
  <c r="P824" i="13"/>
  <c r="P825" i="13"/>
  <c r="P826" i="13"/>
  <c r="P827" i="13"/>
  <c r="P828" i="13"/>
  <c r="P829" i="13"/>
  <c r="P830" i="13"/>
  <c r="P831" i="13"/>
  <c r="P832" i="13"/>
  <c r="P833" i="13"/>
  <c r="P834" i="13"/>
  <c r="P835" i="13"/>
  <c r="P836" i="13"/>
  <c r="P837" i="13"/>
  <c r="P838" i="13"/>
  <c r="P839" i="13"/>
  <c r="P841" i="13"/>
  <c r="P842" i="13"/>
  <c r="P844" i="13"/>
  <c r="P845" i="13"/>
  <c r="P847" i="13"/>
  <c r="P848" i="13"/>
  <c r="P849" i="13"/>
  <c r="P850" i="13"/>
  <c r="P851" i="13"/>
  <c r="P852" i="13"/>
  <c r="P853" i="13"/>
  <c r="P854" i="13"/>
  <c r="P855" i="13"/>
  <c r="P856" i="13"/>
  <c r="P857" i="13"/>
  <c r="P858" i="13"/>
  <c r="P859" i="13"/>
  <c r="P860" i="13"/>
  <c r="P861" i="13"/>
  <c r="P862" i="13"/>
  <c r="P863" i="13"/>
  <c r="P865" i="13"/>
  <c r="P866" i="13"/>
  <c r="P867" i="13"/>
  <c r="P868" i="13"/>
  <c r="P869" i="13"/>
  <c r="P871" i="13"/>
  <c r="P872" i="13"/>
  <c r="P873" i="13"/>
  <c r="P874" i="13"/>
  <c r="P875" i="13"/>
  <c r="P876" i="13"/>
  <c r="P877" i="13"/>
  <c r="P878" i="13"/>
  <c r="P879" i="13"/>
  <c r="P880" i="13"/>
  <c r="P881" i="13"/>
  <c r="P882" i="13"/>
  <c r="P883" i="13"/>
  <c r="P884" i="13"/>
  <c r="P885" i="13"/>
  <c r="P886" i="13"/>
  <c r="P887" i="13"/>
  <c r="P889" i="13"/>
  <c r="P890" i="13"/>
  <c r="P891" i="13"/>
  <c r="P892" i="13"/>
  <c r="P893" i="13"/>
  <c r="P895" i="13"/>
  <c r="P896" i="13"/>
  <c r="P897" i="13"/>
  <c r="P898" i="13"/>
  <c r="P899" i="13"/>
  <c r="P900" i="13"/>
  <c r="P901" i="13"/>
  <c r="P902" i="13"/>
  <c r="P903" i="13"/>
  <c r="P904" i="13"/>
  <c r="P905" i="13"/>
  <c r="P906" i="13"/>
  <c r="P907" i="13"/>
  <c r="P908" i="13"/>
  <c r="P909" i="13"/>
  <c r="P910" i="13"/>
  <c r="P911" i="13"/>
  <c r="P912" i="13"/>
  <c r="P913" i="13"/>
  <c r="P914" i="13"/>
  <c r="P915" i="13"/>
  <c r="P916" i="13"/>
  <c r="P917" i="13"/>
  <c r="P918" i="13"/>
  <c r="P919" i="13"/>
  <c r="P920" i="13"/>
  <c r="P921" i="13"/>
  <c r="P922" i="13"/>
  <c r="P923" i="13"/>
  <c r="P924" i="13"/>
  <c r="P925" i="13"/>
  <c r="P926" i="13"/>
  <c r="P927" i="13"/>
  <c r="P928" i="13"/>
  <c r="P929" i="13"/>
  <c r="P930" i="13"/>
  <c r="P931" i="13"/>
  <c r="P932" i="13"/>
  <c r="P933" i="13"/>
  <c r="P934" i="13"/>
  <c r="P935" i="13"/>
  <c r="P936" i="13"/>
  <c r="P937" i="13"/>
  <c r="P938" i="13"/>
  <c r="P939" i="13"/>
  <c r="P940" i="13"/>
  <c r="P941" i="13"/>
  <c r="P942" i="13"/>
  <c r="P943" i="13"/>
  <c r="P944" i="13"/>
  <c r="P945" i="13"/>
  <c r="P946" i="13"/>
  <c r="P947" i="13"/>
  <c r="P948" i="13"/>
  <c r="P949" i="13"/>
  <c r="P950" i="13"/>
  <c r="P951" i="13"/>
  <c r="P952" i="13"/>
  <c r="P953" i="13"/>
  <c r="P954" i="13"/>
  <c r="P955" i="13"/>
  <c r="P956" i="13"/>
  <c r="P957" i="13"/>
  <c r="P958" i="13"/>
  <c r="P959" i="13"/>
  <c r="P960" i="13"/>
  <c r="P961" i="13"/>
  <c r="P962" i="13"/>
  <c r="P963" i="13"/>
  <c r="P964" i="13"/>
  <c r="P965" i="13"/>
  <c r="P966" i="13"/>
  <c r="P967" i="13"/>
  <c r="P968" i="13"/>
  <c r="P969" i="13"/>
  <c r="P970" i="13"/>
  <c r="P4" i="13"/>
  <c r="N925" i="13"/>
  <c r="N926" i="13"/>
  <c r="N927" i="13"/>
  <c r="N928" i="13"/>
  <c r="N929" i="13"/>
  <c r="N930" i="13"/>
  <c r="N931" i="13"/>
  <c r="N932" i="13"/>
  <c r="N933" i="13"/>
  <c r="N934" i="13"/>
  <c r="N935" i="13"/>
  <c r="N936" i="13"/>
  <c r="N937" i="13"/>
  <c r="N938" i="13"/>
  <c r="N939" i="13"/>
  <c r="N940" i="13"/>
  <c r="N941" i="13"/>
  <c r="N942" i="13"/>
  <c r="N943" i="13"/>
  <c r="N944" i="13"/>
  <c r="N945" i="13"/>
  <c r="N946" i="13"/>
  <c r="N947" i="13"/>
  <c r="N948" i="13"/>
  <c r="N949" i="13"/>
  <c r="N950" i="13"/>
  <c r="N951" i="13"/>
  <c r="N952" i="13"/>
  <c r="N953" i="13"/>
  <c r="N954" i="13"/>
  <c r="N955" i="13"/>
  <c r="N956" i="13"/>
  <c r="N957" i="13"/>
  <c r="N958" i="13"/>
  <c r="N959" i="13"/>
  <c r="N960" i="13"/>
  <c r="N961" i="13"/>
  <c r="N962" i="13"/>
  <c r="N963" i="13"/>
  <c r="N964" i="13"/>
  <c r="N965" i="13"/>
  <c r="N966" i="13"/>
  <c r="N967" i="13"/>
  <c r="N968" i="13"/>
  <c r="N969" i="13"/>
  <c r="N970" i="13"/>
  <c r="P5" i="7"/>
  <c r="P6" i="7"/>
  <c r="P7"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P48" i="7"/>
  <c r="P49" i="7"/>
  <c r="P50" i="7"/>
  <c r="P51" i="7"/>
  <c r="P52" i="7"/>
  <c r="P53" i="7"/>
  <c r="P54" i="7"/>
  <c r="P55" i="7"/>
  <c r="P56" i="7"/>
  <c r="P57" i="7"/>
  <c r="P58" i="7"/>
  <c r="P59" i="7"/>
  <c r="P60" i="7"/>
  <c r="P61" i="7"/>
  <c r="P62" i="7"/>
  <c r="P63" i="7"/>
  <c r="P64" i="7"/>
  <c r="P65" i="7"/>
  <c r="P66" i="7"/>
  <c r="P67" i="7"/>
  <c r="P68" i="7"/>
  <c r="P69" i="7"/>
  <c r="P70" i="7"/>
  <c r="P71" i="7"/>
  <c r="P72" i="7"/>
  <c r="P73" i="7"/>
  <c r="P74" i="7"/>
  <c r="P75" i="7"/>
  <c r="P76" i="7"/>
  <c r="P77" i="7"/>
  <c r="P78" i="7"/>
  <c r="P79" i="7"/>
  <c r="P80" i="7"/>
  <c r="P81" i="7"/>
  <c r="P82" i="7"/>
  <c r="P83" i="7"/>
  <c r="P84" i="7"/>
  <c r="P85" i="7"/>
  <c r="P86" i="7"/>
  <c r="P87" i="7"/>
  <c r="P88" i="7"/>
  <c r="P89" i="7"/>
  <c r="P90" i="7"/>
  <c r="P91" i="7"/>
  <c r="P92" i="7"/>
  <c r="P93" i="7"/>
  <c r="P94" i="7"/>
  <c r="P95" i="7"/>
  <c r="P96" i="7"/>
  <c r="P97" i="7"/>
  <c r="P4" i="7"/>
  <c r="N76" i="7"/>
  <c r="N77" i="7"/>
  <c r="N78" i="7"/>
  <c r="N79" i="7"/>
  <c r="N80" i="7"/>
  <c r="N81" i="7"/>
  <c r="N82" i="7"/>
  <c r="N83" i="7"/>
  <c r="N84" i="7"/>
  <c r="N85" i="7"/>
  <c r="N86" i="7"/>
  <c r="N87" i="7"/>
  <c r="N88" i="7"/>
  <c r="N89" i="7"/>
  <c r="N90" i="7"/>
  <c r="N91" i="7"/>
  <c r="N92" i="7"/>
  <c r="N93" i="7"/>
  <c r="N94" i="7"/>
  <c r="N95" i="7"/>
  <c r="N96" i="7"/>
  <c r="N97" i="7"/>
  <c r="D76" i="7"/>
  <c r="D77" i="7"/>
  <c r="D78" i="7"/>
  <c r="D79" i="7"/>
  <c r="D80" i="7"/>
  <c r="D81" i="7"/>
  <c r="D82" i="7"/>
  <c r="D83" i="7"/>
  <c r="D84" i="7"/>
  <c r="D85" i="7"/>
  <c r="D86" i="7"/>
  <c r="D87" i="7"/>
  <c r="D88" i="7"/>
  <c r="D89" i="7"/>
  <c r="D90" i="7"/>
  <c r="D91" i="7"/>
  <c r="D92" i="7"/>
  <c r="D93" i="7"/>
  <c r="D94" i="7"/>
  <c r="D95" i="7"/>
  <c r="D96" i="7"/>
  <c r="D97" i="7"/>
  <c r="P140" i="15"/>
  <c r="P139" i="15"/>
  <c r="P138" i="15"/>
  <c r="P137" i="15"/>
  <c r="P136" i="15"/>
  <c r="P135" i="15"/>
  <c r="N140" i="15"/>
  <c r="N139" i="15"/>
  <c r="N138" i="15"/>
  <c r="N137" i="15"/>
  <c r="N136" i="15"/>
  <c r="N135" i="15"/>
  <c r="D140" i="15"/>
  <c r="D139" i="15"/>
  <c r="D138" i="15"/>
  <c r="D137" i="15"/>
  <c r="D136" i="15"/>
  <c r="D135" i="15"/>
  <c r="P94" i="15"/>
  <c r="P95" i="15"/>
  <c r="P96" i="15"/>
  <c r="P97" i="15"/>
  <c r="P98" i="15"/>
  <c r="P99" i="15"/>
  <c r="P100" i="15"/>
  <c r="P101" i="15"/>
  <c r="P102" i="15"/>
  <c r="P103" i="15"/>
  <c r="P104" i="15"/>
  <c r="P105" i="15"/>
  <c r="P106" i="15"/>
  <c r="P107" i="15"/>
  <c r="P108" i="15"/>
  <c r="P109" i="15"/>
  <c r="P110" i="15"/>
  <c r="P111" i="15"/>
  <c r="P112" i="15"/>
  <c r="P113" i="15"/>
  <c r="P114" i="15"/>
  <c r="P115" i="15"/>
  <c r="P116" i="15"/>
  <c r="P117" i="15"/>
  <c r="P118" i="15"/>
  <c r="P119" i="15"/>
  <c r="P120" i="15"/>
  <c r="P121" i="15"/>
  <c r="P122" i="15"/>
  <c r="P123" i="15"/>
  <c r="P124" i="15"/>
  <c r="P125" i="15"/>
  <c r="P126" i="15"/>
  <c r="P127" i="15"/>
  <c r="P128" i="15"/>
  <c r="P129" i="15"/>
  <c r="P130" i="15"/>
  <c r="P131" i="15"/>
  <c r="P132" i="15"/>
  <c r="P133" i="15"/>
  <c r="P134" i="15"/>
  <c r="P45" i="15"/>
  <c r="P42" i="15"/>
  <c r="P39" i="15"/>
  <c r="P27" i="15"/>
  <c r="P21" i="15"/>
  <c r="P18" i="15"/>
  <c r="P15" i="15"/>
  <c r="P6" i="15"/>
  <c r="P5" i="15"/>
  <c r="P7" i="15"/>
  <c r="P8" i="15"/>
  <c r="P9" i="15"/>
  <c r="P10" i="15"/>
  <c r="P11" i="15"/>
  <c r="P12" i="15"/>
  <c r="P13" i="15"/>
  <c r="P14" i="15"/>
  <c r="P16" i="15"/>
  <c r="P17" i="15"/>
  <c r="P19" i="15"/>
  <c r="P20" i="15"/>
  <c r="P22" i="15"/>
  <c r="P23" i="15"/>
  <c r="P24" i="15"/>
  <c r="P25" i="15"/>
  <c r="P26" i="15"/>
  <c r="P28" i="15"/>
  <c r="P29" i="15"/>
  <c r="P30" i="15"/>
  <c r="P31" i="15"/>
  <c r="P32" i="15"/>
  <c r="P33" i="15"/>
  <c r="P34" i="15"/>
  <c r="P35" i="15"/>
  <c r="P36" i="15"/>
  <c r="P37" i="15"/>
  <c r="P38" i="15"/>
  <c r="P40" i="15"/>
  <c r="P41" i="15"/>
  <c r="P43" i="15"/>
  <c r="P44" i="15"/>
  <c r="P46" i="15"/>
  <c r="P47" i="15"/>
  <c r="P48" i="15"/>
  <c r="P49" i="15"/>
  <c r="P50" i="15"/>
  <c r="P51" i="15"/>
  <c r="P52" i="15"/>
  <c r="P53" i="15"/>
  <c r="P54" i="15"/>
  <c r="P55" i="15"/>
  <c r="P56" i="15"/>
  <c r="P57" i="15"/>
  <c r="P58" i="15"/>
  <c r="P59" i="15"/>
  <c r="P60" i="15"/>
  <c r="P61" i="15"/>
  <c r="P62" i="15"/>
  <c r="P63" i="15"/>
  <c r="P64" i="15"/>
  <c r="P65" i="15"/>
  <c r="P66" i="15"/>
  <c r="P67" i="15"/>
  <c r="P68" i="15"/>
  <c r="P69" i="15"/>
  <c r="P70" i="15"/>
  <c r="P71" i="15"/>
  <c r="P72" i="15"/>
  <c r="P73" i="15"/>
  <c r="P74" i="15"/>
  <c r="P75" i="15"/>
  <c r="P76" i="15"/>
  <c r="P77" i="15"/>
  <c r="P78" i="15"/>
  <c r="P79" i="15"/>
  <c r="P80" i="15"/>
  <c r="P81" i="15"/>
  <c r="P82" i="15"/>
  <c r="P83" i="15"/>
  <c r="P84" i="15"/>
  <c r="P85" i="15"/>
  <c r="P86" i="15"/>
  <c r="P87" i="15"/>
  <c r="P88" i="15"/>
  <c r="P89" i="15"/>
  <c r="P90" i="15"/>
  <c r="P91" i="15"/>
  <c r="P92" i="15"/>
  <c r="P93" i="15"/>
  <c r="P4" i="15"/>
  <c r="D140" i="4"/>
  <c r="D141" i="4"/>
  <c r="D142" i="4"/>
  <c r="Q140" i="4"/>
  <c r="Q141" i="4"/>
  <c r="Q142" i="4"/>
  <c r="N140" i="4"/>
  <c r="N141" i="4"/>
  <c r="N142"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P143" i="14"/>
  <c r="P120" i="14"/>
  <c r="P117" i="14"/>
  <c r="P115" i="14"/>
  <c r="P93" i="14"/>
  <c r="P64" i="14"/>
  <c r="P51" i="14"/>
  <c r="P45" i="14"/>
  <c r="P26" i="14"/>
  <c r="P23" i="14"/>
  <c r="P18" i="14"/>
  <c r="D6" i="14"/>
  <c r="D5" i="14"/>
  <c r="P5" i="14"/>
  <c r="P6" i="14"/>
  <c r="P7" i="14"/>
  <c r="P8" i="14"/>
  <c r="P9" i="14"/>
  <c r="P10" i="14"/>
  <c r="P11" i="14"/>
  <c r="P12" i="14"/>
  <c r="P13" i="14"/>
  <c r="P14" i="14"/>
  <c r="P15" i="14"/>
  <c r="P16" i="14"/>
  <c r="P17" i="14"/>
  <c r="P19" i="14"/>
  <c r="P20" i="14"/>
  <c r="P21" i="14"/>
  <c r="P22" i="14"/>
  <c r="P24" i="14"/>
  <c r="P25" i="14"/>
  <c r="P27" i="14"/>
  <c r="P28" i="14"/>
  <c r="P29" i="14"/>
  <c r="P30" i="14"/>
  <c r="P31" i="14"/>
  <c r="P32" i="14"/>
  <c r="P33" i="14"/>
  <c r="P34" i="14"/>
  <c r="P35" i="14"/>
  <c r="P36" i="14"/>
  <c r="P37" i="14"/>
  <c r="P38" i="14"/>
  <c r="P39" i="14"/>
  <c r="P40" i="14"/>
  <c r="P41" i="14"/>
  <c r="P42" i="14"/>
  <c r="P43" i="14"/>
  <c r="P44" i="14"/>
  <c r="P46" i="14"/>
  <c r="P47" i="14"/>
  <c r="P48" i="14"/>
  <c r="P49" i="14"/>
  <c r="P50" i="14"/>
  <c r="P52" i="14"/>
  <c r="P53" i="14"/>
  <c r="P54" i="14"/>
  <c r="P55" i="14"/>
  <c r="P56" i="14"/>
  <c r="P57" i="14"/>
  <c r="P58" i="14"/>
  <c r="P59" i="14"/>
  <c r="P60" i="14"/>
  <c r="P61" i="14"/>
  <c r="P62" i="14"/>
  <c r="P63" i="14"/>
  <c r="P65" i="14"/>
  <c r="P66" i="14"/>
  <c r="P67" i="14"/>
  <c r="P68" i="14"/>
  <c r="P69" i="14"/>
  <c r="P70" i="14"/>
  <c r="P71" i="14"/>
  <c r="P72" i="14"/>
  <c r="P73" i="14"/>
  <c r="P74" i="14"/>
  <c r="P75" i="14"/>
  <c r="P76" i="14"/>
  <c r="P77" i="14"/>
  <c r="P78" i="14"/>
  <c r="P79" i="14"/>
  <c r="P80" i="14"/>
  <c r="P81" i="14"/>
  <c r="P82" i="14"/>
  <c r="P83" i="14"/>
  <c r="P84" i="14"/>
  <c r="P85" i="14"/>
  <c r="P86" i="14"/>
  <c r="P87" i="14"/>
  <c r="P88" i="14"/>
  <c r="P89" i="14"/>
  <c r="P90" i="14"/>
  <c r="P91" i="14"/>
  <c r="P92" i="14"/>
  <c r="P94" i="14"/>
  <c r="P95" i="14"/>
  <c r="P96" i="14"/>
  <c r="P97" i="14"/>
  <c r="P98" i="14"/>
  <c r="P99" i="14"/>
  <c r="P100" i="14"/>
  <c r="P101" i="14"/>
  <c r="P102" i="14"/>
  <c r="P103" i="14"/>
  <c r="P104" i="14"/>
  <c r="P105" i="14"/>
  <c r="P106" i="14"/>
  <c r="P107" i="14"/>
  <c r="P108" i="14"/>
  <c r="P109" i="14"/>
  <c r="P110" i="14"/>
  <c r="P111" i="14"/>
  <c r="P112" i="14"/>
  <c r="P113" i="14"/>
  <c r="P114" i="14"/>
  <c r="P116" i="14"/>
  <c r="P118" i="14"/>
  <c r="P119" i="14"/>
  <c r="P121" i="14"/>
  <c r="P122" i="14"/>
  <c r="P123" i="14"/>
  <c r="P124" i="14"/>
  <c r="P125" i="14"/>
  <c r="P126" i="14"/>
  <c r="P127" i="14"/>
  <c r="P128" i="14"/>
  <c r="P129" i="14"/>
  <c r="P130" i="14"/>
  <c r="P131" i="14"/>
  <c r="P132" i="14"/>
  <c r="P133" i="14"/>
  <c r="P134" i="14"/>
  <c r="P135" i="14"/>
  <c r="P136" i="14"/>
  <c r="P137" i="14"/>
  <c r="P138" i="14"/>
  <c r="P139" i="14"/>
  <c r="P140" i="14"/>
  <c r="P141" i="14"/>
  <c r="P142" i="14"/>
  <c r="P144" i="14"/>
  <c r="P4" i="14"/>
  <c r="D115" i="28" l="1"/>
  <c r="P106" i="28"/>
  <c r="D270" i="28"/>
  <c r="D108" i="28"/>
  <c r="P213" i="28"/>
  <c r="P115" i="28"/>
  <c r="P114" i="28"/>
  <c r="D107" i="28"/>
  <c r="P202" i="28"/>
  <c r="D288" i="28"/>
  <c r="D289" i="28"/>
  <c r="D237" i="28"/>
  <c r="P237" i="28"/>
  <c r="D188" i="28"/>
  <c r="D145" i="33"/>
  <c r="D139" i="33"/>
  <c r="D118" i="33"/>
  <c r="D164" i="33"/>
  <c r="D144" i="33"/>
  <c r="D117" i="33"/>
  <c r="D107" i="33"/>
  <c r="D75" i="33"/>
  <c r="D184" i="8"/>
  <c r="D187" i="8"/>
  <c r="D203" i="8"/>
  <c r="D200" i="8"/>
  <c r="D216" i="8"/>
  <c r="D219" i="8"/>
  <c r="D195" i="8"/>
  <c r="D196" i="8"/>
  <c r="D212" i="8"/>
  <c r="D189" i="8"/>
  <c r="D213" i="8"/>
  <c r="D140" i="8"/>
  <c r="D123" i="8"/>
  <c r="D88" i="8"/>
  <c r="D49" i="8"/>
  <c r="D18" i="8"/>
  <c r="D211" i="8"/>
  <c r="D188" i="8"/>
  <c r="D220" i="8"/>
  <c r="D205" i="8"/>
  <c r="D168" i="8"/>
  <c r="D155" i="8"/>
  <c r="D122" i="8"/>
  <c r="D83" i="8"/>
  <c r="D204" i="8"/>
  <c r="D197" i="8"/>
  <c r="D221" i="8"/>
  <c r="D19" i="8"/>
  <c r="D41" i="8"/>
  <c r="D104" i="8"/>
  <c r="D80" i="8"/>
  <c r="D16" i="8"/>
  <c r="D47" i="8"/>
  <c r="D222" i="8"/>
  <c r="D214" i="8"/>
  <c r="D206" i="8"/>
  <c r="D198" i="8"/>
  <c r="D190" i="8"/>
  <c r="D166" i="8"/>
  <c r="D158" i="8"/>
  <c r="D86" i="8"/>
  <c r="D22" i="8"/>
  <c r="D14" i="8"/>
  <c r="P146" i="36"/>
  <c r="P60" i="36"/>
  <c r="P191" i="36"/>
  <c r="P132" i="36"/>
  <c r="P95" i="36"/>
  <c r="P89" i="36"/>
  <c r="D45" i="38"/>
  <c r="P16" i="38"/>
  <c r="D17" i="38"/>
  <c r="P17" i="38"/>
  <c r="D311" i="13"/>
  <c r="P822" i="13"/>
  <c r="P671" i="13"/>
  <c r="P506" i="13"/>
  <c r="P410" i="13"/>
  <c r="P192" i="13"/>
  <c r="P24" i="13"/>
  <c r="D797" i="13"/>
  <c r="D769" i="13"/>
  <c r="D531" i="13"/>
  <c r="D479" i="13"/>
  <c r="D434" i="13"/>
  <c r="D411" i="13"/>
  <c r="D287" i="13"/>
  <c r="D264" i="13"/>
  <c r="D214" i="13"/>
  <c r="D193" i="13"/>
  <c r="D49" i="13"/>
  <c r="D770" i="13"/>
  <c r="P846" i="13"/>
  <c r="P722" i="13"/>
  <c r="P575" i="13"/>
  <c r="P479" i="13"/>
  <c r="D895" i="13"/>
  <c r="D695" i="13"/>
  <c r="D675" i="13"/>
  <c r="D623" i="13"/>
  <c r="D603" i="13"/>
  <c r="D551" i="13"/>
  <c r="D530" i="13"/>
  <c r="D455" i="13"/>
  <c r="D387" i="13"/>
  <c r="D142" i="13"/>
  <c r="D121" i="13"/>
  <c r="D70" i="13"/>
  <c r="D48" i="13"/>
  <c r="P551" i="13"/>
  <c r="P870" i="13"/>
  <c r="P793" i="13"/>
  <c r="P695" i="13"/>
  <c r="P599" i="13"/>
  <c r="P383" i="13"/>
  <c r="P338" i="13"/>
  <c r="D894" i="13"/>
  <c r="D871" i="13"/>
  <c r="D747" i="13"/>
  <c r="D507" i="13"/>
  <c r="D431" i="13"/>
  <c r="D363" i="13"/>
  <c r="D262" i="13"/>
  <c r="D241" i="13"/>
  <c r="D222" i="13"/>
  <c r="D151" i="13"/>
  <c r="D79" i="13"/>
  <c r="D25" i="13"/>
  <c r="P455" i="13"/>
  <c r="D719" i="13"/>
  <c r="P819" i="13"/>
  <c r="P746" i="13"/>
  <c r="P650" i="13"/>
  <c r="P503" i="13"/>
  <c r="P407" i="13"/>
  <c r="P96" i="13"/>
  <c r="D794" i="13"/>
  <c r="D651" i="13"/>
  <c r="D579" i="13"/>
  <c r="D527" i="13"/>
  <c r="D407" i="13"/>
  <c r="D339" i="13"/>
  <c r="D190" i="13"/>
  <c r="D169" i="13"/>
  <c r="D150" i="13"/>
  <c r="D97" i="13"/>
  <c r="D78" i="13"/>
  <c r="D46" i="13"/>
  <c r="P843" i="13"/>
  <c r="P772" i="13"/>
  <c r="P719" i="13"/>
  <c r="P623" i="13"/>
  <c r="D671" i="13"/>
  <c r="D599" i="13"/>
  <c r="D383" i="13"/>
  <c r="D199" i="13"/>
  <c r="D118" i="13"/>
  <c r="D55" i="13"/>
  <c r="D67" i="13"/>
  <c r="P66" i="13"/>
  <c r="D211" i="13"/>
  <c r="P210" i="13"/>
  <c r="D332" i="13"/>
  <c r="D333" i="13"/>
  <c r="D452" i="13"/>
  <c r="D453" i="13"/>
  <c r="D596" i="13"/>
  <c r="D597" i="13"/>
  <c r="D716" i="13"/>
  <c r="D717" i="13"/>
  <c r="P840" i="13"/>
  <c r="D27" i="13"/>
  <c r="D28" i="13"/>
  <c r="P799" i="13"/>
  <c r="D800" i="13"/>
  <c r="D91" i="13"/>
  <c r="P90" i="13"/>
  <c r="D187" i="13"/>
  <c r="P186" i="13"/>
  <c r="D404" i="13"/>
  <c r="D405" i="13"/>
  <c r="D620" i="13"/>
  <c r="D621" i="13"/>
  <c r="D740" i="13"/>
  <c r="D741" i="13"/>
  <c r="P620" i="13"/>
  <c r="D841" i="13"/>
  <c r="D767" i="13"/>
  <c r="D123" i="13"/>
  <c r="D124" i="13"/>
  <c r="D195" i="13"/>
  <c r="D196" i="13"/>
  <c r="D243" i="13"/>
  <c r="D244" i="13"/>
  <c r="P341" i="13"/>
  <c r="D342" i="13"/>
  <c r="D341" i="13"/>
  <c r="P437" i="13"/>
  <c r="D437" i="13"/>
  <c r="P533" i="13"/>
  <c r="D533" i="13"/>
  <c r="P629" i="13"/>
  <c r="D629" i="13"/>
  <c r="D898" i="13"/>
  <c r="D817" i="13"/>
  <c r="D790" i="13"/>
  <c r="D534" i="13"/>
  <c r="D19" i="13"/>
  <c r="P18" i="13"/>
  <c r="D139" i="13"/>
  <c r="P138" i="13"/>
  <c r="D259" i="13"/>
  <c r="P258" i="13"/>
  <c r="D380" i="13"/>
  <c r="D381" i="13"/>
  <c r="D500" i="13"/>
  <c r="D501" i="13"/>
  <c r="D548" i="13"/>
  <c r="D549" i="13"/>
  <c r="D668" i="13"/>
  <c r="D669" i="13"/>
  <c r="D186" i="13"/>
  <c r="P888" i="13"/>
  <c r="D766" i="13"/>
  <c r="D75" i="13"/>
  <c r="D76" i="13"/>
  <c r="D219" i="13"/>
  <c r="D220" i="13"/>
  <c r="P317" i="13"/>
  <c r="D318" i="13"/>
  <c r="D317" i="13"/>
  <c r="P413" i="13"/>
  <c r="D414" i="13"/>
  <c r="D413" i="13"/>
  <c r="P509" i="13"/>
  <c r="D509" i="13"/>
  <c r="P605" i="13"/>
  <c r="D605" i="13"/>
  <c r="P701" i="13"/>
  <c r="D701" i="13"/>
  <c r="P775" i="13"/>
  <c r="D776" i="13"/>
  <c r="P716" i="13"/>
  <c r="P123" i="13"/>
  <c r="D826" i="13"/>
  <c r="D258" i="13"/>
  <c r="D210" i="13"/>
  <c r="D43" i="13"/>
  <c r="P42" i="13"/>
  <c r="D163" i="13"/>
  <c r="P162" i="13"/>
  <c r="D284" i="13"/>
  <c r="D285" i="13"/>
  <c r="D356" i="13"/>
  <c r="D357" i="13"/>
  <c r="D476" i="13"/>
  <c r="D477" i="13"/>
  <c r="D572" i="13"/>
  <c r="D573" i="13"/>
  <c r="D692" i="13"/>
  <c r="D693" i="13"/>
  <c r="P816" i="13"/>
  <c r="P452" i="13"/>
  <c r="P668" i="13"/>
  <c r="P332" i="13"/>
  <c r="D791" i="13"/>
  <c r="D66" i="13"/>
  <c r="D99" i="13"/>
  <c r="D100" i="13"/>
  <c r="D171" i="13"/>
  <c r="D172" i="13"/>
  <c r="P269" i="13"/>
  <c r="D270" i="13"/>
  <c r="D269" i="13"/>
  <c r="P365" i="13"/>
  <c r="D366" i="13"/>
  <c r="D365" i="13"/>
  <c r="P461" i="13"/>
  <c r="D461" i="13"/>
  <c r="P557" i="13"/>
  <c r="D557" i="13"/>
  <c r="P677" i="13"/>
  <c r="D677" i="13"/>
  <c r="P725" i="13"/>
  <c r="D725" i="13"/>
  <c r="P692" i="13"/>
  <c r="P740" i="13"/>
  <c r="P548" i="13"/>
  <c r="P195" i="13"/>
  <c r="D865" i="13"/>
  <c r="D438" i="13"/>
  <c r="D42" i="13"/>
  <c r="D115" i="13"/>
  <c r="P114" i="13"/>
  <c r="D235" i="13"/>
  <c r="P234" i="13"/>
  <c r="D308" i="13"/>
  <c r="D309" i="13"/>
  <c r="D428" i="13"/>
  <c r="D429" i="13"/>
  <c r="D524" i="13"/>
  <c r="D525" i="13"/>
  <c r="D644" i="13"/>
  <c r="D645" i="13"/>
  <c r="P864" i="13"/>
  <c r="D889" i="13"/>
  <c r="D51" i="13"/>
  <c r="D52" i="13"/>
  <c r="D147" i="13"/>
  <c r="D148" i="13"/>
  <c r="P293" i="13"/>
  <c r="D294" i="13"/>
  <c r="D293" i="13"/>
  <c r="P389" i="13"/>
  <c r="D390" i="13"/>
  <c r="D389" i="13"/>
  <c r="P485" i="13"/>
  <c r="D485" i="13"/>
  <c r="P581" i="13"/>
  <c r="D581" i="13"/>
  <c r="P653" i="13"/>
  <c r="D653" i="13"/>
  <c r="P749" i="13"/>
  <c r="D749" i="13"/>
  <c r="P243" i="13"/>
  <c r="P572" i="13"/>
  <c r="P380" i="13"/>
  <c r="P284" i="13"/>
  <c r="P75" i="13"/>
  <c r="D702" i="13"/>
  <c r="D510" i="13"/>
  <c r="P802" i="13"/>
  <c r="P778" i="13"/>
  <c r="P754" i="13"/>
  <c r="D360" i="13"/>
  <c r="D336" i="13"/>
  <c r="D312" i="13"/>
  <c r="D288" i="13"/>
  <c r="D261" i="13"/>
  <c r="D237" i="13"/>
  <c r="D213" i="13"/>
  <c r="D189" i="13"/>
  <c r="D165" i="13"/>
  <c r="D141" i="13"/>
  <c r="D117" i="13"/>
  <c r="D93" i="13"/>
  <c r="D69" i="13"/>
  <c r="D45" i="13"/>
  <c r="D21" i="13"/>
  <c r="D901" i="13"/>
  <c r="D877" i="13"/>
  <c r="D853" i="13"/>
  <c r="D829" i="13"/>
  <c r="D892" i="13"/>
  <c r="D868" i="13"/>
  <c r="D844" i="13"/>
  <c r="D820" i="13"/>
  <c r="D276" i="13"/>
  <c r="N131" i="14"/>
  <c r="D131" i="14"/>
  <c r="D132" i="14"/>
  <c r="N59" i="14"/>
  <c r="D60" i="14"/>
  <c r="D59" i="14"/>
  <c r="N74" i="37"/>
  <c r="D74" i="37"/>
  <c r="N73" i="37"/>
  <c r="D73" i="37"/>
  <c r="N72" i="37"/>
  <c r="D72" i="37"/>
  <c r="N71" i="37"/>
  <c r="D71" i="37"/>
  <c r="N70" i="37"/>
  <c r="D70" i="37"/>
  <c r="N69" i="37"/>
  <c r="D69" i="37"/>
  <c r="N68" i="37"/>
  <c r="D68" i="37"/>
  <c r="N67" i="37"/>
  <c r="D67" i="37"/>
  <c r="N66" i="37"/>
  <c r="D66" i="37"/>
  <c r="N65" i="37"/>
  <c r="D65" i="37"/>
  <c r="N64" i="37"/>
  <c r="D64" i="37"/>
  <c r="N63" i="37"/>
  <c r="D63" i="37"/>
  <c r="N62" i="37"/>
  <c r="D62" i="37"/>
  <c r="N61" i="37"/>
  <c r="D61" i="37"/>
  <c r="N60" i="37"/>
  <c r="D60" i="37"/>
  <c r="N59" i="37"/>
  <c r="D59" i="37"/>
  <c r="N58" i="37"/>
  <c r="D58" i="37"/>
  <c r="N57" i="37"/>
  <c r="D57" i="37"/>
  <c r="N56" i="37"/>
  <c r="D56" i="37"/>
  <c r="N55" i="37"/>
  <c r="D55" i="37"/>
  <c r="N54" i="37"/>
  <c r="D54" i="37"/>
  <c r="N53" i="37"/>
  <c r="D53" i="37"/>
  <c r="N52" i="37"/>
  <c r="D52" i="37"/>
  <c r="N51" i="37"/>
  <c r="D51" i="37"/>
  <c r="N50" i="37"/>
  <c r="D50" i="37"/>
  <c r="N49" i="37"/>
  <c r="D49" i="37"/>
  <c r="N48" i="37"/>
  <c r="D48" i="37"/>
  <c r="N47" i="37"/>
  <c r="D47" i="37"/>
  <c r="N46" i="37"/>
  <c r="D46" i="37"/>
  <c r="N45" i="37"/>
  <c r="D45" i="37"/>
  <c r="N44" i="37"/>
  <c r="D44" i="37"/>
  <c r="N43" i="37"/>
  <c r="D43" i="37"/>
  <c r="N42" i="37"/>
  <c r="D42" i="37"/>
  <c r="N41" i="37"/>
  <c r="D41" i="37"/>
  <c r="N40" i="37"/>
  <c r="D40" i="37"/>
  <c r="N39" i="37"/>
  <c r="D39" i="37"/>
  <c r="N38" i="37"/>
  <c r="D38" i="37"/>
  <c r="N37" i="37"/>
  <c r="D37" i="37"/>
  <c r="N36" i="37"/>
  <c r="D36" i="37"/>
  <c r="N35" i="37"/>
  <c r="D35" i="37"/>
  <c r="N34" i="37"/>
  <c r="D34" i="37"/>
  <c r="N33" i="37"/>
  <c r="D33" i="37"/>
  <c r="N32" i="37"/>
  <c r="D32" i="37"/>
  <c r="N31" i="37"/>
  <c r="D31" i="37"/>
  <c r="N30" i="37"/>
  <c r="D30" i="37"/>
  <c r="N29" i="37"/>
  <c r="D29" i="37"/>
  <c r="N28" i="37"/>
  <c r="D28" i="37"/>
  <c r="N27" i="37"/>
  <c r="D27" i="37"/>
  <c r="N26" i="37"/>
  <c r="D26" i="37"/>
  <c r="N25" i="37"/>
  <c r="D25" i="37"/>
  <c r="N24" i="37"/>
  <c r="D24" i="37"/>
  <c r="N23" i="37"/>
  <c r="D23" i="37"/>
  <c r="N22" i="37"/>
  <c r="D22" i="37"/>
  <c r="N21" i="37"/>
  <c r="D21" i="37"/>
  <c r="N20" i="37"/>
  <c r="D20" i="37"/>
  <c r="N19" i="37"/>
  <c r="D19" i="37"/>
  <c r="N18" i="37"/>
  <c r="D18" i="37"/>
  <c r="N17" i="37"/>
  <c r="D17" i="37"/>
  <c r="N16" i="37"/>
  <c r="D16" i="37"/>
  <c r="N15" i="37"/>
  <c r="D15" i="37"/>
  <c r="N14" i="37"/>
  <c r="D14" i="37"/>
  <c r="N13" i="37"/>
  <c r="D13" i="37"/>
  <c r="N12" i="37"/>
  <c r="D12" i="37"/>
  <c r="N11" i="37"/>
  <c r="D11" i="37"/>
  <c r="N10" i="37"/>
  <c r="D10" i="37"/>
  <c r="N9" i="37"/>
  <c r="D9" i="37"/>
  <c r="N8" i="37"/>
  <c r="D8" i="37"/>
  <c r="N7" i="37"/>
  <c r="D7" i="37"/>
  <c r="N6" i="37"/>
  <c r="D6" i="37"/>
  <c r="N5" i="37"/>
  <c r="D5" i="37"/>
  <c r="N4" i="37"/>
  <c r="D4" i="37"/>
  <c r="C4" i="37" s="1"/>
  <c r="E4" i="37" s="1"/>
  <c r="N183" i="36"/>
  <c r="N59" i="36"/>
  <c r="N182" i="36"/>
  <c r="N181" i="36"/>
  <c r="N56" i="36"/>
  <c r="N176" i="36"/>
  <c r="N175" i="36"/>
  <c r="N57" i="36"/>
  <c r="N178" i="36"/>
  <c r="N177" i="36"/>
  <c r="N58" i="36"/>
  <c r="N180" i="36"/>
  <c r="N179" i="36"/>
  <c r="N54" i="36"/>
  <c r="N172" i="36"/>
  <c r="N171" i="36"/>
  <c r="N55" i="36"/>
  <c r="N174" i="36"/>
  <c r="N173" i="36"/>
  <c r="N53" i="36"/>
  <c r="N168" i="36"/>
  <c r="N167" i="36"/>
  <c r="N52" i="36"/>
  <c r="N166" i="36"/>
  <c r="N165" i="36"/>
  <c r="N51" i="36"/>
  <c r="N164" i="36"/>
  <c r="N163" i="36"/>
  <c r="N50" i="36"/>
  <c r="N162" i="36"/>
  <c r="N161" i="36"/>
  <c r="N49" i="36"/>
  <c r="N150" i="36"/>
  <c r="N149" i="36"/>
  <c r="N48" i="36"/>
  <c r="N148" i="36"/>
  <c r="N147" i="36"/>
  <c r="N46" i="36"/>
  <c r="N142" i="36"/>
  <c r="N141" i="36"/>
  <c r="N47" i="36"/>
  <c r="N144" i="36"/>
  <c r="N143" i="36"/>
  <c r="N45" i="36"/>
  <c r="N140" i="36"/>
  <c r="N139" i="36"/>
  <c r="N44" i="36"/>
  <c r="N138" i="36"/>
  <c r="N137" i="36"/>
  <c r="N43" i="36"/>
  <c r="N136" i="36"/>
  <c r="N135" i="36"/>
  <c r="N42" i="36"/>
  <c r="N134" i="36"/>
  <c r="N133" i="36"/>
  <c r="N41" i="36"/>
  <c r="N130" i="36"/>
  <c r="N129" i="36"/>
  <c r="N37" i="36"/>
  <c r="N122" i="36"/>
  <c r="N121" i="36"/>
  <c r="N38" i="36"/>
  <c r="N124" i="36"/>
  <c r="N123" i="36"/>
  <c r="N39" i="36"/>
  <c r="N126" i="36"/>
  <c r="N125" i="36"/>
  <c r="N40" i="36"/>
  <c r="N128" i="36"/>
  <c r="N127" i="36"/>
  <c r="N36" i="36"/>
  <c r="N120" i="36"/>
  <c r="N119" i="36"/>
  <c r="N35" i="36"/>
  <c r="N118" i="36"/>
  <c r="N117" i="36"/>
  <c r="N34" i="36"/>
  <c r="N112" i="36"/>
  <c r="N111" i="36"/>
  <c r="N32" i="36"/>
  <c r="N108" i="36"/>
  <c r="N107" i="36"/>
  <c r="N33" i="36"/>
  <c r="N110" i="36"/>
  <c r="N109" i="36"/>
  <c r="N31" i="36"/>
  <c r="N106" i="36"/>
  <c r="N105" i="36"/>
  <c r="N30" i="36"/>
  <c r="N100" i="36"/>
  <c r="N99" i="36"/>
  <c r="N29" i="36"/>
  <c r="N86" i="36"/>
  <c r="N85" i="36"/>
  <c r="N28" i="36"/>
  <c r="N84" i="36"/>
  <c r="N83" i="36"/>
  <c r="N27" i="36"/>
  <c r="N82" i="36"/>
  <c r="N81" i="36"/>
  <c r="N25" i="36"/>
  <c r="N78" i="36"/>
  <c r="N77" i="36"/>
  <c r="N26" i="36"/>
  <c r="N80" i="36"/>
  <c r="N79" i="36"/>
  <c r="N22" i="36"/>
  <c r="N72" i="36"/>
  <c r="N71" i="36"/>
  <c r="N23" i="36"/>
  <c r="N74" i="36"/>
  <c r="N73" i="36"/>
  <c r="N24" i="36"/>
  <c r="N76" i="36"/>
  <c r="N75" i="36"/>
  <c r="N21" i="36"/>
  <c r="N69" i="36"/>
  <c r="N68" i="36"/>
  <c r="N20" i="36"/>
  <c r="N67" i="36"/>
  <c r="N66" i="36"/>
  <c r="N102" i="35"/>
  <c r="D102" i="35"/>
  <c r="N101" i="35"/>
  <c r="D101" i="35"/>
  <c r="N60" i="35"/>
  <c r="D60" i="35"/>
  <c r="N59" i="35"/>
  <c r="D59" i="35"/>
  <c r="N42" i="35"/>
  <c r="D42" i="35"/>
  <c r="N134" i="35"/>
  <c r="D134" i="35"/>
  <c r="N133" i="35"/>
  <c r="D133" i="35"/>
  <c r="N41" i="35"/>
  <c r="D41" i="35"/>
  <c r="N132" i="35"/>
  <c r="D132" i="35"/>
  <c r="N131" i="35"/>
  <c r="D131" i="35"/>
  <c r="N38" i="35"/>
  <c r="D38" i="35"/>
  <c r="N118" i="35"/>
  <c r="D118" i="35"/>
  <c r="N117" i="35"/>
  <c r="D117" i="35"/>
  <c r="N40" i="35"/>
  <c r="D40" i="35"/>
  <c r="N122" i="35"/>
  <c r="D122" i="35"/>
  <c r="N121" i="35"/>
  <c r="D121" i="35"/>
  <c r="N39" i="35"/>
  <c r="D39" i="35"/>
  <c r="N120" i="35"/>
  <c r="D120" i="35"/>
  <c r="N119" i="35"/>
  <c r="D119" i="35"/>
  <c r="N37" i="35"/>
  <c r="D37" i="35"/>
  <c r="N116" i="35"/>
  <c r="D116" i="35"/>
  <c r="N115" i="35"/>
  <c r="D115" i="35"/>
  <c r="N36" i="35"/>
  <c r="D36" i="35"/>
  <c r="N114" i="35"/>
  <c r="D114" i="35"/>
  <c r="N113" i="35"/>
  <c r="D113" i="35"/>
  <c r="N34" i="35"/>
  <c r="D34" i="35"/>
  <c r="N110" i="35"/>
  <c r="D110" i="35"/>
  <c r="N109" i="35"/>
  <c r="D109" i="35"/>
  <c r="N35" i="35"/>
  <c r="D35" i="35"/>
  <c r="N112" i="35"/>
  <c r="D112" i="35"/>
  <c r="N111" i="35"/>
  <c r="D111" i="35"/>
  <c r="N33" i="35"/>
  <c r="D33" i="35"/>
  <c r="N108" i="35"/>
  <c r="D108" i="35"/>
  <c r="N107" i="35"/>
  <c r="D107" i="35"/>
  <c r="N32" i="35"/>
  <c r="D32" i="35"/>
  <c r="N106" i="35"/>
  <c r="D106" i="35"/>
  <c r="N105" i="35"/>
  <c r="D105" i="35"/>
  <c r="N30" i="35"/>
  <c r="D30" i="35"/>
  <c r="N98" i="35"/>
  <c r="D98" i="35"/>
  <c r="N97" i="35"/>
  <c r="D97" i="35"/>
  <c r="N31" i="35"/>
  <c r="D31" i="35"/>
  <c r="N100" i="35"/>
  <c r="D100" i="35"/>
  <c r="N99" i="35"/>
  <c r="D99" i="35"/>
  <c r="N29" i="35"/>
  <c r="D29" i="35"/>
  <c r="N96" i="35"/>
  <c r="D96" i="35"/>
  <c r="N95" i="35"/>
  <c r="D95" i="35"/>
  <c r="N28" i="35"/>
  <c r="D28" i="35"/>
  <c r="N94" i="35"/>
  <c r="D94" i="35"/>
  <c r="N93" i="35"/>
  <c r="D93" i="35"/>
  <c r="N27" i="35"/>
  <c r="D27" i="35"/>
  <c r="N92" i="35"/>
  <c r="D92" i="35"/>
  <c r="N91" i="35"/>
  <c r="D91" i="35"/>
  <c r="N26" i="35"/>
  <c r="D26" i="35"/>
  <c r="N90" i="35"/>
  <c r="D90" i="35"/>
  <c r="N89" i="35"/>
  <c r="D89" i="35"/>
  <c r="N25" i="35"/>
  <c r="D25" i="35"/>
  <c r="N88" i="35"/>
  <c r="D88" i="35"/>
  <c r="N87" i="35"/>
  <c r="D87" i="35"/>
  <c r="N24" i="35"/>
  <c r="D24" i="35"/>
  <c r="N86" i="35"/>
  <c r="D86" i="35"/>
  <c r="N85" i="35"/>
  <c r="D85" i="35"/>
  <c r="N23" i="35"/>
  <c r="D23" i="35"/>
  <c r="N84" i="35"/>
  <c r="D84" i="35"/>
  <c r="N83" i="35"/>
  <c r="D83" i="35"/>
  <c r="N22" i="35"/>
  <c r="D22" i="35"/>
  <c r="N82" i="35"/>
  <c r="D82" i="35"/>
  <c r="N81" i="35"/>
  <c r="D81" i="35"/>
  <c r="N21" i="35"/>
  <c r="D21" i="35"/>
  <c r="N80" i="35"/>
  <c r="D80" i="35"/>
  <c r="N79" i="35"/>
  <c r="D79" i="35"/>
  <c r="N20" i="35"/>
  <c r="D20" i="35"/>
  <c r="N78" i="35"/>
  <c r="D78" i="35"/>
  <c r="N77" i="35"/>
  <c r="D77" i="35"/>
  <c r="N19" i="35"/>
  <c r="D19" i="35"/>
  <c r="N76" i="35"/>
  <c r="D76" i="35"/>
  <c r="N75" i="35"/>
  <c r="D75" i="35"/>
  <c r="N18" i="35"/>
  <c r="D18" i="35"/>
  <c r="N74" i="35"/>
  <c r="D74" i="35"/>
  <c r="N73" i="35"/>
  <c r="D73" i="35"/>
  <c r="N17" i="35"/>
  <c r="D17" i="35"/>
  <c r="N72" i="35"/>
  <c r="D72" i="35"/>
  <c r="N71" i="35"/>
  <c r="D71" i="35"/>
  <c r="N16" i="35"/>
  <c r="D16" i="35"/>
  <c r="N70" i="35"/>
  <c r="D70" i="35"/>
  <c r="N69" i="35"/>
  <c r="D69" i="35"/>
  <c r="N15" i="35"/>
  <c r="D15" i="35"/>
  <c r="N68" i="35"/>
  <c r="D68" i="35"/>
  <c r="N67" i="35"/>
  <c r="D67" i="35"/>
  <c r="N14" i="35"/>
  <c r="D14" i="35"/>
  <c r="N66" i="35"/>
  <c r="D66" i="35"/>
  <c r="N65" i="35"/>
  <c r="D65" i="35"/>
  <c r="N13" i="35"/>
  <c r="D13" i="35"/>
  <c r="N64" i="35"/>
  <c r="D64" i="35"/>
  <c r="N63" i="35"/>
  <c r="D63" i="35"/>
  <c r="N12" i="35"/>
  <c r="D12" i="35"/>
  <c r="N62" i="35"/>
  <c r="D62" i="35"/>
  <c r="N61" i="35"/>
  <c r="D61" i="35"/>
  <c r="N11" i="35"/>
  <c r="D11" i="35"/>
  <c r="N58" i="35"/>
  <c r="D58" i="35"/>
  <c r="N57" i="35"/>
  <c r="D57" i="35"/>
  <c r="N9" i="35"/>
  <c r="D9" i="35"/>
  <c r="N54" i="35"/>
  <c r="D54" i="35"/>
  <c r="N53" i="35"/>
  <c r="D53" i="35"/>
  <c r="N10" i="35"/>
  <c r="D10" i="35"/>
  <c r="N56" i="35"/>
  <c r="D56" i="35"/>
  <c r="N55" i="35"/>
  <c r="D55" i="35"/>
  <c r="N6" i="35"/>
  <c r="D6" i="35"/>
  <c r="N48" i="35"/>
  <c r="D48" i="35"/>
  <c r="N47" i="35"/>
  <c r="D47" i="35"/>
  <c r="N8" i="35"/>
  <c r="D8" i="35"/>
  <c r="N52" i="35"/>
  <c r="D52" i="35"/>
  <c r="N51" i="35"/>
  <c r="D51" i="35"/>
  <c r="N7" i="35"/>
  <c r="D7" i="35"/>
  <c r="N50" i="35"/>
  <c r="D50" i="35"/>
  <c r="N49" i="35"/>
  <c r="D49" i="35"/>
  <c r="N5" i="35"/>
  <c r="D5" i="35"/>
  <c r="N46" i="35"/>
  <c r="D46" i="35"/>
  <c r="N45" i="35"/>
  <c r="D45" i="35"/>
  <c r="N4" i="35"/>
  <c r="D4" i="35"/>
  <c r="N44" i="35"/>
  <c r="D44" i="35"/>
  <c r="N43" i="35"/>
  <c r="D43" i="35"/>
  <c r="N177" i="34"/>
  <c r="N178" i="34"/>
  <c r="N180" i="34"/>
  <c r="N181" i="34"/>
  <c r="N184" i="34"/>
  <c r="N182" i="34"/>
  <c r="N192" i="34"/>
  <c r="N193" i="34"/>
  <c r="N218" i="34"/>
  <c r="N219" i="34"/>
  <c r="N226" i="34"/>
  <c r="N227" i="34"/>
  <c r="N162" i="34"/>
  <c r="N166" i="34"/>
  <c r="N157" i="34"/>
  <c r="N156" i="34"/>
  <c r="N229" i="34"/>
  <c r="N228" i="34"/>
  <c r="N225" i="34"/>
  <c r="N224" i="34"/>
  <c r="N217" i="34"/>
  <c r="N216" i="34"/>
  <c r="N223" i="34"/>
  <c r="N222" i="34"/>
  <c r="N213" i="34"/>
  <c r="N212" i="34"/>
  <c r="N211" i="34"/>
  <c r="N210" i="34"/>
  <c r="N208" i="34"/>
  <c r="N207" i="34"/>
  <c r="N205" i="34"/>
  <c r="N204" i="34"/>
  <c r="N203" i="34"/>
  <c r="N202" i="34"/>
  <c r="N201" i="34"/>
  <c r="N200" i="34"/>
  <c r="N199" i="34"/>
  <c r="N198" i="34"/>
  <c r="N197" i="34"/>
  <c r="N196" i="34"/>
  <c r="N195" i="34"/>
  <c r="N194" i="34"/>
  <c r="N191" i="34"/>
  <c r="N190" i="34"/>
  <c r="N187" i="34"/>
  <c r="N186" i="34"/>
  <c r="N175" i="34"/>
  <c r="N174" i="34"/>
  <c r="N173" i="34"/>
  <c r="N172" i="34"/>
  <c r="N170" i="34"/>
  <c r="N169" i="34"/>
  <c r="N168" i="34"/>
  <c r="N167" i="34"/>
  <c r="N165" i="34"/>
  <c r="N164" i="34"/>
  <c r="N161" i="34"/>
  <c r="N160" i="34"/>
  <c r="N159" i="34"/>
  <c r="N158" i="34"/>
  <c r="N155" i="34"/>
  <c r="N154" i="34"/>
  <c r="N151" i="34"/>
  <c r="N150" i="34"/>
  <c r="N147" i="34"/>
  <c r="N146" i="34"/>
  <c r="N140" i="34"/>
  <c r="N139" i="34"/>
  <c r="N142" i="34"/>
  <c r="N141" i="34"/>
  <c r="N137" i="34"/>
  <c r="N136" i="34"/>
  <c r="N135" i="34"/>
  <c r="N134" i="34"/>
  <c r="N132" i="34"/>
  <c r="N131" i="34"/>
  <c r="N129" i="34"/>
  <c r="N128" i="34"/>
  <c r="N122" i="34"/>
  <c r="D122" i="34"/>
  <c r="N121" i="34"/>
  <c r="D121" i="34"/>
  <c r="N8" i="32"/>
  <c r="N9" i="32"/>
  <c r="N10" i="32"/>
  <c r="N11" i="32"/>
  <c r="N12" i="32"/>
  <c r="N13" i="32"/>
  <c r="N14" i="32"/>
  <c r="N15" i="32"/>
  <c r="N16" i="32"/>
  <c r="N17" i="32"/>
  <c r="N18" i="32"/>
  <c r="N19" i="32"/>
  <c r="N20" i="32"/>
  <c r="N21" i="32"/>
  <c r="N22" i="32"/>
  <c r="N23" i="32"/>
  <c r="N24" i="32"/>
  <c r="N25" i="32"/>
  <c r="N26" i="32"/>
  <c r="N27" i="32"/>
  <c r="N28" i="32"/>
  <c r="N29" i="32"/>
  <c r="N30" i="32"/>
  <c r="N31" i="32"/>
  <c r="N32" i="32"/>
  <c r="N33" i="32"/>
  <c r="N34" i="32"/>
  <c r="N35" i="32"/>
  <c r="N36" i="32"/>
  <c r="N37" i="32"/>
  <c r="N38" i="32"/>
  <c r="N39" i="32"/>
  <c r="N40" i="32"/>
  <c r="N41" i="32"/>
  <c r="N42" i="32"/>
  <c r="N43" i="32"/>
  <c r="N44" i="32"/>
  <c r="N45" i="32"/>
  <c r="N46" i="32"/>
  <c r="N47" i="32"/>
  <c r="N48" i="32"/>
  <c r="N49" i="32"/>
  <c r="N50" i="32"/>
  <c r="N51" i="32"/>
  <c r="N52" i="32"/>
  <c r="N53" i="32"/>
  <c r="N54" i="32"/>
  <c r="N55" i="32"/>
  <c r="N56" i="32"/>
  <c r="N57" i="32"/>
  <c r="N58" i="32"/>
  <c r="N59" i="32"/>
  <c r="N60" i="32"/>
  <c r="N61" i="32"/>
  <c r="N62" i="32"/>
  <c r="N63" i="32"/>
  <c r="N64" i="32"/>
  <c r="N65" i="32"/>
  <c r="N66" i="32"/>
  <c r="N67" i="32"/>
  <c r="N68" i="32"/>
  <c r="N69" i="32"/>
  <c r="N70" i="32"/>
  <c r="N71" i="32"/>
  <c r="N72" i="32"/>
  <c r="N73" i="32"/>
  <c r="N74" i="32"/>
  <c r="N75" i="32"/>
  <c r="N76" i="32"/>
  <c r="N77" i="32"/>
  <c r="N78" i="32"/>
  <c r="N79" i="32"/>
  <c r="N80" i="32"/>
  <c r="N81" i="32"/>
  <c r="N82" i="32"/>
  <c r="N83" i="32"/>
  <c r="N84" i="32"/>
  <c r="N85" i="32"/>
  <c r="N86" i="32"/>
  <c r="N87" i="32"/>
  <c r="N88" i="32"/>
  <c r="N89" i="32"/>
  <c r="N90" i="32"/>
  <c r="N91" i="32"/>
  <c r="N92" i="32"/>
  <c r="N93" i="32"/>
  <c r="N94" i="32"/>
  <c r="N95" i="32"/>
  <c r="N96" i="32"/>
  <c r="N97" i="32"/>
  <c r="N98" i="32"/>
  <c r="N99" i="32"/>
  <c r="N100" i="32"/>
  <c r="N101" i="32"/>
  <c r="N102" i="32"/>
  <c r="N103" i="32"/>
  <c r="N104" i="32"/>
  <c r="N105" i="32"/>
  <c r="N106" i="32"/>
  <c r="N107" i="32"/>
  <c r="N108" i="32"/>
  <c r="N109" i="32"/>
  <c r="N110" i="32"/>
  <c r="N111" i="32"/>
  <c r="N112" i="32"/>
  <c r="D8" i="32"/>
  <c r="D9" i="32"/>
  <c r="D10" i="32"/>
  <c r="D11" i="32"/>
  <c r="D12" i="32"/>
  <c r="D13" i="32"/>
  <c r="D14" i="32"/>
  <c r="D15" i="32"/>
  <c r="D16" i="32"/>
  <c r="D17" i="32"/>
  <c r="D18" i="32"/>
  <c r="D19" i="32"/>
  <c r="D20" i="32"/>
  <c r="D21" i="32"/>
  <c r="D22" i="32"/>
  <c r="D23" i="32"/>
  <c r="D24" i="32"/>
  <c r="D25" i="32"/>
  <c r="D26" i="32"/>
  <c r="D27" i="32"/>
  <c r="D28" i="32"/>
  <c r="D29" i="32"/>
  <c r="D30" i="32"/>
  <c r="D31" i="32"/>
  <c r="D32" i="32"/>
  <c r="D33" i="32"/>
  <c r="D34" i="32"/>
  <c r="D35" i="32"/>
  <c r="D36" i="32"/>
  <c r="D37" i="32"/>
  <c r="D38" i="32"/>
  <c r="D39" i="32"/>
  <c r="D40" i="32"/>
  <c r="D41" i="32"/>
  <c r="D42" i="32"/>
  <c r="D43" i="32"/>
  <c r="D44" i="32"/>
  <c r="D45" i="32"/>
  <c r="D46" i="32"/>
  <c r="D47" i="32"/>
  <c r="D48" i="32"/>
  <c r="D49" i="32"/>
  <c r="D50" i="32"/>
  <c r="D51" i="32"/>
  <c r="D52" i="32"/>
  <c r="D53" i="32"/>
  <c r="D54" i="32"/>
  <c r="D55" i="32"/>
  <c r="D56" i="32"/>
  <c r="D57" i="32"/>
  <c r="D58" i="32"/>
  <c r="D59" i="32"/>
  <c r="D60" i="32"/>
  <c r="D61" i="32"/>
  <c r="D62" i="32"/>
  <c r="D63" i="32"/>
  <c r="D64" i="32"/>
  <c r="D65" i="32"/>
  <c r="D66" i="32"/>
  <c r="D67" i="32"/>
  <c r="D68" i="32"/>
  <c r="D69" i="32"/>
  <c r="D70" i="32"/>
  <c r="D71" i="32"/>
  <c r="D72" i="32"/>
  <c r="D73" i="32"/>
  <c r="D74" i="32"/>
  <c r="D75" i="32"/>
  <c r="D76" i="32"/>
  <c r="D77" i="32"/>
  <c r="D78" i="32"/>
  <c r="D79" i="32"/>
  <c r="D80" i="32"/>
  <c r="D81" i="32"/>
  <c r="D82" i="32"/>
  <c r="D83" i="32"/>
  <c r="D84" i="32"/>
  <c r="D85" i="32"/>
  <c r="D86" i="32"/>
  <c r="D87" i="32"/>
  <c r="D88" i="32"/>
  <c r="D89" i="32"/>
  <c r="D90" i="32"/>
  <c r="D91" i="32"/>
  <c r="D92" i="32"/>
  <c r="D93" i="32"/>
  <c r="D94" i="32"/>
  <c r="D95" i="32"/>
  <c r="D96" i="32"/>
  <c r="D97" i="32"/>
  <c r="D98" i="32"/>
  <c r="D99" i="32"/>
  <c r="D100" i="32"/>
  <c r="D101" i="32"/>
  <c r="D102" i="32"/>
  <c r="D103" i="32"/>
  <c r="D104" i="32"/>
  <c r="D105" i="32"/>
  <c r="D106" i="32"/>
  <c r="D107" i="32"/>
  <c r="D108" i="32"/>
  <c r="D109" i="32"/>
  <c r="D110" i="32"/>
  <c r="D111" i="32"/>
  <c r="D112" i="32"/>
  <c r="D5" i="32"/>
  <c r="D6" i="32"/>
  <c r="D7" i="32"/>
  <c r="D4" i="32"/>
  <c r="D68" i="33"/>
  <c r="D35" i="33"/>
  <c r="D69" i="33"/>
  <c r="D70" i="33"/>
  <c r="D36" i="33"/>
  <c r="D73" i="33"/>
  <c r="D74" i="33"/>
  <c r="D37" i="33"/>
  <c r="D77" i="33"/>
  <c r="D78" i="33"/>
  <c r="D38" i="33"/>
  <c r="D79" i="33"/>
  <c r="D80" i="33"/>
  <c r="D39" i="33"/>
  <c r="D81" i="33"/>
  <c r="D82" i="33"/>
  <c r="D40" i="33"/>
  <c r="D95" i="33"/>
  <c r="D96" i="33"/>
  <c r="D45" i="33"/>
  <c r="D93" i="33"/>
  <c r="D94" i="33"/>
  <c r="D44" i="33"/>
  <c r="D89" i="33"/>
  <c r="D90" i="33"/>
  <c r="D42" i="33"/>
  <c r="D99" i="33"/>
  <c r="D100" i="33"/>
  <c r="D47" i="33"/>
  <c r="D97" i="33"/>
  <c r="D98" i="33"/>
  <c r="D46" i="33"/>
  <c r="D91" i="33"/>
  <c r="D92" i="33"/>
  <c r="D43" i="33"/>
  <c r="D87" i="33"/>
  <c r="D88" i="33"/>
  <c r="D41" i="33"/>
  <c r="D103" i="33"/>
  <c r="D104" i="33"/>
  <c r="D48" i="33"/>
  <c r="D105" i="33"/>
  <c r="D106" i="33"/>
  <c r="D49" i="33"/>
  <c r="D109" i="33"/>
  <c r="D110" i="33"/>
  <c r="D50" i="33"/>
  <c r="D113" i="33"/>
  <c r="D114" i="33"/>
  <c r="D52" i="33"/>
  <c r="D111" i="33"/>
  <c r="D112" i="33"/>
  <c r="D51" i="33"/>
  <c r="D123" i="33"/>
  <c r="D124" i="33"/>
  <c r="D53" i="33"/>
  <c r="D131" i="33"/>
  <c r="D132" i="33"/>
  <c r="D54" i="33"/>
  <c r="D137" i="33"/>
  <c r="D138" i="33"/>
  <c r="D57" i="33"/>
  <c r="D135" i="33"/>
  <c r="D136" i="33"/>
  <c r="D56" i="33"/>
  <c r="D133" i="33"/>
  <c r="D134" i="33"/>
  <c r="D55" i="33"/>
  <c r="D142" i="33"/>
  <c r="D143" i="33"/>
  <c r="D58" i="33"/>
  <c r="D151" i="33"/>
  <c r="D152" i="33"/>
  <c r="D59" i="33"/>
  <c r="D157" i="33"/>
  <c r="D158" i="33"/>
  <c r="D61" i="33"/>
  <c r="D155" i="33"/>
  <c r="D156" i="33"/>
  <c r="D60" i="33"/>
  <c r="D161" i="33"/>
  <c r="D162" i="33"/>
  <c r="D63" i="33"/>
  <c r="D159" i="33"/>
  <c r="D160" i="33"/>
  <c r="D62" i="33"/>
  <c r="D171" i="33"/>
  <c r="D172" i="33"/>
  <c r="D64" i="33"/>
  <c r="D177" i="33"/>
  <c r="D178" i="33"/>
  <c r="D65" i="33"/>
  <c r="D67" i="33"/>
  <c r="D5" i="31"/>
  <c r="D6" i="31"/>
  <c r="D7" i="31"/>
  <c r="D8" i="31"/>
  <c r="D9" i="31"/>
  <c r="D10" i="31"/>
  <c r="D11" i="31"/>
  <c r="D12" i="31"/>
  <c r="D13" i="31"/>
  <c r="D14" i="31"/>
  <c r="D15" i="31"/>
  <c r="D16" i="31"/>
  <c r="D17" i="31"/>
  <c r="D18" i="31"/>
  <c r="D19" i="31"/>
  <c r="D20" i="31"/>
  <c r="D21" i="31"/>
  <c r="D22" i="31"/>
  <c r="D23" i="31"/>
  <c r="D24" i="31"/>
  <c r="D25" i="31"/>
  <c r="D26" i="31"/>
  <c r="D27" i="31"/>
  <c r="D28" i="31"/>
  <c r="D29" i="31"/>
  <c r="D30" i="31"/>
  <c r="D31" i="31"/>
  <c r="D32" i="31"/>
  <c r="D33" i="31"/>
  <c r="D34" i="31"/>
  <c r="D35" i="31"/>
  <c r="D36" i="31"/>
  <c r="D37" i="31"/>
  <c r="D38" i="31"/>
  <c r="D39" i="31"/>
  <c r="D40" i="31"/>
  <c r="D41" i="31"/>
  <c r="D42" i="31"/>
  <c r="D43" i="31"/>
  <c r="D44" i="31"/>
  <c r="D45" i="31"/>
  <c r="D46" i="31"/>
  <c r="D47" i="31"/>
  <c r="D48" i="31"/>
  <c r="D49" i="31"/>
  <c r="D50" i="31"/>
  <c r="D51" i="31"/>
  <c r="D52" i="31"/>
  <c r="D53" i="31"/>
  <c r="D54" i="31"/>
  <c r="D55" i="31"/>
  <c r="D56" i="31"/>
  <c r="D57" i="31"/>
  <c r="D58" i="31"/>
  <c r="D59" i="31"/>
  <c r="D60" i="31"/>
  <c r="D61" i="31"/>
  <c r="D62" i="31"/>
  <c r="D63" i="31"/>
  <c r="D64" i="31"/>
  <c r="D65" i="31"/>
  <c r="D66" i="31"/>
  <c r="D67" i="31"/>
  <c r="D68" i="31"/>
  <c r="D69" i="31"/>
  <c r="D70" i="31"/>
  <c r="D71" i="31"/>
  <c r="D72" i="31"/>
  <c r="D73" i="31"/>
  <c r="D74" i="31"/>
  <c r="D75" i="31"/>
  <c r="D76" i="31"/>
  <c r="D77" i="31"/>
  <c r="D78" i="31"/>
  <c r="D79" i="31"/>
  <c r="D80" i="31"/>
  <c r="D81" i="31"/>
  <c r="D82" i="31"/>
  <c r="D83" i="31"/>
  <c r="D84" i="31"/>
  <c r="D85" i="31"/>
  <c r="D86" i="31"/>
  <c r="D87" i="31"/>
  <c r="D88" i="31"/>
  <c r="D89" i="31"/>
  <c r="D90" i="31"/>
  <c r="D91" i="31"/>
  <c r="D92" i="31"/>
  <c r="D93" i="31"/>
  <c r="D94" i="31"/>
  <c r="D95" i="31"/>
  <c r="D96" i="31"/>
  <c r="D97" i="31"/>
  <c r="D98" i="31"/>
  <c r="D99" i="31"/>
  <c r="D100" i="31"/>
  <c r="D101" i="31"/>
  <c r="D102" i="31"/>
  <c r="D103" i="31"/>
  <c r="D104" i="31"/>
  <c r="D105" i="31"/>
  <c r="D106" i="31"/>
  <c r="D107" i="31"/>
  <c r="D108" i="31"/>
  <c r="D109" i="31"/>
  <c r="D110" i="31"/>
  <c r="D111" i="31"/>
  <c r="D112" i="31"/>
  <c r="D113" i="31"/>
  <c r="D114" i="31"/>
  <c r="D115" i="31"/>
  <c r="D116" i="31"/>
  <c r="D117" i="31"/>
  <c r="D118" i="31"/>
  <c r="D119" i="31"/>
  <c r="D120" i="31"/>
  <c r="D121" i="31"/>
  <c r="D122" i="31"/>
  <c r="D123" i="31"/>
  <c r="D124" i="31"/>
  <c r="D125" i="31"/>
  <c r="D126" i="31"/>
  <c r="D127" i="31"/>
  <c r="D128" i="31"/>
  <c r="D129" i="31"/>
  <c r="D130" i="31"/>
  <c r="D131" i="31"/>
  <c r="D132" i="31"/>
  <c r="D133" i="31"/>
  <c r="D134" i="31"/>
  <c r="D135" i="31"/>
  <c r="D136" i="31"/>
  <c r="D137" i="31"/>
  <c r="D138" i="31"/>
  <c r="D139" i="31"/>
  <c r="D140" i="31"/>
  <c r="D141" i="31"/>
  <c r="D142" i="31"/>
  <c r="D143" i="31"/>
  <c r="D144" i="31"/>
  <c r="D145" i="31"/>
  <c r="D146" i="31"/>
  <c r="D147" i="31"/>
  <c r="D148" i="31"/>
  <c r="D149" i="31"/>
  <c r="D150" i="31"/>
  <c r="D151" i="31"/>
  <c r="D152" i="31"/>
  <c r="D153" i="31"/>
  <c r="D154" i="31"/>
  <c r="D155" i="31"/>
  <c r="D156" i="31"/>
  <c r="D157" i="31"/>
  <c r="D158" i="31"/>
  <c r="D159" i="31"/>
  <c r="D160" i="31"/>
  <c r="D161" i="31"/>
  <c r="D162" i="31"/>
  <c r="D163" i="31"/>
  <c r="D164" i="31"/>
  <c r="D165" i="31"/>
  <c r="D166" i="31"/>
  <c r="D167" i="31"/>
  <c r="D168" i="31"/>
  <c r="D169" i="31"/>
  <c r="D170" i="31"/>
  <c r="D171" i="31"/>
  <c r="D172" i="31"/>
  <c r="D173" i="31"/>
  <c r="D174" i="31"/>
  <c r="D175" i="31"/>
  <c r="D176" i="31"/>
  <c r="D177" i="31"/>
  <c r="D178" i="31"/>
  <c r="D179" i="31"/>
  <c r="D180" i="31"/>
  <c r="D181" i="31"/>
  <c r="D182" i="31"/>
  <c r="D183" i="31"/>
  <c r="D184" i="31"/>
  <c r="D185" i="31"/>
  <c r="D186" i="31"/>
  <c r="D187" i="31"/>
  <c r="D188" i="31"/>
  <c r="D189" i="31"/>
  <c r="D190" i="31"/>
  <c r="D191" i="31"/>
  <c r="D192" i="31"/>
  <c r="D193" i="31"/>
  <c r="D194" i="31"/>
  <c r="D195" i="31"/>
  <c r="D196" i="31"/>
  <c r="D197" i="31"/>
  <c r="D198" i="31"/>
  <c r="D199" i="31"/>
  <c r="D200" i="31"/>
  <c r="D201" i="31"/>
  <c r="D202" i="31"/>
  <c r="D203" i="31"/>
  <c r="D204" i="31"/>
  <c r="D205" i="31"/>
  <c r="D206" i="31"/>
  <c r="D207" i="31"/>
  <c r="D208" i="31"/>
  <c r="D209" i="31"/>
  <c r="D4" i="31"/>
  <c r="D49" i="30"/>
  <c r="D64" i="30"/>
  <c r="D36" i="30"/>
  <c r="D37" i="30"/>
  <c r="D33" i="30"/>
  <c r="D41" i="30"/>
  <c r="D34" i="30"/>
  <c r="D52" i="30"/>
  <c r="D53" i="30"/>
  <c r="D35" i="30"/>
  <c r="D38" i="30"/>
  <c r="D39" i="30"/>
  <c r="D43" i="30"/>
  <c r="D44" i="30"/>
  <c r="D46" i="30"/>
  <c r="D48" i="30"/>
  <c r="D45" i="30"/>
  <c r="D47" i="30"/>
  <c r="D50" i="30"/>
  <c r="D51" i="30"/>
  <c r="D54" i="30"/>
  <c r="D55" i="30"/>
  <c r="D56" i="30"/>
  <c r="D57" i="30"/>
  <c r="D58" i="30"/>
  <c r="D59" i="30"/>
  <c r="D60" i="30"/>
  <c r="D61" i="30"/>
  <c r="D62" i="30"/>
  <c r="D63" i="30"/>
  <c r="D65" i="30"/>
  <c r="D66" i="30"/>
  <c r="D17" i="30"/>
  <c r="D19" i="30"/>
  <c r="D20" i="30"/>
  <c r="D4" i="30"/>
  <c r="D21" i="30"/>
  <c r="D22" i="30"/>
  <c r="D5" i="30"/>
  <c r="D6" i="30"/>
  <c r="D23" i="30"/>
  <c r="D24" i="30"/>
  <c r="D42" i="30"/>
  <c r="C5" i="37" l="1"/>
  <c r="D5" i="29"/>
  <c r="D6" i="29"/>
  <c r="D7" i="29"/>
  <c r="D8" i="29"/>
  <c r="D9" i="29"/>
  <c r="D10" i="29"/>
  <c r="D11" i="29"/>
  <c r="D12" i="29"/>
  <c r="D13" i="29"/>
  <c r="D14" i="29"/>
  <c r="D15" i="29"/>
  <c r="D16" i="29"/>
  <c r="D17" i="29"/>
  <c r="D18" i="29"/>
  <c r="D19" i="29"/>
  <c r="D20" i="29"/>
  <c r="D21" i="29"/>
  <c r="D22" i="29"/>
  <c r="D23" i="29"/>
  <c r="D24" i="29"/>
  <c r="D25" i="29"/>
  <c r="D26" i="29"/>
  <c r="D27" i="29"/>
  <c r="D28" i="29"/>
  <c r="D29" i="29"/>
  <c r="D30" i="29"/>
  <c r="D31" i="29"/>
  <c r="D32" i="29"/>
  <c r="D33" i="29"/>
  <c r="D34" i="29"/>
  <c r="D35" i="29"/>
  <c r="D36" i="29"/>
  <c r="D37" i="29"/>
  <c r="D38" i="29"/>
  <c r="D39" i="29"/>
  <c r="D40" i="29"/>
  <c r="D41" i="29"/>
  <c r="D42" i="29"/>
  <c r="D43" i="29"/>
  <c r="D44" i="29"/>
  <c r="D45" i="29"/>
  <c r="D46" i="29"/>
  <c r="D47" i="29"/>
  <c r="D48" i="29"/>
  <c r="D49" i="29"/>
  <c r="D50" i="29"/>
  <c r="D51" i="29"/>
  <c r="D52" i="29"/>
  <c r="D53" i="29"/>
  <c r="D54" i="29"/>
  <c r="D55" i="29"/>
  <c r="D56" i="29"/>
  <c r="D57" i="29"/>
  <c r="D58" i="29"/>
  <c r="D59" i="29"/>
  <c r="D60" i="29"/>
  <c r="D61" i="29"/>
  <c r="D62" i="29"/>
  <c r="D63" i="29"/>
  <c r="D64" i="29"/>
  <c r="D65" i="29"/>
  <c r="D66" i="29"/>
  <c r="D67" i="29"/>
  <c r="D68" i="29"/>
  <c r="D69" i="29"/>
  <c r="D70" i="29"/>
  <c r="D71" i="29"/>
  <c r="D72" i="29"/>
  <c r="D73" i="29"/>
  <c r="D74" i="29"/>
  <c r="D75" i="29"/>
  <c r="D76" i="29"/>
  <c r="D77" i="29"/>
  <c r="D78" i="29"/>
  <c r="D79" i="29"/>
  <c r="D80" i="29"/>
  <c r="D81" i="29"/>
  <c r="D82" i="29"/>
  <c r="D83" i="29"/>
  <c r="D84" i="29"/>
  <c r="D85" i="29"/>
  <c r="D86" i="29"/>
  <c r="D87" i="29"/>
  <c r="D88" i="29"/>
  <c r="D89" i="29"/>
  <c r="D90" i="29"/>
  <c r="D91" i="29"/>
  <c r="D92" i="29"/>
  <c r="D93" i="29"/>
  <c r="D94" i="29"/>
  <c r="D95" i="29"/>
  <c r="D96" i="29"/>
  <c r="D97" i="29"/>
  <c r="D98" i="29"/>
  <c r="D4" i="29"/>
  <c r="D266" i="28"/>
  <c r="D305" i="28"/>
  <c r="D119" i="28"/>
  <c r="D120" i="28"/>
  <c r="D43" i="28"/>
  <c r="D123" i="28"/>
  <c r="D124" i="28"/>
  <c r="D45" i="28"/>
  <c r="D121" i="28"/>
  <c r="D122" i="28"/>
  <c r="D44" i="28"/>
  <c r="D117" i="28"/>
  <c r="D118" i="28"/>
  <c r="D42" i="28"/>
  <c r="D127" i="28"/>
  <c r="D128" i="28"/>
  <c r="D47" i="28"/>
  <c r="D125" i="28"/>
  <c r="D126" i="28"/>
  <c r="D46" i="28"/>
  <c r="D129" i="28"/>
  <c r="D130" i="28"/>
  <c r="D48" i="28"/>
  <c r="D137" i="28"/>
  <c r="D138" i="28"/>
  <c r="D52" i="28"/>
  <c r="D135" i="28"/>
  <c r="D136" i="28"/>
  <c r="D51" i="28"/>
  <c r="D131" i="28"/>
  <c r="D132" i="28"/>
  <c r="D49" i="28"/>
  <c r="D133" i="28"/>
  <c r="D134" i="28"/>
  <c r="D50" i="28"/>
  <c r="D143" i="28"/>
  <c r="D144" i="28"/>
  <c r="D55" i="28"/>
  <c r="D141" i="28"/>
  <c r="D142" i="28"/>
  <c r="D54" i="28"/>
  <c r="D139" i="28"/>
  <c r="D140" i="28"/>
  <c r="D53" i="28"/>
  <c r="D145" i="28"/>
  <c r="D146" i="28"/>
  <c r="D56" i="28"/>
  <c r="D149" i="28"/>
  <c r="D150" i="28"/>
  <c r="D58" i="28"/>
  <c r="D147" i="28"/>
  <c r="D148" i="28"/>
  <c r="D57" i="28"/>
  <c r="D153" i="28"/>
  <c r="D154" i="28"/>
  <c r="D60" i="28"/>
  <c r="D151" i="28"/>
  <c r="D152" i="28"/>
  <c r="D59" i="28"/>
  <c r="D157" i="28"/>
  <c r="D158" i="28"/>
  <c r="D61" i="28"/>
  <c r="D161" i="28"/>
  <c r="D162" i="28"/>
  <c r="D63" i="28"/>
  <c r="D159" i="28"/>
  <c r="D160" i="28"/>
  <c r="D62" i="28"/>
  <c r="D163" i="28"/>
  <c r="D164" i="28"/>
  <c r="D64" i="28"/>
  <c r="D165" i="28"/>
  <c r="D166" i="28"/>
  <c r="D65" i="28"/>
  <c r="D167" i="28"/>
  <c r="D168" i="28"/>
  <c r="D66" i="28"/>
  <c r="D171" i="28"/>
  <c r="D172" i="28"/>
  <c r="D68" i="28"/>
  <c r="D169" i="28"/>
  <c r="D170" i="28"/>
  <c r="D67" i="28"/>
  <c r="D173" i="28"/>
  <c r="D174" i="28"/>
  <c r="D69" i="28"/>
  <c r="D175" i="28"/>
  <c r="D176" i="28"/>
  <c r="D70" i="28"/>
  <c r="D177" i="28"/>
  <c r="D178" i="28"/>
  <c r="D71" i="28"/>
  <c r="D179" i="28"/>
  <c r="D180" i="28"/>
  <c r="D72" i="28"/>
  <c r="D181" i="28"/>
  <c r="D182" i="28"/>
  <c r="D73" i="28"/>
  <c r="D183" i="28"/>
  <c r="D184" i="28"/>
  <c r="D74" i="28"/>
  <c r="D189" i="28"/>
  <c r="D190" i="28"/>
  <c r="D75" i="28"/>
  <c r="D191" i="28"/>
  <c r="D192" i="28"/>
  <c r="D76" i="28"/>
  <c r="D195" i="28"/>
  <c r="D196" i="28"/>
  <c r="D78" i="28"/>
  <c r="D193" i="28"/>
  <c r="D194" i="28"/>
  <c r="D77" i="28"/>
  <c r="D204" i="28"/>
  <c r="D205" i="28"/>
  <c r="D79" i="28"/>
  <c r="D206" i="28"/>
  <c r="D207" i="28"/>
  <c r="D80" i="28"/>
  <c r="D208" i="28"/>
  <c r="D209" i="28"/>
  <c r="D81" i="28"/>
  <c r="D210" i="28"/>
  <c r="D211" i="28"/>
  <c r="D82" i="28"/>
  <c r="D218" i="28"/>
  <c r="D219" i="28"/>
  <c r="D84" i="28"/>
  <c r="D214" i="28"/>
  <c r="D215" i="28"/>
  <c r="D83" i="28"/>
  <c r="D222" i="28"/>
  <c r="D223" i="28"/>
  <c r="D86" i="28"/>
  <c r="D220" i="28"/>
  <c r="D221" i="28"/>
  <c r="D85" i="28"/>
  <c r="D226" i="28"/>
  <c r="D227" i="28"/>
  <c r="D88" i="28"/>
  <c r="D224" i="28"/>
  <c r="D225" i="28"/>
  <c r="D87" i="28"/>
  <c r="D228" i="28"/>
  <c r="D229" i="28"/>
  <c r="D89" i="28"/>
  <c r="D230" i="28"/>
  <c r="D231" i="28"/>
  <c r="D90" i="28"/>
  <c r="D240" i="28"/>
  <c r="D241" i="28"/>
  <c r="D91" i="28"/>
  <c r="D242" i="28"/>
  <c r="D243" i="28"/>
  <c r="D92" i="28"/>
  <c r="D244" i="28"/>
  <c r="D245" i="28"/>
  <c r="D93" i="28"/>
  <c r="D248" i="28"/>
  <c r="D249" i="28"/>
  <c r="D95" i="28"/>
  <c r="D246" i="28"/>
  <c r="D247" i="28"/>
  <c r="D94" i="28"/>
  <c r="D250" i="28"/>
  <c r="D251" i="28"/>
  <c r="D96" i="28"/>
  <c r="D252" i="28"/>
  <c r="D253" i="28"/>
  <c r="D97" i="28"/>
  <c r="D254" i="28"/>
  <c r="D255" i="28"/>
  <c r="D98" i="28"/>
  <c r="D258" i="28"/>
  <c r="D259" i="28"/>
  <c r="D99" i="28"/>
  <c r="D260" i="28"/>
  <c r="D261" i="28"/>
  <c r="D100" i="28"/>
  <c r="D262" i="28"/>
  <c r="D263" i="28"/>
  <c r="D101" i="28"/>
  <c r="D264" i="28"/>
  <c r="D265" i="28"/>
  <c r="D102" i="28"/>
  <c r="D267" i="28"/>
  <c r="D268" i="28"/>
  <c r="D103" i="28"/>
  <c r="D273" i="28"/>
  <c r="D274" i="28"/>
  <c r="D105" i="28"/>
  <c r="D271" i="28"/>
  <c r="D272" i="28"/>
  <c r="D104" i="28"/>
  <c r="D203" i="28"/>
  <c r="D5" i="27"/>
  <c r="D6" i="27"/>
  <c r="D7" i="27"/>
  <c r="D8" i="27"/>
  <c r="D9" i="27"/>
  <c r="D10" i="27"/>
  <c r="D11" i="27"/>
  <c r="D12" i="27"/>
  <c r="D13" i="27"/>
  <c r="D14" i="27"/>
  <c r="D15" i="27"/>
  <c r="D16" i="27"/>
  <c r="D17" i="27"/>
  <c r="D18" i="27"/>
  <c r="D19" i="27"/>
  <c r="D20" i="27"/>
  <c r="D21" i="27"/>
  <c r="D22" i="27"/>
  <c r="D23" i="27"/>
  <c r="D24" i="27"/>
  <c r="D25" i="27"/>
  <c r="D26" i="27"/>
  <c r="D27" i="27"/>
  <c r="D28" i="27"/>
  <c r="D29" i="27"/>
  <c r="D30" i="27"/>
  <c r="D31" i="27"/>
  <c r="D32" i="27"/>
  <c r="D33" i="27"/>
  <c r="D34" i="27"/>
  <c r="D35" i="27"/>
  <c r="D36" i="27"/>
  <c r="D37" i="27"/>
  <c r="D38" i="27"/>
  <c r="D39" i="27"/>
  <c r="D40" i="27"/>
  <c r="D4" i="27"/>
  <c r="D38" i="26"/>
  <c r="D55" i="26"/>
  <c r="D11" i="26"/>
  <c r="D12" i="26"/>
  <c r="D4" i="26"/>
  <c r="D13" i="26"/>
  <c r="D14" i="26"/>
  <c r="D5" i="26"/>
  <c r="D17" i="26"/>
  <c r="D18" i="26"/>
  <c r="D6" i="26"/>
  <c r="D28" i="26"/>
  <c r="D29" i="26"/>
  <c r="D7" i="26"/>
  <c r="D32" i="26"/>
  <c r="D33" i="26"/>
  <c r="D8" i="26"/>
  <c r="D39" i="26"/>
  <c r="D40" i="26"/>
  <c r="D9" i="26"/>
  <c r="D45" i="26"/>
  <c r="D46" i="26"/>
  <c r="D10" i="26"/>
  <c r="D15" i="26"/>
  <c r="D16" i="26"/>
  <c r="D19" i="26"/>
  <c r="D20" i="26"/>
  <c r="D21" i="26"/>
  <c r="D22" i="26"/>
  <c r="D23" i="26"/>
  <c r="D24" i="26"/>
  <c r="D25" i="26"/>
  <c r="D26" i="26"/>
  <c r="D30" i="26"/>
  <c r="D31" i="26"/>
  <c r="D34" i="26"/>
  <c r="D35" i="26"/>
  <c r="D36" i="26"/>
  <c r="D37" i="26"/>
  <c r="D42" i="26"/>
  <c r="D44" i="26"/>
  <c r="D41" i="26"/>
  <c r="D43" i="26"/>
  <c r="D49" i="26"/>
  <c r="D52" i="26"/>
  <c r="D47" i="26"/>
  <c r="D50" i="26"/>
  <c r="D48" i="26"/>
  <c r="D51" i="26"/>
  <c r="D53" i="26"/>
  <c r="D54"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27" i="26"/>
  <c r="D81" i="25"/>
  <c r="D106" i="25"/>
  <c r="D46" i="25"/>
  <c r="D47" i="25"/>
  <c r="D34" i="25"/>
  <c r="D50" i="25"/>
  <c r="D51" i="25"/>
  <c r="D35" i="25"/>
  <c r="D64" i="25"/>
  <c r="D65" i="25"/>
  <c r="D36" i="25"/>
  <c r="D68" i="25"/>
  <c r="D69" i="25"/>
  <c r="D37" i="25"/>
  <c r="D75" i="25"/>
  <c r="D76" i="25"/>
  <c r="D38" i="25"/>
  <c r="D79" i="25"/>
  <c r="D80" i="25"/>
  <c r="D39" i="25"/>
  <c r="D82" i="25"/>
  <c r="D83" i="25"/>
  <c r="D40" i="25"/>
  <c r="D86" i="25"/>
  <c r="D87" i="25"/>
  <c r="D41" i="25"/>
  <c r="D92" i="25"/>
  <c r="D93" i="25"/>
  <c r="D42" i="25"/>
  <c r="D94" i="25"/>
  <c r="D95" i="25"/>
  <c r="D43" i="25"/>
  <c r="D96" i="25"/>
  <c r="D97" i="25"/>
  <c r="D44" i="25"/>
  <c r="D100" i="25"/>
  <c r="D101" i="25"/>
  <c r="D45" i="25"/>
  <c r="D48" i="25"/>
  <c r="D49" i="25"/>
  <c r="D52" i="25"/>
  <c r="D53" i="25"/>
  <c r="D55" i="25"/>
  <c r="D54" i="25"/>
  <c r="D61" i="25"/>
  <c r="D59" i="25"/>
  <c r="D60" i="25"/>
  <c r="D58" i="25"/>
  <c r="D56" i="25"/>
  <c r="D57" i="25"/>
  <c r="D63" i="25"/>
  <c r="D62" i="25"/>
  <c r="D66" i="25"/>
  <c r="D67" i="25"/>
  <c r="D71" i="25"/>
  <c r="D72" i="25"/>
  <c r="D73" i="25"/>
  <c r="D74" i="25"/>
  <c r="D77" i="25"/>
  <c r="D78" i="25"/>
  <c r="D84" i="25"/>
  <c r="D85" i="25"/>
  <c r="D89" i="25"/>
  <c r="D88" i="25"/>
  <c r="D90" i="25"/>
  <c r="D91" i="25"/>
  <c r="D99" i="25"/>
  <c r="D98" i="25"/>
  <c r="D104" i="25"/>
  <c r="D102" i="25"/>
  <c r="D105" i="25"/>
  <c r="D103" i="25"/>
  <c r="D107" i="25"/>
  <c r="D109" i="25"/>
  <c r="D108" i="25"/>
  <c r="D110" i="25"/>
  <c r="D25" i="25"/>
  <c r="D4" i="25"/>
  <c r="D5" i="25"/>
  <c r="D6" i="25"/>
  <c r="D7" i="25"/>
  <c r="D8" i="25"/>
  <c r="D9" i="25"/>
  <c r="D10" i="25"/>
  <c r="D11" i="25"/>
  <c r="D12" i="25"/>
  <c r="D13" i="25"/>
  <c r="D26" i="25"/>
  <c r="D14" i="25"/>
  <c r="D15" i="25"/>
  <c r="D16" i="25"/>
  <c r="D17" i="25"/>
  <c r="D27" i="25"/>
  <c r="D28" i="25"/>
  <c r="D18" i="25"/>
  <c r="D19" i="25"/>
  <c r="D20" i="25"/>
  <c r="D21" i="25"/>
  <c r="D29" i="25"/>
  <c r="D30" i="25"/>
  <c r="D22" i="25"/>
  <c r="D23" i="25"/>
  <c r="D31" i="25"/>
  <c r="D32" i="25"/>
  <c r="D33" i="25"/>
  <c r="D24" i="25"/>
  <c r="D70" i="25"/>
  <c r="D159" i="23"/>
  <c r="D188" i="23"/>
  <c r="D78" i="23"/>
  <c r="D79" i="23"/>
  <c r="D62" i="23"/>
  <c r="D80" i="23"/>
  <c r="D81" i="23"/>
  <c r="D63" i="23"/>
  <c r="D96" i="23"/>
  <c r="D97" i="23"/>
  <c r="D64" i="23"/>
  <c r="D98" i="23"/>
  <c r="D99" i="23"/>
  <c r="D65" i="23"/>
  <c r="D106" i="23"/>
  <c r="D107" i="23"/>
  <c r="D66" i="23"/>
  <c r="D110" i="23"/>
  <c r="D111" i="23"/>
  <c r="D68" i="23"/>
  <c r="D108" i="23"/>
  <c r="D109" i="23"/>
  <c r="D67" i="23"/>
  <c r="D121" i="23"/>
  <c r="D122" i="23"/>
  <c r="D69" i="23"/>
  <c r="D126" i="23"/>
  <c r="D127" i="23"/>
  <c r="D70" i="23"/>
  <c r="D151" i="23"/>
  <c r="D152" i="23"/>
  <c r="D71" i="23"/>
  <c r="D153" i="23"/>
  <c r="D154" i="23"/>
  <c r="D72" i="23"/>
  <c r="D157" i="23"/>
  <c r="D158" i="23"/>
  <c r="D73" i="23"/>
  <c r="D162" i="23"/>
  <c r="D163" i="23"/>
  <c r="D74" i="23"/>
  <c r="D166" i="23"/>
  <c r="D167" i="23"/>
  <c r="D75" i="23"/>
  <c r="D176" i="23"/>
  <c r="D177" i="23"/>
  <c r="D76" i="23"/>
  <c r="D182" i="23"/>
  <c r="D183" i="23"/>
  <c r="D77" i="23"/>
  <c r="D82" i="23"/>
  <c r="D83" i="23"/>
  <c r="D84" i="23"/>
  <c r="D85" i="23"/>
  <c r="D86" i="23"/>
  <c r="D87" i="23"/>
  <c r="D91" i="23"/>
  <c r="D95" i="23"/>
  <c r="D90" i="23"/>
  <c r="D94" i="23"/>
  <c r="D89" i="23"/>
  <c r="D93" i="23"/>
  <c r="D88" i="23"/>
  <c r="D92" i="23"/>
  <c r="D100" i="23"/>
  <c r="D101" i="23"/>
  <c r="D102" i="23"/>
  <c r="D103" i="23"/>
  <c r="D112" i="23"/>
  <c r="D113" i="23"/>
  <c r="D114" i="23"/>
  <c r="D115" i="23"/>
  <c r="D116" i="23"/>
  <c r="D117" i="23"/>
  <c r="D123" i="23"/>
  <c r="D124" i="23"/>
  <c r="D128" i="23"/>
  <c r="D125" i="23"/>
  <c r="D129" i="23"/>
  <c r="D130" i="23"/>
  <c r="D131" i="23"/>
  <c r="D133" i="23"/>
  <c r="D132" i="23"/>
  <c r="D134" i="23"/>
  <c r="D137" i="23"/>
  <c r="D141" i="23"/>
  <c r="D138" i="23"/>
  <c r="D142" i="23"/>
  <c r="D135" i="23"/>
  <c r="D139" i="23"/>
  <c r="D136" i="23"/>
  <c r="D140" i="23"/>
  <c r="D144" i="23"/>
  <c r="D146" i="23"/>
  <c r="D143" i="23"/>
  <c r="D145" i="23"/>
  <c r="D147" i="23"/>
  <c r="D148" i="23"/>
  <c r="D155" i="23"/>
  <c r="D156" i="23"/>
  <c r="D164" i="23"/>
  <c r="D165" i="23"/>
  <c r="D168" i="23"/>
  <c r="D171" i="23"/>
  <c r="D170" i="23"/>
  <c r="D173" i="23"/>
  <c r="D169" i="23"/>
  <c r="D172" i="23"/>
  <c r="D174" i="23"/>
  <c r="D175" i="23"/>
  <c r="D180" i="23"/>
  <c r="D181" i="23"/>
  <c r="D184" i="23"/>
  <c r="D185" i="23"/>
  <c r="D186" i="23"/>
  <c r="D187" i="23"/>
  <c r="D118" i="23"/>
  <c r="D5" i="15"/>
  <c r="D6" i="15"/>
  <c r="D7" i="15"/>
  <c r="D8" i="15"/>
  <c r="D9" i="15"/>
  <c r="D10" i="15"/>
  <c r="D11" i="15"/>
  <c r="D12" i="15"/>
  <c r="D13" i="15"/>
  <c r="D14" i="15"/>
  <c r="D15" i="15"/>
  <c r="D16" i="15"/>
  <c r="D17" i="15"/>
  <c r="D18" i="15"/>
  <c r="D19" i="15"/>
  <c r="D20" i="15"/>
  <c r="D21" i="15"/>
  <c r="D22" i="15"/>
  <c r="D23" i="15"/>
  <c r="D24" i="15"/>
  <c r="D25" i="15"/>
  <c r="D26" i="15"/>
  <c r="D27" i="15"/>
  <c r="D28" i="15"/>
  <c r="D29" i="15"/>
  <c r="D30" i="15"/>
  <c r="D31" i="15"/>
  <c r="D32" i="15"/>
  <c r="D33" i="15"/>
  <c r="D34" i="15"/>
  <c r="D35" i="15"/>
  <c r="D36" i="15"/>
  <c r="D37" i="15"/>
  <c r="D38" i="15"/>
  <c r="D39" i="15"/>
  <c r="D40" i="15"/>
  <c r="D41" i="15"/>
  <c r="D42" i="15"/>
  <c r="D43" i="15"/>
  <c r="D44" i="15"/>
  <c r="D45" i="15"/>
  <c r="D46" i="15"/>
  <c r="D47" i="15"/>
  <c r="D48" i="15"/>
  <c r="D49" i="15"/>
  <c r="D50" i="15"/>
  <c r="D51" i="15"/>
  <c r="D52" i="15"/>
  <c r="D53" i="15"/>
  <c r="D54" i="15"/>
  <c r="D55" i="15"/>
  <c r="D56" i="15"/>
  <c r="D57" i="15"/>
  <c r="D58" i="15"/>
  <c r="D59" i="15"/>
  <c r="D60" i="15"/>
  <c r="D61" i="15"/>
  <c r="D62" i="15"/>
  <c r="D63" i="15"/>
  <c r="D64" i="15"/>
  <c r="D65" i="15"/>
  <c r="D66" i="15"/>
  <c r="D67" i="15"/>
  <c r="D68" i="15"/>
  <c r="D69" i="15"/>
  <c r="D70" i="15"/>
  <c r="D71" i="15"/>
  <c r="D72" i="15"/>
  <c r="D73" i="15"/>
  <c r="D74" i="15"/>
  <c r="D75" i="15"/>
  <c r="D76" i="15"/>
  <c r="D77" i="15"/>
  <c r="D78" i="15"/>
  <c r="D79" i="15"/>
  <c r="D80" i="15"/>
  <c r="D81" i="15"/>
  <c r="D82" i="15"/>
  <c r="D83" i="15"/>
  <c r="D84" i="15"/>
  <c r="D85" i="15"/>
  <c r="D86" i="15"/>
  <c r="D87" i="15"/>
  <c r="D88" i="15"/>
  <c r="D89" i="15"/>
  <c r="D90" i="15"/>
  <c r="D91" i="15"/>
  <c r="D92" i="15"/>
  <c r="D93" i="15"/>
  <c r="D94" i="15"/>
  <c r="D95" i="15"/>
  <c r="D96" i="15"/>
  <c r="D97" i="15"/>
  <c r="D98" i="15"/>
  <c r="D99" i="15"/>
  <c r="D100" i="15"/>
  <c r="D101" i="15"/>
  <c r="D102" i="15"/>
  <c r="D103" i="15"/>
  <c r="D104" i="15"/>
  <c r="D105" i="15"/>
  <c r="D106" i="15"/>
  <c r="D107" i="15"/>
  <c r="D108" i="15"/>
  <c r="D109" i="15"/>
  <c r="D110" i="15"/>
  <c r="D111" i="15"/>
  <c r="D112" i="15"/>
  <c r="D113" i="15"/>
  <c r="D114" i="15"/>
  <c r="D115" i="15"/>
  <c r="D116" i="15"/>
  <c r="D117" i="15"/>
  <c r="D118" i="15"/>
  <c r="D119" i="15"/>
  <c r="D120" i="15"/>
  <c r="D121" i="15"/>
  <c r="D122" i="15"/>
  <c r="D123" i="15"/>
  <c r="D124" i="15"/>
  <c r="D125" i="15"/>
  <c r="D126" i="15"/>
  <c r="D127" i="15"/>
  <c r="D128" i="15"/>
  <c r="D129" i="15"/>
  <c r="D130" i="15"/>
  <c r="D131" i="15"/>
  <c r="D132" i="15"/>
  <c r="D133" i="15"/>
  <c r="D134" i="15"/>
  <c r="D4" i="15"/>
  <c r="C6" i="37" l="1"/>
  <c r="E5" i="37"/>
  <c r="D110" i="11"/>
  <c r="D91" i="11"/>
  <c r="D111" i="11"/>
  <c r="D112" i="11"/>
  <c r="D92" i="11"/>
  <c r="D115" i="11"/>
  <c r="D116" i="11"/>
  <c r="D94" i="11"/>
  <c r="D113" i="11"/>
  <c r="D114" i="11"/>
  <c r="D93" i="11"/>
  <c r="D117" i="11"/>
  <c r="D118" i="11"/>
  <c r="D95" i="11"/>
  <c r="D121" i="11"/>
  <c r="D122" i="11"/>
  <c r="D96" i="11"/>
  <c r="D123" i="11"/>
  <c r="D124" i="11"/>
  <c r="D97" i="11"/>
  <c r="D126" i="11"/>
  <c r="D127" i="11"/>
  <c r="D98" i="11"/>
  <c r="D128" i="11"/>
  <c r="D129" i="11"/>
  <c r="D99" i="11"/>
  <c r="D138" i="11"/>
  <c r="D139" i="11"/>
  <c r="D101" i="11"/>
  <c r="D136" i="11"/>
  <c r="D137" i="11"/>
  <c r="D100" i="11"/>
  <c r="D146" i="11"/>
  <c r="D147" i="11"/>
  <c r="D102" i="11"/>
  <c r="D153" i="11"/>
  <c r="D154" i="11"/>
  <c r="D103" i="11"/>
  <c r="D155" i="11"/>
  <c r="D156" i="11"/>
  <c r="D104" i="11"/>
  <c r="D157" i="11"/>
  <c r="D158" i="11"/>
  <c r="D105" i="11"/>
  <c r="D161" i="11"/>
  <c r="D162" i="11"/>
  <c r="D106" i="11"/>
  <c r="D165" i="11"/>
  <c r="D166" i="11"/>
  <c r="D107" i="11"/>
  <c r="D173" i="11"/>
  <c r="D174" i="11"/>
  <c r="D108" i="11"/>
  <c r="D119" i="11"/>
  <c r="D120" i="11"/>
  <c r="D130" i="11"/>
  <c r="D131" i="11"/>
  <c r="D132" i="11"/>
  <c r="D133" i="11"/>
  <c r="D134" i="11"/>
  <c r="D135" i="11"/>
  <c r="D144" i="11"/>
  <c r="D145" i="11"/>
  <c r="D142" i="11"/>
  <c r="D143" i="11"/>
  <c r="D140" i="11"/>
  <c r="D141" i="11"/>
  <c r="D148" i="11"/>
  <c r="D149" i="11"/>
  <c r="D151" i="11"/>
  <c r="D152" i="11"/>
  <c r="D159" i="11"/>
  <c r="D160" i="11"/>
  <c r="D163" i="11"/>
  <c r="D164" i="11"/>
  <c r="D167" i="11"/>
  <c r="D168" i="11"/>
  <c r="D171" i="11"/>
  <c r="D172" i="11"/>
  <c r="D169" i="11"/>
  <c r="D170" i="11"/>
  <c r="D175" i="11"/>
  <c r="D176" i="11"/>
  <c r="D125" i="11"/>
  <c r="D150" i="11"/>
  <c r="D177" i="11"/>
  <c r="D34" i="11"/>
  <c r="D4" i="11"/>
  <c r="D5" i="11"/>
  <c r="D6" i="11"/>
  <c r="D7" i="11"/>
  <c r="D8" i="11"/>
  <c r="D9" i="11"/>
  <c r="D10" i="11"/>
  <c r="D11" i="11"/>
  <c r="D48" i="11"/>
  <c r="D49" i="11"/>
  <c r="D50" i="11"/>
  <c r="D51" i="11"/>
  <c r="D12" i="11"/>
  <c r="D13" i="11"/>
  <c r="D14" i="11"/>
  <c r="D15" i="11"/>
  <c r="D16" i="11"/>
  <c r="D17" i="11"/>
  <c r="D18" i="11"/>
  <c r="D19" i="11"/>
  <c r="D20" i="11"/>
  <c r="D21" i="11"/>
  <c r="D22" i="11"/>
  <c r="D23" i="11"/>
  <c r="D24" i="11"/>
  <c r="D25" i="11"/>
  <c r="D26" i="11"/>
  <c r="D27" i="11"/>
  <c r="D28" i="11"/>
  <c r="D29" i="11"/>
  <c r="D30" i="11"/>
  <c r="D31" i="11"/>
  <c r="D33" i="11"/>
  <c r="D32" i="11"/>
  <c r="D109" i="11"/>
  <c r="C7" i="37" l="1"/>
  <c r="E6" i="37"/>
  <c r="D7" i="14"/>
  <c r="D8" i="14"/>
  <c r="D9" i="14"/>
  <c r="D10" i="14"/>
  <c r="D11" i="14"/>
  <c r="D12" i="14"/>
  <c r="D13"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D46" i="14"/>
  <c r="D47" i="14"/>
  <c r="D48" i="14"/>
  <c r="D49" i="14"/>
  <c r="D50" i="14"/>
  <c r="D51" i="14"/>
  <c r="D52" i="14"/>
  <c r="D53" i="14"/>
  <c r="D54" i="14"/>
  <c r="D55" i="14"/>
  <c r="D56" i="14"/>
  <c r="D57" i="14"/>
  <c r="D58" i="14"/>
  <c r="D61" i="14"/>
  <c r="D62" i="14"/>
  <c r="D63" i="14"/>
  <c r="D64" i="14"/>
  <c r="D65" i="14"/>
  <c r="D66" i="14"/>
  <c r="D67" i="14"/>
  <c r="D68" i="14"/>
  <c r="D69" i="14"/>
  <c r="D70" i="14"/>
  <c r="D71" i="14"/>
  <c r="D72" i="14"/>
  <c r="D73" i="14"/>
  <c r="D74" i="14"/>
  <c r="D75" i="14"/>
  <c r="D76" i="14"/>
  <c r="D77" i="14"/>
  <c r="D78" i="14"/>
  <c r="D79" i="14"/>
  <c r="D80" i="14"/>
  <c r="D81" i="14"/>
  <c r="D82" i="14"/>
  <c r="D83" i="14"/>
  <c r="D84" i="14"/>
  <c r="D85" i="14"/>
  <c r="D86" i="14"/>
  <c r="D87" i="14"/>
  <c r="D88" i="14"/>
  <c r="D89" i="14"/>
  <c r="D90" i="14"/>
  <c r="D91" i="14"/>
  <c r="D92" i="14"/>
  <c r="D93" i="14"/>
  <c r="D94" i="14"/>
  <c r="D95" i="14"/>
  <c r="D96" i="14"/>
  <c r="D97" i="14"/>
  <c r="D98" i="14"/>
  <c r="D99" i="14"/>
  <c r="D100" i="14"/>
  <c r="D101" i="14"/>
  <c r="D102" i="14"/>
  <c r="D103" i="14"/>
  <c r="D104" i="14"/>
  <c r="D105" i="14"/>
  <c r="D106" i="14"/>
  <c r="D107" i="14"/>
  <c r="D108" i="14"/>
  <c r="D109" i="14"/>
  <c r="D110" i="14"/>
  <c r="D111" i="14"/>
  <c r="D112" i="14"/>
  <c r="D113" i="14"/>
  <c r="D114" i="14"/>
  <c r="D115" i="14"/>
  <c r="D116" i="14"/>
  <c r="D117" i="14"/>
  <c r="D118" i="14"/>
  <c r="D119" i="14"/>
  <c r="D120" i="14"/>
  <c r="D121" i="14"/>
  <c r="D122" i="14"/>
  <c r="D123" i="14"/>
  <c r="D124" i="14"/>
  <c r="D125" i="14"/>
  <c r="D126" i="14"/>
  <c r="D127" i="14"/>
  <c r="D128" i="14"/>
  <c r="D129" i="14"/>
  <c r="D130" i="14"/>
  <c r="D133" i="14"/>
  <c r="D134" i="14"/>
  <c r="D135" i="14"/>
  <c r="D136" i="14"/>
  <c r="D137" i="14"/>
  <c r="D138" i="14"/>
  <c r="D139" i="14"/>
  <c r="D140" i="14"/>
  <c r="D141" i="14"/>
  <c r="D142" i="14"/>
  <c r="D143" i="14"/>
  <c r="D144" i="14"/>
  <c r="D145" i="14"/>
  <c r="D146" i="14"/>
  <c r="D147" i="14"/>
  <c r="D148" i="14"/>
  <c r="D149" i="14"/>
  <c r="D150" i="14"/>
  <c r="D151" i="14"/>
  <c r="D152" i="14"/>
  <c r="D153" i="14"/>
  <c r="D154" i="14"/>
  <c r="D155" i="14"/>
  <c r="D156" i="14"/>
  <c r="D157" i="14"/>
  <c r="D158" i="14"/>
  <c r="D159" i="14"/>
  <c r="D160" i="14"/>
  <c r="D161" i="14"/>
  <c r="D162" i="14"/>
  <c r="D163" i="14"/>
  <c r="D164" i="14"/>
  <c r="D165" i="14"/>
  <c r="D166" i="14"/>
  <c r="D167" i="14"/>
  <c r="D168" i="14"/>
  <c r="D169" i="14"/>
  <c r="D170" i="14"/>
  <c r="D171" i="14"/>
  <c r="D172" i="14"/>
  <c r="D173" i="14"/>
  <c r="D174" i="14"/>
  <c r="D175" i="14"/>
  <c r="D176" i="14"/>
  <c r="D177" i="14"/>
  <c r="D178" i="14"/>
  <c r="D179" i="14"/>
  <c r="D180" i="14"/>
  <c r="D181" i="14"/>
  <c r="D182" i="14"/>
  <c r="D183" i="14"/>
  <c r="D184" i="14"/>
  <c r="D185" i="14"/>
  <c r="D186" i="14"/>
  <c r="D187" i="14"/>
  <c r="D188" i="14"/>
  <c r="D189" i="14"/>
  <c r="D190" i="14"/>
  <c r="D191" i="14"/>
  <c r="D192" i="14"/>
  <c r="D193" i="14"/>
  <c r="D194" i="14"/>
  <c r="D195" i="14"/>
  <c r="D196" i="14"/>
  <c r="D197" i="14"/>
  <c r="D198" i="14"/>
  <c r="D199" i="14"/>
  <c r="D200" i="14"/>
  <c r="D201" i="14"/>
  <c r="D4" i="14"/>
  <c r="D5" i="22"/>
  <c r="D6" i="22"/>
  <c r="D7" i="22"/>
  <c r="D8" i="22"/>
  <c r="D9" i="22"/>
  <c r="D10" i="22"/>
  <c r="D11" i="22"/>
  <c r="D12" i="22"/>
  <c r="D13" i="22"/>
  <c r="D14" i="22"/>
  <c r="D15" i="22"/>
  <c r="D16" i="22"/>
  <c r="D17" i="22"/>
  <c r="D18" i="22"/>
  <c r="D19" i="22"/>
  <c r="D20" i="22"/>
  <c r="D21" i="22"/>
  <c r="D22" i="22"/>
  <c r="D23" i="22"/>
  <c r="D24" i="22"/>
  <c r="D25" i="22"/>
  <c r="D26" i="22"/>
  <c r="D27" i="22"/>
  <c r="D28" i="22"/>
  <c r="D29" i="22"/>
  <c r="D30" i="22"/>
  <c r="D31" i="22"/>
  <c r="D32" i="22"/>
  <c r="D33" i="22"/>
  <c r="D34" i="22"/>
  <c r="D35" i="22"/>
  <c r="D36" i="22"/>
  <c r="D37" i="22"/>
  <c r="D38" i="22"/>
  <c r="D39" i="22"/>
  <c r="D40" i="22"/>
  <c r="D41" i="22"/>
  <c r="D42" i="22"/>
  <c r="D43" i="22"/>
  <c r="D44" i="22"/>
  <c r="D45" i="22"/>
  <c r="D46" i="22"/>
  <c r="D47" i="22"/>
  <c r="D48" i="22"/>
  <c r="D49" i="22"/>
  <c r="D50" i="22"/>
  <c r="D51" i="22"/>
  <c r="D52" i="22"/>
  <c r="D53" i="22"/>
  <c r="D54" i="22"/>
  <c r="D55" i="22"/>
  <c r="D56" i="22"/>
  <c r="D57" i="22"/>
  <c r="D58" i="22"/>
  <c r="D59" i="22"/>
  <c r="D60" i="22"/>
  <c r="D61" i="22"/>
  <c r="D62" i="22"/>
  <c r="D63" i="22"/>
  <c r="D64" i="22"/>
  <c r="D65" i="22"/>
  <c r="D66" i="22"/>
  <c r="D67" i="22"/>
  <c r="D68" i="22"/>
  <c r="D69" i="22"/>
  <c r="D70" i="22"/>
  <c r="D71" i="22"/>
  <c r="D72" i="22"/>
  <c r="D73" i="22"/>
  <c r="D74" i="22"/>
  <c r="D75" i="22"/>
  <c r="D76" i="22"/>
  <c r="D77" i="22"/>
  <c r="D78" i="22"/>
  <c r="D79" i="22"/>
  <c r="D80" i="22"/>
  <c r="D81" i="22"/>
  <c r="D82" i="22"/>
  <c r="D83" i="22"/>
  <c r="D84" i="22"/>
  <c r="D85" i="22"/>
  <c r="D86" i="22"/>
  <c r="D87" i="22"/>
  <c r="D88" i="22"/>
  <c r="D89" i="22"/>
  <c r="D90" i="22"/>
  <c r="D91" i="22"/>
  <c r="D92" i="22"/>
  <c r="D93" i="22"/>
  <c r="D94" i="22"/>
  <c r="D95" i="22"/>
  <c r="D96" i="22"/>
  <c r="D97" i="22"/>
  <c r="D98" i="22"/>
  <c r="D99" i="22"/>
  <c r="D100" i="22"/>
  <c r="D101" i="22"/>
  <c r="D102" i="22"/>
  <c r="D103" i="22"/>
  <c r="D104" i="22"/>
  <c r="D105" i="22"/>
  <c r="D106" i="22"/>
  <c r="D107" i="22"/>
  <c r="D108" i="22"/>
  <c r="D109" i="22"/>
  <c r="D110" i="22"/>
  <c r="D111" i="22"/>
  <c r="D112" i="22"/>
  <c r="D113" i="22"/>
  <c r="D114" i="22"/>
  <c r="D115" i="22"/>
  <c r="D116" i="22"/>
  <c r="D117" i="22"/>
  <c r="D118" i="22"/>
  <c r="D119" i="22"/>
  <c r="D120" i="22"/>
  <c r="D121" i="22"/>
  <c r="D122" i="22"/>
  <c r="D123" i="22"/>
  <c r="D124" i="22"/>
  <c r="D125" i="22"/>
  <c r="D126" i="22"/>
  <c r="D127" i="22"/>
  <c r="D128" i="22"/>
  <c r="D129" i="22"/>
  <c r="D130" i="22"/>
  <c r="D131" i="22"/>
  <c r="D132" i="22"/>
  <c r="D133" i="22"/>
  <c r="D134" i="22"/>
  <c r="D135" i="22"/>
  <c r="D136" i="22"/>
  <c r="D137" i="22"/>
  <c r="D138" i="22"/>
  <c r="D139" i="22"/>
  <c r="D140" i="22"/>
  <c r="D141" i="22"/>
  <c r="D142" i="22"/>
  <c r="D143" i="22"/>
  <c r="D144" i="22"/>
  <c r="D145" i="22"/>
  <c r="D146" i="22"/>
  <c r="D147" i="22"/>
  <c r="D148" i="22"/>
  <c r="D149" i="22"/>
  <c r="D150" i="22"/>
  <c r="D151" i="22"/>
  <c r="D152" i="22"/>
  <c r="D153" i="22"/>
  <c r="D154" i="22"/>
  <c r="D155" i="22"/>
  <c r="D156" i="22"/>
  <c r="D157" i="22"/>
  <c r="D158" i="22"/>
  <c r="D159" i="22"/>
  <c r="D160" i="22"/>
  <c r="D161" i="22"/>
  <c r="D162" i="22"/>
  <c r="D163" i="22"/>
  <c r="D164" i="22"/>
  <c r="D165" i="22"/>
  <c r="D166" i="22"/>
  <c r="D167" i="22"/>
  <c r="D168" i="22"/>
  <c r="D169" i="22"/>
  <c r="D170" i="22"/>
  <c r="D171" i="22"/>
  <c r="D172" i="22"/>
  <c r="D173" i="22"/>
  <c r="D174" i="22"/>
  <c r="D175" i="22"/>
  <c r="D176" i="22"/>
  <c r="D177" i="22"/>
  <c r="D4" i="22"/>
  <c r="D4" i="5"/>
  <c r="D43" i="6"/>
  <c r="D36" i="6"/>
  <c r="D46" i="6"/>
  <c r="D47" i="6"/>
  <c r="D37" i="6"/>
  <c r="D49" i="6"/>
  <c r="D50" i="6"/>
  <c r="D38" i="6"/>
  <c r="D55" i="6"/>
  <c r="D56" i="6"/>
  <c r="D39" i="6"/>
  <c r="D64" i="6"/>
  <c r="D65" i="6"/>
  <c r="D40" i="6"/>
  <c r="D78" i="6"/>
  <c r="D79" i="6"/>
  <c r="D41" i="6"/>
  <c r="D44" i="6"/>
  <c r="D45" i="6"/>
  <c r="D51" i="6"/>
  <c r="D52" i="6"/>
  <c r="D53" i="6"/>
  <c r="D54" i="6"/>
  <c r="D57" i="6"/>
  <c r="D58" i="6"/>
  <c r="D59" i="6"/>
  <c r="D61" i="6"/>
  <c r="D60" i="6"/>
  <c r="D62" i="6"/>
  <c r="D66" i="6"/>
  <c r="D67" i="6"/>
  <c r="D69" i="6"/>
  <c r="D71" i="6"/>
  <c r="D68" i="6"/>
  <c r="D70" i="6"/>
  <c r="D73" i="6"/>
  <c r="D72" i="6"/>
  <c r="D74" i="6"/>
  <c r="D75" i="6"/>
  <c r="D76" i="6"/>
  <c r="D77" i="6"/>
  <c r="D81" i="6"/>
  <c r="D83" i="6"/>
  <c r="D80" i="6"/>
  <c r="D82" i="6"/>
  <c r="D84" i="6"/>
  <c r="D85" i="6"/>
  <c r="D86" i="6"/>
  <c r="D88" i="6"/>
  <c r="D87" i="6"/>
  <c r="D89" i="6"/>
  <c r="D90" i="6"/>
  <c r="D91" i="6"/>
  <c r="D92" i="6"/>
  <c r="D94" i="6"/>
  <c r="D93" i="6"/>
  <c r="D95" i="6"/>
  <c r="D96" i="6"/>
  <c r="D97" i="6"/>
  <c r="D99" i="6"/>
  <c r="D101" i="6"/>
  <c r="D98" i="6"/>
  <c r="D100" i="6"/>
  <c r="D103" i="6"/>
  <c r="D104" i="6"/>
  <c r="D48" i="6"/>
  <c r="D63" i="6"/>
  <c r="D102" i="6"/>
  <c r="D4" i="6"/>
  <c r="D5" i="6"/>
  <c r="D6" i="6"/>
  <c r="D27" i="6"/>
  <c r="D26" i="6"/>
  <c r="D7" i="6"/>
  <c r="D28" i="6"/>
  <c r="D29" i="6"/>
  <c r="D8" i="6"/>
  <c r="D9" i="6"/>
  <c r="D11" i="6"/>
  <c r="D30" i="6"/>
  <c r="D10" i="6"/>
  <c r="D12" i="6"/>
  <c r="D13" i="6"/>
  <c r="D14" i="6"/>
  <c r="D31" i="6"/>
  <c r="D15" i="6"/>
  <c r="D17" i="6"/>
  <c r="D32" i="6"/>
  <c r="D16" i="6"/>
  <c r="D18" i="6"/>
  <c r="D19" i="6"/>
  <c r="D20" i="6"/>
  <c r="D33" i="6"/>
  <c r="D21" i="6"/>
  <c r="D22" i="6"/>
  <c r="D23" i="6"/>
  <c r="D34" i="6"/>
  <c r="D25" i="6"/>
  <c r="D35" i="6"/>
  <c r="D24" i="6"/>
  <c r="D42" i="6"/>
  <c r="D39" i="9"/>
  <c r="D27" i="9"/>
  <c r="D40" i="9"/>
  <c r="D41" i="9"/>
  <c r="D28" i="9"/>
  <c r="D42" i="9"/>
  <c r="D43" i="9"/>
  <c r="D29" i="9"/>
  <c r="D44" i="9"/>
  <c r="D45" i="9"/>
  <c r="D30" i="9"/>
  <c r="D46" i="9"/>
  <c r="D47" i="9"/>
  <c r="D31" i="9"/>
  <c r="D55" i="9"/>
  <c r="D56" i="9"/>
  <c r="D32" i="9"/>
  <c r="D58" i="9"/>
  <c r="D59" i="9"/>
  <c r="D33" i="9"/>
  <c r="D60" i="9"/>
  <c r="D61" i="9"/>
  <c r="D34" i="9"/>
  <c r="D67" i="9"/>
  <c r="D68" i="9"/>
  <c r="D35" i="9"/>
  <c r="D76" i="9"/>
  <c r="D77" i="9"/>
  <c r="D36" i="9"/>
  <c r="D86" i="9"/>
  <c r="D87" i="9"/>
  <c r="D37" i="9"/>
  <c r="D49" i="9"/>
  <c r="D48" i="9"/>
  <c r="D51" i="9"/>
  <c r="D50" i="9"/>
  <c r="D52" i="9"/>
  <c r="D53" i="9"/>
  <c r="D65" i="9"/>
  <c r="D64" i="9"/>
  <c r="D62" i="9"/>
  <c r="D63" i="9"/>
  <c r="D69" i="9"/>
  <c r="D70" i="9"/>
  <c r="D71" i="9"/>
  <c r="D72" i="9"/>
  <c r="D74" i="9"/>
  <c r="D75" i="9"/>
  <c r="D78" i="9"/>
  <c r="D79" i="9"/>
  <c r="D83" i="9"/>
  <c r="D82" i="9"/>
  <c r="D80" i="9"/>
  <c r="D81" i="9"/>
  <c r="D84" i="9"/>
  <c r="D85" i="9"/>
  <c r="D89" i="9"/>
  <c r="D91" i="9"/>
  <c r="D88" i="9"/>
  <c r="D90" i="9"/>
  <c r="D57" i="9"/>
  <c r="D66" i="9"/>
  <c r="D92" i="9"/>
  <c r="D38" i="9"/>
  <c r="N590" i="13"/>
  <c r="N591" i="13"/>
  <c r="N592" i="13"/>
  <c r="N593" i="13"/>
  <c r="N594" i="13"/>
  <c r="N595" i="13"/>
  <c r="N596" i="13"/>
  <c r="N597" i="13"/>
  <c r="N598" i="13"/>
  <c r="N599" i="13"/>
  <c r="N600" i="13"/>
  <c r="N601" i="13"/>
  <c r="N602" i="13"/>
  <c r="N603" i="13"/>
  <c r="N604" i="13"/>
  <c r="N605" i="13"/>
  <c r="N606" i="13"/>
  <c r="N607" i="13"/>
  <c r="N608" i="13"/>
  <c r="N609" i="13"/>
  <c r="N610" i="13"/>
  <c r="N611" i="13"/>
  <c r="N612" i="13"/>
  <c r="N613" i="13"/>
  <c r="N614" i="13"/>
  <c r="N615" i="13"/>
  <c r="N616" i="13"/>
  <c r="N617" i="13"/>
  <c r="N618" i="13"/>
  <c r="N619" i="13"/>
  <c r="N620" i="13"/>
  <c r="N621" i="13"/>
  <c r="N622" i="13"/>
  <c r="N623" i="13"/>
  <c r="N624" i="13"/>
  <c r="N625" i="13"/>
  <c r="N626" i="13"/>
  <c r="N627" i="13"/>
  <c r="N628" i="13"/>
  <c r="N629" i="13"/>
  <c r="N630" i="13"/>
  <c r="N631" i="13"/>
  <c r="N632" i="13"/>
  <c r="N633" i="13"/>
  <c r="N634" i="13"/>
  <c r="N635" i="13"/>
  <c r="N636" i="13"/>
  <c r="N637" i="13"/>
  <c r="N638" i="13"/>
  <c r="N639" i="13"/>
  <c r="N640" i="13"/>
  <c r="N641" i="13"/>
  <c r="N642" i="13"/>
  <c r="N643" i="13"/>
  <c r="N644" i="13"/>
  <c r="N645" i="13"/>
  <c r="N646" i="13"/>
  <c r="N647" i="13"/>
  <c r="N648" i="13"/>
  <c r="N649" i="13"/>
  <c r="N650" i="13"/>
  <c r="N651" i="13"/>
  <c r="N652" i="13"/>
  <c r="N653" i="13"/>
  <c r="N654" i="13"/>
  <c r="N655" i="13"/>
  <c r="N656" i="13"/>
  <c r="N657" i="13"/>
  <c r="N658" i="13"/>
  <c r="N659" i="13"/>
  <c r="N660" i="13"/>
  <c r="N661" i="13"/>
  <c r="N662" i="13"/>
  <c r="N663" i="13"/>
  <c r="N664" i="13"/>
  <c r="N665" i="13"/>
  <c r="N666" i="13"/>
  <c r="N667" i="13"/>
  <c r="N668" i="13"/>
  <c r="N669" i="13"/>
  <c r="N670" i="13"/>
  <c r="N671" i="13"/>
  <c r="N672" i="13"/>
  <c r="N673" i="13"/>
  <c r="N674" i="13"/>
  <c r="N675" i="13"/>
  <c r="N676" i="13"/>
  <c r="N677" i="13"/>
  <c r="N678" i="13"/>
  <c r="N679" i="13"/>
  <c r="N680" i="13"/>
  <c r="N681" i="13"/>
  <c r="N682" i="13"/>
  <c r="N683" i="13"/>
  <c r="N684" i="13"/>
  <c r="N685" i="13"/>
  <c r="N686" i="13"/>
  <c r="N687" i="13"/>
  <c r="N688" i="13"/>
  <c r="N689" i="13"/>
  <c r="N690" i="13"/>
  <c r="N691" i="13"/>
  <c r="N692" i="13"/>
  <c r="N693" i="13"/>
  <c r="N694" i="13"/>
  <c r="N695" i="13"/>
  <c r="N696" i="13"/>
  <c r="N697" i="13"/>
  <c r="N698" i="13"/>
  <c r="N699" i="13"/>
  <c r="N700" i="13"/>
  <c r="N701" i="13"/>
  <c r="N702" i="13"/>
  <c r="N703" i="13"/>
  <c r="N704" i="13"/>
  <c r="N705" i="13"/>
  <c r="N706" i="13"/>
  <c r="N707" i="13"/>
  <c r="N708" i="13"/>
  <c r="N709" i="13"/>
  <c r="N710" i="13"/>
  <c r="N711" i="13"/>
  <c r="N712" i="13"/>
  <c r="N713" i="13"/>
  <c r="N714" i="13"/>
  <c r="N715" i="13"/>
  <c r="N716" i="13"/>
  <c r="N717" i="13"/>
  <c r="N718" i="13"/>
  <c r="N719" i="13"/>
  <c r="N720" i="13"/>
  <c r="N721" i="13"/>
  <c r="N722" i="13"/>
  <c r="N723" i="13"/>
  <c r="N724" i="13"/>
  <c r="N725" i="13"/>
  <c r="N726" i="13"/>
  <c r="N727" i="13"/>
  <c r="N728" i="13"/>
  <c r="N729" i="13"/>
  <c r="N730" i="13"/>
  <c r="N731" i="13"/>
  <c r="N732" i="13"/>
  <c r="N733" i="13"/>
  <c r="N734" i="13"/>
  <c r="N735" i="13"/>
  <c r="N736" i="13"/>
  <c r="N737" i="13"/>
  <c r="N738" i="13"/>
  <c r="N739" i="13"/>
  <c r="N740" i="13"/>
  <c r="N741" i="13"/>
  <c r="N742" i="13"/>
  <c r="N743" i="13"/>
  <c r="N744" i="13"/>
  <c r="N745" i="13"/>
  <c r="N746" i="13"/>
  <c r="N747" i="13"/>
  <c r="N748" i="13"/>
  <c r="N749" i="13"/>
  <c r="N750" i="13"/>
  <c r="N751" i="13"/>
  <c r="N752" i="13"/>
  <c r="N753" i="13"/>
  <c r="N754" i="13"/>
  <c r="N755" i="13"/>
  <c r="N756" i="13"/>
  <c r="N757" i="13"/>
  <c r="N758" i="13"/>
  <c r="N759" i="13"/>
  <c r="N760" i="13"/>
  <c r="N761" i="13"/>
  <c r="N762" i="13"/>
  <c r="N763" i="13"/>
  <c r="N764" i="13"/>
  <c r="N765" i="13"/>
  <c r="N766" i="13"/>
  <c r="N767" i="13"/>
  <c r="N768" i="13"/>
  <c r="N769" i="13"/>
  <c r="N770" i="13"/>
  <c r="N771" i="13"/>
  <c r="N772" i="13"/>
  <c r="N773" i="13"/>
  <c r="N774" i="13"/>
  <c r="N775" i="13"/>
  <c r="N776" i="13"/>
  <c r="N777" i="13"/>
  <c r="N778" i="13"/>
  <c r="N779" i="13"/>
  <c r="N780" i="13"/>
  <c r="N781" i="13"/>
  <c r="N782" i="13"/>
  <c r="N783" i="13"/>
  <c r="N784" i="13"/>
  <c r="N785" i="13"/>
  <c r="N786" i="13"/>
  <c r="N787" i="13"/>
  <c r="N788" i="13"/>
  <c r="N789" i="13"/>
  <c r="N790" i="13"/>
  <c r="N791" i="13"/>
  <c r="N792" i="13"/>
  <c r="N793" i="13"/>
  <c r="N794" i="13"/>
  <c r="N795" i="13"/>
  <c r="N796" i="13"/>
  <c r="N797" i="13"/>
  <c r="N798" i="13"/>
  <c r="N799" i="13"/>
  <c r="N800" i="13"/>
  <c r="N801" i="13"/>
  <c r="N802" i="13"/>
  <c r="N803" i="13"/>
  <c r="N804" i="13"/>
  <c r="N805" i="13"/>
  <c r="N806" i="13"/>
  <c r="N807" i="13"/>
  <c r="N808" i="13"/>
  <c r="N809" i="13"/>
  <c r="N810" i="13"/>
  <c r="N811" i="13"/>
  <c r="N812" i="13"/>
  <c r="N813" i="13"/>
  <c r="N814" i="13"/>
  <c r="N815" i="13"/>
  <c r="N816" i="13"/>
  <c r="N817" i="13"/>
  <c r="N818" i="13"/>
  <c r="N819" i="13"/>
  <c r="N820" i="13"/>
  <c r="N821" i="13"/>
  <c r="N822" i="13"/>
  <c r="N823" i="13"/>
  <c r="N824" i="13"/>
  <c r="N825" i="13"/>
  <c r="N826" i="13"/>
  <c r="N827" i="13"/>
  <c r="N828" i="13"/>
  <c r="N829" i="13"/>
  <c r="N830" i="13"/>
  <c r="N831" i="13"/>
  <c r="N832" i="13"/>
  <c r="N833" i="13"/>
  <c r="N834" i="13"/>
  <c r="N835" i="13"/>
  <c r="N836" i="13"/>
  <c r="N837" i="13"/>
  <c r="N838" i="13"/>
  <c r="N839" i="13"/>
  <c r="N840" i="13"/>
  <c r="N841" i="13"/>
  <c r="N842" i="13"/>
  <c r="N843" i="13"/>
  <c r="N844" i="13"/>
  <c r="N845" i="13"/>
  <c r="N846" i="13"/>
  <c r="N847" i="13"/>
  <c r="N848" i="13"/>
  <c r="N849" i="13"/>
  <c r="N850" i="13"/>
  <c r="N851" i="13"/>
  <c r="N852" i="13"/>
  <c r="N853" i="13"/>
  <c r="N854" i="13"/>
  <c r="N855" i="13"/>
  <c r="N856" i="13"/>
  <c r="N857" i="13"/>
  <c r="N858" i="13"/>
  <c r="N859" i="13"/>
  <c r="N860" i="13"/>
  <c r="N861" i="13"/>
  <c r="N862" i="13"/>
  <c r="N863" i="13"/>
  <c r="N864" i="13"/>
  <c r="N865" i="13"/>
  <c r="N866" i="13"/>
  <c r="N867" i="13"/>
  <c r="N868" i="13"/>
  <c r="N869" i="13"/>
  <c r="N870" i="13"/>
  <c r="N871" i="13"/>
  <c r="N872" i="13"/>
  <c r="N873" i="13"/>
  <c r="N874" i="13"/>
  <c r="N875" i="13"/>
  <c r="N876" i="13"/>
  <c r="N877" i="13"/>
  <c r="N878" i="13"/>
  <c r="N879" i="13"/>
  <c r="N880" i="13"/>
  <c r="N881" i="13"/>
  <c r="N882" i="13"/>
  <c r="N883" i="13"/>
  <c r="N884" i="13"/>
  <c r="N885" i="13"/>
  <c r="N886" i="13"/>
  <c r="N887" i="13"/>
  <c r="N888" i="13"/>
  <c r="N889" i="13"/>
  <c r="N890" i="13"/>
  <c r="N891" i="13"/>
  <c r="N892" i="13"/>
  <c r="N893" i="13"/>
  <c r="N894" i="13"/>
  <c r="N895" i="13"/>
  <c r="N896" i="13"/>
  <c r="N897" i="13"/>
  <c r="N898" i="13"/>
  <c r="N899" i="13"/>
  <c r="N900" i="13"/>
  <c r="N901" i="13"/>
  <c r="N902" i="13"/>
  <c r="N903" i="13"/>
  <c r="N904" i="13"/>
  <c r="N905" i="13"/>
  <c r="N906" i="13"/>
  <c r="N907" i="13"/>
  <c r="N908" i="13"/>
  <c r="N909" i="13"/>
  <c r="N910" i="13"/>
  <c r="N911" i="13"/>
  <c r="N912" i="13"/>
  <c r="N913" i="13"/>
  <c r="N914" i="13"/>
  <c r="N915" i="13"/>
  <c r="N916" i="13"/>
  <c r="N917" i="13"/>
  <c r="N918" i="13"/>
  <c r="N919" i="13"/>
  <c r="N920" i="13"/>
  <c r="N921" i="13"/>
  <c r="N922" i="13"/>
  <c r="N923" i="13"/>
  <c r="N924" i="13"/>
  <c r="D5" i="13"/>
  <c r="D4" i="13"/>
  <c r="N243" i="1"/>
  <c r="N732" i="1"/>
  <c r="N733" i="1"/>
  <c r="N242" i="1"/>
  <c r="N730" i="1"/>
  <c r="N731" i="1"/>
  <c r="N241" i="1"/>
  <c r="N728" i="1"/>
  <c r="N729" i="1"/>
  <c r="N240" i="1"/>
  <c r="N724" i="1"/>
  <c r="N725" i="1"/>
  <c r="N238" i="1"/>
  <c r="N736" i="1"/>
  <c r="N737" i="1"/>
  <c r="N244" i="1"/>
  <c r="N738" i="1"/>
  <c r="N739" i="1"/>
  <c r="N245" i="1"/>
  <c r="N740" i="1"/>
  <c r="N741" i="1"/>
  <c r="N246" i="1"/>
  <c r="N744" i="1"/>
  <c r="N745" i="1"/>
  <c r="N248" i="1"/>
  <c r="N742" i="1"/>
  <c r="N743" i="1"/>
  <c r="N247" i="1"/>
  <c r="N750" i="1"/>
  <c r="N751" i="1"/>
  <c r="N250" i="1"/>
  <c r="N752" i="1"/>
  <c r="N753" i="1"/>
  <c r="N251" i="1"/>
  <c r="N748" i="1"/>
  <c r="N749" i="1"/>
  <c r="N249" i="1"/>
  <c r="N758" i="1"/>
  <c r="N759" i="1"/>
  <c r="N252" i="1"/>
  <c r="N756" i="1"/>
  <c r="N757" i="1"/>
  <c r="N254" i="1"/>
  <c r="N754" i="1"/>
  <c r="N755" i="1"/>
  <c r="N253" i="1"/>
  <c r="N762" i="1"/>
  <c r="N763" i="1"/>
  <c r="N256" i="1"/>
  <c r="N768" i="1"/>
  <c r="N769" i="1"/>
  <c r="N259" i="1"/>
  <c r="N766" i="1"/>
  <c r="N767" i="1"/>
  <c r="N258" i="1"/>
  <c r="N764" i="1"/>
  <c r="N765" i="1"/>
  <c r="N257" i="1"/>
  <c r="N760" i="1"/>
  <c r="N761" i="1"/>
  <c r="N255" i="1"/>
  <c r="N770" i="1"/>
  <c r="N771" i="1"/>
  <c r="N260" i="1"/>
  <c r="N772" i="1"/>
  <c r="N773" i="1"/>
  <c r="N261" i="1"/>
  <c r="N778" i="1"/>
  <c r="N779" i="1"/>
  <c r="N264" i="1"/>
  <c r="N776" i="1"/>
  <c r="N777" i="1"/>
  <c r="N263" i="1"/>
  <c r="N774" i="1"/>
  <c r="N775" i="1"/>
  <c r="N262" i="1"/>
  <c r="N780" i="1"/>
  <c r="N781" i="1"/>
  <c r="N265" i="1"/>
  <c r="N790" i="1"/>
  <c r="N791" i="1"/>
  <c r="N267" i="1"/>
  <c r="N786" i="1"/>
  <c r="N787" i="1"/>
  <c r="N269" i="1"/>
  <c r="N784" i="1"/>
  <c r="N785" i="1"/>
  <c r="N268" i="1"/>
  <c r="N782" i="1"/>
  <c r="N783" i="1"/>
  <c r="N266" i="1"/>
  <c r="N798" i="1"/>
  <c r="N799" i="1"/>
  <c r="N271" i="1"/>
  <c r="N796" i="1"/>
  <c r="N797" i="1"/>
  <c r="N270" i="1"/>
  <c r="N794" i="1"/>
  <c r="N795" i="1"/>
  <c r="N273" i="1"/>
  <c r="N792" i="1"/>
  <c r="N793" i="1"/>
  <c r="N272" i="1"/>
  <c r="N802" i="1"/>
  <c r="N803" i="1"/>
  <c r="N277" i="1"/>
  <c r="N808" i="1"/>
  <c r="N809" i="1"/>
  <c r="N278" i="1"/>
  <c r="N804" i="1"/>
  <c r="N805" i="1"/>
  <c r="N274" i="1"/>
  <c r="N806" i="1"/>
  <c r="N807" i="1"/>
  <c r="N275" i="1"/>
  <c r="N800" i="1"/>
  <c r="N801" i="1"/>
  <c r="N276" i="1"/>
  <c r="N810" i="1"/>
  <c r="N811" i="1"/>
  <c r="N279" i="1"/>
  <c r="N812" i="1"/>
  <c r="N813" i="1"/>
  <c r="N280" i="1"/>
  <c r="N814" i="1"/>
  <c r="N815" i="1"/>
  <c r="N281" i="1"/>
  <c r="N817" i="1"/>
  <c r="N818" i="1"/>
  <c r="N282" i="1"/>
  <c r="N393" i="1"/>
  <c r="N394" i="1"/>
  <c r="N469" i="1"/>
  <c r="N470" i="1"/>
  <c r="N746" i="1"/>
  <c r="N747" i="1"/>
  <c r="N788" i="1"/>
  <c r="N789" i="1"/>
  <c r="C8" i="37" l="1"/>
  <c r="E7" i="37"/>
  <c r="D581" i="1"/>
  <c r="D816" i="1"/>
  <c r="D285" i="1"/>
  <c r="D286" i="1"/>
  <c r="D22" i="1"/>
  <c r="D283" i="1"/>
  <c r="D284" i="1"/>
  <c r="D21" i="1"/>
  <c r="D289" i="1"/>
  <c r="D290" i="1"/>
  <c r="D23" i="1"/>
  <c r="D287" i="1"/>
  <c r="D288" i="1"/>
  <c r="D24" i="1"/>
  <c r="D291" i="1"/>
  <c r="D292" i="1"/>
  <c r="D25" i="1"/>
  <c r="D293" i="1"/>
  <c r="D294" i="1"/>
  <c r="D26" i="1"/>
  <c r="D295" i="1"/>
  <c r="D296" i="1"/>
  <c r="D27" i="1"/>
  <c r="D297" i="1"/>
  <c r="D298" i="1"/>
  <c r="D28" i="1"/>
  <c r="D299" i="1"/>
  <c r="D300" i="1"/>
  <c r="D29" i="1"/>
  <c r="D305" i="1"/>
  <c r="D306" i="1"/>
  <c r="D31" i="1"/>
  <c r="D303" i="1"/>
  <c r="D304" i="1"/>
  <c r="D30" i="1"/>
  <c r="D307" i="1"/>
  <c r="D308" i="1"/>
  <c r="D32" i="1"/>
  <c r="D301" i="1"/>
  <c r="D302" i="1"/>
  <c r="D33" i="1"/>
  <c r="D309" i="1"/>
  <c r="D310" i="1"/>
  <c r="D34" i="1"/>
  <c r="D313" i="1"/>
  <c r="D314" i="1"/>
  <c r="D35" i="1"/>
  <c r="D319" i="1"/>
  <c r="D320" i="1"/>
  <c r="D38" i="1"/>
  <c r="D317" i="1"/>
  <c r="D318" i="1"/>
  <c r="D37" i="1"/>
  <c r="D315" i="1"/>
  <c r="D316" i="1"/>
  <c r="D36" i="1"/>
  <c r="D311" i="1"/>
  <c r="D312" i="1"/>
  <c r="D41" i="1"/>
  <c r="D323" i="1"/>
  <c r="D324" i="1"/>
  <c r="D40" i="1"/>
  <c r="D321" i="1"/>
  <c r="D322" i="1"/>
  <c r="D39" i="1"/>
  <c r="D329" i="1"/>
  <c r="D330" i="1"/>
  <c r="D44" i="1"/>
  <c r="D327" i="1"/>
  <c r="D328" i="1"/>
  <c r="D43" i="1"/>
  <c r="D325" i="1"/>
  <c r="D326" i="1"/>
  <c r="D42" i="1"/>
  <c r="D331" i="1"/>
  <c r="D332" i="1"/>
  <c r="D45" i="1"/>
  <c r="D333" i="1"/>
  <c r="D334" i="1"/>
  <c r="D46" i="1"/>
  <c r="D335" i="1"/>
  <c r="D336" i="1"/>
  <c r="D47" i="1"/>
  <c r="D339" i="1"/>
  <c r="D340" i="1"/>
  <c r="D49" i="1"/>
  <c r="D337" i="1"/>
  <c r="D338" i="1"/>
  <c r="D48" i="1"/>
  <c r="D341" i="1"/>
  <c r="D342" i="1"/>
  <c r="D50" i="1"/>
  <c r="D343" i="1"/>
  <c r="D344" i="1"/>
  <c r="D51" i="1"/>
  <c r="D345" i="1"/>
  <c r="D346" i="1"/>
  <c r="D52" i="1"/>
  <c r="D349" i="1"/>
  <c r="D350" i="1"/>
  <c r="D54" i="1"/>
  <c r="D347" i="1"/>
  <c r="D348" i="1"/>
  <c r="D53" i="1"/>
  <c r="D351" i="1"/>
  <c r="D352" i="1"/>
  <c r="D55" i="1"/>
  <c r="D355" i="1"/>
  <c r="D356" i="1"/>
  <c r="D57" i="1"/>
  <c r="D353" i="1"/>
  <c r="D354" i="1"/>
  <c r="D56" i="1"/>
  <c r="D359" i="1"/>
  <c r="D360" i="1"/>
  <c r="D58" i="1"/>
  <c r="D357" i="1"/>
  <c r="D358" i="1"/>
  <c r="D59" i="1"/>
  <c r="D361" i="1"/>
  <c r="D362" i="1"/>
  <c r="D60" i="1"/>
  <c r="D363" i="1"/>
  <c r="D364" i="1"/>
  <c r="D61" i="1"/>
  <c r="D365" i="1"/>
  <c r="D366" i="1"/>
  <c r="D62" i="1"/>
  <c r="D367" i="1"/>
  <c r="D368" i="1"/>
  <c r="D63" i="1"/>
  <c r="D369" i="1"/>
  <c r="D370" i="1"/>
  <c r="D64" i="1"/>
  <c r="D371" i="1"/>
  <c r="D372" i="1"/>
  <c r="D65" i="1"/>
  <c r="D379" i="1"/>
  <c r="D380" i="1"/>
  <c r="D69" i="1"/>
  <c r="D377" i="1"/>
  <c r="D378" i="1"/>
  <c r="D68" i="1"/>
  <c r="D375" i="1"/>
  <c r="D376" i="1"/>
  <c r="D67" i="1"/>
  <c r="D373" i="1"/>
  <c r="D374" i="1"/>
  <c r="D66" i="1"/>
  <c r="D381" i="1"/>
  <c r="D382" i="1"/>
  <c r="D70" i="1"/>
  <c r="D387" i="1"/>
  <c r="D388" i="1"/>
  <c r="D72" i="1"/>
  <c r="D385" i="1"/>
  <c r="D386" i="1"/>
  <c r="D71" i="1"/>
  <c r="D383" i="1"/>
  <c r="D384" i="1"/>
  <c r="D73" i="1"/>
  <c r="D395" i="1"/>
  <c r="D396" i="1"/>
  <c r="D76" i="1"/>
  <c r="D391" i="1"/>
  <c r="D392" i="1"/>
  <c r="D75" i="1"/>
  <c r="D389" i="1"/>
  <c r="D390" i="1"/>
  <c r="D74" i="1"/>
  <c r="D397" i="1"/>
  <c r="D398" i="1"/>
  <c r="D77" i="1"/>
  <c r="D401" i="1"/>
  <c r="D402" i="1"/>
  <c r="D79" i="1"/>
  <c r="D399" i="1"/>
  <c r="D400" i="1"/>
  <c r="D78" i="1"/>
  <c r="D403" i="1"/>
  <c r="D404" i="1"/>
  <c r="D80" i="1"/>
  <c r="D409" i="1"/>
  <c r="D410" i="1"/>
  <c r="D82" i="1"/>
  <c r="D405" i="1"/>
  <c r="D406" i="1"/>
  <c r="D81" i="1"/>
  <c r="D407" i="1"/>
  <c r="D408" i="1"/>
  <c r="D83" i="1"/>
  <c r="D411" i="1"/>
  <c r="D412" i="1"/>
  <c r="D84" i="1"/>
  <c r="D415" i="1"/>
  <c r="D416" i="1"/>
  <c r="D86" i="1"/>
  <c r="D413" i="1"/>
  <c r="D414" i="1"/>
  <c r="D85" i="1"/>
  <c r="D417" i="1"/>
  <c r="D418" i="1"/>
  <c r="D87" i="1"/>
  <c r="D421" i="1"/>
  <c r="D422" i="1"/>
  <c r="D88" i="1"/>
  <c r="D425" i="1"/>
  <c r="D426" i="1"/>
  <c r="D90" i="1"/>
  <c r="D419" i="1"/>
  <c r="D420" i="1"/>
  <c r="D91" i="1"/>
  <c r="D423" i="1"/>
  <c r="D424" i="1"/>
  <c r="D89" i="1"/>
  <c r="D435" i="1"/>
  <c r="D436" i="1"/>
  <c r="D95" i="1"/>
  <c r="D433" i="1"/>
  <c r="D434" i="1"/>
  <c r="D94" i="1"/>
  <c r="D431" i="1"/>
  <c r="D432" i="1"/>
  <c r="D93" i="1"/>
  <c r="D429" i="1"/>
  <c r="D430" i="1"/>
  <c r="D92" i="1"/>
  <c r="D427" i="1"/>
  <c r="D428" i="1"/>
  <c r="D96" i="1"/>
  <c r="D437" i="1"/>
  <c r="D438" i="1"/>
  <c r="D97" i="1"/>
  <c r="D442" i="1"/>
  <c r="D443" i="1"/>
  <c r="D98" i="1"/>
  <c r="D440" i="1"/>
  <c r="D441" i="1"/>
  <c r="D99" i="1"/>
  <c r="D444" i="1"/>
  <c r="D445" i="1"/>
  <c r="D100" i="1"/>
  <c r="D446" i="1"/>
  <c r="D447" i="1"/>
  <c r="D101" i="1"/>
  <c r="D448" i="1"/>
  <c r="D449" i="1"/>
  <c r="D102" i="1"/>
  <c r="D450" i="1"/>
  <c r="D451" i="1"/>
  <c r="D106" i="1"/>
  <c r="D456" i="1"/>
  <c r="D457" i="1"/>
  <c r="D105" i="1"/>
  <c r="D452" i="1"/>
  <c r="D453" i="1"/>
  <c r="D103" i="1"/>
  <c r="D454" i="1"/>
  <c r="D455" i="1"/>
  <c r="D104" i="1"/>
  <c r="D458" i="1"/>
  <c r="D459" i="1"/>
  <c r="D107" i="1"/>
  <c r="D462" i="1"/>
  <c r="D463" i="1"/>
  <c r="D108" i="1"/>
  <c r="D460" i="1"/>
  <c r="D461" i="1"/>
  <c r="D109" i="1"/>
  <c r="D467" i="1"/>
  <c r="D468" i="1"/>
  <c r="D111" i="1"/>
  <c r="D465" i="1"/>
  <c r="D466" i="1"/>
  <c r="D110" i="1"/>
  <c r="D471" i="1"/>
  <c r="D472" i="1"/>
  <c r="D112" i="1"/>
  <c r="D477" i="1"/>
  <c r="D478" i="1"/>
  <c r="D114" i="1"/>
  <c r="D481" i="1"/>
  <c r="D482" i="1"/>
  <c r="D116" i="1"/>
  <c r="D479" i="1"/>
  <c r="D480" i="1"/>
  <c r="D115" i="1"/>
  <c r="D475" i="1"/>
  <c r="D476" i="1"/>
  <c r="D113" i="1"/>
  <c r="D485" i="1"/>
  <c r="D486" i="1"/>
  <c r="D119" i="1"/>
  <c r="D483" i="1"/>
  <c r="D484" i="1"/>
  <c r="D117" i="1"/>
  <c r="D473" i="1"/>
  <c r="D474" i="1"/>
  <c r="D118" i="1"/>
  <c r="D491" i="1"/>
  <c r="D492" i="1"/>
  <c r="D120" i="1"/>
  <c r="D489" i="1"/>
  <c r="D490" i="1"/>
  <c r="D122" i="1"/>
  <c r="D487" i="1"/>
  <c r="D488" i="1"/>
  <c r="D121" i="1"/>
  <c r="D497" i="1"/>
  <c r="D498" i="1"/>
  <c r="D125" i="1"/>
  <c r="D495" i="1"/>
  <c r="D496" i="1"/>
  <c r="D124" i="1"/>
  <c r="D493" i="1"/>
  <c r="D494" i="1"/>
  <c r="D123" i="1"/>
  <c r="D499" i="1"/>
  <c r="D500" i="1"/>
  <c r="D126" i="1"/>
  <c r="D507" i="1"/>
  <c r="D508" i="1"/>
  <c r="D130" i="1"/>
  <c r="D509" i="1"/>
  <c r="D510" i="1"/>
  <c r="D131" i="1"/>
  <c r="D511" i="1"/>
  <c r="D512" i="1"/>
  <c r="D132" i="1"/>
  <c r="D505" i="1"/>
  <c r="D506" i="1"/>
  <c r="D129" i="1"/>
  <c r="D503" i="1"/>
  <c r="D504" i="1"/>
  <c r="D128" i="1"/>
  <c r="D501" i="1"/>
  <c r="D502" i="1"/>
  <c r="D127" i="1"/>
  <c r="D515" i="1"/>
  <c r="D516" i="1"/>
  <c r="D134" i="1"/>
  <c r="D513" i="1"/>
  <c r="D514" i="1"/>
  <c r="D133" i="1"/>
  <c r="D517" i="1"/>
  <c r="D518" i="1"/>
  <c r="D135" i="1"/>
  <c r="D521" i="1"/>
  <c r="D522" i="1"/>
  <c r="D137" i="1"/>
  <c r="D519" i="1"/>
  <c r="D520" i="1"/>
  <c r="D136" i="1"/>
  <c r="D523" i="1"/>
  <c r="D524" i="1"/>
  <c r="D138" i="1"/>
  <c r="D525" i="1"/>
  <c r="D526" i="1"/>
  <c r="D139" i="1"/>
  <c r="D529" i="1"/>
  <c r="D530" i="1"/>
  <c r="D141" i="1"/>
  <c r="D527" i="1"/>
  <c r="D528" i="1"/>
  <c r="D140" i="1"/>
  <c r="D531" i="1"/>
  <c r="D532" i="1"/>
  <c r="D142" i="1"/>
  <c r="D533" i="1"/>
  <c r="D534" i="1"/>
  <c r="D143" i="1"/>
  <c r="D535" i="1"/>
  <c r="D536" i="1"/>
  <c r="D144" i="1"/>
  <c r="D537" i="1"/>
  <c r="D538" i="1"/>
  <c r="D145" i="1"/>
  <c r="D539" i="1"/>
  <c r="D540" i="1"/>
  <c r="D146" i="1"/>
  <c r="D553" i="1"/>
  <c r="D554" i="1"/>
  <c r="D151" i="1"/>
  <c r="D551" i="1"/>
  <c r="D552" i="1"/>
  <c r="D150" i="1"/>
  <c r="D549" i="1"/>
  <c r="D550" i="1"/>
  <c r="D149" i="1"/>
  <c r="D547" i="1"/>
  <c r="D548" i="1"/>
  <c r="D148" i="1"/>
  <c r="D545" i="1"/>
  <c r="D546" i="1"/>
  <c r="D147" i="1"/>
  <c r="D541" i="1"/>
  <c r="D542" i="1"/>
  <c r="D152" i="1"/>
  <c r="D543" i="1"/>
  <c r="D544" i="1"/>
  <c r="D153" i="1"/>
  <c r="D557" i="1"/>
  <c r="D558" i="1"/>
  <c r="D154" i="1"/>
  <c r="D555" i="1"/>
  <c r="D556" i="1"/>
  <c r="D155" i="1"/>
  <c r="D559" i="1"/>
  <c r="D560" i="1"/>
  <c r="D156" i="1"/>
  <c r="D563" i="1"/>
  <c r="D564" i="1"/>
  <c r="D158" i="1"/>
  <c r="D565" i="1"/>
  <c r="D566" i="1"/>
  <c r="D159" i="1"/>
  <c r="D561" i="1"/>
  <c r="D562" i="1"/>
  <c r="D157" i="1"/>
  <c r="D573" i="1"/>
  <c r="D574" i="1"/>
  <c r="D160" i="1"/>
  <c r="D575" i="1"/>
  <c r="D576" i="1"/>
  <c r="D161" i="1"/>
  <c r="D567" i="1"/>
  <c r="D568" i="1"/>
  <c r="D162" i="1"/>
  <c r="D571" i="1"/>
  <c r="D572" i="1"/>
  <c r="D164" i="1"/>
  <c r="D569" i="1"/>
  <c r="D570" i="1"/>
  <c r="D163" i="1"/>
  <c r="D579" i="1"/>
  <c r="D580" i="1"/>
  <c r="D166" i="1"/>
  <c r="D577" i="1"/>
  <c r="D578" i="1"/>
  <c r="D165" i="1"/>
  <c r="D586" i="1"/>
  <c r="D587" i="1"/>
  <c r="D168" i="1"/>
  <c r="D584" i="1"/>
  <c r="D585" i="1"/>
  <c r="D167" i="1"/>
  <c r="D588" i="1"/>
  <c r="D589" i="1"/>
  <c r="D169" i="1"/>
  <c r="D582" i="1"/>
  <c r="D583" i="1"/>
  <c r="D170" i="1"/>
  <c r="D594" i="1"/>
  <c r="D595" i="1"/>
  <c r="D173" i="1"/>
  <c r="D592" i="1"/>
  <c r="D593" i="1"/>
  <c r="D172" i="1"/>
  <c r="D590" i="1"/>
  <c r="D591" i="1"/>
  <c r="D171" i="1"/>
  <c r="D602" i="1"/>
  <c r="D603" i="1"/>
  <c r="D177" i="1"/>
  <c r="D604" i="1"/>
  <c r="D605" i="1"/>
  <c r="D178" i="1"/>
  <c r="D596" i="1"/>
  <c r="D597" i="1"/>
  <c r="D174" i="1"/>
  <c r="D598" i="1"/>
  <c r="D599" i="1"/>
  <c r="D175" i="1"/>
  <c r="D606" i="1"/>
  <c r="D607" i="1"/>
  <c r="D179" i="1"/>
  <c r="D600" i="1"/>
  <c r="D601" i="1"/>
  <c r="D176" i="1"/>
  <c r="D608" i="1"/>
  <c r="D609" i="1"/>
  <c r="D180" i="1"/>
  <c r="D610" i="1"/>
  <c r="D611" i="1"/>
  <c r="D181" i="1"/>
  <c r="D614" i="1"/>
  <c r="D615" i="1"/>
  <c r="D183" i="1"/>
  <c r="D612" i="1"/>
  <c r="D613" i="1"/>
  <c r="D182" i="1"/>
  <c r="D616" i="1"/>
  <c r="D617" i="1"/>
  <c r="D184" i="1"/>
  <c r="D618" i="1"/>
  <c r="D619" i="1"/>
  <c r="D185" i="1"/>
  <c r="D620" i="1"/>
  <c r="D621" i="1"/>
  <c r="D186" i="1"/>
  <c r="D624" i="1"/>
  <c r="D625" i="1"/>
  <c r="D187" i="1"/>
  <c r="D628" i="1"/>
  <c r="D629" i="1"/>
  <c r="D189" i="1"/>
  <c r="D626" i="1"/>
  <c r="D627" i="1"/>
  <c r="D188" i="1"/>
  <c r="D622" i="1"/>
  <c r="D623" i="1"/>
  <c r="D190" i="1"/>
  <c r="D640" i="1"/>
  <c r="D641" i="1"/>
  <c r="D196" i="1"/>
  <c r="D630" i="1"/>
  <c r="D631" i="1"/>
  <c r="D191" i="1"/>
  <c r="D634" i="1"/>
  <c r="D635" i="1"/>
  <c r="D193" i="1"/>
  <c r="D632" i="1"/>
  <c r="D633" i="1"/>
  <c r="D192" i="1"/>
  <c r="D636" i="1"/>
  <c r="D637" i="1"/>
  <c r="D194" i="1"/>
  <c r="D638" i="1"/>
  <c r="D639" i="1"/>
  <c r="D195" i="1"/>
  <c r="D642" i="1"/>
  <c r="D643" i="1"/>
  <c r="D197" i="1"/>
  <c r="D644" i="1"/>
  <c r="D645" i="1"/>
  <c r="D198" i="1"/>
  <c r="D646" i="1"/>
  <c r="D647" i="1"/>
  <c r="D199" i="1"/>
  <c r="D660" i="1"/>
  <c r="D661" i="1"/>
  <c r="D204" i="1"/>
  <c r="D658" i="1"/>
  <c r="D659" i="1"/>
  <c r="D203" i="1"/>
  <c r="D656" i="1"/>
  <c r="D657" i="1"/>
  <c r="D202" i="1"/>
  <c r="D654" i="1"/>
  <c r="D655" i="1"/>
  <c r="D201" i="1"/>
  <c r="D652" i="1"/>
  <c r="D653" i="1"/>
  <c r="D200" i="1"/>
  <c r="D650" i="1"/>
  <c r="D651" i="1"/>
  <c r="D208" i="1"/>
  <c r="D662" i="1"/>
  <c r="D663" i="1"/>
  <c r="D205" i="1"/>
  <c r="D664" i="1"/>
  <c r="D665" i="1"/>
  <c r="D206" i="1"/>
  <c r="D648" i="1"/>
  <c r="D649" i="1"/>
  <c r="D207" i="1"/>
  <c r="D672" i="1"/>
  <c r="D673" i="1"/>
  <c r="D210" i="1"/>
  <c r="D670" i="1"/>
  <c r="D671" i="1"/>
  <c r="D209" i="1"/>
  <c r="D668" i="1"/>
  <c r="D669" i="1"/>
  <c r="D212" i="1"/>
  <c r="D666" i="1"/>
  <c r="D667" i="1"/>
  <c r="D211" i="1"/>
  <c r="D678" i="1"/>
  <c r="D679" i="1"/>
  <c r="D215" i="1"/>
  <c r="D674" i="1"/>
  <c r="D675" i="1"/>
  <c r="D213" i="1"/>
  <c r="D676" i="1"/>
  <c r="D677" i="1"/>
  <c r="D214" i="1"/>
  <c r="D688" i="1"/>
  <c r="D689" i="1"/>
  <c r="D220" i="1"/>
  <c r="D692" i="1"/>
  <c r="D693" i="1"/>
  <c r="D222" i="1"/>
  <c r="D682" i="1"/>
  <c r="D683" i="1"/>
  <c r="D217" i="1"/>
  <c r="D686" i="1"/>
  <c r="D687" i="1"/>
  <c r="D219" i="1"/>
  <c r="D684" i="1"/>
  <c r="D685" i="1"/>
  <c r="D218" i="1"/>
  <c r="D690" i="1"/>
  <c r="D691" i="1"/>
  <c r="D221" i="1"/>
  <c r="D680" i="1"/>
  <c r="D681" i="1"/>
  <c r="D216" i="1"/>
  <c r="D706" i="1"/>
  <c r="D707" i="1"/>
  <c r="D228" i="1"/>
  <c r="D704" i="1"/>
  <c r="D705" i="1"/>
  <c r="D227" i="1"/>
  <c r="D702" i="1"/>
  <c r="D703" i="1"/>
  <c r="D226" i="1"/>
  <c r="D700" i="1"/>
  <c r="D701" i="1"/>
  <c r="D225" i="1"/>
  <c r="D698" i="1"/>
  <c r="D699" i="1"/>
  <c r="D224" i="1"/>
  <c r="D696" i="1"/>
  <c r="D697" i="1"/>
  <c r="D223" i="1"/>
  <c r="D708" i="1"/>
  <c r="D709" i="1"/>
  <c r="D229" i="1"/>
  <c r="D694" i="1"/>
  <c r="D695" i="1"/>
  <c r="D230" i="1"/>
  <c r="D716" i="1"/>
  <c r="D717" i="1"/>
  <c r="D234" i="1"/>
  <c r="D714" i="1"/>
  <c r="D715" i="1"/>
  <c r="D233" i="1"/>
  <c r="D712" i="1"/>
  <c r="D713" i="1"/>
  <c r="D232" i="1"/>
  <c r="D710" i="1"/>
  <c r="D711" i="1"/>
  <c r="D231" i="1"/>
  <c r="D720" i="1"/>
  <c r="D721" i="1"/>
  <c r="D236" i="1"/>
  <c r="D718" i="1"/>
  <c r="D719" i="1"/>
  <c r="D235" i="1"/>
  <c r="D722" i="1"/>
  <c r="D723" i="1"/>
  <c r="D237" i="1"/>
  <c r="D726" i="1"/>
  <c r="D727" i="1"/>
  <c r="D239" i="1"/>
  <c r="D734" i="1"/>
  <c r="D735" i="1"/>
  <c r="D439" i="1"/>
  <c r="C9" i="37" l="1"/>
  <c r="E8" i="37"/>
  <c r="D94" i="10"/>
  <c r="D78" i="10"/>
  <c r="D91" i="10"/>
  <c r="D92" i="10"/>
  <c r="D77" i="10"/>
  <c r="D101" i="10"/>
  <c r="D102" i="10"/>
  <c r="D79" i="10"/>
  <c r="D105" i="10"/>
  <c r="D106" i="10"/>
  <c r="D80" i="10"/>
  <c r="D107" i="10"/>
  <c r="D108" i="10"/>
  <c r="D81" i="10"/>
  <c r="D113" i="10"/>
  <c r="D114" i="10"/>
  <c r="D83" i="10"/>
  <c r="D111" i="10"/>
  <c r="D112" i="10"/>
  <c r="D82" i="10"/>
  <c r="D119" i="10"/>
  <c r="D120" i="10"/>
  <c r="D84" i="10"/>
  <c r="D123" i="10"/>
  <c r="D124" i="10"/>
  <c r="D85" i="10"/>
  <c r="D128" i="10"/>
  <c r="D129" i="10"/>
  <c r="D86" i="10"/>
  <c r="D131" i="10"/>
  <c r="D132" i="10"/>
  <c r="D87" i="10"/>
  <c r="D135" i="10"/>
  <c r="D136" i="10"/>
  <c r="D88" i="10"/>
  <c r="D137" i="10"/>
  <c r="D138" i="10"/>
  <c r="D89" i="10"/>
  <c r="D145" i="10"/>
  <c r="D146" i="10"/>
  <c r="D90" i="10"/>
  <c r="D95" i="10"/>
  <c r="D98" i="10"/>
  <c r="D97" i="10"/>
  <c r="D100" i="10"/>
  <c r="D96" i="10"/>
  <c r="D99" i="10"/>
  <c r="D104" i="10"/>
  <c r="D103" i="10"/>
  <c r="D109" i="10"/>
  <c r="D110" i="10"/>
  <c r="D116" i="10"/>
  <c r="D118" i="10"/>
  <c r="D115" i="10"/>
  <c r="D117" i="10"/>
  <c r="D121" i="10"/>
  <c r="D122" i="10"/>
  <c r="D126" i="10"/>
  <c r="D127" i="10"/>
  <c r="D133" i="10"/>
  <c r="D134" i="10"/>
  <c r="D140" i="10"/>
  <c r="D143" i="10"/>
  <c r="D139" i="10"/>
  <c r="D142" i="10"/>
  <c r="D141" i="10"/>
  <c r="D144" i="10"/>
  <c r="D147" i="10"/>
  <c r="D148" i="10"/>
  <c r="D149" i="10"/>
  <c r="D150" i="10"/>
  <c r="D151" i="10"/>
  <c r="D152" i="10"/>
  <c r="D125" i="10"/>
  <c r="D130" i="10"/>
  <c r="D153" i="10"/>
  <c r="D47" i="10"/>
  <c r="D4" i="10"/>
  <c r="D5" i="10"/>
  <c r="D48" i="10"/>
  <c r="D6" i="10"/>
  <c r="D49" i="10"/>
  <c r="D7" i="10"/>
  <c r="D50" i="10"/>
  <c r="D8" i="10"/>
  <c r="D9" i="10"/>
  <c r="D51" i="10"/>
  <c r="D52" i="10"/>
  <c r="D10" i="10"/>
  <c r="D11" i="10"/>
  <c r="D53" i="10"/>
  <c r="D12" i="10"/>
  <c r="D13" i="10"/>
  <c r="D54" i="10"/>
  <c r="D55" i="10"/>
  <c r="D14" i="10"/>
  <c r="D15" i="10"/>
  <c r="D56" i="10"/>
  <c r="D16" i="10"/>
  <c r="D57" i="10"/>
  <c r="D17" i="10"/>
  <c r="D18" i="10"/>
  <c r="D58" i="10"/>
  <c r="D19" i="10"/>
  <c r="D20" i="10"/>
  <c r="D59" i="10"/>
  <c r="D21" i="10"/>
  <c r="D60" i="10"/>
  <c r="D61" i="10"/>
  <c r="D62" i="10"/>
  <c r="D22" i="10"/>
  <c r="D23" i="10"/>
  <c r="D24" i="10"/>
  <c r="D63" i="10"/>
  <c r="D64" i="10"/>
  <c r="D65" i="10"/>
  <c r="D66" i="10"/>
  <c r="D67" i="10"/>
  <c r="D25" i="10"/>
  <c r="D26" i="10"/>
  <c r="D68" i="10"/>
  <c r="D27" i="10"/>
  <c r="D28" i="10"/>
  <c r="D29" i="10"/>
  <c r="D69" i="10"/>
  <c r="D30" i="10"/>
  <c r="D31" i="10"/>
  <c r="D70" i="10"/>
  <c r="D32" i="10"/>
  <c r="D71" i="10"/>
  <c r="D72" i="10"/>
  <c r="D33" i="10"/>
  <c r="D35" i="10"/>
  <c r="D36" i="10"/>
  <c r="D34" i="10"/>
  <c r="D37" i="10"/>
  <c r="D38" i="10"/>
  <c r="D73" i="10"/>
  <c r="D39" i="10"/>
  <c r="D40" i="10"/>
  <c r="D41" i="10"/>
  <c r="D42" i="10"/>
  <c r="D74" i="10"/>
  <c r="D75" i="10"/>
  <c r="D43" i="10"/>
  <c r="D44" i="10"/>
  <c r="D76" i="10"/>
  <c r="D45" i="10"/>
  <c r="D46" i="10"/>
  <c r="D154" i="10"/>
  <c r="D93" i="10"/>
  <c r="C10" i="37" l="1"/>
  <c r="E9" i="37"/>
  <c r="D78" i="3"/>
  <c r="D97" i="3"/>
  <c r="D47" i="3"/>
  <c r="D53" i="3"/>
  <c r="D54" i="3"/>
  <c r="D62" i="3"/>
  <c r="D61" i="3"/>
  <c r="D64" i="3"/>
  <c r="D68" i="3"/>
  <c r="D73" i="3"/>
  <c r="D72" i="3"/>
  <c r="D76" i="3"/>
  <c r="D80" i="3"/>
  <c r="D87" i="3"/>
  <c r="D89" i="3"/>
  <c r="D90" i="3"/>
  <c r="D95" i="3"/>
  <c r="D96" i="3"/>
  <c r="D48" i="3"/>
  <c r="D51" i="3"/>
  <c r="D52" i="3"/>
  <c r="D60" i="3"/>
  <c r="D59" i="3"/>
  <c r="D63" i="3"/>
  <c r="D67" i="3"/>
  <c r="D75" i="3"/>
  <c r="D74" i="3"/>
  <c r="D77" i="3"/>
  <c r="D79" i="3"/>
  <c r="D88" i="3"/>
  <c r="D91" i="3"/>
  <c r="D92" i="3"/>
  <c r="D93" i="3"/>
  <c r="D94" i="3"/>
  <c r="D41" i="3"/>
  <c r="D43" i="3"/>
  <c r="D45" i="3"/>
  <c r="D49" i="3"/>
  <c r="D55" i="3"/>
  <c r="D57" i="3"/>
  <c r="D65" i="3"/>
  <c r="D69" i="3"/>
  <c r="D81" i="3"/>
  <c r="D83" i="3"/>
  <c r="D85" i="3"/>
  <c r="D42" i="3"/>
  <c r="D44" i="3"/>
  <c r="D46" i="3"/>
  <c r="D50" i="3"/>
  <c r="D56" i="3"/>
  <c r="D58" i="3"/>
  <c r="D66" i="3"/>
  <c r="D70" i="3"/>
  <c r="D82" i="3"/>
  <c r="D84" i="3"/>
  <c r="D86" i="3"/>
  <c r="D22" i="3"/>
  <c r="D23" i="3"/>
  <c r="D5" i="3"/>
  <c r="D4" i="3"/>
  <c r="D6" i="3"/>
  <c r="D7" i="3"/>
  <c r="D8" i="3"/>
  <c r="D9" i="3"/>
  <c r="D10" i="3"/>
  <c r="D24" i="3"/>
  <c r="D11" i="3"/>
  <c r="D25" i="3"/>
  <c r="D12" i="3"/>
  <c r="D14" i="3"/>
  <c r="D13" i="3"/>
  <c r="D26" i="3"/>
  <c r="D15" i="3"/>
  <c r="D16" i="3"/>
  <c r="D27" i="3"/>
  <c r="D28" i="3"/>
  <c r="D17" i="3"/>
  <c r="D29" i="3"/>
  <c r="D18" i="3"/>
  <c r="D19" i="3"/>
  <c r="D20" i="3"/>
  <c r="D21" i="3"/>
  <c r="D30" i="3"/>
  <c r="D31" i="3"/>
  <c r="D32" i="3"/>
  <c r="D33" i="3"/>
  <c r="D34" i="3"/>
  <c r="D35" i="3"/>
  <c r="D36" i="3"/>
  <c r="D37" i="3"/>
  <c r="D38" i="3"/>
  <c r="D39" i="3"/>
  <c r="D40" i="3"/>
  <c r="D71" i="3"/>
  <c r="D55" i="21"/>
  <c r="D49" i="21"/>
  <c r="D38" i="21"/>
  <c r="D36" i="21"/>
  <c r="D34" i="21"/>
  <c r="D32" i="21"/>
  <c r="D30" i="21"/>
  <c r="D24" i="21"/>
  <c r="D19" i="21"/>
  <c r="D15" i="21"/>
  <c r="D39" i="21"/>
  <c r="D56" i="21"/>
  <c r="D14" i="21"/>
  <c r="D18" i="21"/>
  <c r="D23" i="21"/>
  <c r="D29" i="21"/>
  <c r="D31" i="21"/>
  <c r="D33" i="21"/>
  <c r="D35" i="21"/>
  <c r="D37" i="21"/>
  <c r="D48" i="21"/>
  <c r="D54" i="21"/>
  <c r="D4" i="21"/>
  <c r="D5" i="21"/>
  <c r="D6" i="21"/>
  <c r="D7" i="21"/>
  <c r="D8" i="21"/>
  <c r="D9" i="21"/>
  <c r="D10" i="21"/>
  <c r="D11" i="21"/>
  <c r="D12" i="21"/>
  <c r="D13" i="21"/>
  <c r="D16" i="21"/>
  <c r="D21" i="21"/>
  <c r="D25" i="21"/>
  <c r="D27" i="21"/>
  <c r="D42" i="21"/>
  <c r="D40" i="21"/>
  <c r="D44" i="21"/>
  <c r="D46" i="21"/>
  <c r="D50" i="21"/>
  <c r="D52" i="21"/>
  <c r="D17" i="21"/>
  <c r="D22" i="21"/>
  <c r="D26" i="21"/>
  <c r="D28" i="21"/>
  <c r="D43" i="21"/>
  <c r="D41" i="21"/>
  <c r="D45" i="21"/>
  <c r="D47" i="21"/>
  <c r="D51" i="21"/>
  <c r="D53" i="21"/>
  <c r="D57" i="21"/>
  <c r="D58" i="21"/>
  <c r="D59" i="21"/>
  <c r="D60" i="21"/>
  <c r="D61" i="21"/>
  <c r="D62" i="21"/>
  <c r="D63" i="21"/>
  <c r="D64" i="21"/>
  <c r="D65" i="21"/>
  <c r="D66" i="21"/>
  <c r="D67" i="21"/>
  <c r="D68" i="21"/>
  <c r="D69" i="21"/>
  <c r="D70" i="21"/>
  <c r="D71" i="21"/>
  <c r="D72" i="21"/>
  <c r="D73" i="21"/>
  <c r="D74" i="21"/>
  <c r="D75" i="21"/>
  <c r="D76" i="21"/>
  <c r="D77" i="21"/>
  <c r="D78" i="21"/>
  <c r="D79" i="21"/>
  <c r="D80" i="21"/>
  <c r="D20" i="21"/>
  <c r="D75" i="7"/>
  <c r="D73" i="7"/>
  <c r="D66" i="7"/>
  <c r="D64" i="7"/>
  <c r="D47" i="7"/>
  <c r="D32" i="7"/>
  <c r="D28" i="7"/>
  <c r="D24" i="7"/>
  <c r="D26" i="7"/>
  <c r="D70" i="7"/>
  <c r="D68" i="7"/>
  <c r="D62" i="7"/>
  <c r="D60" i="7"/>
  <c r="D57" i="7"/>
  <c r="D55" i="7"/>
  <c r="D51" i="7"/>
  <c r="D53" i="7"/>
  <c r="D49" i="7"/>
  <c r="D45" i="7"/>
  <c r="D42" i="7"/>
  <c r="D40" i="7"/>
  <c r="D36" i="7"/>
  <c r="D34" i="7"/>
  <c r="D38" i="7"/>
  <c r="D30" i="7"/>
  <c r="D22" i="7"/>
  <c r="D58" i="7"/>
  <c r="D71" i="7"/>
  <c r="D21" i="7"/>
  <c r="D29" i="7"/>
  <c r="D37" i="7"/>
  <c r="D33" i="7"/>
  <c r="D35" i="7"/>
  <c r="D39" i="7"/>
  <c r="D41" i="7"/>
  <c r="D44" i="7"/>
  <c r="D48" i="7"/>
  <c r="D52" i="7"/>
  <c r="D50" i="7"/>
  <c r="D54" i="7"/>
  <c r="D56" i="7"/>
  <c r="D59" i="7"/>
  <c r="D61" i="7"/>
  <c r="D67" i="7"/>
  <c r="D69" i="7"/>
  <c r="D4" i="7"/>
  <c r="D5" i="7"/>
  <c r="D8" i="7"/>
  <c r="D6" i="7"/>
  <c r="D7" i="7"/>
  <c r="D9" i="7"/>
  <c r="D10" i="7"/>
  <c r="D11" i="7"/>
  <c r="D12" i="7"/>
  <c r="D14" i="7"/>
  <c r="D13" i="7"/>
  <c r="D15" i="7"/>
  <c r="D16" i="7"/>
  <c r="D17" i="7"/>
  <c r="D18" i="7"/>
  <c r="D19" i="7"/>
  <c r="D20" i="7"/>
  <c r="D25" i="7"/>
  <c r="D23" i="7"/>
  <c r="D27" i="7"/>
  <c r="D31" i="7"/>
  <c r="D46" i="7"/>
  <c r="D63" i="7"/>
  <c r="D65" i="7"/>
  <c r="D72" i="7"/>
  <c r="D74" i="7"/>
  <c r="D43" i="7"/>
  <c r="D58" i="20"/>
  <c r="D57" i="20"/>
  <c r="D55" i="20"/>
  <c r="D56" i="20"/>
  <c r="D54" i="20"/>
  <c r="D53" i="20"/>
  <c r="D52" i="20"/>
  <c r="D50" i="20"/>
  <c r="D51" i="20"/>
  <c r="D49" i="20"/>
  <c r="D48" i="20"/>
  <c r="D47" i="20"/>
  <c r="D46" i="20"/>
  <c r="D44" i="20"/>
  <c r="D45" i="20"/>
  <c r="D42" i="20"/>
  <c r="D43" i="20"/>
  <c r="D116" i="20"/>
  <c r="D112" i="20"/>
  <c r="D108" i="20"/>
  <c r="D110" i="20"/>
  <c r="D106" i="20"/>
  <c r="D104" i="20"/>
  <c r="D98" i="20"/>
  <c r="D91" i="20"/>
  <c r="D93" i="20"/>
  <c r="D85" i="20"/>
  <c r="D82" i="20"/>
  <c r="D80" i="20"/>
  <c r="D78" i="20"/>
  <c r="D66" i="20"/>
  <c r="D68" i="20"/>
  <c r="D60" i="20"/>
  <c r="D62" i="20"/>
  <c r="D96" i="20"/>
  <c r="D129" i="20"/>
  <c r="D61" i="20"/>
  <c r="D59" i="20"/>
  <c r="D67" i="20"/>
  <c r="D65" i="20"/>
  <c r="D77" i="20"/>
  <c r="D79" i="20"/>
  <c r="D81" i="20"/>
  <c r="D84" i="20"/>
  <c r="D92" i="20"/>
  <c r="D90" i="20"/>
  <c r="D97" i="20"/>
  <c r="D103" i="20"/>
  <c r="D105" i="20"/>
  <c r="D109" i="20"/>
  <c r="D107" i="20"/>
  <c r="D111" i="20"/>
  <c r="D115" i="20"/>
  <c r="D63" i="20"/>
  <c r="D69" i="20"/>
  <c r="D71" i="20"/>
  <c r="D73" i="20"/>
  <c r="D75" i="20"/>
  <c r="D86" i="20"/>
  <c r="D88" i="20"/>
  <c r="D94" i="20"/>
  <c r="D99" i="20"/>
  <c r="D101" i="20"/>
  <c r="D113" i="20"/>
  <c r="D117" i="20"/>
  <c r="D119" i="20"/>
  <c r="D121" i="20"/>
  <c r="D123" i="20"/>
  <c r="D125" i="20"/>
  <c r="D127" i="20"/>
  <c r="D64" i="20"/>
  <c r="D70" i="20"/>
  <c r="D72" i="20"/>
  <c r="D74" i="20"/>
  <c r="D76" i="20"/>
  <c r="D87" i="20"/>
  <c r="D89" i="20"/>
  <c r="D95" i="20"/>
  <c r="D100" i="20"/>
  <c r="D102" i="20"/>
  <c r="D114" i="20"/>
  <c r="D118" i="20"/>
  <c r="D120" i="20"/>
  <c r="D122" i="20"/>
  <c r="D124" i="20"/>
  <c r="D126" i="20"/>
  <c r="D128" i="20"/>
  <c r="D4" i="20"/>
  <c r="D24" i="20"/>
  <c r="D25" i="20"/>
  <c r="D5" i="20"/>
  <c r="D6" i="20"/>
  <c r="D26" i="20"/>
  <c r="D8" i="20"/>
  <c r="D7" i="20"/>
  <c r="D27" i="20"/>
  <c r="D28" i="20"/>
  <c r="D9" i="20"/>
  <c r="D29" i="20"/>
  <c r="D30" i="20"/>
  <c r="D31" i="20"/>
  <c r="D11" i="20"/>
  <c r="D32" i="20"/>
  <c r="D33" i="20"/>
  <c r="D12" i="20"/>
  <c r="D13" i="20"/>
  <c r="D34" i="20"/>
  <c r="D14" i="20"/>
  <c r="D35" i="20"/>
  <c r="D36" i="20"/>
  <c r="D37" i="20"/>
  <c r="D15" i="20"/>
  <c r="D16" i="20"/>
  <c r="D83" i="20"/>
  <c r="D183" i="19"/>
  <c r="D182" i="19"/>
  <c r="D181" i="19"/>
  <c r="D180" i="19"/>
  <c r="D179" i="19"/>
  <c r="D178" i="19"/>
  <c r="D177" i="19"/>
  <c r="D176" i="19"/>
  <c r="D175" i="19"/>
  <c r="D174" i="19"/>
  <c r="D173" i="19"/>
  <c r="D172" i="19"/>
  <c r="D171" i="19"/>
  <c r="D250" i="19"/>
  <c r="D245" i="19"/>
  <c r="D241" i="19"/>
  <c r="D236" i="19"/>
  <c r="D235" i="19"/>
  <c r="D231" i="19"/>
  <c r="D229" i="19"/>
  <c r="D220" i="19"/>
  <c r="D221" i="19"/>
  <c r="D215" i="19"/>
  <c r="D213" i="19"/>
  <c r="D209" i="19"/>
  <c r="D210" i="19"/>
  <c r="D207" i="19"/>
  <c r="D205" i="19"/>
  <c r="D201" i="19"/>
  <c r="D197" i="19"/>
  <c r="D194" i="19"/>
  <c r="D195" i="19"/>
  <c r="D191" i="19"/>
  <c r="D253" i="19"/>
  <c r="D249" i="19"/>
  <c r="D247" i="19"/>
  <c r="D243" i="19"/>
  <c r="D239" i="19"/>
  <c r="D233" i="19"/>
  <c r="D227" i="19"/>
  <c r="D225" i="19"/>
  <c r="D217" i="19"/>
  <c r="D203" i="19"/>
  <c r="D189" i="19"/>
  <c r="D187" i="19"/>
  <c r="D185" i="19"/>
  <c r="D199" i="19"/>
  <c r="D222" i="19"/>
  <c r="D223" i="19"/>
  <c r="D254" i="19"/>
  <c r="D255" i="19"/>
  <c r="D184" i="19"/>
  <c r="D186" i="19"/>
  <c r="D188" i="19"/>
  <c r="D202" i="19"/>
  <c r="D216" i="19"/>
  <c r="D224" i="19"/>
  <c r="D226" i="19"/>
  <c r="D232" i="19"/>
  <c r="D238" i="19"/>
  <c r="D242" i="19"/>
  <c r="D246" i="19"/>
  <c r="D248" i="19"/>
  <c r="D252" i="19"/>
  <c r="D190" i="19"/>
  <c r="D193" i="19"/>
  <c r="D192" i="19"/>
  <c r="D196" i="19"/>
  <c r="D200" i="19"/>
  <c r="D204" i="19"/>
  <c r="D206" i="19"/>
  <c r="D211" i="19"/>
  <c r="D208" i="19"/>
  <c r="D212" i="19"/>
  <c r="D214" i="19"/>
  <c r="D219" i="19"/>
  <c r="D218" i="19"/>
  <c r="D228" i="19"/>
  <c r="D230" i="19"/>
  <c r="D234" i="19"/>
  <c r="D237" i="19"/>
  <c r="D240" i="19"/>
  <c r="D244" i="19"/>
  <c r="D251" i="19"/>
  <c r="D4" i="19"/>
  <c r="D36" i="19"/>
  <c r="D37" i="19"/>
  <c r="D38" i="19"/>
  <c r="D39" i="19"/>
  <c r="D40" i="19"/>
  <c r="D41" i="19"/>
  <c r="D42" i="19"/>
  <c r="D43" i="19"/>
  <c r="D44" i="19"/>
  <c r="D9" i="19"/>
  <c r="D45" i="19"/>
  <c r="D55" i="19"/>
  <c r="D11" i="19"/>
  <c r="D65" i="19"/>
  <c r="D13" i="19"/>
  <c r="D15" i="19"/>
  <c r="D21" i="19"/>
  <c r="D22" i="19"/>
  <c r="D25" i="19"/>
  <c r="D27" i="19"/>
  <c r="D30" i="19"/>
  <c r="D144" i="19"/>
  <c r="D145" i="19"/>
  <c r="D146" i="19"/>
  <c r="D34" i="19"/>
  <c r="D35" i="19"/>
  <c r="D5" i="19"/>
  <c r="D6" i="19"/>
  <c r="D7" i="19"/>
  <c r="D8" i="19"/>
  <c r="D50" i="19"/>
  <c r="D48" i="19"/>
  <c r="D49" i="19"/>
  <c r="D46" i="19"/>
  <c r="D51" i="19"/>
  <c r="D52" i="19"/>
  <c r="D47" i="19"/>
  <c r="D53" i="19"/>
  <c r="D54" i="19"/>
  <c r="D62" i="19"/>
  <c r="D56" i="19"/>
  <c r="D57" i="19"/>
  <c r="D63" i="19"/>
  <c r="D58" i="19"/>
  <c r="D59" i="19"/>
  <c r="D64" i="19"/>
  <c r="D60" i="19"/>
  <c r="D61" i="19"/>
  <c r="D68" i="19"/>
  <c r="D66" i="19"/>
  <c r="D67" i="19"/>
  <c r="D10" i="19"/>
  <c r="D12" i="19"/>
  <c r="D69" i="19"/>
  <c r="D70" i="19"/>
  <c r="D71" i="19"/>
  <c r="D14" i="19"/>
  <c r="D74" i="19"/>
  <c r="D72" i="19"/>
  <c r="D73" i="19"/>
  <c r="D81" i="19"/>
  <c r="D75" i="19"/>
  <c r="D76" i="19"/>
  <c r="D16" i="19"/>
  <c r="D82" i="19"/>
  <c r="D77" i="19"/>
  <c r="D78" i="19"/>
  <c r="D83" i="19"/>
  <c r="D79" i="19"/>
  <c r="D80" i="19"/>
  <c r="D17" i="19"/>
  <c r="D18" i="19"/>
  <c r="D88" i="19"/>
  <c r="D84" i="19"/>
  <c r="D85" i="19"/>
  <c r="D19" i="19"/>
  <c r="D89" i="19"/>
  <c r="D86" i="19"/>
  <c r="D87" i="19"/>
  <c r="D92" i="19"/>
  <c r="D90" i="19"/>
  <c r="D91" i="19"/>
  <c r="D93" i="19"/>
  <c r="D94" i="19"/>
  <c r="D95" i="19"/>
  <c r="D20" i="19"/>
  <c r="D98" i="19"/>
  <c r="D96" i="19"/>
  <c r="D97" i="19"/>
  <c r="D23" i="19"/>
  <c r="D101" i="19"/>
  <c r="D99" i="19"/>
  <c r="D100" i="19"/>
  <c r="D113" i="19"/>
  <c r="D105" i="19"/>
  <c r="D106" i="19"/>
  <c r="D102" i="19"/>
  <c r="D107" i="19"/>
  <c r="D108" i="19"/>
  <c r="D103" i="19"/>
  <c r="D109" i="19"/>
  <c r="D110" i="19"/>
  <c r="D104" i="19"/>
  <c r="D111" i="19"/>
  <c r="D112" i="19"/>
  <c r="D126" i="19"/>
  <c r="D114" i="19"/>
  <c r="D115" i="19"/>
  <c r="D116" i="19"/>
  <c r="D117" i="19"/>
  <c r="D129" i="19"/>
  <c r="D118" i="19"/>
  <c r="D119" i="19"/>
  <c r="D128" i="19"/>
  <c r="D120" i="19"/>
  <c r="D121" i="19"/>
  <c r="D131" i="19"/>
  <c r="D130" i="19"/>
  <c r="D122" i="19"/>
  <c r="D198" i="19"/>
  <c r="D4" i="8"/>
  <c r="D4" i="4"/>
  <c r="C4" i="4" s="1"/>
  <c r="D172" i="18"/>
  <c r="D234" i="18"/>
  <c r="D324" i="18"/>
  <c r="N172" i="18"/>
  <c r="N234" i="18"/>
  <c r="N324" i="18"/>
  <c r="N254" i="18"/>
  <c r="D254" i="18"/>
  <c r="N221" i="18"/>
  <c r="D221" i="18"/>
  <c r="N210" i="18"/>
  <c r="D210" i="18"/>
  <c r="N187" i="18"/>
  <c r="D187" i="18"/>
  <c r="N160" i="18"/>
  <c r="D160" i="18"/>
  <c r="N148" i="18"/>
  <c r="D148" i="18"/>
  <c r="N140" i="18"/>
  <c r="D140" i="18"/>
  <c r="N139" i="18"/>
  <c r="N147" i="18"/>
  <c r="N159" i="18"/>
  <c r="N188" i="18"/>
  <c r="N209" i="18"/>
  <c r="N222" i="18"/>
  <c r="N253" i="18"/>
  <c r="D233" i="18"/>
  <c r="D323" i="18"/>
  <c r="D137" i="18"/>
  <c r="D141" i="18"/>
  <c r="D143" i="18"/>
  <c r="D145" i="18"/>
  <c r="D149" i="18"/>
  <c r="D151" i="18"/>
  <c r="D157" i="18"/>
  <c r="D155" i="18"/>
  <c r="D153" i="18"/>
  <c r="D161" i="18"/>
  <c r="D163" i="18"/>
  <c r="D165" i="18"/>
  <c r="D167" i="18"/>
  <c r="D169" i="18"/>
  <c r="D173" i="18"/>
  <c r="D177" i="18"/>
  <c r="D175" i="18"/>
  <c r="D179" i="18"/>
  <c r="D181" i="18"/>
  <c r="D183" i="18"/>
  <c r="D185" i="18"/>
  <c r="D189" i="18"/>
  <c r="D191" i="18"/>
  <c r="D193" i="18"/>
  <c r="D195" i="18"/>
  <c r="D197" i="18"/>
  <c r="D199" i="18"/>
  <c r="D201" i="18"/>
  <c r="D207" i="18"/>
  <c r="D205" i="18"/>
  <c r="D203" i="18"/>
  <c r="D213" i="18"/>
  <c r="D211" i="18"/>
  <c r="D219" i="18"/>
  <c r="D217" i="18"/>
  <c r="D215" i="18"/>
  <c r="D229" i="18"/>
  <c r="D227" i="18"/>
  <c r="D225" i="18"/>
  <c r="D223" i="18"/>
  <c r="D231" i="18"/>
  <c r="D237" i="18"/>
  <c r="D235" i="18"/>
  <c r="D239" i="18"/>
  <c r="D241" i="18"/>
  <c r="D243" i="18"/>
  <c r="D251" i="18"/>
  <c r="D249" i="18"/>
  <c r="D245" i="18"/>
  <c r="D247" i="18"/>
  <c r="D255" i="18"/>
  <c r="D257" i="18"/>
  <c r="D259" i="18"/>
  <c r="D261" i="18"/>
  <c r="D267" i="18"/>
  <c r="D265" i="18"/>
  <c r="D263" i="18"/>
  <c r="D275" i="18"/>
  <c r="D273" i="18"/>
  <c r="D271" i="18"/>
  <c r="D269" i="18"/>
  <c r="D277" i="18"/>
  <c r="D279" i="18"/>
  <c r="D281" i="18"/>
  <c r="D283" i="18"/>
  <c r="D285" i="18"/>
  <c r="D303" i="18"/>
  <c r="D299" i="18"/>
  <c r="D297" i="18"/>
  <c r="D295" i="18"/>
  <c r="D289" i="18"/>
  <c r="D287" i="18"/>
  <c r="D301" i="18"/>
  <c r="D291" i="18"/>
  <c r="D293" i="18"/>
  <c r="D307" i="18"/>
  <c r="D305" i="18"/>
  <c r="D309" i="18"/>
  <c r="D311" i="18"/>
  <c r="D313" i="18"/>
  <c r="D319" i="18"/>
  <c r="D317" i="18"/>
  <c r="D315" i="18"/>
  <c r="D321" i="18"/>
  <c r="D138" i="18"/>
  <c r="D142" i="18"/>
  <c r="D144" i="18"/>
  <c r="D146" i="18"/>
  <c r="D150" i="18"/>
  <c r="D152" i="18"/>
  <c r="D158" i="18"/>
  <c r="D156" i="18"/>
  <c r="D154" i="18"/>
  <c r="D162" i="18"/>
  <c r="D164" i="18"/>
  <c r="D166" i="18"/>
  <c r="D168" i="18"/>
  <c r="D170" i="18"/>
  <c r="D174" i="18"/>
  <c r="D178" i="18"/>
  <c r="D176" i="18"/>
  <c r="D180" i="18"/>
  <c r="D182" i="18"/>
  <c r="D184" i="18"/>
  <c r="D186" i="18"/>
  <c r="D190" i="18"/>
  <c r="D192" i="18"/>
  <c r="D194" i="18"/>
  <c r="D196" i="18"/>
  <c r="D198" i="18"/>
  <c r="D200" i="18"/>
  <c r="D202" i="18"/>
  <c r="D208" i="18"/>
  <c r="D206" i="18"/>
  <c r="D204" i="18"/>
  <c r="D214" i="18"/>
  <c r="D212" i="18"/>
  <c r="D220" i="18"/>
  <c r="D218" i="18"/>
  <c r="D216" i="18"/>
  <c r="D230" i="18"/>
  <c r="D228" i="18"/>
  <c r="D226" i="18"/>
  <c r="D224" i="18"/>
  <c r="D232" i="18"/>
  <c r="D238" i="18"/>
  <c r="D236" i="18"/>
  <c r="D240" i="18"/>
  <c r="D242" i="18"/>
  <c r="D244" i="18"/>
  <c r="D252" i="18"/>
  <c r="D250" i="18"/>
  <c r="D246" i="18"/>
  <c r="D248" i="18"/>
  <c r="D256" i="18"/>
  <c r="D258" i="18"/>
  <c r="D260" i="18"/>
  <c r="D262" i="18"/>
  <c r="D268" i="18"/>
  <c r="D266" i="18"/>
  <c r="D264" i="18"/>
  <c r="D276" i="18"/>
  <c r="D274" i="18"/>
  <c r="D272" i="18"/>
  <c r="D270" i="18"/>
  <c r="D278" i="18"/>
  <c r="D280" i="18"/>
  <c r="D282" i="18"/>
  <c r="D284" i="18"/>
  <c r="D286" i="18"/>
  <c r="D304" i="18"/>
  <c r="D300" i="18"/>
  <c r="D298" i="18"/>
  <c r="D296" i="18"/>
  <c r="D290" i="18"/>
  <c r="D288" i="18"/>
  <c r="D302" i="18"/>
  <c r="D292" i="18"/>
  <c r="D294" i="18"/>
  <c r="D308" i="18"/>
  <c r="D306" i="18"/>
  <c r="D310" i="18"/>
  <c r="D312" i="18"/>
  <c r="D314" i="18"/>
  <c r="D320" i="18"/>
  <c r="D318" i="18"/>
  <c r="D316" i="18"/>
  <c r="D322" i="18"/>
  <c r="D53" i="18"/>
  <c r="D54" i="18"/>
  <c r="D55" i="18"/>
  <c r="D56" i="18"/>
  <c r="D57" i="18"/>
  <c r="D58" i="18"/>
  <c r="D61" i="18"/>
  <c r="D60" i="18"/>
  <c r="D59" i="18"/>
  <c r="D62" i="18"/>
  <c r="D63" i="18"/>
  <c r="D64" i="18"/>
  <c r="D65" i="18"/>
  <c r="D66" i="18"/>
  <c r="D67" i="18"/>
  <c r="D69" i="18"/>
  <c r="D68" i="18"/>
  <c r="D70" i="18"/>
  <c r="D71" i="18"/>
  <c r="D72" i="18"/>
  <c r="D73" i="18"/>
  <c r="D74" i="18"/>
  <c r="D75" i="18"/>
  <c r="D76" i="18"/>
  <c r="D77" i="18"/>
  <c r="D78" i="18"/>
  <c r="D79" i="18"/>
  <c r="D80" i="18"/>
  <c r="D83" i="18"/>
  <c r="D82" i="18"/>
  <c r="D81" i="18"/>
  <c r="D85" i="18"/>
  <c r="D84" i="18"/>
  <c r="D88" i="18"/>
  <c r="D87" i="18"/>
  <c r="D86" i="18"/>
  <c r="D92" i="18"/>
  <c r="D91" i="18"/>
  <c r="D90" i="18"/>
  <c r="D89" i="18"/>
  <c r="D93" i="18"/>
  <c r="D95" i="18"/>
  <c r="D94" i="18"/>
  <c r="D96" i="18"/>
  <c r="D97" i="18"/>
  <c r="D98" i="18"/>
  <c r="D102" i="18"/>
  <c r="D101" i="18"/>
  <c r="D99" i="18"/>
  <c r="D100" i="18"/>
  <c r="D103" i="18"/>
  <c r="D104" i="18"/>
  <c r="D105" i="18"/>
  <c r="D106" i="18"/>
  <c r="D109" i="18"/>
  <c r="D108" i="18"/>
  <c r="D107" i="18"/>
  <c r="D113" i="18"/>
  <c r="D112" i="18"/>
  <c r="D111" i="18"/>
  <c r="D110" i="18"/>
  <c r="D114" i="18"/>
  <c r="D115" i="18"/>
  <c r="D116" i="18"/>
  <c r="D117" i="18"/>
  <c r="D118" i="18"/>
  <c r="D127" i="18"/>
  <c r="D125" i="18"/>
  <c r="D124" i="18"/>
  <c r="D123" i="18"/>
  <c r="D120" i="18"/>
  <c r="D119" i="18"/>
  <c r="D126" i="18"/>
  <c r="D121" i="18"/>
  <c r="D122" i="18"/>
  <c r="D129" i="18"/>
  <c r="D128" i="18"/>
  <c r="D130" i="18"/>
  <c r="D131" i="18"/>
  <c r="D132" i="18"/>
  <c r="D135" i="18"/>
  <c r="D134" i="18"/>
  <c r="D133" i="18"/>
  <c r="D136" i="18"/>
  <c r="D139" i="18"/>
  <c r="D147" i="18"/>
  <c r="D159" i="18"/>
  <c r="D188" i="18"/>
  <c r="D209" i="18"/>
  <c r="D222" i="18"/>
  <c r="D253" i="18"/>
  <c r="N134" i="18"/>
  <c r="N133" i="18"/>
  <c r="N136" i="18"/>
  <c r="N310" i="18"/>
  <c r="N312" i="18"/>
  <c r="N314" i="18"/>
  <c r="N320" i="18"/>
  <c r="N318" i="18"/>
  <c r="N316" i="18"/>
  <c r="N322" i="18"/>
  <c r="N53" i="18"/>
  <c r="N54" i="18"/>
  <c r="N55" i="18"/>
  <c r="N56" i="18"/>
  <c r="N57" i="18"/>
  <c r="N58" i="18"/>
  <c r="N61" i="18"/>
  <c r="N60" i="18"/>
  <c r="N59" i="18"/>
  <c r="N62" i="18"/>
  <c r="N63" i="18"/>
  <c r="N64" i="18"/>
  <c r="N65" i="18"/>
  <c r="N66" i="18"/>
  <c r="N67" i="18"/>
  <c r="N69" i="18"/>
  <c r="N68" i="18"/>
  <c r="N70" i="18"/>
  <c r="N71" i="18"/>
  <c r="N72" i="18"/>
  <c r="N73" i="18"/>
  <c r="N74" i="18"/>
  <c r="N75" i="18"/>
  <c r="N76" i="18"/>
  <c r="N77" i="18"/>
  <c r="N78" i="18"/>
  <c r="N79" i="18"/>
  <c r="N80" i="18"/>
  <c r="N83" i="18"/>
  <c r="N82" i="18"/>
  <c r="N81" i="18"/>
  <c r="N85" i="18"/>
  <c r="N84" i="18"/>
  <c r="N88" i="18"/>
  <c r="N87" i="18"/>
  <c r="N86" i="18"/>
  <c r="N92" i="18"/>
  <c r="N91" i="18"/>
  <c r="N90" i="18"/>
  <c r="N89" i="18"/>
  <c r="N93" i="18"/>
  <c r="N95" i="18"/>
  <c r="N94" i="18"/>
  <c r="N96" i="18"/>
  <c r="N97" i="18"/>
  <c r="N98" i="18"/>
  <c r="N102" i="18"/>
  <c r="N101" i="18"/>
  <c r="N99" i="18"/>
  <c r="N100" i="18"/>
  <c r="N103" i="18"/>
  <c r="N104" i="18"/>
  <c r="N105" i="18"/>
  <c r="N106" i="18"/>
  <c r="N109" i="18"/>
  <c r="N108" i="18"/>
  <c r="N107" i="18"/>
  <c r="N113" i="18"/>
  <c r="N112" i="18"/>
  <c r="N111" i="18"/>
  <c r="N110" i="18"/>
  <c r="N114" i="18"/>
  <c r="N115" i="18"/>
  <c r="N116" i="18"/>
  <c r="N117" i="18"/>
  <c r="N118" i="18"/>
  <c r="N127" i="18"/>
  <c r="N125" i="18"/>
  <c r="N124" i="18"/>
  <c r="N123" i="18"/>
  <c r="N120" i="18"/>
  <c r="N119" i="18"/>
  <c r="N126" i="18"/>
  <c r="N121" i="18"/>
  <c r="N122" i="18"/>
  <c r="N129" i="18"/>
  <c r="N128" i="18"/>
  <c r="N130" i="18"/>
  <c r="N131" i="18"/>
  <c r="N132" i="18"/>
  <c r="N135" i="18"/>
  <c r="D171" i="18"/>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C11" i="37" l="1"/>
  <c r="E10" i="37"/>
  <c r="C5" i="4"/>
  <c r="C6" i="4" s="1"/>
  <c r="C7" i="4" s="1"/>
  <c r="C8" i="4" s="1"/>
  <c r="C9" i="4" s="1"/>
  <c r="C10" i="4" s="1"/>
  <c r="C11" i="4" s="1"/>
  <c r="C12" i="4" s="1"/>
  <c r="C13" i="4" s="1"/>
  <c r="C14" i="4" s="1"/>
  <c r="C15" i="4" s="1"/>
  <c r="C16" i="4" s="1"/>
  <c r="C17" i="4" s="1"/>
  <c r="C18" i="4" s="1"/>
  <c r="C19" i="4" s="1"/>
  <c r="C20" i="4" s="1"/>
  <c r="C21" i="4" s="1"/>
  <c r="C22" i="4" s="1"/>
  <c r="C23" i="4" s="1"/>
  <c r="C24" i="4" s="1"/>
  <c r="C25" i="4" s="1"/>
  <c r="C26" i="4" s="1"/>
  <c r="C27" i="4" s="1"/>
  <c r="C28" i="4" s="1"/>
  <c r="C29" i="4" s="1"/>
  <c r="C30" i="4" s="1"/>
  <c r="C31" i="4" s="1"/>
  <c r="C32" i="4" s="1"/>
  <c r="C33" i="4" s="1"/>
  <c r="C34" i="4" s="1"/>
  <c r="C35" i="4" s="1"/>
  <c r="C36" i="4" s="1"/>
  <c r="C37" i="4" s="1"/>
  <c r="C38" i="4" s="1"/>
  <c r="C39" i="4" s="1"/>
  <c r="C40" i="4" s="1"/>
  <c r="C41" i="4" s="1"/>
  <c r="C42" i="4" s="1"/>
  <c r="C43" i="4" s="1"/>
  <c r="C44" i="4" s="1"/>
  <c r="C45" i="4" s="1"/>
  <c r="C46" i="4" s="1"/>
  <c r="C47" i="4" s="1"/>
  <c r="C48" i="4" s="1"/>
  <c r="C49" i="4" s="1"/>
  <c r="C50" i="4" s="1"/>
  <c r="C51" i="4" s="1"/>
  <c r="C52" i="4" s="1"/>
  <c r="C53" i="4" s="1"/>
  <c r="C54" i="4" s="1"/>
  <c r="C55" i="4" s="1"/>
  <c r="C56" i="4" s="1"/>
  <c r="C57" i="4" s="1"/>
  <c r="C58" i="4" s="1"/>
  <c r="C59" i="4" s="1"/>
  <c r="C60" i="4" s="1"/>
  <c r="C61" i="4" s="1"/>
  <c r="C62" i="4" s="1"/>
  <c r="C63" i="4" s="1"/>
  <c r="C64" i="4" s="1"/>
  <c r="C65" i="4" s="1"/>
  <c r="C66" i="4" s="1"/>
  <c r="C67" i="4" s="1"/>
  <c r="C68" i="4" s="1"/>
  <c r="C69" i="4" s="1"/>
  <c r="C70" i="4" s="1"/>
  <c r="C71" i="4" s="1"/>
  <c r="C72" i="4" s="1"/>
  <c r="C73" i="4" s="1"/>
  <c r="C74" i="4" s="1"/>
  <c r="C75" i="4" s="1"/>
  <c r="C76" i="4" s="1"/>
  <c r="C77" i="4" s="1"/>
  <c r="C78" i="4" s="1"/>
  <c r="C79" i="4" s="1"/>
  <c r="C80" i="4" s="1"/>
  <c r="C81" i="4" s="1"/>
  <c r="C82" i="4" s="1"/>
  <c r="C83" i="4" s="1"/>
  <c r="C84" i="4" s="1"/>
  <c r="C85" i="4" s="1"/>
  <c r="C86" i="4" s="1"/>
  <c r="C87" i="4" s="1"/>
  <c r="C88" i="4" s="1"/>
  <c r="C89" i="4" s="1"/>
  <c r="C90" i="4" s="1"/>
  <c r="C91" i="4" s="1"/>
  <c r="C92" i="4" s="1"/>
  <c r="C93" i="4" s="1"/>
  <c r="C94" i="4" s="1"/>
  <c r="C95" i="4" s="1"/>
  <c r="C96" i="4" s="1"/>
  <c r="C97" i="4" s="1"/>
  <c r="C98" i="4" s="1"/>
  <c r="C99" i="4" s="1"/>
  <c r="C100" i="4" s="1"/>
  <c r="C101" i="4" s="1"/>
  <c r="C102" i="4" s="1"/>
  <c r="C103" i="4" s="1"/>
  <c r="C104" i="4" s="1"/>
  <c r="C105" i="4" s="1"/>
  <c r="C106" i="4" s="1"/>
  <c r="C107" i="4" s="1"/>
  <c r="C108" i="4" s="1"/>
  <c r="C109" i="4" s="1"/>
  <c r="C110" i="4" s="1"/>
  <c r="C111" i="4" s="1"/>
  <c r="C112" i="4" s="1"/>
  <c r="C113" i="4" s="1"/>
  <c r="C114" i="4" s="1"/>
  <c r="C115" i="4" s="1"/>
  <c r="C116" i="4" s="1"/>
  <c r="C117" i="4" s="1"/>
  <c r="C118" i="4" s="1"/>
  <c r="C119" i="4" s="1"/>
  <c r="C120" i="4" s="1"/>
  <c r="C121" i="4" s="1"/>
  <c r="C122" i="4" s="1"/>
  <c r="C123" i="4" s="1"/>
  <c r="C124" i="4" s="1"/>
  <c r="C125" i="4" s="1"/>
  <c r="C126" i="4" s="1"/>
  <c r="C127" i="4" s="1"/>
  <c r="C128" i="4" s="1"/>
  <c r="C129" i="4" s="1"/>
  <c r="C130" i="4" s="1"/>
  <c r="C131" i="4" s="1"/>
  <c r="C132" i="4" s="1"/>
  <c r="C133" i="4" s="1"/>
  <c r="C134" i="4" s="1"/>
  <c r="C135" i="4" s="1"/>
  <c r="C136" i="4" s="1"/>
  <c r="C137" i="4" s="1"/>
  <c r="C138" i="4" s="1"/>
  <c r="C139" i="4" s="1"/>
  <c r="C140" i="4" s="1"/>
  <c r="C141" i="4" s="1"/>
  <c r="C142" i="4" s="1"/>
  <c r="C12" i="37" l="1"/>
  <c r="E11" i="37"/>
  <c r="N96" i="4"/>
  <c r="N92" i="4"/>
  <c r="N84" i="4"/>
  <c r="N80" i="4"/>
  <c r="N65" i="4"/>
  <c r="N63" i="4"/>
  <c r="N59" i="4"/>
  <c r="N57" i="4"/>
  <c r="N55" i="4"/>
  <c r="N53" i="4"/>
  <c r="N51" i="4"/>
  <c r="N49" i="4"/>
  <c r="N44" i="4"/>
  <c r="N34" i="4"/>
  <c r="N26" i="4"/>
  <c r="N24" i="4"/>
  <c r="N22" i="4"/>
  <c r="C13" i="37" l="1"/>
  <c r="E12" i="37"/>
  <c r="N45" i="12"/>
  <c r="N42" i="12"/>
  <c r="N38" i="12"/>
  <c r="N40" i="12"/>
  <c r="N36" i="12"/>
  <c r="N34" i="12"/>
  <c r="N32" i="12"/>
  <c r="N29" i="12"/>
  <c r="N27" i="12"/>
  <c r="N25" i="12"/>
  <c r="N23" i="12"/>
  <c r="N273" i="28"/>
  <c r="N274" i="28"/>
  <c r="N105" i="28"/>
  <c r="N271" i="28"/>
  <c r="N272" i="28"/>
  <c r="N104" i="28"/>
  <c r="N103" i="28"/>
  <c r="N268" i="28"/>
  <c r="N267" i="28"/>
  <c r="N102" i="28"/>
  <c r="N265" i="28"/>
  <c r="N264" i="28"/>
  <c r="N101" i="28"/>
  <c r="N263" i="28"/>
  <c r="N262" i="28"/>
  <c r="N100" i="28"/>
  <c r="N261" i="28"/>
  <c r="N260" i="28"/>
  <c r="N99" i="28"/>
  <c r="N259" i="28"/>
  <c r="N258" i="28"/>
  <c r="N98" i="28"/>
  <c r="N255" i="28"/>
  <c r="N254" i="28"/>
  <c r="N97" i="28"/>
  <c r="N253" i="28"/>
  <c r="N252" i="28"/>
  <c r="N96" i="28"/>
  <c r="N251" i="28"/>
  <c r="N250" i="28"/>
  <c r="N94" i="28"/>
  <c r="N247" i="28"/>
  <c r="N246" i="28"/>
  <c r="N95" i="28"/>
  <c r="N249" i="28"/>
  <c r="N248" i="28"/>
  <c r="N93" i="28"/>
  <c r="N245" i="28"/>
  <c r="N244" i="28"/>
  <c r="N92" i="28"/>
  <c r="N243" i="28"/>
  <c r="N242" i="28"/>
  <c r="N91" i="28"/>
  <c r="N241" i="28"/>
  <c r="N240" i="28"/>
  <c r="N90" i="28"/>
  <c r="N231" i="28"/>
  <c r="N230" i="28"/>
  <c r="N89" i="28"/>
  <c r="N229" i="28"/>
  <c r="N228" i="28"/>
  <c r="N222" i="28"/>
  <c r="N215" i="28"/>
  <c r="N83" i="28"/>
  <c r="N77" i="28"/>
  <c r="N204" i="28"/>
  <c r="N205" i="28"/>
  <c r="N79" i="28"/>
  <c r="N206" i="28"/>
  <c r="N207" i="28"/>
  <c r="N80" i="28"/>
  <c r="N208" i="28"/>
  <c r="N209" i="28"/>
  <c r="N81" i="28"/>
  <c r="N210" i="28"/>
  <c r="N211" i="28"/>
  <c r="N82" i="28"/>
  <c r="N218" i="28"/>
  <c r="N219" i="28"/>
  <c r="N84" i="28"/>
  <c r="N214" i="28"/>
  <c r="N223" i="28"/>
  <c r="N86" i="28"/>
  <c r="N220" i="28"/>
  <c r="N221" i="28"/>
  <c r="N85" i="28"/>
  <c r="N226" i="28"/>
  <c r="N227" i="28"/>
  <c r="N88" i="28"/>
  <c r="N224" i="28"/>
  <c r="N225" i="28"/>
  <c r="N87" i="28"/>
  <c r="N99" i="15"/>
  <c r="N92" i="15"/>
  <c r="N93" i="15"/>
  <c r="N94" i="15"/>
  <c r="N111" i="15"/>
  <c r="N112" i="15"/>
  <c r="N113" i="15"/>
  <c r="N131" i="15"/>
  <c r="N132" i="15"/>
  <c r="N133" i="15"/>
  <c r="N128" i="15"/>
  <c r="N129" i="15"/>
  <c r="N121" i="15"/>
  <c r="N122" i="15"/>
  <c r="N103" i="15"/>
  <c r="N104" i="15"/>
  <c r="N90" i="15"/>
  <c r="N91" i="15"/>
  <c r="N82" i="15"/>
  <c r="N83" i="15"/>
  <c r="N181" i="8"/>
  <c r="N180" i="8"/>
  <c r="N179" i="8"/>
  <c r="N178" i="8"/>
  <c r="N177" i="8"/>
  <c r="N175" i="8"/>
  <c r="N174" i="8"/>
  <c r="N173" i="8"/>
  <c r="N172" i="8"/>
  <c r="N171" i="8"/>
  <c r="N23" i="8"/>
  <c r="N45" i="8"/>
  <c r="N16" i="8"/>
  <c r="N12" i="8"/>
  <c r="N22" i="8"/>
  <c r="N18" i="8"/>
  <c r="N20" i="8"/>
  <c r="N28" i="8"/>
  <c r="N39" i="8"/>
  <c r="N37" i="8"/>
  <c r="N49" i="8"/>
  <c r="N47" i="8"/>
  <c r="N51" i="8"/>
  <c r="N65" i="8"/>
  <c r="N67" i="8"/>
  <c r="N75" i="8"/>
  <c r="N78" i="8"/>
  <c r="N82" i="8"/>
  <c r="N84" i="8"/>
  <c r="N86" i="8"/>
  <c r="N88" i="8"/>
  <c r="N90" i="8"/>
  <c r="N92" i="8"/>
  <c r="N154" i="10"/>
  <c r="Q154" i="10"/>
  <c r="Q75" i="10"/>
  <c r="Q43" i="10"/>
  <c r="Q44" i="10"/>
  <c r="Q76" i="10"/>
  <c r="Q45" i="10"/>
  <c r="Q46" i="10"/>
  <c r="N75" i="10"/>
  <c r="N43" i="10"/>
  <c r="N44" i="10"/>
  <c r="N76" i="10"/>
  <c r="N45" i="10"/>
  <c r="N46" i="10"/>
  <c r="Q41" i="10"/>
  <c r="Q42" i="10"/>
  <c r="Q74" i="10"/>
  <c r="N41" i="10"/>
  <c r="N42" i="10"/>
  <c r="N74" i="10"/>
  <c r="Q71" i="10"/>
  <c r="Q72" i="10"/>
  <c r="Q33" i="10"/>
  <c r="Q35" i="10"/>
  <c r="Q36" i="10"/>
  <c r="Q34" i="10"/>
  <c r="Q37" i="10"/>
  <c r="Q38" i="10"/>
  <c r="Q73" i="10"/>
  <c r="Q39" i="10"/>
  <c r="Q40" i="10"/>
  <c r="N40" i="10"/>
  <c r="N39" i="10"/>
  <c r="N73" i="10"/>
  <c r="N38" i="10"/>
  <c r="N37" i="10"/>
  <c r="N34" i="10"/>
  <c r="N36" i="10"/>
  <c r="N35" i="10"/>
  <c r="N33" i="10"/>
  <c r="N72" i="10"/>
  <c r="N71" i="10"/>
  <c r="Q55" i="10"/>
  <c r="Q14" i="10"/>
  <c r="Q15" i="10"/>
  <c r="Q56" i="10"/>
  <c r="N55" i="10"/>
  <c r="N14" i="10"/>
  <c r="N15" i="10"/>
  <c r="N56" i="10"/>
  <c r="N27" i="10"/>
  <c r="N28" i="10"/>
  <c r="N29" i="10"/>
  <c r="N69" i="10"/>
  <c r="Q27" i="10"/>
  <c r="Q28" i="10"/>
  <c r="Q29" i="10"/>
  <c r="Q69" i="10"/>
  <c r="Q23" i="10"/>
  <c r="Q24" i="10"/>
  <c r="Q63" i="10"/>
  <c r="Q64" i="10"/>
  <c r="N23" i="10"/>
  <c r="N24" i="10"/>
  <c r="N63" i="10"/>
  <c r="N64" i="10"/>
  <c r="N11" i="10"/>
  <c r="N53" i="10"/>
  <c r="N12" i="10"/>
  <c r="N13" i="10"/>
  <c r="N54" i="10"/>
  <c r="N16" i="10"/>
  <c r="N57" i="10"/>
  <c r="N17" i="10"/>
  <c r="N18" i="10"/>
  <c r="N58" i="10"/>
  <c r="N19" i="10"/>
  <c r="N20" i="10"/>
  <c r="N59" i="10"/>
  <c r="N21" i="10"/>
  <c r="N60" i="10"/>
  <c r="N61" i="10"/>
  <c r="N62" i="10"/>
  <c r="N22" i="10"/>
  <c r="N65" i="10"/>
  <c r="N66" i="10"/>
  <c r="N67" i="10"/>
  <c r="N25" i="10"/>
  <c r="N26" i="10"/>
  <c r="N68" i="10"/>
  <c r="N30" i="10"/>
  <c r="N31" i="10"/>
  <c r="N70" i="10"/>
  <c r="N32" i="10"/>
  <c r="Q11" i="10"/>
  <c r="Q53" i="10"/>
  <c r="Q12" i="10"/>
  <c r="Q13" i="10"/>
  <c r="Q54" i="10"/>
  <c r="Q16" i="10"/>
  <c r="Q57" i="10"/>
  <c r="Q17" i="10"/>
  <c r="Q18" i="10"/>
  <c r="Q58" i="10"/>
  <c r="Q19" i="10"/>
  <c r="Q20" i="10"/>
  <c r="Q59" i="10"/>
  <c r="Q21" i="10"/>
  <c r="Q60" i="10"/>
  <c r="Q61" i="10"/>
  <c r="Q62" i="10"/>
  <c r="Q22" i="10"/>
  <c r="Q65" i="10"/>
  <c r="Q66" i="10"/>
  <c r="Q67" i="10"/>
  <c r="Q25" i="10"/>
  <c r="Q26" i="10"/>
  <c r="Q68" i="10"/>
  <c r="Q30" i="10"/>
  <c r="Q31" i="10"/>
  <c r="Q70" i="10"/>
  <c r="Q32" i="10"/>
  <c r="Q94" i="10"/>
  <c r="Q78" i="10"/>
  <c r="Q91" i="10"/>
  <c r="Q92" i="10"/>
  <c r="Q77" i="10"/>
  <c r="Q101" i="10"/>
  <c r="Q102" i="10"/>
  <c r="Q79" i="10"/>
  <c r="Q105" i="10"/>
  <c r="Q106" i="10"/>
  <c r="Q80" i="10"/>
  <c r="Q107" i="10"/>
  <c r="Q108" i="10"/>
  <c r="Q81" i="10"/>
  <c r="Q113" i="10"/>
  <c r="Q114" i="10"/>
  <c r="Q83" i="10"/>
  <c r="Q111" i="10"/>
  <c r="Q112" i="10"/>
  <c r="Q82" i="10"/>
  <c r="Q119" i="10"/>
  <c r="Q120" i="10"/>
  <c r="Q84" i="10"/>
  <c r="Q123" i="10"/>
  <c r="Q124" i="10"/>
  <c r="Q85" i="10"/>
  <c r="Q128" i="10"/>
  <c r="Q129" i="10"/>
  <c r="Q86" i="10"/>
  <c r="Q131" i="10"/>
  <c r="Q132" i="10"/>
  <c r="Q87" i="10"/>
  <c r="Q135" i="10"/>
  <c r="Q136" i="10"/>
  <c r="Q88" i="10"/>
  <c r="Q137" i="10"/>
  <c r="Q138" i="10"/>
  <c r="Q89" i="10"/>
  <c r="Q145" i="10"/>
  <c r="Q146" i="10"/>
  <c r="Q90" i="10"/>
  <c r="Q95" i="10"/>
  <c r="Q98" i="10"/>
  <c r="Q97" i="10"/>
  <c r="Q100" i="10"/>
  <c r="Q96" i="10"/>
  <c r="Q99" i="10"/>
  <c r="Q104" i="10"/>
  <c r="Q103" i="10"/>
  <c r="Q109" i="10"/>
  <c r="Q110" i="10"/>
  <c r="Q116" i="10"/>
  <c r="Q118" i="10"/>
  <c r="Q115" i="10"/>
  <c r="Q117" i="10"/>
  <c r="Q121" i="10"/>
  <c r="Q122" i="10"/>
  <c r="Q126" i="10"/>
  <c r="Q127" i="10"/>
  <c r="Q133" i="10"/>
  <c r="Q134" i="10"/>
  <c r="Q140" i="10"/>
  <c r="Q143" i="10"/>
  <c r="Q139" i="10"/>
  <c r="Q142" i="10"/>
  <c r="Q141" i="10"/>
  <c r="Q144" i="10"/>
  <c r="Q147" i="10"/>
  <c r="Q148" i="10"/>
  <c r="Q149" i="10"/>
  <c r="Q150" i="10"/>
  <c r="Q151" i="10"/>
  <c r="Q152" i="10"/>
  <c r="Q125" i="10"/>
  <c r="Q130" i="10"/>
  <c r="Q153" i="10"/>
  <c r="Q47" i="10"/>
  <c r="Q4" i="10"/>
  <c r="Q5" i="10"/>
  <c r="Q48" i="10"/>
  <c r="Q6" i="10"/>
  <c r="Q49" i="10"/>
  <c r="Q7" i="10"/>
  <c r="Q50" i="10"/>
  <c r="Q8" i="10"/>
  <c r="Q9" i="10"/>
  <c r="Q51" i="10"/>
  <c r="Q52" i="10"/>
  <c r="Q10" i="10"/>
  <c r="Q93" i="10"/>
  <c r="N152" i="10"/>
  <c r="N118" i="10"/>
  <c r="N147" i="10"/>
  <c r="N148" i="10"/>
  <c r="N149" i="10"/>
  <c r="N150" i="10"/>
  <c r="N115" i="10"/>
  <c r="N117" i="10"/>
  <c r="N121" i="10"/>
  <c r="N122" i="10"/>
  <c r="N126" i="10"/>
  <c r="N127" i="10"/>
  <c r="N133" i="10"/>
  <c r="N134" i="10"/>
  <c r="N140" i="10"/>
  <c r="N143" i="10"/>
  <c r="N139" i="10"/>
  <c r="N142" i="10"/>
  <c r="N141" i="10"/>
  <c r="N144" i="10"/>
  <c r="N151" i="10"/>
  <c r="N125" i="10"/>
  <c r="N130" i="10"/>
  <c r="N153" i="10"/>
  <c r="N47" i="10"/>
  <c r="N4" i="10"/>
  <c r="N5" i="10"/>
  <c r="N48" i="10"/>
  <c r="N6" i="10"/>
  <c r="N49" i="10"/>
  <c r="N7" i="10"/>
  <c r="N50" i="10"/>
  <c r="N8" i="10"/>
  <c r="N9" i="10"/>
  <c r="N51" i="10"/>
  <c r="N52" i="10"/>
  <c r="N10" i="10"/>
  <c r="N116" i="10"/>
  <c r="N73" i="15"/>
  <c r="N74" i="15"/>
  <c r="N75" i="15"/>
  <c r="N76" i="15"/>
  <c r="N77" i="15"/>
  <c r="N78" i="15"/>
  <c r="N79" i="15"/>
  <c r="N80" i="15"/>
  <c r="N81" i="15"/>
  <c r="N84" i="15"/>
  <c r="N85" i="15"/>
  <c r="N86" i="15"/>
  <c r="N87" i="15"/>
  <c r="N88" i="15"/>
  <c r="N89" i="15"/>
  <c r="N95" i="15"/>
  <c r="N96" i="15"/>
  <c r="N97" i="15"/>
  <c r="N98" i="15"/>
  <c r="N100" i="15"/>
  <c r="N101" i="15"/>
  <c r="N102" i="15"/>
  <c r="N105" i="15"/>
  <c r="N106" i="15"/>
  <c r="N107" i="15"/>
  <c r="N108" i="15"/>
  <c r="N109" i="15"/>
  <c r="N110" i="15"/>
  <c r="N114" i="15"/>
  <c r="N115" i="15"/>
  <c r="N116" i="15"/>
  <c r="N117" i="15"/>
  <c r="N118" i="15"/>
  <c r="N119" i="15"/>
  <c r="N120" i="15"/>
  <c r="N123" i="15"/>
  <c r="N124" i="15"/>
  <c r="N125" i="15"/>
  <c r="N126" i="15"/>
  <c r="N127" i="15"/>
  <c r="N130" i="15"/>
  <c r="N134" i="15"/>
  <c r="N201" i="14"/>
  <c r="N200" i="14"/>
  <c r="N198" i="14"/>
  <c r="N199" i="14"/>
  <c r="N98" i="8"/>
  <c r="N102" i="8"/>
  <c r="N110" i="8"/>
  <c r="N122" i="8"/>
  <c r="N120" i="8"/>
  <c r="N138" i="8"/>
  <c r="N140" i="8"/>
  <c r="N148" i="8"/>
  <c r="N156" i="8"/>
  <c r="N154" i="8"/>
  <c r="N152" i="8"/>
  <c r="N164" i="8"/>
  <c r="N167" i="8"/>
  <c r="N11" i="8"/>
  <c r="N15" i="8"/>
  <c r="N17" i="8"/>
  <c r="N13" i="8"/>
  <c r="N19" i="8"/>
  <c r="N21" i="8"/>
  <c r="N29" i="8"/>
  <c r="N40" i="8"/>
  <c r="N38" i="8"/>
  <c r="N46" i="8"/>
  <c r="N50" i="8"/>
  <c r="N48" i="8"/>
  <c r="N52" i="8"/>
  <c r="N66" i="8"/>
  <c r="N68" i="8"/>
  <c r="N76" i="8"/>
  <c r="N79" i="8"/>
  <c r="N83" i="8"/>
  <c r="N85" i="8"/>
  <c r="N87" i="8"/>
  <c r="N89" i="8"/>
  <c r="N91" i="8"/>
  <c r="N93" i="8"/>
  <c r="N99" i="8"/>
  <c r="N103" i="8"/>
  <c r="N111" i="8"/>
  <c r="N123" i="8"/>
  <c r="N121" i="8"/>
  <c r="N139" i="8"/>
  <c r="N141" i="8"/>
  <c r="N149" i="8"/>
  <c r="N157" i="8"/>
  <c r="N155" i="8"/>
  <c r="N153" i="8"/>
  <c r="N165" i="8"/>
  <c r="N168" i="8"/>
  <c r="N169" i="8"/>
  <c r="N170" i="8"/>
  <c r="Q23" i="4"/>
  <c r="Q25" i="4"/>
  <c r="Q33" i="4"/>
  <c r="Q43" i="4"/>
  <c r="Q48" i="4"/>
  <c r="Q50" i="4"/>
  <c r="Q52" i="4"/>
  <c r="Q54" i="4"/>
  <c r="Q56" i="4"/>
  <c r="Q58" i="4"/>
  <c r="Q62" i="4"/>
  <c r="Q64" i="4"/>
  <c r="Q79" i="4"/>
  <c r="Q83" i="4"/>
  <c r="Q91" i="4"/>
  <c r="Q95" i="4"/>
  <c r="Q22" i="4"/>
  <c r="Q24" i="4"/>
  <c r="Q26" i="4"/>
  <c r="Q34" i="4"/>
  <c r="Q44" i="4"/>
  <c r="Q49" i="4"/>
  <c r="Q51" i="4"/>
  <c r="Q53" i="4"/>
  <c r="Q55" i="4"/>
  <c r="Q57" i="4"/>
  <c r="Q59" i="4"/>
  <c r="Q63" i="4"/>
  <c r="Q65" i="4"/>
  <c r="Q80" i="4"/>
  <c r="Q84" i="4"/>
  <c r="Q92" i="4"/>
  <c r="Q96" i="4"/>
  <c r="Q29" i="4"/>
  <c r="Q27" i="4"/>
  <c r="Q31" i="4"/>
  <c r="Q35" i="4"/>
  <c r="Q37" i="4"/>
  <c r="Q39" i="4"/>
  <c r="Q41" i="4"/>
  <c r="Q45" i="4"/>
  <c r="Q60" i="4"/>
  <c r="Q66" i="4"/>
  <c r="Q68" i="4"/>
  <c r="Q70" i="4"/>
  <c r="Q72" i="4"/>
  <c r="Q77" i="4"/>
  <c r="Q75" i="4"/>
  <c r="Q81" i="4"/>
  <c r="Q85" i="4"/>
  <c r="Q87" i="4"/>
  <c r="Q89" i="4"/>
  <c r="Q93" i="4"/>
  <c r="Q98" i="4"/>
  <c r="Q30" i="4"/>
  <c r="Q28" i="4"/>
  <c r="Q32" i="4"/>
  <c r="Q36" i="4"/>
  <c r="Q38" i="4"/>
  <c r="Q40" i="4"/>
  <c r="Q42" i="4"/>
  <c r="Q46" i="4"/>
  <c r="Q61" i="4"/>
  <c r="Q67" i="4"/>
  <c r="Q69" i="4"/>
  <c r="Q71" i="4"/>
  <c r="Q73" i="4"/>
  <c r="Q78" i="4"/>
  <c r="Q76" i="4"/>
  <c r="Q82" i="4"/>
  <c r="Q86" i="4"/>
  <c r="Q88" i="4"/>
  <c r="Q90" i="4"/>
  <c r="Q94" i="4"/>
  <c r="Q99" i="4"/>
  <c r="Q47" i="4"/>
  <c r="Q74" i="4"/>
  <c r="Q97" i="4"/>
  <c r="Q4" i="4"/>
  <c r="Q5" i="4"/>
  <c r="Q6" i="4"/>
  <c r="Q7" i="4"/>
  <c r="Q8" i="4"/>
  <c r="Q9" i="4"/>
  <c r="Q10" i="4"/>
  <c r="Q11" i="4"/>
  <c r="Q12" i="4"/>
  <c r="Q13" i="4"/>
  <c r="Q14" i="4"/>
  <c r="Q15" i="4"/>
  <c r="Q16" i="4"/>
  <c r="Q17" i="4"/>
  <c r="Q18" i="4"/>
  <c r="Q19" i="4"/>
  <c r="Q20" i="4"/>
  <c r="Q21" i="4"/>
  <c r="N90" i="4"/>
  <c r="N94" i="4"/>
  <c r="N99" i="4"/>
  <c r="N47" i="4"/>
  <c r="N74" i="4"/>
  <c r="N97" i="4"/>
  <c r="N4" i="4"/>
  <c r="N5" i="4"/>
  <c r="N6" i="4"/>
  <c r="N7" i="4"/>
  <c r="N8" i="4"/>
  <c r="N9" i="4"/>
  <c r="N10" i="4"/>
  <c r="N11" i="4"/>
  <c r="N12" i="4"/>
  <c r="N13" i="4"/>
  <c r="N14" i="4"/>
  <c r="N15" i="4"/>
  <c r="N16" i="4"/>
  <c r="N17" i="4"/>
  <c r="N18" i="4"/>
  <c r="N19" i="4"/>
  <c r="N20" i="4"/>
  <c r="N65" i="33"/>
  <c r="N178" i="33"/>
  <c r="N177" i="33"/>
  <c r="N64" i="33"/>
  <c r="N172" i="33"/>
  <c r="N171" i="33"/>
  <c r="N62" i="33"/>
  <c r="N160" i="33"/>
  <c r="N159" i="33"/>
  <c r="N63" i="33"/>
  <c r="N162" i="33"/>
  <c r="N161" i="33"/>
  <c r="N60" i="33"/>
  <c r="N156" i="33"/>
  <c r="N155" i="33"/>
  <c r="N61" i="33"/>
  <c r="N158" i="33"/>
  <c r="N157" i="33"/>
  <c r="N59" i="33"/>
  <c r="N152" i="33"/>
  <c r="N151" i="33"/>
  <c r="N58" i="33"/>
  <c r="N143" i="33"/>
  <c r="N142" i="33"/>
  <c r="N55" i="33"/>
  <c r="N134" i="33"/>
  <c r="N133" i="33"/>
  <c r="N56" i="33"/>
  <c r="N136" i="33"/>
  <c r="N135" i="33"/>
  <c r="N57" i="33"/>
  <c r="N138" i="33"/>
  <c r="N137" i="33"/>
  <c r="N54" i="33"/>
  <c r="N132" i="33"/>
  <c r="N131" i="33"/>
  <c r="N51" i="33"/>
  <c r="N123" i="33"/>
  <c r="N124" i="33"/>
  <c r="N53" i="33"/>
  <c r="N111" i="33"/>
  <c r="N114" i="33"/>
  <c r="N52" i="33"/>
  <c r="N112" i="33"/>
  <c r="N113" i="33"/>
  <c r="N110" i="33"/>
  <c r="N49" i="33"/>
  <c r="N105" i="33"/>
  <c r="N104" i="33"/>
  <c r="N41" i="33"/>
  <c r="N88" i="33"/>
  <c r="N103" i="33"/>
  <c r="N48" i="33"/>
  <c r="N106" i="33"/>
  <c r="N109" i="33"/>
  <c r="N50" i="33"/>
  <c r="N74" i="33"/>
  <c r="N37" i="33"/>
  <c r="N81" i="33"/>
  <c r="N82" i="33"/>
  <c r="N95" i="33"/>
  <c r="N93" i="33"/>
  <c r="N44" i="33"/>
  <c r="N89" i="33"/>
  <c r="N42" i="33"/>
  <c r="N98" i="33"/>
  <c r="N46" i="33"/>
  <c r="N92" i="33"/>
  <c r="N67" i="33"/>
  <c r="N70" i="33"/>
  <c r="N36" i="33"/>
  <c r="N73" i="33"/>
  <c r="N77" i="33"/>
  <c r="N78" i="33"/>
  <c r="N38" i="33"/>
  <c r="N79" i="33"/>
  <c r="N80" i="33"/>
  <c r="N39" i="33"/>
  <c r="N40" i="33"/>
  <c r="N96" i="33"/>
  <c r="N45" i="33"/>
  <c r="N94" i="33"/>
  <c r="N90" i="33"/>
  <c r="N99" i="33"/>
  <c r="N100" i="33"/>
  <c r="N47" i="33"/>
  <c r="N97" i="33"/>
  <c r="N91" i="33"/>
  <c r="N43" i="33"/>
  <c r="N87" i="33"/>
  <c r="N69" i="33"/>
  <c r="N35" i="33"/>
  <c r="N68" i="33"/>
  <c r="N209" i="31"/>
  <c r="N208" i="31"/>
  <c r="N207" i="31"/>
  <c r="N206" i="31"/>
  <c r="N205" i="31"/>
  <c r="N204" i="31"/>
  <c r="N203" i="31"/>
  <c r="N202" i="31"/>
  <c r="N201" i="31"/>
  <c r="N200" i="31"/>
  <c r="N199" i="31"/>
  <c r="N198" i="31"/>
  <c r="N197" i="31"/>
  <c r="N196" i="31"/>
  <c r="N195" i="31"/>
  <c r="N194" i="31"/>
  <c r="N193" i="31"/>
  <c r="N192" i="31"/>
  <c r="N191" i="31"/>
  <c r="N190" i="31"/>
  <c r="N189" i="31"/>
  <c r="N188" i="31"/>
  <c r="N187" i="31"/>
  <c r="N186" i="31"/>
  <c r="N185" i="31"/>
  <c r="N184" i="31"/>
  <c r="N183" i="31"/>
  <c r="N182" i="31"/>
  <c r="N181" i="31"/>
  <c r="N180" i="31"/>
  <c r="N179" i="31"/>
  <c r="N178" i="31"/>
  <c r="N177" i="31"/>
  <c r="N176" i="31"/>
  <c r="N175" i="31"/>
  <c r="N174" i="31"/>
  <c r="N173" i="31"/>
  <c r="N172" i="31"/>
  <c r="N171" i="31"/>
  <c r="N170" i="31"/>
  <c r="N169" i="31"/>
  <c r="N168" i="31"/>
  <c r="N167" i="31"/>
  <c r="N166" i="31"/>
  <c r="N165" i="31"/>
  <c r="N164" i="31"/>
  <c r="N163" i="31"/>
  <c r="N162" i="31"/>
  <c r="N161" i="31"/>
  <c r="N160" i="31"/>
  <c r="N159" i="31"/>
  <c r="N158" i="31"/>
  <c r="N157" i="31"/>
  <c r="N156" i="31"/>
  <c r="N155" i="31"/>
  <c r="N154" i="31"/>
  <c r="N153" i="31"/>
  <c r="N152" i="31"/>
  <c r="N151" i="31"/>
  <c r="N150" i="31"/>
  <c r="N149" i="31"/>
  <c r="N148" i="31"/>
  <c r="N116" i="31"/>
  <c r="N117" i="31"/>
  <c r="N118" i="31"/>
  <c r="N119" i="31"/>
  <c r="N110" i="31"/>
  <c r="N111" i="31"/>
  <c r="N112" i="31"/>
  <c r="N113" i="31"/>
  <c r="N114" i="31"/>
  <c r="N115" i="31"/>
  <c r="N120" i="31"/>
  <c r="N121" i="31"/>
  <c r="N122" i="31"/>
  <c r="N123" i="31"/>
  <c r="N124" i="31"/>
  <c r="N125" i="31"/>
  <c r="N126" i="31"/>
  <c r="N127" i="31"/>
  <c r="N128" i="31"/>
  <c r="N129" i="31"/>
  <c r="N130" i="31"/>
  <c r="N131" i="31"/>
  <c r="N132" i="31"/>
  <c r="N133" i="31"/>
  <c r="N134" i="31"/>
  <c r="N135" i="31"/>
  <c r="N136" i="31"/>
  <c r="N137" i="31"/>
  <c r="N138" i="31"/>
  <c r="N139" i="31"/>
  <c r="N140" i="31"/>
  <c r="N141" i="31"/>
  <c r="N142" i="31"/>
  <c r="N143" i="31"/>
  <c r="N144" i="31"/>
  <c r="N145" i="31"/>
  <c r="N146" i="31"/>
  <c r="N147" i="31"/>
  <c r="N64" i="31"/>
  <c r="N109" i="31"/>
  <c r="N24" i="30"/>
  <c r="N23" i="30"/>
  <c r="N20" i="30"/>
  <c r="N19" i="30"/>
  <c r="N6" i="30"/>
  <c r="N5" i="30"/>
  <c r="N22" i="30"/>
  <c r="N21" i="30"/>
  <c r="N4" i="30"/>
  <c r="C14" i="37" l="1"/>
  <c r="E13" i="37"/>
  <c r="N55" i="30"/>
  <c r="N56" i="30"/>
  <c r="N57" i="30"/>
  <c r="N58" i="30"/>
  <c r="N59" i="30"/>
  <c r="N60" i="30"/>
  <c r="N61" i="30"/>
  <c r="N62" i="30"/>
  <c r="N63" i="30"/>
  <c r="N65" i="30"/>
  <c r="N66" i="30"/>
  <c r="N17" i="30"/>
  <c r="N18" i="30"/>
  <c r="C15" i="37" l="1"/>
  <c r="E14" i="37"/>
  <c r="N177" i="22"/>
  <c r="C16" i="37" l="1"/>
  <c r="E15" i="37"/>
  <c r="N176" i="22"/>
  <c r="C17" i="37" l="1"/>
  <c r="E16" i="37"/>
  <c r="N175" i="22"/>
  <c r="N174" i="22"/>
  <c r="N173" i="22"/>
  <c r="N172" i="22"/>
  <c r="N171" i="22"/>
  <c r="N166" i="22"/>
  <c r="N167" i="22"/>
  <c r="N149" i="22"/>
  <c r="N150" i="22"/>
  <c r="N136" i="22"/>
  <c r="N137" i="22"/>
  <c r="N131" i="22"/>
  <c r="N132" i="22"/>
  <c r="N115" i="22"/>
  <c r="N116" i="22"/>
  <c r="N117" i="22"/>
  <c r="N118" i="22"/>
  <c r="N119" i="22"/>
  <c r="N97" i="22"/>
  <c r="N98" i="22"/>
  <c r="N92" i="22"/>
  <c r="N93" i="22"/>
  <c r="N88" i="22"/>
  <c r="N80" i="22"/>
  <c r="N81" i="22"/>
  <c r="N43" i="22"/>
  <c r="N44" i="22"/>
  <c r="N45" i="22"/>
  <c r="N46" i="22"/>
  <c r="N47" i="22"/>
  <c r="C18" i="37" l="1"/>
  <c r="E17" i="37"/>
  <c r="N66" i="22"/>
  <c r="N67" i="22"/>
  <c r="N68" i="22"/>
  <c r="N69" i="22"/>
  <c r="N48" i="22"/>
  <c r="N49" i="22"/>
  <c r="N50" i="22"/>
  <c r="N51" i="22"/>
  <c r="N52" i="22"/>
  <c r="N53" i="22"/>
  <c r="N54" i="22"/>
  <c r="N55" i="22"/>
  <c r="N56" i="22"/>
  <c r="N57" i="22"/>
  <c r="N58" i="22"/>
  <c r="N59" i="22"/>
  <c r="N60" i="22"/>
  <c r="N61" i="22"/>
  <c r="N62" i="22"/>
  <c r="N63" i="22"/>
  <c r="N64" i="22"/>
  <c r="N65" i="22"/>
  <c r="N70" i="22"/>
  <c r="N71" i="22"/>
  <c r="N72" i="22"/>
  <c r="N73" i="22"/>
  <c r="N74" i="22"/>
  <c r="N75" i="22"/>
  <c r="N76" i="22"/>
  <c r="N77" i="22"/>
  <c r="N78" i="22"/>
  <c r="N79" i="22"/>
  <c r="N82" i="22"/>
  <c r="N83" i="22"/>
  <c r="N84" i="22"/>
  <c r="N85" i="22"/>
  <c r="N86" i="22"/>
  <c r="N87" i="22"/>
  <c r="N89" i="22"/>
  <c r="N90" i="22"/>
  <c r="N91" i="22"/>
  <c r="N94" i="22"/>
  <c r="N95" i="22"/>
  <c r="N96" i="22"/>
  <c r="N99" i="22"/>
  <c r="N100" i="22"/>
  <c r="N101" i="22"/>
  <c r="N102" i="22"/>
  <c r="N103" i="22"/>
  <c r="N104" i="22"/>
  <c r="N105" i="22"/>
  <c r="N106" i="22"/>
  <c r="N107" i="22"/>
  <c r="N108" i="22"/>
  <c r="N109" i="22"/>
  <c r="N110" i="22"/>
  <c r="N111" i="22"/>
  <c r="N112" i="22"/>
  <c r="N113" i="22"/>
  <c r="N114" i="22"/>
  <c r="N120" i="22"/>
  <c r="N121" i="22"/>
  <c r="N122" i="22"/>
  <c r="N123" i="22"/>
  <c r="N124" i="22"/>
  <c r="N125" i="22"/>
  <c r="N126" i="22"/>
  <c r="N127" i="22"/>
  <c r="N128" i="22"/>
  <c r="N129" i="22"/>
  <c r="N130" i="22"/>
  <c r="N133" i="22"/>
  <c r="N134" i="22"/>
  <c r="N135" i="22"/>
  <c r="N138" i="22"/>
  <c r="N139" i="22"/>
  <c r="N140" i="22"/>
  <c r="N141" i="22"/>
  <c r="N142" i="22"/>
  <c r="N143" i="22"/>
  <c r="N144" i="22"/>
  <c r="N145" i="22"/>
  <c r="N146" i="22"/>
  <c r="N147" i="22"/>
  <c r="N148" i="22"/>
  <c r="N151" i="22"/>
  <c r="N152" i="22"/>
  <c r="N153" i="22"/>
  <c r="N154" i="22"/>
  <c r="N155" i="22"/>
  <c r="N156" i="22"/>
  <c r="N157" i="22"/>
  <c r="N158" i="22"/>
  <c r="N159" i="22"/>
  <c r="N160" i="22"/>
  <c r="N161" i="22"/>
  <c r="N162" i="22"/>
  <c r="N163" i="22"/>
  <c r="N164" i="22"/>
  <c r="N165" i="22"/>
  <c r="N168" i="22"/>
  <c r="N169" i="22"/>
  <c r="N170" i="22"/>
  <c r="N11" i="22"/>
  <c r="Q43" i="6"/>
  <c r="Q36" i="6"/>
  <c r="Q46" i="6"/>
  <c r="Q47" i="6"/>
  <c r="Q37" i="6"/>
  <c r="Q49" i="6"/>
  <c r="Q50" i="6"/>
  <c r="Q38" i="6"/>
  <c r="Q55" i="6"/>
  <c r="Q56" i="6"/>
  <c r="Q39" i="6"/>
  <c r="Q64" i="6"/>
  <c r="Q65" i="6"/>
  <c r="Q40" i="6"/>
  <c r="Q78" i="6"/>
  <c r="Q79" i="6"/>
  <c r="Q41" i="6"/>
  <c r="Q44" i="6"/>
  <c r="Q45" i="6"/>
  <c r="Q51" i="6"/>
  <c r="Q52" i="6"/>
  <c r="Q53" i="6"/>
  <c r="Q54" i="6"/>
  <c r="Q57" i="6"/>
  <c r="Q58" i="6"/>
  <c r="Q59" i="6"/>
  <c r="Q61" i="6"/>
  <c r="Q60" i="6"/>
  <c r="Q62" i="6"/>
  <c r="Q66" i="6"/>
  <c r="Q67" i="6"/>
  <c r="Q69" i="6"/>
  <c r="Q71" i="6"/>
  <c r="Q68" i="6"/>
  <c r="Q70" i="6"/>
  <c r="Q73" i="6"/>
  <c r="Q72" i="6"/>
  <c r="Q74" i="6"/>
  <c r="Q75" i="6"/>
  <c r="Q76" i="6"/>
  <c r="Q77" i="6"/>
  <c r="Q81" i="6"/>
  <c r="Q83" i="6"/>
  <c r="Q80" i="6"/>
  <c r="Q82" i="6"/>
  <c r="Q84" i="6"/>
  <c r="Q85" i="6"/>
  <c r="Q86" i="6"/>
  <c r="Q88" i="6"/>
  <c r="Q87" i="6"/>
  <c r="Q89" i="6"/>
  <c r="Q90" i="6"/>
  <c r="Q91" i="6"/>
  <c r="Q92" i="6"/>
  <c r="Q94" i="6"/>
  <c r="Q93" i="6"/>
  <c r="Q95" i="6"/>
  <c r="Q96" i="6"/>
  <c r="Q97" i="6"/>
  <c r="Q99" i="6"/>
  <c r="Q101" i="6"/>
  <c r="Q98" i="6"/>
  <c r="Q100" i="6"/>
  <c r="Q103" i="6"/>
  <c r="Q104" i="6"/>
  <c r="Q48" i="6"/>
  <c r="Q63" i="6"/>
  <c r="Q102" i="6"/>
  <c r="Q4" i="6"/>
  <c r="Q5" i="6"/>
  <c r="Q6" i="6"/>
  <c r="Q27" i="6"/>
  <c r="Q26" i="6"/>
  <c r="Q7" i="6"/>
  <c r="Q28" i="6"/>
  <c r="Q29" i="6"/>
  <c r="Q8" i="6"/>
  <c r="Q9" i="6"/>
  <c r="Q11" i="6"/>
  <c r="Q30" i="6"/>
  <c r="Q10" i="6"/>
  <c r="Q12" i="6"/>
  <c r="Q13" i="6"/>
  <c r="Q14" i="6"/>
  <c r="Q31" i="6"/>
  <c r="Q15" i="6"/>
  <c r="Q17" i="6"/>
  <c r="Q32" i="6"/>
  <c r="Q16" i="6"/>
  <c r="Q18" i="6"/>
  <c r="Q19" i="6"/>
  <c r="Q20" i="6"/>
  <c r="Q33" i="6"/>
  <c r="Q21" i="6"/>
  <c r="Q22" i="6"/>
  <c r="Q23" i="6"/>
  <c r="Q34" i="6"/>
  <c r="Q25" i="6"/>
  <c r="Q35" i="6"/>
  <c r="Q24" i="6"/>
  <c r="Q42" i="6"/>
  <c r="N9" i="6"/>
  <c r="N11" i="6"/>
  <c r="N30" i="6"/>
  <c r="N10" i="6"/>
  <c r="N12" i="6"/>
  <c r="N13" i="6"/>
  <c r="N14" i="6"/>
  <c r="N31" i="6"/>
  <c r="N15" i="6"/>
  <c r="N17" i="6"/>
  <c r="N32" i="6"/>
  <c r="N16" i="6"/>
  <c r="N18" i="6"/>
  <c r="N19" i="6"/>
  <c r="N20" i="6"/>
  <c r="N33" i="6"/>
  <c r="N21" i="6"/>
  <c r="N22" i="6"/>
  <c r="N23" i="6"/>
  <c r="N34" i="6"/>
  <c r="N25" i="6"/>
  <c r="N35" i="6"/>
  <c r="N24" i="6"/>
  <c r="C19" i="37" l="1"/>
  <c r="E18" i="37"/>
  <c r="N79" i="21"/>
  <c r="N80" i="21"/>
  <c r="N78" i="21"/>
  <c r="N77" i="21"/>
  <c r="N76" i="21"/>
  <c r="N75" i="21"/>
  <c r="N74" i="21"/>
  <c r="N73" i="21"/>
  <c r="N72" i="21"/>
  <c r="N71" i="21"/>
  <c r="N70" i="21"/>
  <c r="N69" i="21"/>
  <c r="N68" i="21"/>
  <c r="N67" i="21"/>
  <c r="N12" i="21"/>
  <c r="N13" i="21"/>
  <c r="N60" i="21"/>
  <c r="N28" i="21"/>
  <c r="N43" i="21"/>
  <c r="N41" i="21"/>
  <c r="N45" i="21"/>
  <c r="N47" i="21"/>
  <c r="N51" i="21"/>
  <c r="N53" i="21"/>
  <c r="N57" i="21"/>
  <c r="N58" i="21"/>
  <c r="N59" i="21"/>
  <c r="N61" i="21"/>
  <c r="N62" i="21"/>
  <c r="N63" i="21"/>
  <c r="N64" i="21"/>
  <c r="N65" i="21"/>
  <c r="N66" i="21"/>
  <c r="N27" i="21"/>
  <c r="N42" i="21"/>
  <c r="N11" i="21"/>
  <c r="N16" i="21"/>
  <c r="N21" i="21"/>
  <c r="N25" i="21"/>
  <c r="N40" i="21"/>
  <c r="N44" i="21"/>
  <c r="N46" i="21"/>
  <c r="N50" i="21"/>
  <c r="N52" i="21"/>
  <c r="N17" i="21"/>
  <c r="N22" i="21"/>
  <c r="N26" i="21"/>
  <c r="N56" i="21"/>
  <c r="N14" i="21"/>
  <c r="N18" i="21"/>
  <c r="N23" i="21"/>
  <c r="N29" i="21"/>
  <c r="N16" i="20"/>
  <c r="N15" i="20"/>
  <c r="N37" i="20"/>
  <c r="N36" i="20"/>
  <c r="N96" i="20"/>
  <c r="N129" i="20"/>
  <c r="N61" i="20"/>
  <c r="N59" i="20"/>
  <c r="N67" i="20"/>
  <c r="N65" i="20"/>
  <c r="N77" i="20"/>
  <c r="N79" i="20"/>
  <c r="N81" i="20"/>
  <c r="N84" i="20"/>
  <c r="N92" i="20"/>
  <c r="N90" i="20"/>
  <c r="N97" i="20"/>
  <c r="N103" i="20"/>
  <c r="N105" i="20"/>
  <c r="N109" i="20"/>
  <c r="N107" i="20"/>
  <c r="N111" i="20"/>
  <c r="N115" i="20"/>
  <c r="N62" i="20"/>
  <c r="N60" i="20"/>
  <c r="N68" i="20"/>
  <c r="N66" i="20"/>
  <c r="N78" i="20"/>
  <c r="N80" i="20"/>
  <c r="N82" i="20"/>
  <c r="N85" i="20"/>
  <c r="N93" i="20"/>
  <c r="N91" i="20"/>
  <c r="N98" i="20"/>
  <c r="N104" i="20"/>
  <c r="N106" i="20"/>
  <c r="N110" i="20"/>
  <c r="N108" i="20"/>
  <c r="N112" i="20"/>
  <c r="N116" i="20"/>
  <c r="N43" i="20"/>
  <c r="N42" i="20"/>
  <c r="N45" i="20"/>
  <c r="N44" i="20"/>
  <c r="N46" i="20"/>
  <c r="N47" i="20"/>
  <c r="N48" i="20"/>
  <c r="N49" i="20"/>
  <c r="N51" i="20"/>
  <c r="N50" i="20"/>
  <c r="N52" i="20"/>
  <c r="N53" i="20"/>
  <c r="N54" i="20"/>
  <c r="N56" i="20"/>
  <c r="N55" i="20"/>
  <c r="N57" i="20"/>
  <c r="N58" i="20"/>
  <c r="N63" i="20"/>
  <c r="N69" i="20"/>
  <c r="N71" i="20"/>
  <c r="N73" i="20"/>
  <c r="N75" i="20"/>
  <c r="N86" i="20"/>
  <c r="N88" i="20"/>
  <c r="N94" i="20"/>
  <c r="N99" i="20"/>
  <c r="N101" i="20"/>
  <c r="N113" i="20"/>
  <c r="N117" i="20"/>
  <c r="N119" i="20"/>
  <c r="N121" i="20"/>
  <c r="N123" i="20"/>
  <c r="N125" i="20"/>
  <c r="N127" i="20"/>
  <c r="N64" i="20"/>
  <c r="N70" i="20"/>
  <c r="N72" i="20"/>
  <c r="N74" i="20"/>
  <c r="N76" i="20"/>
  <c r="N87" i="20"/>
  <c r="N89" i="20"/>
  <c r="N95" i="20"/>
  <c r="N100" i="20"/>
  <c r="N102" i="20"/>
  <c r="N114" i="20"/>
  <c r="N118" i="20"/>
  <c r="N120" i="20"/>
  <c r="N122" i="20"/>
  <c r="N124" i="20"/>
  <c r="N126" i="20"/>
  <c r="N128" i="20"/>
  <c r="N4" i="20"/>
  <c r="N24" i="20"/>
  <c r="N25" i="20"/>
  <c r="N5" i="20"/>
  <c r="N6" i="20"/>
  <c r="N26" i="20"/>
  <c r="N8" i="20"/>
  <c r="N7" i="20"/>
  <c r="N27" i="20"/>
  <c r="N28" i="20"/>
  <c r="N9" i="20"/>
  <c r="N29" i="20"/>
  <c r="N30" i="20"/>
  <c r="N31" i="20"/>
  <c r="N10" i="20"/>
  <c r="N11" i="20"/>
  <c r="N32" i="20"/>
  <c r="N33" i="20"/>
  <c r="N12" i="20"/>
  <c r="N13" i="20"/>
  <c r="N34" i="20"/>
  <c r="N14" i="20"/>
  <c r="N35" i="20"/>
  <c r="N25" i="25"/>
  <c r="N4" i="25"/>
  <c r="N5" i="25"/>
  <c r="N6" i="25"/>
  <c r="N7" i="25"/>
  <c r="N8" i="25"/>
  <c r="N9" i="25"/>
  <c r="N10" i="25"/>
  <c r="N11" i="25"/>
  <c r="N12" i="25"/>
  <c r="N13" i="25"/>
  <c r="N26" i="25"/>
  <c r="N14" i="25"/>
  <c r="N15" i="25"/>
  <c r="N16" i="25"/>
  <c r="N17" i="25"/>
  <c r="N27" i="25"/>
  <c r="N28" i="25"/>
  <c r="N18" i="25"/>
  <c r="N19" i="25"/>
  <c r="N20" i="25"/>
  <c r="N21" i="25"/>
  <c r="N29" i="25"/>
  <c r="N30" i="25"/>
  <c r="N22" i="25"/>
  <c r="N23" i="25"/>
  <c r="N31" i="25"/>
  <c r="N32" i="25"/>
  <c r="N33" i="25"/>
  <c r="N24" i="25"/>
  <c r="N294" i="18"/>
  <c r="N304" i="18"/>
  <c r="N270" i="18"/>
  <c r="N278" i="18"/>
  <c r="N280" i="18"/>
  <c r="N282" i="18"/>
  <c r="N262" i="18"/>
  <c r="N268" i="18"/>
  <c r="N266" i="18"/>
  <c r="N264" i="18"/>
  <c r="N244" i="18"/>
  <c r="N252" i="18"/>
  <c r="N250" i="18"/>
  <c r="N246" i="18"/>
  <c r="N248" i="18"/>
  <c r="N256" i="18"/>
  <c r="N224" i="18"/>
  <c r="N232" i="18"/>
  <c r="N238" i="18"/>
  <c r="N236" i="18"/>
  <c r="N214" i="18"/>
  <c r="N208" i="18"/>
  <c r="N198" i="18"/>
  <c r="N182" i="18"/>
  <c r="N292" i="18"/>
  <c r="N288" i="18"/>
  <c r="N168" i="18"/>
  <c r="N170" i="18"/>
  <c r="N174" i="18"/>
  <c r="N178" i="18"/>
  <c r="N166" i="18"/>
  <c r="N176" i="18"/>
  <c r="N180" i="18"/>
  <c r="N184" i="18"/>
  <c r="N186" i="18"/>
  <c r="N190" i="18"/>
  <c r="N192" i="18"/>
  <c r="N194" i="18"/>
  <c r="N196" i="18"/>
  <c r="N200" i="18"/>
  <c r="N202" i="18"/>
  <c r="N206" i="18"/>
  <c r="N204" i="18"/>
  <c r="N212" i="18"/>
  <c r="N220" i="18"/>
  <c r="N218" i="18"/>
  <c r="N216" i="18"/>
  <c r="N230" i="18"/>
  <c r="N228" i="18"/>
  <c r="N226" i="18"/>
  <c r="N240" i="18"/>
  <c r="N242" i="18"/>
  <c r="N258" i="18"/>
  <c r="N260" i="18"/>
  <c r="N276" i="18"/>
  <c r="N274" i="18"/>
  <c r="N272" i="18"/>
  <c r="N284" i="18"/>
  <c r="N286" i="18"/>
  <c r="N300" i="18"/>
  <c r="N298" i="18"/>
  <c r="N296" i="18"/>
  <c r="N290" i="18"/>
  <c r="N302" i="18"/>
  <c r="N308" i="18"/>
  <c r="N306" i="18"/>
  <c r="N138" i="18"/>
  <c r="N197" i="14"/>
  <c r="N196" i="14"/>
  <c r="N195" i="14"/>
  <c r="N194" i="14"/>
  <c r="N193" i="14"/>
  <c r="N192" i="14"/>
  <c r="N191" i="14"/>
  <c r="N190" i="14"/>
  <c r="N189" i="14"/>
  <c r="N188" i="14"/>
  <c r="N187" i="14"/>
  <c r="N186" i="14"/>
  <c r="N185" i="14"/>
  <c r="N184" i="14"/>
  <c r="N183" i="14"/>
  <c r="N182" i="14"/>
  <c r="N181" i="14"/>
  <c r="N180" i="14"/>
  <c r="N179" i="14"/>
  <c r="N178" i="14"/>
  <c r="N177" i="14"/>
  <c r="N176" i="14"/>
  <c r="N175" i="14"/>
  <c r="N174" i="14"/>
  <c r="N173" i="14"/>
  <c r="N172" i="14"/>
  <c r="N171" i="14"/>
  <c r="N170" i="14"/>
  <c r="N169" i="14"/>
  <c r="N168" i="14"/>
  <c r="N167" i="14"/>
  <c r="N166" i="14"/>
  <c r="N165" i="14"/>
  <c r="N164" i="14"/>
  <c r="N163" i="14"/>
  <c r="N162" i="14"/>
  <c r="N161" i="14"/>
  <c r="N160" i="14"/>
  <c r="N159" i="14"/>
  <c r="N158" i="14"/>
  <c r="N157" i="14"/>
  <c r="N156" i="14"/>
  <c r="N155" i="14"/>
  <c r="N154" i="14"/>
  <c r="N153" i="14"/>
  <c r="N152" i="14"/>
  <c r="N151" i="14"/>
  <c r="N150" i="14"/>
  <c r="N149" i="14"/>
  <c r="N148" i="14"/>
  <c r="N147" i="14"/>
  <c r="N146" i="14"/>
  <c r="N145" i="14"/>
  <c r="N144" i="14"/>
  <c r="N143" i="14"/>
  <c r="N142" i="14"/>
  <c r="N141" i="14"/>
  <c r="N140" i="14"/>
  <c r="N139" i="14"/>
  <c r="N138" i="14"/>
  <c r="N137" i="14"/>
  <c r="N136" i="14"/>
  <c r="N135" i="14"/>
  <c r="N134" i="14"/>
  <c r="N133" i="14"/>
  <c r="N132" i="14"/>
  <c r="N130" i="14"/>
  <c r="N129" i="14"/>
  <c r="N128" i="14"/>
  <c r="N127" i="14"/>
  <c r="N126" i="14"/>
  <c r="N125" i="14"/>
  <c r="N124" i="14"/>
  <c r="N123" i="14"/>
  <c r="N122" i="14"/>
  <c r="N121" i="14"/>
  <c r="N120" i="14"/>
  <c r="N119" i="14"/>
  <c r="N118" i="14"/>
  <c r="N117" i="14"/>
  <c r="N116" i="14"/>
  <c r="N115" i="14"/>
  <c r="N114" i="14"/>
  <c r="N113" i="14"/>
  <c r="N112" i="14"/>
  <c r="N111" i="14"/>
  <c r="N110" i="14"/>
  <c r="N109" i="14"/>
  <c r="N108" i="14"/>
  <c r="N107" i="14"/>
  <c r="N106" i="14"/>
  <c r="N105" i="14"/>
  <c r="N104" i="14"/>
  <c r="N103" i="14"/>
  <c r="N102" i="14"/>
  <c r="N101" i="14"/>
  <c r="N100" i="14"/>
  <c r="N99" i="14"/>
  <c r="N98" i="14"/>
  <c r="N97" i="14"/>
  <c r="N96" i="14"/>
  <c r="N95" i="14"/>
  <c r="N94" i="14"/>
  <c r="N93" i="14"/>
  <c r="N92" i="14"/>
  <c r="N91" i="14"/>
  <c r="N90" i="14"/>
  <c r="N89" i="14"/>
  <c r="N88" i="14"/>
  <c r="N87" i="14"/>
  <c r="N86" i="14"/>
  <c r="N85" i="14"/>
  <c r="N84" i="14"/>
  <c r="N83" i="14"/>
  <c r="N82" i="14"/>
  <c r="N81" i="14"/>
  <c r="N80" i="14"/>
  <c r="N79" i="14"/>
  <c r="N78" i="14"/>
  <c r="N77" i="14"/>
  <c r="N76" i="14"/>
  <c r="N75" i="14"/>
  <c r="N74" i="14"/>
  <c r="N73" i="14"/>
  <c r="N72" i="14"/>
  <c r="N71" i="14"/>
  <c r="N70" i="14"/>
  <c r="N69" i="14"/>
  <c r="N68" i="14"/>
  <c r="N67" i="14"/>
  <c r="N66" i="14"/>
  <c r="N65" i="14"/>
  <c r="N64" i="14"/>
  <c r="N63" i="14"/>
  <c r="N62" i="14"/>
  <c r="N61" i="14"/>
  <c r="N60" i="14"/>
  <c r="N58" i="14"/>
  <c r="N57" i="14"/>
  <c r="N56" i="14"/>
  <c r="N55" i="14"/>
  <c r="N54" i="14"/>
  <c r="N53" i="14"/>
  <c r="N52" i="14"/>
  <c r="N51" i="14"/>
  <c r="N50" i="14"/>
  <c r="N49" i="14"/>
  <c r="N48" i="14"/>
  <c r="N47" i="14"/>
  <c r="N46" i="14"/>
  <c r="N45" i="14"/>
  <c r="N44" i="14"/>
  <c r="N43" i="14"/>
  <c r="N42" i="14"/>
  <c r="N41" i="14"/>
  <c r="N40" i="14"/>
  <c r="N39" i="14"/>
  <c r="N38" i="14"/>
  <c r="N37" i="14"/>
  <c r="N36" i="14"/>
  <c r="N35" i="14"/>
  <c r="N34" i="14"/>
  <c r="N33" i="14"/>
  <c r="N32" i="14"/>
  <c r="N31" i="14"/>
  <c r="N30" i="14"/>
  <c r="N29" i="14"/>
  <c r="N28" i="14"/>
  <c r="N27" i="14"/>
  <c r="N26" i="14"/>
  <c r="N25" i="14"/>
  <c r="N24" i="14"/>
  <c r="N23" i="14"/>
  <c r="N22" i="14"/>
  <c r="N21" i="14"/>
  <c r="N20" i="14"/>
  <c r="N19" i="14"/>
  <c r="N18" i="14"/>
  <c r="N17" i="14"/>
  <c r="N16" i="14"/>
  <c r="N15" i="14"/>
  <c r="N14" i="14"/>
  <c r="N13" i="14"/>
  <c r="N12" i="14"/>
  <c r="N11" i="14"/>
  <c r="N10" i="14"/>
  <c r="N9" i="14"/>
  <c r="N8" i="14"/>
  <c r="N7" i="14"/>
  <c r="N6" i="14"/>
  <c r="N5" i="14"/>
  <c r="N4" i="14"/>
  <c r="C4" i="14"/>
  <c r="C5" i="14" s="1"/>
  <c r="C6" i="14" s="1"/>
  <c r="C7" i="14" s="1"/>
  <c r="C8" i="14" s="1"/>
  <c r="C9" i="14" s="1"/>
  <c r="C10" i="14" s="1"/>
  <c r="C11" i="14" s="1"/>
  <c r="C12" i="14" s="1"/>
  <c r="C13" i="14" s="1"/>
  <c r="C14" i="14" s="1"/>
  <c r="C15" i="14" s="1"/>
  <c r="C16" i="14" s="1"/>
  <c r="C17" i="14" s="1"/>
  <c r="C18" i="14" s="1"/>
  <c r="C19" i="14" s="1"/>
  <c r="C20" i="14" s="1"/>
  <c r="C21" i="14" s="1"/>
  <c r="C22" i="14" s="1"/>
  <c r="C23" i="14" s="1"/>
  <c r="C24" i="14" s="1"/>
  <c r="C25" i="14" s="1"/>
  <c r="C26" i="14" s="1"/>
  <c r="C27" i="14" s="1"/>
  <c r="C28" i="14" s="1"/>
  <c r="C29" i="14" s="1"/>
  <c r="C30" i="14" s="1"/>
  <c r="C31" i="14" s="1"/>
  <c r="C32" i="14" s="1"/>
  <c r="C33" i="14" s="1"/>
  <c r="C34" i="14" s="1"/>
  <c r="C35" i="14" s="1"/>
  <c r="C36" i="14" s="1"/>
  <c r="C37" i="14" s="1"/>
  <c r="C38" i="14" s="1"/>
  <c r="C39" i="14" s="1"/>
  <c r="C40" i="14" s="1"/>
  <c r="C41" i="14" s="1"/>
  <c r="C42" i="14" s="1"/>
  <c r="C43" i="14" s="1"/>
  <c r="C44" i="14" s="1"/>
  <c r="C45" i="14" s="1"/>
  <c r="C46" i="14" s="1"/>
  <c r="C47" i="14" s="1"/>
  <c r="C48" i="14" s="1"/>
  <c r="C49" i="14" s="1"/>
  <c r="C50" i="14" s="1"/>
  <c r="C51" i="14" s="1"/>
  <c r="C52" i="14" s="1"/>
  <c r="C53" i="14" s="1"/>
  <c r="C54" i="14" s="1"/>
  <c r="C55" i="14" s="1"/>
  <c r="C56" i="14" s="1"/>
  <c r="C57" i="14" s="1"/>
  <c r="C58" i="14" s="1"/>
  <c r="C20" i="37" l="1"/>
  <c r="E19" i="37"/>
  <c r="C59" i="14"/>
  <c r="C60" i="14" s="1"/>
  <c r="C61" i="14" s="1"/>
  <c r="C62" i="14" s="1"/>
  <c r="C63" i="14" s="1"/>
  <c r="C64" i="14" s="1"/>
  <c r="C65" i="14" s="1"/>
  <c r="C66" i="14" s="1"/>
  <c r="C67" i="14" s="1"/>
  <c r="C68" i="14" s="1"/>
  <c r="C69" i="14" s="1"/>
  <c r="C70" i="14" s="1"/>
  <c r="C71" i="14" s="1"/>
  <c r="C72" i="14" s="1"/>
  <c r="C73" i="14" s="1"/>
  <c r="C74" i="14" s="1"/>
  <c r="C75" i="14" s="1"/>
  <c r="C76" i="14" s="1"/>
  <c r="C77" i="14" s="1"/>
  <c r="C78" i="14" s="1"/>
  <c r="C79" i="14" s="1"/>
  <c r="C80" i="14" s="1"/>
  <c r="C81" i="14" s="1"/>
  <c r="C82" i="14" s="1"/>
  <c r="C83" i="14" s="1"/>
  <c r="C84" i="14" s="1"/>
  <c r="C85" i="14" s="1"/>
  <c r="C86" i="14" s="1"/>
  <c r="C87" i="14" s="1"/>
  <c r="C88" i="14" s="1"/>
  <c r="C89" i="14" s="1"/>
  <c r="C90" i="14" s="1"/>
  <c r="C91" i="14" s="1"/>
  <c r="C92" i="14" s="1"/>
  <c r="C93" i="14" s="1"/>
  <c r="C94" i="14" s="1"/>
  <c r="C95" i="14" s="1"/>
  <c r="C96" i="14" s="1"/>
  <c r="C97" i="14" s="1"/>
  <c r="C98" i="14" s="1"/>
  <c r="C99" i="14" s="1"/>
  <c r="C100" i="14" s="1"/>
  <c r="C101" i="14" s="1"/>
  <c r="C102" i="14" s="1"/>
  <c r="C103" i="14" s="1"/>
  <c r="C104" i="14" s="1"/>
  <c r="C105" i="14" s="1"/>
  <c r="C106" i="14" s="1"/>
  <c r="C107" i="14" s="1"/>
  <c r="C108" i="14" s="1"/>
  <c r="C109" i="14" s="1"/>
  <c r="C110" i="14" s="1"/>
  <c r="C111" i="14" s="1"/>
  <c r="C112" i="14" s="1"/>
  <c r="C113" i="14" s="1"/>
  <c r="C114" i="14" s="1"/>
  <c r="C115" i="14" s="1"/>
  <c r="C116" i="14" s="1"/>
  <c r="C117" i="14" s="1"/>
  <c r="C118" i="14" s="1"/>
  <c r="C119" i="14" s="1"/>
  <c r="C120" i="14" s="1"/>
  <c r="C121" i="14" s="1"/>
  <c r="C122" i="14" s="1"/>
  <c r="C123" i="14" s="1"/>
  <c r="C124" i="14" s="1"/>
  <c r="C125" i="14" s="1"/>
  <c r="C126" i="14" s="1"/>
  <c r="C127" i="14" s="1"/>
  <c r="C128" i="14" s="1"/>
  <c r="C129" i="14" s="1"/>
  <c r="C130" i="14" s="1"/>
  <c r="N7" i="32"/>
  <c r="N6" i="32"/>
  <c r="N5" i="32"/>
  <c r="N4" i="32"/>
  <c r="C4" i="32"/>
  <c r="C21" i="37" l="1"/>
  <c r="E20" i="37"/>
  <c r="C5" i="32"/>
  <c r="E4" i="32"/>
  <c r="C131" i="14"/>
  <c r="C132" i="14" s="1"/>
  <c r="C133" i="14" s="1"/>
  <c r="C134" i="14" s="1"/>
  <c r="C135" i="14" s="1"/>
  <c r="C136" i="14" s="1"/>
  <c r="C137" i="14" s="1"/>
  <c r="C138" i="14" s="1"/>
  <c r="C139" i="14" s="1"/>
  <c r="C140" i="14" s="1"/>
  <c r="C141" i="14" s="1"/>
  <c r="C142" i="14" s="1"/>
  <c r="C143" i="14" s="1"/>
  <c r="C144" i="14" s="1"/>
  <c r="C145" i="14" s="1"/>
  <c r="C146" i="14" s="1"/>
  <c r="C147" i="14" s="1"/>
  <c r="C148" i="14" s="1"/>
  <c r="C149" i="14" s="1"/>
  <c r="C150" i="14" s="1"/>
  <c r="C151" i="14" s="1"/>
  <c r="C152" i="14" s="1"/>
  <c r="C153" i="14" s="1"/>
  <c r="C154" i="14" s="1"/>
  <c r="C155" i="14" s="1"/>
  <c r="C156" i="14" s="1"/>
  <c r="C157" i="14" s="1"/>
  <c r="C158" i="14" s="1"/>
  <c r="C159" i="14" s="1"/>
  <c r="C160" i="14" s="1"/>
  <c r="C161" i="14" s="1"/>
  <c r="C162" i="14" s="1"/>
  <c r="C163" i="14" s="1"/>
  <c r="C164" i="14" s="1"/>
  <c r="C165" i="14" s="1"/>
  <c r="C166" i="14" s="1"/>
  <c r="C167" i="14" s="1"/>
  <c r="C168" i="14" s="1"/>
  <c r="C169" i="14" s="1"/>
  <c r="C170" i="14" s="1"/>
  <c r="C171" i="14" s="1"/>
  <c r="C172" i="14" s="1"/>
  <c r="C173" i="14" s="1"/>
  <c r="C174" i="14" s="1"/>
  <c r="C175" i="14" s="1"/>
  <c r="C176" i="14" s="1"/>
  <c r="C177" i="14" s="1"/>
  <c r="C178" i="14" s="1"/>
  <c r="C179" i="14" s="1"/>
  <c r="C180" i="14" s="1"/>
  <c r="C181" i="14" s="1"/>
  <c r="C182" i="14" s="1"/>
  <c r="C183" i="14" s="1"/>
  <c r="C184" i="14" s="1"/>
  <c r="C185" i="14" s="1"/>
  <c r="C186" i="14" s="1"/>
  <c r="C187" i="14" s="1"/>
  <c r="C188" i="14" s="1"/>
  <c r="C189" i="14" s="1"/>
  <c r="C190" i="14" s="1"/>
  <c r="C191" i="14" s="1"/>
  <c r="C192" i="14" s="1"/>
  <c r="C193" i="14" s="1"/>
  <c r="C194" i="14" s="1"/>
  <c r="C195" i="14" s="1"/>
  <c r="C196" i="14" s="1"/>
  <c r="C197" i="14" s="1"/>
  <c r="C198" i="14" s="1"/>
  <c r="C199" i="14" s="1"/>
  <c r="C200" i="14" s="1"/>
  <c r="C201" i="14" s="1"/>
  <c r="N66" i="31"/>
  <c r="N68" i="31"/>
  <c r="N70" i="31"/>
  <c r="N72" i="31"/>
  <c r="N74" i="31"/>
  <c r="N76" i="31"/>
  <c r="N78" i="31"/>
  <c r="N80" i="31"/>
  <c r="N82" i="31"/>
  <c r="N84" i="31"/>
  <c r="N86" i="31"/>
  <c r="N88" i="31"/>
  <c r="N90" i="31"/>
  <c r="N92" i="31"/>
  <c r="N94" i="31"/>
  <c r="N96" i="31"/>
  <c r="N98" i="31"/>
  <c r="N100" i="31"/>
  <c r="N102" i="31"/>
  <c r="N104" i="31"/>
  <c r="N106" i="31"/>
  <c r="N108" i="31"/>
  <c r="N65" i="31"/>
  <c r="N67" i="31"/>
  <c r="N69" i="31"/>
  <c r="N71" i="31"/>
  <c r="N73" i="31"/>
  <c r="N75" i="31"/>
  <c r="N77" i="31"/>
  <c r="N79" i="31"/>
  <c r="N81" i="31"/>
  <c r="N83" i="31"/>
  <c r="N85" i="31"/>
  <c r="N87" i="31"/>
  <c r="N89" i="31"/>
  <c r="N91" i="31"/>
  <c r="N93" i="31"/>
  <c r="N95" i="31"/>
  <c r="N97" i="31"/>
  <c r="N99" i="31"/>
  <c r="N101" i="31"/>
  <c r="N103" i="31"/>
  <c r="N105" i="31"/>
  <c r="N107" i="31"/>
  <c r="N29" i="31"/>
  <c r="N30" i="31"/>
  <c r="N31" i="31"/>
  <c r="N32" i="31"/>
  <c r="N33" i="31"/>
  <c r="N34" i="31"/>
  <c r="N35" i="31"/>
  <c r="N36" i="31"/>
  <c r="N37" i="31"/>
  <c r="N38" i="31"/>
  <c r="N39" i="31"/>
  <c r="N40" i="31"/>
  <c r="N41" i="31"/>
  <c r="N42" i="31"/>
  <c r="N43" i="31"/>
  <c r="N44" i="31"/>
  <c r="N45" i="31"/>
  <c r="N46" i="31"/>
  <c r="N47" i="31"/>
  <c r="N48" i="31"/>
  <c r="N49" i="31"/>
  <c r="N50" i="31"/>
  <c r="N51" i="31"/>
  <c r="N52" i="31"/>
  <c r="N53" i="31"/>
  <c r="N54" i="31"/>
  <c r="N55" i="31"/>
  <c r="N56" i="31"/>
  <c r="N57" i="31"/>
  <c r="N58" i="31"/>
  <c r="N59" i="31"/>
  <c r="N60" i="31"/>
  <c r="N61" i="31"/>
  <c r="N62" i="31"/>
  <c r="N63" i="31"/>
  <c r="N28" i="31"/>
  <c r="N27" i="31"/>
  <c r="N26" i="31"/>
  <c r="N25" i="31"/>
  <c r="N24" i="31"/>
  <c r="N23" i="31"/>
  <c r="N22" i="31"/>
  <c r="N21" i="31"/>
  <c r="N20" i="31"/>
  <c r="N19" i="31"/>
  <c r="N18" i="31"/>
  <c r="N17" i="31"/>
  <c r="N16" i="31"/>
  <c r="N15" i="31"/>
  <c r="N14" i="31"/>
  <c r="N13" i="31"/>
  <c r="N12" i="31"/>
  <c r="N11" i="31"/>
  <c r="N10" i="31"/>
  <c r="N9" i="31"/>
  <c r="N8" i="31"/>
  <c r="N7" i="31"/>
  <c r="N6" i="31"/>
  <c r="N5" i="31"/>
  <c r="N4" i="31"/>
  <c r="C4" i="31"/>
  <c r="N54" i="30"/>
  <c r="N50" i="30"/>
  <c r="N45" i="30"/>
  <c r="N46" i="30"/>
  <c r="N43" i="30"/>
  <c r="N38" i="30"/>
  <c r="N53" i="30"/>
  <c r="N34" i="30"/>
  <c r="N40" i="30"/>
  <c r="N51" i="30"/>
  <c r="N47" i="30"/>
  <c r="N48" i="30"/>
  <c r="N44" i="30"/>
  <c r="N39" i="30"/>
  <c r="N35" i="30"/>
  <c r="N52" i="30"/>
  <c r="N41" i="30"/>
  <c r="N33" i="30"/>
  <c r="N37" i="30"/>
  <c r="N36" i="30"/>
  <c r="N64" i="30"/>
  <c r="N49" i="30"/>
  <c r="N42" i="30"/>
  <c r="N98" i="29"/>
  <c r="N96" i="29"/>
  <c r="N95" i="29"/>
  <c r="N92" i="29"/>
  <c r="N91" i="29"/>
  <c r="N88" i="29"/>
  <c r="N87" i="29"/>
  <c r="N84" i="29"/>
  <c r="N83" i="29"/>
  <c r="N80" i="29"/>
  <c r="N79" i="29"/>
  <c r="N76" i="29"/>
  <c r="N74" i="29"/>
  <c r="N72" i="29"/>
  <c r="N70" i="29"/>
  <c r="N68" i="29"/>
  <c r="N66" i="29"/>
  <c r="N64" i="29"/>
  <c r="N62" i="29"/>
  <c r="N60" i="29"/>
  <c r="N58" i="29"/>
  <c r="N56" i="29"/>
  <c r="N54" i="29"/>
  <c r="N52" i="29"/>
  <c r="N50" i="29"/>
  <c r="N48" i="29"/>
  <c r="N46" i="29"/>
  <c r="N44" i="29"/>
  <c r="N42" i="29"/>
  <c r="N40" i="29"/>
  <c r="N38" i="29"/>
  <c r="N36" i="29"/>
  <c r="N34" i="29"/>
  <c r="N32" i="29"/>
  <c r="N30" i="29"/>
  <c r="N28" i="29"/>
  <c r="N26" i="29"/>
  <c r="N24" i="29"/>
  <c r="N22" i="29"/>
  <c r="N97" i="29"/>
  <c r="N94" i="29"/>
  <c r="N93" i="29"/>
  <c r="N90" i="29"/>
  <c r="N89" i="29"/>
  <c r="N86" i="29"/>
  <c r="N85" i="29"/>
  <c r="N82" i="29"/>
  <c r="N81" i="29"/>
  <c r="N78" i="29"/>
  <c r="N77" i="29"/>
  <c r="N75" i="29"/>
  <c r="N73" i="29"/>
  <c r="N71" i="29"/>
  <c r="N69" i="29"/>
  <c r="N67" i="29"/>
  <c r="N65" i="29"/>
  <c r="N63" i="29"/>
  <c r="N61" i="29"/>
  <c r="N59" i="29"/>
  <c r="N57" i="29"/>
  <c r="N55" i="29"/>
  <c r="N53" i="29"/>
  <c r="N51" i="29"/>
  <c r="N49" i="29"/>
  <c r="N47" i="29"/>
  <c r="N45" i="29"/>
  <c r="N43" i="29"/>
  <c r="N41" i="29"/>
  <c r="N39" i="29"/>
  <c r="N37" i="29"/>
  <c r="N35" i="29"/>
  <c r="N33" i="29"/>
  <c r="N31" i="29"/>
  <c r="N29" i="29"/>
  <c r="N27" i="29"/>
  <c r="N25" i="29"/>
  <c r="N23" i="29"/>
  <c r="N21" i="29"/>
  <c r="N20" i="29"/>
  <c r="N19" i="29"/>
  <c r="N18" i="29"/>
  <c r="N17" i="29"/>
  <c r="N16" i="29"/>
  <c r="N15" i="29"/>
  <c r="N14" i="29"/>
  <c r="N13" i="29"/>
  <c r="N12" i="29"/>
  <c r="N11" i="29"/>
  <c r="N10" i="29"/>
  <c r="N9" i="29"/>
  <c r="N8" i="29"/>
  <c r="N7" i="29"/>
  <c r="N6" i="29"/>
  <c r="N5" i="29"/>
  <c r="N4" i="29"/>
  <c r="C4" i="29"/>
  <c r="C5" i="29" s="1"/>
  <c r="C6" i="29" s="1"/>
  <c r="C7" i="29" s="1"/>
  <c r="C8" i="29" s="1"/>
  <c r="C9" i="29" s="1"/>
  <c r="C10" i="29" s="1"/>
  <c r="C11" i="29" s="1"/>
  <c r="C12" i="29" s="1"/>
  <c r="C13" i="29" s="1"/>
  <c r="C14" i="29" s="1"/>
  <c r="C15" i="29" s="1"/>
  <c r="C16" i="29" s="1"/>
  <c r="C17" i="29" s="1"/>
  <c r="C18" i="29" s="1"/>
  <c r="C19" i="29" s="1"/>
  <c r="C20" i="29" s="1"/>
  <c r="C21" i="29" s="1"/>
  <c r="N194" i="28"/>
  <c r="N78" i="28"/>
  <c r="N195" i="28"/>
  <c r="N192" i="28"/>
  <c r="N75" i="28"/>
  <c r="N189" i="28"/>
  <c r="N184" i="28"/>
  <c r="N73" i="28"/>
  <c r="N181" i="28"/>
  <c r="N180" i="28"/>
  <c r="N71" i="28"/>
  <c r="N177" i="28"/>
  <c r="N176" i="28"/>
  <c r="N69" i="28"/>
  <c r="N173" i="28"/>
  <c r="N170" i="28"/>
  <c r="N68" i="28"/>
  <c r="N171" i="28"/>
  <c r="N168" i="28"/>
  <c r="N65" i="28"/>
  <c r="N165" i="28"/>
  <c r="N164" i="28"/>
  <c r="N62" i="28"/>
  <c r="N159" i="28"/>
  <c r="N162" i="28"/>
  <c r="N61" i="28"/>
  <c r="N157" i="28"/>
  <c r="N152" i="28"/>
  <c r="N60" i="28"/>
  <c r="N153" i="28"/>
  <c r="N148" i="28"/>
  <c r="N58" i="28"/>
  <c r="N149" i="28"/>
  <c r="N146" i="28"/>
  <c r="N145" i="28"/>
  <c r="N56" i="28"/>
  <c r="N150" i="28"/>
  <c r="N147" i="28"/>
  <c r="N57" i="28"/>
  <c r="N154" i="28"/>
  <c r="N151" i="28"/>
  <c r="N59" i="28"/>
  <c r="N158" i="28"/>
  <c r="N161" i="28"/>
  <c r="N63" i="28"/>
  <c r="N160" i="28"/>
  <c r="N163" i="28"/>
  <c r="N64" i="28"/>
  <c r="N166" i="28"/>
  <c r="N167" i="28"/>
  <c r="N66" i="28"/>
  <c r="N172" i="28"/>
  <c r="N169" i="28"/>
  <c r="N67" i="28"/>
  <c r="N174" i="28"/>
  <c r="N175" i="28"/>
  <c r="N70" i="28"/>
  <c r="N178" i="28"/>
  <c r="N179" i="28"/>
  <c r="N72" i="28"/>
  <c r="N182" i="28"/>
  <c r="N183" i="28"/>
  <c r="N74" i="28"/>
  <c r="N190" i="28"/>
  <c r="N191" i="28"/>
  <c r="N76" i="28"/>
  <c r="N196" i="28"/>
  <c r="N193" i="28"/>
  <c r="N266" i="28"/>
  <c r="N305" i="28"/>
  <c r="N119" i="28"/>
  <c r="N120" i="28"/>
  <c r="N43" i="28"/>
  <c r="N123" i="28"/>
  <c r="N124" i="28"/>
  <c r="N45" i="28"/>
  <c r="N121" i="28"/>
  <c r="N122" i="28"/>
  <c r="N44" i="28"/>
  <c r="N117" i="28"/>
  <c r="N118" i="28"/>
  <c r="N42" i="28"/>
  <c r="N127" i="28"/>
  <c r="N128" i="28"/>
  <c r="N47" i="28"/>
  <c r="N125" i="28"/>
  <c r="N126" i="28"/>
  <c r="N46" i="28"/>
  <c r="N129" i="28"/>
  <c r="N130" i="28"/>
  <c r="N48" i="28"/>
  <c r="N137" i="28"/>
  <c r="N138" i="28"/>
  <c r="N52" i="28"/>
  <c r="N135" i="28"/>
  <c r="N136" i="28"/>
  <c r="N51" i="28"/>
  <c r="N131" i="28"/>
  <c r="N132" i="28"/>
  <c r="N49" i="28"/>
  <c r="N133" i="28"/>
  <c r="N134" i="28"/>
  <c r="N50" i="28"/>
  <c r="N143" i="28"/>
  <c r="N144" i="28"/>
  <c r="N55" i="28"/>
  <c r="N141" i="28"/>
  <c r="N142" i="28"/>
  <c r="N54" i="28"/>
  <c r="N139" i="28"/>
  <c r="N140" i="28"/>
  <c r="N53" i="28"/>
  <c r="N203" i="28"/>
  <c r="N585" i="13"/>
  <c r="N586" i="13"/>
  <c r="N587" i="13"/>
  <c r="N588" i="13"/>
  <c r="N589" i="13"/>
  <c r="N584" i="13"/>
  <c r="N583" i="13"/>
  <c r="N582" i="13"/>
  <c r="N581" i="13"/>
  <c r="N580" i="13"/>
  <c r="N579" i="13"/>
  <c r="N578" i="13"/>
  <c r="N577" i="13"/>
  <c r="N576" i="13"/>
  <c r="N575" i="13"/>
  <c r="N574" i="13"/>
  <c r="N573" i="13"/>
  <c r="N572" i="13"/>
  <c r="N571" i="13"/>
  <c r="N570" i="13"/>
  <c r="N569" i="13"/>
  <c r="N568" i="13"/>
  <c r="N567" i="13"/>
  <c r="N566" i="13"/>
  <c r="N565" i="13"/>
  <c r="N564" i="13"/>
  <c r="N563" i="13"/>
  <c r="N562" i="13"/>
  <c r="N561" i="13"/>
  <c r="N560" i="13"/>
  <c r="N559" i="13"/>
  <c r="N558" i="13"/>
  <c r="N557" i="13"/>
  <c r="N556" i="13"/>
  <c r="N555" i="13"/>
  <c r="N554" i="13"/>
  <c r="N553" i="13"/>
  <c r="N552" i="13"/>
  <c r="N551" i="13"/>
  <c r="N550" i="13"/>
  <c r="N549" i="13"/>
  <c r="N548" i="13"/>
  <c r="N547" i="13"/>
  <c r="N546" i="13"/>
  <c r="N545" i="13"/>
  <c r="N544" i="13"/>
  <c r="N543" i="13"/>
  <c r="N542" i="13"/>
  <c r="N541" i="13"/>
  <c r="N540" i="13"/>
  <c r="N539" i="13"/>
  <c r="N538" i="13"/>
  <c r="N537" i="13"/>
  <c r="N536" i="13"/>
  <c r="N535" i="13"/>
  <c r="N534" i="13"/>
  <c r="N533" i="13"/>
  <c r="N532" i="13"/>
  <c r="N531" i="13"/>
  <c r="N530" i="13"/>
  <c r="N529" i="13"/>
  <c r="N528" i="13"/>
  <c r="N527" i="13"/>
  <c r="N526" i="13"/>
  <c r="N525" i="13"/>
  <c r="N524" i="13"/>
  <c r="N523" i="13"/>
  <c r="N522" i="13"/>
  <c r="N521" i="13"/>
  <c r="N520" i="13"/>
  <c r="N519" i="13"/>
  <c r="N518" i="13"/>
  <c r="N517" i="13"/>
  <c r="N516" i="13"/>
  <c r="N515" i="13"/>
  <c r="N514" i="13"/>
  <c r="N513" i="13"/>
  <c r="N512" i="13"/>
  <c r="N511" i="13"/>
  <c r="N510" i="13"/>
  <c r="N509" i="13"/>
  <c r="N508" i="13"/>
  <c r="N507" i="13"/>
  <c r="N506" i="13"/>
  <c r="N505" i="13"/>
  <c r="N504" i="13"/>
  <c r="N503" i="13"/>
  <c r="N502" i="13"/>
  <c r="N501" i="13"/>
  <c r="N500" i="13"/>
  <c r="N499" i="13"/>
  <c r="N498" i="13"/>
  <c r="N497" i="13"/>
  <c r="N496" i="13"/>
  <c r="N495" i="13"/>
  <c r="N494" i="13"/>
  <c r="N493" i="13"/>
  <c r="N492" i="13"/>
  <c r="N491" i="13"/>
  <c r="N490" i="13"/>
  <c r="N489" i="13"/>
  <c r="N488" i="13"/>
  <c r="N487" i="13"/>
  <c r="N486" i="13"/>
  <c r="N485" i="13"/>
  <c r="N484" i="13"/>
  <c r="N483" i="13"/>
  <c r="N482" i="13"/>
  <c r="N481" i="13"/>
  <c r="N480" i="13"/>
  <c r="N479" i="13"/>
  <c r="N478" i="13"/>
  <c r="N477" i="13"/>
  <c r="N476" i="13"/>
  <c r="N475" i="13"/>
  <c r="N474" i="13"/>
  <c r="N473" i="13"/>
  <c r="N472" i="13"/>
  <c r="N471" i="13"/>
  <c r="N470" i="13"/>
  <c r="N469" i="13"/>
  <c r="N468" i="13"/>
  <c r="N467" i="13"/>
  <c r="N466" i="13"/>
  <c r="N465" i="13"/>
  <c r="N464" i="13"/>
  <c r="N463" i="13"/>
  <c r="N462" i="13"/>
  <c r="N461" i="13"/>
  <c r="N460" i="13"/>
  <c r="N459" i="13"/>
  <c r="N458" i="13"/>
  <c r="N457" i="13"/>
  <c r="N456" i="13"/>
  <c r="N455" i="13"/>
  <c r="N454" i="13"/>
  <c r="N453" i="13"/>
  <c r="N452" i="13"/>
  <c r="N451" i="13"/>
  <c r="N450" i="13"/>
  <c r="N449" i="13"/>
  <c r="N448" i="13"/>
  <c r="N447" i="13"/>
  <c r="N446" i="13"/>
  <c r="N445" i="13"/>
  <c r="N444" i="13"/>
  <c r="N443" i="13"/>
  <c r="N442" i="13"/>
  <c r="N441" i="13"/>
  <c r="N440" i="13"/>
  <c r="N439" i="13"/>
  <c r="N438" i="13"/>
  <c r="N437" i="13"/>
  <c r="N436" i="13"/>
  <c r="N435" i="13"/>
  <c r="N434" i="13"/>
  <c r="N433" i="13"/>
  <c r="N432" i="13"/>
  <c r="N431" i="13"/>
  <c r="N430" i="13"/>
  <c r="N429" i="13"/>
  <c r="N428" i="13"/>
  <c r="N427" i="13"/>
  <c r="N426" i="13"/>
  <c r="N425" i="13"/>
  <c r="N424" i="13"/>
  <c r="N423" i="13"/>
  <c r="N422" i="13"/>
  <c r="N421" i="13"/>
  <c r="N420" i="13"/>
  <c r="N419" i="13"/>
  <c r="N418" i="13"/>
  <c r="N417" i="13"/>
  <c r="N416" i="13"/>
  <c r="N415" i="13"/>
  <c r="N414" i="13"/>
  <c r="N413" i="13"/>
  <c r="N412" i="13"/>
  <c r="N411" i="13"/>
  <c r="N410" i="13"/>
  <c r="N409" i="13"/>
  <c r="N408" i="13"/>
  <c r="N407" i="13"/>
  <c r="N406" i="13"/>
  <c r="N405" i="13"/>
  <c r="N404" i="13"/>
  <c r="N403" i="13"/>
  <c r="N402" i="13"/>
  <c r="N401" i="13"/>
  <c r="N400" i="13"/>
  <c r="N399" i="13"/>
  <c r="N398" i="13"/>
  <c r="N397" i="13"/>
  <c r="N396" i="13"/>
  <c r="N395" i="13"/>
  <c r="N394" i="13"/>
  <c r="N393" i="13"/>
  <c r="N392" i="13"/>
  <c r="N391" i="13"/>
  <c r="N390" i="13"/>
  <c r="N389" i="13"/>
  <c r="N388" i="13"/>
  <c r="N387" i="13"/>
  <c r="N386" i="13"/>
  <c r="N385" i="13"/>
  <c r="N384" i="13"/>
  <c r="N383" i="13"/>
  <c r="N382" i="13"/>
  <c r="N381" i="13"/>
  <c r="N380" i="13"/>
  <c r="N379" i="13"/>
  <c r="N378" i="13"/>
  <c r="N377" i="13"/>
  <c r="N376" i="13"/>
  <c r="N375" i="13"/>
  <c r="N374" i="13"/>
  <c r="N373" i="13"/>
  <c r="N372" i="13"/>
  <c r="N371" i="13"/>
  <c r="N370" i="13"/>
  <c r="N369" i="13"/>
  <c r="N368" i="13"/>
  <c r="N367" i="13"/>
  <c r="N366" i="13"/>
  <c r="N365" i="13"/>
  <c r="N364" i="13"/>
  <c r="N363" i="13"/>
  <c r="N362" i="13"/>
  <c r="N361" i="13"/>
  <c r="N360" i="13"/>
  <c r="N359" i="13"/>
  <c r="N358" i="13"/>
  <c r="N357" i="13"/>
  <c r="N356" i="13"/>
  <c r="N355" i="13"/>
  <c r="N354" i="13"/>
  <c r="N353" i="13"/>
  <c r="N352" i="13"/>
  <c r="N351" i="13"/>
  <c r="N350" i="13"/>
  <c r="N349" i="13"/>
  <c r="N348" i="13"/>
  <c r="N347" i="13"/>
  <c r="N346" i="13"/>
  <c r="N345" i="13"/>
  <c r="N344" i="13"/>
  <c r="N343" i="13"/>
  <c r="N342" i="13"/>
  <c r="N341" i="13"/>
  <c r="N340" i="13"/>
  <c r="N339" i="13"/>
  <c r="N338" i="13"/>
  <c r="N337" i="13"/>
  <c r="N336" i="13"/>
  <c r="N335" i="13"/>
  <c r="N334" i="13"/>
  <c r="N333" i="13"/>
  <c r="N332" i="13"/>
  <c r="N331" i="13"/>
  <c r="N330" i="13"/>
  <c r="N329" i="13"/>
  <c r="N328" i="13"/>
  <c r="N327" i="13"/>
  <c r="N326" i="13"/>
  <c r="N325" i="13"/>
  <c r="N324" i="13"/>
  <c r="N315" i="13"/>
  <c r="N310" i="13"/>
  <c r="N311" i="13"/>
  <c r="N312" i="13"/>
  <c r="N313" i="13"/>
  <c r="N314" i="13"/>
  <c r="N316" i="13"/>
  <c r="N317" i="13"/>
  <c r="N318" i="13"/>
  <c r="N319" i="13"/>
  <c r="N320" i="13"/>
  <c r="N321" i="13"/>
  <c r="N322" i="13"/>
  <c r="N323" i="13"/>
  <c r="N293" i="13"/>
  <c r="N294" i="13"/>
  <c r="N295" i="13"/>
  <c r="N296" i="13"/>
  <c r="N297" i="13"/>
  <c r="N298" i="13"/>
  <c r="N299" i="13"/>
  <c r="N300" i="13"/>
  <c r="N301" i="13"/>
  <c r="N302" i="13"/>
  <c r="N303" i="13"/>
  <c r="N304" i="13"/>
  <c r="N305" i="13"/>
  <c r="N306" i="13"/>
  <c r="N307" i="13"/>
  <c r="N308" i="13"/>
  <c r="N309" i="13"/>
  <c r="Q4" i="5"/>
  <c r="N134" i="5"/>
  <c r="N135" i="5"/>
  <c r="N187" i="23"/>
  <c r="N186" i="23"/>
  <c r="N185" i="23"/>
  <c r="N184" i="23"/>
  <c r="N181" i="23"/>
  <c r="N180" i="23"/>
  <c r="N175" i="23"/>
  <c r="N174" i="23"/>
  <c r="N172" i="23"/>
  <c r="N169" i="23"/>
  <c r="N173" i="23"/>
  <c r="N170" i="23"/>
  <c r="N171" i="23"/>
  <c r="Q90" i="11"/>
  <c r="Q32" i="11"/>
  <c r="Q33" i="11"/>
  <c r="Q31" i="11"/>
  <c r="Q30" i="11"/>
  <c r="Q89" i="11"/>
  <c r="Q88" i="11"/>
  <c r="Q87" i="11"/>
  <c r="Q85" i="11"/>
  <c r="Q86" i="11"/>
  <c r="Q84" i="11"/>
  <c r="Q29" i="11"/>
  <c r="Q83" i="11"/>
  <c r="Q28" i="11"/>
  <c r="Q82" i="11"/>
  <c r="Q81" i="11"/>
  <c r="Q27" i="11"/>
  <c r="Q80" i="11"/>
  <c r="Q79" i="11"/>
  <c r="Q78" i="11"/>
  <c r="Q77" i="11"/>
  <c r="Q76" i="11"/>
  <c r="Q75" i="11"/>
  <c r="Q74" i="11"/>
  <c r="Q73" i="11"/>
  <c r="Q72" i="11"/>
  <c r="Q26" i="11"/>
  <c r="Q71" i="11"/>
  <c r="Q25" i="11"/>
  <c r="Q70" i="11"/>
  <c r="Q24" i="11"/>
  <c r="Q69" i="11"/>
  <c r="Q68" i="11"/>
  <c r="Q67" i="11"/>
  <c r="Q66" i="11"/>
  <c r="Q65" i="11"/>
  <c r="Q64" i="11"/>
  <c r="Q63" i="11"/>
  <c r="Q23" i="11"/>
  <c r="Q22" i="11"/>
  <c r="Q21" i="11"/>
  <c r="Q20" i="11"/>
  <c r="Q62" i="11"/>
  <c r="Q61" i="11"/>
  <c r="Q19" i="11"/>
  <c r="Q18" i="11"/>
  <c r="Q60" i="11"/>
  <c r="Q17" i="11"/>
  <c r="Q59" i="11"/>
  <c r="Q58" i="11"/>
  <c r="Q16" i="11"/>
  <c r="Q57" i="11"/>
  <c r="Q56" i="11"/>
  <c r="Q15" i="11"/>
  <c r="Q14" i="11"/>
  <c r="Q55" i="11"/>
  <c r="Q13" i="11"/>
  <c r="Q54" i="11"/>
  <c r="Q12" i="11"/>
  <c r="Q53" i="11"/>
  <c r="Q52" i="11"/>
  <c r="Q51" i="11"/>
  <c r="Q50" i="11"/>
  <c r="Q49" i="11"/>
  <c r="Q48" i="11"/>
  <c r="Q11" i="11"/>
  <c r="Q10" i="11"/>
  <c r="Q9" i="11"/>
  <c r="Q8" i="11"/>
  <c r="Q47" i="11"/>
  <c r="Q46" i="11"/>
  <c r="Q45" i="11"/>
  <c r="Q44" i="11"/>
  <c r="Q43" i="11"/>
  <c r="Q42" i="11"/>
  <c r="Q41" i="11"/>
  <c r="Q40" i="11"/>
  <c r="Q7" i="11"/>
  <c r="Q39" i="11"/>
  <c r="Q38" i="11"/>
  <c r="Q37" i="11"/>
  <c r="Q6" i="11"/>
  <c r="Q36" i="11"/>
  <c r="Q5" i="11"/>
  <c r="Q4" i="11"/>
  <c r="Q35" i="11"/>
  <c r="Q34" i="11"/>
  <c r="Q177" i="11"/>
  <c r="Q150" i="11"/>
  <c r="Q125" i="11"/>
  <c r="Q176" i="11"/>
  <c r="Q175" i="11"/>
  <c r="Q170" i="11"/>
  <c r="Q169" i="11"/>
  <c r="Q172" i="11"/>
  <c r="Q171" i="11"/>
  <c r="Q168" i="11"/>
  <c r="Q167" i="11"/>
  <c r="Q164" i="11"/>
  <c r="Q163" i="11"/>
  <c r="Q160" i="11"/>
  <c r="Q159" i="11"/>
  <c r="Q152" i="11"/>
  <c r="Q151" i="11"/>
  <c r="Q149" i="11"/>
  <c r="Q148" i="11"/>
  <c r="Q141" i="11"/>
  <c r="Q140" i="11"/>
  <c r="Q143" i="11"/>
  <c r="Q142" i="11"/>
  <c r="Q145" i="11"/>
  <c r="Q144" i="11"/>
  <c r="Q135" i="11"/>
  <c r="Q134" i="11"/>
  <c r="Q133" i="11"/>
  <c r="Q132" i="11"/>
  <c r="Q131" i="11"/>
  <c r="Q130" i="11"/>
  <c r="Q120" i="11"/>
  <c r="Q119" i="11"/>
  <c r="Q108" i="11"/>
  <c r="Q174" i="11"/>
  <c r="Q173" i="11"/>
  <c r="Q107" i="11"/>
  <c r="Q166" i="11"/>
  <c r="Q165" i="11"/>
  <c r="Q106" i="11"/>
  <c r="Q162" i="11"/>
  <c r="Q161" i="11"/>
  <c r="Q105" i="11"/>
  <c r="Q158" i="11"/>
  <c r="Q157" i="11"/>
  <c r="Q104" i="11"/>
  <c r="Q156" i="11"/>
  <c r="Q155" i="11"/>
  <c r="Q103" i="11"/>
  <c r="Q154" i="11"/>
  <c r="Q153" i="11"/>
  <c r="Q102" i="11"/>
  <c r="Q147" i="11"/>
  <c r="Q146" i="11"/>
  <c r="Q100" i="11"/>
  <c r="Q137" i="11"/>
  <c r="Q136" i="11"/>
  <c r="Q101" i="11"/>
  <c r="Q139" i="11"/>
  <c r="Q138" i="11"/>
  <c r="Q99" i="11"/>
  <c r="Q129" i="11"/>
  <c r="Q128" i="11"/>
  <c r="Q98" i="11"/>
  <c r="Q127" i="11"/>
  <c r="Q126" i="11"/>
  <c r="Q97" i="11"/>
  <c r="Q124" i="11"/>
  <c r="Q123" i="11"/>
  <c r="Q96" i="11"/>
  <c r="Q122" i="11"/>
  <c r="Q121" i="11"/>
  <c r="Q95" i="11"/>
  <c r="Q118" i="11"/>
  <c r="Q117" i="11"/>
  <c r="Q93" i="11"/>
  <c r="Q114" i="11"/>
  <c r="Q113" i="11"/>
  <c r="Q94" i="11"/>
  <c r="Q116" i="11"/>
  <c r="Q115" i="11"/>
  <c r="Q92" i="11"/>
  <c r="Q112" i="11"/>
  <c r="Q111" i="11"/>
  <c r="Q91" i="11"/>
  <c r="Q110" i="11"/>
  <c r="Q109" i="11"/>
  <c r="N89" i="11"/>
  <c r="N13" i="11"/>
  <c r="N9" i="11"/>
  <c r="N10" i="11"/>
  <c r="N11" i="11"/>
  <c r="N48" i="11"/>
  <c r="N49" i="11"/>
  <c r="N50" i="11"/>
  <c r="N51" i="11"/>
  <c r="N52" i="11"/>
  <c r="N53" i="11"/>
  <c r="N12" i="11"/>
  <c r="N54" i="11"/>
  <c r="N55" i="11"/>
  <c r="N14" i="11"/>
  <c r="N15" i="11"/>
  <c r="N56" i="11"/>
  <c r="N57" i="11"/>
  <c r="N16" i="11"/>
  <c r="N58" i="11"/>
  <c r="N59" i="11"/>
  <c r="N17" i="11"/>
  <c r="N60" i="11"/>
  <c r="N18" i="11"/>
  <c r="N19" i="11"/>
  <c r="N61" i="11"/>
  <c r="N62" i="11"/>
  <c r="N20" i="11"/>
  <c r="N21" i="11"/>
  <c r="N22" i="11"/>
  <c r="N23" i="11"/>
  <c r="N63" i="11"/>
  <c r="N64" i="11"/>
  <c r="N65" i="11"/>
  <c r="N66" i="11"/>
  <c r="N67" i="11"/>
  <c r="N68" i="11"/>
  <c r="N69" i="11"/>
  <c r="N24" i="11"/>
  <c r="N70" i="11"/>
  <c r="N25" i="11"/>
  <c r="N71" i="11"/>
  <c r="N26" i="11"/>
  <c r="N72" i="11"/>
  <c r="N73" i="11"/>
  <c r="N74" i="11"/>
  <c r="N75" i="11"/>
  <c r="N76" i="11"/>
  <c r="N77" i="11"/>
  <c r="N78" i="11"/>
  <c r="N79" i="11"/>
  <c r="N80" i="11"/>
  <c r="N27" i="11"/>
  <c r="N81" i="11"/>
  <c r="N82" i="11"/>
  <c r="N28" i="11"/>
  <c r="N83" i="11"/>
  <c r="N29" i="11"/>
  <c r="N84" i="11"/>
  <c r="N86" i="11"/>
  <c r="N85" i="11"/>
  <c r="N87" i="11"/>
  <c r="N88" i="11"/>
  <c r="N30" i="11"/>
  <c r="N31" i="11"/>
  <c r="N33" i="11"/>
  <c r="N32" i="11"/>
  <c r="N90" i="11"/>
  <c r="N111" i="11"/>
  <c r="N13" i="7"/>
  <c r="N15" i="7"/>
  <c r="N16" i="7"/>
  <c r="N17" i="7"/>
  <c r="N18" i="7"/>
  <c r="N19" i="7"/>
  <c r="N20" i="7"/>
  <c r="N25" i="7"/>
  <c r="N23" i="7"/>
  <c r="N27" i="7"/>
  <c r="N31" i="7"/>
  <c r="N46" i="7"/>
  <c r="N63" i="7"/>
  <c r="N65" i="7"/>
  <c r="N72" i="7"/>
  <c r="N74" i="7"/>
  <c r="N26" i="7"/>
  <c r="N24" i="7"/>
  <c r="N28" i="7"/>
  <c r="N32" i="7"/>
  <c r="N47" i="7"/>
  <c r="N64" i="7"/>
  <c r="N66" i="7"/>
  <c r="N73" i="7"/>
  <c r="N75" i="7"/>
  <c r="N122" i="19"/>
  <c r="N130" i="19"/>
  <c r="N131" i="19"/>
  <c r="N121" i="19"/>
  <c r="N120" i="19"/>
  <c r="N128" i="19"/>
  <c r="N119" i="19"/>
  <c r="N118" i="19"/>
  <c r="N129" i="19"/>
  <c r="N117" i="19"/>
  <c r="N116" i="19"/>
  <c r="N115" i="19"/>
  <c r="N114" i="19"/>
  <c r="N126" i="19"/>
  <c r="N112" i="19"/>
  <c r="N110" i="19"/>
  <c r="N104" i="19"/>
  <c r="N111" i="19"/>
  <c r="Y191" i="19"/>
  <c r="Z191" i="19"/>
  <c r="Y192" i="19"/>
  <c r="Z192" i="19"/>
  <c r="Y193" i="19"/>
  <c r="Z193" i="19"/>
  <c r="N14" i="19"/>
  <c r="N236" i="19"/>
  <c r="N241" i="19"/>
  <c r="N245" i="19"/>
  <c r="N231" i="19"/>
  <c r="Z88" i="19"/>
  <c r="Z89" i="19"/>
  <c r="Z90" i="19"/>
  <c r="Z91" i="19"/>
  <c r="Z92" i="19"/>
  <c r="Z93" i="19"/>
  <c r="Z94" i="19"/>
  <c r="Z95" i="19"/>
  <c r="Z96" i="19"/>
  <c r="Z97" i="19"/>
  <c r="Z98" i="19"/>
  <c r="Z99" i="19"/>
  <c r="Z100" i="19"/>
  <c r="Z101" i="19"/>
  <c r="Z102" i="19"/>
  <c r="Z103" i="19"/>
  <c r="Z104" i="19"/>
  <c r="Z105" i="19"/>
  <c r="Z106" i="19"/>
  <c r="Z107" i="19"/>
  <c r="Z108" i="19"/>
  <c r="Z109" i="19"/>
  <c r="Z110" i="19"/>
  <c r="Z111" i="19"/>
  <c r="Z112" i="19"/>
  <c r="Z113" i="19"/>
  <c r="Z114" i="19"/>
  <c r="Z115" i="19"/>
  <c r="Z116" i="19"/>
  <c r="Z117" i="19"/>
  <c r="Z118" i="19"/>
  <c r="Z119" i="19"/>
  <c r="Z120" i="19"/>
  <c r="Z121" i="19"/>
  <c r="Z122" i="19"/>
  <c r="Z123" i="19"/>
  <c r="Z124" i="19"/>
  <c r="Z125" i="19"/>
  <c r="Z126" i="19"/>
  <c r="Z127" i="19"/>
  <c r="Z128" i="19"/>
  <c r="Z129" i="19"/>
  <c r="Z130" i="19"/>
  <c r="Z131" i="19"/>
  <c r="Z132" i="19"/>
  <c r="Z133" i="19"/>
  <c r="Z134" i="19"/>
  <c r="Z135" i="19"/>
  <c r="Z136" i="19"/>
  <c r="Z137" i="19"/>
  <c r="Z138" i="19"/>
  <c r="Z139" i="19"/>
  <c r="Z140" i="19"/>
  <c r="Z141" i="19"/>
  <c r="Z142" i="19"/>
  <c r="Z143" i="19"/>
  <c r="Z144" i="19"/>
  <c r="Z145" i="19"/>
  <c r="Z147" i="19"/>
  <c r="Z148" i="19"/>
  <c r="Z149" i="19"/>
  <c r="Z150" i="19"/>
  <c r="Z151" i="19"/>
  <c r="Z152" i="19"/>
  <c r="Z153" i="19"/>
  <c r="Z154" i="19"/>
  <c r="Z155" i="19"/>
  <c r="Z156" i="19"/>
  <c r="Z157" i="19"/>
  <c r="Z158" i="19"/>
  <c r="Z159" i="19"/>
  <c r="Z160" i="19"/>
  <c r="Z161" i="19"/>
  <c r="Z162" i="19"/>
  <c r="Z163" i="19"/>
  <c r="Z164" i="19"/>
  <c r="Z165" i="19"/>
  <c r="Z166" i="19"/>
  <c r="Z167" i="19"/>
  <c r="Z168" i="19"/>
  <c r="Z169" i="19"/>
  <c r="Z170" i="19"/>
  <c r="Z171" i="19"/>
  <c r="Z172" i="19"/>
  <c r="Z173" i="19"/>
  <c r="Z174" i="19"/>
  <c r="Z175" i="19"/>
  <c r="Z176" i="19"/>
  <c r="Z177" i="19"/>
  <c r="Z178" i="19"/>
  <c r="Z179" i="19"/>
  <c r="Z180" i="19"/>
  <c r="Z181" i="19"/>
  <c r="Z182" i="19"/>
  <c r="Z183" i="19"/>
  <c r="Z184" i="19"/>
  <c r="Z185" i="19"/>
  <c r="Z186" i="19"/>
  <c r="Z187" i="19"/>
  <c r="Z188" i="19"/>
  <c r="Z189" i="19"/>
  <c r="Z190" i="19"/>
  <c r="Z194" i="19"/>
  <c r="Z195" i="19"/>
  <c r="Z196" i="19"/>
  <c r="Z197" i="19"/>
  <c r="Z87" i="19"/>
  <c r="N175" i="19"/>
  <c r="N176" i="19"/>
  <c r="N177" i="19"/>
  <c r="N178" i="19"/>
  <c r="N179" i="19"/>
  <c r="N180" i="19"/>
  <c r="N181" i="19"/>
  <c r="N182" i="19"/>
  <c r="N183" i="19"/>
  <c r="N4" i="19"/>
  <c r="N36" i="19"/>
  <c r="N37" i="19"/>
  <c r="N38" i="19"/>
  <c r="N39" i="19"/>
  <c r="N40" i="19"/>
  <c r="N41" i="19"/>
  <c r="N42" i="19"/>
  <c r="N43" i="19"/>
  <c r="N44" i="19"/>
  <c r="N9" i="19"/>
  <c r="N45" i="19"/>
  <c r="N55" i="19"/>
  <c r="N11" i="19"/>
  <c r="N65" i="19"/>
  <c r="N13" i="19"/>
  <c r="N15" i="19"/>
  <c r="N21" i="19"/>
  <c r="N22" i="19"/>
  <c r="N25" i="19"/>
  <c r="N27" i="19"/>
  <c r="N30" i="19"/>
  <c r="N144" i="19"/>
  <c r="N145" i="19"/>
  <c r="N146" i="19"/>
  <c r="N34" i="19"/>
  <c r="N35" i="19"/>
  <c r="N5" i="19"/>
  <c r="N6" i="19"/>
  <c r="N7" i="19"/>
  <c r="N8" i="19"/>
  <c r="N50" i="19"/>
  <c r="N48" i="19"/>
  <c r="N49" i="19"/>
  <c r="N46" i="19"/>
  <c r="N51" i="19"/>
  <c r="N52" i="19"/>
  <c r="N47" i="19"/>
  <c r="N53" i="19"/>
  <c r="N54" i="19"/>
  <c r="N62" i="19"/>
  <c r="N56" i="19"/>
  <c r="N57" i="19"/>
  <c r="N63" i="19"/>
  <c r="N58" i="19"/>
  <c r="N59" i="19"/>
  <c r="N64" i="19"/>
  <c r="N60" i="19"/>
  <c r="N61" i="19"/>
  <c r="N68" i="19"/>
  <c r="N66" i="19"/>
  <c r="N67" i="19"/>
  <c r="N10" i="19"/>
  <c r="N12" i="19"/>
  <c r="N69" i="19"/>
  <c r="N70" i="19"/>
  <c r="N71" i="19"/>
  <c r="N74" i="19"/>
  <c r="N72" i="19"/>
  <c r="N73" i="19"/>
  <c r="N81" i="19"/>
  <c r="N75" i="19"/>
  <c r="N76" i="19"/>
  <c r="N16" i="19"/>
  <c r="N82" i="19"/>
  <c r="N77" i="19"/>
  <c r="N78" i="19"/>
  <c r="N83" i="19"/>
  <c r="N79" i="19"/>
  <c r="N80" i="19"/>
  <c r="N17" i="19"/>
  <c r="N18" i="19"/>
  <c r="N88" i="19"/>
  <c r="N84" i="19"/>
  <c r="N85" i="19"/>
  <c r="N19" i="19"/>
  <c r="N89" i="19"/>
  <c r="N86" i="19"/>
  <c r="N87" i="19"/>
  <c r="N92" i="19"/>
  <c r="N90" i="19"/>
  <c r="N91" i="19"/>
  <c r="N93" i="19"/>
  <c r="N94" i="19"/>
  <c r="N95" i="19"/>
  <c r="N20" i="19"/>
  <c r="N98" i="19"/>
  <c r="N96" i="19"/>
  <c r="N97" i="19"/>
  <c r="N23" i="19"/>
  <c r="N101" i="19"/>
  <c r="N99" i="19"/>
  <c r="N100" i="19"/>
  <c r="N113" i="19"/>
  <c r="N105" i="19"/>
  <c r="N106" i="19"/>
  <c r="N102" i="19"/>
  <c r="N107" i="19"/>
  <c r="N108" i="19"/>
  <c r="N103" i="19"/>
  <c r="N109" i="19"/>
  <c r="Y90" i="19"/>
  <c r="Y88" i="19"/>
  <c r="Y89" i="19"/>
  <c r="Y91" i="19"/>
  <c r="Y92" i="19"/>
  <c r="Y93" i="19"/>
  <c r="Y94" i="19"/>
  <c r="Y95" i="19"/>
  <c r="Y96" i="19"/>
  <c r="Y97" i="19"/>
  <c r="Y98" i="19"/>
  <c r="Y99" i="19"/>
  <c r="Y100" i="19"/>
  <c r="Y101" i="19"/>
  <c r="Y102" i="19"/>
  <c r="Y103" i="19"/>
  <c r="Y104" i="19"/>
  <c r="Y105" i="19"/>
  <c r="Y106" i="19"/>
  <c r="Y107" i="19"/>
  <c r="Y108" i="19"/>
  <c r="Y109" i="19"/>
  <c r="Y110" i="19"/>
  <c r="Y111" i="19"/>
  <c r="Y112" i="19"/>
  <c r="Y113" i="19"/>
  <c r="Y114" i="19"/>
  <c r="Y115" i="19"/>
  <c r="Y116" i="19"/>
  <c r="Y117" i="19"/>
  <c r="Y118" i="19"/>
  <c r="Y119" i="19"/>
  <c r="Y120" i="19"/>
  <c r="Y121" i="19"/>
  <c r="Y122" i="19"/>
  <c r="Y123" i="19"/>
  <c r="Y124" i="19"/>
  <c r="Y125" i="19"/>
  <c r="Y126" i="19"/>
  <c r="Y127" i="19"/>
  <c r="Y128" i="19"/>
  <c r="Y129" i="19"/>
  <c r="Y130" i="19"/>
  <c r="Y131" i="19"/>
  <c r="Y132" i="19"/>
  <c r="Y133" i="19"/>
  <c r="Y134" i="19"/>
  <c r="Y135" i="19"/>
  <c r="Y136" i="19"/>
  <c r="Y137" i="19"/>
  <c r="Y138" i="19"/>
  <c r="Y139" i="19"/>
  <c r="Y140" i="19"/>
  <c r="Y141" i="19"/>
  <c r="Y142" i="19"/>
  <c r="Y143" i="19"/>
  <c r="Y144" i="19"/>
  <c r="Y145" i="19"/>
  <c r="Y147" i="19"/>
  <c r="Y148" i="19"/>
  <c r="Y149" i="19"/>
  <c r="Y150" i="19"/>
  <c r="Y151" i="19"/>
  <c r="Y152" i="19"/>
  <c r="Y153" i="19"/>
  <c r="Y154" i="19"/>
  <c r="Y155" i="19"/>
  <c r="Y156" i="19"/>
  <c r="Y157" i="19"/>
  <c r="Y158" i="19"/>
  <c r="Y159" i="19"/>
  <c r="Y160" i="19"/>
  <c r="Y161" i="19"/>
  <c r="Y162" i="19"/>
  <c r="Y163" i="19"/>
  <c r="Y164" i="19"/>
  <c r="Y165" i="19"/>
  <c r="Y166" i="19"/>
  <c r="Y167" i="19"/>
  <c r="Y168" i="19"/>
  <c r="Y169" i="19"/>
  <c r="Y170" i="19"/>
  <c r="Y171" i="19"/>
  <c r="Y172" i="19"/>
  <c r="Y173" i="19"/>
  <c r="Y174" i="19"/>
  <c r="Y175" i="19"/>
  <c r="Y176" i="19"/>
  <c r="Y177" i="19"/>
  <c r="Y178" i="19"/>
  <c r="Y179" i="19"/>
  <c r="Y180" i="19"/>
  <c r="Y181" i="19"/>
  <c r="Y182" i="19"/>
  <c r="Y183" i="19"/>
  <c r="Y184" i="19"/>
  <c r="Y185" i="19"/>
  <c r="Y186" i="19"/>
  <c r="Y187" i="19"/>
  <c r="Y188" i="19"/>
  <c r="Y189" i="19"/>
  <c r="Y190" i="19"/>
  <c r="Y194" i="19"/>
  <c r="Y195" i="19"/>
  <c r="Y196" i="19"/>
  <c r="Y197" i="19"/>
  <c r="Y87" i="19"/>
  <c r="N15" i="12"/>
  <c r="N16" i="12"/>
  <c r="N17" i="12"/>
  <c r="N13" i="12"/>
  <c r="N14" i="12"/>
  <c r="N18" i="12"/>
  <c r="N19" i="12"/>
  <c r="N20" i="12"/>
  <c r="N21" i="12"/>
  <c r="A4" i="17"/>
  <c r="A5" i="17" s="1"/>
  <c r="A6" i="17" s="1"/>
  <c r="A7" i="17" s="1"/>
  <c r="A8" i="17" s="1"/>
  <c r="A9" i="17" s="1"/>
  <c r="A10" i="17" s="1"/>
  <c r="A11" i="17" s="1"/>
  <c r="A12" i="17" s="1"/>
  <c r="A13" i="17" s="1"/>
  <c r="A14" i="17" s="1"/>
  <c r="A15" i="17" s="1"/>
  <c r="A16" i="17" s="1"/>
  <c r="A17" i="17" s="1"/>
  <c r="A18" i="17" s="1"/>
  <c r="A19" i="17" s="1"/>
  <c r="A20" i="17" s="1"/>
  <c r="A21" i="17" s="1"/>
  <c r="A22" i="17" s="1"/>
  <c r="A23" i="17" s="1"/>
  <c r="A24" i="17" s="1"/>
  <c r="A25" i="17" s="1"/>
  <c r="A26" i="17" s="1"/>
  <c r="A27" i="17" s="1"/>
  <c r="A28" i="17" s="1"/>
  <c r="A29" i="17" s="1"/>
  <c r="C22" i="37" l="1"/>
  <c r="E21" i="37"/>
  <c r="C6" i="32"/>
  <c r="E5" i="32"/>
  <c r="C5" i="31"/>
  <c r="A30" i="17"/>
  <c r="A31" i="17" s="1"/>
  <c r="A32" i="17" s="1"/>
  <c r="A33" i="17" s="1"/>
  <c r="A34" i="17" s="1"/>
  <c r="A35" i="17" s="1"/>
  <c r="A36" i="17" s="1"/>
  <c r="C23" i="37" l="1"/>
  <c r="E22" i="37"/>
  <c r="C7" i="32"/>
  <c r="E6" i="32"/>
  <c r="C6" i="31"/>
  <c r="N83" i="26"/>
  <c r="C24" i="37" l="1"/>
  <c r="E23" i="37"/>
  <c r="C8" i="32"/>
  <c r="E7" i="32"/>
  <c r="C7" i="31"/>
  <c r="N723" i="1"/>
  <c r="N735" i="1"/>
  <c r="N734" i="1"/>
  <c r="N239" i="1"/>
  <c r="N727" i="1"/>
  <c r="N726" i="1"/>
  <c r="N237" i="1"/>
  <c r="N514" i="1"/>
  <c r="N127" i="1"/>
  <c r="N134" i="1"/>
  <c r="N133" i="1"/>
  <c r="N517" i="1"/>
  <c r="C25" i="37" l="1"/>
  <c r="E24" i="37"/>
  <c r="C9" i="32"/>
  <c r="E8" i="32"/>
  <c r="C8" i="31"/>
  <c r="N515" i="1"/>
  <c r="N516" i="1"/>
  <c r="N513" i="1"/>
  <c r="C26" i="37" l="1"/>
  <c r="E25" i="37"/>
  <c r="C10" i="32"/>
  <c r="E9" i="32"/>
  <c r="C9" i="31"/>
  <c r="N232" i="1"/>
  <c r="N710" i="1"/>
  <c r="N711" i="1"/>
  <c r="N231" i="1"/>
  <c r="N720" i="1"/>
  <c r="N721" i="1"/>
  <c r="N236" i="1"/>
  <c r="N718" i="1"/>
  <c r="N719" i="1"/>
  <c r="N235" i="1"/>
  <c r="N722" i="1"/>
  <c r="N225" i="1"/>
  <c r="N698" i="1"/>
  <c r="N699" i="1"/>
  <c r="N224" i="1"/>
  <c r="N696" i="1"/>
  <c r="N697" i="1"/>
  <c r="N223" i="1"/>
  <c r="N708" i="1"/>
  <c r="N709" i="1"/>
  <c r="N229" i="1"/>
  <c r="N694" i="1"/>
  <c r="N695" i="1"/>
  <c r="N230" i="1"/>
  <c r="N716" i="1"/>
  <c r="N717" i="1"/>
  <c r="N234" i="1"/>
  <c r="N714" i="1"/>
  <c r="N715" i="1"/>
  <c r="N233" i="1"/>
  <c r="N712" i="1"/>
  <c r="N713" i="1"/>
  <c r="N559" i="1"/>
  <c r="N560" i="1"/>
  <c r="N156" i="1"/>
  <c r="N563" i="1"/>
  <c r="N564" i="1"/>
  <c r="N158" i="1"/>
  <c r="N565" i="1"/>
  <c r="N566" i="1"/>
  <c r="N159" i="1"/>
  <c r="N561" i="1"/>
  <c r="N562" i="1"/>
  <c r="N157" i="1"/>
  <c r="N573" i="1"/>
  <c r="N574" i="1"/>
  <c r="N160" i="1"/>
  <c r="N575" i="1"/>
  <c r="N576" i="1"/>
  <c r="N161" i="1"/>
  <c r="N567" i="1"/>
  <c r="N568" i="1"/>
  <c r="N162" i="1"/>
  <c r="N571" i="1"/>
  <c r="N572" i="1"/>
  <c r="N164" i="1"/>
  <c r="N569" i="1"/>
  <c r="N570" i="1"/>
  <c r="N163" i="1"/>
  <c r="N579" i="1"/>
  <c r="N580" i="1"/>
  <c r="N166" i="1"/>
  <c r="N577" i="1"/>
  <c r="N578" i="1"/>
  <c r="N165" i="1"/>
  <c r="N586" i="1"/>
  <c r="N587" i="1"/>
  <c r="N168" i="1"/>
  <c r="N584" i="1"/>
  <c r="N585" i="1"/>
  <c r="N167" i="1"/>
  <c r="N588" i="1"/>
  <c r="N589" i="1"/>
  <c r="N169" i="1"/>
  <c r="N582" i="1"/>
  <c r="N583" i="1"/>
  <c r="N170" i="1"/>
  <c r="N594" i="1"/>
  <c r="N595" i="1"/>
  <c r="N173" i="1"/>
  <c r="N592" i="1"/>
  <c r="N593" i="1"/>
  <c r="N172" i="1"/>
  <c r="N590" i="1"/>
  <c r="N591" i="1"/>
  <c r="N171" i="1"/>
  <c r="N602" i="1"/>
  <c r="N603" i="1"/>
  <c r="N177" i="1"/>
  <c r="N604" i="1"/>
  <c r="N605" i="1"/>
  <c r="N178" i="1"/>
  <c r="N596" i="1"/>
  <c r="N597" i="1"/>
  <c r="N174" i="1"/>
  <c r="N598" i="1"/>
  <c r="N599" i="1"/>
  <c r="N175" i="1"/>
  <c r="N606" i="1"/>
  <c r="N607" i="1"/>
  <c r="N179" i="1"/>
  <c r="N600" i="1"/>
  <c r="N601" i="1"/>
  <c r="N176" i="1"/>
  <c r="N608" i="1"/>
  <c r="N609" i="1"/>
  <c r="N180" i="1"/>
  <c r="N610" i="1"/>
  <c r="N611" i="1"/>
  <c r="N181" i="1"/>
  <c r="N614" i="1"/>
  <c r="N615" i="1"/>
  <c r="N183" i="1"/>
  <c r="N612" i="1"/>
  <c r="N613" i="1"/>
  <c r="N182" i="1"/>
  <c r="N616" i="1"/>
  <c r="N617" i="1"/>
  <c r="N184" i="1"/>
  <c r="N618" i="1"/>
  <c r="N619" i="1"/>
  <c r="N185" i="1"/>
  <c r="N620" i="1"/>
  <c r="N621" i="1"/>
  <c r="N186" i="1"/>
  <c r="N624" i="1"/>
  <c r="N625" i="1"/>
  <c r="N187" i="1"/>
  <c r="N628" i="1"/>
  <c r="N629" i="1"/>
  <c r="N189" i="1"/>
  <c r="N626" i="1"/>
  <c r="N627" i="1"/>
  <c r="N188" i="1"/>
  <c r="N622" i="1"/>
  <c r="N623" i="1"/>
  <c r="N190" i="1"/>
  <c r="N640" i="1"/>
  <c r="N641" i="1"/>
  <c r="N196" i="1"/>
  <c r="N630" i="1"/>
  <c r="N631" i="1"/>
  <c r="N191" i="1"/>
  <c r="N634" i="1"/>
  <c r="N635" i="1"/>
  <c r="N193" i="1"/>
  <c r="N632" i="1"/>
  <c r="N633" i="1"/>
  <c r="N192" i="1"/>
  <c r="N636" i="1"/>
  <c r="N637" i="1"/>
  <c r="N194" i="1"/>
  <c r="N638" i="1"/>
  <c r="N639" i="1"/>
  <c r="N195" i="1"/>
  <c r="N642" i="1"/>
  <c r="N643" i="1"/>
  <c r="N197" i="1"/>
  <c r="N644" i="1"/>
  <c r="N645" i="1"/>
  <c r="N198" i="1"/>
  <c r="N646" i="1"/>
  <c r="N647" i="1"/>
  <c r="N199" i="1"/>
  <c r="N660" i="1"/>
  <c r="N661" i="1"/>
  <c r="N204" i="1"/>
  <c r="N658" i="1"/>
  <c r="N659" i="1"/>
  <c r="N203" i="1"/>
  <c r="N656" i="1"/>
  <c r="N657" i="1"/>
  <c r="N202" i="1"/>
  <c r="N654" i="1"/>
  <c r="N655" i="1"/>
  <c r="N201" i="1"/>
  <c r="N652" i="1"/>
  <c r="N653" i="1"/>
  <c r="N200" i="1"/>
  <c r="N650" i="1"/>
  <c r="N651" i="1"/>
  <c r="N208" i="1"/>
  <c r="N662" i="1"/>
  <c r="N663" i="1"/>
  <c r="N205" i="1"/>
  <c r="N664" i="1"/>
  <c r="N665" i="1"/>
  <c r="N206" i="1"/>
  <c r="N648" i="1"/>
  <c r="N649" i="1"/>
  <c r="N207" i="1"/>
  <c r="N672" i="1"/>
  <c r="N673" i="1"/>
  <c r="N210" i="1"/>
  <c r="N670" i="1"/>
  <c r="N671" i="1"/>
  <c r="N209" i="1"/>
  <c r="N668" i="1"/>
  <c r="N669" i="1"/>
  <c r="N212" i="1"/>
  <c r="N666" i="1"/>
  <c r="N667" i="1"/>
  <c r="N211" i="1"/>
  <c r="N678" i="1"/>
  <c r="N679" i="1"/>
  <c r="N215" i="1"/>
  <c r="N674" i="1"/>
  <c r="N675" i="1"/>
  <c r="N213" i="1"/>
  <c r="N676" i="1"/>
  <c r="N677" i="1"/>
  <c r="N214" i="1"/>
  <c r="N688" i="1"/>
  <c r="N689" i="1"/>
  <c r="N220" i="1"/>
  <c r="N692" i="1"/>
  <c r="N693" i="1"/>
  <c r="N222" i="1"/>
  <c r="N682" i="1"/>
  <c r="N683" i="1"/>
  <c r="N217" i="1"/>
  <c r="N686" i="1"/>
  <c r="N687" i="1"/>
  <c r="N219" i="1"/>
  <c r="N684" i="1"/>
  <c r="N685" i="1"/>
  <c r="N218" i="1"/>
  <c r="N690" i="1"/>
  <c r="N691" i="1"/>
  <c r="N221" i="1"/>
  <c r="N680" i="1"/>
  <c r="N681" i="1"/>
  <c r="N216" i="1"/>
  <c r="N706" i="1"/>
  <c r="N707" i="1"/>
  <c r="N228" i="1"/>
  <c r="N704" i="1"/>
  <c r="N705" i="1"/>
  <c r="N227" i="1"/>
  <c r="N702" i="1"/>
  <c r="N703" i="1"/>
  <c r="N226" i="1"/>
  <c r="N700" i="1"/>
  <c r="N701" i="1"/>
  <c r="N143" i="1"/>
  <c r="N535" i="1"/>
  <c r="N536" i="1"/>
  <c r="N144" i="1"/>
  <c r="N537" i="1"/>
  <c r="N538" i="1"/>
  <c r="N145" i="1"/>
  <c r="N539" i="1"/>
  <c r="N540" i="1"/>
  <c r="N146" i="1"/>
  <c r="N553" i="1"/>
  <c r="N554" i="1"/>
  <c r="N151" i="1"/>
  <c r="N551" i="1"/>
  <c r="N552" i="1"/>
  <c r="N150" i="1"/>
  <c r="N549" i="1"/>
  <c r="N550" i="1"/>
  <c r="N149" i="1"/>
  <c r="N547" i="1"/>
  <c r="N548" i="1"/>
  <c r="N148" i="1"/>
  <c r="N545" i="1"/>
  <c r="N546" i="1"/>
  <c r="N147" i="1"/>
  <c r="N541" i="1"/>
  <c r="N542" i="1"/>
  <c r="N152" i="1"/>
  <c r="N543" i="1"/>
  <c r="N544" i="1"/>
  <c r="N153" i="1"/>
  <c r="N557" i="1"/>
  <c r="N558" i="1"/>
  <c r="N154" i="1"/>
  <c r="N555" i="1"/>
  <c r="N556" i="1"/>
  <c r="N155" i="1"/>
  <c r="N534" i="1"/>
  <c r="N490" i="1"/>
  <c r="N487" i="1"/>
  <c r="N121" i="1"/>
  <c r="N498" i="1"/>
  <c r="N495" i="1"/>
  <c r="N124" i="1"/>
  <c r="N494" i="1"/>
  <c r="N499" i="1"/>
  <c r="N489" i="1"/>
  <c r="N122" i="1"/>
  <c r="N488" i="1"/>
  <c r="N497" i="1"/>
  <c r="N125" i="1"/>
  <c r="N496" i="1"/>
  <c r="N493" i="1"/>
  <c r="N123" i="1"/>
  <c r="C27" i="37" l="1"/>
  <c r="E26" i="37"/>
  <c r="C11" i="32"/>
  <c r="E10" i="32"/>
  <c r="C10" i="31"/>
  <c r="N518" i="1"/>
  <c r="N135" i="1"/>
  <c r="N521" i="1"/>
  <c r="N522" i="1"/>
  <c r="N137" i="1"/>
  <c r="N519" i="1"/>
  <c r="N520" i="1"/>
  <c r="N136" i="1"/>
  <c r="N523" i="1"/>
  <c r="N524" i="1"/>
  <c r="N138" i="1"/>
  <c r="N525" i="1"/>
  <c r="N526" i="1"/>
  <c r="N139" i="1"/>
  <c r="N529" i="1"/>
  <c r="N530" i="1"/>
  <c r="N141" i="1"/>
  <c r="N527" i="1"/>
  <c r="N528" i="1"/>
  <c r="N140" i="1"/>
  <c r="N531" i="1"/>
  <c r="N532" i="1"/>
  <c r="N142" i="1"/>
  <c r="N533" i="1"/>
  <c r="N36" i="27"/>
  <c r="N37" i="27"/>
  <c r="N110" i="25"/>
  <c r="N109" i="25"/>
  <c r="N107" i="25"/>
  <c r="N108" i="25"/>
  <c r="N40" i="25"/>
  <c r="N157" i="23"/>
  <c r="N28" i="15"/>
  <c r="N36" i="11"/>
  <c r="N37" i="11"/>
  <c r="N39" i="11"/>
  <c r="N40" i="11"/>
  <c r="N42" i="11"/>
  <c r="N44" i="11"/>
  <c r="N46" i="11"/>
  <c r="N8" i="11"/>
  <c r="N5" i="11"/>
  <c r="N6" i="11"/>
  <c r="N38" i="11"/>
  <c r="N7" i="11"/>
  <c r="N41" i="11"/>
  <c r="N43" i="11"/>
  <c r="N45" i="11"/>
  <c r="N47" i="11"/>
  <c r="N127" i="11"/>
  <c r="N129" i="5"/>
  <c r="N130" i="5"/>
  <c r="N35" i="5"/>
  <c r="N36" i="5"/>
  <c r="N286" i="13"/>
  <c r="N288" i="13"/>
  <c r="N287" i="13"/>
  <c r="N289" i="13"/>
  <c r="N249" i="13"/>
  <c r="N250" i="13"/>
  <c r="N251" i="13"/>
  <c r="N252" i="13"/>
  <c r="N253" i="13"/>
  <c r="N254" i="13"/>
  <c r="N255" i="13"/>
  <c r="N256" i="13"/>
  <c r="N257" i="13"/>
  <c r="N258" i="13"/>
  <c r="N259" i="13"/>
  <c r="N260" i="13"/>
  <c r="N261" i="13"/>
  <c r="N262" i="13"/>
  <c r="N263" i="13"/>
  <c r="N264" i="13"/>
  <c r="N265" i="13"/>
  <c r="N266" i="13"/>
  <c r="N132" i="1"/>
  <c r="N506" i="1"/>
  <c r="N503" i="1"/>
  <c r="N505" i="1"/>
  <c r="N129" i="1"/>
  <c r="N504" i="1"/>
  <c r="N108" i="1"/>
  <c r="N460" i="1"/>
  <c r="N461" i="1"/>
  <c r="N109" i="1"/>
  <c r="N467" i="1"/>
  <c r="N468" i="1"/>
  <c r="N111" i="1"/>
  <c r="N465" i="1"/>
  <c r="N466" i="1"/>
  <c r="N110" i="1"/>
  <c r="N471" i="1"/>
  <c r="N472" i="1"/>
  <c r="N112" i="1"/>
  <c r="N477" i="1"/>
  <c r="N478" i="1"/>
  <c r="N114" i="1"/>
  <c r="N481" i="1"/>
  <c r="N482" i="1"/>
  <c r="N116" i="1"/>
  <c r="N83" i="3"/>
  <c r="N42" i="3"/>
  <c r="N46" i="3"/>
  <c r="N85" i="3"/>
  <c r="N44" i="3"/>
  <c r="N50" i="3"/>
  <c r="N56" i="3"/>
  <c r="N19" i="21"/>
  <c r="N30" i="21"/>
  <c r="N24" i="21"/>
  <c r="N32" i="21"/>
  <c r="N67" i="7"/>
  <c r="N22" i="7"/>
  <c r="N69" i="7"/>
  <c r="N30" i="7"/>
  <c r="N10" i="7"/>
  <c r="N174" i="19"/>
  <c r="N172" i="19"/>
  <c r="N173" i="19"/>
  <c r="N250" i="19"/>
  <c r="N171" i="19"/>
  <c r="N74" i="8"/>
  <c r="N81" i="8"/>
  <c r="N97" i="8"/>
  <c r="N105" i="8"/>
  <c r="N107" i="8"/>
  <c r="N119" i="8"/>
  <c r="N117" i="8"/>
  <c r="N127" i="8"/>
  <c r="N133" i="8"/>
  <c r="N137" i="8"/>
  <c r="N147" i="8"/>
  <c r="N143" i="8"/>
  <c r="N159" i="8"/>
  <c r="N163" i="8"/>
  <c r="N14" i="8"/>
  <c r="N70" i="8"/>
  <c r="N72" i="8"/>
  <c r="N95" i="8"/>
  <c r="N101" i="8"/>
  <c r="N109" i="8"/>
  <c r="N113" i="8"/>
  <c r="N115" i="8"/>
  <c r="N129" i="8"/>
  <c r="N125" i="8"/>
  <c r="N131" i="8"/>
  <c r="N135" i="8"/>
  <c r="N145" i="8"/>
  <c r="N151" i="8"/>
  <c r="N161" i="8"/>
  <c r="N10" i="8"/>
  <c r="N60" i="8"/>
  <c r="N144" i="18"/>
  <c r="N150" i="18"/>
  <c r="N158" i="18"/>
  <c r="N154" i="18"/>
  <c r="N164" i="18"/>
  <c r="N142" i="18"/>
  <c r="N146" i="18"/>
  <c r="N152" i="18"/>
  <c r="N156" i="18"/>
  <c r="N162" i="18"/>
  <c r="N319" i="18"/>
  <c r="N317" i="18"/>
  <c r="N315" i="18"/>
  <c r="N321" i="18"/>
  <c r="N82" i="4"/>
  <c r="N86" i="4"/>
  <c r="N88" i="4"/>
  <c r="N38" i="27"/>
  <c r="N39" i="27"/>
  <c r="N40" i="27"/>
  <c r="N7" i="27"/>
  <c r="N9" i="27"/>
  <c r="N11" i="27"/>
  <c r="N13" i="27"/>
  <c r="N15" i="27"/>
  <c r="N17" i="27"/>
  <c r="N19" i="27"/>
  <c r="N21" i="27"/>
  <c r="N23" i="27"/>
  <c r="N25" i="27"/>
  <c r="N27" i="27"/>
  <c r="N29" i="27"/>
  <c r="N31" i="27"/>
  <c r="N33" i="27"/>
  <c r="N35" i="27"/>
  <c r="C4" i="27"/>
  <c r="N20" i="27"/>
  <c r="N22" i="27"/>
  <c r="N24" i="27"/>
  <c r="N26" i="27"/>
  <c r="N28" i="27"/>
  <c r="N30" i="27"/>
  <c r="N32" i="27"/>
  <c r="N34" i="27"/>
  <c r="N80" i="26"/>
  <c r="N81" i="26"/>
  <c r="N82" i="26"/>
  <c r="N29" i="26"/>
  <c r="N32" i="26"/>
  <c r="N8" i="26"/>
  <c r="N40" i="26"/>
  <c r="N45" i="26"/>
  <c r="N10" i="26"/>
  <c r="N16" i="26"/>
  <c r="N20" i="26"/>
  <c r="N22" i="26"/>
  <c r="N24" i="26"/>
  <c r="N26" i="26"/>
  <c r="N31" i="26"/>
  <c r="N35" i="26"/>
  <c r="N37" i="26"/>
  <c r="N44" i="26"/>
  <c r="N43" i="26"/>
  <c r="N52" i="26"/>
  <c r="N50" i="26"/>
  <c r="N51" i="26"/>
  <c r="N54" i="26"/>
  <c r="N57" i="26"/>
  <c r="N59" i="26"/>
  <c r="N61" i="26"/>
  <c r="N63" i="26"/>
  <c r="N65" i="26"/>
  <c r="N67" i="26"/>
  <c r="N69" i="26"/>
  <c r="N71" i="26"/>
  <c r="N73" i="26"/>
  <c r="N75" i="26"/>
  <c r="N77" i="26"/>
  <c r="N79" i="26"/>
  <c r="N30" i="26"/>
  <c r="N34" i="26"/>
  <c r="N36" i="26"/>
  <c r="N42" i="26"/>
  <c r="N41" i="26"/>
  <c r="N49" i="26"/>
  <c r="N47" i="26"/>
  <c r="N48" i="26"/>
  <c r="N53" i="26"/>
  <c r="N56" i="26"/>
  <c r="N58" i="26"/>
  <c r="N60" i="26"/>
  <c r="N62" i="26"/>
  <c r="N64" i="26"/>
  <c r="N66" i="26"/>
  <c r="N68" i="26"/>
  <c r="N70" i="26"/>
  <c r="N72" i="26"/>
  <c r="N74" i="26"/>
  <c r="N76" i="26"/>
  <c r="N78" i="26"/>
  <c r="N38" i="26"/>
  <c r="N55" i="26"/>
  <c r="N11" i="26"/>
  <c r="N12" i="26"/>
  <c r="N4" i="26"/>
  <c r="N13" i="26"/>
  <c r="N14" i="26"/>
  <c r="N5" i="26"/>
  <c r="N17" i="26"/>
  <c r="N18" i="26"/>
  <c r="N6" i="26"/>
  <c r="N28" i="26"/>
  <c r="N7" i="26"/>
  <c r="N33" i="26"/>
  <c r="N39" i="26"/>
  <c r="N9" i="26"/>
  <c r="N46" i="26"/>
  <c r="N15" i="26"/>
  <c r="N19" i="26"/>
  <c r="N21" i="26"/>
  <c r="N23" i="26"/>
  <c r="N25" i="26"/>
  <c r="N102" i="25"/>
  <c r="N105" i="25"/>
  <c r="N103" i="25"/>
  <c r="C28" i="37" l="1"/>
  <c r="E27" i="37"/>
  <c r="C12" i="32"/>
  <c r="E11" i="32"/>
  <c r="C5" i="27"/>
  <c r="E4" i="27"/>
  <c r="C11" i="31"/>
  <c r="C29" i="37" l="1"/>
  <c r="E28" i="37"/>
  <c r="C13" i="32"/>
  <c r="E12" i="32"/>
  <c r="C6" i="27"/>
  <c r="E5" i="27"/>
  <c r="C12" i="31"/>
  <c r="C30" i="37" l="1"/>
  <c r="E29" i="37"/>
  <c r="C14" i="32"/>
  <c r="E13" i="32"/>
  <c r="E6" i="27"/>
  <c r="C7" i="27"/>
  <c r="C13" i="31"/>
  <c r="C31" i="37" l="1"/>
  <c r="E30" i="37"/>
  <c r="C15" i="32"/>
  <c r="E14" i="32"/>
  <c r="C8" i="27"/>
  <c r="E7" i="27"/>
  <c r="C14" i="31"/>
  <c r="C32" i="37" l="1"/>
  <c r="E31" i="37"/>
  <c r="C16" i="32"/>
  <c r="E15" i="32"/>
  <c r="E8" i="27"/>
  <c r="C9" i="27"/>
  <c r="C15" i="31"/>
  <c r="C33" i="37" l="1"/>
  <c r="E32" i="37"/>
  <c r="C17" i="32"/>
  <c r="E16" i="32"/>
  <c r="C10" i="27"/>
  <c r="E9" i="27"/>
  <c r="C16" i="31"/>
  <c r="C34" i="37" l="1"/>
  <c r="E33" i="37"/>
  <c r="C18" i="32"/>
  <c r="E17" i="32"/>
  <c r="E10" i="27"/>
  <c r="C11" i="27"/>
  <c r="C17" i="31"/>
  <c r="C35" i="37" l="1"/>
  <c r="E34" i="37"/>
  <c r="C19" i="32"/>
  <c r="E18" i="32"/>
  <c r="C12" i="27"/>
  <c r="E11" i="27"/>
  <c r="C18" i="31"/>
  <c r="C36" i="37" l="1"/>
  <c r="E35" i="37"/>
  <c r="C20" i="32"/>
  <c r="E19" i="32"/>
  <c r="E12" i="27"/>
  <c r="C13" i="27"/>
  <c r="C19" i="31"/>
  <c r="C37" i="37" l="1"/>
  <c r="E36" i="37"/>
  <c r="C21" i="32"/>
  <c r="E20" i="32"/>
  <c r="C14" i="27"/>
  <c r="E13" i="27"/>
  <c r="C20" i="31"/>
  <c r="C38" i="37" l="1"/>
  <c r="E37" i="37"/>
  <c r="C22" i="32"/>
  <c r="E21" i="32"/>
  <c r="E14" i="27"/>
  <c r="C15" i="27"/>
  <c r="C21" i="31"/>
  <c r="C39" i="37" l="1"/>
  <c r="E38" i="37"/>
  <c r="C23" i="32"/>
  <c r="E22" i="32"/>
  <c r="E15" i="27"/>
  <c r="C16" i="27"/>
  <c r="C22" i="31"/>
  <c r="C40" i="37" l="1"/>
  <c r="E39" i="37"/>
  <c r="C24" i="32"/>
  <c r="E23" i="32"/>
  <c r="E16" i="27"/>
  <c r="C17" i="27"/>
  <c r="C23" i="31"/>
  <c r="C41" i="37" l="1"/>
  <c r="E40" i="37"/>
  <c r="C25" i="32"/>
  <c r="E24" i="32"/>
  <c r="E17" i="27"/>
  <c r="C18" i="27"/>
  <c r="C24" i="31"/>
  <c r="C42" i="37" l="1"/>
  <c r="E41" i="37"/>
  <c r="C26" i="32"/>
  <c r="E25" i="32"/>
  <c r="E18" i="27"/>
  <c r="C19" i="27"/>
  <c r="C25" i="31"/>
  <c r="C43" i="37" l="1"/>
  <c r="E42" i="37"/>
  <c r="C27" i="32"/>
  <c r="E26" i="32"/>
  <c r="E19" i="27"/>
  <c r="C20" i="27"/>
  <c r="C26" i="31"/>
  <c r="C44" i="37" l="1"/>
  <c r="E43" i="37"/>
  <c r="C28" i="32"/>
  <c r="E27" i="32"/>
  <c r="E20" i="27"/>
  <c r="C21" i="27"/>
  <c r="C27" i="31"/>
  <c r="C45" i="37" l="1"/>
  <c r="E44" i="37"/>
  <c r="C29" i="32"/>
  <c r="E28" i="32"/>
  <c r="E21" i="27"/>
  <c r="C22" i="27"/>
  <c r="C28" i="31"/>
  <c r="C46" i="37" l="1"/>
  <c r="E45" i="37"/>
  <c r="C30" i="32"/>
  <c r="E29" i="32"/>
  <c r="E22" i="27"/>
  <c r="C23" i="27"/>
  <c r="C29" i="31"/>
  <c r="C47" i="37" l="1"/>
  <c r="E46" i="37"/>
  <c r="C31" i="32"/>
  <c r="E30" i="32"/>
  <c r="E23" i="27"/>
  <c r="C24" i="27"/>
  <c r="C30" i="31"/>
  <c r="C48" i="37" l="1"/>
  <c r="E47" i="37"/>
  <c r="C32" i="32"/>
  <c r="E31" i="32"/>
  <c r="E24" i="27"/>
  <c r="C25" i="27"/>
  <c r="C31" i="31"/>
  <c r="C49" i="37" l="1"/>
  <c r="E48" i="37"/>
  <c r="C33" i="32"/>
  <c r="E32" i="32"/>
  <c r="E25" i="27"/>
  <c r="C26" i="27"/>
  <c r="C32" i="31"/>
  <c r="C50" i="37" l="1"/>
  <c r="E49" i="37"/>
  <c r="C34" i="32"/>
  <c r="E33" i="32"/>
  <c r="E26" i="27"/>
  <c r="C27" i="27"/>
  <c r="C33" i="31"/>
  <c r="C51" i="37" l="1"/>
  <c r="E50" i="37"/>
  <c r="C35" i="32"/>
  <c r="E34" i="32"/>
  <c r="E27" i="27"/>
  <c r="C28" i="27"/>
  <c r="C34" i="31"/>
  <c r="N87" i="25"/>
  <c r="N92" i="25"/>
  <c r="N42" i="25"/>
  <c r="N95" i="25"/>
  <c r="N96" i="25"/>
  <c r="N44" i="25"/>
  <c r="N101" i="25"/>
  <c r="N48" i="25"/>
  <c r="N52" i="25"/>
  <c r="N55" i="25"/>
  <c r="N61" i="25"/>
  <c r="N60" i="25"/>
  <c r="N56" i="25"/>
  <c r="N63" i="25"/>
  <c r="N66" i="25"/>
  <c r="N71" i="25"/>
  <c r="N73" i="25"/>
  <c r="N77" i="25"/>
  <c r="N84" i="25"/>
  <c r="N89" i="25"/>
  <c r="N90" i="25"/>
  <c r="N99" i="25"/>
  <c r="N104" i="25"/>
  <c r="N43" i="25"/>
  <c r="N97" i="25"/>
  <c r="N100" i="25"/>
  <c r="N45" i="25"/>
  <c r="N49" i="25"/>
  <c r="N53" i="25"/>
  <c r="N54" i="25"/>
  <c r="N59" i="25"/>
  <c r="N58" i="25"/>
  <c r="N57" i="25"/>
  <c r="N62" i="25"/>
  <c r="N67" i="25"/>
  <c r="N72" i="25"/>
  <c r="N74" i="25"/>
  <c r="N78" i="25"/>
  <c r="N85" i="25"/>
  <c r="N88" i="25"/>
  <c r="N91" i="25"/>
  <c r="N98" i="25"/>
  <c r="N164" i="23"/>
  <c r="N165" i="23"/>
  <c r="N168" i="23"/>
  <c r="C52" i="37" l="1"/>
  <c r="E51" i="37"/>
  <c r="C36" i="32"/>
  <c r="E35" i="32"/>
  <c r="E28" i="27"/>
  <c r="C29" i="27"/>
  <c r="C35" i="31"/>
  <c r="N73" i="23"/>
  <c r="N163" i="23"/>
  <c r="N166" i="23"/>
  <c r="N75" i="23"/>
  <c r="N177" i="23"/>
  <c r="N182" i="23"/>
  <c r="N77" i="23"/>
  <c r="N83" i="23"/>
  <c r="N85" i="23"/>
  <c r="N87" i="23"/>
  <c r="N95" i="23"/>
  <c r="N94" i="23"/>
  <c r="N93" i="23"/>
  <c r="N92" i="23"/>
  <c r="N101" i="23"/>
  <c r="N103" i="23"/>
  <c r="N113" i="23"/>
  <c r="N115" i="23"/>
  <c r="N117" i="23"/>
  <c r="N124" i="23"/>
  <c r="N125" i="23"/>
  <c r="N130" i="23"/>
  <c r="N133" i="23"/>
  <c r="N134" i="23"/>
  <c r="N141" i="23"/>
  <c r="N142" i="23"/>
  <c r="N139" i="23"/>
  <c r="N140" i="23"/>
  <c r="N146" i="23"/>
  <c r="N145" i="23"/>
  <c r="N148" i="23"/>
  <c r="N156" i="23"/>
  <c r="N132" i="23"/>
  <c r="N137" i="23"/>
  <c r="N138" i="23"/>
  <c r="N135" i="23"/>
  <c r="N136" i="23"/>
  <c r="N144" i="23"/>
  <c r="N143" i="23"/>
  <c r="N147" i="23"/>
  <c r="N155" i="23"/>
  <c r="N34" i="11"/>
  <c r="N35" i="11"/>
  <c r="N4" i="11"/>
  <c r="N110" i="11"/>
  <c r="N91" i="11"/>
  <c r="N112" i="11"/>
  <c r="N92" i="11"/>
  <c r="N115" i="11"/>
  <c r="N116" i="11"/>
  <c r="N94" i="11"/>
  <c r="N113" i="11"/>
  <c r="N114" i="11"/>
  <c r="N93" i="11"/>
  <c r="N117" i="11"/>
  <c r="N118" i="11"/>
  <c r="N95" i="11"/>
  <c r="N121" i="11"/>
  <c r="N122" i="11"/>
  <c r="N96" i="11"/>
  <c r="N123" i="11"/>
  <c r="N124" i="11"/>
  <c r="N97" i="11"/>
  <c r="N126" i="11"/>
  <c r="N98" i="11"/>
  <c r="N129" i="11"/>
  <c r="N138" i="11"/>
  <c r="N101" i="11"/>
  <c r="N137" i="11"/>
  <c r="N146" i="11"/>
  <c r="N102" i="11"/>
  <c r="N154" i="11"/>
  <c r="N155" i="11"/>
  <c r="N104" i="11"/>
  <c r="N158" i="11"/>
  <c r="N161" i="11"/>
  <c r="N106" i="11"/>
  <c r="N166" i="11"/>
  <c r="N173" i="11"/>
  <c r="N108" i="11"/>
  <c r="N120" i="11"/>
  <c r="N131" i="11"/>
  <c r="N133" i="11"/>
  <c r="N135" i="11"/>
  <c r="N145" i="11"/>
  <c r="N143" i="11"/>
  <c r="N141" i="11"/>
  <c r="N149" i="11"/>
  <c r="N152" i="11"/>
  <c r="N160" i="11"/>
  <c r="N164" i="11"/>
  <c r="N168" i="11"/>
  <c r="N172" i="11"/>
  <c r="N170" i="11"/>
  <c r="N176" i="11"/>
  <c r="N150" i="11"/>
  <c r="N128" i="11"/>
  <c r="N99" i="11"/>
  <c r="N139" i="11"/>
  <c r="N136" i="11"/>
  <c r="N100" i="11"/>
  <c r="N147" i="11"/>
  <c r="N153" i="11"/>
  <c r="N103" i="11"/>
  <c r="N156" i="11"/>
  <c r="N157" i="11"/>
  <c r="N105" i="11"/>
  <c r="N162" i="11"/>
  <c r="N165" i="11"/>
  <c r="N107" i="11"/>
  <c r="N174" i="11"/>
  <c r="N119" i="11"/>
  <c r="N130" i="11"/>
  <c r="N132" i="11"/>
  <c r="N134" i="11"/>
  <c r="N144" i="11"/>
  <c r="N142" i="11"/>
  <c r="N140" i="11"/>
  <c r="N148" i="11"/>
  <c r="N151" i="11"/>
  <c r="N159" i="11"/>
  <c r="N163" i="11"/>
  <c r="N167" i="11"/>
  <c r="N171" i="11"/>
  <c r="N169" i="11"/>
  <c r="N175" i="11"/>
  <c r="N125" i="11"/>
  <c r="N177" i="11"/>
  <c r="C53" i="37" l="1"/>
  <c r="E52" i="37"/>
  <c r="C37" i="32"/>
  <c r="E36" i="32"/>
  <c r="C30" i="27"/>
  <c r="E29" i="27"/>
  <c r="C36" i="31"/>
  <c r="N42" i="22"/>
  <c r="C54" i="37" l="1"/>
  <c r="E53" i="37"/>
  <c r="C38" i="32"/>
  <c r="E37" i="32"/>
  <c r="E30" i="27"/>
  <c r="C31" i="27"/>
  <c r="C37" i="31"/>
  <c r="C4" i="22"/>
  <c r="C5" i="22" s="1"/>
  <c r="C6" i="22" s="1"/>
  <c r="C7" i="22" s="1"/>
  <c r="C8" i="22" s="1"/>
  <c r="C9" i="22" s="1"/>
  <c r="C10" i="22" s="1"/>
  <c r="C11" i="22" s="1"/>
  <c r="C12" i="22" s="1"/>
  <c r="N133" i="5"/>
  <c r="N132" i="5"/>
  <c r="N131" i="5"/>
  <c r="N28" i="6"/>
  <c r="N29" i="6"/>
  <c r="N8" i="6"/>
  <c r="N43" i="6"/>
  <c r="N36" i="6"/>
  <c r="N46" i="6"/>
  <c r="N47" i="6"/>
  <c r="N37" i="6"/>
  <c r="N49" i="6"/>
  <c r="N50" i="6"/>
  <c r="N38" i="6"/>
  <c r="N55" i="6"/>
  <c r="N39" i="6"/>
  <c r="N65" i="6"/>
  <c r="N78" i="6"/>
  <c r="N41" i="6"/>
  <c r="N45" i="6"/>
  <c r="N52" i="6"/>
  <c r="N54" i="6"/>
  <c r="N58" i="6"/>
  <c r="N61" i="6"/>
  <c r="N62" i="6"/>
  <c r="N67" i="6"/>
  <c r="N71" i="6"/>
  <c r="N70" i="6"/>
  <c r="N72" i="6"/>
  <c r="N75" i="6"/>
  <c r="N77" i="6"/>
  <c r="N83" i="6"/>
  <c r="N82" i="6"/>
  <c r="N85" i="6"/>
  <c r="N88" i="6"/>
  <c r="N89" i="6"/>
  <c r="N91" i="6"/>
  <c r="N94" i="6"/>
  <c r="N95" i="6"/>
  <c r="N97" i="6"/>
  <c r="N101" i="6"/>
  <c r="N100" i="6"/>
  <c r="N104" i="6"/>
  <c r="N63" i="6"/>
  <c r="N4" i="6"/>
  <c r="N6" i="6"/>
  <c r="N26" i="6"/>
  <c r="N56" i="6"/>
  <c r="N64" i="6"/>
  <c r="N40" i="6"/>
  <c r="N79" i="6"/>
  <c r="N44" i="6"/>
  <c r="N51" i="6"/>
  <c r="N53" i="6"/>
  <c r="N57" i="6"/>
  <c r="N59" i="6"/>
  <c r="N60" i="6"/>
  <c r="N66" i="6"/>
  <c r="N69" i="6"/>
  <c r="N68" i="6"/>
  <c r="N73" i="6"/>
  <c r="N74" i="6"/>
  <c r="N76" i="6"/>
  <c r="N81" i="6"/>
  <c r="N80" i="6"/>
  <c r="N84" i="6"/>
  <c r="N86" i="6"/>
  <c r="N87" i="6"/>
  <c r="N90" i="6"/>
  <c r="N92" i="6"/>
  <c r="N93" i="6"/>
  <c r="N96" i="6"/>
  <c r="N99" i="6"/>
  <c r="N98" i="6"/>
  <c r="N103" i="6"/>
  <c r="N48" i="6"/>
  <c r="N102" i="6"/>
  <c r="N5" i="6"/>
  <c r="N27" i="6"/>
  <c r="N7" i="6"/>
  <c r="N42" i="6"/>
  <c r="N83" i="9"/>
  <c r="N82" i="9"/>
  <c r="N80" i="9"/>
  <c r="N81" i="9"/>
  <c r="N84" i="9"/>
  <c r="N5" i="13"/>
  <c r="N6" i="13"/>
  <c r="N7" i="13"/>
  <c r="N8" i="13"/>
  <c r="N9" i="13"/>
  <c r="N10" i="13"/>
  <c r="N11" i="13"/>
  <c r="N12" i="13"/>
  <c r="N13" i="13"/>
  <c r="N14" i="13"/>
  <c r="N15" i="13"/>
  <c r="N16" i="13"/>
  <c r="N17" i="13"/>
  <c r="N18" i="13"/>
  <c r="N19" i="13"/>
  <c r="N20" i="13"/>
  <c r="N21" i="13"/>
  <c r="N22" i="13"/>
  <c r="N23" i="13"/>
  <c r="N24" i="13"/>
  <c r="N25" i="13"/>
  <c r="N26" i="13"/>
  <c r="N27" i="13"/>
  <c r="N28" i="13"/>
  <c r="N29" i="13"/>
  <c r="N30" i="13"/>
  <c r="N31" i="13"/>
  <c r="N32" i="13"/>
  <c r="N33" i="13"/>
  <c r="N34" i="13"/>
  <c r="N35" i="13"/>
  <c r="N36" i="13"/>
  <c r="N37" i="13"/>
  <c r="N38" i="13"/>
  <c r="N39" i="13"/>
  <c r="N40" i="13"/>
  <c r="N41" i="13"/>
  <c r="N42" i="13"/>
  <c r="N43" i="13"/>
  <c r="N44" i="13"/>
  <c r="N45" i="13"/>
  <c r="N46" i="13"/>
  <c r="N47" i="13"/>
  <c r="N48" i="13"/>
  <c r="N49" i="13"/>
  <c r="N50" i="13"/>
  <c r="N51" i="13"/>
  <c r="N52" i="13"/>
  <c r="N53" i="13"/>
  <c r="N54" i="13"/>
  <c r="N55" i="13"/>
  <c r="N56" i="13"/>
  <c r="N57" i="13"/>
  <c r="N58" i="13"/>
  <c r="N59" i="13"/>
  <c r="N60" i="13"/>
  <c r="N61" i="13"/>
  <c r="N62" i="13"/>
  <c r="N63" i="13"/>
  <c r="N64" i="13"/>
  <c r="N65" i="13"/>
  <c r="N66" i="13"/>
  <c r="N67" i="13"/>
  <c r="N68" i="13"/>
  <c r="N69" i="13"/>
  <c r="N70" i="13"/>
  <c r="N71" i="13"/>
  <c r="N72" i="13"/>
  <c r="N73" i="13"/>
  <c r="N74" i="13"/>
  <c r="N75" i="13"/>
  <c r="N76" i="13"/>
  <c r="N77" i="13"/>
  <c r="N78" i="13"/>
  <c r="N79" i="13"/>
  <c r="N80" i="13"/>
  <c r="N81" i="13"/>
  <c r="N82" i="13"/>
  <c r="N83" i="13"/>
  <c r="N84" i="13"/>
  <c r="N85" i="13"/>
  <c r="N86" i="13"/>
  <c r="N87" i="13"/>
  <c r="N88" i="13"/>
  <c r="N89" i="13"/>
  <c r="N90" i="13"/>
  <c r="N91" i="13"/>
  <c r="N92" i="13"/>
  <c r="N93" i="13"/>
  <c r="N94" i="13"/>
  <c r="N95" i="13"/>
  <c r="N96" i="13"/>
  <c r="N97" i="13"/>
  <c r="N98" i="13"/>
  <c r="N99" i="13"/>
  <c r="N100" i="13"/>
  <c r="N101" i="13"/>
  <c r="N102" i="13"/>
  <c r="N103" i="13"/>
  <c r="N104" i="13"/>
  <c r="N105" i="13"/>
  <c r="N106" i="13"/>
  <c r="N107" i="13"/>
  <c r="N108" i="13"/>
  <c r="N109" i="13"/>
  <c r="N110" i="13"/>
  <c r="N111" i="13"/>
  <c r="N112" i="13"/>
  <c r="N113" i="13"/>
  <c r="N114" i="13"/>
  <c r="N115" i="13"/>
  <c r="N116" i="13"/>
  <c r="N117" i="13"/>
  <c r="N118" i="13"/>
  <c r="N119" i="13"/>
  <c r="N120" i="13"/>
  <c r="N121" i="13"/>
  <c r="N122" i="13"/>
  <c r="N123" i="13"/>
  <c r="N124" i="13"/>
  <c r="N125" i="13"/>
  <c r="N126" i="13"/>
  <c r="N127" i="13"/>
  <c r="N128" i="13"/>
  <c r="N129" i="13"/>
  <c r="N130" i="13"/>
  <c r="N131" i="13"/>
  <c r="N132" i="13"/>
  <c r="N133" i="13"/>
  <c r="N134" i="13"/>
  <c r="N135" i="13"/>
  <c r="N136" i="13"/>
  <c r="N137" i="13"/>
  <c r="N138" i="13"/>
  <c r="N139" i="13"/>
  <c r="N140" i="13"/>
  <c r="N141" i="13"/>
  <c r="N142" i="13"/>
  <c r="N143" i="13"/>
  <c r="N144" i="13"/>
  <c r="N145" i="13"/>
  <c r="N146" i="13"/>
  <c r="N147" i="13"/>
  <c r="N148" i="13"/>
  <c r="N149" i="13"/>
  <c r="N150" i="13"/>
  <c r="N151" i="13"/>
  <c r="N152" i="13"/>
  <c r="N153" i="13"/>
  <c r="N154" i="13"/>
  <c r="N155" i="13"/>
  <c r="N156" i="13"/>
  <c r="N157" i="13"/>
  <c r="N158" i="13"/>
  <c r="N159" i="13"/>
  <c r="N160" i="13"/>
  <c r="N161" i="13"/>
  <c r="N162" i="13"/>
  <c r="N163" i="13"/>
  <c r="N164" i="13"/>
  <c r="N165" i="13"/>
  <c r="N166" i="13"/>
  <c r="N167" i="13"/>
  <c r="N168" i="13"/>
  <c r="N169" i="13"/>
  <c r="N170" i="13"/>
  <c r="N171" i="13"/>
  <c r="N172" i="13"/>
  <c r="N173" i="13"/>
  <c r="N174" i="13"/>
  <c r="N175" i="13"/>
  <c r="N176" i="13"/>
  <c r="N177" i="13"/>
  <c r="N178" i="13"/>
  <c r="N179" i="13"/>
  <c r="N180" i="13"/>
  <c r="N181" i="13"/>
  <c r="N182" i="13"/>
  <c r="N183" i="13"/>
  <c r="N184" i="13"/>
  <c r="N185" i="13"/>
  <c r="N186" i="13"/>
  <c r="N187" i="13"/>
  <c r="N188" i="13"/>
  <c r="N189" i="13"/>
  <c r="N190" i="13"/>
  <c r="N191" i="13"/>
  <c r="N192" i="13"/>
  <c r="N193" i="13"/>
  <c r="N194" i="13"/>
  <c r="N195" i="13"/>
  <c r="N196" i="13"/>
  <c r="N197" i="13"/>
  <c r="N198" i="13"/>
  <c r="N199" i="13"/>
  <c r="N200" i="13"/>
  <c r="N201" i="13"/>
  <c r="N202" i="13"/>
  <c r="N203" i="13"/>
  <c r="N204" i="13"/>
  <c r="N205" i="13"/>
  <c r="N206" i="13"/>
  <c r="N207" i="13"/>
  <c r="N208" i="13"/>
  <c r="N209" i="13"/>
  <c r="N210" i="13"/>
  <c r="N211" i="13"/>
  <c r="N212" i="13"/>
  <c r="N213" i="13"/>
  <c r="N214" i="13"/>
  <c r="N215" i="13"/>
  <c r="N216" i="13"/>
  <c r="N217" i="13"/>
  <c r="N218" i="13"/>
  <c r="N219" i="13"/>
  <c r="N220" i="13"/>
  <c r="N221" i="13"/>
  <c r="N222" i="13"/>
  <c r="N223" i="13"/>
  <c r="N224" i="13"/>
  <c r="N225" i="13"/>
  <c r="N226" i="13"/>
  <c r="N227" i="13"/>
  <c r="N228" i="13"/>
  <c r="N229" i="13"/>
  <c r="N230" i="13"/>
  <c r="N231" i="13"/>
  <c r="N232" i="13"/>
  <c r="N233" i="13"/>
  <c r="N234" i="13"/>
  <c r="N235" i="13"/>
  <c r="N236" i="13"/>
  <c r="N237" i="13"/>
  <c r="N238" i="13"/>
  <c r="N239" i="13"/>
  <c r="N240" i="13"/>
  <c r="N241" i="13"/>
  <c r="N242" i="13"/>
  <c r="N243" i="13"/>
  <c r="N244" i="13"/>
  <c r="N245" i="13"/>
  <c r="N246" i="13"/>
  <c r="N247" i="13"/>
  <c r="N248" i="13"/>
  <c r="N268" i="13"/>
  <c r="N270" i="13"/>
  <c r="N272" i="13"/>
  <c r="N274" i="13"/>
  <c r="N276" i="13"/>
  <c r="N278" i="13"/>
  <c r="N280" i="13"/>
  <c r="N282" i="13"/>
  <c r="N284" i="13"/>
  <c r="N267" i="13"/>
  <c r="N269" i="13"/>
  <c r="N271" i="13"/>
  <c r="N273" i="13"/>
  <c r="N275" i="13"/>
  <c r="N277" i="13"/>
  <c r="N279" i="13"/>
  <c r="N281" i="13"/>
  <c r="N283" i="13"/>
  <c r="N285" i="13"/>
  <c r="N290" i="13"/>
  <c r="N291" i="13"/>
  <c r="N292" i="13"/>
  <c r="C55" i="37" l="1"/>
  <c r="E54" i="37"/>
  <c r="C39" i="32"/>
  <c r="E38" i="32"/>
  <c r="E31" i="27"/>
  <c r="C32" i="27"/>
  <c r="C38" i="31"/>
  <c r="C56" i="37" l="1"/>
  <c r="E55" i="37"/>
  <c r="C40" i="32"/>
  <c r="E39" i="32"/>
  <c r="E32" i="27"/>
  <c r="C33" i="27"/>
  <c r="C39" i="31"/>
  <c r="C57" i="37" l="1"/>
  <c r="E56" i="37"/>
  <c r="C41" i="32"/>
  <c r="E40" i="32"/>
  <c r="E33" i="27"/>
  <c r="C34" i="27"/>
  <c r="C40" i="31"/>
  <c r="N11" i="7"/>
  <c r="N12" i="7"/>
  <c r="N14" i="7"/>
  <c r="C58" i="37" l="1"/>
  <c r="E57" i="37"/>
  <c r="C42" i="32"/>
  <c r="E41" i="32"/>
  <c r="C35" i="27"/>
  <c r="E34" i="27"/>
  <c r="C41" i="31"/>
  <c r="C59" i="37" l="1"/>
  <c r="E58" i="37"/>
  <c r="C43" i="32"/>
  <c r="E42" i="32"/>
  <c r="E35" i="27"/>
  <c r="C36" i="27"/>
  <c r="C42" i="31"/>
  <c r="C60" i="37" l="1"/>
  <c r="E59" i="37"/>
  <c r="C44" i="32"/>
  <c r="E43" i="32"/>
  <c r="C37" i="27"/>
  <c r="E36" i="27"/>
  <c r="C43" i="31"/>
  <c r="C61" i="37" l="1"/>
  <c r="E60" i="37"/>
  <c r="C45" i="32"/>
  <c r="E44" i="32"/>
  <c r="C38" i="27"/>
  <c r="E37" i="27"/>
  <c r="C44" i="31"/>
  <c r="C62" i="37" l="1"/>
  <c r="E61" i="37"/>
  <c r="C46" i="32"/>
  <c r="E45" i="32"/>
  <c r="C39" i="27"/>
  <c r="E38" i="27"/>
  <c r="C45" i="31"/>
  <c r="N222" i="19"/>
  <c r="N254" i="19"/>
  <c r="N184" i="19"/>
  <c r="N188" i="19"/>
  <c r="N216" i="19"/>
  <c r="N226" i="19"/>
  <c r="N238" i="19"/>
  <c r="N246" i="19"/>
  <c r="N252" i="19"/>
  <c r="N187" i="19"/>
  <c r="N203" i="19"/>
  <c r="N225" i="19"/>
  <c r="N233" i="19"/>
  <c r="N243" i="19"/>
  <c r="N249" i="19"/>
  <c r="N190" i="19"/>
  <c r="N192" i="19"/>
  <c r="N200" i="19"/>
  <c r="N206" i="19"/>
  <c r="N208" i="19"/>
  <c r="N214" i="19"/>
  <c r="N218" i="19"/>
  <c r="N230" i="19"/>
  <c r="N237" i="19"/>
  <c r="N244" i="19"/>
  <c r="N191" i="19"/>
  <c r="N194" i="19"/>
  <c r="N199" i="19"/>
  <c r="N223" i="19"/>
  <c r="N255" i="19"/>
  <c r="N186" i="19"/>
  <c r="N202" i="19"/>
  <c r="N224" i="19"/>
  <c r="N232" i="19"/>
  <c r="N242" i="19"/>
  <c r="N248" i="19"/>
  <c r="N185" i="19"/>
  <c r="N189" i="19"/>
  <c r="N217" i="19"/>
  <c r="N227" i="19"/>
  <c r="N239" i="19"/>
  <c r="N247" i="19"/>
  <c r="N253" i="19"/>
  <c r="N193" i="19"/>
  <c r="N196" i="19"/>
  <c r="N204" i="19"/>
  <c r="N211" i="19"/>
  <c r="N212" i="19"/>
  <c r="N219" i="19"/>
  <c r="N228" i="19"/>
  <c r="N234" i="19"/>
  <c r="N240" i="19"/>
  <c r="N251" i="19"/>
  <c r="N195" i="19"/>
  <c r="N197" i="19"/>
  <c r="N201" i="19"/>
  <c r="N205" i="19"/>
  <c r="N207" i="19"/>
  <c r="N210" i="19"/>
  <c r="N209" i="19"/>
  <c r="N213" i="19"/>
  <c r="N215" i="19"/>
  <c r="N221" i="19"/>
  <c r="N220" i="19"/>
  <c r="N229" i="19"/>
  <c r="N235" i="19"/>
  <c r="C63" i="37" l="1"/>
  <c r="E62" i="37"/>
  <c r="C47" i="32"/>
  <c r="E46" i="32"/>
  <c r="C40" i="27"/>
  <c r="E39" i="27"/>
  <c r="C46" i="31"/>
  <c r="C64" i="37" l="1"/>
  <c r="E63" i="37"/>
  <c r="C48" i="32"/>
  <c r="E47" i="32"/>
  <c r="E40" i="27"/>
  <c r="C41" i="27"/>
  <c r="C47" i="31"/>
  <c r="N46" i="12"/>
  <c r="N11" i="12"/>
  <c r="N12" i="12"/>
  <c r="C65" i="37" l="1"/>
  <c r="E64" i="37"/>
  <c r="C49" i="32"/>
  <c r="E48" i="32"/>
  <c r="E41" i="27"/>
  <c r="C42" i="27"/>
  <c r="C48" i="31"/>
  <c r="C66" i="37" l="1"/>
  <c r="E65" i="37"/>
  <c r="C50" i="32"/>
  <c r="E49" i="32"/>
  <c r="E42" i="27"/>
  <c r="C43" i="27"/>
  <c r="C49" i="31"/>
  <c r="N128" i="23"/>
  <c r="N129" i="23"/>
  <c r="N131" i="23"/>
  <c r="N82" i="23"/>
  <c r="N86" i="23"/>
  <c r="N91" i="23"/>
  <c r="N90" i="23"/>
  <c r="N74" i="23"/>
  <c r="N116" i="23"/>
  <c r="N123" i="23"/>
  <c r="N176" i="23"/>
  <c r="N76" i="23"/>
  <c r="N183" i="23"/>
  <c r="N84" i="23"/>
  <c r="N89" i="23"/>
  <c r="N88" i="23"/>
  <c r="N100" i="23"/>
  <c r="N102" i="23"/>
  <c r="N112" i="23"/>
  <c r="N114" i="23"/>
  <c r="C67" i="37" l="1"/>
  <c r="E66" i="37"/>
  <c r="C51" i="32"/>
  <c r="E50" i="32"/>
  <c r="E43" i="27"/>
  <c r="C44" i="27"/>
  <c r="C50" i="31"/>
  <c r="N94" i="25"/>
  <c r="N18" i="27"/>
  <c r="N16" i="27"/>
  <c r="N14" i="27"/>
  <c r="N93" i="25"/>
  <c r="N41" i="25"/>
  <c r="N86" i="25"/>
  <c r="N83" i="25"/>
  <c r="N82" i="25"/>
  <c r="N39" i="25"/>
  <c r="N80" i="25"/>
  <c r="N79" i="25"/>
  <c r="N38" i="25"/>
  <c r="N76" i="25"/>
  <c r="N75" i="25"/>
  <c r="N37" i="25"/>
  <c r="C68" i="37" l="1"/>
  <c r="E67" i="37"/>
  <c r="C52" i="32"/>
  <c r="E51" i="32"/>
  <c r="E44" i="27"/>
  <c r="C45" i="27"/>
  <c r="C51" i="31"/>
  <c r="N12" i="27"/>
  <c r="N10" i="27"/>
  <c r="N8" i="27"/>
  <c r="C69" i="37" l="1"/>
  <c r="E68" i="37"/>
  <c r="C53" i="32"/>
  <c r="E52" i="32"/>
  <c r="E45" i="27"/>
  <c r="C46" i="27"/>
  <c r="C52" i="31"/>
  <c r="N167" i="23"/>
  <c r="N162" i="23"/>
  <c r="N158" i="23"/>
  <c r="N72" i="23"/>
  <c r="N154" i="23"/>
  <c r="N153" i="23"/>
  <c r="N71" i="23"/>
  <c r="N152" i="23"/>
  <c r="N151" i="23"/>
  <c r="N70" i="23"/>
  <c r="N127" i="23"/>
  <c r="N126" i="23"/>
  <c r="N69" i="23"/>
  <c r="C1" i="17"/>
  <c r="B1" i="17"/>
  <c r="C70" i="37" l="1"/>
  <c r="E69" i="37"/>
  <c r="C54" i="32"/>
  <c r="E53" i="32"/>
  <c r="E46" i="27"/>
  <c r="C47" i="27"/>
  <c r="C53" i="31"/>
  <c r="N5" i="27"/>
  <c r="N6" i="27"/>
  <c r="N4" i="27"/>
  <c r="N27" i="26"/>
  <c r="N50" i="25"/>
  <c r="N106" i="25"/>
  <c r="N46" i="25"/>
  <c r="N47" i="25"/>
  <c r="N34" i="25"/>
  <c r="N51" i="25"/>
  <c r="N35" i="25"/>
  <c r="N64" i="25"/>
  <c r="N65" i="25"/>
  <c r="N36" i="25"/>
  <c r="N68" i="25"/>
  <c r="N69" i="25"/>
  <c r="N81" i="25"/>
  <c r="N70" i="25"/>
  <c r="N107" i="23"/>
  <c r="N110" i="23"/>
  <c r="N68" i="23"/>
  <c r="N109" i="23"/>
  <c r="N121" i="23"/>
  <c r="N65" i="23"/>
  <c r="N106" i="23"/>
  <c r="N66" i="23"/>
  <c r="N111" i="23"/>
  <c r="N108" i="23"/>
  <c r="N67" i="23"/>
  <c r="N122" i="23"/>
  <c r="N159" i="23"/>
  <c r="N188" i="23"/>
  <c r="N62" i="23"/>
  <c r="N80" i="23"/>
  <c r="N96" i="23"/>
  <c r="N97" i="23"/>
  <c r="N99" i="23"/>
  <c r="N118" i="23"/>
  <c r="N78" i="23"/>
  <c r="N79" i="23"/>
  <c r="N81" i="23"/>
  <c r="N63" i="23"/>
  <c r="N64" i="23"/>
  <c r="N98" i="23"/>
  <c r="N21" i="22"/>
  <c r="N29" i="22"/>
  <c r="N37" i="22"/>
  <c r="N17" i="22"/>
  <c r="N19" i="22"/>
  <c r="N23" i="22"/>
  <c r="N25" i="22"/>
  <c r="N27" i="22"/>
  <c r="N31" i="22"/>
  <c r="N33" i="22"/>
  <c r="N35" i="22"/>
  <c r="N39" i="22"/>
  <c r="N41" i="22"/>
  <c r="N10" i="22"/>
  <c r="N4" i="22"/>
  <c r="N5" i="22"/>
  <c r="N6" i="22"/>
  <c r="N7" i="22"/>
  <c r="N8" i="22"/>
  <c r="N9" i="22"/>
  <c r="N12" i="22"/>
  <c r="N14" i="22"/>
  <c r="N16" i="22"/>
  <c r="N18" i="22"/>
  <c r="N20" i="22"/>
  <c r="N22" i="22"/>
  <c r="N24" i="22"/>
  <c r="N26" i="22"/>
  <c r="N28" i="22"/>
  <c r="N30" i="22"/>
  <c r="N32" i="22"/>
  <c r="N34" i="22"/>
  <c r="N36" i="22"/>
  <c r="N38" i="22"/>
  <c r="N40" i="22"/>
  <c r="N13" i="22"/>
  <c r="N15" i="22"/>
  <c r="N6" i="21"/>
  <c r="N8" i="21"/>
  <c r="N10" i="21"/>
  <c r="N4" i="21"/>
  <c r="N5" i="21"/>
  <c r="N7" i="21"/>
  <c r="N9" i="21"/>
  <c r="N33" i="21"/>
  <c r="N54" i="21"/>
  <c r="N31" i="21"/>
  <c r="N48" i="21"/>
  <c r="N34" i="21"/>
  <c r="N38" i="21"/>
  <c r="N55" i="21"/>
  <c r="N20" i="21"/>
  <c r="N37" i="21"/>
  <c r="N39" i="21"/>
  <c r="N35" i="21"/>
  <c r="N15" i="21"/>
  <c r="N36" i="21"/>
  <c r="N49" i="21"/>
  <c r="N83" i="20"/>
  <c r="N261" i="18"/>
  <c r="N267" i="18"/>
  <c r="N275" i="18"/>
  <c r="N273" i="18"/>
  <c r="N277" i="18"/>
  <c r="N279" i="18"/>
  <c r="N285" i="18"/>
  <c r="N303" i="18"/>
  <c r="N295" i="18"/>
  <c r="N289" i="18"/>
  <c r="N291" i="18"/>
  <c r="N293" i="18"/>
  <c r="N309" i="18"/>
  <c r="N311" i="18"/>
  <c r="N255" i="18"/>
  <c r="N257" i="18"/>
  <c r="N259" i="18"/>
  <c r="N265" i="18"/>
  <c r="N263" i="18"/>
  <c r="N271" i="18"/>
  <c r="N269" i="18"/>
  <c r="N281" i="18"/>
  <c r="N283" i="18"/>
  <c r="N299" i="18"/>
  <c r="N297" i="18"/>
  <c r="N287" i="18"/>
  <c r="N301" i="18"/>
  <c r="N307" i="18"/>
  <c r="N305" i="18"/>
  <c r="N313" i="18"/>
  <c r="C71" i="37" l="1"/>
  <c r="E70" i="37"/>
  <c r="C55" i="32"/>
  <c r="E54" i="32"/>
  <c r="C4" i="30"/>
  <c r="E47" i="27"/>
  <c r="C48" i="27"/>
  <c r="C54" i="31"/>
  <c r="N198" i="19"/>
  <c r="N247" i="18"/>
  <c r="N225" i="18"/>
  <c r="N223" i="18"/>
  <c r="N231" i="18"/>
  <c r="N237" i="18"/>
  <c r="N235" i="18"/>
  <c r="N239" i="18"/>
  <c r="N241" i="18"/>
  <c r="N243" i="18"/>
  <c r="N251" i="18"/>
  <c r="N249" i="18"/>
  <c r="N245" i="18"/>
  <c r="N323" i="18"/>
  <c r="N141" i="18"/>
  <c r="N145" i="18"/>
  <c r="N151" i="18"/>
  <c r="N155" i="18"/>
  <c r="N161" i="18"/>
  <c r="N165" i="18"/>
  <c r="N169" i="18"/>
  <c r="N177" i="18"/>
  <c r="N179" i="18"/>
  <c r="N183" i="18"/>
  <c r="N233" i="18"/>
  <c r="N137" i="18"/>
  <c r="N143" i="18"/>
  <c r="N149" i="18"/>
  <c r="N157" i="18"/>
  <c r="N153" i="18"/>
  <c r="N163" i="18"/>
  <c r="N167" i="18"/>
  <c r="N173" i="18"/>
  <c r="N175" i="18"/>
  <c r="N181" i="18"/>
  <c r="N185" i="18"/>
  <c r="N189" i="18"/>
  <c r="N191" i="18"/>
  <c r="N193" i="18"/>
  <c r="N195" i="18"/>
  <c r="N197" i="18"/>
  <c r="N199" i="18"/>
  <c r="N201" i="18"/>
  <c r="N207" i="18"/>
  <c r="N205" i="18"/>
  <c r="N203" i="18"/>
  <c r="N213" i="18"/>
  <c r="N211" i="18"/>
  <c r="N219" i="18"/>
  <c r="N217" i="18"/>
  <c r="N215" i="18"/>
  <c r="N229" i="18"/>
  <c r="N227" i="18"/>
  <c r="N171" i="18"/>
  <c r="C4" i="15"/>
  <c r="C5" i="15" s="1"/>
  <c r="C6" i="15" s="1"/>
  <c r="C7" i="15" s="1"/>
  <c r="C8" i="15" s="1"/>
  <c r="C9" i="15" s="1"/>
  <c r="C10" i="15" s="1"/>
  <c r="C11" i="15" s="1"/>
  <c r="C12" i="15" s="1"/>
  <c r="C13" i="15" s="1"/>
  <c r="C14" i="15" s="1"/>
  <c r="C15" i="15" s="1"/>
  <c r="C16" i="15" s="1"/>
  <c r="C17" i="15" s="1"/>
  <c r="C18" i="15" s="1"/>
  <c r="C19" i="15" s="1"/>
  <c r="C20" i="15" s="1"/>
  <c r="C21" i="15" s="1"/>
  <c r="C22" i="15" s="1"/>
  <c r="C23" i="15" s="1"/>
  <c r="C24" i="15" s="1"/>
  <c r="C25" i="15" s="1"/>
  <c r="C26" i="15" s="1"/>
  <c r="C27" i="15" s="1"/>
  <c r="C28" i="15" s="1"/>
  <c r="C29" i="15" s="1"/>
  <c r="N70" i="15"/>
  <c r="N72" i="15"/>
  <c r="N65" i="15"/>
  <c r="N67" i="15"/>
  <c r="N69" i="15"/>
  <c r="N71" i="15"/>
  <c r="N30" i="15"/>
  <c r="N32" i="15"/>
  <c r="N34" i="15"/>
  <c r="N36" i="15"/>
  <c r="N38" i="15"/>
  <c r="N40" i="15"/>
  <c r="N42" i="15"/>
  <c r="N44" i="15"/>
  <c r="N46" i="15"/>
  <c r="N48" i="15"/>
  <c r="N50" i="15"/>
  <c r="N52" i="15"/>
  <c r="N54" i="15"/>
  <c r="N56" i="15"/>
  <c r="N58" i="15"/>
  <c r="N60" i="15"/>
  <c r="N62" i="15"/>
  <c r="N64" i="15"/>
  <c r="N66" i="15"/>
  <c r="N68" i="15"/>
  <c r="N5" i="15"/>
  <c r="N6" i="15"/>
  <c r="N7" i="15"/>
  <c r="N8" i="15"/>
  <c r="N9" i="15"/>
  <c r="N10" i="15"/>
  <c r="N11" i="15"/>
  <c r="N12" i="15"/>
  <c r="N13" i="15"/>
  <c r="N14" i="15"/>
  <c r="N15" i="15"/>
  <c r="N16" i="15"/>
  <c r="N17" i="15"/>
  <c r="N18" i="15"/>
  <c r="N19" i="15"/>
  <c r="N20" i="15"/>
  <c r="N21" i="15"/>
  <c r="N22" i="15"/>
  <c r="N23" i="15"/>
  <c r="N24" i="15"/>
  <c r="N25" i="15"/>
  <c r="N26" i="15"/>
  <c r="N27" i="15"/>
  <c r="N29" i="15"/>
  <c r="N31" i="15"/>
  <c r="N33" i="15"/>
  <c r="N35" i="15"/>
  <c r="N37" i="15"/>
  <c r="N39" i="15"/>
  <c r="N41" i="15"/>
  <c r="N43" i="15"/>
  <c r="N45" i="15"/>
  <c r="N47" i="15"/>
  <c r="N49" i="15"/>
  <c r="N51" i="15"/>
  <c r="N53" i="15"/>
  <c r="N55" i="15"/>
  <c r="N57" i="15"/>
  <c r="N59" i="15"/>
  <c r="N61" i="15"/>
  <c r="N63" i="15"/>
  <c r="N4" i="15"/>
  <c r="C4" i="13"/>
  <c r="C5" i="13" s="1"/>
  <c r="C6" i="13" s="1"/>
  <c r="C7" i="13" s="1"/>
  <c r="C8" i="13" s="1"/>
  <c r="C9" i="13" s="1"/>
  <c r="C10" i="13" s="1"/>
  <c r="C11" i="13" s="1"/>
  <c r="C12" i="13" s="1"/>
  <c r="C13" i="13" s="1"/>
  <c r="C14" i="13" s="1"/>
  <c r="C15" i="13" s="1"/>
  <c r="C16" i="13" s="1"/>
  <c r="C17" i="13" s="1"/>
  <c r="C18" i="13" s="1"/>
  <c r="C19" i="13" s="1"/>
  <c r="C20" i="13" s="1"/>
  <c r="C21" i="13" s="1"/>
  <c r="C22" i="13" s="1"/>
  <c r="C23" i="13" s="1"/>
  <c r="C24" i="13" s="1"/>
  <c r="C25" i="13" s="1"/>
  <c r="C26" i="13" s="1"/>
  <c r="C27" i="13" s="1"/>
  <c r="C28" i="13" s="1"/>
  <c r="C29" i="13" s="1"/>
  <c r="C30" i="13" s="1"/>
  <c r="C31" i="13" s="1"/>
  <c r="C32" i="13" s="1"/>
  <c r="C33" i="13" s="1"/>
  <c r="C34" i="13" s="1"/>
  <c r="C35" i="13" s="1"/>
  <c r="C36" i="13" s="1"/>
  <c r="C37" i="13" s="1"/>
  <c r="C38" i="13" s="1"/>
  <c r="C39" i="13" s="1"/>
  <c r="C40" i="13" s="1"/>
  <c r="C41" i="13" s="1"/>
  <c r="C42" i="13" s="1"/>
  <c r="C43" i="13" s="1"/>
  <c r="C44" i="13" s="1"/>
  <c r="C45" i="13" s="1"/>
  <c r="C46" i="13" s="1"/>
  <c r="C47" i="13" s="1"/>
  <c r="C48" i="13" s="1"/>
  <c r="C49" i="13" s="1"/>
  <c r="C50" i="13" s="1"/>
  <c r="C51" i="13" s="1"/>
  <c r="C52" i="13" s="1"/>
  <c r="C53" i="13" s="1"/>
  <c r="C54" i="13" s="1"/>
  <c r="C55" i="13" s="1"/>
  <c r="C56" i="13" s="1"/>
  <c r="C57" i="13" s="1"/>
  <c r="C58" i="13" s="1"/>
  <c r="C59" i="13" s="1"/>
  <c r="C60" i="13" s="1"/>
  <c r="C61" i="13" s="1"/>
  <c r="C62" i="13" s="1"/>
  <c r="C63" i="13" s="1"/>
  <c r="C64" i="13" s="1"/>
  <c r="C65" i="13" s="1"/>
  <c r="C66" i="13" s="1"/>
  <c r="C67" i="13" s="1"/>
  <c r="C68" i="13" s="1"/>
  <c r="C69" i="13" s="1"/>
  <c r="C70" i="13" s="1"/>
  <c r="C71" i="13" s="1"/>
  <c r="C72" i="13" s="1"/>
  <c r="C73" i="13" s="1"/>
  <c r="C74" i="13" s="1"/>
  <c r="C75" i="13" s="1"/>
  <c r="C76" i="13" s="1"/>
  <c r="C77" i="13" s="1"/>
  <c r="C78" i="13" s="1"/>
  <c r="C79" i="13" s="1"/>
  <c r="C80" i="13" s="1"/>
  <c r="C81" i="13" s="1"/>
  <c r="C82" i="13" s="1"/>
  <c r="C83" i="13" s="1"/>
  <c r="C84" i="13" s="1"/>
  <c r="C85" i="13" s="1"/>
  <c r="C86" i="13" s="1"/>
  <c r="C87" i="13" s="1"/>
  <c r="C88" i="13" s="1"/>
  <c r="C89" i="13" s="1"/>
  <c r="C90" i="13" s="1"/>
  <c r="C91" i="13" s="1"/>
  <c r="C92" i="13" s="1"/>
  <c r="C93" i="13" s="1"/>
  <c r="C94" i="13" s="1"/>
  <c r="C95" i="13" s="1"/>
  <c r="C96" i="13" s="1"/>
  <c r="C97" i="13" s="1"/>
  <c r="C98" i="13" s="1"/>
  <c r="C99" i="13" s="1"/>
  <c r="C100" i="13" s="1"/>
  <c r="C101" i="13" s="1"/>
  <c r="C102" i="13" s="1"/>
  <c r="C103" i="13" s="1"/>
  <c r="C104" i="13" s="1"/>
  <c r="C105" i="13" s="1"/>
  <c r="C106" i="13" s="1"/>
  <c r="C107" i="13" s="1"/>
  <c r="C108" i="13" s="1"/>
  <c r="C109" i="13" s="1"/>
  <c r="C110" i="13" s="1"/>
  <c r="C111" i="13" s="1"/>
  <c r="C112" i="13" s="1"/>
  <c r="C113" i="13" s="1"/>
  <c r="C114" i="13" s="1"/>
  <c r="C115" i="13" s="1"/>
  <c r="C116" i="13" s="1"/>
  <c r="C117" i="13" s="1"/>
  <c r="C118" i="13" s="1"/>
  <c r="C119" i="13" s="1"/>
  <c r="C120" i="13" s="1"/>
  <c r="C121" i="13" s="1"/>
  <c r="C122" i="13" s="1"/>
  <c r="C123" i="13" s="1"/>
  <c r="C124" i="13" s="1"/>
  <c r="C125" i="13" s="1"/>
  <c r="C126" i="13" s="1"/>
  <c r="C127" i="13" s="1"/>
  <c r="C128" i="13" s="1"/>
  <c r="C129" i="13" s="1"/>
  <c r="C130" i="13" s="1"/>
  <c r="C131" i="13" s="1"/>
  <c r="C132" i="13" s="1"/>
  <c r="C133" i="13" s="1"/>
  <c r="C134" i="13" s="1"/>
  <c r="C135" i="13" s="1"/>
  <c r="C136" i="13" s="1"/>
  <c r="C137" i="13" s="1"/>
  <c r="C138" i="13" s="1"/>
  <c r="C139" i="13" s="1"/>
  <c r="C140" i="13" s="1"/>
  <c r="C141" i="13" s="1"/>
  <c r="C142" i="13" s="1"/>
  <c r="C143" i="13" s="1"/>
  <c r="C144" i="13" s="1"/>
  <c r="C145" i="13" s="1"/>
  <c r="C146" i="13" s="1"/>
  <c r="C147" i="13" s="1"/>
  <c r="C148" i="13" s="1"/>
  <c r="C149" i="13" s="1"/>
  <c r="C150" i="13" s="1"/>
  <c r="C151" i="13" s="1"/>
  <c r="C152" i="13" s="1"/>
  <c r="C153" i="13" s="1"/>
  <c r="C154" i="13" s="1"/>
  <c r="C155" i="13" s="1"/>
  <c r="C156" i="13" s="1"/>
  <c r="C157" i="13" s="1"/>
  <c r="C158" i="13" s="1"/>
  <c r="C159" i="13" s="1"/>
  <c r="C160" i="13" s="1"/>
  <c r="C161" i="13" s="1"/>
  <c r="C162" i="13" s="1"/>
  <c r="C163" i="13" s="1"/>
  <c r="C164" i="13" s="1"/>
  <c r="C165" i="13" s="1"/>
  <c r="C166" i="13" s="1"/>
  <c r="C167" i="13" s="1"/>
  <c r="C168" i="13" s="1"/>
  <c r="C169" i="13" s="1"/>
  <c r="C170" i="13" s="1"/>
  <c r="C171" i="13" s="1"/>
  <c r="C172" i="13" s="1"/>
  <c r="C173" i="13" s="1"/>
  <c r="C174" i="13" s="1"/>
  <c r="C175" i="13" s="1"/>
  <c r="C176" i="13" s="1"/>
  <c r="C177" i="13" s="1"/>
  <c r="C178" i="13" s="1"/>
  <c r="C179" i="13" s="1"/>
  <c r="C180" i="13" s="1"/>
  <c r="C181" i="13" s="1"/>
  <c r="C182" i="13" s="1"/>
  <c r="C183" i="13" s="1"/>
  <c r="C184" i="13" s="1"/>
  <c r="C185" i="13" s="1"/>
  <c r="C186" i="13" s="1"/>
  <c r="C187" i="13" s="1"/>
  <c r="C188" i="13" s="1"/>
  <c r="C189" i="13" s="1"/>
  <c r="C190" i="13" s="1"/>
  <c r="C191" i="13" s="1"/>
  <c r="C192" i="13" s="1"/>
  <c r="C193" i="13" s="1"/>
  <c r="C194" i="13" s="1"/>
  <c r="C195" i="13" s="1"/>
  <c r="C196" i="13" s="1"/>
  <c r="C197" i="13" s="1"/>
  <c r="C198" i="13" s="1"/>
  <c r="C199" i="13" s="1"/>
  <c r="C200" i="13" s="1"/>
  <c r="C201" i="13" s="1"/>
  <c r="C202" i="13" s="1"/>
  <c r="C203" i="13" s="1"/>
  <c r="C204" i="13" s="1"/>
  <c r="C205" i="13" s="1"/>
  <c r="C206" i="13" s="1"/>
  <c r="C207" i="13" s="1"/>
  <c r="C208" i="13" s="1"/>
  <c r="C209" i="13" s="1"/>
  <c r="C210" i="13" s="1"/>
  <c r="C211" i="13" s="1"/>
  <c r="C212" i="13" s="1"/>
  <c r="C213" i="13" s="1"/>
  <c r="C214" i="13" s="1"/>
  <c r="C215" i="13" s="1"/>
  <c r="C216" i="13" s="1"/>
  <c r="C217" i="13" s="1"/>
  <c r="C218" i="13" s="1"/>
  <c r="C219" i="13" s="1"/>
  <c r="C220" i="13" s="1"/>
  <c r="C221" i="13" s="1"/>
  <c r="C222" i="13" s="1"/>
  <c r="C223" i="13" s="1"/>
  <c r="C224" i="13" s="1"/>
  <c r="C225" i="13" s="1"/>
  <c r="C226" i="13" s="1"/>
  <c r="C227" i="13" s="1"/>
  <c r="C228" i="13" s="1"/>
  <c r="C229" i="13" s="1"/>
  <c r="C230" i="13" s="1"/>
  <c r="C231" i="13" s="1"/>
  <c r="C232" i="13" s="1"/>
  <c r="C233" i="13" s="1"/>
  <c r="C234" i="13" s="1"/>
  <c r="C235" i="13" s="1"/>
  <c r="C236" i="13" s="1"/>
  <c r="C237" i="13" s="1"/>
  <c r="C238" i="13" s="1"/>
  <c r="C239" i="13" s="1"/>
  <c r="C240" i="13" s="1"/>
  <c r="C241" i="13" s="1"/>
  <c r="C242" i="13" s="1"/>
  <c r="C243" i="13" s="1"/>
  <c r="C244" i="13" s="1"/>
  <c r="C245" i="13" s="1"/>
  <c r="C246" i="13" s="1"/>
  <c r="C247" i="13" s="1"/>
  <c r="C248" i="13" s="1"/>
  <c r="C249" i="13" s="1"/>
  <c r="C250" i="13" s="1"/>
  <c r="C251" i="13" s="1"/>
  <c r="C252" i="13" s="1"/>
  <c r="C253" i="13" s="1"/>
  <c r="C254" i="13" s="1"/>
  <c r="C255" i="13" s="1"/>
  <c r="C256" i="13" s="1"/>
  <c r="C257" i="13" s="1"/>
  <c r="C258" i="13" s="1"/>
  <c r="C259" i="13" s="1"/>
  <c r="C260" i="13" s="1"/>
  <c r="C261" i="13" s="1"/>
  <c r="C262" i="13" s="1"/>
  <c r="C263" i="13" s="1"/>
  <c r="C264" i="13" s="1"/>
  <c r="C265" i="13" s="1"/>
  <c r="C266" i="13" s="1"/>
  <c r="C267" i="13" s="1"/>
  <c r="C268" i="13" s="1"/>
  <c r="C269" i="13" s="1"/>
  <c r="C270" i="13" s="1"/>
  <c r="C271" i="13" s="1"/>
  <c r="C272" i="13" s="1"/>
  <c r="C273" i="13" s="1"/>
  <c r="C274" i="13" s="1"/>
  <c r="C275" i="13" s="1"/>
  <c r="C276" i="13" s="1"/>
  <c r="C277" i="13" s="1"/>
  <c r="C278" i="13" s="1"/>
  <c r="C279" i="13" s="1"/>
  <c r="C280" i="13" s="1"/>
  <c r="C281" i="13" s="1"/>
  <c r="C282" i="13" s="1"/>
  <c r="C283" i="13" s="1"/>
  <c r="C284" i="13" s="1"/>
  <c r="C285" i="13" s="1"/>
  <c r="C286" i="13" s="1"/>
  <c r="C287" i="13" s="1"/>
  <c r="C288" i="13" s="1"/>
  <c r="C289" i="13" s="1"/>
  <c r="C290" i="13" s="1"/>
  <c r="C291" i="13" s="1"/>
  <c r="C292" i="13" s="1"/>
  <c r="C293" i="13" s="1"/>
  <c r="C294" i="13" s="1"/>
  <c r="C295" i="13" s="1"/>
  <c r="C296" i="13" s="1"/>
  <c r="C297" i="13" s="1"/>
  <c r="C298" i="13" s="1"/>
  <c r="C299" i="13" s="1"/>
  <c r="C300" i="13" s="1"/>
  <c r="C301" i="13" s="1"/>
  <c r="C302" i="13" s="1"/>
  <c r="C303" i="13" s="1"/>
  <c r="C304" i="13" s="1"/>
  <c r="C305" i="13" s="1"/>
  <c r="C306" i="13" s="1"/>
  <c r="C307" i="13" s="1"/>
  <c r="C308" i="13" s="1"/>
  <c r="C309" i="13" s="1"/>
  <c r="C310" i="13" s="1"/>
  <c r="C311" i="13" s="1"/>
  <c r="C312" i="13" s="1"/>
  <c r="C313" i="13" s="1"/>
  <c r="C314" i="13" s="1"/>
  <c r="C315" i="13" s="1"/>
  <c r="C316" i="13" s="1"/>
  <c r="C317" i="13" s="1"/>
  <c r="C318" i="13" s="1"/>
  <c r="C319" i="13" s="1"/>
  <c r="C320" i="13" s="1"/>
  <c r="C321" i="13" s="1"/>
  <c r="C322" i="13" s="1"/>
  <c r="C323" i="13" s="1"/>
  <c r="C324" i="13" s="1"/>
  <c r="C325" i="13" s="1"/>
  <c r="C326" i="13" s="1"/>
  <c r="C327" i="13" s="1"/>
  <c r="C328" i="13" s="1"/>
  <c r="C329" i="13" s="1"/>
  <c r="C330" i="13" s="1"/>
  <c r="C331" i="13" s="1"/>
  <c r="C332" i="13" s="1"/>
  <c r="C333" i="13" s="1"/>
  <c r="C334" i="13" s="1"/>
  <c r="C335" i="13" s="1"/>
  <c r="C336" i="13" s="1"/>
  <c r="C337" i="13" s="1"/>
  <c r="C338" i="13" s="1"/>
  <c r="C339" i="13" s="1"/>
  <c r="C340" i="13" s="1"/>
  <c r="C341" i="13" s="1"/>
  <c r="C342" i="13" s="1"/>
  <c r="C343" i="13" s="1"/>
  <c r="C344" i="13" s="1"/>
  <c r="C345" i="13" s="1"/>
  <c r="C346" i="13" s="1"/>
  <c r="C347" i="13" s="1"/>
  <c r="C348" i="13" s="1"/>
  <c r="C349" i="13" s="1"/>
  <c r="C350" i="13" s="1"/>
  <c r="C351" i="13" s="1"/>
  <c r="C352" i="13" s="1"/>
  <c r="C353" i="13" s="1"/>
  <c r="C354" i="13" s="1"/>
  <c r="C355" i="13" s="1"/>
  <c r="C356" i="13" s="1"/>
  <c r="C357" i="13" s="1"/>
  <c r="C358" i="13" s="1"/>
  <c r="C359" i="13" s="1"/>
  <c r="C360" i="13" s="1"/>
  <c r="C361" i="13" s="1"/>
  <c r="C362" i="13" s="1"/>
  <c r="C363" i="13" s="1"/>
  <c r="C364" i="13" s="1"/>
  <c r="C365" i="13" s="1"/>
  <c r="C366" i="13" s="1"/>
  <c r="C367" i="13" s="1"/>
  <c r="C368" i="13" s="1"/>
  <c r="C369" i="13" s="1"/>
  <c r="C370" i="13" s="1"/>
  <c r="C371" i="13" s="1"/>
  <c r="C372" i="13" s="1"/>
  <c r="C373" i="13" s="1"/>
  <c r="C374" i="13" s="1"/>
  <c r="C375" i="13" s="1"/>
  <c r="C376" i="13" s="1"/>
  <c r="C377" i="13" s="1"/>
  <c r="C378" i="13" s="1"/>
  <c r="C379" i="13" s="1"/>
  <c r="C380" i="13" s="1"/>
  <c r="C381" i="13" s="1"/>
  <c r="C382" i="13" s="1"/>
  <c r="C383" i="13" s="1"/>
  <c r="C384" i="13" s="1"/>
  <c r="C385" i="13" s="1"/>
  <c r="C386" i="13" s="1"/>
  <c r="C387" i="13" s="1"/>
  <c r="C388" i="13" s="1"/>
  <c r="C389" i="13" s="1"/>
  <c r="C390" i="13" s="1"/>
  <c r="C391" i="13" s="1"/>
  <c r="C392" i="13" s="1"/>
  <c r="C393" i="13" s="1"/>
  <c r="C394" i="13" s="1"/>
  <c r="C395" i="13" s="1"/>
  <c r="C396" i="13" s="1"/>
  <c r="C397" i="13" s="1"/>
  <c r="C398" i="13" s="1"/>
  <c r="C399" i="13" s="1"/>
  <c r="C400" i="13" s="1"/>
  <c r="C401" i="13" s="1"/>
  <c r="C402" i="13" s="1"/>
  <c r="C403" i="13" s="1"/>
  <c r="C404" i="13" s="1"/>
  <c r="C405" i="13" s="1"/>
  <c r="C406" i="13" s="1"/>
  <c r="C407" i="13" s="1"/>
  <c r="C408" i="13" s="1"/>
  <c r="C409" i="13" s="1"/>
  <c r="C410" i="13" s="1"/>
  <c r="C411" i="13" s="1"/>
  <c r="C412" i="13" s="1"/>
  <c r="C413" i="13" s="1"/>
  <c r="C414" i="13" s="1"/>
  <c r="C415" i="13" s="1"/>
  <c r="C416" i="13" s="1"/>
  <c r="C417" i="13" s="1"/>
  <c r="C418" i="13" s="1"/>
  <c r="C419" i="13" s="1"/>
  <c r="C420" i="13" s="1"/>
  <c r="C421" i="13" s="1"/>
  <c r="C422" i="13" s="1"/>
  <c r="C423" i="13" s="1"/>
  <c r="C424" i="13" s="1"/>
  <c r="C425" i="13" s="1"/>
  <c r="C426" i="13" s="1"/>
  <c r="C427" i="13" s="1"/>
  <c r="C428" i="13" s="1"/>
  <c r="C429" i="13" s="1"/>
  <c r="C430" i="13" s="1"/>
  <c r="C431" i="13" s="1"/>
  <c r="C432" i="13" s="1"/>
  <c r="C433" i="13" s="1"/>
  <c r="C434" i="13" s="1"/>
  <c r="C435" i="13" s="1"/>
  <c r="C436" i="13" s="1"/>
  <c r="C437" i="13" s="1"/>
  <c r="C438" i="13" s="1"/>
  <c r="C439" i="13" s="1"/>
  <c r="C440" i="13" s="1"/>
  <c r="C441" i="13" s="1"/>
  <c r="C442" i="13" s="1"/>
  <c r="C443" i="13" s="1"/>
  <c r="C444" i="13" s="1"/>
  <c r="C445" i="13" s="1"/>
  <c r="C446" i="13" s="1"/>
  <c r="C447" i="13" s="1"/>
  <c r="C448" i="13" s="1"/>
  <c r="C449" i="13" s="1"/>
  <c r="C450" i="13" s="1"/>
  <c r="C451" i="13" s="1"/>
  <c r="C452" i="13" s="1"/>
  <c r="C453" i="13" s="1"/>
  <c r="C454" i="13" s="1"/>
  <c r="C455" i="13" s="1"/>
  <c r="C456" i="13" s="1"/>
  <c r="C457" i="13" s="1"/>
  <c r="C458" i="13" s="1"/>
  <c r="C459" i="13" s="1"/>
  <c r="C460" i="13" s="1"/>
  <c r="C461" i="13" s="1"/>
  <c r="C462" i="13" s="1"/>
  <c r="C463" i="13" s="1"/>
  <c r="C464" i="13" s="1"/>
  <c r="C465" i="13" s="1"/>
  <c r="C466" i="13" s="1"/>
  <c r="C467" i="13" s="1"/>
  <c r="C468" i="13" s="1"/>
  <c r="C469" i="13" s="1"/>
  <c r="C470" i="13" s="1"/>
  <c r="C471" i="13" s="1"/>
  <c r="C472" i="13" s="1"/>
  <c r="C473" i="13" s="1"/>
  <c r="C474" i="13" s="1"/>
  <c r="C475" i="13" s="1"/>
  <c r="C476" i="13" s="1"/>
  <c r="C477" i="13" s="1"/>
  <c r="C478" i="13" s="1"/>
  <c r="C479" i="13" s="1"/>
  <c r="C480" i="13" s="1"/>
  <c r="C481" i="13" s="1"/>
  <c r="C482" i="13" s="1"/>
  <c r="C483" i="13" s="1"/>
  <c r="C484" i="13" s="1"/>
  <c r="C485" i="13" s="1"/>
  <c r="C486" i="13" s="1"/>
  <c r="C487" i="13" s="1"/>
  <c r="C488" i="13" s="1"/>
  <c r="C489" i="13" s="1"/>
  <c r="C490" i="13" s="1"/>
  <c r="C491" i="13" s="1"/>
  <c r="C492" i="13" s="1"/>
  <c r="C493" i="13" s="1"/>
  <c r="C494" i="13" s="1"/>
  <c r="C495" i="13" s="1"/>
  <c r="C496" i="13" s="1"/>
  <c r="C497" i="13" s="1"/>
  <c r="C498" i="13" s="1"/>
  <c r="C499" i="13" s="1"/>
  <c r="C500" i="13" s="1"/>
  <c r="C501" i="13" s="1"/>
  <c r="C502" i="13" s="1"/>
  <c r="C503" i="13" s="1"/>
  <c r="C504" i="13" s="1"/>
  <c r="C505" i="13" s="1"/>
  <c r="C506" i="13" s="1"/>
  <c r="C507" i="13" s="1"/>
  <c r="C508" i="13" s="1"/>
  <c r="C509" i="13" s="1"/>
  <c r="C510" i="13" s="1"/>
  <c r="C511" i="13" s="1"/>
  <c r="C512" i="13" s="1"/>
  <c r="C513" i="13" s="1"/>
  <c r="C514" i="13" s="1"/>
  <c r="C515" i="13" s="1"/>
  <c r="C516" i="13" s="1"/>
  <c r="C517" i="13" s="1"/>
  <c r="C518" i="13" s="1"/>
  <c r="C519" i="13" s="1"/>
  <c r="C520" i="13" s="1"/>
  <c r="C521" i="13" s="1"/>
  <c r="C522" i="13" s="1"/>
  <c r="C523" i="13" s="1"/>
  <c r="C524" i="13" s="1"/>
  <c r="C525" i="13" s="1"/>
  <c r="C526" i="13" s="1"/>
  <c r="C527" i="13" s="1"/>
  <c r="C528" i="13" s="1"/>
  <c r="C529" i="13" s="1"/>
  <c r="C530" i="13" s="1"/>
  <c r="C531" i="13" s="1"/>
  <c r="C532" i="13" s="1"/>
  <c r="C533" i="13" s="1"/>
  <c r="C534" i="13" s="1"/>
  <c r="C535" i="13" s="1"/>
  <c r="C536" i="13" s="1"/>
  <c r="C537" i="13" s="1"/>
  <c r="C538" i="13" s="1"/>
  <c r="C539" i="13" s="1"/>
  <c r="C540" i="13" s="1"/>
  <c r="C541" i="13" s="1"/>
  <c r="C542" i="13" s="1"/>
  <c r="C543" i="13" s="1"/>
  <c r="C544" i="13" s="1"/>
  <c r="C545" i="13" s="1"/>
  <c r="C546" i="13" s="1"/>
  <c r="C547" i="13" s="1"/>
  <c r="C548" i="13" s="1"/>
  <c r="C549" i="13" s="1"/>
  <c r="C550" i="13" s="1"/>
  <c r="C551" i="13" s="1"/>
  <c r="C552" i="13" s="1"/>
  <c r="C553" i="13" s="1"/>
  <c r="C554" i="13" s="1"/>
  <c r="C555" i="13" s="1"/>
  <c r="C556" i="13" s="1"/>
  <c r="C557" i="13" s="1"/>
  <c r="C558" i="13" s="1"/>
  <c r="C559" i="13" s="1"/>
  <c r="C560" i="13" s="1"/>
  <c r="C561" i="13" s="1"/>
  <c r="C562" i="13" s="1"/>
  <c r="C563" i="13" s="1"/>
  <c r="C564" i="13" s="1"/>
  <c r="C565" i="13" s="1"/>
  <c r="C566" i="13" s="1"/>
  <c r="C567" i="13" s="1"/>
  <c r="C568" i="13" s="1"/>
  <c r="C569" i="13" s="1"/>
  <c r="C570" i="13" s="1"/>
  <c r="C571" i="13" s="1"/>
  <c r="C572" i="13" s="1"/>
  <c r="C573" i="13" s="1"/>
  <c r="C574" i="13" s="1"/>
  <c r="C575" i="13" s="1"/>
  <c r="C576" i="13" s="1"/>
  <c r="C577" i="13" s="1"/>
  <c r="C578" i="13" s="1"/>
  <c r="C579" i="13" s="1"/>
  <c r="C580" i="13" s="1"/>
  <c r="C581" i="13" s="1"/>
  <c r="C582" i="13" s="1"/>
  <c r="C583" i="13" s="1"/>
  <c r="C584" i="13" s="1"/>
  <c r="C585" i="13" s="1"/>
  <c r="C586" i="13" s="1"/>
  <c r="C587" i="13" s="1"/>
  <c r="C588" i="13" s="1"/>
  <c r="C589" i="13" s="1"/>
  <c r="C590" i="13" s="1"/>
  <c r="C591" i="13" s="1"/>
  <c r="C592" i="13" s="1"/>
  <c r="C593" i="13" s="1"/>
  <c r="C594" i="13" s="1"/>
  <c r="C595" i="13" s="1"/>
  <c r="C596" i="13" s="1"/>
  <c r="C597" i="13" s="1"/>
  <c r="C598" i="13" s="1"/>
  <c r="C599" i="13" s="1"/>
  <c r="C600" i="13" s="1"/>
  <c r="C601" i="13" s="1"/>
  <c r="C602" i="13" s="1"/>
  <c r="C603" i="13" s="1"/>
  <c r="C604" i="13" s="1"/>
  <c r="C605" i="13" s="1"/>
  <c r="C606" i="13" s="1"/>
  <c r="C607" i="13" s="1"/>
  <c r="C608" i="13" s="1"/>
  <c r="C609" i="13" s="1"/>
  <c r="C610" i="13" s="1"/>
  <c r="C611" i="13" s="1"/>
  <c r="C612" i="13" s="1"/>
  <c r="C613" i="13" s="1"/>
  <c r="C614" i="13" s="1"/>
  <c r="C615" i="13" s="1"/>
  <c r="C616" i="13" s="1"/>
  <c r="C617" i="13" s="1"/>
  <c r="C618" i="13" s="1"/>
  <c r="C619" i="13" s="1"/>
  <c r="C620" i="13" s="1"/>
  <c r="C621" i="13" s="1"/>
  <c r="C622" i="13" s="1"/>
  <c r="C623" i="13" s="1"/>
  <c r="C624" i="13" s="1"/>
  <c r="C625" i="13" s="1"/>
  <c r="C626" i="13" s="1"/>
  <c r="C627" i="13" s="1"/>
  <c r="C628" i="13" s="1"/>
  <c r="C629" i="13" s="1"/>
  <c r="C630" i="13" s="1"/>
  <c r="C631" i="13" s="1"/>
  <c r="C632" i="13" s="1"/>
  <c r="C633" i="13" s="1"/>
  <c r="C634" i="13" s="1"/>
  <c r="C635" i="13" s="1"/>
  <c r="C636" i="13" s="1"/>
  <c r="C637" i="13" s="1"/>
  <c r="C638" i="13" s="1"/>
  <c r="C639" i="13" s="1"/>
  <c r="C640" i="13" s="1"/>
  <c r="C641" i="13" s="1"/>
  <c r="C642" i="13" s="1"/>
  <c r="C643" i="13" s="1"/>
  <c r="C644" i="13" s="1"/>
  <c r="C645" i="13" s="1"/>
  <c r="C646" i="13" s="1"/>
  <c r="C647" i="13" s="1"/>
  <c r="C648" i="13" s="1"/>
  <c r="C649" i="13" s="1"/>
  <c r="C650" i="13" s="1"/>
  <c r="C651" i="13" s="1"/>
  <c r="C652" i="13" s="1"/>
  <c r="C653" i="13" s="1"/>
  <c r="C654" i="13" s="1"/>
  <c r="C655" i="13" s="1"/>
  <c r="C656" i="13" s="1"/>
  <c r="C657" i="13" s="1"/>
  <c r="C658" i="13" s="1"/>
  <c r="C659" i="13" s="1"/>
  <c r="C660" i="13" s="1"/>
  <c r="C661" i="13" s="1"/>
  <c r="C662" i="13" s="1"/>
  <c r="C663" i="13" s="1"/>
  <c r="C664" i="13" s="1"/>
  <c r="C665" i="13" s="1"/>
  <c r="C666" i="13" s="1"/>
  <c r="C667" i="13" s="1"/>
  <c r="C668" i="13" s="1"/>
  <c r="C669" i="13" s="1"/>
  <c r="C670" i="13" s="1"/>
  <c r="C671" i="13" s="1"/>
  <c r="C672" i="13" s="1"/>
  <c r="C673" i="13" s="1"/>
  <c r="C674" i="13" s="1"/>
  <c r="C675" i="13" s="1"/>
  <c r="C676" i="13" s="1"/>
  <c r="C677" i="13" s="1"/>
  <c r="C678" i="13" s="1"/>
  <c r="C679" i="13" s="1"/>
  <c r="C680" i="13" s="1"/>
  <c r="C681" i="13" s="1"/>
  <c r="C682" i="13" s="1"/>
  <c r="C683" i="13" s="1"/>
  <c r="C684" i="13" s="1"/>
  <c r="C685" i="13" s="1"/>
  <c r="C686" i="13" s="1"/>
  <c r="C687" i="13" s="1"/>
  <c r="C688" i="13" s="1"/>
  <c r="C689" i="13" s="1"/>
  <c r="C690" i="13" s="1"/>
  <c r="C691" i="13" s="1"/>
  <c r="C692" i="13" s="1"/>
  <c r="C693" i="13" s="1"/>
  <c r="C694" i="13" s="1"/>
  <c r="C695" i="13" s="1"/>
  <c r="C696" i="13" s="1"/>
  <c r="C697" i="13" s="1"/>
  <c r="C698" i="13" s="1"/>
  <c r="C699" i="13" s="1"/>
  <c r="C700" i="13" s="1"/>
  <c r="C701" i="13" s="1"/>
  <c r="C702" i="13" s="1"/>
  <c r="C703" i="13" s="1"/>
  <c r="C704" i="13" s="1"/>
  <c r="C705" i="13" s="1"/>
  <c r="C706" i="13" s="1"/>
  <c r="C707" i="13" s="1"/>
  <c r="C708" i="13" s="1"/>
  <c r="C709" i="13" s="1"/>
  <c r="C710" i="13" s="1"/>
  <c r="C711" i="13" s="1"/>
  <c r="C712" i="13" s="1"/>
  <c r="C713" i="13" s="1"/>
  <c r="C714" i="13" s="1"/>
  <c r="C715" i="13" s="1"/>
  <c r="C716" i="13" s="1"/>
  <c r="C717" i="13" s="1"/>
  <c r="C718" i="13" s="1"/>
  <c r="C719" i="13" s="1"/>
  <c r="C720" i="13" s="1"/>
  <c r="C721" i="13" s="1"/>
  <c r="C722" i="13" s="1"/>
  <c r="C723" i="13" s="1"/>
  <c r="C724" i="13" s="1"/>
  <c r="C725" i="13" s="1"/>
  <c r="C726" i="13" s="1"/>
  <c r="C727" i="13" s="1"/>
  <c r="C728" i="13" s="1"/>
  <c r="C729" i="13" s="1"/>
  <c r="C730" i="13" s="1"/>
  <c r="C731" i="13" s="1"/>
  <c r="C732" i="13" s="1"/>
  <c r="C733" i="13" s="1"/>
  <c r="C734" i="13" s="1"/>
  <c r="C735" i="13" s="1"/>
  <c r="C736" i="13" s="1"/>
  <c r="C737" i="13" s="1"/>
  <c r="C738" i="13" s="1"/>
  <c r="C739" i="13" s="1"/>
  <c r="C740" i="13" s="1"/>
  <c r="C741" i="13" s="1"/>
  <c r="C742" i="13" s="1"/>
  <c r="C743" i="13" s="1"/>
  <c r="C744" i="13" s="1"/>
  <c r="C745" i="13" s="1"/>
  <c r="C746" i="13" s="1"/>
  <c r="C747" i="13" s="1"/>
  <c r="C748" i="13" s="1"/>
  <c r="C749" i="13" s="1"/>
  <c r="C750" i="13" s="1"/>
  <c r="C751" i="13" s="1"/>
  <c r="C752" i="13" s="1"/>
  <c r="C753" i="13" s="1"/>
  <c r="C754" i="13" s="1"/>
  <c r="C755" i="13" s="1"/>
  <c r="C756" i="13" s="1"/>
  <c r="C757" i="13" s="1"/>
  <c r="C758" i="13" s="1"/>
  <c r="C759" i="13" s="1"/>
  <c r="C760" i="13" s="1"/>
  <c r="C761" i="13" s="1"/>
  <c r="C762" i="13" s="1"/>
  <c r="C763" i="13" s="1"/>
  <c r="C764" i="13" s="1"/>
  <c r="C765" i="13" s="1"/>
  <c r="C766" i="13" s="1"/>
  <c r="C767" i="13" s="1"/>
  <c r="C768" i="13" s="1"/>
  <c r="C769" i="13" s="1"/>
  <c r="C770" i="13" s="1"/>
  <c r="C771" i="13" s="1"/>
  <c r="C772" i="13" s="1"/>
  <c r="C773" i="13" s="1"/>
  <c r="C774" i="13" s="1"/>
  <c r="C775" i="13" s="1"/>
  <c r="C776" i="13" s="1"/>
  <c r="C777" i="13" s="1"/>
  <c r="C778" i="13" s="1"/>
  <c r="C779" i="13" s="1"/>
  <c r="C780" i="13" s="1"/>
  <c r="C781" i="13" s="1"/>
  <c r="C782" i="13" s="1"/>
  <c r="C783" i="13" s="1"/>
  <c r="C784" i="13" s="1"/>
  <c r="C785" i="13" s="1"/>
  <c r="C786" i="13" s="1"/>
  <c r="C787" i="13" s="1"/>
  <c r="C788" i="13" s="1"/>
  <c r="C789" i="13" s="1"/>
  <c r="C790" i="13" s="1"/>
  <c r="C791" i="13" s="1"/>
  <c r="C792" i="13" s="1"/>
  <c r="C793" i="13" s="1"/>
  <c r="C794" i="13" s="1"/>
  <c r="C795" i="13" s="1"/>
  <c r="C796" i="13" s="1"/>
  <c r="C797" i="13" s="1"/>
  <c r="C798" i="13" s="1"/>
  <c r="C799" i="13" s="1"/>
  <c r="C800" i="13" s="1"/>
  <c r="C801" i="13" s="1"/>
  <c r="C802" i="13" s="1"/>
  <c r="C803" i="13" s="1"/>
  <c r="C804" i="13" s="1"/>
  <c r="C805" i="13" s="1"/>
  <c r="C806" i="13" s="1"/>
  <c r="C807" i="13" s="1"/>
  <c r="C808" i="13" s="1"/>
  <c r="C809" i="13" s="1"/>
  <c r="C810" i="13" s="1"/>
  <c r="C811" i="13" s="1"/>
  <c r="C812" i="13" s="1"/>
  <c r="C813" i="13" s="1"/>
  <c r="C814" i="13" s="1"/>
  <c r="C815" i="13" s="1"/>
  <c r="C816" i="13" s="1"/>
  <c r="C817" i="13" s="1"/>
  <c r="C818" i="13" s="1"/>
  <c r="C819" i="13" s="1"/>
  <c r="C820" i="13" s="1"/>
  <c r="C821" i="13" s="1"/>
  <c r="C822" i="13" s="1"/>
  <c r="C823" i="13" s="1"/>
  <c r="C824" i="13" s="1"/>
  <c r="C825" i="13" s="1"/>
  <c r="C826" i="13" s="1"/>
  <c r="C827" i="13" s="1"/>
  <c r="C828" i="13" s="1"/>
  <c r="C829" i="13" s="1"/>
  <c r="C830" i="13" s="1"/>
  <c r="C831" i="13" s="1"/>
  <c r="C832" i="13" s="1"/>
  <c r="C833" i="13" s="1"/>
  <c r="C834" i="13" s="1"/>
  <c r="C835" i="13" s="1"/>
  <c r="C836" i="13" s="1"/>
  <c r="C837" i="13" s="1"/>
  <c r="C838" i="13" s="1"/>
  <c r="C839" i="13" s="1"/>
  <c r="C840" i="13" s="1"/>
  <c r="C841" i="13" s="1"/>
  <c r="C842" i="13" s="1"/>
  <c r="C843" i="13" s="1"/>
  <c r="C844" i="13" s="1"/>
  <c r="C845" i="13" s="1"/>
  <c r="C846" i="13" s="1"/>
  <c r="C847" i="13" s="1"/>
  <c r="C848" i="13" s="1"/>
  <c r="C849" i="13" s="1"/>
  <c r="C850" i="13" s="1"/>
  <c r="C851" i="13" s="1"/>
  <c r="C852" i="13" s="1"/>
  <c r="C853" i="13" s="1"/>
  <c r="C854" i="13" s="1"/>
  <c r="C855" i="13" s="1"/>
  <c r="C856" i="13" s="1"/>
  <c r="C857" i="13" s="1"/>
  <c r="C858" i="13" s="1"/>
  <c r="C859" i="13" s="1"/>
  <c r="C860" i="13" s="1"/>
  <c r="C861" i="13" s="1"/>
  <c r="C862" i="13" s="1"/>
  <c r="C863" i="13" s="1"/>
  <c r="C864" i="13" s="1"/>
  <c r="C865" i="13" s="1"/>
  <c r="C866" i="13" s="1"/>
  <c r="C867" i="13" s="1"/>
  <c r="C868" i="13" s="1"/>
  <c r="C869" i="13" s="1"/>
  <c r="C870" i="13" s="1"/>
  <c r="C871" i="13" s="1"/>
  <c r="C872" i="13" s="1"/>
  <c r="C873" i="13" s="1"/>
  <c r="C874" i="13" s="1"/>
  <c r="C875" i="13" s="1"/>
  <c r="C876" i="13" s="1"/>
  <c r="C877" i="13" s="1"/>
  <c r="C878" i="13" s="1"/>
  <c r="C879" i="13" s="1"/>
  <c r="C880" i="13" s="1"/>
  <c r="C881" i="13" s="1"/>
  <c r="C882" i="13" s="1"/>
  <c r="C883" i="13" s="1"/>
  <c r="C884" i="13" s="1"/>
  <c r="C885" i="13" s="1"/>
  <c r="C886" i="13" s="1"/>
  <c r="C887" i="13" s="1"/>
  <c r="C888" i="13" s="1"/>
  <c r="C889" i="13" s="1"/>
  <c r="C890" i="13" s="1"/>
  <c r="C891" i="13" s="1"/>
  <c r="C892" i="13" s="1"/>
  <c r="C893" i="13" s="1"/>
  <c r="C894" i="13" s="1"/>
  <c r="C895" i="13" s="1"/>
  <c r="C896" i="13" s="1"/>
  <c r="C897" i="13" s="1"/>
  <c r="C898" i="13" s="1"/>
  <c r="C899" i="13" s="1"/>
  <c r="C900" i="13" s="1"/>
  <c r="C901" i="13" s="1"/>
  <c r="C902" i="13" s="1"/>
  <c r="C903" i="13" s="1"/>
  <c r="C904" i="13" s="1"/>
  <c r="C905" i="13" s="1"/>
  <c r="C906" i="13" s="1"/>
  <c r="C907" i="13" s="1"/>
  <c r="C908" i="13" s="1"/>
  <c r="C909" i="13" s="1"/>
  <c r="C910" i="13" s="1"/>
  <c r="C911" i="13" s="1"/>
  <c r="C912" i="13" s="1"/>
  <c r="C913" i="13" s="1"/>
  <c r="C914" i="13" s="1"/>
  <c r="C915" i="13" s="1"/>
  <c r="C916" i="13" s="1"/>
  <c r="C917" i="13" s="1"/>
  <c r="C918" i="13" s="1"/>
  <c r="C919" i="13" s="1"/>
  <c r="C920" i="13" s="1"/>
  <c r="C921" i="13" s="1"/>
  <c r="C922" i="13" s="1"/>
  <c r="C923" i="13" s="1"/>
  <c r="C924" i="13" s="1"/>
  <c r="C925" i="13" s="1"/>
  <c r="C926" i="13" s="1"/>
  <c r="C927" i="13" s="1"/>
  <c r="C928" i="13" s="1"/>
  <c r="C929" i="13" s="1"/>
  <c r="C930" i="13" s="1"/>
  <c r="C931" i="13" s="1"/>
  <c r="C932" i="13" s="1"/>
  <c r="C933" i="13" s="1"/>
  <c r="C934" i="13" s="1"/>
  <c r="C935" i="13" s="1"/>
  <c r="C936" i="13" s="1"/>
  <c r="C937" i="13" s="1"/>
  <c r="C938" i="13" s="1"/>
  <c r="C939" i="13" s="1"/>
  <c r="C940" i="13" s="1"/>
  <c r="C941" i="13" s="1"/>
  <c r="C942" i="13" s="1"/>
  <c r="C943" i="13" s="1"/>
  <c r="C944" i="13" s="1"/>
  <c r="C945" i="13" s="1"/>
  <c r="C946" i="13" s="1"/>
  <c r="C947" i="13" s="1"/>
  <c r="C948" i="13" s="1"/>
  <c r="C949" i="13" s="1"/>
  <c r="C950" i="13" s="1"/>
  <c r="C951" i="13" s="1"/>
  <c r="C952" i="13" s="1"/>
  <c r="C953" i="13" s="1"/>
  <c r="C954" i="13" s="1"/>
  <c r="C955" i="13" s="1"/>
  <c r="C956" i="13" s="1"/>
  <c r="C957" i="13" s="1"/>
  <c r="C958" i="13" s="1"/>
  <c r="C959" i="13" s="1"/>
  <c r="C960" i="13" s="1"/>
  <c r="C961" i="13" s="1"/>
  <c r="C962" i="13" s="1"/>
  <c r="C963" i="13" s="1"/>
  <c r="C964" i="13" s="1"/>
  <c r="C965" i="13" s="1"/>
  <c r="C966" i="13" s="1"/>
  <c r="C967" i="13" s="1"/>
  <c r="C968" i="13" s="1"/>
  <c r="C969" i="13" s="1"/>
  <c r="C970" i="13" s="1"/>
  <c r="N4" i="13"/>
  <c r="N26" i="12"/>
  <c r="N31" i="12"/>
  <c r="N35" i="12"/>
  <c r="N37" i="12"/>
  <c r="N24" i="12"/>
  <c r="N28" i="12"/>
  <c r="N33" i="12"/>
  <c r="N39" i="12"/>
  <c r="N41" i="12"/>
  <c r="N44" i="12"/>
  <c r="N30" i="12"/>
  <c r="N43" i="12"/>
  <c r="N22" i="12"/>
  <c r="N78" i="10"/>
  <c r="N92" i="10"/>
  <c r="N101" i="10"/>
  <c r="N79" i="10"/>
  <c r="N106" i="10"/>
  <c r="N107" i="10"/>
  <c r="N81" i="10"/>
  <c r="N114" i="10"/>
  <c r="N111" i="10"/>
  <c r="N82" i="10"/>
  <c r="N120" i="10"/>
  <c r="N123" i="10"/>
  <c r="N85" i="10"/>
  <c r="N129" i="10"/>
  <c r="N131" i="10"/>
  <c r="N87" i="10"/>
  <c r="N136" i="10"/>
  <c r="N137" i="10"/>
  <c r="N89" i="10"/>
  <c r="N146" i="10"/>
  <c r="N94" i="10"/>
  <c r="N91" i="10"/>
  <c r="N77" i="10"/>
  <c r="N102" i="10"/>
  <c r="N105" i="10"/>
  <c r="N80" i="10"/>
  <c r="N108" i="10"/>
  <c r="N113" i="10"/>
  <c r="N83" i="10"/>
  <c r="N112" i="10"/>
  <c r="N119" i="10"/>
  <c r="N84" i="10"/>
  <c r="N124" i="10"/>
  <c r="N128" i="10"/>
  <c r="N86" i="10"/>
  <c r="N132" i="10"/>
  <c r="N135" i="10"/>
  <c r="N88" i="10"/>
  <c r="N138" i="10"/>
  <c r="N145" i="10"/>
  <c r="N90" i="10"/>
  <c r="N95" i="10"/>
  <c r="N98" i="10"/>
  <c r="N97" i="10"/>
  <c r="N100" i="10"/>
  <c r="N96" i="10"/>
  <c r="N99" i="10"/>
  <c r="N104" i="10"/>
  <c r="N103" i="10"/>
  <c r="N109" i="10"/>
  <c r="N110" i="10"/>
  <c r="N93" i="10"/>
  <c r="N92" i="9"/>
  <c r="N57" i="9"/>
  <c r="N88" i="9"/>
  <c r="N89" i="9"/>
  <c r="N78" i="9"/>
  <c r="N64" i="9"/>
  <c r="N63" i="9"/>
  <c r="N70" i="9"/>
  <c r="N72" i="9"/>
  <c r="N75" i="9"/>
  <c r="N79" i="9"/>
  <c r="N85" i="9"/>
  <c r="N91" i="9"/>
  <c r="N90" i="9"/>
  <c r="N66" i="9"/>
  <c r="N68" i="9"/>
  <c r="N76" i="9"/>
  <c r="N36" i="9"/>
  <c r="N87" i="9"/>
  <c r="N49" i="9"/>
  <c r="N51" i="9"/>
  <c r="N52" i="9"/>
  <c r="N65" i="9"/>
  <c r="N62" i="9"/>
  <c r="N69" i="9"/>
  <c r="N71" i="9"/>
  <c r="N74" i="9"/>
  <c r="N39" i="9"/>
  <c r="N27" i="9"/>
  <c r="N40" i="9"/>
  <c r="N41" i="9"/>
  <c r="N28" i="9"/>
  <c r="N42" i="9"/>
  <c r="N43" i="9"/>
  <c r="N29" i="9"/>
  <c r="N44" i="9"/>
  <c r="N45" i="9"/>
  <c r="N30" i="9"/>
  <c r="N46" i="9"/>
  <c r="N47" i="9"/>
  <c r="N31" i="9"/>
  <c r="N55" i="9"/>
  <c r="N56" i="9"/>
  <c r="N32" i="9"/>
  <c r="N58" i="9"/>
  <c r="N59" i="9"/>
  <c r="N33" i="9"/>
  <c r="N60" i="9"/>
  <c r="N61" i="9"/>
  <c r="N34" i="9"/>
  <c r="N67" i="9"/>
  <c r="N35" i="9"/>
  <c r="N77" i="9"/>
  <c r="N86" i="9"/>
  <c r="N37" i="9"/>
  <c r="N48" i="9"/>
  <c r="N50" i="9"/>
  <c r="N53" i="9"/>
  <c r="N38" i="9"/>
  <c r="N64" i="8"/>
  <c r="N166" i="8"/>
  <c r="N6" i="8"/>
  <c r="N24" i="8"/>
  <c r="N30" i="8"/>
  <c r="N35" i="8"/>
  <c r="N41" i="8"/>
  <c r="N57" i="8"/>
  <c r="N63" i="8"/>
  <c r="N59" i="8"/>
  <c r="N73" i="8"/>
  <c r="N80" i="8"/>
  <c r="N96" i="8"/>
  <c r="N104" i="8"/>
  <c r="N106" i="8"/>
  <c r="N118" i="8"/>
  <c r="N116" i="8"/>
  <c r="N126" i="8"/>
  <c r="N132" i="8"/>
  <c r="N77" i="8"/>
  <c r="N4" i="8"/>
  <c r="N8" i="8"/>
  <c r="N26" i="8"/>
  <c r="N32" i="8"/>
  <c r="N43" i="8"/>
  <c r="N53" i="8"/>
  <c r="N55" i="8"/>
  <c r="N61" i="8"/>
  <c r="N69" i="8"/>
  <c r="N71" i="8"/>
  <c r="N94" i="8"/>
  <c r="N100" i="8"/>
  <c r="N108" i="8"/>
  <c r="N112" i="8"/>
  <c r="N114" i="8"/>
  <c r="N128" i="8"/>
  <c r="N124" i="8"/>
  <c r="N130" i="8"/>
  <c r="N136" i="8"/>
  <c r="N134" i="8"/>
  <c r="N146" i="8"/>
  <c r="N144" i="8"/>
  <c r="N142" i="8"/>
  <c r="N150" i="8"/>
  <c r="N158" i="8"/>
  <c r="N160" i="8"/>
  <c r="N162" i="8"/>
  <c r="N5" i="8"/>
  <c r="N7" i="8"/>
  <c r="N9" i="8"/>
  <c r="N25" i="8"/>
  <c r="N27" i="8"/>
  <c r="N31" i="8"/>
  <c r="N33" i="8"/>
  <c r="N36" i="8"/>
  <c r="N44" i="8"/>
  <c r="N42" i="8"/>
  <c r="N54" i="8"/>
  <c r="N58" i="8"/>
  <c r="N56" i="8"/>
  <c r="N62" i="8"/>
  <c r="N34" i="8"/>
  <c r="N71" i="7"/>
  <c r="N29" i="7"/>
  <c r="N33" i="7"/>
  <c r="N39" i="7"/>
  <c r="N44" i="7"/>
  <c r="N52" i="7"/>
  <c r="N54" i="7"/>
  <c r="N59" i="7"/>
  <c r="N58" i="7"/>
  <c r="N21" i="7"/>
  <c r="N37" i="7"/>
  <c r="N35" i="7"/>
  <c r="N41" i="7"/>
  <c r="N48" i="7"/>
  <c r="N50" i="7"/>
  <c r="N56" i="7"/>
  <c r="N61" i="7"/>
  <c r="N38" i="7"/>
  <c r="N34" i="7"/>
  <c r="N36" i="7"/>
  <c r="N40" i="7"/>
  <c r="N42" i="7"/>
  <c r="N45" i="7"/>
  <c r="N49" i="7"/>
  <c r="N53" i="7"/>
  <c r="N51" i="7"/>
  <c r="N55" i="7"/>
  <c r="N57" i="7"/>
  <c r="N60" i="7"/>
  <c r="N62" i="7"/>
  <c r="N68" i="7"/>
  <c r="N70" i="7"/>
  <c r="N4" i="7"/>
  <c r="N5" i="7"/>
  <c r="N8" i="7"/>
  <c r="N6" i="7"/>
  <c r="N7" i="7"/>
  <c r="N9" i="7"/>
  <c r="N43" i="7"/>
  <c r="N109" i="11"/>
  <c r="C72" i="37" l="1"/>
  <c r="E71" i="37"/>
  <c r="C56" i="32"/>
  <c r="E55" i="32"/>
  <c r="E4" i="30"/>
  <c r="U4" i="10"/>
  <c r="T4" i="10"/>
  <c r="C49" i="27"/>
  <c r="E48" i="27"/>
  <c r="C55" i="31"/>
  <c r="C4" i="5"/>
  <c r="C5" i="5" s="1"/>
  <c r="C6" i="5" s="1"/>
  <c r="C7" i="5" s="1"/>
  <c r="C8" i="5" s="1"/>
  <c r="C9" i="5" s="1"/>
  <c r="C10" i="5" s="1"/>
  <c r="C11" i="5" s="1"/>
  <c r="C12" i="5" s="1"/>
  <c r="C13" i="5" s="1"/>
  <c r="C14" i="5" s="1"/>
  <c r="C15" i="5" s="1"/>
  <c r="C16" i="5" s="1"/>
  <c r="C17" i="5" s="1"/>
  <c r="C18" i="5" s="1"/>
  <c r="C19" i="5" s="1"/>
  <c r="C20" i="5" s="1"/>
  <c r="C21" i="5" s="1"/>
  <c r="C22" i="5" s="1"/>
  <c r="C23" i="5" s="1"/>
  <c r="C24" i="5" s="1"/>
  <c r="C25" i="5" s="1"/>
  <c r="C26" i="5" s="1"/>
  <c r="C27" i="5" s="1"/>
  <c r="C28" i="5" s="1"/>
  <c r="C29" i="5" s="1"/>
  <c r="C30" i="5" s="1"/>
  <c r="C31" i="5" s="1"/>
  <c r="C32" i="5" s="1"/>
  <c r="C33" i="5" s="1"/>
  <c r="C34" i="5" s="1"/>
  <c r="C35" i="5" s="1"/>
  <c r="C36" i="5" s="1"/>
  <c r="C37" i="5" s="1"/>
  <c r="C38" i="5" s="1"/>
  <c r="C39" i="5" s="1"/>
  <c r="C40" i="5" s="1"/>
  <c r="C41" i="5" s="1"/>
  <c r="C42" i="5" s="1"/>
  <c r="C43" i="5" s="1"/>
  <c r="C44" i="5" s="1"/>
  <c r="C45" i="5" s="1"/>
  <c r="C46" i="5" s="1"/>
  <c r="C47" i="5" s="1"/>
  <c r="C48" i="5" s="1"/>
  <c r="C49" i="5" s="1"/>
  <c r="C50" i="5" s="1"/>
  <c r="C51" i="5" s="1"/>
  <c r="C52" i="5" s="1"/>
  <c r="C53" i="5" s="1"/>
  <c r="C54" i="5" s="1"/>
  <c r="C55" i="5" s="1"/>
  <c r="C56" i="5" s="1"/>
  <c r="C57" i="5" s="1"/>
  <c r="C58" i="5" s="1"/>
  <c r="C59" i="5" s="1"/>
  <c r="C60" i="5" s="1"/>
  <c r="C61" i="5" s="1"/>
  <c r="C62" i="5" s="1"/>
  <c r="C63" i="5" s="1"/>
  <c r="C64" i="5" s="1"/>
  <c r="C65" i="5" s="1"/>
  <c r="C66" i="5" s="1"/>
  <c r="C67" i="5" s="1"/>
  <c r="C68" i="5" s="1"/>
  <c r="C69" i="5" s="1"/>
  <c r="C70" i="5" s="1"/>
  <c r="C71" i="5" s="1"/>
  <c r="C72" i="5" s="1"/>
  <c r="C73" i="5" s="1"/>
  <c r="C74" i="5" s="1"/>
  <c r="C75" i="5" s="1"/>
  <c r="C76" i="5" s="1"/>
  <c r="C77" i="5" s="1"/>
  <c r="C78" i="5" s="1"/>
  <c r="C79" i="5" s="1"/>
  <c r="C80" i="5" s="1"/>
  <c r="C81" i="5" s="1"/>
  <c r="C82" i="5" s="1"/>
  <c r="C83" i="5" s="1"/>
  <c r="C84" i="5" s="1"/>
  <c r="C85" i="5" s="1"/>
  <c r="C86" i="5" s="1"/>
  <c r="C87" i="5" s="1"/>
  <c r="C88" i="5" s="1"/>
  <c r="C89" i="5" s="1"/>
  <c r="C90" i="5" s="1"/>
  <c r="C91" i="5" s="1"/>
  <c r="C92" i="5" s="1"/>
  <c r="C93" i="5" s="1"/>
  <c r="C94" i="5" s="1"/>
  <c r="C95" i="5" s="1"/>
  <c r="C96" i="5" s="1"/>
  <c r="C97" i="5" s="1"/>
  <c r="C98" i="5" s="1"/>
  <c r="C99" i="5" s="1"/>
  <c r="C100" i="5" s="1"/>
  <c r="C101" i="5" s="1"/>
  <c r="C102" i="5" s="1"/>
  <c r="C103" i="5" s="1"/>
  <c r="C104" i="5" s="1"/>
  <c r="C105" i="5" s="1"/>
  <c r="C106" i="5" s="1"/>
  <c r="C107" i="5" s="1"/>
  <c r="C108" i="5" s="1"/>
  <c r="C109" i="5" s="1"/>
  <c r="C110" i="5" s="1"/>
  <c r="C111" i="5" s="1"/>
  <c r="C112" i="5" s="1"/>
  <c r="C113" i="5" s="1"/>
  <c r="C114" i="5" s="1"/>
  <c r="C115" i="5" s="1"/>
  <c r="C116" i="5" s="1"/>
  <c r="C117" i="5" s="1"/>
  <c r="C118" i="5" s="1"/>
  <c r="C119" i="5" s="1"/>
  <c r="C120" i="5" s="1"/>
  <c r="C121" i="5" s="1"/>
  <c r="C122" i="5" s="1"/>
  <c r="C123" i="5" s="1"/>
  <c r="C124" i="5" s="1"/>
  <c r="C125" i="5" s="1"/>
  <c r="C126" i="5" s="1"/>
  <c r="C127" i="5" s="1"/>
  <c r="C128" i="5" s="1"/>
  <c r="C129" i="5" s="1"/>
  <c r="C130" i="5" s="1"/>
  <c r="C131" i="5" s="1"/>
  <c r="C132" i="5" s="1"/>
  <c r="C133" i="5" s="1"/>
  <c r="C134" i="5" s="1"/>
  <c r="C135" i="5" s="1"/>
  <c r="C136" i="5" s="1"/>
  <c r="C137" i="5" s="1"/>
  <c r="C138" i="5" s="1"/>
  <c r="C139" i="5" s="1"/>
  <c r="C140" i="5" s="1"/>
  <c r="C141" i="5" s="1"/>
  <c r="C142" i="5" s="1"/>
  <c r="C143" i="5" s="1"/>
  <c r="C144" i="5" s="1"/>
  <c r="C145" i="5" s="1"/>
  <c r="C146" i="5" s="1"/>
  <c r="C147" i="5" s="1"/>
  <c r="C148" i="5" s="1"/>
  <c r="C149" i="5" s="1"/>
  <c r="C150" i="5" s="1"/>
  <c r="C151" i="5" s="1"/>
  <c r="C152" i="5" s="1"/>
  <c r="C153" i="5" s="1"/>
  <c r="C154" i="5" s="1"/>
  <c r="C155" i="5" s="1"/>
  <c r="C156" i="5" s="1"/>
  <c r="C157" i="5" s="1"/>
  <c r="C158" i="5" s="1"/>
  <c r="C159" i="5" s="1"/>
  <c r="C160" i="5" s="1"/>
  <c r="C161" i="5" s="1"/>
  <c r="C162" i="5" s="1"/>
  <c r="C163" i="5" s="1"/>
  <c r="C164" i="5" s="1"/>
  <c r="C165" i="5" s="1"/>
  <c r="C166" i="5" s="1"/>
  <c r="C167" i="5" s="1"/>
  <c r="C168" i="5" s="1"/>
  <c r="C169" i="5" s="1"/>
  <c r="C170" i="5" s="1"/>
  <c r="C171" i="5" s="1"/>
  <c r="C172" i="5" s="1"/>
  <c r="C173" i="5" s="1"/>
  <c r="C174" i="5" s="1"/>
  <c r="C175" i="5" s="1"/>
  <c r="C176" i="5" s="1"/>
  <c r="C177" i="5" s="1"/>
  <c r="C178" i="5" s="1"/>
  <c r="C179" i="5" s="1"/>
  <c r="C180" i="5" s="1"/>
  <c r="C181" i="5" s="1"/>
  <c r="C182" i="5" s="1"/>
  <c r="C183" i="5" s="1"/>
  <c r="C184" i="5" s="1"/>
  <c r="C185" i="5" s="1"/>
  <c r="C186" i="5" s="1"/>
  <c r="C187" i="5" s="1"/>
  <c r="C188" i="5" s="1"/>
  <c r="C189" i="5" s="1"/>
  <c r="C190" i="5" s="1"/>
  <c r="C191" i="5" s="1"/>
  <c r="C192" i="5" s="1"/>
  <c r="C193" i="5" s="1"/>
  <c r="C194" i="5" s="1"/>
  <c r="C195" i="5" s="1"/>
  <c r="C196" i="5" s="1"/>
  <c r="C197" i="5" s="1"/>
  <c r="C198" i="5" s="1"/>
  <c r="C199" i="5" s="1"/>
  <c r="N128" i="5"/>
  <c r="N126" i="5"/>
  <c r="N124" i="5"/>
  <c r="N118" i="5"/>
  <c r="N102" i="5"/>
  <c r="N94" i="5"/>
  <c r="N92" i="5"/>
  <c r="N90" i="5"/>
  <c r="N88" i="5"/>
  <c r="N84" i="5"/>
  <c r="N86" i="5"/>
  <c r="N65" i="5"/>
  <c r="N67" i="5"/>
  <c r="N69" i="5"/>
  <c r="N71" i="5"/>
  <c r="N73" i="5"/>
  <c r="N75" i="5"/>
  <c r="N77" i="5"/>
  <c r="N79" i="5"/>
  <c r="N81" i="5"/>
  <c r="N96" i="5"/>
  <c r="N98" i="5"/>
  <c r="N100" i="5"/>
  <c r="N104" i="5"/>
  <c r="N106" i="5"/>
  <c r="N108" i="5"/>
  <c r="N110" i="5"/>
  <c r="N112" i="5"/>
  <c r="N114" i="5"/>
  <c r="N116" i="5"/>
  <c r="N120" i="5"/>
  <c r="N122" i="5"/>
  <c r="N63" i="5"/>
  <c r="N59" i="5"/>
  <c r="N61"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7" i="5"/>
  <c r="N39" i="5"/>
  <c r="N41" i="5"/>
  <c r="N43" i="5"/>
  <c r="N45" i="5"/>
  <c r="N47" i="5"/>
  <c r="N49" i="5"/>
  <c r="N51" i="5"/>
  <c r="N53" i="5"/>
  <c r="N54" i="5"/>
  <c r="N56" i="5"/>
  <c r="N58" i="5"/>
  <c r="N60" i="5"/>
  <c r="N62" i="5"/>
  <c r="N64" i="5"/>
  <c r="N66" i="5"/>
  <c r="N68" i="5"/>
  <c r="N70" i="5"/>
  <c r="N72" i="5"/>
  <c r="N74" i="5"/>
  <c r="N76" i="5"/>
  <c r="N78" i="5"/>
  <c r="N80" i="5"/>
  <c r="N82" i="5"/>
  <c r="N83" i="5"/>
  <c r="N85" i="5"/>
  <c r="N87" i="5"/>
  <c r="N89" i="5"/>
  <c r="N91" i="5"/>
  <c r="N93" i="5"/>
  <c r="N95" i="5"/>
  <c r="N97" i="5"/>
  <c r="N99" i="5"/>
  <c r="N101" i="5"/>
  <c r="N103" i="5"/>
  <c r="N105" i="5"/>
  <c r="N107" i="5"/>
  <c r="N109" i="5"/>
  <c r="N111" i="5"/>
  <c r="N113" i="5"/>
  <c r="N115" i="5"/>
  <c r="N117" i="5"/>
  <c r="N119" i="5"/>
  <c r="N121" i="5"/>
  <c r="N123" i="5"/>
  <c r="N125" i="5"/>
  <c r="N127" i="5"/>
  <c r="N38" i="5"/>
  <c r="N40" i="5"/>
  <c r="N42" i="5"/>
  <c r="N44" i="5"/>
  <c r="N46" i="5"/>
  <c r="N48" i="5"/>
  <c r="N50" i="5"/>
  <c r="N52" i="5"/>
  <c r="N55" i="5"/>
  <c r="N57" i="5"/>
  <c r="N4" i="5"/>
  <c r="N76" i="4"/>
  <c r="N71" i="4"/>
  <c r="N67" i="4"/>
  <c r="N46" i="4"/>
  <c r="N98" i="4"/>
  <c r="N89" i="4"/>
  <c r="N39" i="4"/>
  <c r="N45" i="4"/>
  <c r="N66" i="4"/>
  <c r="N70" i="4"/>
  <c r="N77" i="4"/>
  <c r="N81" i="4"/>
  <c r="N85" i="4"/>
  <c r="N87" i="4"/>
  <c r="N93" i="4"/>
  <c r="N30" i="4"/>
  <c r="N28" i="4"/>
  <c r="N32" i="4"/>
  <c r="N36" i="4"/>
  <c r="N38" i="4"/>
  <c r="N40" i="4"/>
  <c r="N42" i="4"/>
  <c r="N61" i="4"/>
  <c r="N69" i="4"/>
  <c r="N73" i="4"/>
  <c r="N78" i="4"/>
  <c r="N68" i="4"/>
  <c r="N72" i="4"/>
  <c r="N75" i="4"/>
  <c r="N23" i="4"/>
  <c r="N33" i="4"/>
  <c r="N48" i="4"/>
  <c r="N52" i="4"/>
  <c r="N56" i="4"/>
  <c r="N62" i="4"/>
  <c r="N79" i="4"/>
  <c r="N91" i="4"/>
  <c r="N27" i="4"/>
  <c r="N35" i="4"/>
  <c r="N25" i="4"/>
  <c r="N43" i="4"/>
  <c r="N50" i="4"/>
  <c r="N54" i="4"/>
  <c r="N58" i="4"/>
  <c r="N64" i="4"/>
  <c r="N83" i="4"/>
  <c r="N95" i="4"/>
  <c r="N29" i="4"/>
  <c r="N31" i="4"/>
  <c r="N37" i="4"/>
  <c r="N41" i="4"/>
  <c r="N60" i="4"/>
  <c r="N21" i="4"/>
  <c r="C73" i="37" l="1"/>
  <c r="E72" i="37"/>
  <c r="C57" i="32"/>
  <c r="E56" i="32"/>
  <c r="V4" i="10"/>
  <c r="E49" i="27"/>
  <c r="C50" i="27"/>
  <c r="C56" i="31"/>
  <c r="N95" i="3"/>
  <c r="N80" i="3"/>
  <c r="N12" i="3"/>
  <c r="N11" i="3"/>
  <c r="N23" i="3"/>
  <c r="N66" i="3"/>
  <c r="N93" i="3"/>
  <c r="N38" i="3"/>
  <c r="N30" i="3"/>
  <c r="N20" i="3"/>
  <c r="N29" i="3"/>
  <c r="N28" i="3"/>
  <c r="N15" i="3"/>
  <c r="N10" i="3"/>
  <c r="N86" i="3"/>
  <c r="N65" i="3"/>
  <c r="N59" i="3"/>
  <c r="N68" i="3"/>
  <c r="N87" i="3"/>
  <c r="N62" i="3"/>
  <c r="N97" i="3"/>
  <c r="N39" i="3"/>
  <c r="N35" i="3"/>
  <c r="N34" i="3"/>
  <c r="N33" i="3"/>
  <c r="N31" i="3"/>
  <c r="N19" i="3"/>
  <c r="N26" i="3"/>
  <c r="N14" i="3"/>
  <c r="N8" i="3"/>
  <c r="N7" i="3"/>
  <c r="N6" i="3"/>
  <c r="N4" i="3"/>
  <c r="N5" i="3"/>
  <c r="N84" i="3"/>
  <c r="N82" i="3"/>
  <c r="N55" i="3"/>
  <c r="N41" i="3"/>
  <c r="N79" i="3"/>
  <c r="N74" i="3"/>
  <c r="N78" i="3"/>
  <c r="N47" i="3"/>
  <c r="N54" i="3"/>
  <c r="N69" i="3"/>
  <c r="N57" i="3"/>
  <c r="N49" i="3"/>
  <c r="N43" i="3"/>
  <c r="N94" i="3"/>
  <c r="N92" i="3"/>
  <c r="N88" i="3"/>
  <c r="N63" i="3"/>
  <c r="N75" i="3"/>
  <c r="N73" i="3"/>
  <c r="N90" i="3"/>
  <c r="N96" i="3"/>
  <c r="N51" i="3"/>
  <c r="N60" i="3"/>
  <c r="N27" i="3"/>
  <c r="N52" i="3"/>
  <c r="N77" i="3"/>
  <c r="N64" i="3"/>
  <c r="N71" i="3"/>
  <c r="N53" i="3"/>
  <c r="N76" i="3"/>
  <c r="N61" i="3"/>
  <c r="N48" i="3"/>
  <c r="N45" i="3"/>
  <c r="N81" i="3"/>
  <c r="N70" i="3"/>
  <c r="N9" i="3"/>
  <c r="N13" i="3"/>
  <c r="N16" i="3"/>
  <c r="N17" i="3"/>
  <c r="N18" i="3"/>
  <c r="N89" i="3"/>
  <c r="N67" i="3"/>
  <c r="N91" i="3"/>
  <c r="N58" i="3"/>
  <c r="N22" i="3"/>
  <c r="N24" i="3"/>
  <c r="N25" i="3"/>
  <c r="N21" i="3"/>
  <c r="N32" i="3"/>
  <c r="N36" i="3"/>
  <c r="N37" i="3"/>
  <c r="N40" i="3"/>
  <c r="N72" i="3"/>
  <c r="C74" i="37" l="1"/>
  <c r="E74" i="37" s="1"/>
  <c r="E73" i="37"/>
  <c r="C58" i="32"/>
  <c r="E57" i="32"/>
  <c r="C5" i="30"/>
  <c r="E50" i="27"/>
  <c r="C51" i="27"/>
  <c r="C57" i="31"/>
  <c r="N431" i="1"/>
  <c r="N486" i="1"/>
  <c r="N450" i="1"/>
  <c r="N96" i="1"/>
  <c r="N89" i="1"/>
  <c r="N413" i="1"/>
  <c r="N411" i="1"/>
  <c r="N409" i="1"/>
  <c r="N71" i="1"/>
  <c r="N387" i="1"/>
  <c r="N370" i="1"/>
  <c r="N365" i="1"/>
  <c r="N362" i="1"/>
  <c r="N357" i="1"/>
  <c r="N22" i="1"/>
  <c r="N57" i="1"/>
  <c r="N353" i="1"/>
  <c r="N284" i="1"/>
  <c r="N298" i="1"/>
  <c r="N283" i="1"/>
  <c r="N52" i="1"/>
  <c r="N346" i="1"/>
  <c r="C59" i="32" l="1"/>
  <c r="E58" i="32"/>
  <c r="E5" i="30"/>
  <c r="C6" i="30"/>
  <c r="E51" i="27"/>
  <c r="C52" i="27"/>
  <c r="C58" i="31"/>
  <c r="N433" i="1"/>
  <c r="N434" i="1"/>
  <c r="N354" i="1"/>
  <c r="N318" i="1"/>
  <c r="N37" i="1"/>
  <c r="N321" i="1"/>
  <c r="N45" i="1"/>
  <c r="N47" i="1"/>
  <c r="N349" i="1"/>
  <c r="N56" i="1"/>
  <c r="N366" i="1"/>
  <c r="N64" i="1"/>
  <c r="N68" i="1"/>
  <c r="N383" i="1"/>
  <c r="N389" i="1"/>
  <c r="N400" i="1"/>
  <c r="N412" i="1"/>
  <c r="N414" i="1"/>
  <c r="N88" i="1"/>
  <c r="N425" i="1"/>
  <c r="N426" i="1"/>
  <c r="N419" i="1"/>
  <c r="N435" i="1"/>
  <c r="N94" i="1"/>
  <c r="N432" i="1"/>
  <c r="N93" i="1"/>
  <c r="N437" i="1"/>
  <c r="N438" i="1"/>
  <c r="N97" i="1"/>
  <c r="N456" i="1"/>
  <c r="N454" i="1"/>
  <c r="N508" i="1"/>
  <c r="N512" i="1"/>
  <c r="N502" i="1"/>
  <c r="N317" i="1"/>
  <c r="N311" i="1"/>
  <c r="N40" i="1"/>
  <c r="N44" i="1"/>
  <c r="N328" i="1"/>
  <c r="N332" i="1"/>
  <c r="N58" i="1"/>
  <c r="N59" i="1"/>
  <c r="N361" i="1"/>
  <c r="N61" i="1"/>
  <c r="N369" i="1"/>
  <c r="N70" i="1"/>
  <c r="N386" i="1"/>
  <c r="N80" i="1"/>
  <c r="N83" i="1"/>
  <c r="N86" i="1"/>
  <c r="N424" i="1"/>
  <c r="N428" i="1"/>
  <c r="N102" i="1"/>
  <c r="N113" i="1"/>
  <c r="N439" i="1"/>
  <c r="N581" i="1"/>
  <c r="N816" i="1"/>
  <c r="N285" i="1"/>
  <c r="N286" i="1"/>
  <c r="N21" i="1"/>
  <c r="N289" i="1"/>
  <c r="N290" i="1"/>
  <c r="N23" i="1"/>
  <c r="N287" i="1"/>
  <c r="N288" i="1"/>
  <c r="N24" i="1"/>
  <c r="N291" i="1"/>
  <c r="N292" i="1"/>
  <c r="N25" i="1"/>
  <c r="N293" i="1"/>
  <c r="N294" i="1"/>
  <c r="N26" i="1"/>
  <c r="N295" i="1"/>
  <c r="N296" i="1"/>
  <c r="N27" i="1"/>
  <c r="N297" i="1"/>
  <c r="N55" i="1"/>
  <c r="N28" i="1"/>
  <c r="N299" i="1"/>
  <c r="N300" i="1"/>
  <c r="N29" i="1"/>
  <c r="N305" i="1"/>
  <c r="N306" i="1"/>
  <c r="N31" i="1"/>
  <c r="N303" i="1"/>
  <c r="N304" i="1"/>
  <c r="N30" i="1"/>
  <c r="N307" i="1"/>
  <c r="N308" i="1"/>
  <c r="N32" i="1"/>
  <c r="N301" i="1"/>
  <c r="N302" i="1"/>
  <c r="N33" i="1"/>
  <c r="N309" i="1"/>
  <c r="N310" i="1"/>
  <c r="N34" i="1"/>
  <c r="N313" i="1"/>
  <c r="N314" i="1"/>
  <c r="N35" i="1"/>
  <c r="N319" i="1"/>
  <c r="N320" i="1"/>
  <c r="N38" i="1"/>
  <c r="N315" i="1"/>
  <c r="N316" i="1"/>
  <c r="N36" i="1"/>
  <c r="N312" i="1"/>
  <c r="N41" i="1"/>
  <c r="N323" i="1"/>
  <c r="N324" i="1"/>
  <c r="N322" i="1"/>
  <c r="N39" i="1"/>
  <c r="N329" i="1"/>
  <c r="N330" i="1"/>
  <c r="N327" i="1"/>
  <c r="N43" i="1"/>
  <c r="N325" i="1"/>
  <c r="N326" i="1"/>
  <c r="N42" i="1"/>
  <c r="N331" i="1"/>
  <c r="N333" i="1"/>
  <c r="N334" i="1"/>
  <c r="N46" i="1"/>
  <c r="N335" i="1"/>
  <c r="N336" i="1"/>
  <c r="N339" i="1"/>
  <c r="N340" i="1"/>
  <c r="N49" i="1"/>
  <c r="N337" i="1"/>
  <c r="N338" i="1"/>
  <c r="N48" i="1"/>
  <c r="N341" i="1"/>
  <c r="N342" i="1"/>
  <c r="N50" i="1"/>
  <c r="N343" i="1"/>
  <c r="N344" i="1"/>
  <c r="N51" i="1"/>
  <c r="N345" i="1"/>
  <c r="N350" i="1"/>
  <c r="N54" i="1"/>
  <c r="N347" i="1"/>
  <c r="N348" i="1"/>
  <c r="N53" i="1"/>
  <c r="N351" i="1"/>
  <c r="N352" i="1"/>
  <c r="N355" i="1"/>
  <c r="N356" i="1"/>
  <c r="N98" i="1"/>
  <c r="N359" i="1"/>
  <c r="N360" i="1"/>
  <c r="N358" i="1"/>
  <c r="N60" i="1"/>
  <c r="N363" i="1"/>
  <c r="N364" i="1"/>
  <c r="N62" i="1"/>
  <c r="N367" i="1"/>
  <c r="N368" i="1"/>
  <c r="N63" i="1"/>
  <c r="N371" i="1"/>
  <c r="N372" i="1"/>
  <c r="N65" i="1"/>
  <c r="N379" i="1"/>
  <c r="N380" i="1"/>
  <c r="N69" i="1"/>
  <c r="N377" i="1"/>
  <c r="N378" i="1"/>
  <c r="N375" i="1"/>
  <c r="N376" i="1"/>
  <c r="N67" i="1"/>
  <c r="N373" i="1"/>
  <c r="N374" i="1"/>
  <c r="N66" i="1"/>
  <c r="N381" i="1"/>
  <c r="N382" i="1"/>
  <c r="N388" i="1"/>
  <c r="N72" i="1"/>
  <c r="N385" i="1"/>
  <c r="N384" i="1"/>
  <c r="N73" i="1"/>
  <c r="N395" i="1"/>
  <c r="N396" i="1"/>
  <c r="N76" i="1"/>
  <c r="N391" i="1"/>
  <c r="N392" i="1"/>
  <c r="N75" i="1"/>
  <c r="N390" i="1"/>
  <c r="N74" i="1"/>
  <c r="N397" i="1"/>
  <c r="N398" i="1"/>
  <c r="N77" i="1"/>
  <c r="N401" i="1"/>
  <c r="N402" i="1"/>
  <c r="N79" i="1"/>
  <c r="N399" i="1"/>
  <c r="N78" i="1"/>
  <c r="N403" i="1"/>
  <c r="N404" i="1"/>
  <c r="N410" i="1"/>
  <c r="N82" i="1"/>
  <c r="N405" i="1"/>
  <c r="N406" i="1"/>
  <c r="N81" i="1"/>
  <c r="N407" i="1"/>
  <c r="N408" i="1"/>
  <c r="N416" i="1"/>
  <c r="N421" i="1"/>
  <c r="N422" i="1"/>
  <c r="N90" i="1"/>
  <c r="N91" i="1"/>
  <c r="N423" i="1"/>
  <c r="N436" i="1"/>
  <c r="N95" i="1"/>
  <c r="N429" i="1"/>
  <c r="N430" i="1"/>
  <c r="N92" i="1"/>
  <c r="N427" i="1"/>
  <c r="N442" i="1"/>
  <c r="N443" i="1"/>
  <c r="N440" i="1"/>
  <c r="N441" i="1"/>
  <c r="N99" i="1"/>
  <c r="N444" i="1"/>
  <c r="N445" i="1"/>
  <c r="N100" i="1"/>
  <c r="N446" i="1"/>
  <c r="N447" i="1"/>
  <c r="N101" i="1"/>
  <c r="N448" i="1"/>
  <c r="N449" i="1"/>
  <c r="N451" i="1"/>
  <c r="N106" i="1"/>
  <c r="N457" i="1"/>
  <c r="N105" i="1"/>
  <c r="N452" i="1"/>
  <c r="N453" i="1"/>
  <c r="N103" i="1"/>
  <c r="N455" i="1"/>
  <c r="N104" i="1"/>
  <c r="N458" i="1"/>
  <c r="N459" i="1"/>
  <c r="N107" i="1"/>
  <c r="N462" i="1"/>
  <c r="N463" i="1"/>
  <c r="N479" i="1"/>
  <c r="N115" i="1"/>
  <c r="N476" i="1"/>
  <c r="N485" i="1"/>
  <c r="N119" i="1"/>
  <c r="N484" i="1"/>
  <c r="N473" i="1"/>
  <c r="N118" i="1"/>
  <c r="N492" i="1"/>
  <c r="N500" i="1"/>
  <c r="N507" i="1"/>
  <c r="N130" i="1"/>
  <c r="N510" i="1"/>
  <c r="N511" i="1"/>
  <c r="N480" i="1"/>
  <c r="N475" i="1"/>
  <c r="N483" i="1"/>
  <c r="N117" i="1"/>
  <c r="N474" i="1"/>
  <c r="N491" i="1"/>
  <c r="N120" i="1"/>
  <c r="N126" i="1"/>
  <c r="N509" i="1"/>
  <c r="N131" i="1"/>
  <c r="N128" i="1"/>
  <c r="N501" i="1"/>
  <c r="N415" i="1"/>
  <c r="N418" i="1"/>
  <c r="N87" i="1"/>
  <c r="N420" i="1"/>
  <c r="N84" i="1"/>
  <c r="N417" i="1"/>
  <c r="N85" i="1"/>
  <c r="C60" i="32" l="1"/>
  <c r="E59" i="32"/>
  <c r="E6" i="30"/>
  <c r="E52" i="27"/>
  <c r="C53" i="27"/>
  <c r="C59" i="31"/>
  <c r="C61" i="32" l="1"/>
  <c r="E60" i="32"/>
  <c r="E53" i="27"/>
  <c r="C54" i="27"/>
  <c r="C60" i="31"/>
  <c r="C62" i="32" l="1"/>
  <c r="E61" i="32"/>
  <c r="E54" i="27"/>
  <c r="C55" i="27"/>
  <c r="C61" i="31"/>
  <c r="C7" i="30" l="1"/>
  <c r="C63" i="32"/>
  <c r="E62" i="32"/>
  <c r="C56" i="27"/>
  <c r="E55" i="27"/>
  <c r="C62" i="31"/>
  <c r="E7" i="30" l="1"/>
  <c r="C8" i="30"/>
  <c r="C64" i="32"/>
  <c r="E63" i="32"/>
  <c r="C57" i="27"/>
  <c r="E56" i="27"/>
  <c r="C63" i="31"/>
  <c r="C64" i="31" s="1"/>
  <c r="E8" i="30" l="1"/>
  <c r="C65" i="32"/>
  <c r="E64" i="32"/>
  <c r="E57" i="27"/>
  <c r="C58" i="27"/>
  <c r="C65" i="31"/>
  <c r="C9" i="30" l="1"/>
  <c r="C66" i="32"/>
  <c r="E65" i="32"/>
  <c r="E58" i="27"/>
  <c r="C59" i="27"/>
  <c r="E9" i="30" l="1"/>
  <c r="C10" i="30"/>
  <c r="C67" i="32"/>
  <c r="E66" i="32"/>
  <c r="C60" i="27"/>
  <c r="E60" i="27" s="1"/>
  <c r="E59" i="27"/>
  <c r="E10" i="30" l="1"/>
  <c r="C11" i="30"/>
  <c r="C68" i="32"/>
  <c r="E67" i="32"/>
  <c r="E11" i="30" l="1"/>
  <c r="C69" i="32"/>
  <c r="E68" i="32"/>
  <c r="C12" i="30" l="1"/>
  <c r="C70" i="32"/>
  <c r="E69" i="32"/>
  <c r="E12" i="30" l="1"/>
  <c r="C71" i="32"/>
  <c r="E70" i="32"/>
  <c r="C72" i="32" l="1"/>
  <c r="E71" i="32"/>
  <c r="C13" i="30" l="1"/>
  <c r="C73" i="32"/>
  <c r="E72" i="32"/>
  <c r="E13" i="30" l="1"/>
  <c r="C14" i="30"/>
  <c r="C74" i="32"/>
  <c r="E73" i="32"/>
  <c r="E14" i="30" l="1"/>
  <c r="C75" i="32"/>
  <c r="E74" i="32"/>
  <c r="C15" i="30" l="1"/>
  <c r="C76" i="32"/>
  <c r="E75" i="32"/>
  <c r="C13" i="22"/>
  <c r="C14" i="22" s="1"/>
  <c r="C15" i="22" s="1"/>
  <c r="C16" i="22" s="1"/>
  <c r="C17" i="22" s="1"/>
  <c r="C18" i="22" s="1"/>
  <c r="C19" i="22" s="1"/>
  <c r="C20" i="22" s="1"/>
  <c r="C21" i="22" s="1"/>
  <c r="C22" i="22" s="1"/>
  <c r="C23" i="22" s="1"/>
  <c r="C24" i="22" s="1"/>
  <c r="C25" i="22" s="1"/>
  <c r="C26" i="22" s="1"/>
  <c r="C27" i="22" s="1"/>
  <c r="C28" i="22" s="1"/>
  <c r="C29" i="22" s="1"/>
  <c r="C30" i="22" s="1"/>
  <c r="C31" i="22" s="1"/>
  <c r="C32" i="22" s="1"/>
  <c r="C33" i="22" s="1"/>
  <c r="C34" i="22" s="1"/>
  <c r="C35" i="22" s="1"/>
  <c r="C36" i="22" s="1"/>
  <c r="C37" i="22" s="1"/>
  <c r="C38" i="22" s="1"/>
  <c r="C39" i="22" s="1"/>
  <c r="C40" i="22" s="1"/>
  <c r="C41" i="22" s="1"/>
  <c r="C42" i="22" s="1"/>
  <c r="C30" i="15"/>
  <c r="C31" i="15" s="1"/>
  <c r="C32" i="15" s="1"/>
  <c r="C33" i="15" s="1"/>
  <c r="C34" i="15" s="1"/>
  <c r="C35" i="15" s="1"/>
  <c r="C36" i="15" s="1"/>
  <c r="C37" i="15" s="1"/>
  <c r="C38" i="15" s="1"/>
  <c r="C39" i="15" s="1"/>
  <c r="C40" i="15" s="1"/>
  <c r="C41" i="15" s="1"/>
  <c r="C42" i="15" s="1"/>
  <c r="C43" i="15" s="1"/>
  <c r="C44" i="15" s="1"/>
  <c r="C45" i="15" s="1"/>
  <c r="C46" i="15" s="1"/>
  <c r="C47" i="15" s="1"/>
  <c r="C48" i="15" s="1"/>
  <c r="C49" i="15" s="1"/>
  <c r="C50" i="15" s="1"/>
  <c r="C51" i="15" s="1"/>
  <c r="C52" i="15" s="1"/>
  <c r="C53" i="15" s="1"/>
  <c r="C54" i="15" s="1"/>
  <c r="C55" i="15" s="1"/>
  <c r="C56" i="15" s="1"/>
  <c r="C57" i="15" s="1"/>
  <c r="C58" i="15" s="1"/>
  <c r="C59" i="15" s="1"/>
  <c r="C60" i="15" s="1"/>
  <c r="C61" i="15" s="1"/>
  <c r="C62" i="15" s="1"/>
  <c r="C63" i="15" s="1"/>
  <c r="C64" i="15" s="1"/>
  <c r="C65" i="15" s="1"/>
  <c r="C66" i="15" s="1"/>
  <c r="C67" i="15" s="1"/>
  <c r="C68" i="15" s="1"/>
  <c r="C69" i="15" s="1"/>
  <c r="C70" i="15" s="1"/>
  <c r="C71" i="15" s="1"/>
  <c r="C72" i="15" s="1"/>
  <c r="E15" i="30" l="1"/>
  <c r="C77" i="32"/>
  <c r="E76" i="32"/>
  <c r="C73" i="15"/>
  <c r="C74" i="15" s="1"/>
  <c r="C75" i="15" s="1"/>
  <c r="C76" i="15" s="1"/>
  <c r="C77" i="15" s="1"/>
  <c r="C78" i="15" s="1"/>
  <c r="C79" i="15" s="1"/>
  <c r="C80" i="15" s="1"/>
  <c r="C81" i="15" s="1"/>
  <c r="C43" i="22"/>
  <c r="C44" i="22" s="1"/>
  <c r="C45" i="22" s="1"/>
  <c r="C46" i="22" s="1"/>
  <c r="C47" i="22" s="1"/>
  <c r="C48" i="22" s="1"/>
  <c r="C49" i="22" s="1"/>
  <c r="C50" i="22" s="1"/>
  <c r="C51" i="22" s="1"/>
  <c r="C52" i="22" s="1"/>
  <c r="C53" i="22" s="1"/>
  <c r="C54" i="22" s="1"/>
  <c r="C55" i="22" s="1"/>
  <c r="C56" i="22" s="1"/>
  <c r="C57" i="22" s="1"/>
  <c r="C58" i="22" s="1"/>
  <c r="C59" i="22" s="1"/>
  <c r="C60" i="22" s="1"/>
  <c r="C61" i="22" s="1"/>
  <c r="C62" i="22" s="1"/>
  <c r="C63" i="22" s="1"/>
  <c r="C64" i="22" s="1"/>
  <c r="C65" i="22" s="1"/>
  <c r="C66" i="22" s="1"/>
  <c r="C67" i="22" s="1"/>
  <c r="C68" i="22" s="1"/>
  <c r="C69" i="22" s="1"/>
  <c r="C70" i="22" s="1"/>
  <c r="C71" i="22" s="1"/>
  <c r="C72" i="22" s="1"/>
  <c r="C73" i="22" s="1"/>
  <c r="C74" i="22" s="1"/>
  <c r="C75" i="22" s="1"/>
  <c r="C76" i="22" s="1"/>
  <c r="C77" i="22" s="1"/>
  <c r="C78" i="22" s="1"/>
  <c r="C79" i="22" s="1"/>
  <c r="C78" i="32" l="1"/>
  <c r="E77" i="32"/>
  <c r="C82" i="15"/>
  <c r="C83" i="15" s="1"/>
  <c r="C84" i="15" s="1"/>
  <c r="C85" i="15" s="1"/>
  <c r="C86" i="15" s="1"/>
  <c r="C87" i="15" s="1"/>
  <c r="C88" i="15" s="1"/>
  <c r="C89" i="15" s="1"/>
  <c r="C80" i="22"/>
  <c r="C81" i="22" s="1"/>
  <c r="C82" i="22" s="1"/>
  <c r="C83" i="22" s="1"/>
  <c r="C84" i="22" s="1"/>
  <c r="C85" i="22" s="1"/>
  <c r="C86" i="22" s="1"/>
  <c r="C87" i="22" s="1"/>
  <c r="C16" i="30" l="1"/>
  <c r="C79" i="32"/>
  <c r="E78" i="32"/>
  <c r="C90" i="15"/>
  <c r="C91" i="15" s="1"/>
  <c r="C88" i="22"/>
  <c r="C89" i="22" s="1"/>
  <c r="C90" i="22" s="1"/>
  <c r="C91" i="22" s="1"/>
  <c r="E16" i="30" l="1"/>
  <c r="C17" i="30"/>
  <c r="C80" i="32"/>
  <c r="E79" i="32"/>
  <c r="C92" i="15"/>
  <c r="C93" i="15" s="1"/>
  <c r="C94" i="15" s="1"/>
  <c r="C95" i="15" s="1"/>
  <c r="C96" i="15" s="1"/>
  <c r="C97" i="15" s="1"/>
  <c r="C98" i="15" s="1"/>
  <c r="C92" i="22"/>
  <c r="C93" i="22" s="1"/>
  <c r="C94" i="22" s="1"/>
  <c r="C95" i="22" s="1"/>
  <c r="C96" i="22" s="1"/>
  <c r="C18" i="30" l="1"/>
  <c r="E17" i="30"/>
  <c r="C81" i="32"/>
  <c r="E80" i="32"/>
  <c r="C99" i="15"/>
  <c r="C100" i="15" s="1"/>
  <c r="C101" i="15" s="1"/>
  <c r="C102" i="15" s="1"/>
  <c r="C103" i="15" s="1"/>
  <c r="C104" i="15" s="1"/>
  <c r="C105" i="15" s="1"/>
  <c r="C106" i="15" s="1"/>
  <c r="C107" i="15" s="1"/>
  <c r="C108" i="15" s="1"/>
  <c r="C109" i="15" s="1"/>
  <c r="C110" i="15" s="1"/>
  <c r="C111" i="15" s="1"/>
  <c r="C112" i="15" s="1"/>
  <c r="C113" i="15" s="1"/>
  <c r="C114" i="15" s="1"/>
  <c r="C115" i="15" s="1"/>
  <c r="C116" i="15" s="1"/>
  <c r="C117" i="15" s="1"/>
  <c r="C118" i="15" s="1"/>
  <c r="C119" i="15" s="1"/>
  <c r="C120" i="15" s="1"/>
  <c r="C121" i="15" s="1"/>
  <c r="C122" i="15" s="1"/>
  <c r="C123" i="15" s="1"/>
  <c r="C124" i="15" s="1"/>
  <c r="C125" i="15" s="1"/>
  <c r="C126" i="15" s="1"/>
  <c r="C127" i="15" s="1"/>
  <c r="C97" i="22"/>
  <c r="C98" i="22" s="1"/>
  <c r="C99" i="22" s="1"/>
  <c r="C100" i="22" s="1"/>
  <c r="C101" i="22" s="1"/>
  <c r="C102" i="22" s="1"/>
  <c r="C103" i="22" s="1"/>
  <c r="C104" i="22" s="1"/>
  <c r="C105" i="22" s="1"/>
  <c r="C106" i="22" s="1"/>
  <c r="C107" i="22" s="1"/>
  <c r="C108" i="22" s="1"/>
  <c r="C109" i="22" s="1"/>
  <c r="C110" i="22" s="1"/>
  <c r="C111" i="22" s="1"/>
  <c r="C112" i="22" s="1"/>
  <c r="C113" i="22" s="1"/>
  <c r="C114" i="22" s="1"/>
  <c r="E18" i="30" l="1"/>
  <c r="C19" i="30"/>
  <c r="C82" i="32"/>
  <c r="E81" i="32"/>
  <c r="C128" i="15"/>
  <c r="C129" i="15" s="1"/>
  <c r="C130" i="15" s="1"/>
  <c r="C115" i="22"/>
  <c r="C116" i="22" s="1"/>
  <c r="C117" i="22" s="1"/>
  <c r="C118" i="22" s="1"/>
  <c r="C119" i="22" s="1"/>
  <c r="C120" i="22" s="1"/>
  <c r="C121" i="22" s="1"/>
  <c r="C122" i="22" s="1"/>
  <c r="C123" i="22" s="1"/>
  <c r="C124" i="22" s="1"/>
  <c r="C125" i="22" s="1"/>
  <c r="C126" i="22" s="1"/>
  <c r="C127" i="22" s="1"/>
  <c r="C128" i="22" s="1"/>
  <c r="C129" i="22" s="1"/>
  <c r="C130" i="22" s="1"/>
  <c r="C20" i="30" l="1"/>
  <c r="E19" i="30"/>
  <c r="C83" i="32"/>
  <c r="E82" i="32"/>
  <c r="C131" i="15"/>
  <c r="C132" i="15" s="1"/>
  <c r="C133" i="15" s="1"/>
  <c r="C134" i="15" s="1"/>
  <c r="C135" i="15" s="1"/>
  <c r="C136" i="15" s="1"/>
  <c r="C137" i="15" s="1"/>
  <c r="C138" i="15" s="1"/>
  <c r="C139" i="15" s="1"/>
  <c r="C140" i="15" s="1"/>
  <c r="C131" i="22"/>
  <c r="C132" i="22" s="1"/>
  <c r="C133" i="22" s="1"/>
  <c r="C134" i="22" s="1"/>
  <c r="C135" i="22" s="1"/>
  <c r="E20" i="30" l="1"/>
  <c r="C21" i="30"/>
  <c r="C84" i="32"/>
  <c r="E83" i="32"/>
  <c r="C136" i="22"/>
  <c r="C137" i="22" s="1"/>
  <c r="C138" i="22" s="1"/>
  <c r="C139" i="22" s="1"/>
  <c r="C140" i="22" s="1"/>
  <c r="C141" i="22" s="1"/>
  <c r="C142" i="22" s="1"/>
  <c r="C143" i="22" s="1"/>
  <c r="C144" i="22" s="1"/>
  <c r="C145" i="22" s="1"/>
  <c r="C146" i="22" s="1"/>
  <c r="C147" i="22" s="1"/>
  <c r="C148" i="22" s="1"/>
  <c r="C22" i="30" l="1"/>
  <c r="E21" i="30"/>
  <c r="C85" i="32"/>
  <c r="E84" i="32"/>
  <c r="C149" i="22"/>
  <c r="C150" i="22" s="1"/>
  <c r="C151" i="22" s="1"/>
  <c r="C152" i="22" s="1"/>
  <c r="C153" i="22" s="1"/>
  <c r="C154" i="22" s="1"/>
  <c r="C155" i="22" s="1"/>
  <c r="C156" i="22" s="1"/>
  <c r="C157" i="22" s="1"/>
  <c r="C158" i="22" s="1"/>
  <c r="C159" i="22" s="1"/>
  <c r="C160" i="22" s="1"/>
  <c r="C161" i="22" s="1"/>
  <c r="C162" i="22" s="1"/>
  <c r="C163" i="22" s="1"/>
  <c r="C164" i="22" s="1"/>
  <c r="C165" i="22" s="1"/>
  <c r="E22" i="30" l="1"/>
  <c r="C23" i="30"/>
  <c r="C86" i="32"/>
  <c r="E85" i="32"/>
  <c r="C166" i="22"/>
  <c r="C167" i="22" s="1"/>
  <c r="C168" i="22" s="1"/>
  <c r="C169" i="22" s="1"/>
  <c r="C170" i="22" s="1"/>
  <c r="C171" i="22" s="1"/>
  <c r="C172" i="22" s="1"/>
  <c r="C173" i="22" s="1"/>
  <c r="C174" i="22" s="1"/>
  <c r="C175" i="22" s="1"/>
  <c r="C176" i="22" s="1"/>
  <c r="C177" i="22" s="1"/>
  <c r="E23" i="30" l="1"/>
  <c r="C24" i="30"/>
  <c r="C87" i="32"/>
  <c r="E86" i="32"/>
  <c r="C4" i="21"/>
  <c r="C5" i="21" s="1"/>
  <c r="C6" i="21" s="1"/>
  <c r="C7" i="21" s="1"/>
  <c r="C8" i="21" s="1"/>
  <c r="C9" i="21" s="1"/>
  <c r="C10" i="21" s="1"/>
  <c r="C11" i="21" s="1"/>
  <c r="C25" i="30" l="1"/>
  <c r="E24" i="30"/>
  <c r="C88" i="32"/>
  <c r="E87" i="32"/>
  <c r="C12" i="21"/>
  <c r="C13" i="21" s="1"/>
  <c r="E25" i="30" l="1"/>
  <c r="C26" i="30"/>
  <c r="C89" i="32"/>
  <c r="E88" i="32"/>
  <c r="C22" i="29"/>
  <c r="C23" i="29" s="1"/>
  <c r="C24" i="29" s="1"/>
  <c r="C25" i="29" s="1"/>
  <c r="C26" i="29" s="1"/>
  <c r="C27" i="29" s="1"/>
  <c r="C28" i="29" s="1"/>
  <c r="C29" i="29" s="1"/>
  <c r="C30" i="29" s="1"/>
  <c r="C31" i="29" s="1"/>
  <c r="C32" i="29" s="1"/>
  <c r="C33" i="29" s="1"/>
  <c r="C34" i="29" s="1"/>
  <c r="C35" i="29" s="1"/>
  <c r="C36" i="29" s="1"/>
  <c r="C37" i="29" s="1"/>
  <c r="C38" i="29" s="1"/>
  <c r="C39" i="29" s="1"/>
  <c r="C40" i="29" s="1"/>
  <c r="C41" i="29" s="1"/>
  <c r="C42" i="29" s="1"/>
  <c r="C43" i="29" s="1"/>
  <c r="C44" i="29" s="1"/>
  <c r="C45" i="29" s="1"/>
  <c r="C46" i="29" s="1"/>
  <c r="C47" i="29" s="1"/>
  <c r="C48" i="29" s="1"/>
  <c r="C49" i="29" s="1"/>
  <c r="C50" i="29" s="1"/>
  <c r="C51" i="29" s="1"/>
  <c r="C52" i="29" s="1"/>
  <c r="C53" i="29" s="1"/>
  <c r="C54" i="29" s="1"/>
  <c r="C55" i="29" s="1"/>
  <c r="C56" i="29" s="1"/>
  <c r="C57" i="29" s="1"/>
  <c r="C58" i="29" s="1"/>
  <c r="C59" i="29" s="1"/>
  <c r="C60" i="29" s="1"/>
  <c r="C61" i="29" s="1"/>
  <c r="C62" i="29" s="1"/>
  <c r="C63" i="29" s="1"/>
  <c r="C64" i="29" s="1"/>
  <c r="C65" i="29" s="1"/>
  <c r="C66" i="29" s="1"/>
  <c r="C67" i="29" s="1"/>
  <c r="C68" i="29" s="1"/>
  <c r="C69" i="29" s="1"/>
  <c r="C70" i="29" s="1"/>
  <c r="C71" i="29" s="1"/>
  <c r="C72" i="29" s="1"/>
  <c r="C73" i="29" s="1"/>
  <c r="C74" i="29" s="1"/>
  <c r="C75" i="29" s="1"/>
  <c r="C76" i="29" s="1"/>
  <c r="C77" i="29" s="1"/>
  <c r="C78" i="29" s="1"/>
  <c r="C79" i="29" s="1"/>
  <c r="C80" i="29" s="1"/>
  <c r="C81" i="29" s="1"/>
  <c r="C82" i="29" s="1"/>
  <c r="C83" i="29" s="1"/>
  <c r="C84" i="29" s="1"/>
  <c r="C85" i="29" s="1"/>
  <c r="C86" i="29" s="1"/>
  <c r="C87" i="29" s="1"/>
  <c r="C88" i="29" s="1"/>
  <c r="C89" i="29" s="1"/>
  <c r="C90" i="29" s="1"/>
  <c r="C91" i="29" s="1"/>
  <c r="C92" i="29" s="1"/>
  <c r="C93" i="29" s="1"/>
  <c r="C94" i="29" s="1"/>
  <c r="C95" i="29" s="1"/>
  <c r="C96" i="29" s="1"/>
  <c r="C97" i="29" s="1"/>
  <c r="C98" i="29" s="1"/>
  <c r="C66" i="31"/>
  <c r="E26" i="30" l="1"/>
  <c r="C27" i="30"/>
  <c r="C90" i="32"/>
  <c r="E89" i="32"/>
  <c r="C67" i="31"/>
  <c r="E27" i="30" l="1"/>
  <c r="C28" i="30"/>
  <c r="C91" i="32"/>
  <c r="E90" i="32"/>
  <c r="C68" i="31"/>
  <c r="E28" i="30" l="1"/>
  <c r="C29" i="30"/>
  <c r="C92" i="32"/>
  <c r="E91" i="32"/>
  <c r="C69" i="31"/>
  <c r="E29" i="30" l="1"/>
  <c r="C30" i="30"/>
  <c r="C93" i="32"/>
  <c r="E92" i="32"/>
  <c r="C70" i="31"/>
  <c r="E30" i="30" l="1"/>
  <c r="C31" i="30"/>
  <c r="C94" i="32"/>
  <c r="E93" i="32"/>
  <c r="C71" i="31"/>
  <c r="C32" i="30" l="1"/>
  <c r="E31" i="30"/>
  <c r="C95" i="32"/>
  <c r="E94" i="32"/>
  <c r="C72" i="31"/>
  <c r="C33" i="30" l="1"/>
  <c r="E32" i="30"/>
  <c r="C96" i="32"/>
  <c r="E95" i="32"/>
  <c r="C73" i="31"/>
  <c r="E33" i="30" l="1"/>
  <c r="C34" i="30"/>
  <c r="C97" i="32"/>
  <c r="E96" i="32"/>
  <c r="C74" i="31"/>
  <c r="E34" i="30" l="1"/>
  <c r="C35" i="30"/>
  <c r="C98" i="32"/>
  <c r="E97" i="32"/>
  <c r="C75" i="31"/>
  <c r="C36" i="30" l="1"/>
  <c r="E35" i="30"/>
  <c r="C99" i="32"/>
  <c r="E98" i="32"/>
  <c r="C76" i="31"/>
  <c r="E36" i="30" l="1"/>
  <c r="C37" i="30"/>
  <c r="C100" i="32"/>
  <c r="E99" i="32"/>
  <c r="C77" i="31"/>
  <c r="E37" i="30" l="1"/>
  <c r="C38" i="30"/>
  <c r="C101" i="32"/>
  <c r="E100" i="32"/>
  <c r="C78" i="31"/>
  <c r="E38" i="30" l="1"/>
  <c r="C39" i="30"/>
  <c r="C40" i="30" s="1"/>
  <c r="C102" i="32"/>
  <c r="E101" i="32"/>
  <c r="C79" i="31"/>
  <c r="E39" i="30" l="1"/>
  <c r="C103" i="32"/>
  <c r="E102" i="32"/>
  <c r="C80" i="31"/>
  <c r="C104" i="32" l="1"/>
  <c r="E103" i="32"/>
  <c r="C81" i="31"/>
  <c r="C105" i="32" l="1"/>
  <c r="E104" i="32"/>
  <c r="C82" i="31"/>
  <c r="C41" i="30" l="1"/>
  <c r="E40" i="30"/>
  <c r="C106" i="32"/>
  <c r="E105" i="32"/>
  <c r="C83" i="31"/>
  <c r="C42" i="30" l="1"/>
  <c r="E41" i="30"/>
  <c r="C107" i="32"/>
  <c r="E106" i="32"/>
  <c r="C84" i="31"/>
  <c r="E42" i="30" l="1"/>
  <c r="C43" i="30"/>
  <c r="C108" i="32"/>
  <c r="E107" i="32"/>
  <c r="C85" i="31"/>
  <c r="E43" i="30" l="1"/>
  <c r="C44" i="30"/>
  <c r="C109" i="32"/>
  <c r="E108" i="32"/>
  <c r="C86" i="31"/>
  <c r="E44" i="30" l="1"/>
  <c r="C45" i="30"/>
  <c r="C110" i="32"/>
  <c r="E109" i="32"/>
  <c r="C87" i="31"/>
  <c r="C46" i="30" l="1"/>
  <c r="E45" i="30"/>
  <c r="C111" i="32"/>
  <c r="E110" i="32"/>
  <c r="C88" i="31"/>
  <c r="E46" i="30" l="1"/>
  <c r="C47" i="30"/>
  <c r="C112" i="32"/>
  <c r="E111" i="32"/>
  <c r="C89" i="31"/>
  <c r="C48" i="30" l="1"/>
  <c r="E47" i="30"/>
  <c r="C113" i="32"/>
  <c r="E112" i="32"/>
  <c r="C90" i="31"/>
  <c r="C49" i="30" l="1"/>
  <c r="E48" i="30"/>
  <c r="C114" i="32"/>
  <c r="E113" i="32"/>
  <c r="C91" i="31"/>
  <c r="E49" i="30" l="1"/>
  <c r="C50" i="30"/>
  <c r="C115" i="32"/>
  <c r="E114" i="32"/>
  <c r="C92" i="31"/>
  <c r="C51" i="30" l="1"/>
  <c r="E50" i="30"/>
  <c r="C116" i="32"/>
  <c r="E115" i="32"/>
  <c r="C93" i="31"/>
  <c r="C52" i="30" l="1"/>
  <c r="E51" i="30"/>
  <c r="C117" i="32"/>
  <c r="E116" i="32"/>
  <c r="C94" i="31"/>
  <c r="E52" i="30" l="1"/>
  <c r="C53" i="30"/>
  <c r="C118" i="32"/>
  <c r="E117" i="32"/>
  <c r="C95" i="31"/>
  <c r="E53" i="30" l="1"/>
  <c r="C54" i="30"/>
  <c r="C119" i="32"/>
  <c r="E118" i="32"/>
  <c r="C96" i="31"/>
  <c r="C55" i="30" l="1"/>
  <c r="E54" i="30"/>
  <c r="C120" i="32"/>
  <c r="E119" i="32"/>
  <c r="C97" i="31"/>
  <c r="E55" i="30" l="1"/>
  <c r="C56" i="30"/>
  <c r="C121" i="32"/>
  <c r="E120" i="32"/>
  <c r="C98" i="31"/>
  <c r="E56" i="30" l="1"/>
  <c r="C57" i="30"/>
  <c r="C122" i="32"/>
  <c r="E121" i="32"/>
  <c r="C99" i="31"/>
  <c r="E57" i="30" l="1"/>
  <c r="C58" i="30"/>
  <c r="C123" i="32"/>
  <c r="E122" i="32"/>
  <c r="C100" i="31"/>
  <c r="E58" i="30" l="1"/>
  <c r="C59" i="30"/>
  <c r="C124" i="32"/>
  <c r="E123" i="32"/>
  <c r="C101" i="31"/>
  <c r="C60" i="30" l="1"/>
  <c r="E59" i="30"/>
  <c r="C125" i="32"/>
  <c r="E124" i="32"/>
  <c r="C102" i="31"/>
  <c r="E60" i="30" l="1"/>
  <c r="C61" i="30"/>
  <c r="C126" i="32"/>
  <c r="E125" i="32"/>
  <c r="C103" i="31"/>
  <c r="E61" i="30" l="1"/>
  <c r="C62" i="30"/>
  <c r="C127" i="32"/>
  <c r="E126" i="32"/>
  <c r="C104" i="31"/>
  <c r="E62" i="30" l="1"/>
  <c r="C63" i="30"/>
  <c r="C128" i="32"/>
  <c r="E127" i="32"/>
  <c r="C105" i="31"/>
  <c r="C64" i="30" l="1"/>
  <c r="E63" i="30"/>
  <c r="C129" i="32"/>
  <c r="E128" i="32"/>
  <c r="C106" i="31"/>
  <c r="E64" i="30" l="1"/>
  <c r="C65" i="30"/>
  <c r="C130" i="32"/>
  <c r="E129" i="32"/>
  <c r="C107" i="31"/>
  <c r="C66" i="30" l="1"/>
  <c r="E66" i="30" s="1"/>
  <c r="E65" i="30"/>
  <c r="C131" i="32"/>
  <c r="E130" i="32"/>
  <c r="C108" i="31"/>
  <c r="C132" i="32" l="1"/>
  <c r="E131" i="32"/>
  <c r="C109" i="31"/>
  <c r="C133" i="32" l="1"/>
  <c r="E132" i="32"/>
  <c r="C110" i="31"/>
  <c r="C134" i="32" l="1"/>
  <c r="E133" i="32"/>
  <c r="C111" i="31"/>
  <c r="C135" i="32" l="1"/>
  <c r="E134" i="32"/>
  <c r="C112" i="31"/>
  <c r="C136" i="32" l="1"/>
  <c r="E135" i="32"/>
  <c r="C113" i="31"/>
  <c r="C137" i="32" l="1"/>
  <c r="E136" i="32"/>
  <c r="C114" i="31"/>
  <c r="C138" i="32" l="1"/>
  <c r="E137" i="32"/>
  <c r="C115" i="31"/>
  <c r="C116" i="31" s="1"/>
  <c r="C139" i="32" l="1"/>
  <c r="E138" i="32"/>
  <c r="C117" i="31"/>
  <c r="C140" i="32" l="1"/>
  <c r="E139" i="32"/>
  <c r="C118" i="31"/>
  <c r="C141" i="32" l="1"/>
  <c r="E140" i="32"/>
  <c r="C119" i="31"/>
  <c r="C142" i="32" l="1"/>
  <c r="E141" i="32"/>
  <c r="C120" i="31"/>
  <c r="C143" i="32" l="1"/>
  <c r="E142" i="32"/>
  <c r="C121" i="31"/>
  <c r="C144" i="32" l="1"/>
  <c r="E143" i="32"/>
  <c r="C122" i="31"/>
  <c r="C145" i="32" l="1"/>
  <c r="E144" i="32"/>
  <c r="C123" i="31"/>
  <c r="C146" i="32" l="1"/>
  <c r="E145" i="32"/>
  <c r="C124" i="31"/>
  <c r="C147" i="32" l="1"/>
  <c r="E146" i="32"/>
  <c r="C125" i="31"/>
  <c r="C148" i="32" l="1"/>
  <c r="E147" i="32"/>
  <c r="C126" i="31"/>
  <c r="C149" i="32" l="1"/>
  <c r="E149" i="32" s="1"/>
  <c r="E148" i="32"/>
  <c r="C127" i="31"/>
  <c r="C128" i="31" l="1"/>
  <c r="C129" i="31" l="1"/>
  <c r="C130" i="31" l="1"/>
  <c r="C131" i="31" l="1"/>
  <c r="C132" i="31" l="1"/>
  <c r="C133" i="31" l="1"/>
  <c r="C134" i="31" l="1"/>
  <c r="C135" i="31" l="1"/>
  <c r="C136" i="31" l="1"/>
  <c r="C137" i="31" l="1"/>
  <c r="C138" i="31" l="1"/>
  <c r="C139" i="31" l="1"/>
  <c r="C140" i="31" l="1"/>
  <c r="C141" i="31" l="1"/>
  <c r="C142" i="31" l="1"/>
  <c r="C143" i="31" l="1"/>
  <c r="C144" i="31" l="1"/>
  <c r="C145" i="31" l="1"/>
  <c r="C146" i="31" l="1"/>
  <c r="C147" i="31" l="1"/>
  <c r="C148" i="31" l="1"/>
  <c r="C149" i="31" l="1"/>
  <c r="C150" i="31" l="1"/>
  <c r="C151" i="31" l="1"/>
  <c r="C152" i="31" l="1"/>
  <c r="C153" i="31" l="1"/>
  <c r="C154" i="31" l="1"/>
  <c r="C155" i="31" l="1"/>
  <c r="C156" i="31" l="1"/>
  <c r="C157" i="31" l="1"/>
  <c r="C158" i="31" l="1"/>
  <c r="C159" i="31" l="1"/>
  <c r="C160" i="31" l="1"/>
  <c r="C161" i="31" l="1"/>
  <c r="C162" i="31" l="1"/>
  <c r="C163" i="31" l="1"/>
  <c r="C164" i="31" l="1"/>
  <c r="C165" i="31" l="1"/>
  <c r="C166" i="31" l="1"/>
  <c r="C167" i="31" l="1"/>
  <c r="C168" i="31" l="1"/>
  <c r="C169" i="31" l="1"/>
  <c r="C170" i="31" l="1"/>
  <c r="C171" i="31" l="1"/>
  <c r="C172" i="31" l="1"/>
  <c r="C173" i="31" l="1"/>
  <c r="C174" i="31" l="1"/>
  <c r="C175" i="31" l="1"/>
  <c r="C176" i="31" l="1"/>
  <c r="C177" i="31" l="1"/>
  <c r="C178" i="31" l="1"/>
  <c r="C179" i="31" l="1"/>
  <c r="C180" i="31" l="1"/>
  <c r="C181" i="31" l="1"/>
  <c r="C182" i="31" l="1"/>
  <c r="C183" i="31" l="1"/>
  <c r="C184" i="31" l="1"/>
  <c r="C185" i="31" l="1"/>
  <c r="C186" i="31" l="1"/>
  <c r="C187" i="31" l="1"/>
  <c r="C188" i="31" l="1"/>
  <c r="C189" i="31" l="1"/>
  <c r="C190" i="31" l="1"/>
  <c r="C191" i="31" l="1"/>
  <c r="C192" i="31" l="1"/>
  <c r="C193" i="31" l="1"/>
  <c r="C194" i="31" l="1"/>
  <c r="C195" i="31" l="1"/>
  <c r="C196" i="31" l="1"/>
  <c r="C197" i="31" l="1"/>
  <c r="C198" i="31" l="1"/>
  <c r="C199" i="31" l="1"/>
  <c r="C200" i="31" l="1"/>
  <c r="C201" i="31" l="1"/>
  <c r="C202" i="31" l="1"/>
  <c r="C203" i="31" l="1"/>
  <c r="C204" i="31" l="1"/>
  <c r="C205" i="31" l="1"/>
  <c r="C206" i="31" l="1"/>
  <c r="C207" i="31" l="1"/>
  <c r="C208" i="31" l="1"/>
  <c r="C209" i="31" l="1"/>
  <c r="C210" i="31" s="1"/>
  <c r="C211" i="31" s="1"/>
  <c r="C212" i="31" s="1"/>
  <c r="C213" i="31" s="1"/>
  <c r="C214" i="31" s="1"/>
  <c r="C215" i="31" s="1"/>
  <c r="C216" i="31" s="1"/>
  <c r="C217" i="31" s="1"/>
  <c r="C218" i="31" s="1"/>
  <c r="C219" i="31" s="1"/>
  <c r="C220" i="31" s="1"/>
  <c r="C221" i="31" s="1"/>
  <c r="C222" i="31" s="1"/>
  <c r="C223" i="31" s="1"/>
  <c r="C224" i="31" s="1"/>
  <c r="C225" i="31" s="1"/>
  <c r="C226" i="31" s="1"/>
  <c r="C227" i="31" s="1"/>
  <c r="C228" i="31" s="1"/>
  <c r="C229" i="31" s="1"/>
  <c r="C230" i="31" s="1"/>
  <c r="C231" i="31" s="1"/>
  <c r="C232" i="31" s="1"/>
  <c r="C233" i="31" s="1"/>
  <c r="C4" i="8" l="1"/>
  <c r="C5" i="8" s="1"/>
  <c r="C6" i="8" s="1"/>
  <c r="C7" i="8" s="1"/>
  <c r="C8" i="8" s="1"/>
  <c r="C9" i="8" s="1"/>
  <c r="C10" i="8" s="1"/>
  <c r="C11" i="8" s="1"/>
  <c r="C12" i="8" s="1"/>
  <c r="C13" i="8" s="1"/>
  <c r="C14" i="8" s="1"/>
  <c r="C15" i="8" s="1"/>
  <c r="C16" i="8" s="1"/>
  <c r="C17" i="8" s="1"/>
  <c r="C18" i="8" s="1"/>
  <c r="C19" i="8" s="1"/>
  <c r="C20" i="8" s="1"/>
  <c r="C21" i="8" s="1"/>
  <c r="C22" i="8" s="1"/>
  <c r="C23" i="8" s="1"/>
  <c r="C24" i="8" s="1"/>
  <c r="C25" i="8" s="1"/>
  <c r="C26" i="8" s="1"/>
  <c r="C27" i="8" s="1"/>
  <c r="C28" i="8" s="1"/>
  <c r="C29" i="8" s="1"/>
  <c r="C30" i="8" s="1"/>
  <c r="C31" i="8" s="1"/>
  <c r="C32" i="8" s="1"/>
  <c r="C33" i="8" s="1"/>
  <c r="C34" i="8" s="1"/>
  <c r="C35" i="8" s="1"/>
  <c r="C36" i="8" s="1"/>
  <c r="C37" i="8" s="1"/>
  <c r="C38" i="8" s="1"/>
  <c r="C39" i="8" s="1"/>
  <c r="C40" i="8" s="1"/>
  <c r="C41" i="8" s="1"/>
  <c r="C42" i="8" s="1"/>
  <c r="C43" i="8" s="1"/>
  <c r="C44" i="8" s="1"/>
  <c r="C45" i="8" s="1"/>
  <c r="C46" i="8" s="1"/>
  <c r="C47" i="8" s="1"/>
  <c r="C48" i="8" s="1"/>
  <c r="C49" i="8" s="1"/>
  <c r="C50" i="8" s="1"/>
  <c r="C51" i="8" s="1"/>
  <c r="C52" i="8" s="1"/>
  <c r="C53" i="8" s="1"/>
  <c r="C54" i="8" s="1"/>
  <c r="C55" i="8" s="1"/>
  <c r="C56" i="8" s="1"/>
  <c r="C57" i="8" s="1"/>
  <c r="C58" i="8" s="1"/>
  <c r="C59" i="8" s="1"/>
  <c r="C60" i="8" s="1"/>
  <c r="C61" i="8" s="1"/>
  <c r="C62" i="8" s="1"/>
  <c r="C63" i="8" s="1"/>
  <c r="C64" i="8" s="1"/>
  <c r="C65" i="8" s="1"/>
  <c r="C66" i="8" s="1"/>
  <c r="C67" i="8" s="1"/>
  <c r="C68" i="8" s="1"/>
  <c r="C69" i="8" s="1"/>
  <c r="C70" i="8" s="1"/>
  <c r="C71" i="8" s="1"/>
  <c r="C72" i="8" s="1"/>
  <c r="C73" i="8" s="1"/>
  <c r="C74" i="8" s="1"/>
  <c r="C75" i="8" s="1"/>
  <c r="C76" i="8" s="1"/>
  <c r="C77" i="8" s="1"/>
  <c r="C78" i="8" s="1"/>
  <c r="C79" i="8" s="1"/>
  <c r="C80" i="8" s="1"/>
  <c r="C81" i="8" s="1"/>
  <c r="C82" i="8" s="1"/>
  <c r="C83" i="8" s="1"/>
  <c r="C84" i="8" s="1"/>
  <c r="C85" i="8" s="1"/>
  <c r="C86" i="8" s="1"/>
  <c r="C87" i="8" s="1"/>
  <c r="C88" i="8" s="1"/>
  <c r="C89" i="8" s="1"/>
  <c r="C90" i="8" s="1"/>
  <c r="C91" i="8" s="1"/>
  <c r="C92" i="8" s="1"/>
  <c r="C93" i="8" s="1"/>
  <c r="C94" i="8" s="1"/>
  <c r="C95" i="8" s="1"/>
  <c r="C96" i="8" s="1"/>
  <c r="C97" i="8" s="1"/>
  <c r="C98" i="8" s="1"/>
  <c r="C99" i="8" s="1"/>
  <c r="C100" i="8" s="1"/>
  <c r="C101" i="8" s="1"/>
  <c r="C102" i="8" s="1"/>
  <c r="C103" i="8" s="1"/>
  <c r="C104" i="8" s="1"/>
  <c r="C105" i="8" s="1"/>
  <c r="C106" i="8" s="1"/>
  <c r="C107" i="8" s="1"/>
  <c r="C108" i="8" s="1"/>
  <c r="C109" i="8" s="1"/>
  <c r="C110" i="8" s="1"/>
  <c r="C111" i="8" s="1"/>
  <c r="C112" i="8" s="1"/>
  <c r="C113" i="8" s="1"/>
  <c r="C114" i="8" s="1"/>
  <c r="C115" i="8" s="1"/>
  <c r="C116" i="8" s="1"/>
  <c r="C117" i="8" s="1"/>
  <c r="C118" i="8" s="1"/>
  <c r="C119" i="8" s="1"/>
  <c r="C120" i="8" s="1"/>
  <c r="C121" i="8" s="1"/>
  <c r="C122" i="8" s="1"/>
  <c r="C123" i="8" s="1"/>
  <c r="C124" i="8" s="1"/>
  <c r="C125" i="8" s="1"/>
  <c r="C126" i="8" s="1"/>
  <c r="C127" i="8" s="1"/>
  <c r="C128" i="8" s="1"/>
  <c r="C129" i="8" s="1"/>
  <c r="C130" i="8" s="1"/>
  <c r="C131" i="8" s="1"/>
  <c r="C132" i="8" s="1"/>
  <c r="C133" i="8" s="1"/>
  <c r="C134" i="8" s="1"/>
  <c r="C135" i="8" s="1"/>
  <c r="C136" i="8" s="1"/>
  <c r="C137" i="8" s="1"/>
  <c r="C138" i="8" s="1"/>
  <c r="C139" i="8" s="1"/>
  <c r="C140" i="8" s="1"/>
  <c r="C141" i="8" s="1"/>
  <c r="C142" i="8" s="1"/>
  <c r="C143" i="8" s="1"/>
  <c r="C144" i="8" s="1"/>
  <c r="C145" i="8" s="1"/>
  <c r="C146" i="8" s="1"/>
  <c r="C147" i="8" s="1"/>
  <c r="C148" i="8" s="1"/>
  <c r="C149" i="8" s="1"/>
  <c r="C150" i="8" s="1"/>
  <c r="C151" i="8" s="1"/>
  <c r="C152" i="8" s="1"/>
  <c r="C153" i="8" s="1"/>
  <c r="C154" i="8" s="1"/>
  <c r="C155" i="8" s="1"/>
  <c r="C156" i="8" s="1"/>
  <c r="C157" i="8" s="1"/>
  <c r="C158" i="8" s="1"/>
  <c r="C159" i="8" s="1"/>
  <c r="C160" i="8" s="1"/>
  <c r="C161" i="8" s="1"/>
  <c r="C162" i="8" s="1"/>
  <c r="C163" i="8" s="1"/>
  <c r="C164" i="8" s="1"/>
  <c r="C165" i="8" s="1"/>
  <c r="C166" i="8" s="1"/>
  <c r="C167" i="8" s="1"/>
  <c r="C168" i="8" s="1"/>
  <c r="C169" i="8" s="1"/>
  <c r="C170" i="8" s="1"/>
  <c r="C171" i="8" s="1"/>
  <c r="C172" i="8" s="1"/>
  <c r="C173" i="8" s="1"/>
  <c r="C174" i="8" s="1"/>
  <c r="C175" i="8" s="1"/>
  <c r="C176" i="8" s="1"/>
  <c r="C177" i="8" s="1"/>
  <c r="C178" i="8" s="1"/>
  <c r="C179" i="8" s="1"/>
  <c r="C180" i="8" s="1"/>
  <c r="C181" i="8" s="1"/>
  <c r="C182" i="8" s="1"/>
  <c r="C183" i="8" s="1"/>
  <c r="C184" i="8" s="1"/>
  <c r="C185" i="8" s="1"/>
  <c r="C186" i="8" s="1"/>
  <c r="C187" i="8" s="1"/>
  <c r="C188" i="8" s="1"/>
  <c r="C189" i="8" s="1"/>
  <c r="C190" i="8" s="1"/>
  <c r="C191" i="8" s="1"/>
  <c r="C192" i="8" s="1"/>
  <c r="C193" i="8" s="1"/>
  <c r="C194" i="8" s="1"/>
  <c r="C195" i="8" s="1"/>
  <c r="C196" i="8" s="1"/>
  <c r="C197" i="8" s="1"/>
  <c r="C198" i="8" s="1"/>
  <c r="C199" i="8" s="1"/>
  <c r="C200" i="8" s="1"/>
  <c r="C201" i="8" s="1"/>
  <c r="C202" i="8" s="1"/>
  <c r="C203" i="8" s="1"/>
  <c r="C204" i="8" s="1"/>
  <c r="C205" i="8" s="1"/>
  <c r="C206" i="8" s="1"/>
  <c r="C207" i="8" s="1"/>
  <c r="C208" i="8" s="1"/>
  <c r="C209" i="8" s="1"/>
  <c r="C210" i="8" s="1"/>
  <c r="C211" i="8" s="1"/>
  <c r="C212" i="8" s="1"/>
  <c r="C213" i="8" s="1"/>
  <c r="C214" i="8" s="1"/>
  <c r="C215" i="8" s="1"/>
  <c r="C216" i="8" s="1"/>
  <c r="C217" i="8" s="1"/>
  <c r="C218" i="8" s="1"/>
  <c r="C219" i="8" s="1"/>
  <c r="C220" i="8" s="1"/>
  <c r="C221" i="8" s="1"/>
  <c r="C222" i="8" s="1"/>
  <c r="C223" i="8" s="1"/>
  <c r="C224" i="8" s="1"/>
  <c r="C225" i="8" s="1"/>
  <c r="C226" i="8" s="1"/>
  <c r="C227" i="8" s="1"/>
  <c r="C228" i="8" s="1"/>
  <c r="C229" i="8" s="1"/>
  <c r="C230" i="8" s="1"/>
  <c r="C231" i="8" s="1"/>
  <c r="C232" i="8" s="1"/>
  <c r="C233" i="8" s="1"/>
  <c r="C234" i="8" s="1"/>
  <c r="C235" i="8" s="1"/>
  <c r="C236" i="8" s="1"/>
  <c r="C237" i="8" s="1"/>
  <c r="C238" i="8" s="1"/>
  <c r="C239" i="8" s="1"/>
  <c r="C240" i="8" s="1"/>
  <c r="C241" i="8" s="1"/>
  <c r="C242" i="8" s="1"/>
  <c r="C243" i="8" s="1"/>
  <c r="C244" i="8" s="1"/>
  <c r="C245" i="8" s="1"/>
  <c r="C246" i="8" s="1"/>
  <c r="C247" i="8" s="1"/>
  <c r="C248" i="8" s="1"/>
  <c r="C249" i="8" s="1"/>
  <c r="C250" i="8" s="1"/>
  <c r="C251" i="8" s="1"/>
  <c r="C252" i="8" s="1"/>
  <c r="C253" i="8" s="1"/>
  <c r="C254" i="8" s="1"/>
  <c r="C255" i="8" s="1"/>
  <c r="C256" i="8" s="1"/>
  <c r="C257" i="8" s="1"/>
  <c r="C258" i="8" s="1"/>
  <c r="C259" i="8" s="1"/>
  <c r="C260" i="8" s="1"/>
  <c r="C261" i="8" s="1"/>
  <c r="C262" i="8" s="1"/>
  <c r="C263" i="8" s="1"/>
  <c r="C264" i="8" s="1"/>
  <c r="C265" i="8" s="1"/>
  <c r="C266" i="8" s="1"/>
  <c r="C267" i="8" s="1"/>
  <c r="C268" i="8" s="1"/>
  <c r="C269" i="8" s="1"/>
  <c r="C270" i="8" s="1"/>
  <c r="C271" i="8" s="1"/>
  <c r="C4" i="7"/>
  <c r="C5" i="7" s="1"/>
  <c r="C6" i="7" s="1"/>
  <c r="C7" i="7" s="1"/>
  <c r="C8" i="7" s="1"/>
  <c r="C9" i="7" s="1"/>
  <c r="C10" i="7" s="1"/>
  <c r="C11" i="7" s="1"/>
  <c r="C12" i="7" s="1"/>
  <c r="C13" i="7" s="1"/>
  <c r="C14" i="7" s="1"/>
  <c r="C15" i="7" s="1"/>
  <c r="C16" i="7" s="1"/>
  <c r="C17" i="7" s="1"/>
  <c r="C18" i="7" s="1"/>
  <c r="C19" i="7" s="1"/>
  <c r="C20" i="7" s="1"/>
  <c r="C21" i="7" s="1"/>
  <c r="C22" i="7" s="1"/>
  <c r="C23" i="7" s="1"/>
  <c r="C24" i="7" s="1"/>
  <c r="C25" i="7" s="1"/>
  <c r="C26" i="7" s="1"/>
  <c r="C27" i="7" s="1"/>
  <c r="C28" i="7" s="1"/>
  <c r="C29" i="7" s="1"/>
  <c r="C30" i="7" s="1"/>
  <c r="C31" i="7" s="1"/>
  <c r="C32" i="7" s="1"/>
  <c r="C33" i="7" s="1"/>
  <c r="C34" i="7" s="1"/>
  <c r="C35" i="7" s="1"/>
  <c r="C36" i="7" s="1"/>
  <c r="C37" i="7" s="1"/>
  <c r="C38" i="7" s="1"/>
  <c r="C39" i="7" s="1"/>
  <c r="C40" i="7" s="1"/>
  <c r="C41" i="7" s="1"/>
  <c r="C42" i="7" s="1"/>
  <c r="C43" i="7" s="1"/>
  <c r="C44" i="7" s="1"/>
  <c r="C45" i="7" s="1"/>
  <c r="C46" i="7" s="1"/>
  <c r="C47" i="7" s="1"/>
  <c r="C48" i="7" s="1"/>
  <c r="C49" i="7" s="1"/>
  <c r="C50" i="7" s="1"/>
  <c r="C51" i="7" s="1"/>
  <c r="C52" i="7" s="1"/>
  <c r="C53" i="7" s="1"/>
  <c r="C54" i="7" s="1"/>
  <c r="C55" i="7" s="1"/>
  <c r="C56" i="7" s="1"/>
  <c r="C57" i="7" s="1"/>
  <c r="C58" i="7" s="1"/>
  <c r="C59" i="7" s="1"/>
  <c r="C60" i="7" s="1"/>
  <c r="C61" i="7" s="1"/>
  <c r="C62" i="7" s="1"/>
  <c r="C63" i="7" s="1"/>
  <c r="C64" i="7" s="1"/>
  <c r="C65" i="7" s="1"/>
  <c r="C66" i="7" s="1"/>
  <c r="C67" i="7" s="1"/>
  <c r="C68" i="7" s="1"/>
  <c r="C69" i="7" s="1"/>
  <c r="C70" i="7" s="1"/>
  <c r="C71" i="7" s="1"/>
  <c r="C72" i="7" s="1"/>
  <c r="C73" i="7" s="1"/>
  <c r="C74" i="7" s="1"/>
  <c r="C75" i="7" s="1"/>
  <c r="C76" i="7" s="1"/>
  <c r="C77" i="7" s="1"/>
  <c r="C78" i="7" s="1"/>
  <c r="C79" i="7" s="1"/>
  <c r="C80" i="7" s="1"/>
  <c r="C81" i="7" s="1"/>
  <c r="C82" i="7" s="1"/>
  <c r="C83" i="7" s="1"/>
  <c r="C84" i="7" s="1"/>
  <c r="C85" i="7" s="1"/>
  <c r="C86" i="7" s="1"/>
  <c r="C87" i="7" s="1"/>
  <c r="C88" i="7" s="1"/>
  <c r="C89" i="7" s="1"/>
  <c r="C90" i="7" s="1"/>
  <c r="C91" i="7" s="1"/>
  <c r="C92" i="7" s="1"/>
  <c r="C93" i="7" s="1"/>
  <c r="C94" i="7" s="1"/>
  <c r="C95" i="7" s="1"/>
  <c r="C96" i="7" s="1"/>
  <c r="C97" i="7" s="1"/>
  <c r="C14" i="21"/>
  <c r="C15" i="21" s="1"/>
  <c r="C16" i="21" s="1"/>
  <c r="C17" i="21" s="1"/>
  <c r="C18" i="21" s="1"/>
  <c r="C19" i="21" s="1"/>
  <c r="C20" i="21" s="1"/>
  <c r="C21" i="21" s="1"/>
  <c r="C22" i="21" s="1"/>
  <c r="C23" i="21" s="1"/>
  <c r="C24" i="21" s="1"/>
  <c r="C25" i="21" s="1"/>
  <c r="C26" i="21" s="1"/>
  <c r="C27" i="21" s="1"/>
  <c r="C28" i="21" s="1"/>
  <c r="C29" i="21" s="1"/>
  <c r="C30" i="21" s="1"/>
  <c r="C31" i="21" s="1"/>
  <c r="C32" i="21" s="1"/>
  <c r="C33" i="21" s="1"/>
  <c r="C34" i="21" s="1"/>
  <c r="C35" i="21" s="1"/>
  <c r="C36" i="21" s="1"/>
  <c r="C37" i="21" s="1"/>
  <c r="C38" i="21" s="1"/>
  <c r="C39" i="21" s="1"/>
  <c r="C40" i="21" s="1"/>
  <c r="C41" i="21" s="1"/>
  <c r="C42" i="21" s="1"/>
  <c r="C43" i="21" s="1"/>
  <c r="C44" i="21" s="1"/>
  <c r="C45" i="21" s="1"/>
  <c r="C46" i="21" s="1"/>
  <c r="C47" i="21" s="1"/>
  <c r="C48" i="21" s="1"/>
  <c r="C49" i="21" s="1"/>
  <c r="C50" i="21" s="1"/>
  <c r="C51" i="21" s="1"/>
  <c r="C52" i="21" s="1"/>
  <c r="C53" i="21" s="1"/>
  <c r="C54" i="21" s="1"/>
  <c r="C55" i="21" s="1"/>
  <c r="C56" i="21" s="1"/>
  <c r="C57" i="21" s="1"/>
  <c r="C58" i="21" s="1"/>
  <c r="C59" i="21" s="1"/>
  <c r="C60" i="21" s="1"/>
  <c r="C61" i="21" s="1"/>
  <c r="C62" i="21" s="1"/>
  <c r="C63" i="21" s="1"/>
  <c r="C64" i="21" s="1"/>
  <c r="C65" i="21" s="1"/>
  <c r="C66" i="21" s="1"/>
  <c r="C67" i="21" s="1"/>
  <c r="C68" i="21" s="1"/>
  <c r="C69" i="21" s="1"/>
  <c r="C70" i="21" s="1"/>
  <c r="C71" i="21" s="1"/>
  <c r="C72" i="21" s="1"/>
  <c r="C73" i="21" s="1"/>
  <c r="C74" i="21" s="1"/>
  <c r="C75" i="21" s="1"/>
  <c r="C76" i="21" s="1"/>
  <c r="C77" i="21" s="1"/>
  <c r="C78" i="21" s="1"/>
  <c r="C79" i="21" s="1"/>
  <c r="C80" i="21" s="1"/>
  <c r="C81" i="21" s="1"/>
  <c r="C82" i="21" s="1"/>
  <c r="C83" i="21" s="1"/>
  <c r="C84" i="21" s="1"/>
  <c r="C85" i="21" s="1"/>
  <c r="C86" i="21" s="1"/>
  <c r="C4" i="35"/>
  <c r="C5" i="38"/>
  <c r="C4" i="36"/>
  <c r="C5" i="36" s="1"/>
  <c r="C6" i="36" s="1"/>
  <c r="C7" i="36" s="1"/>
  <c r="C8" i="36" s="1"/>
  <c r="C9" i="36" s="1"/>
  <c r="C10" i="36" s="1"/>
  <c r="C11" i="36" s="1"/>
  <c r="C12" i="36" s="1"/>
  <c r="C13" i="36" s="1"/>
  <c r="C14" i="36" s="1"/>
  <c r="C15" i="36" s="1"/>
  <c r="C16" i="36" s="1"/>
  <c r="C17" i="36" s="1"/>
  <c r="C18" i="36" s="1"/>
  <c r="C19" i="36" s="1"/>
  <c r="C20" i="36" s="1"/>
  <c r="C21" i="36" s="1"/>
  <c r="C22" i="36" s="1"/>
  <c r="C23" i="36" s="1"/>
  <c r="C24" i="36" s="1"/>
  <c r="C25" i="36" s="1"/>
  <c r="C26" i="36" s="1"/>
  <c r="C27" i="36" s="1"/>
  <c r="C28" i="36" s="1"/>
  <c r="C29" i="36" s="1"/>
  <c r="C30" i="36" s="1"/>
  <c r="C31" i="36" s="1"/>
  <c r="C32" i="36" s="1"/>
  <c r="C33" i="36" s="1"/>
  <c r="C34" i="36" s="1"/>
  <c r="C35" i="36" s="1"/>
  <c r="C36" i="36" s="1"/>
  <c r="C37" i="36" s="1"/>
  <c r="C38" i="36" s="1"/>
  <c r="C39" i="36" s="1"/>
  <c r="C40" i="36" s="1"/>
  <c r="C41" i="36" s="1"/>
  <c r="C42" i="36" s="1"/>
  <c r="C43" i="36" s="1"/>
  <c r="C44" i="36" s="1"/>
  <c r="C45" i="36" s="1"/>
  <c r="C46" i="36" s="1"/>
  <c r="C47" i="36" s="1"/>
  <c r="C48" i="36" s="1"/>
  <c r="C49" i="36" s="1"/>
  <c r="C50" i="36" s="1"/>
  <c r="C51" i="36" s="1"/>
  <c r="C52" i="36" s="1"/>
  <c r="C53" i="36" s="1"/>
  <c r="C54" i="36" s="1"/>
  <c r="C55" i="36" s="1"/>
  <c r="C56" i="36" s="1"/>
  <c r="C57" i="36" s="1"/>
  <c r="C58" i="36" s="1"/>
  <c r="C59" i="36" s="1"/>
  <c r="C60" i="36" s="1"/>
  <c r="C61" i="36" s="1"/>
  <c r="C62" i="36" s="1"/>
  <c r="C63" i="36" s="1"/>
  <c r="C64" i="36" s="1"/>
  <c r="C65" i="36" s="1"/>
  <c r="C66" i="36" s="1"/>
  <c r="C67" i="36" s="1"/>
  <c r="C68" i="36" s="1"/>
  <c r="C69" i="36" s="1"/>
  <c r="C70" i="36" s="1"/>
  <c r="C71" i="36" s="1"/>
  <c r="C72" i="36" s="1"/>
  <c r="C73" i="36" s="1"/>
  <c r="C74" i="36" s="1"/>
  <c r="C75" i="36" s="1"/>
  <c r="C76" i="36" s="1"/>
  <c r="C77" i="36" s="1"/>
  <c r="C78" i="36" s="1"/>
  <c r="C79" i="36" s="1"/>
  <c r="C80" i="36" s="1"/>
  <c r="C81" i="36" s="1"/>
  <c r="C82" i="36" s="1"/>
  <c r="C83" i="36" s="1"/>
  <c r="C84" i="36" s="1"/>
  <c r="C85" i="36" s="1"/>
  <c r="C86" i="36" s="1"/>
  <c r="C87" i="36" s="1"/>
  <c r="C88" i="36" s="1"/>
  <c r="C89" i="36" s="1"/>
  <c r="C90" i="36" s="1"/>
  <c r="C91" i="36" s="1"/>
  <c r="C92" i="36" s="1"/>
  <c r="C93" i="36" s="1"/>
  <c r="C94" i="36" s="1"/>
  <c r="C95" i="36" s="1"/>
  <c r="C96" i="36" s="1"/>
  <c r="C97" i="36" s="1"/>
  <c r="C98" i="36" s="1"/>
  <c r="C99" i="36" s="1"/>
  <c r="C100" i="36" s="1"/>
  <c r="C101" i="36" s="1"/>
  <c r="C102" i="36" s="1"/>
  <c r="C103" i="36" s="1"/>
  <c r="C104" i="36" s="1"/>
  <c r="C105" i="36" s="1"/>
  <c r="C106" i="36" s="1"/>
  <c r="C107" i="36" s="1"/>
  <c r="C108" i="36" s="1"/>
  <c r="C109" i="36" s="1"/>
  <c r="C110" i="36" s="1"/>
  <c r="C111" i="36" s="1"/>
  <c r="C112" i="36" s="1"/>
  <c r="C113" i="36" s="1"/>
  <c r="C114" i="36" s="1"/>
  <c r="C115" i="36" s="1"/>
  <c r="C116" i="36" s="1"/>
  <c r="C117" i="36" s="1"/>
  <c r="C118" i="36" s="1"/>
  <c r="C119" i="36" s="1"/>
  <c r="C120" i="36" s="1"/>
  <c r="C121" i="36" s="1"/>
  <c r="C122" i="36" s="1"/>
  <c r="C123" i="36" s="1"/>
  <c r="C124" i="36" s="1"/>
  <c r="C125" i="36" s="1"/>
  <c r="C126" i="36" s="1"/>
  <c r="C127" i="36" s="1"/>
  <c r="C128" i="36" s="1"/>
  <c r="C129" i="36" s="1"/>
  <c r="C130" i="36" s="1"/>
  <c r="C131" i="36" s="1"/>
  <c r="C132" i="36" s="1"/>
  <c r="C133" i="36" s="1"/>
  <c r="C134" i="36" s="1"/>
  <c r="C135" i="36" s="1"/>
  <c r="C136" i="36" s="1"/>
  <c r="C137" i="36" s="1"/>
  <c r="C138" i="36" s="1"/>
  <c r="C139" i="36" s="1"/>
  <c r="C140" i="36" s="1"/>
  <c r="C141" i="36" s="1"/>
  <c r="C142" i="36" s="1"/>
  <c r="C143" i="36" s="1"/>
  <c r="C144" i="36" s="1"/>
  <c r="C145" i="36" s="1"/>
  <c r="C146" i="36" s="1"/>
  <c r="C147" i="36" s="1"/>
  <c r="C148" i="36" s="1"/>
  <c r="C149" i="36" s="1"/>
  <c r="C150" i="36" s="1"/>
  <c r="C151" i="36" s="1"/>
  <c r="C152" i="36" s="1"/>
  <c r="C153" i="36" s="1"/>
  <c r="C154" i="36" s="1"/>
  <c r="C155" i="36" s="1"/>
  <c r="C156" i="36" s="1"/>
  <c r="C157" i="36" s="1"/>
  <c r="C158" i="36" s="1"/>
  <c r="C159" i="36" s="1"/>
  <c r="C160" i="36" s="1"/>
  <c r="C161" i="36" s="1"/>
  <c r="C162" i="36" s="1"/>
  <c r="C163" i="36" s="1"/>
  <c r="C164" i="36" s="1"/>
  <c r="C165" i="36" s="1"/>
  <c r="C166" i="36" s="1"/>
  <c r="C167" i="36" s="1"/>
  <c r="C168" i="36" s="1"/>
  <c r="C169" i="36" s="1"/>
  <c r="C170" i="36" s="1"/>
  <c r="C171" i="36" s="1"/>
  <c r="C172" i="36" s="1"/>
  <c r="C173" i="36" s="1"/>
  <c r="C174" i="36" s="1"/>
  <c r="C175" i="36" s="1"/>
  <c r="C176" i="36" s="1"/>
  <c r="C177" i="36" s="1"/>
  <c r="C178" i="36" s="1"/>
  <c r="C179" i="36" s="1"/>
  <c r="C180" i="36" s="1"/>
  <c r="C181" i="36" s="1"/>
  <c r="C182" i="36" s="1"/>
  <c r="C183" i="36" s="1"/>
  <c r="C184" i="36" s="1"/>
  <c r="C185" i="36" s="1"/>
  <c r="C186" i="36" s="1"/>
  <c r="C187" i="36" s="1"/>
  <c r="C188" i="36" s="1"/>
  <c r="C189" i="36" s="1"/>
  <c r="C190" i="36" s="1"/>
  <c r="C191" i="36" s="1"/>
  <c r="C192" i="36" s="1"/>
  <c r="C193" i="36" s="1"/>
  <c r="C194" i="36" s="1"/>
  <c r="C195" i="36" s="1"/>
  <c r="C196" i="36" s="1"/>
  <c r="C197" i="36" s="1"/>
  <c r="C198" i="36" s="1"/>
  <c r="C199" i="36" s="1"/>
  <c r="C200" i="36" s="1"/>
  <c r="C201" i="36" s="1"/>
  <c r="C202" i="36" s="1"/>
  <c r="C203" i="36" s="1"/>
  <c r="C204" i="36" s="1"/>
  <c r="C205" i="36" s="1"/>
  <c r="C206" i="36" s="1"/>
  <c r="C6" i="38" l="1"/>
  <c r="E5" i="38"/>
  <c r="C5" i="35"/>
  <c r="E4" i="35"/>
  <c r="E4" i="36"/>
  <c r="C6" i="35" l="1"/>
  <c r="E5" i="35"/>
  <c r="C7" i="38"/>
  <c r="E6" i="38"/>
  <c r="E5" i="36"/>
  <c r="C8" i="38" l="1"/>
  <c r="E7" i="38"/>
  <c r="C7" i="35"/>
  <c r="E6" i="35"/>
  <c r="E6" i="36"/>
  <c r="C9" i="38" l="1"/>
  <c r="E8" i="38"/>
  <c r="C8" i="35"/>
  <c r="E7" i="35"/>
  <c r="E7" i="36"/>
  <c r="C9" i="35" l="1"/>
  <c r="E8" i="35"/>
  <c r="C10" i="38"/>
  <c r="E9" i="38"/>
  <c r="E8" i="36"/>
  <c r="C11" i="38" l="1"/>
  <c r="E10" i="38"/>
  <c r="C10" i="35"/>
  <c r="E9" i="35"/>
  <c r="E9" i="36"/>
  <c r="C11" i="35" l="1"/>
  <c r="E10" i="35"/>
  <c r="C12" i="38"/>
  <c r="E11" i="38"/>
  <c r="E10" i="36"/>
  <c r="C13" i="38" l="1"/>
  <c r="E12" i="38"/>
  <c r="C12" i="35"/>
  <c r="E11" i="35"/>
  <c r="E11" i="36"/>
  <c r="C13" i="35" l="1"/>
  <c r="E12" i="35"/>
  <c r="C14" i="38"/>
  <c r="E13" i="38"/>
  <c r="E12" i="36"/>
  <c r="C15" i="38" l="1"/>
  <c r="E14" i="38"/>
  <c r="C14" i="35"/>
  <c r="E13" i="35"/>
  <c r="E13" i="36"/>
  <c r="C15" i="35" l="1"/>
  <c r="E14" i="35"/>
  <c r="C16" i="38"/>
  <c r="E15" i="38"/>
  <c r="E14" i="36"/>
  <c r="C17" i="38" l="1"/>
  <c r="E16" i="38"/>
  <c r="C16" i="35"/>
  <c r="E15" i="35"/>
  <c r="E15" i="36"/>
  <c r="C17" i="35" l="1"/>
  <c r="E16" i="35"/>
  <c r="C18" i="38"/>
  <c r="E17" i="38"/>
  <c r="E16" i="36"/>
  <c r="C19" i="38" l="1"/>
  <c r="E18" i="38"/>
  <c r="C18" i="35"/>
  <c r="E17" i="35"/>
  <c r="E17" i="36"/>
  <c r="C19" i="35" l="1"/>
  <c r="E18" i="35"/>
  <c r="C20" i="38"/>
  <c r="E19" i="38"/>
  <c r="E19" i="36"/>
  <c r="E18" i="36"/>
  <c r="C21" i="38" l="1"/>
  <c r="E20" i="38"/>
  <c r="C20" i="35"/>
  <c r="E19" i="35"/>
  <c r="E20" i="36"/>
  <c r="E21" i="36"/>
  <c r="C21" i="35" l="1"/>
  <c r="E20" i="35"/>
  <c r="C22" i="38"/>
  <c r="E21" i="38"/>
  <c r="E23" i="36"/>
  <c r="E22" i="36"/>
  <c r="C23" i="38" l="1"/>
  <c r="E22" i="38"/>
  <c r="C22" i="35"/>
  <c r="E21" i="35"/>
  <c r="E24" i="36"/>
  <c r="E25" i="36"/>
  <c r="C23" i="35" l="1"/>
  <c r="E22" i="35"/>
  <c r="C24" i="38"/>
  <c r="E23" i="38"/>
  <c r="E27" i="36"/>
  <c r="E26" i="36"/>
  <c r="C25" i="38" l="1"/>
  <c r="E24" i="38"/>
  <c r="C24" i="35"/>
  <c r="E23" i="35"/>
  <c r="E28" i="36"/>
  <c r="E29" i="36"/>
  <c r="C25" i="35" l="1"/>
  <c r="E24" i="35"/>
  <c r="C26" i="38"/>
  <c r="E25" i="38"/>
  <c r="E31" i="36"/>
  <c r="E30" i="36"/>
  <c r="C27" i="38" l="1"/>
  <c r="E26" i="38"/>
  <c r="C26" i="35"/>
  <c r="E25" i="35"/>
  <c r="E32" i="36"/>
  <c r="E33" i="36"/>
  <c r="C27" i="35" l="1"/>
  <c r="E26" i="35"/>
  <c r="C28" i="38"/>
  <c r="E27" i="38"/>
  <c r="E35" i="36"/>
  <c r="E34" i="36"/>
  <c r="C28" i="35" l="1"/>
  <c r="E27" i="35"/>
  <c r="C29" i="38"/>
  <c r="E28" i="38"/>
  <c r="E36" i="36"/>
  <c r="E37" i="36"/>
  <c r="C30" i="38" l="1"/>
  <c r="E29" i="38"/>
  <c r="C29" i="35"/>
  <c r="E28" i="35"/>
  <c r="E39" i="36"/>
  <c r="E38" i="36"/>
  <c r="C30" i="35" l="1"/>
  <c r="E29" i="35"/>
  <c r="C31" i="38"/>
  <c r="E30" i="38"/>
  <c r="E40" i="36"/>
  <c r="E41" i="36"/>
  <c r="C32" i="38" l="1"/>
  <c r="E31" i="38"/>
  <c r="C31" i="35"/>
  <c r="E30" i="35"/>
  <c r="E43" i="36"/>
  <c r="E42" i="36"/>
  <c r="C32" i="35" l="1"/>
  <c r="E31" i="35"/>
  <c r="C33" i="38"/>
  <c r="E32" i="38"/>
  <c r="E44" i="36"/>
  <c r="E45" i="36"/>
  <c r="C34" i="38" l="1"/>
  <c r="E33" i="38"/>
  <c r="C33" i="35"/>
  <c r="E32" i="35"/>
  <c r="E47" i="36"/>
  <c r="E46" i="36"/>
  <c r="C34" i="35" l="1"/>
  <c r="E33" i="35"/>
  <c r="C35" i="38"/>
  <c r="E34" i="38"/>
  <c r="E48" i="36"/>
  <c r="E49" i="36"/>
  <c r="C36" i="38" l="1"/>
  <c r="E35" i="38"/>
  <c r="C35" i="35"/>
  <c r="E34" i="35"/>
  <c r="E51" i="36"/>
  <c r="E50" i="36"/>
  <c r="C36" i="35" l="1"/>
  <c r="E35" i="35"/>
  <c r="C37" i="38"/>
  <c r="E36" i="38"/>
  <c r="E52" i="36"/>
  <c r="E53" i="36"/>
  <c r="C38" i="38" l="1"/>
  <c r="E37" i="38"/>
  <c r="C37" i="35"/>
  <c r="E36" i="35"/>
  <c r="E55" i="36"/>
  <c r="E54" i="36"/>
  <c r="C38" i="35" l="1"/>
  <c r="E37" i="35"/>
  <c r="C39" i="38"/>
  <c r="E38" i="38"/>
  <c r="E56" i="36"/>
  <c r="E57" i="36"/>
  <c r="C40" i="38" l="1"/>
  <c r="E39" i="38"/>
  <c r="C39" i="35"/>
  <c r="E38" i="35"/>
  <c r="E59" i="36"/>
  <c r="E58" i="36"/>
  <c r="C40" i="35" l="1"/>
  <c r="E39" i="35"/>
  <c r="C41" i="38"/>
  <c r="E40" i="38"/>
  <c r="E60" i="36"/>
  <c r="E61" i="36"/>
  <c r="C42" i="38" l="1"/>
  <c r="E41" i="38"/>
  <c r="C41" i="35"/>
  <c r="E40" i="35"/>
  <c r="E63" i="36"/>
  <c r="E62" i="36"/>
  <c r="C42" i="35" l="1"/>
  <c r="E41" i="35"/>
  <c r="C43" i="38"/>
  <c r="E42" i="38"/>
  <c r="E64" i="36"/>
  <c r="E65" i="36"/>
  <c r="C44" i="38" l="1"/>
  <c r="E43" i="38"/>
  <c r="C43" i="35"/>
  <c r="E42" i="35"/>
  <c r="E67" i="36"/>
  <c r="E66" i="36"/>
  <c r="C44" i="35" l="1"/>
  <c r="E43" i="35"/>
  <c r="C45" i="38"/>
  <c r="E44" i="38"/>
  <c r="E68" i="36"/>
  <c r="E69" i="36"/>
  <c r="C46" i="38" l="1"/>
  <c r="E45" i="38"/>
  <c r="C45" i="35"/>
  <c r="E44" i="35"/>
  <c r="E71" i="36"/>
  <c r="E70" i="36"/>
  <c r="C46" i="35" l="1"/>
  <c r="E45" i="35"/>
  <c r="C47" i="38"/>
  <c r="E46" i="38"/>
  <c r="E72" i="36"/>
  <c r="E73" i="36"/>
  <c r="C48" i="38" l="1"/>
  <c r="E47" i="38"/>
  <c r="C47" i="35"/>
  <c r="E46" i="35"/>
  <c r="E75" i="36"/>
  <c r="E74" i="36"/>
  <c r="C48" i="35" l="1"/>
  <c r="E47" i="35"/>
  <c r="C49" i="38"/>
  <c r="E48" i="38"/>
  <c r="E76" i="36"/>
  <c r="E77" i="36"/>
  <c r="C50" i="38" l="1"/>
  <c r="E50" i="38" s="1"/>
  <c r="E49" i="38"/>
  <c r="C49" i="35"/>
  <c r="E48" i="35"/>
  <c r="E78" i="36"/>
  <c r="E79" i="36"/>
  <c r="C50" i="35" l="1"/>
  <c r="E49" i="35"/>
  <c r="E81" i="36"/>
  <c r="E80" i="36"/>
  <c r="C51" i="35" l="1"/>
  <c r="E50" i="35"/>
  <c r="E82" i="36"/>
  <c r="E83" i="36"/>
  <c r="C52" i="35" l="1"/>
  <c r="E51" i="35"/>
  <c r="E85" i="36"/>
  <c r="E84" i="36"/>
  <c r="C53" i="35" l="1"/>
  <c r="E52" i="35"/>
  <c r="E86" i="36"/>
  <c r="E87" i="36"/>
  <c r="C54" i="35" l="1"/>
  <c r="E53" i="35"/>
  <c r="E89" i="36"/>
  <c r="E88" i="36"/>
  <c r="C55" i="35" l="1"/>
  <c r="E54" i="35"/>
  <c r="E90" i="36"/>
  <c r="E91" i="36"/>
  <c r="C56" i="35" l="1"/>
  <c r="E55" i="35"/>
  <c r="E93" i="36"/>
  <c r="E92" i="36"/>
  <c r="C57" i="35" l="1"/>
  <c r="E56" i="35"/>
  <c r="E95" i="36"/>
  <c r="E94" i="36"/>
  <c r="C58" i="35" l="1"/>
  <c r="E57" i="35"/>
  <c r="E96" i="36"/>
  <c r="E97" i="36"/>
  <c r="C59" i="35" l="1"/>
  <c r="E58" i="35"/>
  <c r="E99" i="36"/>
  <c r="E98" i="36"/>
  <c r="C60" i="35" l="1"/>
  <c r="E59" i="35"/>
  <c r="E100" i="36"/>
  <c r="E101" i="36"/>
  <c r="C61" i="35" l="1"/>
  <c r="E60" i="35"/>
  <c r="E103" i="36"/>
  <c r="E102" i="36"/>
  <c r="C62" i="35" l="1"/>
  <c r="E61" i="35"/>
  <c r="E104" i="36"/>
  <c r="E105" i="36"/>
  <c r="C63" i="35" l="1"/>
  <c r="E62" i="35"/>
  <c r="E107" i="36"/>
  <c r="E106" i="36"/>
  <c r="C64" i="35" l="1"/>
  <c r="E63" i="35"/>
  <c r="E108" i="36"/>
  <c r="E109" i="36"/>
  <c r="C65" i="35" l="1"/>
  <c r="E64" i="35"/>
  <c r="E111" i="36"/>
  <c r="E110" i="36"/>
  <c r="C66" i="35" l="1"/>
  <c r="E65" i="35"/>
  <c r="E112" i="36"/>
  <c r="E113" i="36"/>
  <c r="C67" i="35" l="1"/>
  <c r="E66" i="35"/>
  <c r="E115" i="36"/>
  <c r="E114" i="36"/>
  <c r="C68" i="35" l="1"/>
  <c r="E67" i="35"/>
  <c r="E116" i="36"/>
  <c r="E117" i="36"/>
  <c r="C69" i="35" l="1"/>
  <c r="E68" i="35"/>
  <c r="E119" i="36"/>
  <c r="E118" i="36"/>
  <c r="C70" i="35" l="1"/>
  <c r="E69" i="35"/>
  <c r="E120" i="36"/>
  <c r="E121" i="36"/>
  <c r="C71" i="35" l="1"/>
  <c r="E70" i="35"/>
  <c r="E123" i="36"/>
  <c r="E122" i="36"/>
  <c r="C72" i="35" l="1"/>
  <c r="E71" i="35"/>
  <c r="E124" i="36"/>
  <c r="E125" i="36"/>
  <c r="C73" i="35" l="1"/>
  <c r="E72" i="35"/>
  <c r="E127" i="36"/>
  <c r="E126" i="36"/>
  <c r="C74" i="35" l="1"/>
  <c r="E73" i="35"/>
  <c r="E128" i="36"/>
  <c r="E129" i="36"/>
  <c r="C75" i="35" l="1"/>
  <c r="E74" i="35"/>
  <c r="E131" i="36"/>
  <c r="E130" i="36"/>
  <c r="C76" i="35" l="1"/>
  <c r="E75" i="35"/>
  <c r="E132" i="36"/>
  <c r="E133" i="36"/>
  <c r="C77" i="35" l="1"/>
  <c r="E76" i="35"/>
  <c r="E135" i="36"/>
  <c r="E134" i="36"/>
  <c r="C78" i="35" l="1"/>
  <c r="E77" i="35"/>
  <c r="E136" i="36"/>
  <c r="E137" i="36"/>
  <c r="C79" i="35" l="1"/>
  <c r="E78" i="35"/>
  <c r="E139" i="36"/>
  <c r="E138" i="36"/>
  <c r="C80" i="35" l="1"/>
  <c r="E79" i="35"/>
  <c r="E140" i="36"/>
  <c r="E141" i="36"/>
  <c r="C81" i="35" l="1"/>
  <c r="E80" i="35"/>
  <c r="E143" i="36"/>
  <c r="E142" i="36"/>
  <c r="C82" i="35" l="1"/>
  <c r="E81" i="35"/>
  <c r="E144" i="36"/>
  <c r="E145" i="36"/>
  <c r="C83" i="35" l="1"/>
  <c r="E82" i="35"/>
  <c r="E147" i="36"/>
  <c r="E146" i="36"/>
  <c r="C84" i="35" l="1"/>
  <c r="E83" i="35"/>
  <c r="E148" i="36"/>
  <c r="E149" i="36"/>
  <c r="C85" i="35" l="1"/>
  <c r="E84" i="35"/>
  <c r="E151" i="36"/>
  <c r="E150" i="36"/>
  <c r="C86" i="35" l="1"/>
  <c r="E85" i="35"/>
  <c r="E152" i="36"/>
  <c r="E153" i="36"/>
  <c r="C87" i="35" l="1"/>
  <c r="E86" i="35"/>
  <c r="E155" i="36"/>
  <c r="E154" i="36"/>
  <c r="C88" i="35" l="1"/>
  <c r="E87" i="35"/>
  <c r="E156" i="36"/>
  <c r="E157" i="36"/>
  <c r="C89" i="35" l="1"/>
  <c r="E88" i="35"/>
  <c r="E159" i="36"/>
  <c r="E158" i="36"/>
  <c r="C90" i="35" l="1"/>
  <c r="E89" i="35"/>
  <c r="E160" i="36"/>
  <c r="E161" i="36"/>
  <c r="C91" i="35" l="1"/>
  <c r="E90" i="35"/>
  <c r="E163" i="36"/>
  <c r="E162" i="36"/>
  <c r="C92" i="35" l="1"/>
  <c r="E91" i="35"/>
  <c r="E164" i="36"/>
  <c r="E165" i="36"/>
  <c r="C93" i="35" l="1"/>
  <c r="E92" i="35"/>
  <c r="E167" i="36"/>
  <c r="E166" i="36"/>
  <c r="C94" i="35" l="1"/>
  <c r="E93" i="35"/>
  <c r="E168" i="36"/>
  <c r="E169" i="36"/>
  <c r="C95" i="35" l="1"/>
  <c r="E94" i="35"/>
  <c r="E171" i="36"/>
  <c r="E170" i="36"/>
  <c r="C96" i="35" l="1"/>
  <c r="E95" i="35"/>
  <c r="E172" i="36"/>
  <c r="E173" i="36"/>
  <c r="C97" i="35" l="1"/>
  <c r="E96" i="35"/>
  <c r="E175" i="36"/>
  <c r="E174" i="36"/>
  <c r="C98" i="35" l="1"/>
  <c r="E97" i="35"/>
  <c r="E176" i="36"/>
  <c r="E177" i="36"/>
  <c r="C99" i="35" l="1"/>
  <c r="E98" i="35"/>
  <c r="E179" i="36"/>
  <c r="E178" i="36"/>
  <c r="C100" i="35" l="1"/>
  <c r="E99" i="35"/>
  <c r="E180" i="36"/>
  <c r="E181" i="36"/>
  <c r="C101" i="35" l="1"/>
  <c r="E100" i="35"/>
  <c r="E183" i="36"/>
  <c r="E182" i="36"/>
  <c r="C102" i="35" l="1"/>
  <c r="E101" i="35"/>
  <c r="E184" i="36"/>
  <c r="E185" i="36"/>
  <c r="C103" i="35" l="1"/>
  <c r="E102" i="35"/>
  <c r="E187" i="36"/>
  <c r="E186" i="36"/>
  <c r="C104" i="35" l="1"/>
  <c r="E103" i="35"/>
  <c r="E188" i="36"/>
  <c r="E189" i="36"/>
  <c r="C105" i="35" l="1"/>
  <c r="E104" i="35"/>
  <c r="E191" i="36"/>
  <c r="E190" i="36"/>
  <c r="C106" i="35" l="1"/>
  <c r="E105" i="35"/>
  <c r="E192" i="36"/>
  <c r="E193" i="36"/>
  <c r="C107" i="35" l="1"/>
  <c r="E106" i="35"/>
  <c r="E195" i="36"/>
  <c r="E194" i="36"/>
  <c r="C108" i="35" l="1"/>
  <c r="E107" i="35"/>
  <c r="E197" i="36"/>
  <c r="E196" i="36"/>
  <c r="C109" i="35" l="1"/>
  <c r="E108" i="35"/>
  <c r="E198" i="36"/>
  <c r="E199" i="36"/>
  <c r="C110" i="35" l="1"/>
  <c r="E109" i="35"/>
  <c r="E201" i="36"/>
  <c r="E200" i="36"/>
  <c r="C111" i="35" l="1"/>
  <c r="E110" i="35"/>
  <c r="E202" i="36"/>
  <c r="E205" i="36"/>
  <c r="E203" i="36"/>
  <c r="C112" i="35" l="1"/>
  <c r="E111" i="35"/>
  <c r="E206" i="36"/>
  <c r="E204" i="36"/>
  <c r="C113" i="35" l="1"/>
  <c r="E112" i="35"/>
  <c r="C114" i="35" l="1"/>
  <c r="E113" i="35"/>
  <c r="C115" i="35" l="1"/>
  <c r="E114" i="35"/>
  <c r="C116" i="35" l="1"/>
  <c r="E115" i="35"/>
  <c r="C117" i="35" l="1"/>
  <c r="E116" i="35"/>
  <c r="C118" i="35" l="1"/>
  <c r="E117" i="35"/>
  <c r="C119" i="35" l="1"/>
  <c r="E118" i="35"/>
  <c r="C120" i="35" l="1"/>
  <c r="E119" i="35"/>
  <c r="C121" i="35" l="1"/>
  <c r="E120" i="35"/>
  <c r="C122" i="35" l="1"/>
  <c r="E121" i="35"/>
  <c r="C123" i="35" l="1"/>
  <c r="E122" i="35"/>
  <c r="C124" i="35" l="1"/>
  <c r="E123" i="35"/>
  <c r="C125" i="35" l="1"/>
  <c r="E124" i="35"/>
  <c r="C126" i="35" l="1"/>
  <c r="E125" i="35"/>
  <c r="C127" i="35" l="1"/>
  <c r="E126" i="35"/>
  <c r="C128" i="35" l="1"/>
  <c r="E127" i="35"/>
  <c r="C129" i="35" l="1"/>
  <c r="E128" i="35"/>
  <c r="C130" i="35" l="1"/>
  <c r="E129" i="35"/>
  <c r="C131" i="35" l="1"/>
  <c r="E130" i="35"/>
  <c r="C132" i="35" l="1"/>
  <c r="E131" i="35"/>
  <c r="C133" i="35" l="1"/>
  <c r="E132" i="35"/>
  <c r="C134" i="35" l="1"/>
  <c r="E133" i="35"/>
  <c r="C135" i="35" l="1"/>
  <c r="E134" i="35"/>
  <c r="C136" i="35" l="1"/>
  <c r="E135" i="35"/>
  <c r="C137" i="35" l="1"/>
  <c r="E136" i="35"/>
  <c r="C138" i="35" l="1"/>
  <c r="E137" i="35"/>
  <c r="C139" i="35" l="1"/>
  <c r="E138" i="35"/>
  <c r="C140" i="35" l="1"/>
  <c r="E139" i="35"/>
  <c r="C141" i="35" l="1"/>
  <c r="E140" i="35"/>
  <c r="C142" i="35" l="1"/>
  <c r="E141" i="35"/>
  <c r="C143" i="35" l="1"/>
  <c r="E143" i="35" s="1"/>
  <c r="E142" i="35"/>
  <c r="C4" i="9"/>
  <c r="C5" i="9" s="1"/>
  <c r="C6" i="9" s="1"/>
  <c r="C7" i="9" s="1"/>
  <c r="C8" i="9" s="1"/>
  <c r="C9" i="9" s="1"/>
  <c r="C10" i="9" s="1"/>
  <c r="C11" i="9" s="1"/>
  <c r="C12" i="9" s="1"/>
  <c r="C13" i="9" s="1"/>
  <c r="C14" i="9" s="1"/>
  <c r="C15" i="9" s="1"/>
  <c r="C16" i="9" s="1"/>
  <c r="C17" i="9" s="1"/>
  <c r="C18" i="9" s="1"/>
  <c r="C19" i="9" s="1"/>
  <c r="C20" i="9" s="1"/>
  <c r="C21" i="9" s="1"/>
  <c r="C22" i="9" s="1"/>
  <c r="C23" i="9" s="1"/>
  <c r="C24" i="9" s="1"/>
  <c r="C25" i="9" s="1"/>
  <c r="C26" i="9" s="1"/>
  <c r="C27" i="9" s="1"/>
  <c r="C28" i="9" s="1"/>
  <c r="C29" i="9" s="1"/>
  <c r="C30" i="9" s="1"/>
  <c r="C31" i="9" s="1"/>
  <c r="C32" i="9" s="1"/>
  <c r="C33" i="9" s="1"/>
  <c r="C34" i="9" s="1"/>
  <c r="C35" i="9" s="1"/>
  <c r="C36" i="9" s="1"/>
  <c r="C37" i="9" s="1"/>
  <c r="C38" i="9" s="1"/>
  <c r="C39" i="9" s="1"/>
  <c r="C40" i="9" s="1"/>
  <c r="C41" i="9" s="1"/>
  <c r="C42" i="9" s="1"/>
  <c r="C43" i="9" s="1"/>
  <c r="C44" i="9" s="1"/>
  <c r="C45" i="9" s="1"/>
  <c r="C46" i="9" s="1"/>
  <c r="C47" i="9" s="1"/>
  <c r="C48" i="9" s="1"/>
  <c r="C49" i="9" s="1"/>
  <c r="C50" i="9" s="1"/>
  <c r="C51" i="9" s="1"/>
  <c r="C52" i="9" s="1"/>
  <c r="C53" i="9" s="1"/>
  <c r="C54" i="9" s="1"/>
  <c r="C55" i="9" s="1"/>
  <c r="C56" i="9" s="1"/>
  <c r="C57" i="9" s="1"/>
  <c r="C58" i="9" s="1"/>
  <c r="C59" i="9" s="1"/>
  <c r="C60" i="9" s="1"/>
  <c r="C61" i="9" s="1"/>
  <c r="C62" i="9" s="1"/>
  <c r="C63" i="9" s="1"/>
  <c r="C64" i="9" s="1"/>
  <c r="C65" i="9" s="1"/>
  <c r="C66" i="9" s="1"/>
  <c r="C67" i="9" s="1"/>
  <c r="C68" i="9" s="1"/>
  <c r="C69" i="9" s="1"/>
  <c r="C70" i="9" s="1"/>
  <c r="C71" i="9" s="1"/>
  <c r="C72" i="9" s="1"/>
  <c r="C73" i="9" s="1"/>
  <c r="C74" i="9" s="1"/>
  <c r="C75" i="9" s="1"/>
  <c r="C76" i="9" s="1"/>
  <c r="C77" i="9" s="1"/>
  <c r="C78" i="9" s="1"/>
  <c r="C79" i="9" s="1"/>
  <c r="C80" i="9" s="1"/>
  <c r="C81" i="9" s="1"/>
  <c r="C82" i="9" s="1"/>
  <c r="C83" i="9" s="1"/>
  <c r="C84" i="9" s="1"/>
  <c r="C85" i="9" s="1"/>
  <c r="C86" i="9" s="1"/>
  <c r="C87" i="9" s="1"/>
  <c r="C88" i="9" s="1"/>
  <c r="C89" i="9" s="1"/>
  <c r="C90" i="9" s="1"/>
  <c r="C91" i="9" s="1"/>
  <c r="C92" i="9" s="1"/>
  <c r="C93" i="9" s="1"/>
  <c r="C94" i="9" s="1"/>
  <c r="C95" i="9" s="1"/>
  <c r="C4" i="6"/>
  <c r="C5" i="6" s="1"/>
  <c r="C6" i="6" s="1"/>
  <c r="C7" i="6" s="1"/>
  <c r="C8" i="6" s="1"/>
  <c r="C9" i="6" s="1"/>
  <c r="C10" i="6" s="1"/>
  <c r="C11" i="6" s="1"/>
  <c r="C12" i="6" s="1"/>
  <c r="C13" i="6" s="1"/>
  <c r="C14" i="6" s="1"/>
  <c r="C15" i="6" s="1"/>
  <c r="C16" i="6" s="1"/>
  <c r="C17" i="6" s="1"/>
  <c r="C18" i="6" s="1"/>
  <c r="C19" i="6" s="1"/>
  <c r="C20" i="6" s="1"/>
  <c r="C21" i="6" s="1"/>
  <c r="C22" i="6" s="1"/>
  <c r="C23" i="6" s="1"/>
  <c r="C24" i="6" s="1"/>
  <c r="C25" i="6" s="1"/>
  <c r="C26" i="6" s="1"/>
  <c r="C27" i="6" s="1"/>
  <c r="C28" i="6" s="1"/>
  <c r="C29" i="6" s="1"/>
  <c r="C30" i="6" s="1"/>
  <c r="C31" i="6" s="1"/>
  <c r="C32" i="6" s="1"/>
  <c r="C33" i="6" s="1"/>
  <c r="C34" i="6" s="1"/>
  <c r="C35" i="6" s="1"/>
  <c r="C36" i="6" s="1"/>
  <c r="C37" i="6" s="1"/>
  <c r="C38" i="6" s="1"/>
  <c r="C39" i="6" s="1"/>
  <c r="C40" i="6" s="1"/>
  <c r="C41" i="6" s="1"/>
  <c r="C42" i="6" s="1"/>
  <c r="C43" i="6" s="1"/>
  <c r="C44" i="6" s="1"/>
  <c r="C45" i="6" s="1"/>
  <c r="C46" i="6" s="1"/>
  <c r="C47" i="6" s="1"/>
  <c r="C48" i="6" s="1"/>
  <c r="C49" i="6" s="1"/>
  <c r="C50" i="6" s="1"/>
  <c r="C51" i="6" s="1"/>
  <c r="C52" i="6" s="1"/>
  <c r="C53" i="6" s="1"/>
  <c r="C54" i="6" s="1"/>
  <c r="C55" i="6" s="1"/>
  <c r="C56" i="6" s="1"/>
  <c r="C57" i="6" s="1"/>
  <c r="C58" i="6" s="1"/>
  <c r="C59" i="6" s="1"/>
  <c r="C60" i="6" s="1"/>
  <c r="C61" i="6" s="1"/>
  <c r="C62" i="6" s="1"/>
  <c r="C63" i="6" s="1"/>
  <c r="C64" i="6" s="1"/>
  <c r="C65" i="6" s="1"/>
  <c r="C66" i="6" s="1"/>
  <c r="C67" i="6" s="1"/>
  <c r="C68" i="6" s="1"/>
  <c r="C69" i="6" s="1"/>
  <c r="C70" i="6" s="1"/>
  <c r="C71" i="6" s="1"/>
  <c r="C72" i="6" s="1"/>
  <c r="C73" i="6" s="1"/>
  <c r="C74" i="6" s="1"/>
  <c r="C75" i="6" s="1"/>
  <c r="C76" i="6" s="1"/>
  <c r="C77" i="6" s="1"/>
  <c r="C78" i="6" s="1"/>
  <c r="C79" i="6" s="1"/>
  <c r="C80" i="6" s="1"/>
  <c r="C81" i="6" s="1"/>
  <c r="C82" i="6" s="1"/>
  <c r="C83" i="6" s="1"/>
  <c r="C84" i="6" s="1"/>
  <c r="C85" i="6" s="1"/>
  <c r="C86" i="6" s="1"/>
  <c r="C87" i="6" s="1"/>
  <c r="C88" i="6" s="1"/>
  <c r="C89" i="6" s="1"/>
  <c r="C90" i="6" s="1"/>
  <c r="C91" i="6" s="1"/>
  <c r="C92" i="6" s="1"/>
  <c r="C93" i="6" s="1"/>
  <c r="C94" i="6" s="1"/>
  <c r="C95" i="6" s="1"/>
  <c r="C96" i="6" s="1"/>
  <c r="C97" i="6" s="1"/>
  <c r="C98" i="6" s="1"/>
  <c r="C99" i="6" s="1"/>
  <c r="C100" i="6" s="1"/>
  <c r="C101" i="6" s="1"/>
  <c r="C102" i="6" s="1"/>
  <c r="C103" i="6" s="1"/>
  <c r="C104" i="6" s="1"/>
  <c r="C4" i="3"/>
  <c r="C5" i="3" s="1"/>
  <c r="C6" i="3" s="1"/>
  <c r="C7" i="3" s="1"/>
  <c r="C8" i="3" s="1"/>
  <c r="C9" i="3" s="1"/>
  <c r="C10" i="3" s="1"/>
  <c r="C11" i="3" s="1"/>
  <c r="C12" i="3" s="1"/>
  <c r="C13" i="3" s="1"/>
  <c r="C14" i="3" s="1"/>
  <c r="C15" i="3" s="1"/>
  <c r="C16" i="3" s="1"/>
  <c r="C17" i="3" s="1"/>
  <c r="C18" i="3" s="1"/>
  <c r="C19" i="3" s="1"/>
  <c r="C20" i="3" s="1"/>
  <c r="C21" i="3" s="1"/>
  <c r="C22" i="3" s="1"/>
  <c r="C23" i="3" s="1"/>
  <c r="C24" i="3" s="1"/>
  <c r="C25" i="3" s="1"/>
  <c r="C26" i="3" s="1"/>
  <c r="C27" i="3" s="1"/>
  <c r="C28" i="3" s="1"/>
  <c r="C29" i="3" s="1"/>
  <c r="C30" i="3" s="1"/>
  <c r="C31" i="3" s="1"/>
  <c r="C32" i="3" s="1"/>
  <c r="C33" i="3" s="1"/>
  <c r="C34" i="3" s="1"/>
  <c r="C35" i="3" s="1"/>
  <c r="C36" i="3" s="1"/>
  <c r="C37" i="3" s="1"/>
  <c r="C38" i="3" s="1"/>
  <c r="C39" i="3" s="1"/>
  <c r="C40" i="3" s="1"/>
  <c r="C41" i="3" s="1"/>
  <c r="C42" i="3" s="1"/>
  <c r="C43" i="3" s="1"/>
  <c r="C44" i="3" s="1"/>
  <c r="C45" i="3" s="1"/>
  <c r="C46" i="3" s="1"/>
  <c r="C47" i="3" s="1"/>
  <c r="C48" i="3" s="1"/>
  <c r="C49" i="3" s="1"/>
  <c r="C50" i="3" s="1"/>
  <c r="C51" i="3" s="1"/>
  <c r="C52" i="3" s="1"/>
  <c r="C53" i="3" s="1"/>
  <c r="C54" i="3" s="1"/>
  <c r="C55" i="3" s="1"/>
  <c r="C56" i="3" s="1"/>
  <c r="C57" i="3" s="1"/>
  <c r="C58" i="3" s="1"/>
  <c r="C59" i="3" s="1"/>
  <c r="C60" i="3" s="1"/>
  <c r="C61" i="3" s="1"/>
  <c r="C62" i="3" s="1"/>
  <c r="C63" i="3" s="1"/>
  <c r="C64" i="3" s="1"/>
  <c r="C65" i="3" s="1"/>
  <c r="C66" i="3" s="1"/>
  <c r="C67" i="3" s="1"/>
  <c r="C68" i="3" s="1"/>
  <c r="C69" i="3" s="1"/>
  <c r="C70" i="3" s="1"/>
  <c r="C71" i="3" s="1"/>
  <c r="C72" i="3" s="1"/>
  <c r="C73" i="3" s="1"/>
  <c r="C74" i="3" s="1"/>
  <c r="C75" i="3" s="1"/>
  <c r="C76" i="3" s="1"/>
  <c r="C77" i="3" s="1"/>
  <c r="C78" i="3" s="1"/>
  <c r="C79" i="3" s="1"/>
  <c r="C80" i="3" s="1"/>
  <c r="C81" i="3" s="1"/>
  <c r="C82" i="3" s="1"/>
  <c r="C83" i="3" s="1"/>
  <c r="C84" i="3" s="1"/>
  <c r="C85" i="3" s="1"/>
  <c r="C86" i="3" s="1"/>
  <c r="C87" i="3" s="1"/>
  <c r="C88" i="3" s="1"/>
  <c r="C89" i="3" s="1"/>
  <c r="C90" i="3" s="1"/>
  <c r="C91" i="3" s="1"/>
  <c r="C92" i="3" s="1"/>
  <c r="C93" i="3" s="1"/>
  <c r="C94" i="3" s="1"/>
  <c r="C95" i="3" s="1"/>
  <c r="C96" i="3" s="1"/>
  <c r="C97" i="3" s="1"/>
  <c r="C98" i="3" s="1"/>
  <c r="C99" i="3" s="1"/>
  <c r="C100" i="3" s="1"/>
  <c r="C101" i="3" s="1"/>
  <c r="C102" i="3" s="1"/>
  <c r="C103" i="3" s="1"/>
  <c r="C104" i="3" s="1"/>
  <c r="C105" i="3" s="1"/>
  <c r="C106" i="3" s="1"/>
  <c r="C107" i="3" s="1"/>
  <c r="C108" i="3" s="1"/>
  <c r="C109" i="3" s="1"/>
  <c r="C110" i="3" s="1"/>
  <c r="C111" i="3" s="1"/>
  <c r="C112" i="3" s="1"/>
  <c r="C113" i="3" s="1"/>
  <c r="C4" i="1"/>
  <c r="C5" i="1" s="1"/>
  <c r="C6" i="1" s="1"/>
  <c r="C7" i="1" s="1"/>
  <c r="C8" i="1" s="1"/>
  <c r="C9" i="1" s="1"/>
  <c r="C10" i="1" s="1"/>
  <c r="C11" i="1" s="1"/>
  <c r="C12" i="1" s="1"/>
  <c r="C13" i="1" s="1"/>
  <c r="C14" i="1" s="1"/>
  <c r="C15" i="1" s="1"/>
  <c r="C16" i="1" s="1"/>
  <c r="C17" i="1" s="1"/>
  <c r="C18" i="1" s="1"/>
  <c r="C19" i="1" s="1"/>
  <c r="C20" i="1" s="1"/>
  <c r="C21" i="1" s="1"/>
  <c r="C22" i="1" s="1"/>
  <c r="C23" i="1" s="1"/>
  <c r="C24" i="1" s="1"/>
  <c r="C25" i="1" s="1"/>
  <c r="C26" i="1" s="1"/>
  <c r="C27" i="1" s="1"/>
  <c r="C28" i="1" s="1"/>
  <c r="C29" i="1" s="1"/>
  <c r="C30" i="1" s="1"/>
  <c r="C31" i="1" s="1"/>
  <c r="C32" i="1" s="1"/>
  <c r="C33" i="1" s="1"/>
  <c r="C34" i="1" s="1"/>
  <c r="C35" i="1" s="1"/>
  <c r="C36" i="1" s="1"/>
  <c r="C37" i="1" s="1"/>
  <c r="C38" i="1" s="1"/>
  <c r="C39" i="1" s="1"/>
  <c r="C40" i="1" s="1"/>
  <c r="C41" i="1" s="1"/>
  <c r="C42" i="1" s="1"/>
  <c r="C43" i="1" s="1"/>
  <c r="C44" i="1" s="1"/>
  <c r="C45" i="1" s="1"/>
  <c r="C46" i="1" s="1"/>
  <c r="C47" i="1" s="1"/>
  <c r="C48" i="1" s="1"/>
  <c r="C49" i="1" s="1"/>
  <c r="C50" i="1" s="1"/>
  <c r="C51" i="1" s="1"/>
  <c r="C52" i="1" s="1"/>
  <c r="C53" i="1" s="1"/>
  <c r="C54" i="1" s="1"/>
  <c r="C55" i="1" s="1"/>
  <c r="C56" i="1" s="1"/>
  <c r="C57" i="1" s="1"/>
  <c r="C58" i="1" s="1"/>
  <c r="C59" i="1" s="1"/>
  <c r="C60" i="1" s="1"/>
  <c r="C61" i="1" s="1"/>
  <c r="C62" i="1" s="1"/>
  <c r="C63" i="1" s="1"/>
  <c r="C64" i="1" s="1"/>
  <c r="C65" i="1" s="1"/>
  <c r="C66" i="1" s="1"/>
  <c r="C67" i="1" s="1"/>
  <c r="C68" i="1" s="1"/>
  <c r="C69" i="1" s="1"/>
  <c r="C70" i="1" s="1"/>
  <c r="C71" i="1" s="1"/>
  <c r="C72" i="1" s="1"/>
  <c r="C73" i="1" s="1"/>
  <c r="C74" i="1" s="1"/>
  <c r="C75" i="1" s="1"/>
  <c r="C76" i="1" s="1"/>
  <c r="C77" i="1" s="1"/>
  <c r="C78" i="1" s="1"/>
  <c r="C79" i="1" s="1"/>
  <c r="C80" i="1" s="1"/>
  <c r="C81" i="1" s="1"/>
  <c r="C82" i="1" s="1"/>
  <c r="C83" i="1" s="1"/>
  <c r="C84" i="1" s="1"/>
  <c r="C85" i="1" s="1"/>
  <c r="C86" i="1" s="1"/>
  <c r="C87" i="1" s="1"/>
  <c r="C88" i="1" s="1"/>
  <c r="C89" i="1" s="1"/>
  <c r="C90" i="1" s="1"/>
  <c r="C91" i="1" s="1"/>
  <c r="C92" i="1" s="1"/>
  <c r="C93" i="1" s="1"/>
  <c r="C94" i="1" s="1"/>
  <c r="C95" i="1" s="1"/>
  <c r="C96" i="1" s="1"/>
  <c r="C97" i="1" s="1"/>
  <c r="C98" i="1" s="1"/>
  <c r="C99" i="1" s="1"/>
  <c r="C100" i="1" s="1"/>
  <c r="C101" i="1" s="1"/>
  <c r="C102" i="1" s="1"/>
  <c r="C103" i="1" s="1"/>
  <c r="C104" i="1" s="1"/>
  <c r="C105" i="1" s="1"/>
  <c r="C106" i="1" s="1"/>
  <c r="C107" i="1" s="1"/>
  <c r="C108" i="1" s="1"/>
  <c r="C109" i="1" s="1"/>
  <c r="C110" i="1" s="1"/>
  <c r="C111" i="1" s="1"/>
  <c r="C112" i="1" s="1"/>
  <c r="C113" i="1" s="1"/>
  <c r="C114" i="1" s="1"/>
  <c r="C115" i="1" s="1"/>
  <c r="C116" i="1" s="1"/>
  <c r="C117" i="1" s="1"/>
  <c r="C118" i="1" s="1"/>
  <c r="C119" i="1" s="1"/>
  <c r="C120" i="1" s="1"/>
  <c r="C121" i="1" s="1"/>
  <c r="C122" i="1" s="1"/>
  <c r="C123" i="1" s="1"/>
  <c r="C124" i="1" s="1"/>
  <c r="C125" i="1" s="1"/>
  <c r="C126" i="1" s="1"/>
  <c r="C127" i="1" s="1"/>
  <c r="C128" i="1" s="1"/>
  <c r="C129" i="1" s="1"/>
  <c r="C130" i="1" s="1"/>
  <c r="C131" i="1" s="1"/>
  <c r="C132" i="1" s="1"/>
  <c r="C133" i="1" s="1"/>
  <c r="C134" i="1" s="1"/>
  <c r="C135" i="1" s="1"/>
  <c r="C136" i="1" s="1"/>
  <c r="C137" i="1" s="1"/>
  <c r="C138" i="1" s="1"/>
  <c r="C139" i="1" s="1"/>
  <c r="C140" i="1" s="1"/>
  <c r="C141" i="1" s="1"/>
  <c r="C142" i="1" s="1"/>
  <c r="C143" i="1" s="1"/>
  <c r="C144" i="1" s="1"/>
  <c r="C145" i="1" s="1"/>
  <c r="C146" i="1" s="1"/>
  <c r="C147" i="1" s="1"/>
  <c r="C148" i="1" s="1"/>
  <c r="C149" i="1" s="1"/>
  <c r="C150" i="1" s="1"/>
  <c r="C151" i="1" s="1"/>
  <c r="C152" i="1" s="1"/>
  <c r="C153" i="1" s="1"/>
  <c r="C154" i="1" s="1"/>
  <c r="C155" i="1" s="1"/>
  <c r="C156" i="1" s="1"/>
  <c r="C157" i="1" s="1"/>
  <c r="C158" i="1" s="1"/>
  <c r="C159" i="1" s="1"/>
  <c r="C160" i="1" s="1"/>
  <c r="C161" i="1" s="1"/>
  <c r="C162" i="1" s="1"/>
  <c r="C163" i="1" s="1"/>
  <c r="C164" i="1" s="1"/>
  <c r="C165" i="1" s="1"/>
  <c r="C166" i="1" s="1"/>
  <c r="C167" i="1" s="1"/>
  <c r="C168" i="1" s="1"/>
  <c r="C169" i="1" s="1"/>
  <c r="C170" i="1" s="1"/>
  <c r="C171" i="1" s="1"/>
  <c r="C172" i="1" s="1"/>
  <c r="C173" i="1" s="1"/>
  <c r="C174" i="1" s="1"/>
  <c r="C175" i="1" s="1"/>
  <c r="C176" i="1" s="1"/>
  <c r="C177" i="1" s="1"/>
  <c r="C178" i="1" s="1"/>
  <c r="C179" i="1" s="1"/>
  <c r="C180" i="1" s="1"/>
  <c r="C181" i="1" s="1"/>
  <c r="C182" i="1" s="1"/>
  <c r="C183" i="1" s="1"/>
  <c r="C184" i="1" s="1"/>
  <c r="C185" i="1" s="1"/>
  <c r="C186" i="1" s="1"/>
  <c r="C187" i="1" s="1"/>
  <c r="C188" i="1" s="1"/>
  <c r="C189" i="1" s="1"/>
  <c r="C190" i="1" s="1"/>
  <c r="C191" i="1" s="1"/>
  <c r="C192" i="1" s="1"/>
  <c r="C193" i="1" s="1"/>
  <c r="C194" i="1" s="1"/>
  <c r="C195" i="1" s="1"/>
  <c r="C196" i="1" s="1"/>
  <c r="C197" i="1" s="1"/>
  <c r="C198" i="1" s="1"/>
  <c r="C199" i="1" s="1"/>
  <c r="C200" i="1" s="1"/>
  <c r="C201" i="1" s="1"/>
  <c r="C202" i="1" s="1"/>
  <c r="C203" i="1" s="1"/>
  <c r="C204" i="1" s="1"/>
  <c r="C205" i="1" s="1"/>
  <c r="C206" i="1" s="1"/>
  <c r="C207" i="1" s="1"/>
  <c r="C208" i="1" s="1"/>
  <c r="C209" i="1" s="1"/>
  <c r="C210" i="1" s="1"/>
  <c r="C211" i="1" s="1"/>
  <c r="C212" i="1" s="1"/>
  <c r="C213" i="1" s="1"/>
  <c r="C214" i="1" s="1"/>
  <c r="C215" i="1" s="1"/>
  <c r="C216" i="1" s="1"/>
  <c r="C217" i="1" s="1"/>
  <c r="C218" i="1" s="1"/>
  <c r="C219" i="1" s="1"/>
  <c r="C220" i="1" s="1"/>
  <c r="C221" i="1" s="1"/>
  <c r="C222" i="1" s="1"/>
  <c r="C223" i="1" s="1"/>
  <c r="C224" i="1" s="1"/>
  <c r="C225" i="1" s="1"/>
  <c r="C226" i="1" s="1"/>
  <c r="C227" i="1" s="1"/>
  <c r="C228" i="1" s="1"/>
  <c r="C229" i="1" s="1"/>
  <c r="C230" i="1" s="1"/>
  <c r="C231" i="1" s="1"/>
  <c r="C232" i="1" s="1"/>
  <c r="C233" i="1" s="1"/>
  <c r="C234" i="1" s="1"/>
  <c r="C235" i="1" s="1"/>
  <c r="C236" i="1" s="1"/>
  <c r="C237" i="1" s="1"/>
  <c r="C238" i="1" s="1"/>
  <c r="C239" i="1" s="1"/>
  <c r="C240" i="1" s="1"/>
  <c r="C241" i="1" s="1"/>
  <c r="C242" i="1" s="1"/>
  <c r="C243" i="1" s="1"/>
  <c r="C244" i="1" s="1"/>
  <c r="C245" i="1" s="1"/>
  <c r="C246" i="1" s="1"/>
  <c r="C247" i="1" s="1"/>
  <c r="C248" i="1" s="1"/>
  <c r="C249" i="1" s="1"/>
  <c r="C250" i="1" s="1"/>
  <c r="C251" i="1" s="1"/>
  <c r="C252" i="1" s="1"/>
  <c r="C253" i="1" s="1"/>
  <c r="C254" i="1" s="1"/>
  <c r="C255" i="1" s="1"/>
  <c r="C256" i="1" s="1"/>
  <c r="C257" i="1" s="1"/>
  <c r="C258" i="1" s="1"/>
  <c r="C259" i="1" s="1"/>
  <c r="C260" i="1" s="1"/>
  <c r="C261" i="1" s="1"/>
  <c r="C262" i="1" s="1"/>
  <c r="C263" i="1" s="1"/>
  <c r="C264" i="1" s="1"/>
  <c r="C265" i="1" s="1"/>
  <c r="C266" i="1" s="1"/>
  <c r="C267" i="1" s="1"/>
  <c r="C268" i="1" s="1"/>
  <c r="C269" i="1" s="1"/>
  <c r="C270" i="1" s="1"/>
  <c r="C271" i="1" s="1"/>
  <c r="C272" i="1" s="1"/>
  <c r="C273" i="1" s="1"/>
  <c r="C274" i="1" s="1"/>
  <c r="C275" i="1" s="1"/>
  <c r="C276" i="1" s="1"/>
  <c r="C277" i="1" s="1"/>
  <c r="C278" i="1" s="1"/>
  <c r="C279" i="1" s="1"/>
  <c r="C280" i="1" s="1"/>
  <c r="C281" i="1" s="1"/>
  <c r="C282" i="1" s="1"/>
  <c r="C283" i="1" s="1"/>
  <c r="C284" i="1" s="1"/>
  <c r="C285" i="1" s="1"/>
  <c r="C286" i="1" s="1"/>
  <c r="C287" i="1" s="1"/>
  <c r="C288" i="1" s="1"/>
  <c r="C289" i="1" s="1"/>
  <c r="C290" i="1" s="1"/>
  <c r="C291" i="1" s="1"/>
  <c r="C292" i="1" s="1"/>
  <c r="C293" i="1" s="1"/>
  <c r="C294" i="1" s="1"/>
  <c r="C295" i="1" s="1"/>
  <c r="C296" i="1" s="1"/>
  <c r="C297" i="1" s="1"/>
  <c r="C298" i="1" s="1"/>
  <c r="C299" i="1" s="1"/>
  <c r="C300" i="1" s="1"/>
  <c r="C301" i="1" s="1"/>
  <c r="C302" i="1" s="1"/>
  <c r="C303" i="1" s="1"/>
  <c r="C304" i="1" s="1"/>
  <c r="C305" i="1" s="1"/>
  <c r="C306" i="1" s="1"/>
  <c r="C307" i="1" s="1"/>
  <c r="C308" i="1" s="1"/>
  <c r="C309" i="1" s="1"/>
  <c r="C310" i="1" s="1"/>
  <c r="C311" i="1" s="1"/>
  <c r="C312" i="1" s="1"/>
  <c r="C313" i="1" s="1"/>
  <c r="C314" i="1" s="1"/>
  <c r="C315" i="1" s="1"/>
  <c r="C316" i="1" s="1"/>
  <c r="C317" i="1" s="1"/>
  <c r="C318" i="1" s="1"/>
  <c r="C319" i="1" s="1"/>
  <c r="C320" i="1" s="1"/>
  <c r="C321" i="1" s="1"/>
  <c r="C322" i="1" s="1"/>
  <c r="C323" i="1" s="1"/>
  <c r="C324" i="1" s="1"/>
  <c r="C325" i="1" s="1"/>
  <c r="C326" i="1" s="1"/>
  <c r="C327" i="1" s="1"/>
  <c r="C328" i="1" s="1"/>
  <c r="C329" i="1" s="1"/>
  <c r="C330" i="1" s="1"/>
  <c r="C331" i="1" s="1"/>
  <c r="C332" i="1" s="1"/>
  <c r="C333" i="1" s="1"/>
  <c r="C334" i="1" s="1"/>
  <c r="C335" i="1" s="1"/>
  <c r="C336" i="1" s="1"/>
  <c r="C337" i="1" s="1"/>
  <c r="C338" i="1" s="1"/>
  <c r="C339" i="1" s="1"/>
  <c r="C340" i="1" s="1"/>
  <c r="C341" i="1" s="1"/>
  <c r="C342" i="1" s="1"/>
  <c r="C343" i="1" s="1"/>
  <c r="C344" i="1" s="1"/>
  <c r="C345" i="1" s="1"/>
  <c r="C346" i="1" s="1"/>
  <c r="C347" i="1" s="1"/>
  <c r="C348" i="1" s="1"/>
  <c r="C349" i="1" s="1"/>
  <c r="C350" i="1" s="1"/>
  <c r="C351" i="1" s="1"/>
  <c r="C352" i="1" s="1"/>
  <c r="C353" i="1" s="1"/>
  <c r="C354" i="1" s="1"/>
  <c r="C355" i="1" s="1"/>
  <c r="C356" i="1" s="1"/>
  <c r="C357" i="1" s="1"/>
  <c r="C358" i="1" s="1"/>
  <c r="C359" i="1" s="1"/>
  <c r="C360" i="1" s="1"/>
  <c r="C361" i="1" s="1"/>
  <c r="C362" i="1" s="1"/>
  <c r="C363" i="1" s="1"/>
  <c r="C364" i="1" s="1"/>
  <c r="C365" i="1" s="1"/>
  <c r="C366" i="1" s="1"/>
  <c r="C367" i="1" s="1"/>
  <c r="C368" i="1" s="1"/>
  <c r="C369" i="1" s="1"/>
  <c r="C370" i="1" s="1"/>
  <c r="C371" i="1" s="1"/>
  <c r="C372" i="1" s="1"/>
  <c r="C373" i="1" s="1"/>
  <c r="C374" i="1" s="1"/>
  <c r="C375" i="1" s="1"/>
  <c r="C376" i="1" s="1"/>
  <c r="C377" i="1" s="1"/>
  <c r="C378" i="1" s="1"/>
  <c r="C379" i="1" s="1"/>
  <c r="C380" i="1" s="1"/>
  <c r="C381" i="1" s="1"/>
  <c r="C382" i="1" s="1"/>
  <c r="C383" i="1" s="1"/>
  <c r="C384" i="1" s="1"/>
  <c r="C385" i="1" s="1"/>
  <c r="C386" i="1" s="1"/>
  <c r="C387" i="1" s="1"/>
  <c r="C388" i="1" s="1"/>
  <c r="C389" i="1" s="1"/>
  <c r="C390" i="1" s="1"/>
  <c r="C391" i="1" s="1"/>
  <c r="C392" i="1" s="1"/>
  <c r="C393" i="1" s="1"/>
  <c r="C394" i="1" s="1"/>
  <c r="C395" i="1" s="1"/>
  <c r="C396" i="1" s="1"/>
  <c r="C397" i="1" s="1"/>
  <c r="C398" i="1" s="1"/>
  <c r="C399" i="1" s="1"/>
  <c r="C400" i="1" s="1"/>
  <c r="C401" i="1" s="1"/>
  <c r="C402" i="1" s="1"/>
  <c r="C403" i="1" s="1"/>
  <c r="C404" i="1" s="1"/>
  <c r="C405" i="1" s="1"/>
  <c r="C406" i="1" s="1"/>
  <c r="C407" i="1" s="1"/>
  <c r="C408" i="1" s="1"/>
  <c r="C409" i="1" s="1"/>
  <c r="C410" i="1" s="1"/>
  <c r="C411" i="1" s="1"/>
  <c r="C412" i="1" s="1"/>
  <c r="C413" i="1" s="1"/>
  <c r="C414" i="1" s="1"/>
  <c r="C415" i="1" s="1"/>
  <c r="C416" i="1" s="1"/>
  <c r="C417" i="1" s="1"/>
  <c r="C418" i="1" s="1"/>
  <c r="C419" i="1" s="1"/>
  <c r="C420" i="1" s="1"/>
  <c r="C421" i="1" s="1"/>
  <c r="C422" i="1" s="1"/>
  <c r="C423" i="1" s="1"/>
  <c r="C424" i="1" s="1"/>
  <c r="C425" i="1" s="1"/>
  <c r="C426" i="1" s="1"/>
  <c r="C427" i="1" s="1"/>
  <c r="C428" i="1" s="1"/>
  <c r="C429" i="1" s="1"/>
  <c r="C430" i="1" s="1"/>
  <c r="C431" i="1" s="1"/>
  <c r="C432" i="1" s="1"/>
  <c r="C433" i="1" s="1"/>
  <c r="C434" i="1" s="1"/>
  <c r="C435" i="1" s="1"/>
  <c r="C436" i="1" s="1"/>
  <c r="C437" i="1" s="1"/>
  <c r="C438" i="1" s="1"/>
  <c r="C439" i="1" s="1"/>
  <c r="C440" i="1" s="1"/>
  <c r="C441" i="1" s="1"/>
  <c r="C442" i="1" s="1"/>
  <c r="C443" i="1" s="1"/>
  <c r="C444" i="1" s="1"/>
  <c r="C445" i="1" s="1"/>
  <c r="C446" i="1" s="1"/>
  <c r="C447" i="1" s="1"/>
  <c r="C448" i="1" s="1"/>
  <c r="C449" i="1" s="1"/>
  <c r="C450" i="1" s="1"/>
  <c r="C451" i="1" s="1"/>
  <c r="C452" i="1" s="1"/>
  <c r="C453" i="1" s="1"/>
  <c r="C454" i="1" s="1"/>
  <c r="C455" i="1" s="1"/>
  <c r="C456" i="1" s="1"/>
  <c r="C457" i="1" s="1"/>
  <c r="C458" i="1" s="1"/>
  <c r="C459" i="1" s="1"/>
  <c r="C460" i="1" s="1"/>
  <c r="C461" i="1" s="1"/>
  <c r="C462" i="1" s="1"/>
  <c r="C463" i="1" s="1"/>
  <c r="C464" i="1" s="1"/>
  <c r="C465" i="1" s="1"/>
  <c r="C466" i="1" s="1"/>
  <c r="C467" i="1" s="1"/>
  <c r="C468" i="1" s="1"/>
  <c r="C469" i="1" s="1"/>
  <c r="C470" i="1" s="1"/>
  <c r="C471" i="1" s="1"/>
  <c r="C472" i="1" s="1"/>
  <c r="C473" i="1" s="1"/>
  <c r="C474" i="1" s="1"/>
  <c r="C475" i="1" s="1"/>
  <c r="C476" i="1" s="1"/>
  <c r="C477" i="1" s="1"/>
  <c r="C478" i="1" s="1"/>
  <c r="C479" i="1" s="1"/>
  <c r="C480" i="1" s="1"/>
  <c r="C481" i="1" s="1"/>
  <c r="C482" i="1" s="1"/>
  <c r="C483" i="1" s="1"/>
  <c r="C484" i="1" s="1"/>
  <c r="C485" i="1" s="1"/>
  <c r="C486" i="1" s="1"/>
  <c r="C487" i="1" s="1"/>
  <c r="C488" i="1" s="1"/>
  <c r="C489" i="1" s="1"/>
  <c r="C490" i="1" s="1"/>
  <c r="C491" i="1" s="1"/>
  <c r="C492" i="1" s="1"/>
  <c r="C493" i="1" s="1"/>
  <c r="C494" i="1" s="1"/>
  <c r="C495" i="1" s="1"/>
  <c r="C496" i="1" s="1"/>
  <c r="C497" i="1" s="1"/>
  <c r="C498" i="1" s="1"/>
  <c r="C499" i="1" s="1"/>
  <c r="C500" i="1" s="1"/>
  <c r="C501" i="1" s="1"/>
  <c r="C502" i="1" s="1"/>
  <c r="C503" i="1" s="1"/>
  <c r="C504" i="1" s="1"/>
  <c r="C505" i="1" s="1"/>
  <c r="C506" i="1" s="1"/>
  <c r="C507" i="1" s="1"/>
  <c r="C508" i="1" s="1"/>
  <c r="C509" i="1" s="1"/>
  <c r="C510" i="1" s="1"/>
  <c r="C511" i="1" s="1"/>
  <c r="C512" i="1" s="1"/>
  <c r="C513" i="1" s="1"/>
  <c r="C514" i="1" s="1"/>
  <c r="C515" i="1" s="1"/>
  <c r="C516" i="1" s="1"/>
  <c r="C517" i="1" s="1"/>
  <c r="C518" i="1" s="1"/>
  <c r="C519" i="1" s="1"/>
  <c r="C520" i="1" s="1"/>
  <c r="C521" i="1" s="1"/>
  <c r="C522" i="1" s="1"/>
  <c r="C523" i="1" s="1"/>
  <c r="C524" i="1" s="1"/>
  <c r="C525" i="1" s="1"/>
  <c r="C526" i="1" s="1"/>
  <c r="C527" i="1" s="1"/>
  <c r="C528" i="1" s="1"/>
  <c r="C529" i="1" s="1"/>
  <c r="C530" i="1" s="1"/>
  <c r="C531" i="1" s="1"/>
  <c r="C532" i="1" s="1"/>
  <c r="C533" i="1" s="1"/>
  <c r="C534" i="1" s="1"/>
  <c r="C535" i="1" s="1"/>
  <c r="C536" i="1" s="1"/>
  <c r="C537" i="1" s="1"/>
  <c r="C538" i="1" s="1"/>
  <c r="C539" i="1" s="1"/>
  <c r="C540" i="1" s="1"/>
  <c r="C541" i="1" s="1"/>
  <c r="C542" i="1" s="1"/>
  <c r="C543" i="1" s="1"/>
  <c r="C544" i="1" s="1"/>
  <c r="C545" i="1" s="1"/>
  <c r="C546" i="1" s="1"/>
  <c r="C547" i="1" s="1"/>
  <c r="C548" i="1" s="1"/>
  <c r="C549" i="1" s="1"/>
  <c r="C550" i="1" s="1"/>
  <c r="C551" i="1" s="1"/>
  <c r="C552" i="1" s="1"/>
  <c r="C553" i="1" s="1"/>
  <c r="C554" i="1" s="1"/>
  <c r="C555" i="1" s="1"/>
  <c r="C556" i="1" s="1"/>
  <c r="C557" i="1" s="1"/>
  <c r="C558" i="1" s="1"/>
  <c r="C559" i="1" s="1"/>
  <c r="C560" i="1" s="1"/>
  <c r="C561" i="1" s="1"/>
  <c r="C562" i="1" s="1"/>
  <c r="C563" i="1" s="1"/>
  <c r="C564" i="1" s="1"/>
  <c r="C565" i="1" s="1"/>
  <c r="C566" i="1" s="1"/>
  <c r="C567" i="1" s="1"/>
  <c r="C568" i="1" s="1"/>
  <c r="C569" i="1" s="1"/>
  <c r="C570" i="1" s="1"/>
  <c r="C571" i="1" s="1"/>
  <c r="C572" i="1" s="1"/>
  <c r="C573" i="1" s="1"/>
  <c r="C574" i="1" s="1"/>
  <c r="C575" i="1" s="1"/>
  <c r="C576" i="1" s="1"/>
  <c r="C577" i="1" s="1"/>
  <c r="C578" i="1" s="1"/>
  <c r="C579" i="1" s="1"/>
  <c r="C580" i="1" s="1"/>
  <c r="C581" i="1" s="1"/>
  <c r="C582" i="1" s="1"/>
  <c r="C583" i="1" s="1"/>
  <c r="C584" i="1" s="1"/>
  <c r="C585" i="1" s="1"/>
  <c r="C586" i="1" s="1"/>
  <c r="C587" i="1" s="1"/>
  <c r="C588" i="1" s="1"/>
  <c r="C589" i="1" s="1"/>
  <c r="C590" i="1" s="1"/>
  <c r="C591" i="1" s="1"/>
  <c r="C592" i="1" s="1"/>
  <c r="C593" i="1" s="1"/>
  <c r="C594" i="1" s="1"/>
  <c r="C595" i="1" s="1"/>
  <c r="C596" i="1" s="1"/>
  <c r="C597" i="1" s="1"/>
  <c r="C598" i="1" s="1"/>
  <c r="C599" i="1" s="1"/>
  <c r="C600" i="1" s="1"/>
  <c r="C601" i="1" s="1"/>
  <c r="C602" i="1" s="1"/>
  <c r="C603" i="1" s="1"/>
  <c r="C604" i="1" s="1"/>
  <c r="C605" i="1" s="1"/>
  <c r="C606" i="1" s="1"/>
  <c r="C607" i="1" s="1"/>
  <c r="C608" i="1" s="1"/>
  <c r="C609" i="1" s="1"/>
  <c r="C610" i="1" s="1"/>
  <c r="C611" i="1" s="1"/>
  <c r="C612" i="1" s="1"/>
  <c r="C613" i="1" s="1"/>
  <c r="C614" i="1" s="1"/>
  <c r="C615" i="1" s="1"/>
  <c r="C616" i="1" s="1"/>
  <c r="C617" i="1" s="1"/>
  <c r="C618" i="1" s="1"/>
  <c r="C619" i="1" s="1"/>
  <c r="C620" i="1" s="1"/>
  <c r="C621" i="1" s="1"/>
  <c r="C622" i="1" s="1"/>
  <c r="C623" i="1" s="1"/>
  <c r="C624" i="1" s="1"/>
  <c r="C625" i="1" s="1"/>
  <c r="C626" i="1" s="1"/>
  <c r="C627" i="1" s="1"/>
  <c r="C628" i="1" s="1"/>
  <c r="C629" i="1" s="1"/>
  <c r="C630" i="1" s="1"/>
  <c r="C631" i="1" s="1"/>
  <c r="C632" i="1" s="1"/>
  <c r="C633" i="1" s="1"/>
  <c r="C634" i="1" s="1"/>
  <c r="C635" i="1" s="1"/>
  <c r="C636" i="1" s="1"/>
  <c r="C637" i="1" s="1"/>
  <c r="C638" i="1" s="1"/>
  <c r="C639" i="1" s="1"/>
  <c r="C640" i="1" s="1"/>
  <c r="C641" i="1" s="1"/>
  <c r="C642" i="1" s="1"/>
  <c r="C643" i="1" s="1"/>
  <c r="C644" i="1" s="1"/>
  <c r="C645" i="1" s="1"/>
  <c r="C646" i="1" s="1"/>
  <c r="C647" i="1" s="1"/>
  <c r="C648" i="1" s="1"/>
  <c r="C649" i="1" s="1"/>
  <c r="C650" i="1" s="1"/>
  <c r="C651" i="1" s="1"/>
  <c r="C652" i="1" s="1"/>
  <c r="C653" i="1" s="1"/>
  <c r="C654" i="1" s="1"/>
  <c r="C655" i="1" s="1"/>
  <c r="C656" i="1" s="1"/>
  <c r="C657" i="1" s="1"/>
  <c r="C658" i="1" s="1"/>
  <c r="C659" i="1" s="1"/>
  <c r="C660" i="1" s="1"/>
  <c r="C661" i="1" s="1"/>
  <c r="C662" i="1" s="1"/>
  <c r="C663" i="1" s="1"/>
  <c r="C664" i="1" s="1"/>
  <c r="C665" i="1" s="1"/>
  <c r="C666" i="1" s="1"/>
  <c r="C667" i="1" s="1"/>
  <c r="C668" i="1" s="1"/>
  <c r="C669" i="1" s="1"/>
  <c r="C670" i="1" s="1"/>
  <c r="C671" i="1" s="1"/>
  <c r="C672" i="1" s="1"/>
  <c r="C673" i="1" s="1"/>
  <c r="C674" i="1" s="1"/>
  <c r="C675" i="1" s="1"/>
  <c r="C676" i="1" s="1"/>
  <c r="C677" i="1" s="1"/>
  <c r="C678" i="1" s="1"/>
  <c r="C679" i="1" s="1"/>
  <c r="C680" i="1" s="1"/>
  <c r="C681" i="1" s="1"/>
  <c r="C682" i="1" s="1"/>
  <c r="C683" i="1" s="1"/>
  <c r="C684" i="1" s="1"/>
  <c r="C685" i="1" s="1"/>
  <c r="C686" i="1" s="1"/>
  <c r="C687" i="1" s="1"/>
  <c r="C688" i="1" s="1"/>
  <c r="C689" i="1" s="1"/>
  <c r="C690" i="1" s="1"/>
  <c r="C691" i="1" s="1"/>
  <c r="C692" i="1" s="1"/>
  <c r="C693" i="1" s="1"/>
  <c r="C694" i="1" s="1"/>
  <c r="C695" i="1" s="1"/>
  <c r="C696" i="1" s="1"/>
  <c r="C697" i="1" s="1"/>
  <c r="C698" i="1" s="1"/>
  <c r="C699" i="1" s="1"/>
  <c r="C700" i="1" s="1"/>
  <c r="C701" i="1" s="1"/>
  <c r="C702" i="1" s="1"/>
  <c r="C703" i="1" s="1"/>
  <c r="C704" i="1" s="1"/>
  <c r="C705" i="1" s="1"/>
  <c r="C706" i="1" s="1"/>
  <c r="C707" i="1" s="1"/>
  <c r="C708" i="1" s="1"/>
  <c r="C709" i="1" s="1"/>
  <c r="C710" i="1" s="1"/>
  <c r="C711" i="1" s="1"/>
  <c r="C712" i="1" s="1"/>
  <c r="C713" i="1" s="1"/>
  <c r="C714" i="1" s="1"/>
  <c r="C715" i="1" s="1"/>
  <c r="C716" i="1" s="1"/>
  <c r="C717" i="1" s="1"/>
  <c r="C718" i="1" s="1"/>
  <c r="C719" i="1" s="1"/>
  <c r="C720" i="1" s="1"/>
  <c r="C721" i="1" s="1"/>
  <c r="C722" i="1" s="1"/>
  <c r="C723" i="1" s="1"/>
  <c r="C724" i="1" s="1"/>
  <c r="C725" i="1" s="1"/>
  <c r="C726" i="1" s="1"/>
  <c r="C727" i="1" s="1"/>
  <c r="C728" i="1" s="1"/>
  <c r="C729" i="1" s="1"/>
  <c r="C730" i="1" s="1"/>
  <c r="C731" i="1" s="1"/>
  <c r="C732" i="1" s="1"/>
  <c r="C733" i="1" s="1"/>
  <c r="C734" i="1" s="1"/>
  <c r="C735" i="1" s="1"/>
  <c r="C736" i="1" s="1"/>
  <c r="C737" i="1" s="1"/>
  <c r="C738" i="1" s="1"/>
  <c r="C739" i="1" s="1"/>
  <c r="C740" i="1" s="1"/>
  <c r="C741" i="1" s="1"/>
  <c r="C742" i="1" s="1"/>
  <c r="C743" i="1" s="1"/>
  <c r="C744" i="1" s="1"/>
  <c r="C745" i="1" s="1"/>
  <c r="C746" i="1" s="1"/>
  <c r="C747" i="1" s="1"/>
  <c r="C748" i="1" s="1"/>
  <c r="C749" i="1" s="1"/>
  <c r="C750" i="1" s="1"/>
  <c r="C751" i="1" s="1"/>
  <c r="C752" i="1" s="1"/>
  <c r="C753" i="1" s="1"/>
  <c r="C754" i="1" s="1"/>
  <c r="C755" i="1" s="1"/>
  <c r="C756" i="1" s="1"/>
  <c r="C757" i="1" s="1"/>
  <c r="C758" i="1" s="1"/>
  <c r="C759" i="1" s="1"/>
  <c r="C760" i="1" s="1"/>
  <c r="C761" i="1" s="1"/>
  <c r="C762" i="1" s="1"/>
  <c r="C763" i="1" s="1"/>
  <c r="C764" i="1" s="1"/>
  <c r="C765" i="1" s="1"/>
  <c r="C766" i="1" s="1"/>
  <c r="C767" i="1" s="1"/>
  <c r="C768" i="1" s="1"/>
  <c r="C769" i="1" s="1"/>
  <c r="C770" i="1" s="1"/>
  <c r="C771" i="1" s="1"/>
  <c r="C772" i="1" s="1"/>
  <c r="C773" i="1" s="1"/>
  <c r="C774" i="1" s="1"/>
  <c r="C775" i="1" s="1"/>
  <c r="C776" i="1" s="1"/>
  <c r="C777" i="1" s="1"/>
  <c r="C778" i="1" s="1"/>
  <c r="C779" i="1" s="1"/>
  <c r="C780" i="1" s="1"/>
  <c r="C781" i="1" s="1"/>
  <c r="C782" i="1" s="1"/>
  <c r="C783" i="1" s="1"/>
  <c r="C784" i="1" s="1"/>
  <c r="C785" i="1" s="1"/>
  <c r="C786" i="1" s="1"/>
  <c r="C787" i="1" s="1"/>
  <c r="C788" i="1" s="1"/>
  <c r="C789" i="1" s="1"/>
  <c r="C790" i="1" s="1"/>
  <c r="C791" i="1" s="1"/>
  <c r="C792" i="1" s="1"/>
  <c r="C793" i="1" s="1"/>
  <c r="C794" i="1" s="1"/>
  <c r="C795" i="1" s="1"/>
  <c r="C796" i="1" s="1"/>
  <c r="C797" i="1" s="1"/>
  <c r="C798" i="1" s="1"/>
  <c r="C799" i="1" s="1"/>
  <c r="C800" i="1" s="1"/>
  <c r="C801" i="1" s="1"/>
  <c r="C802" i="1" s="1"/>
  <c r="C803" i="1" s="1"/>
  <c r="C804" i="1" s="1"/>
  <c r="C805" i="1" s="1"/>
  <c r="C806" i="1" s="1"/>
  <c r="C807" i="1" s="1"/>
  <c r="C808" i="1" s="1"/>
  <c r="C809" i="1" s="1"/>
  <c r="C810" i="1" s="1"/>
  <c r="C811" i="1" s="1"/>
  <c r="C812" i="1" s="1"/>
  <c r="C813" i="1" s="1"/>
  <c r="C814" i="1" s="1"/>
  <c r="C815" i="1" s="1"/>
  <c r="C816" i="1" s="1"/>
  <c r="C817" i="1" s="1"/>
  <c r="C818" i="1" s="1"/>
  <c r="C5" i="12"/>
  <c r="C6" i="12" s="1"/>
  <c r="C7" i="12" s="1"/>
  <c r="C8" i="12" s="1"/>
  <c r="C9" i="12" s="1"/>
  <c r="C10" i="12" s="1"/>
  <c r="C11" i="12" s="1"/>
  <c r="C12" i="12" s="1"/>
  <c r="C13" i="12" s="1"/>
  <c r="C14" i="12" s="1"/>
  <c r="C15" i="12" s="1"/>
  <c r="C16" i="12" s="1"/>
  <c r="C17" i="12" s="1"/>
  <c r="C18" i="12" s="1"/>
  <c r="C19" i="12" s="1"/>
  <c r="C20" i="12" s="1"/>
  <c r="C21" i="12" s="1"/>
  <c r="C22" i="12" s="1"/>
  <c r="C23" i="12" s="1"/>
  <c r="C24" i="12" s="1"/>
  <c r="C25" i="12" s="1"/>
  <c r="C26" i="12" s="1"/>
  <c r="C27" i="12" s="1"/>
  <c r="C28" i="12" s="1"/>
  <c r="C29" i="12" s="1"/>
  <c r="C30" i="12" s="1"/>
  <c r="C31" i="12" s="1"/>
  <c r="C32" i="12" s="1"/>
  <c r="C33" i="12" s="1"/>
  <c r="C34" i="12" s="1"/>
  <c r="C35" i="12" s="1"/>
  <c r="C36" i="12" s="1"/>
  <c r="C37" i="12" s="1"/>
  <c r="C38" i="12" s="1"/>
  <c r="C39" i="12" s="1"/>
  <c r="C40" i="12" s="1"/>
  <c r="C41" i="12" s="1"/>
  <c r="C42" i="12" s="1"/>
  <c r="C43" i="12" s="1"/>
  <c r="C44" i="12" s="1"/>
  <c r="C45" i="12" s="1"/>
  <c r="C46" i="12" s="1"/>
  <c r="C4" i="10"/>
  <c r="C5" i="10" s="1"/>
  <c r="C6" i="10" s="1"/>
  <c r="C7" i="10" s="1"/>
  <c r="C8" i="10" s="1"/>
  <c r="C9" i="10" s="1"/>
  <c r="C10" i="10" s="1"/>
  <c r="C11" i="10" s="1"/>
  <c r="C12" i="10" s="1"/>
  <c r="C13" i="10" s="1"/>
  <c r="C14" i="10" s="1"/>
  <c r="C15" i="10" s="1"/>
  <c r="C16" i="10" s="1"/>
  <c r="C17" i="10" s="1"/>
  <c r="C18" i="10" s="1"/>
  <c r="C19" i="10" s="1"/>
  <c r="C20" i="10" s="1"/>
  <c r="C21" i="10" s="1"/>
  <c r="C22" i="10" s="1"/>
  <c r="C23" i="10" s="1"/>
  <c r="C24" i="10" s="1"/>
  <c r="C25" i="10" s="1"/>
  <c r="C26" i="10" s="1"/>
  <c r="C27" i="10" s="1"/>
  <c r="C28" i="10" s="1"/>
  <c r="C29" i="10" s="1"/>
  <c r="C30" i="10" s="1"/>
  <c r="C31" i="10" s="1"/>
  <c r="C32" i="10" s="1"/>
  <c r="C33" i="10" s="1"/>
  <c r="C34" i="10" s="1"/>
  <c r="C35" i="10" s="1"/>
  <c r="C36" i="10" s="1"/>
  <c r="C37" i="10" s="1"/>
  <c r="C38" i="10" s="1"/>
  <c r="C39" i="10" s="1"/>
  <c r="C40" i="10" s="1"/>
  <c r="C41" i="10" s="1"/>
  <c r="C42" i="10" s="1"/>
  <c r="C43" i="10" s="1"/>
  <c r="C44" i="10" s="1"/>
  <c r="C45" i="10" s="1"/>
  <c r="C46" i="10" s="1"/>
  <c r="C47" i="10" s="1"/>
  <c r="C48" i="10" s="1"/>
  <c r="C49" i="10" s="1"/>
  <c r="C50" i="10" s="1"/>
  <c r="C51" i="10" s="1"/>
  <c r="C52" i="10" s="1"/>
  <c r="C53" i="10" s="1"/>
  <c r="C54" i="10" s="1"/>
  <c r="C55" i="10" s="1"/>
  <c r="C56" i="10" s="1"/>
  <c r="C57" i="10" s="1"/>
  <c r="C58" i="10" s="1"/>
  <c r="C59" i="10" s="1"/>
  <c r="C60" i="10" s="1"/>
  <c r="C61" i="10" s="1"/>
  <c r="C62" i="10" s="1"/>
  <c r="C63" i="10" s="1"/>
  <c r="C64" i="10" s="1"/>
  <c r="C65" i="10" s="1"/>
  <c r="C66" i="10" s="1"/>
  <c r="C67" i="10" s="1"/>
  <c r="C68" i="10" s="1"/>
  <c r="C69" i="10" s="1"/>
  <c r="C70" i="10" s="1"/>
  <c r="C71" i="10" s="1"/>
  <c r="C72" i="10" s="1"/>
  <c r="C73" i="10" s="1"/>
  <c r="C74" i="10" s="1"/>
  <c r="C75" i="10" s="1"/>
  <c r="C76" i="10" s="1"/>
  <c r="C77" i="10" s="1"/>
  <c r="C78" i="10" s="1"/>
  <c r="C79" i="10" s="1"/>
  <c r="C80" i="10" s="1"/>
  <c r="C81" i="10" s="1"/>
  <c r="C82" i="10" s="1"/>
  <c r="C83" i="10" s="1"/>
  <c r="C84" i="10" s="1"/>
  <c r="C85" i="10" s="1"/>
  <c r="C86" i="10" s="1"/>
  <c r="C87" i="10" s="1"/>
  <c r="C88" i="10" s="1"/>
  <c r="C89" i="10" s="1"/>
  <c r="C90" i="10" s="1"/>
  <c r="C91" i="10" s="1"/>
  <c r="C92" i="10" s="1"/>
  <c r="C93" i="10" s="1"/>
  <c r="C94" i="10" s="1"/>
  <c r="C95" i="10" s="1"/>
  <c r="C96" i="10" s="1"/>
  <c r="C97" i="10" s="1"/>
  <c r="C98" i="10" s="1"/>
  <c r="C99" i="10" s="1"/>
  <c r="C100" i="10" s="1"/>
  <c r="C101" i="10" s="1"/>
  <c r="C102" i="10" s="1"/>
  <c r="C103" i="10" s="1"/>
  <c r="C104" i="10" s="1"/>
  <c r="C105" i="10" s="1"/>
  <c r="C106" i="10" s="1"/>
  <c r="C107" i="10" s="1"/>
  <c r="C108" i="10" s="1"/>
  <c r="C109" i="10" s="1"/>
  <c r="C110" i="10" s="1"/>
  <c r="C111" i="10" s="1"/>
  <c r="C112" i="10" s="1"/>
  <c r="C113" i="10" s="1"/>
  <c r="C114" i="10" s="1"/>
  <c r="C115" i="10" s="1"/>
  <c r="C116" i="10" s="1"/>
  <c r="C117" i="10" s="1"/>
  <c r="C118" i="10" s="1"/>
  <c r="C119" i="10" s="1"/>
  <c r="C120" i="10" s="1"/>
  <c r="C121" i="10" s="1"/>
  <c r="C122" i="10" s="1"/>
  <c r="C123" i="10" s="1"/>
  <c r="C124" i="10" s="1"/>
  <c r="C125" i="10" s="1"/>
  <c r="C126" i="10" s="1"/>
  <c r="C127" i="10" s="1"/>
  <c r="C128" i="10" s="1"/>
  <c r="C129" i="10" s="1"/>
  <c r="C130" i="10" s="1"/>
  <c r="C131" i="10" s="1"/>
  <c r="C132" i="10" s="1"/>
  <c r="C133" i="10" s="1"/>
  <c r="C134" i="10" s="1"/>
  <c r="C135" i="10" s="1"/>
  <c r="C136" i="10" s="1"/>
  <c r="C137" i="10" s="1"/>
  <c r="C138" i="10" s="1"/>
  <c r="C139" i="10" s="1"/>
  <c r="C140" i="10" s="1"/>
  <c r="C141" i="10" s="1"/>
  <c r="C142" i="10" s="1"/>
  <c r="C143" i="10" s="1"/>
  <c r="C144" i="10" s="1"/>
  <c r="C145" i="10" s="1"/>
  <c r="C146" i="10" s="1"/>
  <c r="C147" i="10" s="1"/>
  <c r="C148" i="10" s="1"/>
  <c r="C149" i="10" s="1"/>
  <c r="C150" i="10" s="1"/>
  <c r="C151" i="10" s="1"/>
  <c r="C152" i="10" s="1"/>
  <c r="C153" i="10" s="1"/>
  <c r="C154" i="10" s="1"/>
  <c r="C155" i="10" s="1"/>
  <c r="C156" i="10" s="1"/>
  <c r="C157" i="10" s="1"/>
  <c r="C158" i="10" s="1"/>
  <c r="C159" i="10" s="1"/>
  <c r="C160" i="10" s="1"/>
  <c r="C161" i="10" s="1"/>
  <c r="C162" i="10" s="1"/>
  <c r="C163" i="10" s="1"/>
  <c r="C164" i="10" s="1"/>
  <c r="C165" i="10" s="1"/>
  <c r="C166" i="10" s="1"/>
  <c r="C167" i="10" s="1"/>
  <c r="C4" i="23"/>
  <c r="C5" i="23" s="1"/>
  <c r="C6" i="23" s="1"/>
  <c r="C7" i="23" s="1"/>
  <c r="C8" i="23" s="1"/>
  <c r="C9" i="23" s="1"/>
  <c r="C10" i="23" s="1"/>
  <c r="C11" i="23" s="1"/>
  <c r="C12" i="23" s="1"/>
  <c r="C13" i="23" s="1"/>
  <c r="C14" i="23" s="1"/>
  <c r="C15" i="23" s="1"/>
  <c r="C16" i="23" s="1"/>
  <c r="C17" i="23" s="1"/>
  <c r="C18" i="23" s="1"/>
  <c r="C19" i="23" s="1"/>
  <c r="C20" i="23" s="1"/>
  <c r="C21" i="23" s="1"/>
  <c r="C22" i="23" s="1"/>
  <c r="C23" i="23" s="1"/>
  <c r="C24" i="23" s="1"/>
  <c r="C25" i="23" s="1"/>
  <c r="C26" i="23" s="1"/>
  <c r="C27" i="23" s="1"/>
  <c r="C28" i="23" s="1"/>
  <c r="C29" i="23" s="1"/>
  <c r="C30" i="23" s="1"/>
  <c r="C31" i="23" s="1"/>
  <c r="C32" i="23" s="1"/>
  <c r="C33" i="23" s="1"/>
  <c r="C34" i="23" s="1"/>
  <c r="C35" i="23" s="1"/>
  <c r="C36" i="23" s="1"/>
  <c r="C37" i="23" s="1"/>
  <c r="C38" i="23" s="1"/>
  <c r="C39" i="23" s="1"/>
  <c r="C40" i="23" s="1"/>
  <c r="C41" i="23" s="1"/>
  <c r="C42" i="23" s="1"/>
  <c r="C43" i="23" s="1"/>
  <c r="C44" i="23" s="1"/>
  <c r="C45" i="23" s="1"/>
  <c r="C46" i="23" s="1"/>
  <c r="C47" i="23" s="1"/>
  <c r="C48" i="23" s="1"/>
  <c r="C49" i="23" s="1"/>
  <c r="C50" i="23" s="1"/>
  <c r="C51" i="23" s="1"/>
  <c r="C52" i="23" s="1"/>
  <c r="C53" i="23" s="1"/>
  <c r="C54" i="23" s="1"/>
  <c r="C55" i="23" s="1"/>
  <c r="C56" i="23" s="1"/>
  <c r="C57" i="23" s="1"/>
  <c r="C58" i="23" s="1"/>
  <c r="C59" i="23" s="1"/>
  <c r="C60" i="23" s="1"/>
  <c r="C61" i="23" s="1"/>
  <c r="C62" i="23" s="1"/>
  <c r="C63" i="23" s="1"/>
  <c r="C64" i="23" s="1"/>
  <c r="C65" i="23" s="1"/>
  <c r="C66" i="23" s="1"/>
  <c r="C67" i="23" s="1"/>
  <c r="C68" i="23" s="1"/>
  <c r="C69" i="23" s="1"/>
  <c r="C70" i="23" s="1"/>
  <c r="C71" i="23" s="1"/>
  <c r="C72" i="23" s="1"/>
  <c r="C73" i="23" s="1"/>
  <c r="C74" i="23" s="1"/>
  <c r="C75" i="23" s="1"/>
  <c r="C76" i="23" s="1"/>
  <c r="C77" i="23" s="1"/>
  <c r="C78" i="23" s="1"/>
  <c r="C79" i="23" s="1"/>
  <c r="C80" i="23" s="1"/>
  <c r="C81" i="23" s="1"/>
  <c r="C82" i="23" s="1"/>
  <c r="C83" i="23" s="1"/>
  <c r="C84" i="23" s="1"/>
  <c r="C85" i="23" s="1"/>
  <c r="C86" i="23" s="1"/>
  <c r="C87" i="23" s="1"/>
  <c r="C88" i="23" s="1"/>
  <c r="C89" i="23" s="1"/>
  <c r="C90" i="23" s="1"/>
  <c r="C91" i="23" s="1"/>
  <c r="C92" i="23" s="1"/>
  <c r="C93" i="23" s="1"/>
  <c r="C94" i="23" s="1"/>
  <c r="C95" i="23" s="1"/>
  <c r="C96" i="23" s="1"/>
  <c r="C97" i="23" s="1"/>
  <c r="C98" i="23" s="1"/>
  <c r="C99" i="23" s="1"/>
  <c r="C100" i="23" s="1"/>
  <c r="C101" i="23" s="1"/>
  <c r="C102" i="23" s="1"/>
  <c r="C103" i="23" s="1"/>
  <c r="C104" i="23" s="1"/>
  <c r="C105" i="23" s="1"/>
  <c r="C106" i="23" s="1"/>
  <c r="C107" i="23" s="1"/>
  <c r="C108" i="23" s="1"/>
  <c r="C109" i="23" s="1"/>
  <c r="C110" i="23" s="1"/>
  <c r="C111" i="23" s="1"/>
  <c r="C112" i="23" s="1"/>
  <c r="C113" i="23" s="1"/>
  <c r="C114" i="23" s="1"/>
  <c r="C115" i="23" s="1"/>
  <c r="C116" i="23" s="1"/>
  <c r="C117" i="23" s="1"/>
  <c r="C118" i="23" s="1"/>
  <c r="C119" i="23" s="1"/>
  <c r="C120" i="23" s="1"/>
  <c r="C121" i="23" s="1"/>
  <c r="C122" i="23" s="1"/>
  <c r="C123" i="23" s="1"/>
  <c r="C124" i="23" s="1"/>
  <c r="C125" i="23" s="1"/>
  <c r="C126" i="23" s="1"/>
  <c r="C127" i="23" s="1"/>
  <c r="C128" i="23" s="1"/>
  <c r="C129" i="23" s="1"/>
  <c r="C130" i="23" s="1"/>
  <c r="C131" i="23" s="1"/>
  <c r="C132" i="23" s="1"/>
  <c r="C133" i="23" s="1"/>
  <c r="C134" i="23" s="1"/>
  <c r="C135" i="23" s="1"/>
  <c r="C136" i="23" s="1"/>
  <c r="C137" i="23" s="1"/>
  <c r="C138" i="23" s="1"/>
  <c r="C139" i="23" s="1"/>
  <c r="C140" i="23" s="1"/>
  <c r="C141" i="23" s="1"/>
  <c r="C142" i="23" s="1"/>
  <c r="C143" i="23" s="1"/>
  <c r="C144" i="23" s="1"/>
  <c r="C145" i="23" s="1"/>
  <c r="C146" i="23" s="1"/>
  <c r="C147" i="23" s="1"/>
  <c r="C148" i="23" s="1"/>
  <c r="C149" i="23" s="1"/>
  <c r="C150" i="23" s="1"/>
  <c r="C151" i="23" s="1"/>
  <c r="C152" i="23" s="1"/>
  <c r="C153" i="23" s="1"/>
  <c r="C154" i="23" s="1"/>
  <c r="C155" i="23" s="1"/>
  <c r="C156" i="23" s="1"/>
  <c r="C157" i="23" s="1"/>
  <c r="C158" i="23" s="1"/>
  <c r="C159" i="23" s="1"/>
  <c r="C160" i="23" s="1"/>
  <c r="C161" i="23" s="1"/>
  <c r="C162" i="23" s="1"/>
  <c r="C163" i="23" s="1"/>
  <c r="C164" i="23" s="1"/>
  <c r="C165" i="23" s="1"/>
  <c r="C166" i="23" s="1"/>
  <c r="C167" i="23" s="1"/>
  <c r="C168" i="23" s="1"/>
  <c r="C169" i="23" s="1"/>
  <c r="C170" i="23" s="1"/>
  <c r="C171" i="23" s="1"/>
  <c r="C172" i="23" s="1"/>
  <c r="C173" i="23" s="1"/>
  <c r="C174" i="23" s="1"/>
  <c r="C175" i="23" s="1"/>
  <c r="C176" i="23" s="1"/>
  <c r="C177" i="23" s="1"/>
  <c r="C178" i="23" s="1"/>
  <c r="C179" i="23" s="1"/>
  <c r="C180" i="23" s="1"/>
  <c r="C181" i="23" s="1"/>
  <c r="C182" i="23" s="1"/>
  <c r="C183" i="23" s="1"/>
  <c r="C184" i="23" s="1"/>
  <c r="C185" i="23" s="1"/>
  <c r="C186" i="23" s="1"/>
  <c r="C187" i="23" s="1"/>
  <c r="C188" i="23" s="1"/>
  <c r="C189" i="23" s="1"/>
  <c r="C190" i="23" s="1"/>
  <c r="C4" i="34"/>
  <c r="C5" i="34" s="1"/>
  <c r="C6" i="34" s="1"/>
  <c r="C7" i="34" s="1"/>
  <c r="C8" i="34" s="1"/>
  <c r="C9" i="34" s="1"/>
  <c r="C10" i="34" s="1"/>
  <c r="C11" i="34" s="1"/>
  <c r="C12" i="34" s="1"/>
  <c r="C13" i="34" s="1"/>
  <c r="C14" i="34" s="1"/>
  <c r="C15" i="34" s="1"/>
  <c r="C16" i="34" s="1"/>
  <c r="C17" i="34" s="1"/>
  <c r="C18" i="34" s="1"/>
  <c r="C19" i="34" s="1"/>
  <c r="C20" i="34" s="1"/>
  <c r="C21" i="34" s="1"/>
  <c r="C22" i="34" s="1"/>
  <c r="C23" i="34" s="1"/>
  <c r="C24" i="34" s="1"/>
  <c r="C25" i="34" s="1"/>
  <c r="C26" i="34" s="1"/>
  <c r="C27" i="34" s="1"/>
  <c r="C28" i="34" s="1"/>
  <c r="C29" i="34" s="1"/>
  <c r="C30" i="34" s="1"/>
  <c r="C31" i="34" s="1"/>
  <c r="C32" i="34" s="1"/>
  <c r="C33" i="34" s="1"/>
  <c r="C34" i="34" s="1"/>
  <c r="C35" i="34" s="1"/>
  <c r="C36" i="34" s="1"/>
  <c r="C37" i="34" s="1"/>
  <c r="C38" i="34" s="1"/>
  <c r="C39" i="34" s="1"/>
  <c r="C40" i="34" s="1"/>
  <c r="C41" i="34" s="1"/>
  <c r="C42" i="34" s="1"/>
  <c r="C43" i="34" s="1"/>
  <c r="C44" i="34" s="1"/>
  <c r="C45" i="34" s="1"/>
  <c r="C46" i="34" s="1"/>
  <c r="C47" i="34" s="1"/>
  <c r="C48" i="34" s="1"/>
  <c r="C49" i="34" s="1"/>
  <c r="C50" i="34" s="1"/>
  <c r="C51" i="34" s="1"/>
  <c r="C52" i="34" s="1"/>
  <c r="C53" i="34" s="1"/>
  <c r="C54" i="34" s="1"/>
  <c r="C55" i="34" s="1"/>
  <c r="C56" i="34" s="1"/>
  <c r="C57" i="34" s="1"/>
  <c r="C58" i="34" s="1"/>
  <c r="C59" i="34" s="1"/>
  <c r="C60" i="34" s="1"/>
  <c r="C61" i="34" s="1"/>
  <c r="C62" i="34" s="1"/>
  <c r="C63" i="34" s="1"/>
  <c r="C64" i="34" s="1"/>
  <c r="C65" i="34" s="1"/>
  <c r="C66" i="34" s="1"/>
  <c r="C67" i="34" s="1"/>
  <c r="C68" i="34" s="1"/>
  <c r="C69" i="34" s="1"/>
  <c r="C70" i="34" s="1"/>
  <c r="C71" i="34" s="1"/>
  <c r="C72" i="34" s="1"/>
  <c r="C73" i="34" s="1"/>
  <c r="C74" i="34" s="1"/>
  <c r="C75" i="34" s="1"/>
  <c r="C76" i="34" s="1"/>
  <c r="C77" i="34" s="1"/>
  <c r="C78" i="34" s="1"/>
  <c r="C79" i="34" s="1"/>
  <c r="C80" i="34" s="1"/>
  <c r="C81" i="34" s="1"/>
  <c r="C82" i="34" s="1"/>
  <c r="C83" i="34" s="1"/>
  <c r="C84" i="34" s="1"/>
  <c r="C85" i="34" s="1"/>
  <c r="C86" i="34" s="1"/>
  <c r="C87" i="34" s="1"/>
  <c r="C88" i="34" s="1"/>
  <c r="C89" i="34" s="1"/>
  <c r="C90" i="34" s="1"/>
  <c r="C91" i="34" s="1"/>
  <c r="C92" i="34" s="1"/>
  <c r="C93" i="34" s="1"/>
  <c r="C94" i="34" s="1"/>
  <c r="C95" i="34" s="1"/>
  <c r="C96" i="34" s="1"/>
  <c r="C97" i="34" s="1"/>
  <c r="C98" i="34" s="1"/>
  <c r="C99" i="34" s="1"/>
  <c r="C100" i="34" s="1"/>
  <c r="C101" i="34" s="1"/>
  <c r="C102" i="34" s="1"/>
  <c r="C103" i="34" s="1"/>
  <c r="C104" i="34" s="1"/>
  <c r="C105" i="34" s="1"/>
  <c r="C106" i="34" s="1"/>
  <c r="C107" i="34" s="1"/>
  <c r="C108" i="34" s="1"/>
  <c r="C109" i="34" s="1"/>
  <c r="C110" i="34" s="1"/>
  <c r="C111" i="34" s="1"/>
  <c r="C112" i="34" s="1"/>
  <c r="C113" i="34" s="1"/>
  <c r="C114" i="34" s="1"/>
  <c r="C115" i="34" s="1"/>
  <c r="C116" i="34" s="1"/>
  <c r="C117" i="34" s="1"/>
  <c r="C118" i="34" s="1"/>
  <c r="C119" i="34" s="1"/>
  <c r="C120" i="34" s="1"/>
  <c r="C121" i="34" s="1"/>
  <c r="C122" i="34" s="1"/>
  <c r="C123" i="34" s="1"/>
  <c r="C124" i="34" s="1"/>
  <c r="C125" i="34" s="1"/>
  <c r="C126" i="34" s="1"/>
  <c r="C127" i="34" s="1"/>
  <c r="C128" i="34" s="1"/>
  <c r="C129" i="34" s="1"/>
  <c r="C130" i="34" s="1"/>
  <c r="C131" i="34" s="1"/>
  <c r="C132" i="34" s="1"/>
  <c r="C133" i="34" s="1"/>
  <c r="C134" i="34" s="1"/>
  <c r="C135" i="34" s="1"/>
  <c r="C136" i="34" s="1"/>
  <c r="C137" i="34" s="1"/>
  <c r="C138" i="34" s="1"/>
  <c r="C139" i="34" s="1"/>
  <c r="C140" i="34" s="1"/>
  <c r="C141" i="34" s="1"/>
  <c r="C142" i="34" s="1"/>
  <c r="C143" i="34" s="1"/>
  <c r="C144" i="34" s="1"/>
  <c r="C145" i="34" s="1"/>
  <c r="C146" i="34" s="1"/>
  <c r="C147" i="34" s="1"/>
  <c r="C148" i="34" s="1"/>
  <c r="C149" i="34" s="1"/>
  <c r="C150" i="34" s="1"/>
  <c r="C151" i="34" s="1"/>
  <c r="C152" i="34" s="1"/>
  <c r="C153" i="34" s="1"/>
  <c r="C154" i="34" s="1"/>
  <c r="C155" i="34" s="1"/>
  <c r="C156" i="34" s="1"/>
  <c r="C157" i="34" s="1"/>
  <c r="C158" i="34" s="1"/>
  <c r="C159" i="34" s="1"/>
  <c r="C160" i="34" s="1"/>
  <c r="C161" i="34" s="1"/>
  <c r="C162" i="34" s="1"/>
  <c r="C163" i="34" s="1"/>
  <c r="C164" i="34" s="1"/>
  <c r="C165" i="34" s="1"/>
  <c r="C166" i="34" s="1"/>
  <c r="C167" i="34" s="1"/>
  <c r="C168" i="34" s="1"/>
  <c r="C169" i="34" s="1"/>
  <c r="C170" i="34" s="1"/>
  <c r="C171" i="34" s="1"/>
  <c r="C172" i="34" s="1"/>
  <c r="C173" i="34" s="1"/>
  <c r="C174" i="34" s="1"/>
  <c r="C175" i="34" s="1"/>
  <c r="C176" i="34" s="1"/>
  <c r="C177" i="34" s="1"/>
  <c r="C178" i="34" s="1"/>
  <c r="C179" i="34" s="1"/>
  <c r="C180" i="34" s="1"/>
  <c r="C181" i="34" s="1"/>
  <c r="C182" i="34" s="1"/>
  <c r="C183" i="34" s="1"/>
  <c r="C184" i="34" s="1"/>
  <c r="C185" i="34" s="1"/>
  <c r="C186" i="34" s="1"/>
  <c r="C187" i="34" s="1"/>
  <c r="C188" i="34" s="1"/>
  <c r="C189" i="34" s="1"/>
  <c r="C190" i="34" s="1"/>
  <c r="C191" i="34" s="1"/>
  <c r="C192" i="34" s="1"/>
  <c r="C193" i="34" s="1"/>
  <c r="C194" i="34" s="1"/>
  <c r="C195" i="34" s="1"/>
  <c r="C196" i="34" s="1"/>
  <c r="C197" i="34" s="1"/>
  <c r="C198" i="34" s="1"/>
  <c r="C199" i="34" s="1"/>
  <c r="C200" i="34" s="1"/>
  <c r="C201" i="34" s="1"/>
  <c r="C202" i="34" s="1"/>
  <c r="C203" i="34" s="1"/>
  <c r="C204" i="34" s="1"/>
  <c r="C205" i="34" s="1"/>
  <c r="C206" i="34" s="1"/>
  <c r="C207" i="34" s="1"/>
  <c r="C208" i="34" s="1"/>
  <c r="C209" i="34" s="1"/>
  <c r="C210" i="34" s="1"/>
  <c r="C211" i="34" s="1"/>
  <c r="C212" i="34" s="1"/>
  <c r="C213" i="34" s="1"/>
  <c r="C214" i="34" s="1"/>
  <c r="C215" i="34" s="1"/>
  <c r="C216" i="34" s="1"/>
  <c r="C217" i="34" s="1"/>
  <c r="C218" i="34" s="1"/>
  <c r="C219" i="34" s="1"/>
  <c r="C220" i="34" s="1"/>
  <c r="C221" i="34" s="1"/>
  <c r="C222" i="34" s="1"/>
  <c r="C223" i="34" s="1"/>
  <c r="C224" i="34" s="1"/>
  <c r="C225" i="34" s="1"/>
  <c r="C226" i="34" s="1"/>
  <c r="C227" i="34" s="1"/>
  <c r="C228" i="34" s="1"/>
  <c r="C229" i="34" s="1"/>
  <c r="C230" i="34" s="1"/>
  <c r="C231" i="34" s="1"/>
  <c r="C232" i="34" s="1"/>
  <c r="C233" i="34" s="1"/>
  <c r="C234" i="34" s="1"/>
  <c r="C235" i="34" s="1"/>
  <c r="C236" i="34" s="1"/>
  <c r="C237" i="34" s="1"/>
  <c r="C238" i="34" s="1"/>
  <c r="C239" i="34" s="1"/>
  <c r="C240" i="34" s="1"/>
  <c r="C241" i="34" s="1"/>
  <c r="C242" i="34" s="1"/>
  <c r="C243" i="34" s="1"/>
  <c r="C244" i="34" s="1"/>
  <c r="C245" i="34" s="1"/>
  <c r="C246" i="34" s="1"/>
  <c r="C247" i="34" s="1"/>
  <c r="C248" i="34" s="1"/>
  <c r="C249" i="34" s="1"/>
  <c r="C250" i="34" s="1"/>
  <c r="C251" i="34" s="1"/>
  <c r="C252" i="34" s="1"/>
  <c r="C253" i="34" s="1"/>
  <c r="C254" i="34" s="1"/>
  <c r="C255" i="34" s="1"/>
  <c r="C256" i="34" s="1"/>
  <c r="C257" i="34" s="1"/>
  <c r="C258" i="34" s="1"/>
  <c r="C259" i="34" s="1"/>
  <c r="C260" i="34" s="1"/>
  <c r="C261" i="34" s="1"/>
  <c r="C262" i="34" s="1"/>
  <c r="C263" i="34" s="1"/>
  <c r="C264" i="34" s="1"/>
  <c r="C4" i="20"/>
  <c r="C5" i="20" s="1"/>
  <c r="C6" i="20" s="1"/>
  <c r="C7" i="20" s="1"/>
  <c r="C8" i="20" s="1"/>
  <c r="C9" i="20" s="1"/>
  <c r="C10" i="20" s="1"/>
  <c r="C11" i="20" s="1"/>
  <c r="C12" i="20" s="1"/>
  <c r="C13" i="20" s="1"/>
  <c r="C14" i="20" s="1"/>
  <c r="C15" i="20" s="1"/>
  <c r="C16" i="20" s="1"/>
  <c r="C17" i="20" s="1"/>
  <c r="C18" i="20" s="1"/>
  <c r="C19" i="20" s="1"/>
  <c r="C20" i="20" s="1"/>
  <c r="C21" i="20" s="1"/>
  <c r="C22" i="20" s="1"/>
  <c r="C23" i="20" s="1"/>
  <c r="C24" i="20" s="1"/>
  <c r="C25" i="20" s="1"/>
  <c r="C26" i="20" s="1"/>
  <c r="C27" i="20" s="1"/>
  <c r="C28" i="20" s="1"/>
  <c r="C29" i="20" s="1"/>
  <c r="C30" i="20" s="1"/>
  <c r="C31" i="20" s="1"/>
  <c r="C32" i="20" s="1"/>
  <c r="C33" i="20" s="1"/>
  <c r="C34" i="20" s="1"/>
  <c r="C35" i="20" s="1"/>
  <c r="C36" i="20" s="1"/>
  <c r="C37" i="20" s="1"/>
  <c r="C38" i="20" s="1"/>
  <c r="C39" i="20" s="1"/>
  <c r="C40" i="20" s="1"/>
  <c r="C41" i="20" s="1"/>
  <c r="C42" i="20" s="1"/>
  <c r="C43" i="20" s="1"/>
  <c r="C44" i="20" s="1"/>
  <c r="C45" i="20" s="1"/>
  <c r="C46" i="20" s="1"/>
  <c r="C47" i="20" s="1"/>
  <c r="C48" i="20" s="1"/>
  <c r="C49" i="20" s="1"/>
  <c r="C50" i="20" s="1"/>
  <c r="C51" i="20" s="1"/>
  <c r="C52" i="20" s="1"/>
  <c r="C53" i="20" s="1"/>
  <c r="C54" i="20" s="1"/>
  <c r="C55" i="20" s="1"/>
  <c r="C56" i="20" s="1"/>
  <c r="C57" i="20" s="1"/>
  <c r="C58" i="20" s="1"/>
  <c r="C59" i="20" s="1"/>
  <c r="C60" i="20" s="1"/>
  <c r="C61" i="20" s="1"/>
  <c r="C62" i="20" s="1"/>
  <c r="C63" i="20" s="1"/>
  <c r="C64" i="20" s="1"/>
  <c r="C65" i="20" s="1"/>
  <c r="C66" i="20" s="1"/>
  <c r="C67" i="20" s="1"/>
  <c r="C68" i="20" s="1"/>
  <c r="C69" i="20" s="1"/>
  <c r="C70" i="20" s="1"/>
  <c r="C71" i="20" s="1"/>
  <c r="C72" i="20" s="1"/>
  <c r="C73" i="20" s="1"/>
  <c r="C74" i="20" s="1"/>
  <c r="C75" i="20" s="1"/>
  <c r="C76" i="20" s="1"/>
  <c r="C77" i="20" s="1"/>
  <c r="C78" i="20" s="1"/>
  <c r="C79" i="20" s="1"/>
  <c r="C80" i="20" s="1"/>
  <c r="C81" i="20" s="1"/>
  <c r="C82" i="20" s="1"/>
  <c r="C83" i="20" s="1"/>
  <c r="C84" i="20" s="1"/>
  <c r="C85" i="20" s="1"/>
  <c r="C86" i="20" s="1"/>
  <c r="C87" i="20" s="1"/>
  <c r="C88" i="20" s="1"/>
  <c r="C89" i="20" s="1"/>
  <c r="C90" i="20" s="1"/>
  <c r="C91" i="20" s="1"/>
  <c r="C92" i="20" s="1"/>
  <c r="C93" i="20" s="1"/>
  <c r="C94" i="20" s="1"/>
  <c r="C95" i="20" s="1"/>
  <c r="C96" i="20" s="1"/>
  <c r="C97" i="20" s="1"/>
  <c r="C98" i="20" s="1"/>
  <c r="C99" i="20" s="1"/>
  <c r="C100" i="20" s="1"/>
  <c r="C101" i="20" s="1"/>
  <c r="C102" i="20" s="1"/>
  <c r="C103" i="20" s="1"/>
  <c r="C104" i="20" s="1"/>
  <c r="C105" i="20" s="1"/>
  <c r="C106" i="20" s="1"/>
  <c r="C107" i="20" s="1"/>
  <c r="C108" i="20" s="1"/>
  <c r="C109" i="20" s="1"/>
  <c r="C110" i="20" s="1"/>
  <c r="C111" i="20" s="1"/>
  <c r="C112" i="20" s="1"/>
  <c r="C113" i="20" s="1"/>
  <c r="C114" i="20" s="1"/>
  <c r="C115" i="20" s="1"/>
  <c r="C116" i="20" s="1"/>
  <c r="C117" i="20" s="1"/>
  <c r="C118" i="20" s="1"/>
  <c r="C119" i="20" s="1"/>
  <c r="C120" i="20" s="1"/>
  <c r="C121" i="20" s="1"/>
  <c r="C122" i="20" s="1"/>
  <c r="C123" i="20" s="1"/>
  <c r="C124" i="20" s="1"/>
  <c r="C125" i="20" s="1"/>
  <c r="C126" i="20" s="1"/>
  <c r="C127" i="20" s="1"/>
  <c r="C128" i="20" s="1"/>
  <c r="C129" i="20" s="1"/>
  <c r="C4" i="11"/>
  <c r="C5" i="11" s="1"/>
  <c r="C6" i="11" s="1"/>
  <c r="C7" i="11" s="1"/>
  <c r="C8" i="11" s="1"/>
  <c r="C9" i="11" s="1"/>
  <c r="C10" i="11" s="1"/>
  <c r="C11" i="11" s="1"/>
  <c r="C12" i="11" s="1"/>
  <c r="C13" i="11" s="1"/>
  <c r="C14" i="11" s="1"/>
  <c r="C15" i="11" s="1"/>
  <c r="C16" i="11" s="1"/>
  <c r="C17" i="11" s="1"/>
  <c r="C18" i="11" s="1"/>
  <c r="C19" i="11" s="1"/>
  <c r="C20" i="11" s="1"/>
  <c r="C21" i="11" s="1"/>
  <c r="C22" i="11" s="1"/>
  <c r="C23" i="11" s="1"/>
  <c r="C24" i="11" s="1"/>
  <c r="C25" i="11" s="1"/>
  <c r="C26" i="11" s="1"/>
  <c r="C27" i="11" s="1"/>
  <c r="C28" i="11" s="1"/>
  <c r="C29" i="11" s="1"/>
  <c r="C30" i="11" s="1"/>
  <c r="C31" i="11" s="1"/>
  <c r="C32" i="11" s="1"/>
  <c r="C33" i="11" s="1"/>
  <c r="C34" i="11" s="1"/>
  <c r="C35" i="11" s="1"/>
  <c r="C36" i="11" s="1"/>
  <c r="C37" i="11" s="1"/>
  <c r="C38" i="11" s="1"/>
  <c r="C39" i="11" s="1"/>
  <c r="C40" i="11" s="1"/>
  <c r="C41" i="11" s="1"/>
  <c r="C42" i="11" s="1"/>
  <c r="C43" i="11" s="1"/>
  <c r="C44" i="11" s="1"/>
  <c r="C45" i="11" s="1"/>
  <c r="C46" i="11" s="1"/>
  <c r="C47" i="11" s="1"/>
  <c r="C48" i="11" s="1"/>
  <c r="C49" i="11" s="1"/>
  <c r="C50" i="11" s="1"/>
  <c r="C51" i="11" s="1"/>
  <c r="C52" i="11" s="1"/>
  <c r="C53" i="11" s="1"/>
  <c r="C54" i="11" s="1"/>
  <c r="C55" i="11" s="1"/>
  <c r="C56" i="11" s="1"/>
  <c r="C57" i="11" s="1"/>
  <c r="C58" i="11" s="1"/>
  <c r="C59" i="11" s="1"/>
  <c r="C60" i="11" s="1"/>
  <c r="C61" i="11" s="1"/>
  <c r="C62" i="11" s="1"/>
  <c r="C63" i="11" s="1"/>
  <c r="C64" i="11" s="1"/>
  <c r="C65" i="11" s="1"/>
  <c r="C66" i="11" s="1"/>
  <c r="C67" i="11" s="1"/>
  <c r="C68" i="11" s="1"/>
  <c r="C69" i="11" s="1"/>
  <c r="C70" i="11" s="1"/>
  <c r="C71" i="11" s="1"/>
  <c r="C72" i="11" s="1"/>
  <c r="C73" i="11" s="1"/>
  <c r="C74" i="11" s="1"/>
  <c r="C75" i="11" s="1"/>
  <c r="C76" i="11" s="1"/>
  <c r="C77" i="11" s="1"/>
  <c r="C78" i="11" s="1"/>
  <c r="C79" i="11" s="1"/>
  <c r="C80" i="11" s="1"/>
  <c r="C81" i="11" s="1"/>
  <c r="C82" i="11" s="1"/>
  <c r="C83" i="11" s="1"/>
  <c r="C84" i="11" s="1"/>
  <c r="C85" i="11" s="1"/>
  <c r="C86" i="11" s="1"/>
  <c r="C87" i="11" s="1"/>
  <c r="C88" i="11" s="1"/>
  <c r="C89" i="11" s="1"/>
  <c r="C90" i="11" s="1"/>
  <c r="C91" i="11" s="1"/>
  <c r="C92" i="11" s="1"/>
  <c r="C93" i="11" s="1"/>
  <c r="C94" i="11" s="1"/>
  <c r="C95" i="11" s="1"/>
  <c r="C96" i="11" s="1"/>
  <c r="C97" i="11" s="1"/>
  <c r="C98" i="11" s="1"/>
  <c r="C99" i="11" s="1"/>
  <c r="C100" i="11" s="1"/>
  <c r="C101" i="11" s="1"/>
  <c r="C102" i="11" s="1"/>
  <c r="C103" i="11" s="1"/>
  <c r="C104" i="11" s="1"/>
  <c r="C105" i="11" s="1"/>
  <c r="C106" i="11" s="1"/>
  <c r="C107" i="11" s="1"/>
  <c r="C108" i="11" s="1"/>
  <c r="C109" i="11" s="1"/>
  <c r="C110" i="11" s="1"/>
  <c r="C111" i="11" s="1"/>
  <c r="C112" i="11" s="1"/>
  <c r="C113" i="11" s="1"/>
  <c r="C114" i="11" s="1"/>
  <c r="C115" i="11" s="1"/>
  <c r="C116" i="11" s="1"/>
  <c r="C117" i="11" s="1"/>
  <c r="C118" i="11" s="1"/>
  <c r="C119" i="11" s="1"/>
  <c r="C120" i="11" s="1"/>
  <c r="C121" i="11" s="1"/>
  <c r="C122" i="11" s="1"/>
  <c r="C123" i="11" s="1"/>
  <c r="C124" i="11" s="1"/>
  <c r="C125" i="11" s="1"/>
  <c r="C126" i="11" s="1"/>
  <c r="C127" i="11" s="1"/>
  <c r="C128" i="11" s="1"/>
  <c r="C129" i="11" s="1"/>
  <c r="C130" i="11" s="1"/>
  <c r="C131" i="11" s="1"/>
  <c r="C132" i="11" s="1"/>
  <c r="C133" i="11" s="1"/>
  <c r="C134" i="11" s="1"/>
  <c r="C135" i="11" s="1"/>
  <c r="C136" i="11" s="1"/>
  <c r="C137" i="11" s="1"/>
  <c r="C138" i="11" s="1"/>
  <c r="C139" i="11" s="1"/>
  <c r="C140" i="11" s="1"/>
  <c r="C141" i="11" s="1"/>
  <c r="C142" i="11" s="1"/>
  <c r="C143" i="11" s="1"/>
  <c r="C144" i="11" s="1"/>
  <c r="C145" i="11" s="1"/>
  <c r="C146" i="11" s="1"/>
  <c r="C147" i="11" s="1"/>
  <c r="C148" i="11" s="1"/>
  <c r="C149" i="11" s="1"/>
  <c r="C150" i="11" s="1"/>
  <c r="C151" i="11" s="1"/>
  <c r="C152" i="11" s="1"/>
  <c r="C153" i="11" s="1"/>
  <c r="C154" i="11" s="1"/>
  <c r="C155" i="11" s="1"/>
  <c r="C156" i="11" s="1"/>
  <c r="C157" i="11" s="1"/>
  <c r="C158" i="11" s="1"/>
  <c r="C159" i="11" s="1"/>
  <c r="C160" i="11" s="1"/>
  <c r="C161" i="11" s="1"/>
  <c r="C162" i="11" s="1"/>
  <c r="C163" i="11" s="1"/>
  <c r="C164" i="11" s="1"/>
  <c r="C165" i="11" s="1"/>
  <c r="C166" i="11" s="1"/>
  <c r="C167" i="11" s="1"/>
  <c r="C168" i="11" s="1"/>
  <c r="C169" i="11" s="1"/>
  <c r="C170" i="11" s="1"/>
  <c r="C171" i="11" s="1"/>
  <c r="C172" i="11" s="1"/>
  <c r="C173" i="11" s="1"/>
  <c r="C174" i="11" s="1"/>
  <c r="C175" i="11" s="1"/>
  <c r="C176" i="11" s="1"/>
  <c r="C177" i="11" s="1"/>
  <c r="C4" i="25"/>
  <c r="C5" i="25" s="1"/>
  <c r="C6" i="25" s="1"/>
  <c r="C7" i="25" s="1"/>
  <c r="C8" i="25" s="1"/>
  <c r="C9" i="25" s="1"/>
  <c r="C10" i="25" s="1"/>
  <c r="C11" i="25" s="1"/>
  <c r="C12" i="25" s="1"/>
  <c r="C13" i="25" s="1"/>
  <c r="C14" i="25" s="1"/>
  <c r="C15" i="25" s="1"/>
  <c r="C16" i="25" s="1"/>
  <c r="C17" i="25" s="1"/>
  <c r="C18" i="25" s="1"/>
  <c r="C19" i="25" s="1"/>
  <c r="C20" i="25" s="1"/>
  <c r="C21" i="25" s="1"/>
  <c r="C22" i="25" s="1"/>
  <c r="C23" i="25" s="1"/>
  <c r="C24" i="25" s="1"/>
  <c r="C25" i="25" s="1"/>
  <c r="C26" i="25" s="1"/>
  <c r="C27" i="25" s="1"/>
  <c r="C28" i="25" s="1"/>
  <c r="C29" i="25" s="1"/>
  <c r="C30" i="25" s="1"/>
  <c r="C31" i="25" s="1"/>
  <c r="C32" i="25" s="1"/>
  <c r="C33" i="25" s="1"/>
  <c r="C34" i="25" s="1"/>
  <c r="C35" i="25" s="1"/>
  <c r="C36" i="25" s="1"/>
  <c r="C37" i="25" s="1"/>
  <c r="C38" i="25" s="1"/>
  <c r="C39" i="25" s="1"/>
  <c r="C40" i="25" s="1"/>
  <c r="C41" i="25" s="1"/>
  <c r="C42" i="25" s="1"/>
  <c r="C43" i="25" s="1"/>
  <c r="C44" i="25" s="1"/>
  <c r="C45" i="25" s="1"/>
  <c r="C46" i="25" s="1"/>
  <c r="C47" i="25" s="1"/>
  <c r="C48" i="25" s="1"/>
  <c r="C49" i="25" s="1"/>
  <c r="C50" i="25" s="1"/>
  <c r="C51" i="25" s="1"/>
  <c r="C52" i="25" s="1"/>
  <c r="C53" i="25" s="1"/>
  <c r="C54" i="25" s="1"/>
  <c r="C55" i="25" s="1"/>
  <c r="C56" i="25" s="1"/>
  <c r="C57" i="25" s="1"/>
  <c r="C58" i="25" s="1"/>
  <c r="C59" i="25" s="1"/>
  <c r="C60" i="25" s="1"/>
  <c r="C61" i="25" s="1"/>
  <c r="C62" i="25" s="1"/>
  <c r="C63" i="25" s="1"/>
  <c r="C64" i="25" s="1"/>
  <c r="C65" i="25" s="1"/>
  <c r="C66" i="25" s="1"/>
  <c r="C67" i="25" s="1"/>
  <c r="C68" i="25" s="1"/>
  <c r="C69" i="25" s="1"/>
  <c r="C70" i="25" s="1"/>
  <c r="C71" i="25" s="1"/>
  <c r="C72" i="25" s="1"/>
  <c r="C73" i="25" s="1"/>
  <c r="C74" i="25" s="1"/>
  <c r="C75" i="25" s="1"/>
  <c r="C76" i="25" s="1"/>
  <c r="C77" i="25" s="1"/>
  <c r="C78" i="25" s="1"/>
  <c r="C79" i="25" s="1"/>
  <c r="C80" i="25" s="1"/>
  <c r="C81" i="25" s="1"/>
  <c r="C82" i="25" s="1"/>
  <c r="C83" i="25" s="1"/>
  <c r="C84" i="25" s="1"/>
  <c r="C85" i="25" s="1"/>
  <c r="C86" i="25" s="1"/>
  <c r="C87" i="25" s="1"/>
  <c r="C88" i="25" s="1"/>
  <c r="C89" i="25" s="1"/>
  <c r="C90" i="25" s="1"/>
  <c r="C91" i="25" s="1"/>
  <c r="C92" i="25" s="1"/>
  <c r="C93" i="25" s="1"/>
  <c r="C94" i="25" s="1"/>
  <c r="C95" i="25" s="1"/>
  <c r="C96" i="25" s="1"/>
  <c r="C97" i="25" s="1"/>
  <c r="C98" i="25" s="1"/>
  <c r="C99" i="25" s="1"/>
  <c r="C100" i="25" s="1"/>
  <c r="C101" i="25" s="1"/>
  <c r="C102" i="25" s="1"/>
  <c r="C103" i="25" s="1"/>
  <c r="C104" i="25" s="1"/>
  <c r="C105" i="25" s="1"/>
  <c r="C106" i="25" s="1"/>
  <c r="C107" i="25" s="1"/>
  <c r="C108" i="25" s="1"/>
  <c r="C109" i="25" s="1"/>
  <c r="C110" i="25" s="1"/>
  <c r="C4" i="26"/>
  <c r="C5" i="26" s="1"/>
  <c r="C6" i="26" s="1"/>
  <c r="C7" i="26" s="1"/>
  <c r="C8" i="26" s="1"/>
  <c r="C9" i="26" s="1"/>
  <c r="C10" i="26" s="1"/>
  <c r="C11" i="26" s="1"/>
  <c r="C12" i="26" s="1"/>
  <c r="C13" i="26" s="1"/>
  <c r="C14" i="26" s="1"/>
  <c r="C15" i="26" s="1"/>
  <c r="C16" i="26" s="1"/>
  <c r="C17" i="26" s="1"/>
  <c r="C18" i="26" s="1"/>
  <c r="C19" i="26" s="1"/>
  <c r="C20" i="26" s="1"/>
  <c r="C21" i="26" s="1"/>
  <c r="C22" i="26" s="1"/>
  <c r="C23" i="26" s="1"/>
  <c r="C24" i="26" s="1"/>
  <c r="C25" i="26" s="1"/>
  <c r="C26" i="26" s="1"/>
  <c r="C27" i="26" s="1"/>
  <c r="C28" i="26" s="1"/>
  <c r="C29" i="26" s="1"/>
  <c r="C30" i="26" s="1"/>
  <c r="C31" i="26" s="1"/>
  <c r="C32" i="26" s="1"/>
  <c r="C33" i="26" s="1"/>
  <c r="C34" i="26" s="1"/>
  <c r="C35" i="26" s="1"/>
  <c r="C36" i="26" s="1"/>
  <c r="C37" i="26" s="1"/>
  <c r="C38" i="26" s="1"/>
  <c r="C39" i="26" s="1"/>
  <c r="C40" i="26" s="1"/>
  <c r="C41" i="26" s="1"/>
  <c r="C42" i="26" s="1"/>
  <c r="C43" i="26" s="1"/>
  <c r="C44" i="26" s="1"/>
  <c r="C45" i="26" s="1"/>
  <c r="C46" i="26" s="1"/>
  <c r="C47" i="26" s="1"/>
  <c r="C48" i="26" s="1"/>
  <c r="C49" i="26" s="1"/>
  <c r="C50" i="26" s="1"/>
  <c r="C51" i="26" s="1"/>
  <c r="C52" i="26" s="1"/>
  <c r="C53" i="26" s="1"/>
  <c r="C54" i="26" s="1"/>
  <c r="C55" i="26" s="1"/>
  <c r="C56" i="26" s="1"/>
  <c r="C57" i="26" s="1"/>
  <c r="C58" i="26" s="1"/>
  <c r="C59" i="26" s="1"/>
  <c r="C60" i="26" s="1"/>
  <c r="C61" i="26" s="1"/>
  <c r="C62" i="26" s="1"/>
  <c r="C63" i="26" s="1"/>
  <c r="C64" i="26" s="1"/>
  <c r="C65" i="26" s="1"/>
  <c r="C66" i="26" s="1"/>
  <c r="C67" i="26" s="1"/>
  <c r="C68" i="26" s="1"/>
  <c r="C69" i="26" s="1"/>
  <c r="C70" i="26" s="1"/>
  <c r="C71" i="26" s="1"/>
  <c r="C72" i="26" s="1"/>
  <c r="C73" i="26" s="1"/>
  <c r="C74" i="26" s="1"/>
  <c r="C75" i="26" s="1"/>
  <c r="C76" i="26" s="1"/>
  <c r="C77" i="26" s="1"/>
  <c r="C78" i="26" s="1"/>
  <c r="C79" i="26" s="1"/>
  <c r="C80" i="26" s="1"/>
  <c r="C81" i="26" s="1"/>
  <c r="C82" i="26" s="1"/>
  <c r="C83" i="26" s="1"/>
  <c r="C4" i="33"/>
  <c r="E4" i="33" s="1"/>
  <c r="C5" i="33" l="1"/>
  <c r="C6" i="33" s="1"/>
  <c r="E6" i="33" s="1"/>
  <c r="C7" i="33" l="1"/>
  <c r="E5" i="33"/>
  <c r="C8" i="33"/>
  <c r="E7" i="33"/>
  <c r="C9" i="33" l="1"/>
  <c r="E8" i="33"/>
  <c r="C10" i="33" l="1"/>
  <c r="E9" i="33"/>
  <c r="E10" i="33" l="1"/>
  <c r="C11" i="33"/>
  <c r="C12" i="33" l="1"/>
  <c r="E11" i="33"/>
  <c r="E12" i="33" l="1"/>
  <c r="C13" i="33"/>
  <c r="C14" i="33" l="1"/>
  <c r="E13" i="33"/>
  <c r="C15" i="33" l="1"/>
  <c r="E14" i="33"/>
  <c r="E15" i="33" l="1"/>
  <c r="C16" i="33"/>
  <c r="C17" i="33" l="1"/>
  <c r="E16" i="33"/>
  <c r="C18" i="33" l="1"/>
  <c r="E17" i="33"/>
  <c r="E18" i="33" l="1"/>
  <c r="C19" i="33"/>
  <c r="E19" i="33" l="1"/>
  <c r="C20" i="33"/>
  <c r="C21" i="33" l="1"/>
  <c r="E20" i="33"/>
  <c r="C22" i="33" l="1"/>
  <c r="E21" i="33"/>
  <c r="E22" i="33" l="1"/>
  <c r="C23" i="33"/>
  <c r="C24" i="33" l="1"/>
  <c r="E23" i="33"/>
  <c r="E24" i="33" l="1"/>
  <c r="C25" i="33"/>
  <c r="E25" i="33" l="1"/>
  <c r="C26" i="33"/>
  <c r="E26" i="33" l="1"/>
  <c r="C27" i="33"/>
  <c r="E27" i="33" l="1"/>
  <c r="C28" i="33"/>
  <c r="C29" i="33" l="1"/>
  <c r="E28" i="33"/>
  <c r="C30" i="33" l="1"/>
  <c r="E29" i="33"/>
  <c r="E30" i="33" l="1"/>
  <c r="C31" i="33"/>
  <c r="E31" i="33" l="1"/>
  <c r="C32" i="33"/>
  <c r="C33" i="33" l="1"/>
  <c r="E32" i="33"/>
  <c r="C34" i="33" l="1"/>
  <c r="E33" i="33"/>
  <c r="C35" i="33" l="1"/>
  <c r="E34" i="33"/>
  <c r="E35" i="33" l="1"/>
  <c r="C36" i="33"/>
  <c r="C37" i="33" l="1"/>
  <c r="E36" i="33"/>
  <c r="C38" i="33" l="1"/>
  <c r="E37" i="33"/>
  <c r="E38" i="33" l="1"/>
  <c r="C39" i="33"/>
  <c r="C40" i="33" l="1"/>
  <c r="E39" i="33"/>
  <c r="E40" i="33" l="1"/>
  <c r="C41" i="33"/>
  <c r="C42" i="33" l="1"/>
  <c r="E41" i="33"/>
  <c r="C43" i="33" l="1"/>
  <c r="E42" i="33"/>
  <c r="C44" i="33" l="1"/>
  <c r="E43" i="33"/>
  <c r="E44" i="33" l="1"/>
  <c r="C45" i="33"/>
  <c r="E45" i="33" l="1"/>
  <c r="C46" i="33"/>
  <c r="E46" i="33" l="1"/>
  <c r="C47" i="33"/>
  <c r="E47" i="33" l="1"/>
  <c r="C48" i="33"/>
  <c r="C49" i="33" l="1"/>
  <c r="E48" i="33"/>
  <c r="C50" i="33" l="1"/>
  <c r="E49" i="33"/>
  <c r="E50" i="33" l="1"/>
  <c r="C51" i="33"/>
  <c r="C52" i="33" l="1"/>
  <c r="E51" i="33"/>
  <c r="E52" i="33" l="1"/>
  <c r="C53" i="33"/>
  <c r="E53" i="33" l="1"/>
  <c r="C54" i="33"/>
  <c r="E54" i="33" l="1"/>
  <c r="C55" i="33"/>
  <c r="E55" i="33" l="1"/>
  <c r="C56" i="33"/>
  <c r="E56" i="33" l="1"/>
  <c r="C57" i="33"/>
  <c r="C58" i="33" l="1"/>
  <c r="E57" i="33"/>
  <c r="C59" i="33" l="1"/>
  <c r="E58" i="33"/>
  <c r="C60" i="33" l="1"/>
  <c r="E59" i="33"/>
  <c r="E60" i="33" l="1"/>
  <c r="C61" i="33"/>
  <c r="E61" i="33" l="1"/>
  <c r="C62" i="33"/>
  <c r="E62" i="33" l="1"/>
  <c r="C63" i="33"/>
  <c r="E63" i="33" l="1"/>
  <c r="C64" i="33"/>
  <c r="C65" i="33" l="1"/>
  <c r="E64" i="33"/>
  <c r="C66" i="33" l="1"/>
  <c r="E65" i="33"/>
  <c r="C67" i="33" l="1"/>
  <c r="E66" i="33"/>
  <c r="E67" i="33" l="1"/>
  <c r="C68" i="33"/>
  <c r="E68" i="33" l="1"/>
  <c r="C69" i="33"/>
  <c r="E69" i="33" l="1"/>
  <c r="C70" i="33"/>
  <c r="E70" i="33" l="1"/>
  <c r="C71" i="33"/>
  <c r="E71" i="33" l="1"/>
  <c r="C72" i="33"/>
  <c r="E72" i="33" l="1"/>
  <c r="C73" i="33"/>
  <c r="C74" i="33" l="1"/>
  <c r="E73" i="33"/>
  <c r="C75" i="33" l="1"/>
  <c r="E74" i="33"/>
  <c r="E75" i="33" l="1"/>
  <c r="C76" i="33"/>
  <c r="C77" i="33" l="1"/>
  <c r="E76" i="33"/>
  <c r="E77" i="33" l="1"/>
  <c r="C78" i="33"/>
  <c r="E78" i="33" l="1"/>
  <c r="C79" i="33"/>
  <c r="E79" i="33" l="1"/>
  <c r="C80" i="33"/>
  <c r="E80" i="33" l="1"/>
  <c r="C81" i="33"/>
  <c r="C82" i="33" l="1"/>
  <c r="E81" i="33"/>
  <c r="C83" i="33" l="1"/>
  <c r="E82" i="33"/>
  <c r="C84" i="33" l="1"/>
  <c r="E83" i="33"/>
  <c r="E84" i="33" l="1"/>
  <c r="C85" i="33"/>
  <c r="C86" i="33" l="1"/>
  <c r="E85" i="33"/>
  <c r="E86" i="33" l="1"/>
  <c r="C87" i="33"/>
  <c r="E87" i="33" l="1"/>
  <c r="C88" i="33"/>
  <c r="E88" i="33" l="1"/>
  <c r="C89" i="33"/>
  <c r="C90" i="33" l="1"/>
  <c r="E89" i="33"/>
  <c r="C91" i="33" l="1"/>
  <c r="E90" i="33"/>
  <c r="C92" i="33" l="1"/>
  <c r="E91" i="33"/>
  <c r="C93" i="33" l="1"/>
  <c r="E92" i="33"/>
  <c r="C94" i="33" l="1"/>
  <c r="E93" i="33"/>
  <c r="C95" i="33" l="1"/>
  <c r="E94" i="33"/>
  <c r="E95" i="33" l="1"/>
  <c r="C96" i="33"/>
  <c r="E96" i="33" l="1"/>
  <c r="C97" i="33"/>
  <c r="C98" i="33" l="1"/>
  <c r="E97" i="33"/>
  <c r="C99" i="33" l="1"/>
  <c r="E98" i="33"/>
  <c r="C100" i="33" l="1"/>
  <c r="E99" i="33"/>
  <c r="C101" i="33" l="1"/>
  <c r="E100" i="33"/>
  <c r="C102" i="33" l="1"/>
  <c r="E101" i="33"/>
  <c r="E102" i="33" l="1"/>
  <c r="C103" i="33"/>
  <c r="C104" i="33" l="1"/>
  <c r="E103" i="33"/>
  <c r="E104" i="33" l="1"/>
  <c r="C105" i="33"/>
  <c r="C106" i="33" l="1"/>
  <c r="E105" i="33"/>
  <c r="C107" i="33" l="1"/>
  <c r="E106" i="33"/>
  <c r="C108" i="33" l="1"/>
  <c r="E107" i="33"/>
  <c r="E108" i="33" l="1"/>
  <c r="C109" i="33"/>
  <c r="E109" i="33" l="1"/>
  <c r="C110" i="33"/>
  <c r="E110" i="33" l="1"/>
  <c r="C111" i="33"/>
  <c r="E111" i="33" l="1"/>
  <c r="C112" i="33"/>
  <c r="C113" i="33" l="1"/>
  <c r="E112" i="33"/>
  <c r="C114" i="33" l="1"/>
  <c r="E113" i="33"/>
  <c r="E114" i="33" l="1"/>
  <c r="C115" i="33"/>
  <c r="C116" i="33" l="1"/>
  <c r="E115" i="33"/>
  <c r="E116" i="33" l="1"/>
  <c r="C117" i="33"/>
  <c r="E117" i="33" l="1"/>
  <c r="C118" i="33"/>
  <c r="E118" i="33" l="1"/>
  <c r="C119" i="33"/>
  <c r="E119" i="33" l="1"/>
  <c r="C120" i="33"/>
  <c r="C121" i="33" l="1"/>
  <c r="E120" i="33"/>
  <c r="C122" i="33" l="1"/>
  <c r="E121" i="33"/>
  <c r="C123" i="33" l="1"/>
  <c r="E122" i="33"/>
  <c r="C124" i="33" l="1"/>
  <c r="E123" i="33"/>
  <c r="E124" i="33" l="1"/>
  <c r="C125" i="33"/>
  <c r="E125" i="33" l="1"/>
  <c r="C126" i="33"/>
  <c r="E126" i="33" l="1"/>
  <c r="C127" i="33"/>
  <c r="E127" i="33" l="1"/>
  <c r="C128" i="33"/>
  <c r="C129" i="33" l="1"/>
  <c r="E128" i="33"/>
  <c r="C130" i="33" l="1"/>
  <c r="E129" i="33"/>
  <c r="C131" i="33" l="1"/>
  <c r="E130" i="33"/>
  <c r="E131" i="33" l="1"/>
  <c r="C132" i="33"/>
  <c r="E132" i="33" l="1"/>
  <c r="C133" i="33"/>
  <c r="E133" i="33" l="1"/>
  <c r="C134" i="33"/>
  <c r="E134" i="33" l="1"/>
  <c r="C135" i="33"/>
  <c r="E135" i="33" l="1"/>
  <c r="C136" i="33"/>
  <c r="C137" i="33" l="1"/>
  <c r="E136" i="33"/>
  <c r="C138" i="33" l="1"/>
  <c r="E137" i="33"/>
  <c r="C139" i="33" l="1"/>
  <c r="E138" i="33"/>
  <c r="E139" i="33" l="1"/>
  <c r="C140" i="33"/>
  <c r="C141" i="33" l="1"/>
  <c r="E140" i="33"/>
  <c r="C142" i="33" l="1"/>
  <c r="E141" i="33"/>
  <c r="E142" i="33" l="1"/>
  <c r="C143" i="33"/>
  <c r="E143" i="33" l="1"/>
  <c r="C144" i="33"/>
  <c r="E144" i="33" l="1"/>
  <c r="C145" i="33"/>
  <c r="C146" i="33" l="1"/>
  <c r="E145" i="33"/>
  <c r="C147" i="33" l="1"/>
  <c r="E146" i="33"/>
  <c r="C148" i="33" l="1"/>
  <c r="E147" i="33"/>
  <c r="C149" i="33" l="1"/>
  <c r="E148" i="33"/>
  <c r="C150" i="33" l="1"/>
  <c r="E149" i="33"/>
  <c r="C151" i="33" l="1"/>
  <c r="E150" i="33"/>
  <c r="E151" i="33" l="1"/>
  <c r="C152" i="33"/>
  <c r="E152" i="33" l="1"/>
  <c r="C153" i="33"/>
  <c r="C154" i="33" l="1"/>
  <c r="E153" i="33"/>
  <c r="C155" i="33" l="1"/>
  <c r="E154" i="33"/>
  <c r="C156" i="33" l="1"/>
  <c r="E155" i="33"/>
  <c r="C157" i="33" l="1"/>
  <c r="E156" i="33"/>
  <c r="E157" i="33" l="1"/>
  <c r="C158" i="33"/>
  <c r="C159" i="33" l="1"/>
  <c r="E158" i="33"/>
  <c r="E159" i="33" l="1"/>
  <c r="C160" i="33"/>
  <c r="E160" i="33" l="1"/>
  <c r="C161" i="33"/>
  <c r="C162" i="33" l="1"/>
  <c r="E161" i="33"/>
  <c r="C163" i="33" l="1"/>
  <c r="E162" i="33"/>
  <c r="C164" i="33" l="1"/>
  <c r="E163" i="33"/>
  <c r="C165" i="33" l="1"/>
  <c r="E164" i="33"/>
  <c r="C166" i="33" l="1"/>
  <c r="E165" i="33"/>
  <c r="E166" i="33" l="1"/>
  <c r="C167" i="33"/>
  <c r="C168" i="33" l="1"/>
  <c r="E167" i="33"/>
  <c r="C169" i="33" l="1"/>
  <c r="E168" i="33"/>
  <c r="C170" i="33" l="1"/>
  <c r="E169" i="33"/>
  <c r="C171" i="33" l="1"/>
  <c r="E170" i="33"/>
  <c r="C172" i="33" l="1"/>
  <c r="E171" i="33"/>
  <c r="E172" i="33" l="1"/>
  <c r="C173" i="33"/>
  <c r="E173" i="33" l="1"/>
  <c r="C174" i="33"/>
  <c r="E174" i="33" l="1"/>
  <c r="C175" i="33"/>
  <c r="E175" i="33" l="1"/>
  <c r="C176" i="33"/>
  <c r="C177" i="33" l="1"/>
  <c r="E176" i="33"/>
  <c r="C178" i="33" l="1"/>
  <c r="E177" i="33"/>
  <c r="E178" i="33" l="1"/>
  <c r="C179" i="33"/>
  <c r="E179" i="33" l="1"/>
  <c r="C180" i="33"/>
  <c r="C181" i="33" l="1"/>
  <c r="E180" i="33"/>
  <c r="C182" i="33" l="1"/>
  <c r="E181" i="33"/>
  <c r="C183" i="33" l="1"/>
  <c r="E182" i="33"/>
  <c r="C184" i="33" l="1"/>
  <c r="E183" i="33"/>
  <c r="E184" i="33" l="1"/>
  <c r="C185" i="33"/>
  <c r="C186" i="33" l="1"/>
  <c r="E186" i="33" s="1"/>
  <c r="E185" i="33"/>
  <c r="C4" i="18"/>
  <c r="C5" i="18" s="1"/>
  <c r="C6" i="18" s="1"/>
  <c r="C7" i="18" s="1"/>
  <c r="C8" i="18" s="1"/>
  <c r="C9" i="18" s="1"/>
  <c r="C10" i="18" s="1"/>
  <c r="C11" i="18" s="1"/>
  <c r="C12" i="18" s="1"/>
  <c r="C13" i="18" s="1"/>
  <c r="C14" i="18" s="1"/>
  <c r="C15" i="18" s="1"/>
  <c r="C16" i="18" s="1"/>
  <c r="C17" i="18" s="1"/>
  <c r="C18" i="18" s="1"/>
  <c r="C19" i="18" s="1"/>
  <c r="C20" i="18" s="1"/>
  <c r="C21" i="18" s="1"/>
  <c r="C22" i="18" s="1"/>
  <c r="C23" i="18" s="1"/>
  <c r="C24" i="18" s="1"/>
  <c r="C25" i="18" s="1"/>
  <c r="C26" i="18" s="1"/>
  <c r="C27" i="18" s="1"/>
  <c r="C28" i="18" s="1"/>
  <c r="C29" i="18" s="1"/>
  <c r="C30" i="18" s="1"/>
  <c r="C31" i="18" s="1"/>
  <c r="C32" i="18" s="1"/>
  <c r="C33" i="18" s="1"/>
  <c r="C34" i="18" s="1"/>
  <c r="C35" i="18" s="1"/>
  <c r="C36" i="18" s="1"/>
  <c r="C37" i="18" s="1"/>
  <c r="C38" i="18" s="1"/>
  <c r="C39" i="18" s="1"/>
  <c r="C40" i="18" s="1"/>
  <c r="C41" i="18" s="1"/>
  <c r="C42" i="18" s="1"/>
  <c r="C43" i="18" s="1"/>
  <c r="C44" i="18" s="1"/>
  <c r="C45" i="18" s="1"/>
  <c r="C46" i="18" s="1"/>
  <c r="C47" i="18" s="1"/>
  <c r="C48" i="18" s="1"/>
  <c r="C49" i="18" s="1"/>
  <c r="C50" i="18" s="1"/>
  <c r="C51" i="18" s="1"/>
  <c r="C52" i="18" s="1"/>
  <c r="C53" i="18" s="1"/>
  <c r="C54" i="18" s="1"/>
  <c r="C55" i="18" s="1"/>
  <c r="C56" i="18" s="1"/>
  <c r="C57" i="18" s="1"/>
  <c r="C58" i="18" s="1"/>
  <c r="C59" i="18" s="1"/>
  <c r="C60" i="18" s="1"/>
  <c r="C61" i="18" s="1"/>
  <c r="C62" i="18" s="1"/>
  <c r="C63" i="18" s="1"/>
  <c r="C64" i="18" s="1"/>
  <c r="C65" i="18" s="1"/>
  <c r="C66" i="18" s="1"/>
  <c r="C67" i="18" s="1"/>
  <c r="C68" i="18" s="1"/>
  <c r="C69" i="18" s="1"/>
  <c r="C70" i="18" s="1"/>
  <c r="C71" i="18" s="1"/>
  <c r="C72" i="18" s="1"/>
  <c r="C73" i="18" s="1"/>
  <c r="C74" i="18" s="1"/>
  <c r="C75" i="18" s="1"/>
  <c r="C76" i="18" s="1"/>
  <c r="C77" i="18" s="1"/>
  <c r="C78" i="18" s="1"/>
  <c r="C79" i="18" s="1"/>
  <c r="C80" i="18" s="1"/>
  <c r="C81" i="18" s="1"/>
  <c r="C82" i="18" s="1"/>
  <c r="C83" i="18" s="1"/>
  <c r="C84" i="18" s="1"/>
  <c r="C85" i="18" s="1"/>
  <c r="C86" i="18" s="1"/>
  <c r="C87" i="18" s="1"/>
  <c r="C88" i="18" s="1"/>
  <c r="C89" i="18" s="1"/>
  <c r="C90" i="18" s="1"/>
  <c r="C91" i="18" s="1"/>
  <c r="C92" i="18" s="1"/>
  <c r="C93" i="18" s="1"/>
  <c r="C94" i="18" s="1"/>
  <c r="C95" i="18" s="1"/>
  <c r="C96" i="18" s="1"/>
  <c r="C97" i="18" s="1"/>
  <c r="C98" i="18" s="1"/>
  <c r="C99" i="18" s="1"/>
  <c r="C100" i="18" s="1"/>
  <c r="C101" i="18" s="1"/>
  <c r="C102" i="18" s="1"/>
  <c r="C103" i="18" s="1"/>
  <c r="C104" i="18" s="1"/>
  <c r="C105" i="18" s="1"/>
  <c r="C106" i="18" s="1"/>
  <c r="C107" i="18" s="1"/>
  <c r="C108" i="18" s="1"/>
  <c r="C109" i="18" s="1"/>
  <c r="C110" i="18" s="1"/>
  <c r="C111" i="18" s="1"/>
  <c r="C112" i="18" s="1"/>
  <c r="C113" i="18" s="1"/>
  <c r="C114" i="18" s="1"/>
  <c r="C115" i="18" s="1"/>
  <c r="C116" i="18" s="1"/>
  <c r="C117" i="18" s="1"/>
  <c r="C118" i="18" s="1"/>
  <c r="C119" i="18" s="1"/>
  <c r="C120" i="18" s="1"/>
  <c r="C121" i="18" s="1"/>
  <c r="C122" i="18" s="1"/>
  <c r="C123" i="18" s="1"/>
  <c r="C124" i="18" s="1"/>
  <c r="C125" i="18" s="1"/>
  <c r="C126" i="18" s="1"/>
  <c r="C127" i="18" s="1"/>
  <c r="C128" i="18" s="1"/>
  <c r="C129" i="18" s="1"/>
  <c r="C130" i="18" s="1"/>
  <c r="C131" i="18" s="1"/>
  <c r="C132" i="18" s="1"/>
  <c r="C133" i="18" s="1"/>
  <c r="C134" i="18" s="1"/>
  <c r="C135" i="18" s="1"/>
  <c r="C136" i="18" s="1"/>
  <c r="C137" i="18" s="1"/>
  <c r="C138" i="18" s="1"/>
  <c r="C139" i="18" s="1"/>
  <c r="C140" i="18" s="1"/>
  <c r="C141" i="18" s="1"/>
  <c r="C142" i="18" s="1"/>
  <c r="C143" i="18" s="1"/>
  <c r="C144" i="18" s="1"/>
  <c r="C145" i="18" s="1"/>
  <c r="C146" i="18" s="1"/>
  <c r="C147" i="18" s="1"/>
  <c r="C148" i="18" s="1"/>
  <c r="C149" i="18" s="1"/>
  <c r="C150" i="18" s="1"/>
  <c r="C151" i="18" s="1"/>
  <c r="C152" i="18" s="1"/>
  <c r="C153" i="18" s="1"/>
  <c r="C154" i="18" s="1"/>
  <c r="C155" i="18" s="1"/>
  <c r="C156" i="18" s="1"/>
  <c r="C157" i="18" s="1"/>
  <c r="C158" i="18" s="1"/>
  <c r="C159" i="18" s="1"/>
  <c r="C160" i="18" s="1"/>
  <c r="C161" i="18" s="1"/>
  <c r="C162" i="18" s="1"/>
  <c r="C163" i="18" s="1"/>
  <c r="C164" i="18" s="1"/>
  <c r="C165" i="18" s="1"/>
  <c r="C166" i="18" s="1"/>
  <c r="C167" i="18" s="1"/>
  <c r="C168" i="18" s="1"/>
  <c r="C169" i="18" s="1"/>
  <c r="C170" i="18" s="1"/>
  <c r="C171" i="18" s="1"/>
  <c r="C172" i="18" s="1"/>
  <c r="C173" i="18" s="1"/>
  <c r="C174" i="18" s="1"/>
  <c r="C175" i="18" s="1"/>
  <c r="C176" i="18" s="1"/>
  <c r="C177" i="18" s="1"/>
  <c r="C178" i="18" s="1"/>
  <c r="C179" i="18" s="1"/>
  <c r="C180" i="18" s="1"/>
  <c r="C181" i="18" s="1"/>
  <c r="C182" i="18" s="1"/>
  <c r="C183" i="18" s="1"/>
  <c r="C184" i="18" s="1"/>
  <c r="C185" i="18" s="1"/>
  <c r="C186" i="18" s="1"/>
  <c r="C187" i="18" s="1"/>
  <c r="C188" i="18" s="1"/>
  <c r="C189" i="18" s="1"/>
  <c r="C190" i="18" s="1"/>
  <c r="C191" i="18" s="1"/>
  <c r="C192" i="18" s="1"/>
  <c r="C193" i="18" s="1"/>
  <c r="C194" i="18" s="1"/>
  <c r="C195" i="18" s="1"/>
  <c r="C196" i="18" s="1"/>
  <c r="C197" i="18" s="1"/>
  <c r="C198" i="18" s="1"/>
  <c r="C199" i="18" s="1"/>
  <c r="C200" i="18" s="1"/>
  <c r="C201" i="18" s="1"/>
  <c r="C202" i="18" s="1"/>
  <c r="C203" i="18" s="1"/>
  <c r="C204" i="18" s="1"/>
  <c r="C205" i="18" s="1"/>
  <c r="C206" i="18" s="1"/>
  <c r="C207" i="18" s="1"/>
  <c r="C208" i="18" s="1"/>
  <c r="C209" i="18" s="1"/>
  <c r="C210" i="18" s="1"/>
  <c r="C211" i="18" s="1"/>
  <c r="C212" i="18" s="1"/>
  <c r="C213" i="18" s="1"/>
  <c r="C214" i="18" s="1"/>
  <c r="C215" i="18" s="1"/>
  <c r="C216" i="18" s="1"/>
  <c r="C217" i="18" s="1"/>
  <c r="C218" i="18" s="1"/>
  <c r="C219" i="18" s="1"/>
  <c r="C220" i="18" s="1"/>
  <c r="C221" i="18" s="1"/>
  <c r="C222" i="18" s="1"/>
  <c r="C223" i="18" s="1"/>
  <c r="C224" i="18" s="1"/>
  <c r="C225" i="18" s="1"/>
  <c r="C226" i="18" s="1"/>
  <c r="C227" i="18" s="1"/>
  <c r="C228" i="18" s="1"/>
  <c r="C229" i="18" s="1"/>
  <c r="C230" i="18" s="1"/>
  <c r="C231" i="18" s="1"/>
  <c r="C232" i="18" s="1"/>
  <c r="C233" i="18" s="1"/>
  <c r="C234" i="18" s="1"/>
  <c r="C235" i="18" s="1"/>
  <c r="C236" i="18" s="1"/>
  <c r="C237" i="18" s="1"/>
  <c r="C238" i="18" s="1"/>
  <c r="C239" i="18" s="1"/>
  <c r="C240" i="18" s="1"/>
  <c r="C241" i="18" s="1"/>
  <c r="C242" i="18" s="1"/>
  <c r="C243" i="18" s="1"/>
  <c r="C244" i="18" s="1"/>
  <c r="C245" i="18" s="1"/>
  <c r="C246" i="18" s="1"/>
  <c r="C247" i="18" s="1"/>
  <c r="C248" i="18" s="1"/>
  <c r="C249" i="18" s="1"/>
  <c r="C250" i="18" s="1"/>
  <c r="C251" i="18" s="1"/>
  <c r="C252" i="18" s="1"/>
  <c r="C253" i="18" s="1"/>
  <c r="C254" i="18" s="1"/>
  <c r="C255" i="18" s="1"/>
  <c r="C256" i="18" s="1"/>
  <c r="C257" i="18" s="1"/>
  <c r="C258" i="18" s="1"/>
  <c r="C259" i="18" s="1"/>
  <c r="C260" i="18" s="1"/>
  <c r="C261" i="18" s="1"/>
  <c r="C262" i="18" s="1"/>
  <c r="C263" i="18" s="1"/>
  <c r="C264" i="18" s="1"/>
  <c r="C265" i="18" s="1"/>
  <c r="C266" i="18" s="1"/>
  <c r="C267" i="18" s="1"/>
  <c r="C268" i="18" s="1"/>
  <c r="C269" i="18" s="1"/>
  <c r="C270" i="18" s="1"/>
  <c r="C271" i="18" s="1"/>
  <c r="C272" i="18" s="1"/>
  <c r="C273" i="18" s="1"/>
  <c r="C274" i="18" s="1"/>
  <c r="C275" i="18" s="1"/>
  <c r="C276" i="18" s="1"/>
  <c r="C277" i="18" s="1"/>
  <c r="C278" i="18" s="1"/>
  <c r="C279" i="18" s="1"/>
  <c r="C280" i="18" s="1"/>
  <c r="C281" i="18" s="1"/>
  <c r="C282" i="18" s="1"/>
  <c r="C283" i="18" s="1"/>
  <c r="C284" i="18" s="1"/>
  <c r="C285" i="18" s="1"/>
  <c r="C286" i="18" s="1"/>
  <c r="C287" i="18" s="1"/>
  <c r="C288" i="18" s="1"/>
  <c r="C289" i="18" s="1"/>
  <c r="C290" i="18" s="1"/>
  <c r="C291" i="18" s="1"/>
  <c r="C292" i="18" s="1"/>
  <c r="C293" i="18" s="1"/>
  <c r="C294" i="18" s="1"/>
  <c r="C295" i="18" s="1"/>
  <c r="C296" i="18" s="1"/>
  <c r="C297" i="18" s="1"/>
  <c r="C298" i="18" s="1"/>
  <c r="C299" i="18" s="1"/>
  <c r="C300" i="18" s="1"/>
  <c r="C301" i="18" s="1"/>
  <c r="C302" i="18" s="1"/>
  <c r="C303" i="18" s="1"/>
  <c r="C304" i="18" s="1"/>
  <c r="C305" i="18" s="1"/>
  <c r="C306" i="18" s="1"/>
  <c r="C307" i="18" s="1"/>
  <c r="C308" i="18" s="1"/>
  <c r="C309" i="18" s="1"/>
  <c r="C310" i="18" s="1"/>
  <c r="C311" i="18" s="1"/>
  <c r="C312" i="18" s="1"/>
  <c r="C313" i="18" s="1"/>
  <c r="C314" i="18" s="1"/>
  <c r="C315" i="18" s="1"/>
  <c r="C316" i="18" s="1"/>
  <c r="C317" i="18" s="1"/>
  <c r="C318" i="18" s="1"/>
  <c r="C319" i="18" s="1"/>
  <c r="C320" i="18" s="1"/>
  <c r="C321" i="18" s="1"/>
  <c r="C322" i="18" s="1"/>
  <c r="C323" i="18" s="1"/>
  <c r="C324" i="18" s="1"/>
  <c r="C325" i="18" s="1"/>
  <c r="C326" i="18" s="1"/>
  <c r="C327" i="18" s="1"/>
  <c r="C328" i="18" s="1"/>
  <c r="C329" i="18" s="1"/>
  <c r="C330" i="18" s="1"/>
  <c r="C331" i="18" s="1"/>
  <c r="C332" i="18" s="1"/>
  <c r="C333" i="18" s="1"/>
  <c r="C334" i="18" s="1"/>
  <c r="C335" i="18" s="1"/>
  <c r="C336" i="18" s="1"/>
  <c r="C337" i="18" s="1"/>
  <c r="C338" i="18" s="1"/>
  <c r="C4" i="28"/>
  <c r="C5" i="28" s="1"/>
  <c r="C6" i="28" s="1"/>
  <c r="C7" i="28" s="1"/>
  <c r="C8" i="28" s="1"/>
  <c r="C9" i="28" s="1"/>
  <c r="C10" i="28" s="1"/>
  <c r="C11" i="28" s="1"/>
  <c r="C12" i="28" s="1"/>
  <c r="C13" i="28" s="1"/>
  <c r="C14" i="28" s="1"/>
  <c r="C15" i="28" s="1"/>
  <c r="C16" i="28" s="1"/>
  <c r="C17" i="28" s="1"/>
  <c r="C18" i="28" s="1"/>
  <c r="C19" i="28" s="1"/>
  <c r="C20" i="28" s="1"/>
  <c r="C21" i="28" s="1"/>
  <c r="C22" i="28" s="1"/>
  <c r="C23" i="28" s="1"/>
  <c r="C24" i="28" s="1"/>
  <c r="C25" i="28" s="1"/>
  <c r="C26" i="28" s="1"/>
  <c r="C27" i="28" s="1"/>
  <c r="C28" i="28" s="1"/>
  <c r="C29" i="28" s="1"/>
  <c r="C30" i="28" s="1"/>
  <c r="C31" i="28" s="1"/>
  <c r="C32" i="28" s="1"/>
  <c r="C33" i="28" s="1"/>
  <c r="C34" i="28" s="1"/>
  <c r="C35" i="28" s="1"/>
  <c r="C36" i="28" s="1"/>
  <c r="C37" i="28" s="1"/>
  <c r="C38" i="28" s="1"/>
  <c r="C39" i="28" s="1"/>
  <c r="C40" i="28" s="1"/>
  <c r="C41" i="28" s="1"/>
  <c r="C42" i="28" s="1"/>
  <c r="C43" i="28" s="1"/>
  <c r="C44" i="28" s="1"/>
  <c r="C45" i="28" s="1"/>
  <c r="C46" i="28" s="1"/>
  <c r="C47" i="28" s="1"/>
  <c r="C48" i="28" s="1"/>
  <c r="C49" i="28" s="1"/>
  <c r="C50" i="28" s="1"/>
  <c r="C51" i="28" s="1"/>
  <c r="C52" i="28" s="1"/>
  <c r="C53" i="28" s="1"/>
  <c r="C54" i="28" s="1"/>
  <c r="C55" i="28" s="1"/>
  <c r="C56" i="28" s="1"/>
  <c r="C57" i="28" s="1"/>
  <c r="C58" i="28" s="1"/>
  <c r="C59" i="28" s="1"/>
  <c r="C60" i="28" s="1"/>
  <c r="C61" i="28" s="1"/>
  <c r="C62" i="28" s="1"/>
  <c r="C63" i="28" s="1"/>
  <c r="C64" i="28" s="1"/>
  <c r="C65" i="28" s="1"/>
  <c r="C66" i="28" s="1"/>
  <c r="C67" i="28" s="1"/>
  <c r="C68" i="28" s="1"/>
  <c r="C69" i="28" s="1"/>
  <c r="C70" i="28" s="1"/>
  <c r="C71" i="28" s="1"/>
  <c r="C72" i="28" s="1"/>
  <c r="C73" i="28" s="1"/>
  <c r="C74" i="28" s="1"/>
  <c r="C75" i="28" s="1"/>
  <c r="C76" i="28" s="1"/>
  <c r="C77" i="28" s="1"/>
  <c r="C78" i="28" s="1"/>
  <c r="C79" i="28" s="1"/>
  <c r="C80" i="28" s="1"/>
  <c r="C81" i="28" s="1"/>
  <c r="C82" i="28" s="1"/>
  <c r="C83" i="28" s="1"/>
  <c r="C84" i="28" s="1"/>
  <c r="C85" i="28" s="1"/>
  <c r="C86" i="28" s="1"/>
  <c r="C87" i="28" s="1"/>
  <c r="C88" i="28" s="1"/>
  <c r="C89" i="28" s="1"/>
  <c r="C90" i="28" s="1"/>
  <c r="C91" i="28" s="1"/>
  <c r="C92" i="28" s="1"/>
  <c r="C93" i="28" s="1"/>
  <c r="C94" i="28" s="1"/>
  <c r="C95" i="28" s="1"/>
  <c r="C96" i="28" s="1"/>
  <c r="C97" i="28" s="1"/>
  <c r="C98" i="28" s="1"/>
  <c r="C99" i="28" s="1"/>
  <c r="C100" i="28" s="1"/>
  <c r="C101" i="28" s="1"/>
  <c r="C102" i="28" s="1"/>
  <c r="C103" i="28" s="1"/>
  <c r="C104" i="28" s="1"/>
  <c r="C105" i="28" s="1"/>
  <c r="C106" i="28" s="1"/>
  <c r="C107" i="28" s="1"/>
  <c r="C108" i="28" s="1"/>
  <c r="C109" i="28" s="1"/>
  <c r="C110" i="28" s="1"/>
  <c r="C111" i="28" s="1"/>
  <c r="C112" i="28" s="1"/>
  <c r="C113" i="28" s="1"/>
  <c r="C114" i="28" s="1"/>
  <c r="C115" i="28" s="1"/>
  <c r="C116" i="28" s="1"/>
  <c r="C117" i="28" s="1"/>
  <c r="C118" i="28" s="1"/>
  <c r="C119" i="28" s="1"/>
  <c r="C120" i="28" s="1"/>
  <c r="C121" i="28" s="1"/>
  <c r="C122" i="28" s="1"/>
  <c r="C123" i="28" s="1"/>
  <c r="C124" i="28" s="1"/>
  <c r="C125" i="28" s="1"/>
  <c r="C126" i="28" s="1"/>
  <c r="C127" i="28" s="1"/>
  <c r="C128" i="28" s="1"/>
  <c r="C129" i="28" s="1"/>
  <c r="C130" i="28" s="1"/>
  <c r="C131" i="28" s="1"/>
  <c r="C132" i="28" s="1"/>
  <c r="C133" i="28" s="1"/>
  <c r="C134" i="28" s="1"/>
  <c r="C135" i="28" s="1"/>
  <c r="C136" i="28" s="1"/>
  <c r="C137" i="28" s="1"/>
  <c r="C138" i="28" s="1"/>
  <c r="C139" i="28" s="1"/>
  <c r="C140" i="28" s="1"/>
  <c r="C141" i="28" s="1"/>
  <c r="C142" i="28" s="1"/>
  <c r="C143" i="28" s="1"/>
  <c r="C144" i="28" s="1"/>
  <c r="C145" i="28" s="1"/>
  <c r="C146" i="28" s="1"/>
  <c r="C147" i="28" s="1"/>
  <c r="C148" i="28" s="1"/>
  <c r="C149" i="28" s="1"/>
  <c r="C150" i="28" s="1"/>
  <c r="C151" i="28" s="1"/>
  <c r="C152" i="28" s="1"/>
  <c r="C153" i="28" s="1"/>
  <c r="C154" i="28" s="1"/>
  <c r="C155" i="28" s="1"/>
  <c r="C156" i="28" s="1"/>
  <c r="C157" i="28" s="1"/>
  <c r="C158" i="28" s="1"/>
  <c r="C159" i="28" s="1"/>
  <c r="C160" i="28" s="1"/>
  <c r="C161" i="28" s="1"/>
  <c r="C162" i="28" s="1"/>
  <c r="C163" i="28" s="1"/>
  <c r="C164" i="28" s="1"/>
  <c r="C165" i="28" s="1"/>
  <c r="C166" i="28" s="1"/>
  <c r="C167" i="28" s="1"/>
  <c r="C168" i="28" s="1"/>
  <c r="C169" i="28" s="1"/>
  <c r="C170" i="28" s="1"/>
  <c r="C171" i="28" s="1"/>
  <c r="C172" i="28" s="1"/>
  <c r="C173" i="28" s="1"/>
  <c r="C174" i="28" s="1"/>
  <c r="C175" i="28" s="1"/>
  <c r="C176" i="28" s="1"/>
  <c r="C177" i="28" s="1"/>
  <c r="C178" i="28" s="1"/>
  <c r="C179" i="28" s="1"/>
  <c r="C180" i="28" s="1"/>
  <c r="C181" i="28" s="1"/>
  <c r="C182" i="28" s="1"/>
  <c r="C183" i="28" s="1"/>
  <c r="C184" i="28" s="1"/>
  <c r="C185" i="28" s="1"/>
  <c r="C186" i="28" s="1"/>
  <c r="C187" i="28" s="1"/>
  <c r="C188" i="28" s="1"/>
  <c r="C189" i="28" s="1"/>
  <c r="C190" i="28" s="1"/>
  <c r="C191" i="28" s="1"/>
  <c r="C192" i="28" s="1"/>
  <c r="C193" i="28" s="1"/>
  <c r="C194" i="28" s="1"/>
  <c r="C195" i="28" s="1"/>
  <c r="C196" i="28" s="1"/>
  <c r="C197" i="28" s="1"/>
  <c r="C198" i="28" s="1"/>
  <c r="C199" i="28" s="1"/>
  <c r="C200" i="28" s="1"/>
  <c r="C201" i="28" s="1"/>
  <c r="C202" i="28" s="1"/>
  <c r="C203" i="28" s="1"/>
  <c r="C204" i="28" s="1"/>
  <c r="C205" i="28" s="1"/>
  <c r="C206" i="28" s="1"/>
  <c r="C207" i="28" s="1"/>
  <c r="C208" i="28" s="1"/>
  <c r="C209" i="28" s="1"/>
  <c r="C210" i="28" s="1"/>
  <c r="C211" i="28" s="1"/>
  <c r="C212" i="28" s="1"/>
  <c r="C213" i="28" s="1"/>
  <c r="C214" i="28" s="1"/>
  <c r="C215" i="28" s="1"/>
  <c r="C216" i="28" s="1"/>
  <c r="C217" i="28" s="1"/>
  <c r="C218" i="28" s="1"/>
  <c r="C219" i="28" s="1"/>
  <c r="C220" i="28" s="1"/>
  <c r="C221" i="28" s="1"/>
  <c r="C222" i="28" s="1"/>
  <c r="C223" i="28" s="1"/>
  <c r="C224" i="28" s="1"/>
  <c r="C225" i="28" s="1"/>
  <c r="C226" i="28" s="1"/>
  <c r="C227" i="28" s="1"/>
  <c r="C228" i="28" s="1"/>
  <c r="C229" i="28" s="1"/>
  <c r="C230" i="28" s="1"/>
  <c r="C231" i="28" s="1"/>
  <c r="C232" i="28" s="1"/>
  <c r="C233" i="28" s="1"/>
  <c r="C234" i="28" s="1"/>
  <c r="C235" i="28" s="1"/>
  <c r="C236" i="28" s="1"/>
  <c r="C237" i="28" s="1"/>
  <c r="C238" i="28" s="1"/>
  <c r="C239" i="28" s="1"/>
  <c r="C240" i="28" s="1"/>
  <c r="C241" i="28" s="1"/>
  <c r="C242" i="28" s="1"/>
  <c r="C243" i="28" s="1"/>
  <c r="C244" i="28" s="1"/>
  <c r="C245" i="28" s="1"/>
  <c r="C246" i="28" s="1"/>
  <c r="C247" i="28" s="1"/>
  <c r="C248" i="28" s="1"/>
  <c r="C249" i="28" s="1"/>
  <c r="C250" i="28" s="1"/>
  <c r="C251" i="28" s="1"/>
  <c r="C252" i="28" s="1"/>
  <c r="C253" i="28" s="1"/>
  <c r="C254" i="28" s="1"/>
  <c r="C255" i="28" s="1"/>
  <c r="C256" i="28" s="1"/>
  <c r="C257" i="28" s="1"/>
  <c r="C258" i="28" s="1"/>
  <c r="C259" i="28" s="1"/>
  <c r="C260" i="28" s="1"/>
  <c r="C261" i="28" s="1"/>
  <c r="C262" i="28" s="1"/>
  <c r="C263" i="28" s="1"/>
  <c r="C264" i="28" s="1"/>
  <c r="C265" i="28" s="1"/>
  <c r="C266" i="28" s="1"/>
  <c r="C267" i="28" s="1"/>
  <c r="C268" i="28" s="1"/>
  <c r="C269" i="28" s="1"/>
  <c r="C270" i="28" s="1"/>
  <c r="C271" i="28" s="1"/>
  <c r="C272" i="28" s="1"/>
  <c r="C273" i="28" s="1"/>
  <c r="C274" i="28" s="1"/>
  <c r="C275" i="28" s="1"/>
  <c r="C276" i="28" s="1"/>
  <c r="C277" i="28" s="1"/>
  <c r="C278" i="28" s="1"/>
  <c r="C279" i="28" s="1"/>
  <c r="C280" i="28" s="1"/>
  <c r="C281" i="28" s="1"/>
  <c r="C282" i="28" s="1"/>
  <c r="C283" i="28" s="1"/>
  <c r="C284" i="28" s="1"/>
  <c r="C285" i="28" s="1"/>
  <c r="C286" i="28" s="1"/>
  <c r="C287" i="28" s="1"/>
  <c r="C288" i="28" s="1"/>
  <c r="C289" i="28" s="1"/>
  <c r="C290" i="28" s="1"/>
  <c r="C291" i="28" s="1"/>
  <c r="C292" i="28" s="1"/>
  <c r="C293" i="28" s="1"/>
  <c r="C294" i="28" s="1"/>
  <c r="C295" i="28" s="1"/>
  <c r="C296" i="28" s="1"/>
  <c r="C297" i="28" s="1"/>
  <c r="C298" i="28" s="1"/>
  <c r="C299" i="28" s="1"/>
  <c r="C300" i="28" s="1"/>
  <c r="C301" i="28" s="1"/>
  <c r="C302" i="28" s="1"/>
  <c r="C303" i="28" s="1"/>
  <c r="C304" i="28" s="1"/>
  <c r="C305" i="28" s="1"/>
  <c r="C4" i="19"/>
  <c r="C5" i="19" s="1"/>
  <c r="C6" i="19" s="1"/>
  <c r="C7" i="19" s="1"/>
  <c r="C8" i="19" s="1"/>
  <c r="C9" i="19" s="1"/>
  <c r="C10" i="19" s="1"/>
  <c r="C11" i="19" s="1"/>
  <c r="C12" i="19" s="1"/>
  <c r="C13" i="19" s="1"/>
  <c r="C14" i="19" s="1"/>
  <c r="C15" i="19" s="1"/>
  <c r="C16" i="19" s="1"/>
  <c r="C17" i="19" s="1"/>
  <c r="C18" i="19" s="1"/>
  <c r="C19" i="19" s="1"/>
  <c r="C20" i="19" s="1"/>
  <c r="C21" i="19" s="1"/>
  <c r="C22" i="19" s="1"/>
  <c r="C23" i="19" s="1"/>
  <c r="C24" i="19" s="1"/>
  <c r="C25" i="19" s="1"/>
  <c r="C26" i="19" s="1"/>
  <c r="C27" i="19" s="1"/>
  <c r="C28" i="19" s="1"/>
  <c r="C29" i="19" s="1"/>
  <c r="C30" i="19" s="1"/>
  <c r="C31" i="19" s="1"/>
  <c r="C32" i="19" s="1"/>
  <c r="C33" i="19" s="1"/>
  <c r="C34" i="19" s="1"/>
  <c r="C35" i="19" s="1"/>
  <c r="C36" i="19" s="1"/>
  <c r="C37" i="19" s="1"/>
  <c r="C38" i="19" s="1"/>
  <c r="C39" i="19" s="1"/>
  <c r="C40" i="19" s="1"/>
  <c r="C41" i="19" s="1"/>
  <c r="C42" i="19" s="1"/>
  <c r="C43" i="19" s="1"/>
  <c r="C44" i="19" s="1"/>
  <c r="C45" i="19" s="1"/>
  <c r="C46" i="19" s="1"/>
  <c r="C47" i="19" s="1"/>
  <c r="C48" i="19" s="1"/>
  <c r="C49" i="19" s="1"/>
  <c r="C50" i="19" s="1"/>
  <c r="C51" i="19" s="1"/>
  <c r="C52" i="19" s="1"/>
  <c r="C53" i="19" s="1"/>
  <c r="C54" i="19" s="1"/>
  <c r="C55" i="19" s="1"/>
  <c r="C56" i="19" s="1"/>
  <c r="C57" i="19" s="1"/>
  <c r="C58" i="19" s="1"/>
  <c r="C59" i="19" s="1"/>
  <c r="C60" i="19" s="1"/>
  <c r="C61" i="19" s="1"/>
  <c r="C62" i="19" s="1"/>
  <c r="C63" i="19" s="1"/>
  <c r="C64" i="19" s="1"/>
  <c r="C65" i="19" s="1"/>
  <c r="C66" i="19" s="1"/>
  <c r="C67" i="19" s="1"/>
  <c r="C68" i="19" s="1"/>
  <c r="C69" i="19" s="1"/>
  <c r="C70" i="19" s="1"/>
  <c r="C71" i="19" s="1"/>
  <c r="C72" i="19" s="1"/>
  <c r="C73" i="19" s="1"/>
  <c r="C74" i="19" s="1"/>
  <c r="C75" i="19" s="1"/>
  <c r="C76" i="19" s="1"/>
  <c r="C77" i="19" s="1"/>
  <c r="C78" i="19" s="1"/>
  <c r="C79" i="19" s="1"/>
  <c r="C80" i="19" s="1"/>
  <c r="C81" i="19" s="1"/>
  <c r="C82" i="19" s="1"/>
  <c r="C83" i="19" s="1"/>
  <c r="C84" i="19" s="1"/>
  <c r="C85" i="19" s="1"/>
  <c r="C86" i="19" s="1"/>
  <c r="C87" i="19" s="1"/>
  <c r="C88" i="19" s="1"/>
  <c r="C89" i="19" s="1"/>
  <c r="C90" i="19" s="1"/>
  <c r="C91" i="19" s="1"/>
  <c r="C92" i="19" s="1"/>
  <c r="C93" i="19" s="1"/>
  <c r="C94" i="19" s="1"/>
  <c r="C95" i="19" s="1"/>
  <c r="C96" i="19" s="1"/>
  <c r="C97" i="19" s="1"/>
  <c r="C98" i="19" s="1"/>
  <c r="C99" i="19" s="1"/>
  <c r="C100" i="19" s="1"/>
  <c r="C101" i="19" s="1"/>
  <c r="C102" i="19" s="1"/>
  <c r="C103" i="19" s="1"/>
  <c r="C104" i="19" s="1"/>
  <c r="C105" i="19" s="1"/>
  <c r="C106" i="19" s="1"/>
  <c r="C107" i="19" s="1"/>
  <c r="C108" i="19" s="1"/>
  <c r="C109" i="19" s="1"/>
  <c r="C110" i="19" s="1"/>
  <c r="C111" i="19" s="1"/>
  <c r="C112" i="19" s="1"/>
  <c r="C113" i="19" s="1"/>
  <c r="C114" i="19" s="1"/>
  <c r="C115" i="19" s="1"/>
  <c r="C116" i="19" s="1"/>
  <c r="C117" i="19" s="1"/>
  <c r="C118" i="19" s="1"/>
  <c r="C119" i="19" s="1"/>
  <c r="C120" i="19" s="1"/>
  <c r="C121" i="19" s="1"/>
  <c r="C122" i="19" s="1"/>
  <c r="C123" i="19" s="1"/>
  <c r="C124" i="19" s="1"/>
  <c r="C125" i="19" s="1"/>
  <c r="C126" i="19" s="1"/>
  <c r="C127" i="19" s="1"/>
  <c r="C128" i="19" s="1"/>
  <c r="C129" i="19" s="1"/>
  <c r="C130" i="19" s="1"/>
  <c r="C131" i="19" s="1"/>
  <c r="C132" i="19" s="1"/>
  <c r="C133" i="19" s="1"/>
  <c r="C134" i="19" s="1"/>
  <c r="C135" i="19" s="1"/>
  <c r="C136" i="19" s="1"/>
  <c r="C137" i="19" s="1"/>
  <c r="C138" i="19" s="1"/>
  <c r="C139" i="19" s="1"/>
  <c r="C140" i="19" s="1"/>
  <c r="C141" i="19" s="1"/>
  <c r="C142" i="19" s="1"/>
  <c r="C143" i="19" s="1"/>
  <c r="C144" i="19" s="1"/>
  <c r="C145" i="19" s="1"/>
  <c r="C146" i="19" s="1"/>
  <c r="C147" i="19" s="1"/>
  <c r="C148" i="19" s="1"/>
  <c r="C149" i="19" s="1"/>
  <c r="C150" i="19" s="1"/>
  <c r="C151" i="19" s="1"/>
  <c r="C152" i="19" s="1"/>
  <c r="C153" i="19" s="1"/>
  <c r="C154" i="19" s="1"/>
  <c r="C155" i="19" s="1"/>
  <c r="C156" i="19" s="1"/>
  <c r="C157" i="19" s="1"/>
  <c r="C158" i="19" s="1"/>
  <c r="C159" i="19" s="1"/>
  <c r="C160" i="19" s="1"/>
  <c r="C161" i="19" s="1"/>
  <c r="C162" i="19" s="1"/>
  <c r="C163" i="19" s="1"/>
  <c r="C164" i="19" s="1"/>
  <c r="C165" i="19" s="1"/>
  <c r="C166" i="19" s="1"/>
  <c r="C167" i="19" s="1"/>
  <c r="C168" i="19" s="1"/>
  <c r="C169" i="19" s="1"/>
  <c r="C170" i="19" s="1"/>
  <c r="C171" i="19" s="1"/>
  <c r="C172" i="19" s="1"/>
  <c r="C173" i="19" s="1"/>
  <c r="C174" i="19" s="1"/>
  <c r="C175" i="19" s="1"/>
  <c r="C176" i="19" s="1"/>
  <c r="C177" i="19" s="1"/>
  <c r="C178" i="19" s="1"/>
  <c r="C179" i="19" s="1"/>
  <c r="C180" i="19" s="1"/>
  <c r="C181" i="19" s="1"/>
  <c r="C182" i="19" s="1"/>
  <c r="C183" i="19" s="1"/>
  <c r="C184" i="19" s="1"/>
  <c r="C185" i="19" s="1"/>
  <c r="C186" i="19" s="1"/>
  <c r="C187" i="19" s="1"/>
  <c r="C188" i="19" s="1"/>
  <c r="C189" i="19" s="1"/>
  <c r="C190" i="19" s="1"/>
  <c r="C191" i="19" s="1"/>
  <c r="C192" i="19" s="1"/>
  <c r="C193" i="19" s="1"/>
  <c r="C194" i="19" s="1"/>
  <c r="C195" i="19" s="1"/>
  <c r="C196" i="19" s="1"/>
  <c r="C197" i="19" s="1"/>
  <c r="C198" i="19" s="1"/>
  <c r="C199" i="19" s="1"/>
  <c r="C200" i="19" s="1"/>
  <c r="C201" i="19" s="1"/>
  <c r="C202" i="19" s="1"/>
  <c r="C203" i="19" s="1"/>
  <c r="C204" i="19" s="1"/>
  <c r="C205" i="19" s="1"/>
  <c r="C206" i="19" s="1"/>
  <c r="C207" i="19" s="1"/>
  <c r="C208" i="19" s="1"/>
  <c r="C209" i="19" s="1"/>
  <c r="C210" i="19" s="1"/>
  <c r="C211" i="19" s="1"/>
  <c r="C212" i="19" s="1"/>
  <c r="C213" i="19" s="1"/>
  <c r="C214" i="19" s="1"/>
  <c r="C215" i="19" s="1"/>
  <c r="C216" i="19" s="1"/>
  <c r="C217" i="19" s="1"/>
  <c r="C218" i="19" s="1"/>
  <c r="C219" i="19" s="1"/>
  <c r="C220" i="19" s="1"/>
  <c r="C221" i="19" s="1"/>
  <c r="C222" i="19" s="1"/>
  <c r="C223" i="19" s="1"/>
  <c r="C224" i="19" s="1"/>
  <c r="C225" i="19" s="1"/>
  <c r="C226" i="19" s="1"/>
  <c r="C227" i="19" s="1"/>
  <c r="C228" i="19" s="1"/>
  <c r="C229" i="19" s="1"/>
  <c r="C230" i="19" s="1"/>
  <c r="C231" i="19" s="1"/>
  <c r="C232" i="19" s="1"/>
  <c r="C233" i="19" s="1"/>
  <c r="C234" i="19" s="1"/>
  <c r="C235" i="19" s="1"/>
  <c r="C236" i="19" s="1"/>
  <c r="C237" i="19" s="1"/>
  <c r="C238" i="19" s="1"/>
  <c r="C239" i="19" s="1"/>
  <c r="C240" i="19" s="1"/>
  <c r="C241" i="19" s="1"/>
  <c r="C242" i="19" s="1"/>
  <c r="C243" i="19" s="1"/>
  <c r="C244" i="19" s="1"/>
  <c r="C245" i="19" s="1"/>
  <c r="C246" i="19" s="1"/>
  <c r="C247" i="19" s="1"/>
  <c r="C248" i="19" s="1"/>
  <c r="C249" i="19" s="1"/>
  <c r="C250" i="19" s="1"/>
  <c r="C251" i="19" s="1"/>
  <c r="C252" i="19" s="1"/>
  <c r="C253" i="19" s="1"/>
  <c r="C254" i="19" s="1"/>
  <c r="C255" i="19" s="1"/>
</calcChain>
</file>

<file path=xl/sharedStrings.xml><?xml version="1.0" encoding="utf-8"?>
<sst xmlns="http://schemas.openxmlformats.org/spreadsheetml/2006/main" count="29284" uniqueCount="4791">
  <si>
    <t>MÃ CHỨNG TỪ</t>
  </si>
  <si>
    <t>NGÀY GHI SỔ</t>
  </si>
  <si>
    <t>SỐ CHỨNG TỪ</t>
  </si>
  <si>
    <t>BỘ PHẬN</t>
  </si>
  <si>
    <t>HỢP ĐỒNG</t>
  </si>
  <si>
    <t>MÃ SẢN PHẨM, CÔNG TRÌNH</t>
  </si>
  <si>
    <t>MÃ ĐỐI TƯỢNG</t>
  </si>
  <si>
    <t>DIỄN GIẢI</t>
  </si>
  <si>
    <t>TÀI KHOẢN</t>
  </si>
  <si>
    <t>MÃ TIỀN TỆ</t>
  </si>
  <si>
    <t>TỶ GIÁ</t>
  </si>
  <si>
    <t>NGUYÊN TỆ</t>
  </si>
  <si>
    <t>THÀNH TIỀN</t>
  </si>
  <si>
    <t>NỢ</t>
  </si>
  <si>
    <t>CÓ</t>
  </si>
  <si>
    <t>Mã</t>
  </si>
  <si>
    <t>Status</t>
  </si>
  <si>
    <t>STT</t>
  </si>
  <si>
    <t>PK</t>
  </si>
  <si>
    <t>0110269067-001</t>
  </si>
  <si>
    <t>VND</t>
  </si>
  <si>
    <t>Done</t>
  </si>
  <si>
    <t>0313168515-005</t>
  </si>
  <si>
    <t>0312065210</t>
  </si>
  <si>
    <t>0110269067</t>
  </si>
  <si>
    <t>0102721191-001</t>
  </si>
  <si>
    <t>0106639692</t>
  </si>
  <si>
    <t>0106056281</t>
  </si>
  <si>
    <t>0315827587</t>
  </si>
  <si>
    <t>0318678340</t>
  </si>
  <si>
    <t>0312886947</t>
  </si>
  <si>
    <t>0311241512</t>
  </si>
  <si>
    <t>0311187079</t>
  </si>
  <si>
    <t>0314299599-002</t>
  </si>
  <si>
    <t>0000000003</t>
  </si>
  <si>
    <t>0109998900</t>
  </si>
  <si>
    <t>0317557505</t>
  </si>
  <si>
    <t>0108392659-001</t>
  </si>
  <si>
    <t>0313658809</t>
  </si>
  <si>
    <t>0000000001</t>
  </si>
  <si>
    <t>0313581779</t>
  </si>
  <si>
    <t>0000000002</t>
  </si>
  <si>
    <t>0312885005</t>
  </si>
  <si>
    <t>0315803699</t>
  </si>
  <si>
    <t>0106773786</t>
  </si>
  <si>
    <t>0314777492</t>
  </si>
  <si>
    <t>0303202799</t>
  </si>
  <si>
    <t>0108951120-002</t>
  </si>
  <si>
    <t>8568979698-001</t>
  </si>
  <si>
    <t>0318475414</t>
  </si>
  <si>
    <t>0108109926</t>
  </si>
  <si>
    <t>0313948307</t>
  </si>
  <si>
    <t>0315847456</t>
  </si>
  <si>
    <t>0901158017</t>
  </si>
  <si>
    <t>0302712571</t>
  </si>
  <si>
    <t>0318062865</t>
  </si>
  <si>
    <t>0108750008</t>
  </si>
  <si>
    <t>0109990838</t>
  </si>
  <si>
    <t>0106915180</t>
  </si>
  <si>
    <t>0318876014</t>
  </si>
  <si>
    <t>8710040770-001</t>
  </si>
  <si>
    <t>0316873240</t>
  </si>
  <si>
    <t>0307787891</t>
  </si>
  <si>
    <t>0304130177</t>
  </si>
  <si>
    <t>0317200311</t>
  </si>
  <si>
    <t>0313342918</t>
  </si>
  <si>
    <t>8537932805-001</t>
  </si>
  <si>
    <t>0109361325</t>
  </si>
  <si>
    <t>0317435899</t>
  </si>
  <si>
    <t>0312089162</t>
  </si>
  <si>
    <t>8783523554-001</t>
  </si>
  <si>
    <t>0000000000</t>
  </si>
  <si>
    <t>0315343473</t>
  </si>
  <si>
    <t>2803062864</t>
  </si>
  <si>
    <t>0314905391</t>
  </si>
  <si>
    <t>0305887996</t>
  </si>
  <si>
    <t xml:space="preserve"> NGUYÊN TỆ </t>
  </si>
  <si>
    <t xml:space="preserve"> THÀNH TIỀN </t>
  </si>
  <si>
    <t> </t>
  </si>
  <si>
    <t>8077953218-001</t>
  </si>
  <si>
    <t>0108269207-003</t>
  </si>
  <si>
    <t>0315391861</t>
  </si>
  <si>
    <t>0108493600</t>
  </si>
  <si>
    <t>0312959095</t>
  </si>
  <si>
    <t>0101063172</t>
  </si>
  <si>
    <t>0313596856</t>
  </si>
  <si>
    <t>079200020738</t>
  </si>
  <si>
    <t>0314709816</t>
  </si>
  <si>
    <t>0318496894</t>
  </si>
  <si>
    <t>0108269207</t>
  </si>
  <si>
    <t>0100100294</t>
  </si>
  <si>
    <t>0108335146</t>
  </si>
  <si>
    <t>0108771840</t>
  </si>
  <si>
    <t>0309300048</t>
  </si>
  <si>
    <t>0311854540-018</t>
  </si>
  <si>
    <t>0313168515-004</t>
  </si>
  <si>
    <t>0315909712</t>
  </si>
  <si>
    <t>0316690279</t>
  </si>
  <si>
    <t>0317975534</t>
  </si>
  <si>
    <t>HỘ KINH DOANH HUỲNH THUYÊN</t>
  </si>
  <si>
    <t>8456794480-001</t>
  </si>
  <si>
    <t>HỘ KINH DOANH NGUYỄN HUỆ MAKEUP</t>
  </si>
  <si>
    <t>HỘ KINH DOANH HOÀNG THẠCH</t>
  </si>
  <si>
    <t>8785516231-001</t>
  </si>
  <si>
    <t>0101778163-001</t>
  </si>
  <si>
    <t>8336384757-001</t>
  </si>
  <si>
    <t>0318416465</t>
  </si>
  <si>
    <t>0318712471</t>
  </si>
  <si>
    <t>8443847047-001</t>
  </si>
  <si>
    <t>8423525669-001</t>
  </si>
  <si>
    <t>070095006110</t>
  </si>
  <si>
    <t>Tên HKD</t>
  </si>
  <si>
    <t>Trang hóa đơn đầu ra</t>
  </si>
  <si>
    <t>ID</t>
  </si>
  <si>
    <t>Mật khẩu</t>
  </si>
  <si>
    <t>Trang hóa đơn đầu vào</t>
  </si>
  <si>
    <t>Bảo hiểm</t>
  </si>
  <si>
    <t>Số Chủ HKD đóng BHXH</t>
  </si>
  <si>
    <t>Mức đóng BHXH chủ hộ</t>
  </si>
  <si>
    <t>Thời gian đóng BHXH</t>
  </si>
  <si>
    <t>Số Nhân viên đóng BHXH</t>
  </si>
  <si>
    <t>Mức lương (NET)</t>
  </si>
  <si>
    <t>Bảo hiểm (NET)</t>
  </si>
  <si>
    <t>Link sever</t>
  </si>
  <si>
    <t>Mật khẩu 3TSOFT</t>
  </si>
  <si>
    <t>Sao kê ngân hàng</t>
  </si>
  <si>
    <t>HỘ KINH DOANH REENCY NGÔ</t>
  </si>
  <si>
    <t>https://8443847047-001.matbao.in/</t>
  </si>
  <si>
    <t>admin</t>
  </si>
  <si>
    <t>123456789Aa@</t>
  </si>
  <si>
    <t>https://hoadondientu.gdt.gov.vn/</t>
  </si>
  <si>
    <t>https://dichvucong.baohiemxahoi.gov.vn/</t>
  </si>
  <si>
    <t>https://drive.google.com/drive/folders/10B2LBaI-Ivc00wuEtr8SyrLPY4UoRHmc</t>
  </si>
  <si>
    <t>reency_tc</t>
  </si>
  <si>
    <t>HỘ KINH DOANH HÀ BÁNH QUY</t>
  </si>
  <si>
    <t>https://8710040770-001.matbao.in/</t>
  </si>
  <si>
    <t>https://drive.google.com/drive/folders/1RcD2-m3cTlEMpQ-q_lN6XvbUKBFkrkzc</t>
  </si>
  <si>
    <t>habanhquy_tc</t>
  </si>
  <si>
    <t>HỘ KINH DOANH ĐỖ TRỊNH LƯƠNG OFFICIAL</t>
  </si>
  <si>
    <t>https://8836978269-001.matbao.in/</t>
  </si>
  <si>
    <t>8836978269-001</t>
  </si>
  <si>
    <t>https://drive.google.com/drive/folders/1zXZvu1qkE9DpVB41RUzb_tH_nfYrD8gt</t>
  </si>
  <si>
    <t>luongdo_tc</t>
  </si>
  <si>
    <t>HỘ KINH DOANH KIỀU NGỌC LAN</t>
  </si>
  <si>
    <t>https://8785516231-001.matbao.in/</t>
  </si>
  <si>
    <t>https://drive.google.com/drive/folders/1hevD7Sbgbo5Cjm70wkb5G4t1MZUkmEIo</t>
  </si>
  <si>
    <t>kieulan_tc</t>
  </si>
  <si>
    <t>HỘ KINH DOANH TÂM TÀI TRÍ</t>
  </si>
  <si>
    <t>https://8417307084-001.matbao.in/</t>
  </si>
  <si>
    <t>8417307084-001</t>
  </si>
  <si>
    <t>https://drive.google.com/drive/folders/13N1eKOPJeSBluI9swmarwHQLpi9TbXB-</t>
  </si>
  <si>
    <t>tamtritai_tc</t>
  </si>
  <si>
    <t>HỘ KINH DOANH LƯƠNG LEE OFFICIAL</t>
  </si>
  <si>
    <t>https://8339629042-001.matbao.in/</t>
  </si>
  <si>
    <t>8339629042-001</t>
  </si>
  <si>
    <t>https://drive.google.com/drive/folders/1YOs8AfovGBFxVy9JBLCbRSWaFrYU7hYd</t>
  </si>
  <si>
    <t>luonglee_tc</t>
  </si>
  <si>
    <t>https://8077953218-001.matbao.in/</t>
  </si>
  <si>
    <t>https://drive.google.com/drive/folders/17p38StQpkmZ5yXGc61-WizGJo4bDJ4Xu</t>
  </si>
  <si>
    <t>huynhthuyen_tc</t>
  </si>
  <si>
    <t>HỘ KINH DOANH PU MÉT BẢY</t>
  </si>
  <si>
    <t>https://8307704000-002.matbao.in/</t>
  </si>
  <si>
    <t>8307704000-002</t>
  </si>
  <si>
    <t>https://drive.google.com/drive/folders/1I13C-EhwboDA5JtQzqnjfWyy-mrUkFvj</t>
  </si>
  <si>
    <t>pumetbay_tc</t>
  </si>
  <si>
    <t>HỘ KINH DOANH ĐĂNG VI OFFICIAL</t>
  </si>
  <si>
    <t>https://8568979698-001.matbao.in/</t>
  </si>
  <si>
    <t>https://drive.google.com/drive/folders/1XvOfR3XrMWmjGh0wgG0DerBzR5THkwug</t>
  </si>
  <si>
    <t>dangvi_tc</t>
  </si>
  <si>
    <t>https://8456794480-001.matbao.in/</t>
  </si>
  <si>
    <t>https://drive.google.com/drive/folders/1BdRSgvmKog7l1Rmgm10T5BM96IVsynD0</t>
  </si>
  <si>
    <t>nguyenhue_tc</t>
  </si>
  <si>
    <t>HỘ KINH DOANH CỔ NGÂN OFFICIAL</t>
  </si>
  <si>
    <t>https://8427727031-001.matbao.in/</t>
  </si>
  <si>
    <t>8427727031-001</t>
  </si>
  <si>
    <t>https://drive.google.com/drive/folders/1AzSYLy8TAZxHTc7OTzvALwgvuxSFoIs8</t>
  </si>
  <si>
    <t>congan_tc</t>
  </si>
  <si>
    <t>HỘ KINH DOANH TRƯƠNG NHÃ DINH</t>
  </si>
  <si>
    <t>https://8423525669-001.matbao.in/</t>
  </si>
  <si>
    <t>https://drive.google.com/drive/folders/1AeVV-dwrvG2KWBYSz-3ro660eOh5M8VL</t>
  </si>
  <si>
    <t>nhadinh_tc</t>
  </si>
  <si>
    <t>HỘ KINH DOANH NGỌC TÚ ANH</t>
  </si>
  <si>
    <t>https://8336384757-001.matbao.in/</t>
  </si>
  <si>
    <t>https://drive.google.com/drive/folders/1-PSj1cyjNYOQHNhPZHghbVLGGvmZCqYR</t>
  </si>
  <si>
    <t>ngoctuanh_tc</t>
  </si>
  <si>
    <t>HỘ KINH DOANH HỌC NHÂN SKINCARE</t>
  </si>
  <si>
    <t>https://8783523554-001.matbao.in/</t>
  </si>
  <si>
    <t>https://drive.google.com/drive/folders/1AyNcejKrV-AST3HY8fe_rDB2gxDlxeq4</t>
  </si>
  <si>
    <t>hocnhan_tc</t>
  </si>
  <si>
    <t>https://8537932805-001.matbao.in/</t>
  </si>
  <si>
    <t>https://drive.google.com/drive/folders/1ImGai80G9Uf6MlzpMiq_-XlN4PioVYGc</t>
  </si>
  <si>
    <t>hoangthach_tc</t>
  </si>
  <si>
    <t>HỘ KINH DOANH TRANG TRẦN OFFICIAL</t>
  </si>
  <si>
    <t>https://8548655046-002.matbao.in/</t>
  </si>
  <si>
    <t>8548655046-002</t>
  </si>
  <si>
    <t>https://drive.google.com/drive/folders/1fXzRRKAuXR4Cn_lnpzbMomSGkGs6lGfr</t>
  </si>
  <si>
    <t>trangtran_tc</t>
  </si>
  <si>
    <t>HỘ KINH DOANH VŨ THÁI BÌNH OFFICIAL</t>
  </si>
  <si>
    <t>https://070095006110.matbao.in/</t>
  </si>
  <si>
    <t>https://drive.google.com/drive/folders/19_kkRHm5diIBTr6vrCUpGYXtbVo_nlEo</t>
  </si>
  <si>
    <t>vuthaibinh_tc</t>
  </si>
  <si>
    <t>HỘ KINH DOANH ÔNG THỈ BÀ LONG</t>
  </si>
  <si>
    <t>https://079200020738.matbao.in/</t>
  </si>
  <si>
    <t>https://drive.google.com/drive/folders/19UUoxYxh3ZAY0-x06uFv2MtP9RSe9ltp</t>
  </si>
  <si>
    <t>longthuy_tc</t>
  </si>
  <si>
    <t>HỘ KINH DOANH TRẦN HỒNG PHÚC</t>
  </si>
  <si>
    <t>https://072098001948.matbao.in/</t>
  </si>
  <si>
    <t>https://drive.google.com/drive/folders/1J33Lx8ezMkDnVxPYP34t7aorbu-dYePQ</t>
  </si>
  <si>
    <t>hongphuc_tc</t>
  </si>
  <si>
    <t>HỘ KINH DOANH NGỌC XUÂN NHI</t>
  </si>
  <si>
    <t>https://079302004855.matbao.in/</t>
  </si>
  <si>
    <t>https://drive.google.com/drive/folders/1-UNQ5ITavdiSdvii5zAqk7bvoDslZyLg</t>
  </si>
  <si>
    <t>ngocxuannhi_tc</t>
  </si>
  <si>
    <t>HỘ KINH DOANH HẢI ĐĂNG OFFICIAL</t>
  </si>
  <si>
    <t>https://079098009021.matbao.in/</t>
  </si>
  <si>
    <t>https://drive.google.com/drive/folders/1PrNJ9oHajezeu0Dk3r0QnoPDTHhgeYMC</t>
  </si>
  <si>
    <t>haidang_tc</t>
  </si>
  <si>
    <t>HỘ KINH DOANH ĐOÀN VÂN ANH</t>
  </si>
  <si>
    <t>https://014198000033.matbao.in/</t>
  </si>
  <si>
    <t>https://drive.google.com/drive/folders/1feeC1ekRMC4J0CCNJfqNqvNjwWN9ztHO</t>
  </si>
  <si>
    <t>vanjinka_tc</t>
  </si>
  <si>
    <t>HỘ KINH DOANH THÚY NGA OFFICIAL</t>
  </si>
  <si>
    <t>https://052300008705.matbao.in/</t>
  </si>
  <si>
    <t>https://drive.google.com/drive/folders/1f6Pc1Gx4rTqC1KNvmCWZuFWXQ1ytEwa4</t>
  </si>
  <si>
    <t>ID2</t>
  </si>
  <si>
    <t>Mật khẩu3</t>
  </si>
  <si>
    <t>ID4</t>
  </si>
  <si>
    <t>Mật khẩu5</t>
  </si>
  <si>
    <t>Thời gian đóng BHXH6</t>
  </si>
  <si>
    <t>Done hạch toán</t>
  </si>
  <si>
    <t>Progress</t>
  </si>
  <si>
    <t>0313403198</t>
  </si>
  <si>
    <t>072098001948</t>
  </si>
  <si>
    <t>0100233583</t>
  </si>
  <si>
    <t>0301955155</t>
  </si>
  <si>
    <t>0318793255</t>
  </si>
  <si>
    <t>079302004855</t>
  </si>
  <si>
    <t>079098009021</t>
  </si>
  <si>
    <t>014198000033</t>
  </si>
  <si>
    <t>052300008705</t>
  </si>
  <si>
    <t>0313875232</t>
  </si>
  <si>
    <t>0309300048-011</t>
  </si>
  <si>
    <t>5300634655-004</t>
  </si>
  <si>
    <t>0315973108</t>
  </si>
  <si>
    <t>0317371758</t>
  </si>
  <si>
    <t>0318716846</t>
  </si>
  <si>
    <t>0317476817</t>
  </si>
  <si>
    <t>0300721002</t>
  </si>
  <si>
    <t>0308455031</t>
  </si>
  <si>
    <t>0110364095</t>
  </si>
  <si>
    <t>0317702022</t>
  </si>
  <si>
    <t>0313771882</t>
  </si>
  <si>
    <t>0319053912</t>
  </si>
  <si>
    <t>1801417397</t>
  </si>
  <si>
    <t>0110173291</t>
  </si>
  <si>
    <t>0109685231</t>
  </si>
  <si>
    <t>0314922220</t>
  </si>
  <si>
    <t>MÃ SẢN PHẨM CÔNG TRÌNH</t>
  </si>
  <si>
    <t>0315317201</t>
  </si>
  <si>
    <t>0317591792</t>
  </si>
  <si>
    <t>0314313765</t>
  </si>
  <si>
    <t>0312505165</t>
  </si>
  <si>
    <t>0316718291</t>
  </si>
  <si>
    <t>0311389477</t>
  </si>
  <si>
    <t>0314325087</t>
  </si>
  <si>
    <t>0317248708</t>
  </si>
  <si>
    <t>0309965814</t>
  </si>
  <si>
    <t>0319109185</t>
  </si>
  <si>
    <t>0318972335</t>
  </si>
  <si>
    <t>025075000300</t>
  </si>
  <si>
    <t>0317601095</t>
  </si>
  <si>
    <t>0316871719</t>
  </si>
  <si>
    <t>0312534261</t>
  </si>
  <si>
    <t>0316068967</t>
  </si>
  <si>
    <t>0311854540-003</t>
  </si>
  <si>
    <t>0313175103</t>
  </si>
  <si>
    <t>0314047922</t>
  </si>
  <si>
    <t>0318861674</t>
  </si>
  <si>
    <t>0318755115</t>
  </si>
  <si>
    <t>0108104540</t>
  </si>
  <si>
    <t>0315627066</t>
  </si>
  <si>
    <t>0310524194</t>
  </si>
  <si>
    <t>0315322096</t>
  </si>
  <si>
    <t>0108372860</t>
  </si>
  <si>
    <t>0111065108</t>
  </si>
  <si>
    <t>0108823048</t>
  </si>
  <si>
    <t>0319164002</t>
  </si>
  <si>
    <t>0314086054</t>
  </si>
  <si>
    <t>0102006360</t>
  </si>
  <si>
    <t>3901344393</t>
  </si>
  <si>
    <t>0315275368</t>
  </si>
  <si>
    <t>0318304384</t>
  </si>
  <si>
    <t>0318873158</t>
  </si>
  <si>
    <t>0313168515-015</t>
  </si>
  <si>
    <t>0311117635</t>
  </si>
  <si>
    <t>0318137694</t>
  </si>
  <si>
    <t>0314294897</t>
  </si>
  <si>
    <t>0317411584</t>
  </si>
  <si>
    <t>0317507783</t>
  </si>
  <si>
    <t>0319196614</t>
  </si>
  <si>
    <t>0110716597</t>
  </si>
  <si>
    <t>0315332009</t>
  </si>
  <si>
    <t>8891446995-002</t>
  </si>
  <si>
    <t>0317837492</t>
  </si>
  <si>
    <t>0109028941</t>
  </si>
  <si>
    <t>0111275916</t>
  </si>
  <si>
    <t>0313269922</t>
  </si>
  <si>
    <t>0317449933</t>
  </si>
  <si>
    <t>BN</t>
  </si>
  <si>
    <t>BC</t>
  </si>
  <si>
    <t>PC</t>
  </si>
  <si>
    <t>201719908M</t>
  </si>
  <si>
    <t>0309385588</t>
  </si>
  <si>
    <t xml:space="preserve">  1.600.000 </t>
  </si>
  <si>
    <t xml:space="preserve">  33.500.000 </t>
  </si>
  <si>
    <t xml:space="preserve">  6.400.000 </t>
  </si>
  <si>
    <t>thuynga_tc</t>
  </si>
  <si>
    <t>HỘ KINH DOANH THIÊN KIM MINH CHÂU</t>
  </si>
  <si>
    <t>https://drive.google.com/drive/folders/1O5AjTXx4D-siQhxiyVsFlAE8UZ4QLrJI</t>
  </si>
  <si>
    <t>minhchau_tc</t>
  </si>
  <si>
    <t>HỘ KINH DOANH VŨ DUY OFFICIAL</t>
  </si>
  <si>
    <t>https://drive.google.com/drive/folders/1MZXXBvKPRxmbLJVZiMypTIgzyuoO9Yqo</t>
  </si>
  <si>
    <t>HỘ KINH DOANH AN VY OFFICIAL</t>
  </si>
  <si>
    <t>https://drive.google.com/drive/folders/1PnCw53gaao6cJfOHbak2pkqCW8EnE-Bz</t>
  </si>
  <si>
    <t>anvy_tc</t>
  </si>
  <si>
    <t>HỘ KINH DOANH VÂN PHẠM</t>
  </si>
  <si>
    <t>https://drive.google.com/drive/folders/1k6_VNcGiXinM3KJUFyS_pQU1cWbJ6fOE</t>
  </si>
  <si>
    <t>vanpham_tc</t>
  </si>
  <si>
    <t>HỘ KINH DOANH MINH NGHĨA OFFICIAL</t>
  </si>
  <si>
    <t>https://drive.google.com/drive/folders/1d4VXcOvprHJZ8mJx8DfzlFhtHW98X8_o</t>
  </si>
  <si>
    <t>minhnghia_tc</t>
  </si>
  <si>
    <t>HỘ KINH DOANH THÚY VI</t>
  </si>
  <si>
    <t>https://drive.google.com/drive/folders/18RdniJAi4vvWwR3kv3OweogrlSuy3liu</t>
  </si>
  <si>
    <t>Thiếu sao kê</t>
  </si>
  <si>
    <t>Column1</t>
  </si>
  <si>
    <t>Độ dài diễn giải</t>
  </si>
  <si>
    <t>068199000053</t>
  </si>
  <si>
    <t>0317775768</t>
  </si>
  <si>
    <t>0318964447</t>
  </si>
  <si>
    <t>0317458913</t>
  </si>
  <si>
    <t>0303902751</t>
  </si>
  <si>
    <t>0318809272</t>
  </si>
  <si>
    <t>0305547132</t>
  </si>
  <si>
    <t>0104093672</t>
  </si>
  <si>
    <t>0312650437</t>
  </si>
  <si>
    <t>0306717450</t>
  </si>
  <si>
    <t>0306182043</t>
  </si>
  <si>
    <t>0317176186</t>
  </si>
  <si>
    <t>0301241545</t>
  </si>
  <si>
    <t>0313395684</t>
  </si>
  <si>
    <t>0313522075</t>
  </si>
  <si>
    <t>0316037655</t>
  </si>
  <si>
    <t>0314001942</t>
  </si>
  <si>
    <t>0311168534</t>
  </si>
  <si>
    <t>0317257438</t>
  </si>
  <si>
    <t>0318154481</t>
  </si>
  <si>
    <t>Back to summary</t>
  </si>
  <si>
    <t>Column2</t>
  </si>
  <si>
    <t>092097002234</t>
  </si>
  <si>
    <t>ok</t>
  </si>
  <si>
    <t>Chưa phát sinh, 206 mới làm</t>
  </si>
  <si>
    <t>0318393803</t>
  </si>
  <si>
    <t>082198013719</t>
  </si>
  <si>
    <t>031196005568</t>
  </si>
  <si>
    <t>0109722010</t>
  </si>
  <si>
    <t>0315542327</t>
  </si>
  <si>
    <t>0111293859</t>
  </si>
  <si>
    <t>079195008785</t>
  </si>
  <si>
    <t>Chi phí bảo hiểm nhân viên tháng 2025.12</t>
  </si>
  <si>
    <t>Chi phí bảo hiểm chủ HKD tháng 2025.10</t>
  </si>
  <si>
    <t>Chi phí bảo hiểm chủ HKD tháng 2025.11</t>
  </si>
  <si>
    <t>Chi phí bảo hiểm chủ HKD tháng 2025.12</t>
  </si>
  <si>
    <t>Chi phí bảo hiểm nhân viên tháng 2025.10</t>
  </si>
  <si>
    <t>Chi phí bảo hiểm nhân viên tháng 2025.11</t>
  </si>
  <si>
    <t>Sao kê không đúng</t>
  </si>
  <si>
    <t>3502384588</t>
  </si>
  <si>
    <t>Len</t>
  </si>
  <si>
    <t>089200016993</t>
  </si>
  <si>
    <t>Lỗi số dư sao kê đầu kỳ không khớp</t>
  </si>
  <si>
    <t>0100112437</t>
  </si>
  <si>
    <t>NGÂN HÀNG THƯƠNG MẠI CỔ PHẦN NGOẠI THƯƠNG VIỆT NAM</t>
  </si>
  <si>
    <t>Tên đối tượng</t>
  </si>
  <si>
    <t>CÔNG TY TNHH ACTSONE VIỆT NAM</t>
  </si>
  <si>
    <t>CÔNG TY CỔ PHẦN GENA THÁI BÌNH DƯƠNG</t>
  </si>
  <si>
    <t>CÔNG TY CỔ PHẦN METUB VIỆT NAM</t>
  </si>
  <si>
    <t>CÔNG TY TNHH NÀNG THƠM COMMUNICATION</t>
  </si>
  <si>
    <t>VĂN PHÒNG ĐẠI DIỆN BELECO CO.,LTD. TẠI THÀNH PHỐ HỒ CHÍ MINH</t>
  </si>
  <si>
    <t>CÔNG TY TNHH SPARKLE MEDIA</t>
  </si>
  <si>
    <t>CÔNG TY TNHH MINDO SOLUTIONS</t>
  </si>
  <si>
    <t>CÔNG TY CỔ PHẦN Y&amp;B</t>
  </si>
  <si>
    <t>CÔNG TY TNHH KARMARTS VIỆT NAM</t>
  </si>
  <si>
    <t>CÔNG TY CP ĐẦU TƯ BULSAN GROUP</t>
  </si>
  <si>
    <t>CÔNG TY TNHH MTV THƯƠNG MẠI DỊCH VỤ BLUE OCEAN</t>
  </si>
  <si>
    <t>CÔNG TY TNHH DỊCH VỤ TRUYỀN THÔNG MAKE SENSE</t>
  </si>
  <si>
    <t>CÔNG TY TNHH ĐẦU TƯ XUẤT NHẬP KHẨU TÍN VIỆT</t>
  </si>
  <si>
    <t>CÔNG TY TNHH ONPOINT</t>
  </si>
  <si>
    <t>CÔNG TY TNHH CAF VIỆT NAM</t>
  </si>
  <si>
    <t>CÔNG TY TNHH ZEE</t>
  </si>
  <si>
    <t>CÔNG TY CỔ PHẦN THƯƠNG MẠI DỊCH VỤ UNICORN</t>
  </si>
  <si>
    <t>CÔNG TY CỔ PHẦN MAISON RETAIL MANAGEMENT INTERNATIONAL</t>
  </si>
  <si>
    <t>CÔNG TY TNHH DỊCH VỤ TRUYỀN THÔNG VÀ GIẢI TRÍ SỰ KIỆN BSTARS</t>
  </si>
  <si>
    <t>CÔNG TY TNHH TOOM MEDIA</t>
  </si>
  <si>
    <t>CÔNG TY CỔ PHẦN CÔNG NGHỆ UPBASE</t>
  </si>
  <si>
    <t>CÔNG TY TNHH TƯ VẤN GIẢI PHÁP DOANH NGHIỆP TPC</t>
  </si>
  <si>
    <t>TIKTOK PTE. LTD.</t>
  </si>
  <si>
    <t>CÔNG TY TNHH TƯ VẤN DỊCH VỤ CHỒI XANH</t>
  </si>
  <si>
    <t>CÔNG TY CỔ PHẦN YESHI</t>
  </si>
  <si>
    <t>Công ty Cổ phần Mắt Bão</t>
  </si>
  <si>
    <t>CÔNG TY TNHH THƯƠNG MẠI DỊCH VỤ THE NOON</t>
  </si>
  <si>
    <t>CÔNG TY TRÁCH NHIỆM HỮU HẠN PIZZA VIỆT NAM</t>
  </si>
  <si>
    <t>CÔNG TY TNHH THƯƠNG MẠI DỊCH VỤ MẠCH KIM CHÂU</t>
  </si>
  <si>
    <t>CÔNG TY TNHH TƯ VẤN VÀ KẾ TOÁN T&amp;C</t>
  </si>
  <si>
    <t>CHI NHÁNH THÀNH PHỐ HỒ CHÍ MINH - CÔNG TY CỔ PHẦN DI CHUYỂN XANH VÀ THÔNG MINH GSM</t>
  </si>
  <si>
    <t>CÔNG TY CỔ PHẦN SOM TUM THAI</t>
  </si>
  <si>
    <t>CÔNG TY TNHH GODMOTHER VIỆT NAM</t>
  </si>
  <si>
    <t>CÔNG TY TNHH MTV THƯƠNG MẠI DỊCH VỤ BÌNH ĐÔNG</t>
  </si>
  <si>
    <t>CÔNG TY CỔ PHẦN AKA HOUSE</t>
  </si>
  <si>
    <t>CÔNG TY TNHH GRAB</t>
  </si>
  <si>
    <t>TỔNG CÔNG TY CỔ PHẦN BƯU CHÍNH VIETTEL</t>
  </si>
  <si>
    <t>CÔNG TY CỔ PHẦN TẬP ĐOÀN GOLDEN GATE - CHI NHÁNH MIỀN NAM</t>
  </si>
  <si>
    <t>CÔNG TY TNHH CRHCMC</t>
  </si>
  <si>
    <t>CHI NHÁNH CÔNG TY CỔ PHẦN PIZZA 4PS - NHÀ HÀNG PIZZA 4PS HAI BÀ TRƯNG</t>
  </si>
  <si>
    <t>CÔNG TY CỔ PHẦN EVERY HALF BEAN</t>
  </si>
  <si>
    <t>CÔNG TY TNHH TBS VIỆT NAM</t>
  </si>
  <si>
    <t>CÔNG TY CỔ PHẦN KING FOOD MARKET</t>
  </si>
  <si>
    <t>CÔNG TY TNHH VÒNG TRÒN ĐỎ</t>
  </si>
  <si>
    <t>CÔNG TY TNHH CHADA THÁI</t>
  </si>
  <si>
    <t>CÔNG TY TNHH MAY THÊU GIÀY AN PHƯỚC</t>
  </si>
  <si>
    <t>CÔNG TY TNHH GF CAPITAL (VIỆT NAM)</t>
  </si>
  <si>
    <t>CÔNG TY TNHH MỘC F&amp;B</t>
  </si>
  <si>
    <t>KHÁC</t>
  </si>
  <si>
    <t>BẢO HIỂM XÃ HỘI</t>
  </si>
  <si>
    <t>02/01/2026</t>
  </si>
  <si>
    <t>03/01/2026</t>
  </si>
  <si>
    <t>08/01/2026</t>
  </si>
  <si>
    <t>25/01/2026</t>
  </si>
  <si>
    <t>02/02/2026</t>
  </si>
  <si>
    <t>09/02/2026</t>
  </si>
  <si>
    <t>12/02/2026</t>
  </si>
  <si>
    <t>15/02/2026</t>
  </si>
  <si>
    <t>19/02/2026</t>
  </si>
  <si>
    <t>02/03/2026</t>
  </si>
  <si>
    <t>0104109604</t>
  </si>
  <si>
    <t>0110269067-016</t>
  </si>
  <si>
    <t>Phí dịch vụ Affiliate 12/2025_17308880261 HĐ số 32077</t>
  </si>
  <si>
    <t>Xăng RON 95 Mức 3 HĐ số 11634</t>
  </si>
  <si>
    <t>Cước phí vận chuyển mã 01KEDD3GA0VRWVFCCWXQRB9ZH1
Chiết khấu thương mại/ giảm giá mã 01KEDD3GA0VRWVFCCWXQRB9ZH1
Phí nền tảng mã 01KEDD3GA0VRWVFCCWXQRB9ZH1 HĐ số 2103062</t>
  </si>
  <si>
    <t>Cước phí vận chuyển mã 01KFTXPBD4JEDC3XVVDHT1D3YJ
Chiết khấu thương mại/ giảm giá mã 01KFTXPBD4JEDC3XVVDHT1D3YJ
Phí nền tảng mã 01KFTXPBD4JEDC3XVVDHT1D3YJ HĐ số 7779506</t>
  </si>
  <si>
    <t>Phí dịch vụ Affiliate 01/2026_17308880261 (Affiliate Service fee 01/2026_17308880261) HĐ số 761821</t>
  </si>
  <si>
    <t>Cước phí vận chuyển mã 01KH00HCZH1WE5J3AHGH2A4BMB
Chiết khấu thương mại/ giảm giá mã 01KH00HCZH1WE5J3AHGH2A4BMB HĐ số 594661</t>
  </si>
  <si>
    <t>Cước phí vận chuyển mã 01KH8839WQH005QK0SY2F1GPQC
Chiết khấu thương mại/ giảm giá mã 01KH8839WQH005QK0SY2F1GPQC
Phí nền tảng mã 01KH8839WQH005QK0SY2F1GPQC HĐ số 13495873</t>
  </si>
  <si>
    <t>Cước phí vận chuyển mã 01KHFDE9WKCX0F5T0THZ6MATDG
Chiết khấu thương mại/ giảm giá mã 01KHFDE9WKCX0F5T0THZ6MATDG HĐ số 14287321</t>
  </si>
  <si>
    <t>Cước phí vận chuyển mã 01KHF912WE4S7C14ZYWKXA9BAX
Chiết khấu thương mại/ giảm giá mã 01KHF912WE4S7C14ZYWKXA9BAX HĐ số 14278658</t>
  </si>
  <si>
    <t>Cước phí vận chuyển mã 01KHTNKC4XQP832T47NYJWC3CM
Phí nền tảng mã 01KHTNKC4XQP832T47NYJWC3CM HĐ số 15131484</t>
  </si>
  <si>
    <t>Phí dịch vụ Affiliate 02/2026_17308880261 (Affiliate Service fee 02/2026_17308880261) HĐ số 1625231</t>
  </si>
  <si>
    <t>Chi phí bảo hiểm tháng 2026.01</t>
  </si>
  <si>
    <t>Chi phí bảo hiểm tháng 2026.02</t>
  </si>
  <si>
    <t>Chi phí bảo hiểm tháng 2026.03</t>
  </si>
  <si>
    <t>Thanh toán Phí dịch vụ Affiliate 12/2025_17308880261 HĐ số 32077</t>
  </si>
  <si>
    <t>Thanh toán Xăng RON 95 Mức 3 HĐ số 11634</t>
  </si>
  <si>
    <t>Thanh toán Cước phí vận chuyển mã 01KEDD3GA0VRWVFCCWXQRB9ZH1
Chiết khấu thương mại/ giảm giá mã 01KEDD3GA0VRWVFCCWXQRB9ZH1
Phí nền tảng mã 01KEDD3GA0VRWVFCCWXQRB9ZH1 HĐ số 2103062</t>
  </si>
  <si>
    <t>Thanh toán Cước phí vận chuyển mã 01KFTXPBD4JEDC3XVVDHT1D3YJ
Chiết khấu thương mại/ giảm giá mã 01KFTXPBD4JEDC3XVVDHT1D3YJ
Phí nền tảng mã 01KFTXPBD4JEDC3XVVDHT1D3YJ HĐ số 7779506</t>
  </si>
  <si>
    <t>Thanh toán Phí dịch vụ Affiliate 01/2026_17308880261 (Affiliate Service fee 01/2026_17308880261) HĐ số 761821</t>
  </si>
  <si>
    <t>Thanh toán Cước phí vận chuyển mã 01KH00HCZH1WE5J3AHGH2A4BMB
Chiết khấu thương mại/ giảm giá mã 01KH00HCZH1WE5J3AHGH2A4BMB HĐ số 594661</t>
  </si>
  <si>
    <t>Thanh toán Cước phí vận chuyển mã 01KH8839WQH005QK0SY2F1GPQC
Chiết khấu thương mại/ giảm giá mã 01KH8839WQH005QK0SY2F1GPQC
Phí nền tảng mã 01KH8839WQH005QK0SY2F1GPQC HĐ số 13495873</t>
  </si>
  <si>
    <t>Thanh toán Cước phí vận chuyển mã 01KHF912WE4S7C14ZYWKXA9BAX
Chiết khấu thương mại/ giảm giá mã 01KHF912WE4S7C14ZYWKXA9BAX HĐ số 14278658</t>
  </si>
  <si>
    <t>Thanh toán Cước phí vận chuyển mã 01KHFDE9WKCX0F5T0THZ6MATDG
Chiết khấu thương mại/ giảm giá mã 01KHFDE9WKCX0F5T0THZ6MATDG HĐ số 14287321</t>
  </si>
  <si>
    <t>Thanh toán Cước phí vận chuyển mã 01KHTNKC4XQP832T47NYJWC3CM
Phí nền tảng mã 01KHTNKC4XQP832T47NYJWC3CM HĐ số 15131484</t>
  </si>
  <si>
    <t>Thanh toán Phí dịch vụ Affiliate 02/2026_17308880261 (Affiliate Service fee 02/2026_17308880261) HĐ số 1625231</t>
  </si>
  <si>
    <t>04/01/2026</t>
  </si>
  <si>
    <t>05/01/2026</t>
  </si>
  <si>
    <t>09/01/2026</t>
  </si>
  <si>
    <t>29/01/2026</t>
  </si>
  <si>
    <t>31/01/2026</t>
  </si>
  <si>
    <t>05/02/2026</t>
  </si>
  <si>
    <t>07/02/2026</t>
  </si>
  <si>
    <t>11/02/2026</t>
  </si>
  <si>
    <t>14/02/2026</t>
  </si>
  <si>
    <t>04/03/2026</t>
  </si>
  <si>
    <t>08/03/2026</t>
  </si>
  <si>
    <t>20/03/2026</t>
  </si>
  <si>
    <t>28/03/2026</t>
  </si>
  <si>
    <t>0108183976-002</t>
  </si>
  <si>
    <t>0312396766</t>
  </si>
  <si>
    <t>0110660922</t>
  </si>
  <si>
    <t>0110374791</t>
  </si>
  <si>
    <t>0109148188</t>
  </si>
  <si>
    <t>0111271372</t>
  </si>
  <si>
    <t>Phí dịch vụ tư vấn tháng 12/2025 HĐ số 7</t>
  </si>
  <si>
    <t>Phí dịch vụ tư vấn tháng 01/2026 HĐ số 41</t>
  </si>
  <si>
    <t>Tiền thuê văn phòng gói SAVE+ từ ngày 01/02/2026 đến ngày 22/11/2026 tại địa chỉ Số 05 Đồng Nai, Phường Tân Sơn Hòa, TP. Hồ Chí Minh. Theo phụ lục hợp đồng số: 0701/VPA/05DN  HĐ số 291</t>
  </si>
  <si>
    <t>Món ăn Nhật Bản Omakase, suất ăn dễ thương; bao gồm: các loại cá, thịt bò, mực, tôm,.... theo ngày,  súp và kem ( Kawai set) HĐ số 103</t>
  </si>
  <si>
    <t>Phí dịch vụ tư vấn tháng 02/2026 HĐ số 73</t>
  </si>
  <si>
    <t>07/01/2026</t>
  </si>
  <si>
    <t>14/01/2026</t>
  </si>
  <si>
    <t>19/01/2026</t>
  </si>
  <si>
    <t>27/01/2026</t>
  </si>
  <si>
    <t>28/01/2026</t>
  </si>
  <si>
    <t>30/01/2026</t>
  </si>
  <si>
    <t>25/02/2026</t>
  </si>
  <si>
    <t>26/02/2026</t>
  </si>
  <si>
    <t>27/02/2026</t>
  </si>
  <si>
    <t>03/03/2026</t>
  </si>
  <si>
    <t>05/03/2026</t>
  </si>
  <si>
    <t>10/03/2026</t>
  </si>
  <si>
    <t>19/03/2026</t>
  </si>
  <si>
    <t>26/03/2026</t>
  </si>
  <si>
    <t>31/03/2026</t>
  </si>
  <si>
    <t>0317616334</t>
  </si>
  <si>
    <t>0318669995</t>
  </si>
  <si>
    <t>3603331818</t>
  </si>
  <si>
    <t>0318908192</t>
  </si>
  <si>
    <t>Dịch vụ quảng cáo và truyền thông theo Hợp đồng số T0825A1/HĐB/DCME-ADN205 ký ngày 06/01/2026 HĐ số 2</t>
  </si>
  <si>
    <t>Dịch vụ quảng cáo và truyền thông theo Hợp đồng số 31/12/25//HDDV/Mialala - HBQ ký ngày 25/12/2025 và Biên bản nghiệm thu ký ngày 07/01/2026 HĐ số 1</t>
  </si>
  <si>
    <t>Dịch vụ quảng cáo và truyền thông theo Hợp đồng số 06012026HDDVHABANHQUYBOJ ký ngày 06/01/2026 và Biên bản nghiệm thu ký ngày 09/01/2026 HĐ số 3</t>
  </si>
  <si>
    <t>Dịch vụ quảng cáo và truyền thông theo Hợp đồng số T0126A1/HĐBK-KOL/DCME-ADN206 ký ngày 06/01/2026 HĐ số 4</t>
  </si>
  <si>
    <t>Dịch vụ quảng cáo và truyền thông theo Hợp đồng số T0923A1/HĐB/DCME-ADN206 ký ngày 17/01/2026 HĐ số 5</t>
  </si>
  <si>
    <t>Dịch vụ quảng cáo và truyền thông theo Hợp đồng số 210126/HĐDV/TIAM-COOKIEHOANG_ ký ngày 21/01/2026 HĐ số 6</t>
  </si>
  <si>
    <t>Dịch vụ quảng cáo và truyền thông theo Hợp đồng số 270126/HĐDV/CHUNG-COOKIEHOANG_ ký ngày 27/01/2026 HĐ số 7</t>
  </si>
  <si>
    <t>Dịch vụ quảng cáo và truyền thông theo Hợp đồng số FINTVN-LAURIER-PANTIES-2026-60 ký ngày 20/01/2026 và Biên bản nghiệm thu ký ngày 30/01/2026 HĐ số 8</t>
  </si>
  <si>
    <t>Dịch vụ quảng cáo và truyền thông theo Hợp đồng số T09MPD25HDDV-0084-0319 MINHHUYEN ký ngày 30/01/2026 và Biên bản nghiệm thu ký ngày 12/02/2026 HĐ số 9</t>
  </si>
  <si>
    <t>Dịch vụ quảng cáo và truyền thông theo Hợp đồng số 15/01/2026/ Hộ Kinh Doanh Hà Bánh Quy-VERITES/HDDV ký ngày 15/01/2026 và Biên bản nghiệm thu thanh lý ký ngày 25/02/2026 HĐ số 11</t>
  </si>
  <si>
    <t>Dịch vụ quảng cáo và truyền thông theo Hợp đồng số HKD HABANHQUY _3BRO3_SIMPLE CORE_260103_001 ký ngày 12/02/2026 HĐ số 10</t>
  </si>
  <si>
    <t>Dịch vụ quảng cáo và truyền thông theo Hợp đồng số FINTVN-ATTENIR-2026-41 ký ngày 03/02/2026 (Đợt 1) HĐ số 12</t>
  </si>
  <si>
    <t>Dịch vụ quảng cáo và truyền thông theo Hợp đồng số 11022026HĐGT-HBQ ký ngày 11/02/2026 HĐ số 13</t>
  </si>
  <si>
    <t>Dịch vụ quảng cáo và truyền thông theo Hợp đồng số FINTVN-ATTENIR-2026-41 ký ngày 03/02/2026 (Đợt 2) HĐ số 15</t>
  </si>
  <si>
    <t>Dịch vụ quảng cáo và truyền thông theo Hợp đồng số 26022026/HDDV/TUXI-HBQ ký ngày 26/02/2026 (Đợt 1) HĐ số 14</t>
  </si>
  <si>
    <t>Dịch vụ quảng cáo và truyền thông theo Hợp đồng số 1712026/HĐDV/Y&amp;B ký ngày 02/01/2026 kèm Biên bản nghiệm thu và thanh toán số 1712026/BBNT-TT/Y&amp;B ký ngày 05/03/2026 HĐ số 16</t>
  </si>
  <si>
    <t>Dịch vụ quảng cáo và truyền thông theo Hợp đồng số HKD HABANHQUY _3BRO1_GARNIER MOCHI CAMP FEB_260107_001 ký ngày 01/02/2026 và Biên bản nghiệm thu ký ngày 10/03/2026 HĐ số 17</t>
  </si>
  <si>
    <t>Dịch vụ quảng cáo và truyền thông theo Hợp đồng số T1025A1/HĐB/DCME-ADN206 ký ngày 04/03/2026 HĐ số 20</t>
  </si>
  <si>
    <t>Dịch vụ quảng cáo và truyền thông theo Hợp đồng số 5332026/HĐDV/Y&amp;B ký ngày 01/03/2026 kèm Biên bản nghiệm thu và thanh toán số 5332026/BBNT-TT/Y&amp;B ký ngày 31/03/2026 HĐ số 21</t>
  </si>
  <si>
    <t>Chi phí bảo hiểm chủ HKD tháng 2026.01</t>
  </si>
  <si>
    <t>Chi phí bảo hiểm chủ HKD tháng 2026.02</t>
  </si>
  <si>
    <t>Chi phí bảo hiểm chủ HKD tháng 2026.03</t>
  </si>
  <si>
    <t>10/01/2026</t>
  </si>
  <si>
    <t>11/01/2026</t>
  </si>
  <si>
    <t>12/01/2026</t>
  </si>
  <si>
    <t>16/01/2026</t>
  </si>
  <si>
    <t>17/01/2026</t>
  </si>
  <si>
    <t>22/01/2026</t>
  </si>
  <si>
    <t>01/02/2026</t>
  </si>
  <si>
    <t>03/02/2026</t>
  </si>
  <si>
    <t>04/02/2026</t>
  </si>
  <si>
    <t>06/02/2026</t>
  </si>
  <si>
    <t>08/02/2026</t>
  </si>
  <si>
    <t>10/02/2026</t>
  </si>
  <si>
    <t>20/02/2026</t>
  </si>
  <si>
    <t>24/02/2026</t>
  </si>
  <si>
    <t>01/03/2026</t>
  </si>
  <si>
    <t>06/03/2026</t>
  </si>
  <si>
    <t>07/03/2026</t>
  </si>
  <si>
    <t>09/03/2026</t>
  </si>
  <si>
    <t>11/03/2026</t>
  </si>
  <si>
    <t>12/03/2026</t>
  </si>
  <si>
    <t>13/03/2026</t>
  </si>
  <si>
    <t>16/03/2026</t>
  </si>
  <si>
    <t>17/03/2026</t>
  </si>
  <si>
    <t>18/03/2026</t>
  </si>
  <si>
    <t>21/03/2026</t>
  </si>
  <si>
    <t>22/03/2026</t>
  </si>
  <si>
    <t>27/03/2026</t>
  </si>
  <si>
    <t>29/03/2026</t>
  </si>
  <si>
    <t>5300634655-001</t>
  </si>
  <si>
    <t>0101400822-001</t>
  </si>
  <si>
    <t>Cơm Lươn Nướng
Nước Suối
Cơm Cá Hồi, Trứng Cá Hồi &amp; Cá Ngừ
Sashimi 6 Loại
Cá Saba Nướng Than HĐ số 319</t>
  </si>
  <si>
    <t>Cước phí vận tải chuyến 1276564232
Phí sử dụng ứng dụng Be HĐ số 2227302</t>
  </si>
  <si>
    <t>Phí dịch vụ tư vấn tháng 11/2025 HĐ số 31</t>
  </si>
  <si>
    <t>Cơm chiên CUA
Hàu trên chảo sắt
Mực chiên tỏi lý sơn
Nước ép DỨA
Nước ép DƯA HẤU
Soup Tôm Tomyum NƯỚC TRONG
Xôi xoài HĐ số 1592</t>
  </si>
  <si>
    <t>Cước phí vận tải chuyến 1281537115
Phí sử dụng ứng dụng Be
Phí dịch vụ thông báo tình trạng đơn hàng HĐ số 1664259</t>
  </si>
  <si>
    <t>Cước phí vận tải chuyến 1282536354
Phí sử dụng ứng dụng Be HĐ số 3847382</t>
  </si>
  <si>
    <t>Cước phí vận tải chuyến 1282301566
Phí sử dụng ứng dụng Be HĐ số 3795365</t>
  </si>
  <si>
    <t>Cước phí vận tải chuyến 1281903174
Phí sử dụng ứng dụng Be HĐ số 3693271</t>
  </si>
  <si>
    <t>Cước phí vận tải chuyến 1286905500
Phí sử dụng ứng dụng Be HĐ số 2318464</t>
  </si>
  <si>
    <t>Cước phí vận tải chuyến 1290065369
Phí sử dụng ứng dụng Be HĐ số 5861970</t>
  </si>
  <si>
    <t>Cước phí vận tải chuyến 1290123563
Phí sử dụng ứng dụng Be HĐ số 2681351</t>
  </si>
  <si>
    <t>Cước phí vận tải chuyến 1293823092
Phí sử dụng ứng dụng Be HĐ số 3143786</t>
  </si>
  <si>
    <t xml:space="preserve"> HĐ số 287002</t>
  </si>
  <si>
    <t>Cước phí vận tải chuyến 1296163756
Phí sử dụng ứng dụng Be HĐ số 7406618</t>
  </si>
  <si>
    <t>Phí dịch vụ tư vấn tháng 01/2026 HĐ số 43</t>
  </si>
  <si>
    <t>Cước phí vận tải chuyến 1296802780
Phí sử dụng ứng dụng Be HĐ số 7584364</t>
  </si>
  <si>
    <t>Phí dịch vụ Affiliate 01/2026_17343960000 (Affiliate Service fee 01/2026_17343960000) HĐ số 827955</t>
  </si>
  <si>
    <t>Cước phí vận tải chuyến 1300049185
Phí sử dụng ứng dụng Be HĐ số 8323973</t>
  </si>
  <si>
    <t>Cước phí vận tải chuyến 1300619749
Phí sử dụng ứng dụng Be HĐ số 3877559</t>
  </si>
  <si>
    <t>Cước phí vận tải chuyến 1302807838
Phí sử dụng ứng dụng Be HĐ số 8931931</t>
  </si>
  <si>
    <t>LCBAGM- LC TÚI TB
LN5FSK20LV-WR00- Chân váy HĐ số 259</t>
  </si>
  <si>
    <t>Cước phí vận tải chuyến 1306074493
Phí sử dụng ứng dụng Be HĐ số 9576271</t>
  </si>
  <si>
    <t>Vé máy bay_Mã đặt chỗ 1327155352/ SGN_HAN HĐ số 5393</t>
  </si>
  <si>
    <t>Cước phí vận tải chuyến 1309072691
Phí sử dụng ứng dụng Be HĐ số 10121926</t>
  </si>
  <si>
    <t>Cước phí vận tải chuyến 1316022295
Phí sử dụng ứng dụng Be HĐ số 11652056</t>
  </si>
  <si>
    <t>Cước phí vận tải chuyến 1318573064
Phí sử dụng ứng dụng Be HĐ số 12327695</t>
  </si>
  <si>
    <t>Cước phí vận tải chuyến 1318436232
Phí sử dụng ứng dụng Be HĐ số 12299224</t>
  </si>
  <si>
    <t>Cước phí vận tải chuyến 1318191128
Phí sử dụng ứng dụng Be HĐ số 12252040</t>
  </si>
  <si>
    <t>Cước phí vận tải chuyến 1319432031
Phí sử dụng ứng dụng Be HĐ số 12535332</t>
  </si>
  <si>
    <t>Cước phí vận tải chuyến 1319316872
Phí sử dụng ứng dụng Be HĐ số 12506891</t>
  </si>
  <si>
    <t>Cước phí vận tải chuyến 1320020141
Phí sử dụng ứng dụng Be HĐ số 12667163</t>
  </si>
  <si>
    <t>Cước phí vận tải chuyến 1319921577
Phí sử dụng ứng dụng Be HĐ số 12650610</t>
  </si>
  <si>
    <t>Cước phí vận tải chuyến 1319915083
Phí sử dụng ứng dụng Be HĐ số 5687214</t>
  </si>
  <si>
    <t>Cước phí vận tải chuyến 1320788916
Phí sử dụng ứng dụng Be HĐ số 12851020</t>
  </si>
  <si>
    <t>Cước phí vận tải chuyến 1320743346
Phí sử dụng ứng dụng Be HĐ số 12841573</t>
  </si>
  <si>
    <t>Cước phí vận tải chuyến 1320717952
Phí sử dụng ứng dụng Be HĐ số 5758717</t>
  </si>
  <si>
    <t xml:space="preserve"> HĐ số 512154</t>
  </si>
  <si>
    <t>Nước Mía Tắc
Dừa Tươi
Cải Rổ Xào
Gỏi Đu Đủ Tôm Khô
Cánh Gà Chiên
Hủ Tíu Xào Hải Sản Kiểu Thái
Súp Sườn Heo HĐ số 5288</t>
  </si>
  <si>
    <t>Cước phí vận tải chuyến 1322412782
Phí sử dụng ứng dụng Be HĐ số 13272244</t>
  </si>
  <si>
    <t>Cước phí vận tải chuyến 1322332016
Phí sử dụng ứng dụng Be HĐ số 13256226</t>
  </si>
  <si>
    <t>Cước phí vận tải chuyến 1323085904
Phí sử dụng ứng dụng Be HĐ số 13463252</t>
  </si>
  <si>
    <t>Phí dịch vụ Affiliate 02/2026_17343960000 (Affiliate Service fee 02/2026_17343960000) HĐ số 1678229</t>
  </si>
  <si>
    <t>Cước phí vận tải chuyến 1327698333
Phí sử dụng ứng dụng Be HĐ số 14556927</t>
  </si>
  <si>
    <t>Cước phí vận tải chuyến 1328280147
Phí sử dụng ứng dụng Be HĐ số 14701330</t>
  </si>
  <si>
    <t>Cước phí vận tải chuyến 1328120160
Phí sử dụng ứng dụng Be HĐ số 14669101</t>
  </si>
  <si>
    <t>Cước phí vận tải chuyến 1327790840
Phí sử dụng ứng dụng Be HĐ số 14585783</t>
  </si>
  <si>
    <t>Cước phí vận tải chuyến 1328087476
Phí sử dụng ứng dụng Be HĐ số 6599423</t>
  </si>
  <si>
    <t>Cước phí vận tải chuyến 1329151877
Phí sử dụng ứng dụng Be HĐ số 6724732</t>
  </si>
  <si>
    <t>Cước phí vận tải chuyến 1329811744
Phí sử dụng ứng dụng Be HĐ số 15071109</t>
  </si>
  <si>
    <t>Cước phí vận tải chuyến 1331042800
Phí sử dụng ứng dụng Be HĐ số 15358264</t>
  </si>
  <si>
    <t>Extra (1) Thịt cuộn lá mè - Roasted pork in perilla
Mực chiên - Calamari
Cơm chiên sate tôm - Sate shrimp fried rice
Orange Juice
Phí dịch vụ HĐ số 2293</t>
  </si>
  <si>
    <t>Cước phí vận tải chuyến 1332394443
Phí sử dụng ứng dụng Be HĐ số 7088061</t>
  </si>
  <si>
    <t>Cước phí vận tải chuyến 1332149730
Phí sử dụng ứng dụng Be HĐ số 7061992</t>
  </si>
  <si>
    <t>Cước phí vận tải chuyến 1332088084
Phí sử dụng ứng dụng Be HĐ số 7054042</t>
  </si>
  <si>
    <t>Cước phí vận tải chuyến 1333271770
Phí sử dụng ứng dụng Be HĐ số 15921424</t>
  </si>
  <si>
    <t>Cước phí vận tải chuyến 1333241137
Phí sử dụng ứng dụng Be HĐ số 15912961</t>
  </si>
  <si>
    <t>Cước phí vận tải chuyến 1333132693
Phí sử dụng ứng dụng Be HĐ số 15885427</t>
  </si>
  <si>
    <t>Cước phí vận tải chuyến 1332882371
Phí sử dụng ứng dụng Be HĐ số 15826691</t>
  </si>
  <si>
    <t>Cước phí vận tải chuyến 1334123571
Phí sử dụng ứng dụng Be HĐ số 16143193</t>
  </si>
  <si>
    <t>Phí dịch vụ tư vấn tháng 02/2026 HĐ số 93</t>
  </si>
  <si>
    <t>Cước phí vận tải chuyến 1337181949
Phí sử dụng ứng dụng Be HĐ số 7667741</t>
  </si>
  <si>
    <t>Dịch vụ quảng cáo và truyền thông theo Hợp đồng số
 022026/VANHANH/BLIVEE-LUONGDO ngày 02/02/2026 và Biên bản nghiệm thu và thanh lý ngày 18/03/2026 HĐ số 95</t>
  </si>
  <si>
    <t>Cước phí vận tải chuyến 1338843126
Phí sử dụng ứng dụng Be HĐ số 7883395</t>
  </si>
  <si>
    <t>Cước phí vận tải chuyến 1340249832
Phí sử dụng ứng dụng Be HĐ số 17735460</t>
  </si>
  <si>
    <t>Cước phí vận tải chuyến 1339975426
Phí sử dụng ứng dụng Be HĐ số 17683371</t>
  </si>
  <si>
    <t>Cước phí vận tải chuyến 1339856615
Phí sử dụng ứng dụng Be HĐ số 17651523</t>
  </si>
  <si>
    <t>Cước phí vận tải chuyến 1339821933
Phí sử dụng ứng dụng Be HĐ số 17646197</t>
  </si>
  <si>
    <t>Cước phí vận tải chuyến 1339636391
Phí sử dụng ứng dụng Be HĐ số 17602782</t>
  </si>
  <si>
    <t>Cước phí vận tải chuyến 1339575535
Phí sử dụng ứng dụng Be HĐ số 17589869</t>
  </si>
  <si>
    <t>Cước phí vận tải chuyến 1340066688
Phí sử dụng ứng dụng Be HĐ số 8049531</t>
  </si>
  <si>
    <t>Cước phí vận tải chuyến 1339672290
Phí sử dụng ứng dụng Be HĐ số 7989367</t>
  </si>
  <si>
    <t>Cước phí vận tải chuyến 1339682594
Phí sử dụng ứng dụng Be HĐ số 7986840</t>
  </si>
  <si>
    <t>Cước phí vận tải chuyến 1340634517
Phí sử dụng ứng dụng Be HĐ số 17852555</t>
  </si>
  <si>
    <t>Cước phí vận tải chuyến 1340585866
Phí sử dụng ứng dụng Be HĐ số 17843158</t>
  </si>
  <si>
    <t>Cước phí vận tải chuyến 1341012502
Phí sử dụng ứng dụng Be HĐ số 8151062</t>
  </si>
  <si>
    <t>Cước phí vận tải chuyến 1347058501
Phí sử dụng ứng dụng Be HĐ số 19505407</t>
  </si>
  <si>
    <t>Cước phí vận tải chuyến 1346955395
Phí sử dụng ứng dụng Be HĐ số 19482332</t>
  </si>
  <si>
    <t>Cước phí vận tải chuyến 1346877169
Phí sử dụng ứng dụng Be HĐ số 8861776</t>
  </si>
  <si>
    <t>Cước phí vận tải chuyến 1347604181
Phí sử dụng ứng dụng Be HĐ số 8947921</t>
  </si>
  <si>
    <t>06/01/2026</t>
  </si>
  <si>
    <t>13/01/2026</t>
  </si>
  <si>
    <t>21/01/2026</t>
  </si>
  <si>
    <t>0314619520</t>
  </si>
  <si>
    <t>0315344981</t>
  </si>
  <si>
    <t>Dịch vụ quảng cáo và truyền thông theo Hợp đồng số 10122025/HĐ-DVQC2025 ký ngày 10/12/2025 kèm Biên bản nghiệm thu và thanh lý ký ngày 06/01/2026 HĐ số 1</t>
  </si>
  <si>
    <t>Dịch vụ quảng cáo và truyền thông theo Hợp đồng số 018/HĐHT-TRIO ký ngày 08/11/2025 và Biên bản nghiệm thu ký ngày 13/01/2026 HĐ số 2</t>
  </si>
  <si>
    <t>Dịch vụ quảng cáo và truyền thông theo Phạm vi công việc số 3 ký ngày 02/01/2026 của Hợp đồng dịch vụ khung ký ngày 26/07/2025 và Biên bản nghiệm thu ký ngày 21/01/2026 HĐ số 3</t>
  </si>
  <si>
    <t>Thanh toán 100% phí dịch vụ OAP - Glyco Repush 2 - Video - Scope 3 - 3001 SOW số 35381/2025/WPP-BTL-LO ID Tiktok: im.lukedo HĐ số 4</t>
  </si>
  <si>
    <t>Dịch vụ quảng cáo và truyền thông theo Hợp đồng số 2212.25/VL-TLO/ACNES ký ngày 22/12/2025 kèm Biên bản nghiệm thu và thanh lý ký ngày 24/02/2026 HĐ số 5</t>
  </si>
  <si>
    <t>Thanh toán 100% phí dịch vụ GRN - KOC Hub Skin MCL Pink - Video - Scope 3 - 100326 SOW số 36952/2025/WPP-BTL-LO ID Tiktok: im.lukedo HĐ số 6</t>
  </si>
  <si>
    <t>Dịch vụ quảng cáo và truyền thông theo Hợp đồng số 12/2025/HĐHTKD ký ngày 01/12/2025 và Biên bản nghiệm thu ký ngày 07/03/2026 HĐ số 7</t>
  </si>
  <si>
    <t>Chi phí bảo hiểm nhân viên tháng 2026.01</t>
  </si>
  <si>
    <t>Chi phí bảo hiểm nhân viên tháng 2026.02</t>
  </si>
  <si>
    <t>Chi phí bảo hiểm nhân viên tháng 2026.03</t>
  </si>
  <si>
    <t>15/01/2026</t>
  </si>
  <si>
    <t>26/01/2026</t>
  </si>
  <si>
    <t>23/02/2026</t>
  </si>
  <si>
    <t>14/03/2026</t>
  </si>
  <si>
    <t>23/03/2026</t>
  </si>
  <si>
    <t>24/03/2026</t>
  </si>
  <si>
    <t>25/03/2026</t>
  </si>
  <si>
    <t>30/03/2026</t>
  </si>
  <si>
    <t>0110269067-010</t>
  </si>
  <si>
    <t>0110731193</t>
  </si>
  <si>
    <t>Phí dịch vụ tư vấn tháng 12/2025 HĐ số 16</t>
  </si>
  <si>
    <t>Cước phí vận chuyển mã 01KEH7QE73A64VFC21QYWZF2SW HĐ số 3379740</t>
  </si>
  <si>
    <t>Cước phí vận chuyển mã 01KF1047DKTGAWYNKMJC1MZTE1
Chiết khấu thương mại/ giảm giá mã 01KF1047DKTGAWYNKMJC1MZTE1
Phí nền tảng mã 01KF1047DKTGAWYNKMJC1MZTE1 HĐ số 5819104</t>
  </si>
  <si>
    <t>Cước phí vận chuyển mã 01KFXC1BAJSE27M2YJ4XRYQESH
Chiết khấu thương mại/ giảm giá mã 01KFXC1BAJSE27M2YJ4XRYQESH
Phí nền tảng mã 01KFXC1BAJSE27M2YJ4XRYQESH HĐ số 10773019</t>
  </si>
  <si>
    <t>Cước phí vận chuyển mã 01KFZJHBDFW68636EJ4AXJ6EDW
Chiết khấu thương mại/ giảm giá mã 01KFZJHBDFW68636EJ4AXJ6EDW HĐ số 11099977</t>
  </si>
  <si>
    <t>Cước phí vận chuyển mã 01KG51HVF2CWMA9HZGSWEPFZMG
Phí nền tảng mã 01KG51HVF2CWMA9HZGSWEPFZMG HĐ số 12051991</t>
  </si>
  <si>
    <t>Phí dịch vụ tư vấn tháng 01/2026 HĐ số 36</t>
  </si>
  <si>
    <t>Cước phí vận chuyển mã 01KGFG0KBAHNTAV156DS2MQKB1
Chiết khấu thương mại/ giảm giá mã 01KGFG0KBAHNTAV156DS2MQKB1 HĐ số 260530</t>
  </si>
  <si>
    <t>Cước phí vận chuyển mã 01KGMK84PXE0HXPQWQG0T9BKM1
Phí nền tảng mã 01KGMK84PXE0HXPQWQG0T9BKM1 HĐ số 14926953</t>
  </si>
  <si>
    <t>Cước phí vận chuyển mã 01KGMEBR55HDMSV4RW6W8BW5BG HĐ số 14885064</t>
  </si>
  <si>
    <t>Cước phí vận chuyển mã 01KGVX5ETH4R3XEFNDW0M9V4QQ
Phí nền tảng mã 01KGVX5ETH4R3XEFNDW0M9V4QQ HĐ số 16336324</t>
  </si>
  <si>
    <t>Cước phí vận chuyển mã 01KGYXWP3A875XWBYXT5ET44CX
Phí nền tảng mã 01KGYXWP3A875XWBYXT5ET44CX HĐ số 16977104</t>
  </si>
  <si>
    <t>Cước phí vận chuyển mã 01KGY95JDJX8MF0F06SFXGRN31
Chiết khấu thương mại/ giảm giá mã 01KGY95JDJX8MF0F06SFXGRN31
Phí nền tảng mã 01KGY95JDJX8MF0F06SFXGRN31 HĐ số 16794092</t>
  </si>
  <si>
    <t>Cước phí vận chuyển mã 01KH0WG5C9NQQJNNSVTHV51HA8
Phí nền tảng mã 01KH0WG5C9NQQJNNSVTHV51HA8 HĐ số 17268284</t>
  </si>
  <si>
    <t>Cước phí vận chuyển mã 01KH0JSS3ZZ75JGK1ATTXPD603
Chiết khấu thương mại/ giảm giá mã 01KH0JSS3ZZ75JGK1ATTXPD603
Phí nền tảng mã 01KH0JSS3ZZ75JGK1ATTXPD603 HĐ số 17192041</t>
  </si>
  <si>
    <t>Cước phí vận chuyển mã 01KH07KCEXMTEQC2547F4E9X4G
Chiết khấu thương mại/ giảm giá mã 01KH07KCEXMTEQC2547F4E9X4G HĐ số 17117729</t>
  </si>
  <si>
    <t>Cước phí vận chuyển mã 01KJ5A617ADWKD23ESHT5Z1T1J
Chiết khấu thương mại/ giảm giá mã 01KJ5A617ADWKD23ESHT5Z1T1J HĐ số 21865786</t>
  </si>
  <si>
    <t>Cước phí vận chuyển mã 01KJ7H25WV1YVRMGBC2V2H1BAB
Chiết khấu thương mại/ giảm giá mã 01KJ7H25WV1YVRMGBC2V2H1BAB
Phí nền tảng mã 01KJ7H25WV1YVRMGBC2V2H1BAB HĐ số 22192195</t>
  </si>
  <si>
    <t>Cước phí vận chuyển mã 01KJ7954ZM7MFYY9A2VB22D1BJ
Chiết khấu thương mại/ giảm giá mã 01KJ7954ZM7MFYY9A2VB22D1BJ
Phí nền tảng mã 01KJ7954ZM7MFYY9A2VB22D1BJ HĐ số 22130883</t>
  </si>
  <si>
    <t>Cước phí vận chuyển mã 01KJQ21SW4Z96YZ3MMC928903B
Chiết khấu thương mại/ giảm giá mã 01KJQ21SW4Z96YZ3MMC928903B
Phí nền tảng mã 01KJQ21SW4Z96YZ3MMC928903B HĐ số 24786978</t>
  </si>
  <si>
    <t>Phí dịch vụ tư vấn tháng 02/2026 HĐ số 83</t>
  </si>
  <si>
    <t>Phí dịch vụ tư vấn tháng 03/2026 HĐ số 84</t>
  </si>
  <si>
    <t>Cước phí vận chuyển mã 01KKEANM7MCWHMNBA4M2N60KYA
Chiết khấu thương mại/ giảm giá mã 01KKEANM7MCWHMNBA4M2N60KYA HĐ số 28817030</t>
  </si>
  <si>
    <t>Cước phí vận chuyển mã 01KKPE1HGK9BE8G8PQZ3K39594
Chiết khấu thương mại/ giảm giá mã 01KKPE1HGK9BE8G8PQZ3K39594 HĐ số 30323203</t>
  </si>
  <si>
    <t>Cước phí vận chuyển mã 01KM27THYM3920DJ3EKTC2XTM7 HĐ số 32270867</t>
  </si>
  <si>
    <t>Cước phí vận tải chuyến 1340127341
Phí sử dụng ứng dụng Be HĐ số 17717041</t>
  </si>
  <si>
    <t>Cước phí vận chuyển mã 01KM4Z4C2KJC3CZGT3S7G0DW5X
Chiết khấu thương mại/ giảm giá mã 01KM4Z4C2KJC3CZGT3S7G0DW5X
Phí nền tảng mã 01KM4Z4C2KJC3CZGT3S7G0DW5X HĐ số 32765395</t>
  </si>
  <si>
    <t>Cước phí vận chuyển mã 01KM5S87KTJ83XECHA2TXTE42K
Chiết khấu thương mại/ giảm giá mã 01KM5S87KTJ83XECHA2TXTE42K HĐ số 23604661</t>
  </si>
  <si>
    <t>Cước phí vận chuyển mã 01KM7CJARRPVQ60D7PE2SM5FHR
Chiết khấu thương mại/ giảm giá mã 01KM7CJARRPVQ60D7PE2SM5FHR HĐ số 23780503</t>
  </si>
  <si>
    <t>Cước phí vận chuyển mã 01KM7B04F8DCZVBM2DF7KYNCET HĐ số 23762163</t>
  </si>
  <si>
    <t>Cước phí vận chuyển mã 01KM731Q2RAW7GP86M5509NZFE
Chiết khấu thương mại/ giảm giá mã 01KM731Q2RAW7GP86M5509NZFE HĐ số 23716573</t>
  </si>
  <si>
    <t>Cước phí vận chuyển mã 01KMDB8CB6WJ7Z82RRWG799FE6
Chiết khấu thương mại/ giảm giá mã 01KMDB8CB6WJ7Z82RRWG799FE6 HĐ số 34471650</t>
  </si>
  <si>
    <t>Cước phí vận chuyển mã 01KMCJAXG5WFZ0S3H6GTTWXM1K
Chiết khấu thương mại/ giảm giá mã 01KMCJAXG5WFZ0S3H6GTTWXM1K
Phí nền tảng mã 01KMCJAXG5WFZ0S3H6GTTWXM1K HĐ số 34274105</t>
  </si>
  <si>
    <t>Cước phí vận chuyển mã 01KMG383H2NK3EBGR26VJ6S72X
Chiết khấu thương mại/ giảm giá mã 01KMG383H2NK3EBGR26VJ6S72X HĐ số 34965635</t>
  </si>
  <si>
    <t>Cước phí vận chuyển mã 01KMFJ98Y5KTGB2ZN183ERTM74
Chiết khấu thương mại/ giảm giá mã 01KMFJ98Y5KTGB2ZN183ERTM74
Phí nền tảng mã 01KMFJ98Y5KTGB2ZN183ERTM74 HĐ số 34827049</t>
  </si>
  <si>
    <t>Cước phí vận chuyển mã 01KMHW79A02FZEMAEJJHQRF6P2
Chiết khấu thương mại/ giảm giá mã 01KMHW79A02FZEMAEJJHQRF6P2
Phí nền tảng mã 01KMHW79A02FZEMAEJJHQRF6P2 HĐ số 35212912</t>
  </si>
  <si>
    <t>Cước phí vận chuyển mã 01KMHMPDBF7EJVZP5P2P4PR42F
Chiết khấu thương mại/ giảm giá mã 01KMHMPDBF7EJVZP5P2P4PR42F
Phí nền tảng mã 01KMHMPDBF7EJVZP5P2P4PR42F HĐ số 35165636</t>
  </si>
  <si>
    <t>Cước phí vận chuyển mã 01KMHK93N9ANKS6B45FH0XGF7J
Phí nền tảng mã 01KMHK93N9ANKS6B45FH0XGF7J HĐ số 35148076</t>
  </si>
  <si>
    <t>Cước phí vận chuyển mã 01KMNC0P745G6119NABEPP5A3T
Chiết khấu thương mại/ giảm giá mã 01KMNC0P745G6119NABEPP5A3T
Phí nền tảng mã 01KMNC0P745G6119NABEPP5A3T HĐ số 35952625</t>
  </si>
  <si>
    <t>Cước phí vận chuyển mã 01KMSED6SF2MGBY18TKV11Q8KV
Chiết khấu thương mại/ giảm giá mã 01KMSED6SF2MGBY18TKV11Q8KV
Phí nền tảng mã 01KMSED6SF2MGBY18TKV11Q8KV HĐ số 36698528</t>
  </si>
  <si>
    <t>Cước phí vận chuyển mã 01KMT3FZPY6QEX1AXW61WGG6FM
Chiết khấu thương mại/ giảm giá mã 01KMT3FZPY6QEX1AXW61WGG6FM HĐ số 26250598</t>
  </si>
  <si>
    <t>Cước phí vận chuyển mã 01KMYVE0AAGFYJ2HJARWY7HE4B
Chiết khấu thương mại/ giảm giá mã 01KMYVE0AAGFYJ2HJARWY7HE4B
Phí nền tảng mã 01KMYVE0AAGFYJ2HJARWY7HE4B HĐ số 37819360</t>
  </si>
  <si>
    <t>20/01/2026</t>
  </si>
  <si>
    <t>23/01/2026</t>
  </si>
  <si>
    <t>13/02/2026</t>
  </si>
  <si>
    <t>0107484787</t>
  </si>
  <si>
    <t>0106860559</t>
  </si>
  <si>
    <t>0107045684</t>
  </si>
  <si>
    <t>0110850923</t>
  </si>
  <si>
    <t>0109240352</t>
  </si>
  <si>
    <t>Dịch vụ quảng cáo và truyền thông theo Hợp đồng số HKD KNL_ SKIN AQUA_15112025 ký ngày 15/11/2025 HĐ số 1</t>
  </si>
  <si>
    <t>Dịch vụ quảng cáo và truyền thông theo Hợp đồng số 1811.2025/HDDV/UPBASE-BLISSBERRY-BEAUTYTIPS4.0 ký ngày 18/11/2025 HĐ số 4</t>
  </si>
  <si>
    <t>Dịch vụ quảng cáo và truyền thông theo Hợp đồng số 201125/HDDV/KNL ký ngày 20/11/2025 và Biên bản nghiệm thu ký ngày 21/01/2026 HĐ số 3</t>
  </si>
  <si>
    <t>Dịch vụ quảng cáo và truyền thông theo Hợp đồng số 17-Cty-KOL/KOC/CBVN2025 ký ngày 10/12/2025 và Biên bản nghiệm thu ký ngày 21/01/2026 HĐ số 2</t>
  </si>
  <si>
    <t>Dịch vụ quảng cáo và truyền thông theo Hợp đồng số QC1810/2025/HĐQC/LPCOS - HKD KIỀU NGỌC LAN ký ngày 18/10/2025 và Biên bản nghiệm thu ký ngày 23/01/2026 HĐ số 7</t>
  </si>
  <si>
    <t>Dịch vụ quảng cáo và truyền thông theo Hợp đồng số 01122025HDDVKIEULANMANYO ký ngày 01/12/2025 và Biên bản nghiệm thu ký ngày 23/01/2026 HĐ số 6</t>
  </si>
  <si>
    <t>Dịch vụ quảng cáo và truyền thông theo Hợp đồng số 912/2025/HĐDV/LINK - KIEULAN ký ngày 09/12/2025 và Biên bản nghiệm thu ký ngày 23/01/2026 HĐ số 5</t>
  </si>
  <si>
    <t>Dịch vụ quảng cáo và truyền thông theo Hợp đồng số 3011/2025/TTS/KIEULANBEUTY/MENARD ký ngày 30/11/2025 và Biên bản nghiệm thu ký ngày 28/01/2026 HĐ số 8</t>
  </si>
  <si>
    <t>Dịch vụ quảng cáo và truyền thông theo Hợp đồng số HDDV/PANTENExVĐxKNL/260825 ký ngày 26/08/2025 kèm Biên bản nghiệm thu và thanh lý ký ngày 03/02/2026 HĐ số 10</t>
  </si>
  <si>
    <t>Dịch vụ quảng cáo và truyền thông theo Hợp đồng số HDDV/DOWNYLUXExVĐxKNL/101125 ký ngày 10/11/2025 kèm Biên bản nghiệm thu và thanh lý ký ngày 03/02/2026 HĐ số 9</t>
  </si>
  <si>
    <t>Dịch vụ quảng cáo và truyền thông theo Hợp đồng số HKD KIEUNGOCLAN_3BRO1_MCL HỒNG - ON TOP CAMP JAN_260035_001 ký ngày 15/01/2026 và Biên bản nghiệm thu ký ngày 04/02/2026 HĐ số 11</t>
  </si>
  <si>
    <t>Dịch vụ quảng cáo và truyền thông theo Hợp đồng số 1901/HDDV/KIEULANBEAUTY-laCabine ký ngày 19/01/2026 kèm Biên bản nghiệm thu và thanh lý ký ngày 05/02/2026 HĐ số 13</t>
  </si>
  <si>
    <t>Dịch vụ quảng cáo và truyền thông theo Hợp đồng số 06012026/HĐDV-SE-KIEULANBEAUTY ký ngày 06/01/2026, Phụ lục 01 ký ngày 06/01/2026 kèm Biên bản nghiệm thu và thanh lý ký ngày 05/02/2026 HĐ số 12</t>
  </si>
  <si>
    <t>Phí dịch vụ theo hợp đồng số 010120206/HDDV – EZS X HKD KIỀU NGỌC LAN ký ngày 01/01/2026 và Biên bản nghiệm thu số 01012026/BBNT – EZS X HKD KIỀU NGỌC LAN ký ngày 06/02/2026 HĐ số 14</t>
  </si>
  <si>
    <t>Dịch vụ quảng cáo và truyền thông theo Hợp đồng số 05022026/HĐDV-ICONSKIN-KIEULANBEAUTY ký ngày 05/02/2026 kèm Biên bản nghiệm thu và thanh lý ký ngày 12/02/2026 HĐ số 15</t>
  </si>
  <si>
    <t>Thanh toán 100% phí dịch vụ SHU - BRIGHTOIL - Jan 2026 - SCOPE 2 - 1001 SOW số 34714/2025/WPP-BTL-LO ID Tiktok: beautytips4.0 HĐ số 16</t>
  </si>
  <si>
    <t>Dịch vụ quảng cáo và truyền thông theo Hợp đồng số 00040226/HĐDV/PJSB ký ngày 04/02/2026 và Biên bản nghiệm thu ký ngày 24/02/2026 HĐ số 17</t>
  </si>
  <si>
    <t>Thanh toán 100% phí dịch vụ KIE - ADVO AWO JAN&amp;apos;26 PHASE 1 - Video - Scope 2 - 1003 SOW số 36906/2025/WPP-BTL-LO ID Tiktok: beautytips4.0 HĐ số 18</t>
  </si>
  <si>
    <t>Dịch vụ quảng cáo và truyền thông theo Hợp đồng số số HKD KNL_3BRO3_SIMPLE CORE_260103_003 ký ngày 24/02/2026 HĐ số 20</t>
  </si>
  <si>
    <t>Dịch vụ quảng cáo và truyền thông theo hợp đồng Hợp tác truyền thông ký ngày 15/12/2025 HĐ số 21</t>
  </si>
  <si>
    <t>Dịch vụ quảng cáo theo Hợp đồng dịch vụ số 0303/2026/HDDV-TMG-LV ký ngày 03/03/2026 HĐ số 23</t>
  </si>
  <si>
    <t>Dịch vụ quảng cáo và truyền thông theo Hợp đồng số 01022026HDDVKIEULANBOJ ký ngày 01/02/2026 và Biên bản nghiệm thu ký ngày 05/03/2026 HĐ số 24</t>
  </si>
  <si>
    <t>Dịch vụ quảng cáo và truyền thông theo hợp đồng Hợp tác truyền thông ký ngày 05/02/2026 HĐ số 25</t>
  </si>
  <si>
    <t>Dịch vụ quảng cáo và truyền thông theo Hợp đồng số QC2002/2026/HĐQC/LPCOS - HKD KIỀU NGỌC LAN ký ngày 20/02/2026 và Biên bản nghiệm thu ký ngày 09/03/2026 HĐ số 26</t>
  </si>
  <si>
    <t>Dịch vụ quảng cáo và truyền thông theo Hợp đồng số HKD KIEUNGOCLAN_3BRO5_SULWHASOO_260041_001 ký ngày 07/01/2026 và Biên bản nghiệm thu ký ngày 12/03/2026 HĐ số 27</t>
  </si>
  <si>
    <t>Dịch vụ quảng cáo và truyền thông theo Hợp đồng số HKD KNL_3BRO1_GARNIER LIVESTREAM KNL MAR_260160_001 ký ngày 07/03/2026 kèm Biên bản nghiệm thu ký ngày 18/03/2026 HĐ số 28</t>
  </si>
  <si>
    <t>Dịch vụ quảng cáo và truyền thông theo Hợp đồng số 09032026/KIEULANBEAUTY-HANA ký ngày 09/03/2026 (Đợt 1) HĐ số 30</t>
  </si>
  <si>
    <t>Dịch vụ quảng cáo và truyền thông theo Hợp đồng số 01-03012026/MKT-KOC ký ngày 03/01/2026 kèm Biên bản nghiệm thu ký ngày 20/03/2026 HĐ số 29</t>
  </si>
  <si>
    <t>Dịch vụ quảng cáo và truyền thông cho nhãn hàng MURAD theo Hợp đồng số 682101202605/HDDV/RV/KOL ký ngày 21/01/2026 kèm Biên bản nghiệm thu và thanh lý ký ngày 24/03/2026 HĐ số 32</t>
  </si>
  <si>
    <t>Dịch vụ quảng cáo và truyền thông theo Hợp đồng số 20260202/HDDV/BRAINAD-KNL ký ngày 02/02/2026 và Biên bản nghiệm thu ký ngày 24/03/2026 HĐ số 31</t>
  </si>
  <si>
    <t>Dịch vụ quảng cáo và truyền thông theo Hợp đồng số HKD KNL_3BRO5_PURCELL_260061_001 ký ngày 23/01/2026 và Biên bản nghiệm thu ký ngày 25/03/2026 HĐ số 33</t>
  </si>
  <si>
    <t>Thanh toán 100% phí dịch vụ OAP - GLYCO REPUSH MAR&amp;apos;26 - Scope 3 - 1004 SOW số 45554/2025/WPP-BTL-LO ID Tiktok: beautytips4.0 HĐ số 36</t>
  </si>
  <si>
    <t>Thanh toán 100% phí dịch vụ KIE - UFM - Video - Scope 2 - 1003 SOW số 36816/2025/WPP-BTL-LO ID Tiktok: beautytips4.0 HĐ số 35</t>
  </si>
  <si>
    <t>Dịch vụ quảng cáo và truyền thông theo Hợp đồng số 01032026HDDVKIEULANDALBA ký ngày 01/03/2026 và Biên bản nghiệm thu ký ngày 26/03/2026 HĐ số 34</t>
  </si>
  <si>
    <t>Thanh toán 100% phí dịch vụ LRP - UVAir KOL and Derm AWO - Video - Scope 1 - 1004 SOW số 45901/2025/WPP-BTL-LO ID Tiktok: beautytips4.0 HĐ số 37</t>
  </si>
  <si>
    <t>Dịch vụ quảng cáo theo Hợp đồng số 07.140326.02.MS-HKDKNL ký ngày 14/03/2026 kèm Biên bản nghiệm thu và thanh lý Hợp đồng HĐ số 38</t>
  </si>
  <si>
    <t>0313766561</t>
  </si>
  <si>
    <t>Phí dịch vụ Affiliate 12/2025_17364280326 HĐ số 15169</t>
  </si>
  <si>
    <t>VÉ MÁY BAY QUỐC NỘI
7382317667450 / SGNVNHAN
7382317667451 / SGNVNHAN
7382317667452 / SGNVNHAN HĐ số 1623</t>
  </si>
  <si>
    <t>Phí dịch vụ tư vấn tháng 12/2025 HĐ số 25</t>
  </si>
  <si>
    <t>Phí dịch vụ Affiliate 01/2026_17364280326 (Affiliate Service fee 01/2026_17364280326) HĐ số 747756</t>
  </si>
  <si>
    <t>Phí dịch vụ tư vấn tháng 01/2026 HĐ số 62</t>
  </si>
  <si>
    <t>7382319064862 / SGNVNHAN
7382319064865 / HANVNSGN HĐ số 19656</t>
  </si>
  <si>
    <t>Phí dịch vụ Affiliate 02/2026_17364280326 (Affiliate Service fee 02/2026_17364280326) HĐ số 1564274</t>
  </si>
  <si>
    <t>7382319385249 / HANVNSGN HĐ số 23285</t>
  </si>
  <si>
    <t>COCOON Mặt nạ nghệ Hưng Yên 30ML
COCOON - Cà phê Đắk Lắk làm sạch da chết cơ thể 200ML
COCOON Son dưỡng dầu dừa Bến Tre 5G
(Hàng tặng không thu tiền) HĐ số 11311</t>
  </si>
  <si>
    <t>Phí dịch vụ tư vấn tháng 02-03/2026 HĐ số 101</t>
  </si>
  <si>
    <t>7382319746523 / SGNVNHAN HĐ số 29147</t>
  </si>
  <si>
    <t>7382319909995 / HANVNSGN HĐ số 31556</t>
  </si>
  <si>
    <t>0317963313</t>
  </si>
  <si>
    <t>001095012873</t>
  </si>
  <si>
    <t>0313547552</t>
  </si>
  <si>
    <t>0316676725</t>
  </si>
  <si>
    <t>Dịch vụ sáng tạo nội dung, tư vấn thương hiệu theo Hợp đồng số 060126/HĐTV-PJSB ký ngày 06/01/2026 (Đợt 1) HĐ số 1</t>
  </si>
  <si>
    <t>Dịch vụ tư vấn phát triển thương hiệu theo Hợp đồng số 090126 ký ngày 09/01/2026 (Đợt 1) HĐ số 3</t>
  </si>
  <si>
    <t>Dịch vụ sáng tạo nội dung, tư vấn cho thương hiệu theo Hợp đồng số 060126/HĐTV-INNO ký ngày 06/01/2026 (Đợt 1) HĐ số 2</t>
  </si>
  <si>
    <t>Dịch vụ tư vấn quản lý tháng 01/2026 theo Hợp đồng số 03/2025/HĐ/KTGEMARI ký ngày 04/06/2025 HĐ số 4</t>
  </si>
  <si>
    <t>Dịch vụ sáng tạo nội dung, bài viết quảng cáo cho thương hiệu theo Hợp đồng số 270825/HĐTVMOCHA ký ngày 28/08/2025 (Đợt 2) kèm Biên bản nghiệm thu ký ngày 02/02/2026 HĐ số 5</t>
  </si>
  <si>
    <t>Dịch vụ tư vấn, quản lý sự kiện liên hoan cuối năm theo Hợp đồng số 310126/HĐTVCHCD ký ngày 31/01/2026 HĐ số 6</t>
  </si>
  <si>
    <t>Dịch vụ tư vấn quản lý tháng 01/2026 theo Hợp đồng số 0506/2025/HĐ/KTHKDTTT ký ngày 05/06/2025 và Biên bản nghiệm thu ký ngày 05/02/2026 HĐ số 7</t>
  </si>
  <si>
    <t>Phí dịch vụ quản lý theo Hợp đồng số 01012026/HDDV – EZS X HKD TÂM TÀI TRÍ ký ngày 01/01/2026 kèm Biên bản nghiệm thu và thanh lý số 01012026/BBNT – EZS X HKD TÂM TÀI TRÍ ký ngày 06/02/2026 HĐ số 9</t>
  </si>
  <si>
    <t>Dịch vụ quảng cáo và truyền thông theo Hợp đồng số 252026/HĐDV/Y&amp;B ký ngày 01/01/2026 kèm Biên bản nghiệm thu và thanh toán số 252026/BBNT-TT/Y&amp;B ký ngày 06/02/2026 HĐ số 8</t>
  </si>
  <si>
    <t>Dịch vụ tư vấn, quản lý chiến dịch truyền thông quảng bá sản phẩm theo Hợp đồng số 28012026/HĐTVIS ký ngày 28/01/2026 (Đợt 1) HĐ số 10</t>
  </si>
  <si>
    <t>Dịch vụ tư vấn quản lý tháng 02/2026 theo Hợp đồng số 03/2025/HĐ/KTGEMARI ký ngày 04/06/2025 HĐ số 11</t>
  </si>
  <si>
    <t>Dịch vụ tư vấn, quản lý chiến dịch truyền thông quảng bá thương hiệu theo Hợp đồng số 120126/HĐTVEF ký ngày 30/01/2026 (Đợt 1) HĐ số 13</t>
  </si>
  <si>
    <t>Dịch vụ soạn thảo nội dung báo cáo nghiên cứu khoa học theo Hợp đồng số 011025/HĐTVEF ký ngày 01/10/2025 HĐ số 12</t>
  </si>
  <si>
    <t>Dịch vụ tư vấn quản lý tháng 02/2026 theo Hợp đồng số 0506/2025/HĐ/KTHKDTTT ký ngày 05/06/2025 và Biên bản nghiệm thu ký ngày 09/03/2026 HĐ số 14</t>
  </si>
  <si>
    <t>Dịch vụ sáng tạo nội dung, bài viết quảng cáo thương hiệu tháng 01 và 02/2026 theo Hợp đồng số 200925/HĐTVWELOVE ký ngày 20/09/2025 kèm Biên bản nghiệm thu ký ngày 10/03/2026 HĐ số 15</t>
  </si>
  <si>
    <t>Dịch vụ tư vấn tư vấn và phát triển thương hiệu theo Hợp đồng số 080126/HĐ/ TTTĐM ký ngày 08/01/2026 (Đợt 1) HĐ số 16</t>
  </si>
  <si>
    <t>Phí dịch vụ quản lý theo Hợp đồng số 3332026/HDDV – EZS X HKD TÂM TÀI TRÍ ký ngày 01/03/2026 kèm Biên bản nghiệm thu và thanh lý số 3332026/BBNT – EZS X HKD TÂM TÀI TRÍ ký ngày 14/03/2026 HĐ số 17</t>
  </si>
  <si>
    <t>Dịch vụ tư vấn quản lý tháng 03/2026 theo Hợp đồng số 03/2025/HĐ/KTGEMARI ký ngày 04/06/2025 HĐ số 18</t>
  </si>
  <si>
    <t>Dịch vụ sáng tạo nội dung, tư vấn cho thương hiệu theo Hợp đồng số 060126/HĐTV-INNO ký ngày 06/01/2026 (Đợt 2) và Biên bản nghiệm thu ký ngày 23/03/2026 HĐ số 19</t>
  </si>
  <si>
    <t>Thanh toán 100% phí dịch vụ LRP - UVAir Event Launching - Video - Scope 1 - 1004 SOW số 43198/2025/WPP-BTL-LO ID Tiktok: okmoranh6892 HĐ số 20</t>
  </si>
  <si>
    <t>0318148103</t>
  </si>
  <si>
    <t>0315852382</t>
  </si>
  <si>
    <t>0317733126</t>
  </si>
  <si>
    <t>0304273150</t>
  </si>
  <si>
    <t>0312479363</t>
  </si>
  <si>
    <t>Thu lãi HĐ số 38060</t>
  </si>
  <si>
    <t>Thu lãi HĐ số 37913</t>
  </si>
  <si>
    <t>Khăn lạnh
SUẤT BUFFET TRƯA T2 - T6_525K
Nước soda chanh HĐ số 1225</t>
  </si>
  <si>
    <t>BUFFET 319K HĐ số 335</t>
  </si>
  <si>
    <t>Bánh xèo hải sản
Cơm chiên rong biển
Dưa leo
Khăn lạnh
Món set cho 2 khách - Couple Course
Nước ngọt coca cola
Sườn Bò LA HĐ số 768</t>
  </si>
  <si>
    <t>Coca Cola Lon 320ml
Trà thảo mộc Wang lao ji 300ml
Đậu tuyết HK
Trà Cam Quế Hồng Đài
Set Lẩu Song Phúc
Thịt Giai Yên
Khăn Cuộn Lạnh HĐ số 249556</t>
  </si>
  <si>
    <t>Phí dịch vụ tư vấn tháng 01/2026 HĐ số 64</t>
  </si>
  <si>
    <t>Phí dịch vụ tư vấn tháng 01/2026 HĐ số 63</t>
  </si>
  <si>
    <t>Cơm chiên rong biển
Món set cho 2 khách - Couple Course
Sườn Bò LA
Xà lách cá trích ép trứng HĐ số 2565</t>
  </si>
  <si>
    <t>8092450512612 / HAN9GSGN HĐ số 13038</t>
  </si>
  <si>
    <t>Phí dịch vụ tư vấn tháng 02/2026 HĐ số 86</t>
  </si>
  <si>
    <t>Thu lãi HĐ số 9513023</t>
  </si>
  <si>
    <t>Thu lãi HĐ số 9513022</t>
  </si>
  <si>
    <t>Vé máy bay quốc nội
HAN SGN  HĐ số 49308</t>
  </si>
  <si>
    <t>Dịch vụ quảng cáo và truyền thông theo Hợp đồng số 01122025HDDVLUONGLEEKLAIRS ký ngày 01/12/2025 và Biên bản nghiệm thu ký ngày 07/01/2026 HĐ số 1</t>
  </si>
  <si>
    <t>Dịch vụ quảng cáo và truyền thông theo Hợp đồng số 91/2026/LINK-LUONGLEE ký ngày 09/01/2026 và Biên bản nghiệm thu ký ngày 10/01/2026 HĐ số 2</t>
  </si>
  <si>
    <t>Dịch vụ quảng cáo và truyền thông theo Hợp đồng số 8691202608/HDDV/RV/KOL ký ngày 09/11/2025 HĐ số 3</t>
  </si>
  <si>
    <t>Dịch vụ quảng cáo và truyền thông theo Hợp đồng số 01-0201/2026/HĐDV/MKG-LUONGLEE ký ngày 02/01/2026 và Biên bản nghiệm thu ký ngày 14/01/2026 HĐ số 4</t>
  </si>
  <si>
    <t>Dịch vụ quảng cáo và truyền thông theo Hợp đồng số HKD LUONGLEE_3BRO1_UV COOLING - ON TOP [T1]_260002_004 ký ngày 01/01/2026 và Biên bản nghiệm thu ký ngày 15/01/2026 HĐ số 5</t>
  </si>
  <si>
    <t>Dịch vụ quảng cáo và truyền thông theo Hợp đồng số 23012026/MKT-KOC ký ngày 23/01/2026 và Biên bản nghiệm thu ký ngày 09/02/2026 HĐ số 6</t>
  </si>
  <si>
    <t>Dịch vụ quảng cáo và truyền thông theo Hợp đồng số 20260212/HĐDV/MDPEEL12/SANAxLUONGLEE ký ngày 12/02/2026 HĐ số 7</t>
  </si>
  <si>
    <t>Dịch vụ quảng cáo và truyền thông theo Hợp đồng số 050226/HĐDV/PJSB ký ngày 05/02/2026 kèm Biên bản nghiệm thu ký ngày 23/02/2026 HĐ số 8</t>
  </si>
  <si>
    <t>Dịch vụ quảng cáo và truyền thông theo Hợp đồng số HKD LUONGLEE_3BRO1_GARNIER MOCHI CAMP FEB_260107_012 ký ngày 12/02/2026 và Biên bản nghiệm thu ký ngày 03/03/2026 HĐ số 9</t>
  </si>
  <si>
    <t>Dịch vụ quảng cáo và truyền thông theo Hợp đồng số 260130/HDDV/BRAINAD-HKD LUONGLEE ký ngày 30/01/2026 và Biên bản nghiệm thu ký ngày 04/03/2026 HĐ số 10</t>
  </si>
  <si>
    <t>Dịch vụ quảng cáo và truyền thông theo Hợp đồng số 20260228/AHOHWA x LUONGLEE ký ngày 28/02/2026 và Biên bản nghiệm thu ký ngày 17/03/2026 HĐ số 11</t>
  </si>
  <si>
    <t>Dịch vụ quảng cáo và truyền thông theo Hợp đồng số 01032026HDDVLUONGLEEDIV ký ngày 01/03/2026 và Biên bản nghiệm thu ký ngày 20/03/2026 HĐ số 12</t>
  </si>
  <si>
    <t>Dịch vụ quảng cáo và truyền thông theo Hợp đồng số 2303-26/HPG-LUONGLEE ký ngày 23/03/2026 (Đợt 1) HĐ số 13</t>
  </si>
  <si>
    <t>Dịch vụ quảng cáo truyền thông theo Hợp đồng số: 260304/HDDV/BRAINAD-LUONGLEE dự án Lactacyd 2026 IWD campaign (BA409) ký ngày 04/3/2026 HĐ số 14</t>
  </si>
  <si>
    <t>Dịch vụ quảng cáo và truyền thông theo Hợp đồng số T03MPD26HDDV-0135-1919 LUONGLEE ký ngày 15/03/2025 và Biên bản nghiệm thu ký ngày 26/03/2026 HĐ số 15</t>
  </si>
  <si>
    <t>Dịch vụ quảng cáo và truyền thông theo Hợp đồng số 260310/HDDV/BRAINAD-LUONGLEE ký ngày 10/03/2026 kèm Biên bản nghiệm thu ký ngày 27/03/2026 HĐ số 16</t>
  </si>
  <si>
    <t>Dịch vụ quảng cáo và truyền thông theo Hợp đồng số 01032026HDDVLUONGLEEMANYO ký ngày 01/03/2026 và Biên bản nghiệm thu ký ngày 30/03/2026 HĐ số 17</t>
  </si>
  <si>
    <t>01/01/2026</t>
  </si>
  <si>
    <t>28/02/2026</t>
  </si>
  <si>
    <t>0103617147-002</t>
  </si>
  <si>
    <t>Phí dịch vụ tư vấn tháng 11/2025 HĐ số 29</t>
  </si>
  <si>
    <t>THU LAI NGAN HANG (INTEREST COLLECTION) HĐ số 96319</t>
  </si>
  <si>
    <t xml:space="preserve"> HĐ số 94109</t>
  </si>
  <si>
    <t>THU LAI NGAN HANG (INTEREST COLLECTION) HĐ số 91926</t>
  </si>
  <si>
    <t>GIAY DE CAO
QUAN DAI
QUAN DAI HĐ số 33369</t>
  </si>
  <si>
    <t>Cước phí vận tải chuyến 1290061879
Phí sử dụng ứng dụng Be
Phí xử lý đơn hàng HĐ số 2665523</t>
  </si>
  <si>
    <t>Cước phí vận tải chuyến 1298203702
Phí sử dụng ứng dụng Be
Phí xử lý đơn hàng HĐ số 3599655</t>
  </si>
  <si>
    <t>Phí dịch vụ tư vấn tháng 01/2026 HĐ số 57</t>
  </si>
  <si>
    <t>THU LAI NGAN HANG (INTEREST COLLECTION) HĐ số 254724</t>
  </si>
  <si>
    <t>THU LAI NGAN HANG (INTEREST COLLECTION) HĐ số 250313</t>
  </si>
  <si>
    <t xml:space="preserve"> HĐ số 19456</t>
  </si>
  <si>
    <t xml:space="preserve"> HĐ số 2905</t>
  </si>
  <si>
    <t xml:space="preserve"> Tiền thuê văn phòng gói SAVE+ từ ngày 12/03/2026 đến ngày 11/03/2027 tại địa chỉ Số 05 Cửu Long, Phường Tân Sơn Hòa, TP. Hồ Chí Minh. Theo phụ lục hợp đồng số: 0786/VPA/05CL  HĐ số 481</t>
  </si>
  <si>
    <t>Phí dịch vụ tư vấn tháng 02/2026 HĐ số 96</t>
  </si>
  <si>
    <t>THU LAI NGAN HANG (INTEREST COLLECTION) HĐ số 473992</t>
  </si>
  <si>
    <t>THU LAI NGAN HANG (INTEREST COLLECTION) HĐ số 485308</t>
  </si>
  <si>
    <t>0110100007</t>
  </si>
  <si>
    <t>Dịch vụ quảng cáo và truyền thông theo Hợp đồng số 2612-2/2025/HĐHTKD ký ngày 26/12/2025 (Đợt 1) HĐ số 2</t>
  </si>
  <si>
    <t>Dịch vụ quảng cáo và truyền thông theo Hợp đồng số 2612/2025/HĐHTKD ký ngày 26/12/2025 và Biên bản nghiệm thu ký ngày 07/01/2026 HĐ số 1</t>
  </si>
  <si>
    <t>Dịch vụ quảng cáo và truyền thông theo Hợp đồng số 03/2025/HDDV-MKT-HT-KOLký ngày 01/12/2025 kèm Biên bản nghiệm thu và thanh lý ký ngày 10/01/2026 HĐ số 3</t>
  </si>
  <si>
    <t>Dịch vụ quảng cáo và truyền thông theo Hợp đồng số 030725/HDDV/RV/KOL ký ngày 25/12/2025 HĐ số 4</t>
  </si>
  <si>
    <t>Dịch vụ quảng cáo và truyền thông theo Hợp đồng số 202509/CONG TY TNHH THUONG MAI MY PHAM BAO CHAU x HKD HUYNH THUYEN ký ngày 24/01/2026 và Biên bản nghiệm thu ký ngày 04/02/2026 HĐ số 5</t>
  </si>
  <si>
    <t>Thanh toán 100% phí dịch vụ OAP - Triple Power Mar&amp;apos;26 - Scope 3 - 3003 SOW số 37917/2025/WPP-BTL-LO ID Tiktok: thuyen_huynh HĐ số 6</t>
  </si>
  <si>
    <t>Dịch vụ quảng cáo và truyền thông theo Hợp đồng số 1803-26/HPG-HT ký ngày 18/03/2026 (Đợt 1) HĐ số 7</t>
  </si>
  <si>
    <t>Dịch vụ quảng cáo và truyền thông theo Hợp đồng số 1203/2026/HĐDV/LINK-HUYNHTHUYEN-CASMARA ký ngày 12/03/2026 kèm Biên bản nghiệm thu ký ngày 31/03/2026 HĐ số 9</t>
  </si>
  <si>
    <t>Dịch vụ quảng cáo và truyền thông theo Hợp đồng số QC1503/2026/HĐQC/LPCOS - HKD HUỲNH THUYÊN ký ngày 15/03/2026 kèm Biên bản nghiệm thu và thanh lý ký ngày 31/03/2026 HĐ số 8</t>
  </si>
  <si>
    <t>0111188540</t>
  </si>
  <si>
    <t>0317893708</t>
  </si>
  <si>
    <t>0317425932</t>
  </si>
  <si>
    <t>0318369046</t>
  </si>
  <si>
    <t>Phí dịch vụ tư vấn tháng 12/2025 HĐ số 1</t>
  </si>
  <si>
    <t>Bồi dưỡng nghiệp vụ Livestream khóa 03 (T1.2026) HĐ số 21</t>
  </si>
  <si>
    <t>Phí dịch vụ tư vấn tháng 01/2026 HĐ số 61</t>
  </si>
  <si>
    <t>Bánh Tết 2026 - Combo 2 hộp bánh - Set A
Thu hộ Phí giao hàng
FA269056 HĐ số 20969</t>
  </si>
  <si>
    <t>Cước dịch vụ vận chuyển khách du lịch Hồ Chí Minh - Khánh Hòa ngày 18/02/2026, biển kiểm soát 50F-052.71 HĐ số 4506</t>
  </si>
  <si>
    <t>Cước phí vận chuyển mã 01KJ3WX726N1MNQF5XNVR6M2DW HĐ số 15927217</t>
  </si>
  <si>
    <t>Vé máy bay_Mã đặt chỗ 1332974290/ SGN_VCS, VCS_SGN HĐ số 6822</t>
  </si>
  <si>
    <t>Phí dịch vụ tư vấn tháng 02/2026 HĐ số 95</t>
  </si>
  <si>
    <t>Speedcat Ballet SD Cafe Wns Dark Chocolate-Warm White HĐ số 4718</t>
  </si>
  <si>
    <t>0315521253</t>
  </si>
  <si>
    <t>Dịch vụ quảng cáo và truyền thông theo Hợp đồng số HD0512/2025/HDDV/PMB-BK ký ngày 05/12/2025 và Biên bản nghiệm thu ký ngày 09/01/2026 HĐ số 1</t>
  </si>
  <si>
    <t>Dịch vụ quảng cáo và truyền thông theo Hợp đồng số HD1012/2025/HDDV/PMB-BK ký ngày 10/12/2025 (Đợt 2) và Biên bản nghiệm thu ký ngày 04/02/2026 HĐ số 2</t>
  </si>
  <si>
    <t>Dịch vụ quảng cáo và truyền thông theo Hợp đồng số 007-26/HDDV/MS-MKT-[HCM]-GIGI ký ngày 28/01/2026 và Biên bản nghiệm thu ký ngày 06/02/2026 HĐ số 3</t>
  </si>
  <si>
    <t>Dịch vụ quảng cáo và truyền thông theo Hợp đồng số HD0501/2026/HDDV/PMB-BK ký ngày 05/01/2026 và Biên bản nghiệm thu ký ngày 09/02/2026 HĐ số 4</t>
  </si>
  <si>
    <t>Dịch vụ quảng cáo và truyền thông theo Hợp đồng số PAP-KOLPUMETBAY/LOCALLAUNCH/2202 ký ngày 22/02/2026 kèm Biên bản nghiệm thu và thanh lý ký ngày 11/03/2026 HĐ số 7</t>
  </si>
  <si>
    <t>Dịch vụ quảng cáo và truyền thông theo Hợp đồng số PAP-KOLPUMETBAY/EVENTNDA/2202 ký ngày 22/02/2026 kèm Biên bản nghiệm thu và thanh lý ký ngày 11/03/2026 HĐ số 6</t>
  </si>
  <si>
    <t>Dịch vụ quảng cáo và truyền thông theo Hợp đồng số PAP-KOLPUPHAM/JOYGROUP/T2/0502 ký ngày 05/02/2026 kèm Biên bản nghiệm thu và thanh lý ký ngày 11/03/2026 HĐ số 5</t>
  </si>
  <si>
    <t>Dịch vụ quảng cáo và truyền thông theo Hợp đồng số HD0502/2026/HDDV/PMB-BK ký ngày 05/02/2026 và Biên bản nghiệm thu ký ngày 12/03/2026 HĐ số 8</t>
  </si>
  <si>
    <t>Dịch vụ quảng cáo và truyền thông theo Hợp đồng số 02/WMVN-KOCEYESME10112026 ký ngày 10/03/2026 HĐ số 9</t>
  </si>
  <si>
    <t>Dịch vụ quảng cáo và truyền thông theo Hợp đồng số 010-26/HDDV/MS-MKT-[HCM]-GIGI ký ngày 10/03/2026 và Biên bản nghiệm thu ký ngày 23/03/2026 HĐ số 10</t>
  </si>
  <si>
    <t>001162008548</t>
  </si>
  <si>
    <t>037095004669</t>
  </si>
  <si>
    <t>0317483691</t>
  </si>
  <si>
    <t>Dịch vụ quảng cáo và truyền thông theo Hợp đồng số 20251216HDDV/MEISHANG – DANGVIOFFICIAL ký ngày 26/12/2025 và Biên bản nghiệm thu ký ngày 11/01/2026 HĐ số 2</t>
  </si>
  <si>
    <t>Thanh toán 100% phí dịch vụ MNY - BABYCUSHION - VIDEO - SCOPE3 - 3001 SOW số 35419/2025/WPP-BTL-LO ID Tiktok: dangvbeauty179 HĐ số 4</t>
  </si>
  <si>
    <t>Thanh toán 100% phí dịch vụ MNY - Teddy Tint - Video -Scope 3 - 1012 SOW số 30770/2025/WPP-BTL-LO ID Tiktok: dangvbeauty179 HĐ số 3</t>
  </si>
  <si>
    <t>Thanh toán 100% phí dịch vụ OAP - Infallible Cushion - Video - Scope 3 - 3001 SOW số 35731/2025/WPP-BTL-LO ID Tiktok: dangvbeauty179 HĐ số 6</t>
  </si>
  <si>
    <t>Thanh toán 100% phí dịch vụ OAP - Infallible Cushion - Video - Scope 3 - 3001 SOW số 35731/2025/WPP-BTL-LO ID Tiktok: dangvbeauty179 HĐ số 5</t>
  </si>
  <si>
    <t>Điều chỉnh giảm mặt hàng Thanh toán 100% phí dịch vụ OAP - Infallible Cushion - Video - Scope 3 - 3001 SOW số 35731/2025/WPP-BTL-LO ID Tiktok: dangvbeauty179 HĐ số 7</t>
  </si>
  <si>
    <t>Thanh toán 100% phí dịch vụ 3CE - KOC Hub Jan - Video - Scope 3 - 300126 SOW số 35170/2025/WPP-BTL-LO ID Tiktok: dangvbeauty179 HĐ số 8</t>
  </si>
  <si>
    <t>Dịch vụ quảng cáo và truyền thông theo Hợp đồng số 20260101/HĐDV/NGUYENNGOCDANGVI ký ngày 01/01/2026 và Biên bản nghiệm thu ký ngày 06/02/2026 HĐ số 10</t>
  </si>
  <si>
    <t>Dịch vụ quảng cáo và truyền thông theo Hợp đồng số 131/2026/LINK-DANGVI ký ngày 13/1/2026 và Biên bản nghiệm thu ký ngày 06/02/2026 HĐ số 9</t>
  </si>
  <si>
    <t>Dịch vụ quảng cáo và truyền thông theo Hợp đồng số 20260106/HĐDV/NNĐV ký ngày 06/01/2026 và Biên bản nghiệm thu ký ngày 11/02/2026 HĐ số 11</t>
  </si>
  <si>
    <t>Thanh toán 100% phí dịch vụ LAN-IDÔLE NPD FRAGRANCE - VIDEO - SCOPE2 - 1003 SOW số 37711/2025/WPP-BTL-LO ID Tiktok: dangvibeauty HĐ số 12</t>
  </si>
  <si>
    <t>Dịch vụ quảng cáo và truyền thông theo Hợp đồng số 260226/HDDV/BRAINAD-DANGVI ký ngày 26/02/2026 (Đợt 1) HĐ số 13</t>
  </si>
  <si>
    <t>Dịch vụ quảng cáo theo hợp đồng số 0326+VULACINETWORKxHKDDangViP00418 và Bảng đối soát IS03.26+VULACIxHKD Đăng Vi HĐ số 15</t>
  </si>
  <si>
    <t>Dịch vụ quảng cáo và truyền thông theo Hợp đồng số 20260315/HKDDANGVI x DEERA ký ngày 15/03/2026 và Biên bản nghiệm thu ký ngày 25/03/2026 HĐ số 14</t>
  </si>
  <si>
    <t>Thanh toán 100% phí dịch vụ 3CE - KOC Hub Mar - Video - Scope 3 - 300326 SOW số 39403/2025/WPP-BTL-LO ID Tiktok: dangvibeauty HĐ số 17</t>
  </si>
  <si>
    <t>Thanh toán 100% phí dịch vụ MNY - CLOUDTOPIA - Event - Scope 2 - 1004 SOW số 45837/2025/WPP-BTL-LO ID Tiktok: dangvibeauty HĐ số 16</t>
  </si>
  <si>
    <t>0106807756</t>
  </si>
  <si>
    <t>0314949279</t>
  </si>
  <si>
    <t>Phí dịch vụ tư vấn tháng 12/2025 HĐ số 8</t>
  </si>
  <si>
    <t>Set Thượng Tiên
Khăn giấy màng bạc Manwah
Buffet Line Khai vị &amp; Tráng Miệng (NL)
Mỳ rong biển
Rong biển Hàn Quốc
Ngô ngọt
Rau cải chíp
Rau cải cúc
Phù trúc chiên HĐ số 90571</t>
  </si>
  <si>
    <t>Bàn ăn | JEGIND | gỗ công nghiệp/gỗ cao su | trắng/màu sồi | Ø105xC75cm
Ghế bàn ăn | KASTRUP | gỗ sồi/vải polyster | vàng cát/sồi | R49xS57xC82cm HĐ số 5132</t>
  </si>
  <si>
    <t>Cước phí vận chuyển mã 01KFA9ESVXZFZ4JT348B1FP5R1
Chiết khấu thương mại/ giảm giá mã 01KFA9ESVXZFZ4JT348B1FP5R1 HĐ số 5620730</t>
  </si>
  <si>
    <t>Buffet Hasu NL
Bình trà đá
Khăn giấy màng bạc Golden Gate 2025 HĐ số 234431</t>
  </si>
  <si>
    <t>Buffet Promax (NL)
Coca Cola Zero (Lon)
Nước Gạo Dưa Hấu
Khăn giấy màng bạc Kichi HĐ số 274335</t>
  </si>
  <si>
    <t>Phí dịch vụ tư vấn tháng 01/2026 HĐ số 35</t>
  </si>
  <si>
    <t>Cước phí vận chuyển mã 01KKDNQ0SVGRZP2EF3YW043P1E
Chiết khấu thương mại/ giảm giá mã 01KKDNQ0SVGRZP2EF3YW043P1E HĐ số 20678078</t>
  </si>
  <si>
    <t>Phí dịch vụ tư vấn tháng 02/2026 HĐ số 94</t>
  </si>
  <si>
    <t>The 4158xxxx8837 GD thanh toan taiAdobe com Saggart DublIE HĐ số 695173</t>
  </si>
  <si>
    <t>The 4158xxxx8837 GD thanh toan taiAdobe com Saggart DublIE HĐ số 610862</t>
  </si>
  <si>
    <t>Phí dịch vụ tư vấn tháng 12/2025 HĐ số 23</t>
  </si>
  <si>
    <t>Thu lãi HĐ số 1069089</t>
  </si>
  <si>
    <t>0309430079</t>
  </si>
  <si>
    <t>0302218267</t>
  </si>
  <si>
    <t>The 4158xxxx8837 GD thanh toan taiFS Capture One fsprg nl NL HĐ số 1494814</t>
  </si>
  <si>
    <t>0317442663</t>
  </si>
  <si>
    <t>Phí thuê dịch vụ văn phòng từ 01/01/2026 - 31/12/2026 Bảng hiệu Công ty HĐ số 15</t>
  </si>
  <si>
    <t>Phí dịch vụ tư vấn tháng 01/2026 HĐ số 55</t>
  </si>
  <si>
    <t>The 4158xxxx8837 GD thanh toan taiAdobe com Saggart DublIE HĐ số 8361424</t>
  </si>
  <si>
    <t>Phí dịch vụ tư vấn tháng 02/2026 HĐ số 76</t>
  </si>
  <si>
    <t>The 4158xxxx8837 GD thanh toan taiAdobe com Saggart DublIE HĐ số 9374224</t>
  </si>
  <si>
    <t>Thu lãi HĐ số 9669075</t>
  </si>
  <si>
    <t>0111258438</t>
  </si>
  <si>
    <t>Dịch vụ quảng cáo và truyền thông theo Hợp đồng số 20251115/HOATHINH x NGUYENHUE ký ngày 15/11/2025 và Biên bản nghiệm thu ký ngày 05/01/2026 HĐ số 3</t>
  </si>
  <si>
    <t>Dịch vụ quảng cáo và truyền thông theo Hợp đồng số VT/HDQC/2025120103 ký ngày 01/012/2025 Advertising and media services under Contract No. VT/HDQC/2025120103 signed on December 1, 2025 HĐ số 1</t>
  </si>
  <si>
    <t>Thanh toán phí dịch vụ theo Hợp đồng số HD20112025/DRG_ASIACONSULTING_HUE.UII ký ngày 20/11/2025 kèm Biên bản nghiệm thu và thanh lý ký ngày 06/01/2026 HĐ số 4</t>
  </si>
  <si>
    <t>0110128002</t>
  </si>
  <si>
    <t>Dịch vụ quảng cáo và truyền thông theo Hợp đồng số 2026/KOL/MENOW-HUENGUYEN ký ngày 01/01/2026 HĐ số 5</t>
  </si>
  <si>
    <t>Dịch vụ quảng cáo và truyền thông theo Hợp đồng số HKD NGUYENHUE_3BRO6_LOREAL_260015_001 ký ngày 06/01/2026 kèm Biên bản nghiệm thu và thanh lý ký ngày 27/01/2026 HĐ số 6</t>
  </si>
  <si>
    <t>Dịch vụ quảng cáo và truyền thông theo Hợp đồng số 28012026.HDDV. SPARKLE.NHMAKEUP ký ngày 28/01/2026 kèm Biên bản nghiệm thu và thanh lý hợp đồng ký ngày 29/01/2026 HĐ số 8</t>
  </si>
  <si>
    <t>Dịch vụ quảng cáo và truyền thông theo Hợp đồng số 29122025.HDDV. SPARKLE.NHMAKEUP ký ngày 29/12/2025 kèm Biên bản nghiệm thu và thanh lý hợp đồng ký ngày 04/02/2026 HĐ số 9</t>
  </si>
  <si>
    <t>Dịch vụ quảng cáo và truyền thông theo Hợp đồng số HKD NGUYENHUE_3BRO6_LOREAL CUSHION_260106_001 ký ngày 01/02/2026 kèm Biên bản nghiệm thu và thanh lý ký ngày 04/03/2026 HĐ số 10</t>
  </si>
  <si>
    <t>0318970313</t>
  </si>
  <si>
    <t>Dịch vụ quảng cáo và truyền thông theo Hợp đồng số 090226/HĐDV/MQNY-HUE.UII ký ngày 09/02/2026 và Biên bản nghiệm thu và thanh lý ký ngày 10/03/2026 HĐ số 12</t>
  </si>
  <si>
    <t>0318426431</t>
  </si>
  <si>
    <t>Dịch vụ quảng cáo và truyền thông theo Hợp đồng số HKNR-PM-TS-KOL-20260205-035 ký ngày 09/02/2026 và Biên bản kiểm nghiệm và bàn giao sản phẩm 10/03/2026 HĐ số 11</t>
  </si>
  <si>
    <t>Dịch vụ quảng cáo và truyền thông theo Hợp đồng số 10032026.HDDV. SPARKLE.NHMAKEUP ký ngày 10/03/2026 kèm Biên bản nghiệm thu và thanh lý ký ngày 23/03/2026 HĐ số 15</t>
  </si>
  <si>
    <t>0315728603</t>
  </si>
  <si>
    <t>Dịch vụ quảng cáo và truyền thông theo Hợp đồng số HDDV/VZONE-NGUYENHUE-TIRTIR/09032026 ký ngày 09/03/2026 kèm Biên bản nghiệm thu ký ngày 25/03/2026 HĐ số 16</t>
  </si>
  <si>
    <t>18/01/2026</t>
  </si>
  <si>
    <t>24/01/2026</t>
  </si>
  <si>
    <t>16/02/2026</t>
  </si>
  <si>
    <t>17/02/2026</t>
  </si>
  <si>
    <t>18/02/2026</t>
  </si>
  <si>
    <t>22/02/2026</t>
  </si>
  <si>
    <t>15/03/2026</t>
  </si>
  <si>
    <t>Mon Nuoc V Iced Pure Matcha Tea Latte Mon Nuoc V Iced Pure Matcha Tea Latte Replace Oatmilk Mon Nuoc No Sweet Extra Asian Dolce Sauce 483931 TCB 25K HĐ số 196</t>
  </si>
  <si>
    <t>BẮP HOA TRÀ TẮC HĐ số 179</t>
  </si>
  <si>
    <t>Phí dịch vụ Affiliate 12/2025_17360520009 HĐ số 26095</t>
  </si>
  <si>
    <t>Cước phí vận chuyển mã 01KE21Y68T66SXV3QPNA2B96PA Chiết khấu thương mại/ giảm giá mã 01KE21Y68T66SXV3QPNA2B96PA Phí nền tảng mã 01KE21Y68T66SXV3QPNA2B96PA HĐ số 839230</t>
  </si>
  <si>
    <t>Mon Nuoc V Iced Pure Matcha Tea Latte Replace Oatmilk Mon Nuoc No Sweet Extra Asian Dolce Sauce Mon Nuoc V Iced BLACK TEA GRAPEFRT Mon Nuoc V Iced CARAMEL MACCHIATO 483931 TCB 25K HĐ số 1357</t>
  </si>
  <si>
    <t>Thịt sườn bò (늑간살) Súp kim chi và cơm (김치찌개) HĐ số 174</t>
  </si>
  <si>
    <t>Cước phí vận chuyển mã 01KE4FE1NE8Q8PN8S82EXFBA05 Chiết khấu thương mại/ giảm giá mã 01KE4FE1NE8Q8PN8S82EXFBA05 Phí nền tảng mã 01KE4FE1NE8Q8PN8S82EXFBA05 HĐ số 1128179</t>
  </si>
  <si>
    <t>Mon Tomato Meatball Pasta Chili Sauce SR_Stars Reward Mon Nuoc T Iced Lychee Rose Hibiscus Tea HĐ số 1275</t>
  </si>
  <si>
    <t>Cước phí vận chuyển mã 01KE6XB417P85EDMQWSMK4CQ1S Chiết khấu thương mại/ giảm giá mã 01KE6XB417P85EDMQWSMK4CQ1S Phí nền tảng mã 01KE6XB417P85EDMQWSMK4CQ1S HĐ số 1816486</t>
  </si>
  <si>
    <t>Cước phí vận chuyển mã 01KE6CTN1V3RTFJQ856PSPWKH1 Chiết khấu thương mại/ giảm giá mã 01KE6CTN1V3RTFJQ856PSPWKH1 HĐ số 1326687</t>
  </si>
  <si>
    <t>Cước phí vận chuyển mã 01KE75DE2AX4KKBAERWC8QKX8M Chiết khấu thương mại/ giảm giá mã 01KE75DE2AX4KKBAERWC8QKX8M HĐ số 72747</t>
  </si>
  <si>
    <t>Phí dịch vụ tư vấn tháng 12/2025 HĐ số 18</t>
  </si>
  <si>
    <t>Cước phí vận chuyển mã 01KEBJR7CGWDFJT1GX9WSTDKAJ Chiết khấu thương mại/ giảm giá mã 01KEBJR7CGWDFJT1GX9WSTDKAJ Phí nền tảng mã 01KEBJR7CGWDFJT1GX9WSTDKAJ HĐ số 2479034</t>
  </si>
  <si>
    <t>Cước phí vận chuyển mã 01KEC7BWBTDS7Z6Q8FYMQDEDS1 Chiết khấu thương mại/ giảm giá mã 01KEC7BWBTDS7Z6Q8FYMQDEDS1 HĐ số 2025018</t>
  </si>
  <si>
    <t>Cước phí vận chuyển mã 01KEC3H6PGYA89SB0VJTKC128X Chiết khấu thương mại/ giảm giá mã 01KEC3H6PGYA89SB0VJTKC128X HĐ số 1989296</t>
  </si>
  <si>
    <t>Cước phí vận chuyển mã 01KEBTSJTSMCNRM8SV06R63SKC Chiết khấu thương mại/ giảm giá mã 01KEBTSJTSMCNRM8SV06R63SKC Phí nền tảng mã 01KEBTSJTSMCNRM8SV06R63SKC HĐ số 1933908</t>
  </si>
  <si>
    <t>0318770233</t>
  </si>
  <si>
    <t>0318949262</t>
  </si>
  <si>
    <t>Mì sợi thịt gà (닭칼국수) Sủi cảo (쫄깃만두) HĐ số 565</t>
  </si>
  <si>
    <t>Mì ramen nóng hổi (cay)/Rekka Ramen (Spicy) Trứng lòng đào/ Flavored egg HĐ số 261</t>
  </si>
  <si>
    <t>Cước phí vận chuyển mã 01KEH67SJVW6CRD8454QXG58KX Chiết khấu thương mại/ giảm giá mã 01KEH67SJVW6CRD8454QXG58KX HĐ số 2576111</t>
  </si>
  <si>
    <t>Cước phí vận chuyển mã 01KEH0BVDPPT3XTDPG4MHC2HKK Chiết khấu thương mại/ giảm giá mã 01KEH0BVDPPT3XTDPG4MHC2HKK HĐ số 2522529</t>
  </si>
  <si>
    <t>Cước phí vận chuyển mã 01KEGR0SGWW7M4ZGRPY5TVGW5M Chiết khấu thương mại/ giảm giá mã 01KEGR0SGWW7M4ZGRPY5TVGW5M HĐ số 2490330</t>
  </si>
  <si>
    <t>0318047169</t>
  </si>
  <si>
    <t>Trà Lài Nhãn Tắc Xí Muội Cá Hồi Muối Xốt Bơ BEPBO Bò Xèo Mì Bò Sate HĐ số 114</t>
  </si>
  <si>
    <t>AO DAM (trả hàng) HĐ số 3548</t>
  </si>
  <si>
    <t>AO HĐ số 3547</t>
  </si>
  <si>
    <t>0316172372</t>
  </si>
  <si>
    <t>Thức uống (Matcha Latte_Meji Milk) Cold Thức uống (Melon Matcha Latte) Bánh Pain aux Raisins Chiết khấu HĐ số 1004</t>
  </si>
  <si>
    <t>Cước phí vận chuyển mã 01KEVQ84WVKZVB1VKFWY1M6DBD Chiết khấu thương mại/ giảm giá mã 01KEVQ84WVKZVB1VKFWY1M6DBD HĐ số 3826840</t>
  </si>
  <si>
    <t>Cước phí vận chuyển mã 01KEYD1MXP0RXVSHWXQY3WXEY9 Chiết khấu thương mại/ giảm giá mã 01KEYD1MXP0RXVSHWXQY3WXEY9 HĐ số 4133993</t>
  </si>
  <si>
    <t>Cước phí vận chuyển mã 01KEY64QNNX63PKT1JHGRMW0BG Chiết khấu thương mại/ giảm giá mã 01KEY64QNNX63PKT1JHGRMW0BG HĐ số 4100088</t>
  </si>
  <si>
    <t>Mì sợi thịt gà lớn  (닭칼국수 大) Gà kho ớt cay vị vừa cay (고추찜닭 중간맛) HĐ số 1260</t>
  </si>
  <si>
    <t>Cước phí vận chuyển mã 01KF14SQ21KJHTVFZQVNAQGP59 Chiết khấu thương mại/ giảm giá mã 01KF14SQ21KJHTVFZQVNAQGP59 HĐ số 4463027</t>
  </si>
  <si>
    <t>Cước phí vận chuyển mã 01KF0PHAKWJ4V4HV1FBWSC0A79 Chiết khấu thương mại/ giảm giá mã 01KF0PHAKWJ4V4HV1FBWSC0A79 HĐ số 4392835</t>
  </si>
  <si>
    <t>Mon Nuoc V Iced HIBISCUS POMEGRANATE Mon Nuoc V Iced Creamy Pure Matcha Latte Mon Nuoc Less Sweet Mon Nuoc V Iced Lychee Rose Hibiscus Tea Mon Nuoc T GREEN TEA CREAM FRAPP 483931 TCB 25K HĐ số 14455</t>
  </si>
  <si>
    <t>0318546827</t>
  </si>
  <si>
    <t>Cước phí vận chuyển mã 01KF3W7DYET4TJTCG9FK4FKYHC Chiết khấu thương mại/ giảm giá mã 01KF3W7DYET4TJTCG9FK4FKYHC HĐ số 4807427</t>
  </si>
  <si>
    <t>Nước Signature Egg Cream Bánh Popcorn Món Ăn Kèm Nước Uống Boba Marou HĐ số 3763</t>
  </si>
  <si>
    <t>Cước phí vận chuyển mã 01KFAXC24AY80DNQ7HKS0NZJD4 Chiết khấu thương mại/ giảm giá mã 01KFAXC24AY80DNQ7HKS0NZJD4 Phí nền tảng mã 01KFAXC24AY80DNQ7HKS0NZJD4 HĐ số 5710171</t>
  </si>
  <si>
    <t>PHỞ THỐ ĐÁ LÕI VAI PHỞ XỐT VANG GÂN NEM CHUA RÁN KOMBUCHA MƠ HĐ số 841</t>
  </si>
  <si>
    <t>Cước phí vận chuyển mã 01KFD6HBYHYWJTQGX7RQM0CMP1 Chiết khấu thương mại/ giảm giá mã 01KFD6HBYHYWJTQGX7RQM0CMP1 Phí nền tảng mã 01KFD6HBYHYWJTQGX7RQM0CMP1 HĐ số 5962963</t>
  </si>
  <si>
    <t>0315304731</t>
  </si>
  <si>
    <t>BỘ SƠ SINH W TÚI M ÁO THUN UT BỘ SƠ SINH HĐ số 39220</t>
  </si>
  <si>
    <t>Cước phí vận chuyển mã 01KFG9DV9H1ESV3FVNSANR3Z7K Chiết khấu thương mại/ giảm giá mã 01KFG9DV9H1ESV3FVNSANR3Z7K Phí nền tảng mã 01KFG9DV9H1ESV3FVNSANR3Z7K HĐ số 8392572</t>
  </si>
  <si>
    <t>Cước phí vận chuyển mã 01KFFQQNC2Y23EG685H27PG2TG Chiết khấu thương mại/ giảm giá mã 01KFFQQNC2Y23EG685H27PG2TG HĐ số 6253343</t>
  </si>
  <si>
    <t>Cước phí vận chuyển mã 01KFFGMT0XYXP0H4F19M2T2XXT Chiết khấu thương mại/ giảm giá mã 01KFFGMT0XYXP0H4F19M2T2XXT HĐ số 6226508</t>
  </si>
  <si>
    <t>Cước phí vận chuyển mã 01KFF6RVQ0ZY2GDB4MTP07PFMG Chiết khấu thương mại/ giảm giá mã 01KFF6RVQ0ZY2GDB4MTP07PFMG HĐ số 6181764</t>
  </si>
  <si>
    <t>PhinĐi Hạnh Nhân M Trà Sen Vàng M Cookies và Cream L Trà Mãng Cầu M HĐ số 1242843</t>
  </si>
  <si>
    <t>Cước phí vận chuyển mã 01KFJVN8TEYTQG8SH3YV66PKTY Chiết khấu thương mại/ giảm giá mã 01KFJVN8TEYTQG8SH3YV66PKTY Phí nền tảng mã 01KFJVN8TEYTQG8SH3YV66PKTY HĐ số 8832030</t>
  </si>
  <si>
    <t>Cước phí vận chuyển mã 01KFJC4BYGBDHCJP9S6GTZPZVY Chiết khấu thương mại/ giảm giá mã 01KFJC4BYGBDHCJP9S6GTZPZVY HĐ số 6567399</t>
  </si>
  <si>
    <t>0319056631</t>
  </si>
  <si>
    <t>Phí dịch vụ vệ sinh, mã đơn #1808188 HĐ số 7916</t>
  </si>
  <si>
    <t>Cước phí vận chuyển mã 01KFN2FH57KZHSYS7XWGMX3MKJ Chiết khấu thương mại/ giảm giá mã 01KFN2FH57KZHSYS7XWGMX3MKJ HĐ số 6908887</t>
  </si>
  <si>
    <t>Cước phí vận chuyển mã 01KFMHSAHV4Q02SMPVX3NWBD7R Chiết khấu thương mại/ giảm giá mã 01KFMHSAHV4Q02SMPVX3NWBD7R HĐ số 6818957</t>
  </si>
  <si>
    <t>Tắc Xí Muội Set Lunch 2 Tacos 3 Vị HĐ số 311</t>
  </si>
  <si>
    <t>Mon Nuoc V CHOCOLATE CHIP FRAPPUCCINO Mon Nuoc Replace Light Cream Base Mon Nuoc V Iced Pure Matcha Tea Latte Replace Oatmilk Mon Nuoc No Sweet Extra Asian Dolce Sauce 483931 TCB 25K HĐ số 11256</t>
  </si>
  <si>
    <t>BẮP HOA TRÀ TẮC HĐ số 4479</t>
  </si>
  <si>
    <t>Cước phí vận chuyển mã 01KFTAY2E4Z9GVEC3S4HA0DJ51 Chiết khấu thương mại/ giảm giá mã 01KFTAY2E4Z9GVEC3S4HA0DJ51 HĐ số 7661491</t>
  </si>
  <si>
    <t>0313510827</t>
  </si>
  <si>
    <t>PHỤ KIỆN EARPODS (USB-C)-ITS HĐ số 95</t>
  </si>
  <si>
    <t>Cước phí vận chuyển mã 01KFWXXMDX076P03MER5SKM244 Chiết khấu thương mại/ giảm giá mã 01KFWXXMDX076P03MER5SKM244 Phí nền tảng mã 01KFWXXMDX076P03MER5SKM244 HĐ số 7980256</t>
  </si>
  <si>
    <t>0318751456</t>
  </si>
  <si>
    <t>Thức uống (Matcha Latte_Meji Milk) Thức uống (Melon Matcha Latte) Bánh Pain aux Raisins HĐ số 2268</t>
  </si>
  <si>
    <t>Cước phí vận chuyển mã 01KFZM7B07SRKKYP857S6JEMA6 Chiết khấu thương mại/ giảm giá mã 01KFZM7B07SRKKYP857S6JEMA6 Phí nền tảng mã 01KFZM7B07SRKKYP857S6JEMA6 HĐ số 8301932</t>
  </si>
  <si>
    <t>2047502100058-Lancome-Kem nền lỏng-35ml HĐ số 141524</t>
  </si>
  <si>
    <t>Mon Nuoc V Iced Creamy Pure Matcha Latte Mon Nuoc V CHOCOLATE CHIP FRAPPUCCINO Mon Nuoc Replace Light Coffee Base 483931 TCB 25K HĐ số 12624</t>
  </si>
  <si>
    <t>Cước phí vận chuyển mã 01KG4XVR6XF9RH4P1EABA02NHP Chiết khấu thương mại/ giảm giá mã 01KG4XVR6XF9RH4P1EABA02NHP Phí nền tảng mã 01KG4XVR6XF9RH4P1EABA02NHP HĐ số 8948608</t>
  </si>
  <si>
    <t>Mon Nuoc V Iced Pure Matcha Tea Latte Mon Nuoc V Iced Pure Matcha Tea Latte Replace Oatmilk Mon Nuoc No Sweet Extra Asian Dolce Sauce 483931 TCB 25K HĐ số 10418</t>
  </si>
  <si>
    <t>0303462927</t>
  </si>
  <si>
    <t>Món ăn tự chọn tối (Dinner buffet) Giảm giá Phí phục vụ HĐ số 361</t>
  </si>
  <si>
    <t>Cước phí vận chuyển mã 01KG7A7Q9V7KWYBSQ8CGQ0T8ZA Chiết khấu thương mại/ giảm giá mã 01KG7A7Q9V7KWYBSQ8CGQ0T8ZA Phí nền tảng mã 01KG7A7Q9V7KWYBSQ8CGQ0T8ZA HĐ số 12452623</t>
  </si>
  <si>
    <t>Cước phí vận chuyển mã 01KG795GRH5MN6KAY0C0P8KYRQ Chiết khấu thương mại/ giảm giá mã 01KG795GRH5MN6KAY0C0P8KYRQ Phí nền tảng mã 01KG795GRH5MN6KAY0C0P8KYRQ HĐ số 9246530</t>
  </si>
  <si>
    <t>Cước phí vận chuyển mã 01KG725XYYSPQJ6N4Y6JPFVXGZ Phí nền tảng mã 01KG725XYYSPQJ6N4Y6JPFVXGZ HĐ số 9180614</t>
  </si>
  <si>
    <t>Cước phí vận chuyển mã 01KG6FB0ZKZNCD0KX82X7AECK9 Chiết khấu thương mại/ giảm giá mã 01KG6FB0ZKZNCD0KX82X7AECK9 HĐ số 9099761</t>
  </si>
  <si>
    <t>086090002149</t>
  </si>
  <si>
    <t>XU XOA ĐƯỜNG ĐÁ TRÀ LÁ DỨA ĐẬU BIẾC TÔM RAM MẶN Đọt su su xào tỏi CƠM TRẮNG CANH CHUA CÁ BÔNG LAU KHĂN LẠNH CÀ PHÁO MẮM SỔI Phí dịch vụ HĐ số 365</t>
  </si>
  <si>
    <t>Cước phí vận chuyển mã 01KG9P30S38502JZJTFBXNZBY8 Chiết khấu thương mại/ giảm giá mã 01KG9P30S38502JZJTFBXNZBY8 Phí nền tảng mã 01KG9P30S38502JZJTFBXNZBY8 HĐ số 9565032</t>
  </si>
  <si>
    <t>Phí dịch vụ Affiliate 01/2026_17360520009 (Affiliate Service fee 01/2026_17360520009) HĐ số 854184</t>
  </si>
  <si>
    <t>Cước phí vận chuyển mã 01KGF4W7X7ARQR0DEBDDYRMCAD Chiết khấu thương mại/ giảm giá mã 01KGF4W7X7ARQR0DEBDDYRMCAD HĐ số 10325258</t>
  </si>
  <si>
    <t>EISPENNER MATCHA - OAT TRÀ DÂU FRENCH FRIES WITH TRUFFLE MAYO HĐ số 20392</t>
  </si>
  <si>
    <t>0319274661</t>
  </si>
  <si>
    <t>Combo 2N1B Sunshine Thanh Hoa Dâu 70 Đường Thanh Nho Tím HĐ số 5711</t>
  </si>
  <si>
    <t>Phí dịch vụ tư vấn tháng 01/2026 HĐ số 51</t>
  </si>
  <si>
    <t>Cước phí vận chuyển mã 01KGPW9WET89JRR0CJ85VEPGCF Chiết khấu thương mại/ giảm giá mã 01KGPW9WET89JRR0CJ85VEPGCF Phí nền tảng mã 01KGPW9WET89JRR0CJ85VEPGCF HĐ số 15326878</t>
  </si>
  <si>
    <t>Cước phí vận chuyển mã 01KGMTWS9C0CP30GKF4AAZYGNC Chiết khấu thương mại/ giảm giá mã 01KGMTWS9C0CP30GKF4AAZYGNC HĐ số 11018416</t>
  </si>
  <si>
    <t>Nước dưa hấu Rau muống xào tóp mỡ Mực trứng chiên giòn sốt mắm Gạch cua chấm bún hến Đậu phụ tẩm hành ALC Ba chỉ heo quay cuốn bánh tráng HĐ số 391190</t>
  </si>
  <si>
    <t>Cước phí vận chuyển mã 01KGRVBK87R740RB2APBNFFYKW Chiết khấu thương mại/ giảm giá mã 01KGRVBK87R740RB2APBNFFYKW Phí nền tảng mã 01KGRVBK87R740RB2APBNFFYKW HĐ số 15657127</t>
  </si>
  <si>
    <t>Cước phí vận chuyển mã 01KGSG7NE66BCD26MQ7EQBG6N0 Chiết khấu thương mại/ giảm giá mã 01KGSG7NE66BCD26MQ7EQBG6N0 HĐ số 11615559</t>
  </si>
  <si>
    <t>Cước phí vận chuyển mã 01KGSAEZ95Z0HX2GXS8KNM7B4V Chiết khấu thương mại/ giảm giá mã 01KGSAEZ95Z0HX2GXS8KNM7B4V HĐ số 11600435</t>
  </si>
  <si>
    <t>Cước phí vận chuyển mã 01KGRK2HPAJWP737CXV4GG6KDJ Chiết khấu thương mại/ giảm giá mã 01KGRK2HPAJWP737CXV4GG6KDJ HĐ số 11443269</t>
  </si>
  <si>
    <t>Thức Uống Sô Cô La Marou Nước Signature Egg Cream HĐ số 7672</t>
  </si>
  <si>
    <t>0317770505</t>
  </si>
  <si>
    <t>Phi phuc vu (Service charge rate ): 5% Cà Phê Sữa - Đá Trà Oolong Dâu Trà Oolong Khóm Me HĐ số 6141</t>
  </si>
  <si>
    <t>079187035968</t>
  </si>
  <si>
    <t>Cước phí vận chuyển mã 01KGVD9GHAGRS1JT0RJ3RZB8BG Chiết khấu thương mại/ giảm giá mã 01KGVD9GHAGRS1JT0RJ3RZB8BG Phí nền tảng mã 01KGVD9GHAGRS1JT0RJ3RZB8BG HĐ số 11849516</t>
  </si>
  <si>
    <t>0318974910</t>
  </si>
  <si>
    <t>Cước phí vận chuyển mã 01KGYZ4P2F110486C279F95KNY Chiết khấu thương mại/ giảm giá mã 01KGYZ4P2F110486C279F95KNY HĐ số 12404041</t>
  </si>
  <si>
    <t>Cước phí vận chuyển mã 01KGYRDYCXWNR3K3MCRP9KXFWR Chiết khấu thương mại/ giảm giá mã 01KGYRDYCXWNR3K3MCRP9KXFWR HĐ số 12370997</t>
  </si>
  <si>
    <t>Cước phí vận chuyển mã 01KGYEC6C68CJH9T0B3VM5W479 Chiết khấu thương mại/ giảm giá mã 01KGYEC6C68CJH9T0B3VM5W479 HĐ số 12316640</t>
  </si>
  <si>
    <t>0317642905</t>
  </si>
  <si>
    <t>Trà Xanh Nhật Bản, Nước Dừa, Sữa Dừa Táo, Ổi, Củ Sắn, Củ Dền Bánh Ngàn Lớp Trà Xanh 10cm HĐ số 5608</t>
  </si>
  <si>
    <t>Phí dịch vụ vệ sinh, mã đơn #1824633 HĐ số 16570</t>
  </si>
  <si>
    <t>Phí dịch vụ vệ sinh, mã đơn #1824634 HĐ số 16569</t>
  </si>
  <si>
    <t>Phí dịch vụ vệ sinh, mã đơn #1824635 HĐ số 16568</t>
  </si>
  <si>
    <t>Cước phí vận chuyển mã 01KH3PZ5SFGQPZVQ3EFQ5ZKQN1 Chiết khấu thương mại/ giảm giá mã 01KH3PZ5SFGQPZVQ3EFQ5ZKQN1 HĐ số 12988609</t>
  </si>
  <si>
    <t>Cước phí vận chuyển mã 01KH1YBA5ZKYNFXMTMYTFPKYVK HĐ số 12737886</t>
  </si>
  <si>
    <t>Cước phí vận chuyển mã 01KH1WM947YKGR901KT5JNP9E2 Chiết khấu thương mại/ giảm giá mã 01KH1WM947YKGR901KT5JNP9E2 HĐ số 12736808</t>
  </si>
  <si>
    <t>BẮP HOA CHÉN ĐUÔI ỔI TRÀ TẮC HĐ số 7951</t>
  </si>
  <si>
    <t>Set Lunch 2 Tiramisu HĐ số 605</t>
  </si>
  <si>
    <t>Áo thun xanh Sài Gòn Hộp quà 6 thanh sô-cô-la hảo hạng 80 gram - 480 gram Lon đậu phộng phủ sô-cô-la sữa HĐ số 9837</t>
  </si>
  <si>
    <t>Bánh Croissant Thức uống sô-cô-la với kẹo marshmallow ổi hồng thanh long Sữa lắc sô-cô-la ổi hồng thanh long đỏ HĐ số 9836</t>
  </si>
  <si>
    <t>Mon Nuoc V Iced Pure Matcha Tea Latte Mon Nuoc No Sweet Extra Asian Dolce Sauce Replace Oatmilk Mon Tomato Meatball Pasta 483931 TCB 25K HĐ số 16880</t>
  </si>
  <si>
    <t>Dịch vụ ăn uống theo bill số 104833 - 15/02/2026 Món Pizza 4 loại phô mai nhà làm Món Pizza tôm tỏi HĐ số 7627</t>
  </si>
  <si>
    <t>Trà Sen Vàng M HĐ số 2836044</t>
  </si>
  <si>
    <t>Cước phí vận chuyển mã 01KHMYMNXZWJSNRNMEVZFKJS07 HĐ số 14679405</t>
  </si>
  <si>
    <t>Cước phí vận chuyển mã 01KHR0NYXS6AFP67JCX7T550F6 HĐ số 14924275</t>
  </si>
  <si>
    <t>Cước phí vận chuyển mã 01KHRW6F5CQK4TRA3P3R5DNFMV HĐ số 15014574</t>
  </si>
  <si>
    <t>Trà Ô Long (M) Topping thạch konjac Trà Vải Sen (M) Trà Vải Lài (M) Trà Lucky Tea (M) Trà Ô Long Dâu (L) Hồng Trà Latte Mây (L) Trà Ô Long Lài Bưởi (M) Topping Kem Silky HĐ số 1663093</t>
  </si>
  <si>
    <t>M KÍNH MÁT HĐ số 102001</t>
  </si>
  <si>
    <t>M ÁO THUN UT W ÁO THUN UT M KÍNH MÁT W ÁO THUN UT BỘ SƠ SINH M ÁO THUN UT BỘ BODYSUIT HĐ số 101596</t>
  </si>
  <si>
    <t>Cước phí vận chuyển mã 01KJ2P9D1TXQPKJCB31QJTYSES Chiết khấu thương mại/ giảm giá mã 01KJ2P9D1TXQPKJCB31QJTYSES Phí nền tảng mã 01KJ2P9D1TXQPKJCB31QJTYSES HĐ số 21439679</t>
  </si>
  <si>
    <t>Cước phí vận chuyển mã 01KJ2N5M3SQXTD76AV9VA5EVAR Chiết khấu thương mại/ giảm giá mã 01KJ2N5M3SQXTD76AV9VA5EVAR HĐ số 15839641</t>
  </si>
  <si>
    <t>Cước phí vận chuyển mã 01KJ1XVNYSB7HMVA1AAKHG1SEA Chiết khấu thương mại/ giảm giá mã 01KJ1XVNYSB7HMVA1AAKHG1SEA HĐ số 15727446</t>
  </si>
  <si>
    <t>Mon Nuoc V Iced Pure Matcha Tea Latte Replace Oatmilk Mon Nuoc No Sweet Extra Asian Dolce Sauce Mon Nuoc V Nitro Pure Matcha Latte 483931 TCB 25K HĐ số 25867</t>
  </si>
  <si>
    <t>0317756268</t>
  </si>
  <si>
    <t>0319381416</t>
  </si>
  <si>
    <t>Phở Nạm Phở Tái Nạm Bò Viên Thêm Trà Hoa Atiso HĐ số 2</t>
  </si>
  <si>
    <t>Mon Nuoc V Iced Pure Matcha Tea Latte Mon Nuoc No Sweet Replace Oatmilk Extra Asian Dolce Sauce Mon Nuoc T Iced Pure Matcha Tea Latte SR_Stars Reward 483931 TCB 25K HĐ số 11966</t>
  </si>
  <si>
    <t>0309190349</t>
  </si>
  <si>
    <t>Quần tây nam HĐ số 3007</t>
  </si>
  <si>
    <t>0317819214</t>
  </si>
  <si>
    <t>BURRATA SALAD-Xà Lách Burrata COCA COLA-Nước ngọt coca Coconut-Dừa tươi 6 CHEESE HONEY- Bánh Cheese  Honey TIRAMISÙ-Bánh Tiramisù Phí Dịch Vụ HĐ số 268</t>
  </si>
  <si>
    <t>Phí dịch vụ vệ sinh, mã đơn #1833434 HĐ số 22720</t>
  </si>
  <si>
    <t>Phí dịch vụ vệ sinh, mã đơn #1833435 HĐ số 22717</t>
  </si>
  <si>
    <t>0318841879</t>
  </si>
  <si>
    <t>TOKYO MJ W HĐ số 13638</t>
  </si>
  <si>
    <t>Mon Nuoc V Iced Pure Matcha Tea Latte Replace Oatmilk Mon Nuoc No Sweet Extra Asian Dolce Sauce 483931 TCB 25K HĐ số 19528</t>
  </si>
  <si>
    <t>Cước phí vận chuyển mã 01KJJ1HPAEFQDJX38WRVPK44V7 Chiết khấu thương mại/ giảm giá mã 01KJJ1HPAEFQDJX38WRVPK44V7 HĐ số 17490313</t>
  </si>
  <si>
    <t>Cước phí vận chuyển mã 01KJHRV23CW74Q5VQQ416E3KGN Chiết khấu thương mại/ giảm giá mã 01KJHRV23CW74Q5VQQ416E3KGN HĐ số 17419000</t>
  </si>
  <si>
    <t>Nước Signature Egg Cream Món Ăn Kèm Nước Uống Boba Marou Hộp quà 6 thanh sô-cô-la hảo hạng 80 gram - 480 gram Hộp xoài phủ sô-cô-la đen 100 gram Thức Uống Sô Cô La Marou HĐ số 12054</t>
  </si>
  <si>
    <t>Cước phí vận chuyển mã 01KJN0WQ26XZBH3EC0KQGGMN5N Chiết khấu thương mại/ giảm giá mã 01KJN0WQ26XZBH3EC0KQGGMN5N HĐ số 17859415</t>
  </si>
  <si>
    <t>Cước phí vận chuyển mã 01KJMPH3DKCQVY1117VX7AVQT8 Chiết khấu thương mại/ giảm giá mã 01KJMPH3DKCQVY1117VX7AVQT8 HĐ số 17810695</t>
  </si>
  <si>
    <t>0110269067-025</t>
  </si>
  <si>
    <t>Cước phí vận chuyển mã 01KJMDCFNH1Q8RJK3P7EZRG1Y7 Chiết khấu thương mại/ giảm giá mã 01KJMDCFNH1Q8RJK3P7EZRG1Y7 HĐ số 193965</t>
  </si>
  <si>
    <t>Phí dịch vụ Affiliate 02/2026_17360520009 (Affiliate Service fee 02/2026_17360520009) HĐ số 1713407</t>
  </si>
  <si>
    <t>PHỤ KIỆN EARPODS (USB-C)-ITS HĐ số 195</t>
  </si>
  <si>
    <t>Cước phí vận chuyển mã 01KJNBTD36GCPWHC9DZRG6C26P Chiết khấu thương mại/ giảm giá mã 01KJNBTD36GCPWHC9DZRG6C26P Phí nền tảng mã 01KJNBTD36GCPWHC9DZRG6C26P HĐ số 24497734</t>
  </si>
  <si>
    <t>Cước phí vận chuyển mã 01KJQK1EG65PHF1HTMS1DRSJXH Chiết khấu thương mại/ giảm giá mã 01KJQK1EG65PHF1HTMS1DRSJXH HĐ số 18138970</t>
  </si>
  <si>
    <t>Túi giấy ĐIỆN THOẠI DI ĐỘNG IPHONE AIR SKY BLUE 256GB A3517-ITP- M74Q692QCQ HĐ số 461524</t>
  </si>
  <si>
    <t>Mon Nuoc V Iced Pure Matcha Tea Latte Mon Nuoc V Iced Pure Matcha Tea Latte Replace Oatmilk Extra Asian Dolce Sauce Mon Nuoc No Sweet 483931 TCB 25K HĐ số 23241</t>
  </si>
  <si>
    <t>Cước phí vận chuyển mã 01KJQX53V8FPAKSRQT54WSHRXF Chiết khấu thương mại/ giảm giá mã 01KJQX53V8FPAKSRQT54WSHRXF Phí nền tảng mã 01KJQX53V8FPAKSRQT54WSHRXF HĐ số 24907632</t>
  </si>
  <si>
    <t>Cước phí vận chuyển mã 01KJSMWP2WPJBPW3QVAKKJZTVG Chiết khấu thương mại/ giảm giá mã 01KJSMWP2WPJBPW3QVAKKJZTVG Phí nền tảng mã 01KJSMWP2WPJBPW3QVAKKJZTVG HĐ số 18337388</t>
  </si>
  <si>
    <t>Mon Nuoc V Iced Pure Matcha Latte With C Mon Nuoc Less Sweet Mon Nuoc V Iced Pure Matcha Tea Latte VISA Contactless HĐ số 17690</t>
  </si>
  <si>
    <t>Dịch vụ ăn uống theo bill số 047635 - 03/03/2026 Món Pizza 4 loại phô mai nhà làm Món Pizza tôm tỏi Thịt nguội cuộn lá Rocket và phô mai Ricotta Phí giao hàng HĐ số 4759</t>
  </si>
  <si>
    <t>PHỞ TÁI LĂN TRUYỀN THỐNG - Nhỏ Nước Mơ HĐ số 2795</t>
  </si>
  <si>
    <t>Cước phí vận chuyển mã 01KJWAV0QH20CXQAYGS131QGHB Chiết khấu thương mại/ giảm giá mã 01KJWAV0QH20CXQAYGS131QGHB HĐ số 18658168</t>
  </si>
  <si>
    <t>0318893443</t>
  </si>
  <si>
    <t>Phở bò kho Miến đùi gà thiến (Capon Thigh Glass Noodle ) HĐ số 14636</t>
  </si>
  <si>
    <t>Cước phí vận chuyển mã 01KJX6XQZN7EA5C188BVGZZSB1 Chiết khấu thương mại/ giảm giá mã 01KJX6XQZN7EA5C188BVGZZSB1 Phí nền tảng mã 01KJX6XQZN7EA5C188BVGZZSB1 HĐ số 25735297</t>
  </si>
  <si>
    <t>Cước phí vận chuyển mã 01KJYWAKABB96PC5JGEN9DDK2A Chiết khấu thương mại/ giảm giá mã 01KJYWAKABB96PC5JGEN9DDK2A HĐ số 18926575</t>
  </si>
  <si>
    <t>Cước phí vận chuyển mã 01KJYDN4KJ6T8V6AEY0T2YWSJ2 Chiết khấu thương mại/ giảm giá mã 01KJYDN4KJ6T8V6AEY0T2YWSJ2 HĐ số 18841266</t>
  </si>
  <si>
    <t>Phí dịch vụ vệ sinh, mã đơn #1840714 HĐ số 26850</t>
  </si>
  <si>
    <t>Cước phí vận chuyển mã 01KJZHSSM10SYX9F690Z4EQQDP Chiết khấu thương mại/ giảm giá mã 01KJZHSSM10SYX9F690Z4EQQDP Phí nền tảng mã 01KJZHSSM10SYX9F690Z4EQQDP HĐ số 26159396</t>
  </si>
  <si>
    <t>Cước phí vận chuyển mã 01KK1QYMJ38M9MNQ0X6Z7D2BP6 Chiết khấu thương mại/ giảm giá mã 01KK1QYMJ38M9MNQ0X6Z7D2BP6 HĐ số 19258547</t>
  </si>
  <si>
    <t>Cước phí vận chuyển mã 01KK1P95P5XR8QGVENBZTVHDGQ Chiết khấu thương mại/ giảm giá mã 01KK1P95P5XR8QGVENBZTVHDGQ HĐ số 19250164</t>
  </si>
  <si>
    <t>Ly TT SZ 122315 (Set2) Rượu vang mạnh Tommasi Amarone della Valpolicella Classico 750ml 15% 2019 Túi Giấy Trung Bình (28x11x35) HĐ số 31128</t>
  </si>
  <si>
    <t>Mon Nuoc V Iced Pure Matcha Tea Latte Mon Nuoc V Iced Pure Matcha Tea Latte Replace Oatmilk Extra Asian Dolce Sauce Mon Nuoc No Sweet 483931 TCB 25K HĐ số 14189</t>
  </si>
  <si>
    <t>Cước phí vận chuyển mã 01KK460835ZMRABS3HP088GC7B Chiết khấu thương mại/ giảm giá mã 01KK460835ZMRABS3HP088GC7B Phí nền tảng mã 01KK460835ZMRABS3HP088GC7B HĐ số 27029169</t>
  </si>
  <si>
    <t>Cước phí vận chuyển mã 01KK4F6FEH74HTKA2XCXBQP5KF Chiết khấu thương mại/ giảm giá mã 01KK4F6FEH74HTKA2XCXBQP5KF HĐ số 19624865</t>
  </si>
  <si>
    <t>Gói Combo 2 Mì xào bơ tỏi Tôm hùm alaska lớn (kg) Nước suối Lavie Pre Kem vani Kem chocolate Kem tra xanh Tiền phí phục vụ (Service Charge 8%) HĐ số 1704</t>
  </si>
  <si>
    <t>Cước phí vận chuyển mã 01KK6SYDQA3YFQ8M3AE3ABMCF3 Chiết khấu thương mại/ giảm giá mã 01KK6SYDQA3YFQ8M3AE3ABMCF3 HĐ số 19931222</t>
  </si>
  <si>
    <t>Cước phí vận chuyển mã 01KK6J1FT7XS6JFE60B3SCRRD1 Chiết khấu thương mại/ giảm giá mã 01KK6J1FT7XS6JFE60B3SCRRD1 HĐ số 19861293</t>
  </si>
  <si>
    <t>Cước phí vận chuyển mã 01KK6GN14ZXWX929GH65E2SFXY Chiết khấu thương mại/ giảm giá mã 01KK6GN14ZXWX929GH65E2SFXY HĐ số 19856590</t>
  </si>
  <si>
    <t>Cước phí vận chuyển mã 01KK6C1VCHNMPZFXK4XZ3AJSWD Chiết khấu thương mại/ giảm giá mã 01KK6C1VCHNMPZFXK4XZ3AJSWD HĐ số 19824288</t>
  </si>
  <si>
    <t>Cước phí vận chuyển mã 01KK6092K5MPNSFRR6H503W39J Chiết khấu thương mại/ giảm giá mã 01KK6092K5MPNSFRR6H503W39J HĐ số 19762274</t>
  </si>
  <si>
    <t>Mon Nuoc V Iced HIBISCUS POMEGRANATE Mon Nuoc No Sweet Mon Nuoc V Iced BLACK TEA GRAPEFRT Mon Nuoc No Sweet No Water 478097 TCB 25K HĐ số 19153</t>
  </si>
  <si>
    <t>Mon Nuoc V Iced Pure Matcha Tea Latte Mon Nuoc No Sweet Extra Asian Dolce Sauce Replace Oatmilk Mon Nuoc V CHOCOLATE CHIP FRAPPUCCINO 478097 TCB 25K HĐ số 19110</t>
  </si>
  <si>
    <t>0314555531</t>
  </si>
  <si>
    <t>Cước phí vận chuyển mã 01KKCN6A02BNDYK3A6281KY0H4 Chiết khấu thương mại/ giảm giá mã 01KKCN6A02BNDYK3A6281KY0H4 HĐ số 20576483</t>
  </si>
  <si>
    <t>Cước phí vận chuyển mã 01KKCE172SHZQ74NS36RWNG41K Chiết khấu thương mại/ giảm giá mã 01KKCE172SHZQ74NS36RWNG41K HĐ số 20570630</t>
  </si>
  <si>
    <t>Phí dịch vụ tư vấn tháng 02/2026 HĐ số 91</t>
  </si>
  <si>
    <t>Cước phí vận chuyển mã 01KKHCACE3GPCS94WT28M9VM7S Chiết khấu thương mại/ giảm giá mã 01KKHCACE3GPCS94WT28M9VM7S Phí nền tảng mã 01KKHCACE3GPCS94WT28M9VM7S HĐ số 29368158</t>
  </si>
  <si>
    <t>Mon Nuoc V Iced Pure Matcha Tea Latte Mon Nuoc V Iced Pure Matcha Tea Latte Replace Oatmilk Extra Asian Dolce Sauce Mon Nuoc No Sweet Mon Duo Waffle Dog 478097 TCB 25K HĐ số 15645</t>
  </si>
  <si>
    <t>0302099683</t>
  </si>
  <si>
    <t>Dũa thủy tinh DT.402 Túi đựng dụng cụ nail cá nhân- Nailpop hình chữ nhật Dũa vỉ giấy DG-402B HĐ số 100928</t>
  </si>
  <si>
    <t>Phí dịch vụ vệ sinh, mã đơn #1845031 HĐ số 29713</t>
  </si>
  <si>
    <t>Cước phí vận chuyển mã 01KKJ24769T7F3WPJEDMQ2CZS4 Chiết khấu thương mại/ giảm giá mã 01KKJ24769T7F3WPJEDMQ2CZS4 Phí nền tảng mã 01KKJ24769T7F3WPJEDMQ2CZS4 HĐ số 29398734</t>
  </si>
  <si>
    <t>Cước phí vận chuyển mã 01KKKVMHG28Y7GD6PG0H5A2FB0 Chiết khấu thương mại/ giảm giá mã 01KKKVMHG28Y7GD6PG0H5A2FB0 HĐ số 21458672</t>
  </si>
  <si>
    <t>Cước phí vận chuyển mã 01KKKMK0FW602QN91FNCXE5H36 Chiết khấu thương mại/ giảm giá mã 01KKKMK0FW602QN91FNCXE5H36 HĐ số 21420793</t>
  </si>
  <si>
    <t>Mon Nuoc V Iced Pure Matcha Tea Latte Mon Nuoc No Sweet Replace Oatmilk Extra Asian Dolce Sauce Mon Nuoc V Iced Pure Matcha Tea Latte TECHCOMBANK 25K HĐ số 20500</t>
  </si>
  <si>
    <t>0318889775</t>
  </si>
  <si>
    <t>Bún Cua Chả HĐ số 4202</t>
  </si>
  <si>
    <t>Cước phí vận chuyển mã 01KKPCGN847VP9XS7D4N10C23H Chiết khấu thương mại/ giảm giá mã 01KKPCGN847VP9XS7D4N10C23H HĐ số 21804514</t>
  </si>
  <si>
    <t>Cước phí vận chuyển mã 01KKP10B86QS1CS8BRP02AXKZ5 Chiết khấu thương mại/ giảm giá mã 01KKP10B86QS1CS8BRP02AXKZ5 HĐ số 21715651</t>
  </si>
  <si>
    <t>Cước phí vận chuyển mã 01KKNX9VJETDRR9K6D7J5RWJ3J Chiết khấu thương mại/ giảm giá mã 01KKNX9VJETDRR9K6D7J5RWJ3J HĐ số 21685231</t>
  </si>
  <si>
    <t>Cước phí vận chuyển mã 01KKNJWAMRQNBWGQWPMHXG8P1Z Chiết khấu thương mại/ giảm giá mã 01KKNJWAMRQNBWGQWPMHXG8P1Z HĐ số 21634384</t>
  </si>
  <si>
    <t>Cước phí vận chuyển mã 01KKN6ARZP1VCPBV78W6YJN0GQ Chiết khấu thương mại/ giảm giá mã 01KKN6ARZP1VCPBV78W6YJN0GQ HĐ số 21571257</t>
  </si>
  <si>
    <t>Cước phí vận chuyển mã 01KKM1MY1QYHDSRZY1PB5Q3NSG Chiết khấu thương mại/ giảm giá mã 01KKM1MY1QYHDSRZY1PB5Q3NSG HĐ số 21483801</t>
  </si>
  <si>
    <t>Mon Nuoc V Iced Pure Matcha Tea Latte Mon Nuoc No Sweet Replace Oatmilk Extra Asian Dolce Sauce TECHCOMBANK 25K HĐ số 20829</t>
  </si>
  <si>
    <t>0315132225</t>
  </si>
  <si>
    <t>Cước phí vận chuyển mã 01KKRW7BN56DV2H6NFJK0MCTSB Chiết khấu thương mại/ giảm giá mã 01KKRW7BN56DV2H6NFJK0MCTSB HĐ số 22093018</t>
  </si>
  <si>
    <t>Cước phí vận chuyển mã 01KKRJNK1XG4P2W1YM2D07PRJV Chiết khấu thương mại/ giảm giá mã 01KKRJNK1XG4P2W1YM2D07PRJV HĐ số 22043176</t>
  </si>
  <si>
    <t>Cước phí vận chuyển mã 01KKRDKAAPKRT1XB3HZA0WP8RW Chiết khấu thương mại/ giảm giá mã 01KKRDKAAPKRT1XB3HZA0WP8RW HĐ số 22003343</t>
  </si>
  <si>
    <t>Cước phí vận chuyển mã 01KKR2V6E0J8NP9WMRRQ8H3EHQ Chiết khấu thương mại/ giảm giá mã 01KKR2V6E0J8NP9WMRRQ8H3EHQ HĐ số 21953334</t>
  </si>
  <si>
    <t>Nước Signature Egg Cream Bánh Cheesecake Bánh Quy Bơ Bánh Pain Au Chocolate Thức Uống Sô Cô La Marou Bánh Su Kem Vani Sô-cô-la HĐ số 15421</t>
  </si>
  <si>
    <t>KOMBUCHA MƠ Phở Cuốn Hà Nội (4pcs) PHỞ TÁI LĂN TRUYỀN THỐNG - Vừa HĐ số 3301</t>
  </si>
  <si>
    <t>Bấm móng lớn vỉ giấy B-901 Bấm móng nhỏ vỉ giấy B-903 HĐ số 103862</t>
  </si>
  <si>
    <t>Cước phí vận chuyển mã 01KKTSJCKN3AF8WB839J6TWMZN Chiết khấu thương mại/ giảm giá mã 01KKTSJCKN3AF8WB839J6TWMZN Phí nền tảng mã 01KKTSJCKN3AF8WB839J6TWMZN HĐ số 31031584</t>
  </si>
  <si>
    <t>Cước phí vận chuyển mã 01KKVR1N7RXSW1PJZVNR1WV1A6 Chiết khấu thương mại/ giảm giá mã 01KKVR1N7RXSW1PJZVNR1WV1A6 HĐ số 22421975</t>
  </si>
  <si>
    <t>Cước phí vận chuyển mã 01KKVB3RKCVHQ50Y0QTBKWC613 Chiết khấu thương mại/ giảm giá mã 01KKVB3RKCVHQ50Y0QTBKWC613 HĐ số 22377659</t>
  </si>
  <si>
    <t>Cước phí vận chuyển mã 01KKV1ZEMYD6A8YM6MNSY723JX Chiết khấu thương mại/ giảm giá mã 01KKV1ZEMYD6A8YM6MNSY723JX Phí nền tảng mã 01KKV1ZEMYD6A8YM6MNSY723JX HĐ số 22323935</t>
  </si>
  <si>
    <t>Cước phí vận chuyển mã 01KKV03SX4HSBWV81PNXTZ8J47 Chiết khấu thương mại/ giảm giá mã 01KKV03SX4HSBWV81PNXTZ8J47 HĐ số 22310373</t>
  </si>
  <si>
    <t>Cước phí vận chuyển mã 01KKTQNKF3DJTQ7GSS9GSHRTBK Chiết khấu thương mại/ giảm giá mã 01KKTQNKF3DJTQ7GSS9GSHRTBK HĐ số 22276158</t>
  </si>
  <si>
    <t>Mon Nuoc V Iced Pure Matcha Tea Latte Replace Oatmilk Mon Nuoc No Sweet Extra Asian Dolce Sauce Mon Nuoc V Iced Pure Matcha Tea Latte Mon Sausage Breakfast Bread TECHCOMBANK 25K HĐ số 35139</t>
  </si>
  <si>
    <t>BỘ BODYSUIT HĐ số 135738</t>
  </si>
  <si>
    <t>Cước phí vận chuyển mã 01KKVY642142ESKE6FEMC0NX27 Chiết khấu thương mại/ giảm giá mã 01KKVY642142ESKE6FEMC0NX27 Phí nền tảng mã 01KKVY642142ESKE6FEMC0NX27 HĐ số 31251195</t>
  </si>
  <si>
    <t>Cước phí vận chuyển mã 01KKYWMPF213970S20HNMR7C8N Phí nền tảng mã 01KKYWMPF213970S20HNMR7C8N HĐ số 31691574</t>
  </si>
  <si>
    <t>Buffet người lớn trưa thứ hai đến thứ sáu  Coca HĐ số 4757</t>
  </si>
  <si>
    <t>Cước phí vận chuyển mã 01KMAZZENT7WCRWDPVQ9M0KKTD Chiết khấu thương mại/ giảm giá mã 01KMAZZENT7WCRWDPVQ9M0KKTD Phí nền tảng mã 01KMAZZENT7WCRWDPVQ9M0KKTD HĐ số 34053733</t>
  </si>
  <si>
    <t>Cước phí vận chuyển mã 01KMB4X5D7APRR9S6X9T8KVEHF Chiết khấu thương mại/ giảm giá mã 01KMB4X5D7APRR9S6X9T8KVEHF HĐ số 24365324</t>
  </si>
  <si>
    <t>Cước phí vận chuyển mã 01KMARS93Y5KF0MK0M6MWERY80 Chiết khấu thương mại/ giảm giá mã 01KMARS93Y5KF0MK0M6MWERY80 HĐ số 24316269</t>
  </si>
  <si>
    <t>Cước phí vận chuyển mã 01KMBF313CYXG3JBKSVTZZWA3N Chiết khấu thương mại/ giảm giá mã 01KMBF313CYXG3JBKSVTZZWA3N Phí nền tảng mã 01KMBF313CYXG3JBKSVTZZWA3N HĐ số 34101994</t>
  </si>
  <si>
    <t>Cước phí vận chuyển mã 01KMFGE6HWMMTWY18WH6QVVNNS Chiết khấu thương mại/ giảm giá mã 01KMFGE6HWMMTWY18WH6QVVNNS Phí nền tảng mã 01KMFGE6HWMMTWY18WH6QVVNNS HĐ số 34800965</t>
  </si>
  <si>
    <t>Cước phí vận chuyển mã 01KMG6BHHCYKNF1DSQWGCHS5Y6 Chiết khấu thương mại/ giảm giá mã 01KMG6BHHCYKNF1DSQWGCHS5Y6 HĐ số 24971554</t>
  </si>
  <si>
    <t>Cước phí vận chuyển mã 01KMFWWXHVSSF4DDG8VVSS4NF1 Chiết khấu thương mại/ giảm giá mã 01KMFWWXHVSSF4DDG8VVSS4NF1 HĐ số 24921849</t>
  </si>
  <si>
    <t>Cước phí vận chuyển mã 01KMFGNWASCGSDMK3VAF35BGPA Chiết khấu thương mại/ giảm giá mã 01KMFGNWASCGSDMK3VAF35BGPA Phí nền tảng mã 01KMFGNWASCGSDMK3VAF35BGPA HĐ số 24847290</t>
  </si>
  <si>
    <t>Cước phí vận chuyển mã 01KMEDKNY397C43K6QKSVHN0F6 Chiết khấu thương mại/ giảm giá mã 01KMEDKNY397C43K6QKSVHN0F6 HĐ số 24693759</t>
  </si>
  <si>
    <t>Mon BBQ Meat Ball Skewer Mon Horoscope Mousse Cake Tui giay - Paper Bag - In-store only HĐ số 38751</t>
  </si>
  <si>
    <t>V Iced Strawberry Crunch Pure Matcha Lat Replace Oatmilk Mon Nuoc No Sweet Extra Asian Dolce Sauce V Honeydukes Bursting Bonbons Frozen Tea Mon Nuoc Less Sweet TECHCOMBANK 25K HĐ số 38749</t>
  </si>
  <si>
    <t>Cước phí vận chuyển mã 01KMJK9M2BK3FSWZKPTP1Q8231 Chiết khấu thương mại/ giảm giá mã 01KMJK9M2BK3FSWZKPTP1Q8231 Phí nền tảng mã 01KMJK9M2BK3FSWZKPTP1Q8231 HĐ số 35417880</t>
  </si>
  <si>
    <t>Cước phí vận chuyển mã 01KMJ2R6HBX1QSSN5D3HDP6X0Y Chiết khấu thương mại/ giảm giá mã 01KMJ2R6HBX1QSSN5D3HDP6X0Y HĐ số 25161002</t>
  </si>
  <si>
    <t>Cước phí vận chuyển mã 01KMGY8CNA2Q1AKB0W99ZSAMXK HĐ số 24999971</t>
  </si>
  <si>
    <t>V Iced Strawberry Crunch Pure Matcha Lat Replace Oatmilk Mon Nuoc No Sweet Extra Asian Dolce Sauce SR_Core_LC_Gold_Free Customization TECHCOMBANK 25K HĐ số 28263</t>
  </si>
  <si>
    <t>Phí dịch vụ vệ sinh, mã đơn #1854244 HĐ số 35488</t>
  </si>
  <si>
    <t>080094014468</t>
  </si>
  <si>
    <t>Bún Bò Đuôi &amp; Bắp Hoa Bún Bò Bắp Hoa Trà Xoài Chanh Dây Phí dịch vụ HĐ số 1575</t>
  </si>
  <si>
    <t>Cước phí vận chuyển mã 01KMQHT9WA8NQ5V1A39VK5TRTQ Chiết khấu thương mại/ giảm giá mã 01KMQHT9WA8NQ5V1A39VK5TRTQ HĐ số 25908176</t>
  </si>
  <si>
    <t>Cước phí vận chuyển mã 01KMQ3FK53T69902E7NF9326KR Chiết khấu thương mại/ giảm giá mã 01KMQ3FK53T69902E7NF9326KR HĐ số 25787192</t>
  </si>
  <si>
    <t>Xà lách hỗn hợp ăn liền Gourmet Italian (100g) Cải Kale Xoăn (100g) Rocket hữu cơ ăn liền (100g) Xà lách hỗn hợp ăn liền DL Hill (120g) HĐ số 42391</t>
  </si>
  <si>
    <t>Mon Nuoc V Iced BLACK TEA GRAPEFRT Mon Nuoc Less Sweet Mon Nuoc Less Sweet TECHCOMBANK 25K HĐ số 25421</t>
  </si>
  <si>
    <t>Mon Nuoc V Salted Caramel Cold Foam Dolc Mon Tomato Meatball Pasta TECHCOMBANK 25K HĐ số 25344</t>
  </si>
  <si>
    <t>0318508275</t>
  </si>
  <si>
    <t>0318968459</t>
  </si>
  <si>
    <t>솥뚜껑볶음밥/Cơm chiên nắp gang Nước ngọt 음료수 /Nước Ngọt Set thịt MogGuMung Platter Mini HĐ số 3775</t>
  </si>
  <si>
    <t>Mon Nuoc V Iced Pure Matcha Latte With C Mon Nuoc Less Sweet TECHCOMBANK 25K HĐ số 25677</t>
  </si>
  <si>
    <t>PHỞ TÁI LĂN TRUYỀN THỐNG - Vừa HĐ số 3986</t>
  </si>
  <si>
    <t>Mon Nuoc V Iced Pure Matcha Tea Latte Mon Nuoc V Iced Pure Matcha Tea Latte Replace Oatmilk Mon Nuoc No Sweet Extra Asian Dolce Sauce TECHCOMBANK 25K HĐ số 25933</t>
  </si>
  <si>
    <t>Dịch vụ quảng cáo và truyền thông theo Hợp đồng số 251225/HDDV/BRAINAD-CONGAN ký ngày 25/12/2025 (Đợt 1) HĐ số 1</t>
  </si>
  <si>
    <t>Dịch vụ quảng cáo và truyền thông theo Hợp đồng số 251225/HDDV/BRAINAD-CONGAN ký ngày 25/12/2025 (Đợt 2) HĐ số 2</t>
  </si>
  <si>
    <t>Thanh toán Đợt 1 (50%): Phí dịch vụ quảng cáo theo Hợp đồng dịch vụ số MDA/20260317/2935 ngày 17/03/2026 HĐ số 3</t>
  </si>
  <si>
    <t>Cung cấp dịch vụ đợt 1 (50%) theo Hợp đồng số HĐ/155/2026/MMUSIC ký ngày 25/02/2026 HĐ số 4</t>
  </si>
  <si>
    <t>Cước phí vận chuyển mã 01KDV8AE6H3ZVRESWVWSS0536V HĐ số 42343</t>
  </si>
  <si>
    <t>Phí dịch vụ tư vấn tháng 12/2025 HĐ số 20</t>
  </si>
  <si>
    <t>Cước phí vận tải chuyến 1272816172 Phí sử dụng ứng dụng Be HĐ số 1204331</t>
  </si>
  <si>
    <t>Cước phí vận tải chuyến 1272744650 Phí sử dụng ứng dụng Be HĐ số 1189448</t>
  </si>
  <si>
    <t xml:space="preserve"> HĐ số 22950</t>
  </si>
  <si>
    <t xml:space="preserve"> HĐ số 22949</t>
  </si>
  <si>
    <t>Cước phí vận tải chuyến 1273736320 Phí sử dụng ứng dụng Be HĐ số 1453758</t>
  </si>
  <si>
    <t>Cước phí vận tải chuyến 1272940959 Phí sử dụng ứng dụng Be HĐ số 1243254</t>
  </si>
  <si>
    <t>Cước phí vận tải chuyến 1274507392 Phí sử dụng ứng dụng Be HĐ số 1663185</t>
  </si>
  <si>
    <t>Cước phí vận tải chuyến 1274141522 Phí sử dụng ứng dụng Be HĐ số 1572827</t>
  </si>
  <si>
    <t>Cước phí vận tải chuyến 1274057913 Phí sử dụng ứng dụng Be HĐ số 1551002</t>
  </si>
  <si>
    <t>Cước phí vận tải chuyến 1273988330 Phí sử dụng ứng dụng Be HĐ số 1538722</t>
  </si>
  <si>
    <t>Cước phí vận tải chuyến 1273792632 Phí sử dụng ứng dụng Be HĐ số 1475578</t>
  </si>
  <si>
    <t>0317692092-002</t>
  </si>
  <si>
    <t>Cước phí vận tải chuyến 1275162009 Phí sử dụng ứng dụng Be HĐ số 1846632</t>
  </si>
  <si>
    <t>Cước phí vận tải chuyến 1275089068 Phí sử dụng ứng dụng Be HĐ số 1826000</t>
  </si>
  <si>
    <t>Cước phí vận tải chuyến 1274642266 Phí sử dụng ứng dụng Be HĐ số 1708730</t>
  </si>
  <si>
    <t>Cước phí vận tải chuyến 1275960771 Phí sử dụng ứng dụng Be HĐ số 2063523</t>
  </si>
  <si>
    <t>Cước phí vận tải chuyến 1275893184 Phí sử dụng ứng dụng Be HĐ số 2047073</t>
  </si>
  <si>
    <t>Cước phí vận tải chuyến 1278168559 Phí sử dụng ứng dụng Be HĐ số 2683186</t>
  </si>
  <si>
    <t>Cước phí vận tải chuyến 1277685482 Phí sử dụng ứng dụng Be HĐ số 2554466</t>
  </si>
  <si>
    <t>Cước phí vận tải chuyến 1277603909 Phí sử dụng ứng dụng Be HĐ số 2533324</t>
  </si>
  <si>
    <t>Cước phí vận tải chuyến 1278872514 Phí sử dụng ứng dụng Be HĐ số 2872369</t>
  </si>
  <si>
    <t>Cước phí vận tải chuyến 1278762945 Phí sử dụng ứng dụng Be HĐ số 2840863</t>
  </si>
  <si>
    <t>Cước phí vận tải chuyến 1278526672 Phí sử dụng ứng dụng Be HĐ số 1271837</t>
  </si>
  <si>
    <t>0317418332</t>
  </si>
  <si>
    <t>Cước phí vận tải chuyến 1279784536 Phí sử dụng ứng dụng Be HĐ số 3130590</t>
  </si>
  <si>
    <t>Cước phí vận tải chuyến 1279723587 Phí sử dụng ứng dụng Be HĐ số 3110791</t>
  </si>
  <si>
    <t>Cước phí vận tải chuyến 1279547762 Phí sử dụng ứng dụng Be HĐ số 3072508</t>
  </si>
  <si>
    <t>Cước phí vận tải chuyến 1279423859 Phí sử dụng ứng dụng Be HĐ số 3036625</t>
  </si>
  <si>
    <t>Cước phí vận tải chuyến 1279373713 Phí sử dụng ứng dụng Be HĐ số 3023051</t>
  </si>
  <si>
    <t>Cước phí vận tải chuyến 1280813365 Phí sử dụng ứng dụng Be HĐ số 3413602</t>
  </si>
  <si>
    <t>Cước phí vận tải chuyến 1280719905 Phí sử dụng ứng dụng Be HĐ số 3382689</t>
  </si>
  <si>
    <t>Cước phí vận tải chuyến 1280277998 Phí sử dụng ứng dụng Be HĐ số 3271188</t>
  </si>
  <si>
    <t>Cước phí vận tải chuyến 1280251796 Phí sử dụng ứng dụng Be HĐ số 3263159</t>
  </si>
  <si>
    <t>Cước phí vận tải chuyến 1280175444 Phí sử dụng ứng dụng Be HĐ số 3248227</t>
  </si>
  <si>
    <t>Cước phí vận tải chuyến 1280095583 Phí sử dụng ứng dụng Be HĐ số 3234225</t>
  </si>
  <si>
    <t>Cước phí vận tải chuyến 1281723025 Phí sử dụng ứng dụng Be HĐ số 3636582</t>
  </si>
  <si>
    <t>Cước phí vận tải chuyến 1281375845 Phí sử dụng ứng dụng Be HĐ số 3553236</t>
  </si>
  <si>
    <t>Cước phí vận tải chuyến 1281224435 Phí sử dụng ứng dụng Be HĐ số 3521133</t>
  </si>
  <si>
    <t>Cước phí vận tải chuyến 1281146530 Phí sử dụng ứng dụng Be HĐ số 3504316</t>
  </si>
  <si>
    <t>Cước phí vận tải chuyến 1281082479 Phí sử dụng ứng dụng Be HĐ số 3490793</t>
  </si>
  <si>
    <t>Cước phí vận tải chuyến 1280825503 Phí sử dụng ứng dụng Be HĐ số 3419391</t>
  </si>
  <si>
    <t>TÚI GIẤY THƯỜNG, 000, 0M - 01YXHDHDWL0030 ĐỒ DỆT KIM NỮ, WC1, 0S - UWM950141 HĐ số 38007</t>
  </si>
  <si>
    <t>TÚI GIẤY, 04, 34 - CK-FSCCARRIERS GIÀY, 36, 41 - CK1-60361558 HĐ số 37894</t>
  </si>
  <si>
    <t>Cước phí vận tải chuyến 1282862849 Phí sử dụng ứng dụng Be HĐ số 3953215</t>
  </si>
  <si>
    <t>Cước phí vận tải chuyến 1282715322 Phí sử dụng ứng dụng Be HĐ số 3908377</t>
  </si>
  <si>
    <t>Cước phí vận tải chuyến 1282252652 Phí sử dụng ứng dụng Be HĐ số 3789384</t>
  </si>
  <si>
    <t>Cước phí vận tải chuyến 1282148902 Phí sử dụng ứng dụng Be HĐ số 3765115</t>
  </si>
  <si>
    <t>Cước phí vận tải chuyến 1283596344 Phí sử dụng ứng dụng Be HĐ số 4171859</t>
  </si>
  <si>
    <t>Cước phí vận tải chuyến 1283434107 Phí sử dụng ứng dụng Be HĐ số 4124950</t>
  </si>
  <si>
    <t>Cước phí vận tải chuyến 1283250845 Phí sử dụng ứng dụng Be HĐ số 4069750</t>
  </si>
  <si>
    <t>Cước phí vận tải chuyến 1283173903 Phí sử dụng ứng dụng Be HĐ số 4048257</t>
  </si>
  <si>
    <t>Cước phí vận tải chuyến 1283921888 Phí sử dụng ứng dụng Be HĐ số 4269629</t>
  </si>
  <si>
    <t>Cước phí vận tải chuyến 1283845223 Phí sử dụng ứng dụng Be HĐ số 4253537</t>
  </si>
  <si>
    <t>Cước phí vận tải chuyến 1285398706 Phí sử dụng ứng dụng Be HĐ số 4656253</t>
  </si>
  <si>
    <t>Cước phí vận tải chuyến 1284753648 Phí sử dụng ứng dụng Be HĐ số 4494692</t>
  </si>
  <si>
    <t>Cước phí vận tải chuyến 1284695316 Phí sử dụng ứng dụng Be HĐ số 4485982</t>
  </si>
  <si>
    <t>Cước phí vận tải chuyến 1284746144 Phí sử dụng ứng dụng Be HĐ số 2028793</t>
  </si>
  <si>
    <t>Bánh Hộp Tròn Mini - Tiramisu Bánh Tart Ngàn Lớp - Dưa Lưới Bánh Tart Ngàn Lớp - Cherry HĐ số 31683</t>
  </si>
  <si>
    <t>Cước phí vận tải chuyến 1285689412 Phí sử dụng ứng dụng Be HĐ số 4746250</t>
  </si>
  <si>
    <t>Cước phí vận tải chuyến 1285639517 Phí sử dụng ứng dụng Be HĐ số 4737769</t>
  </si>
  <si>
    <t>Cước phí vận tải chuyến 1287299765 Phí sử dụng ứng dụng Be HĐ số 5150701</t>
  </si>
  <si>
    <t>Cước phí vận tải chuyến 1287214522 Phí sử dụng ứng dụng Be HĐ số 5122776</t>
  </si>
  <si>
    <t>Cước phí vận tải chuyến 1287084453 Phí sử dụng ứng dụng Be HĐ số 5095438</t>
  </si>
  <si>
    <t>Cước phí vận tải chuyến 1286725190 Phí sử dụng ứng dụng Be HĐ số 5011041</t>
  </si>
  <si>
    <t>Cước phí vận tải chuyến 1286626367 Phí sử dụng ứng dụng Be HĐ số 4990256</t>
  </si>
  <si>
    <t>Cước phí vận tải chuyến 1286561723 Phí sử dụng ứng dụng Be HĐ số 4978944</t>
  </si>
  <si>
    <t>Cước phí vận tải chuyến 1288420870 Phí sử dụng ứng dụng Be HĐ số 5422082</t>
  </si>
  <si>
    <t>Cước phí vận tải chuyến 1288198890 Phí sử dụng ứng dụng Be HĐ số 5370647</t>
  </si>
  <si>
    <t>Cước phí vận tải chuyến 1287720017 Phí sử dụng ứng dụng Be HĐ số 5266140</t>
  </si>
  <si>
    <t>Cước phí vận tải chuyến 1287616689 Phí sử dụng ứng dụng Be HĐ số 5245453</t>
  </si>
  <si>
    <t>Cước phí vận tải chuyến 1287560925 Phí sử dụng ứng dụng Be HĐ số 5236462</t>
  </si>
  <si>
    <t>Cước phí vận tải chuyến 1287499552 Phí sử dụng ứng dụng Be HĐ số 5224180</t>
  </si>
  <si>
    <t>0316402428</t>
  </si>
  <si>
    <t>Khăn lạnh Pepsi Nước suối Nem cá Combo 4 ( 2 Chả cá 1 + 1 Bao tử + 1 Cháo cá nhỏ + 1 Xà lách ) HĐ số 313</t>
  </si>
  <si>
    <t>Cước phí vận tải chuyến 1288695985 Phí sử dụng ứng dụng Be HĐ số 5513549</t>
  </si>
  <si>
    <t>Cước phí vận tải chuyến 1288649459 Phí sử dụng ứng dụng Be HĐ số 5501463</t>
  </si>
  <si>
    <t>Cước phí vận tải chuyến 1289628062 Phí sử dụng ứng dụng Be HĐ số 5756249</t>
  </si>
  <si>
    <t>Cước phí vận tải chuyến 1291101011 Phí sử dụng ứng dụng Be HĐ số 6140370</t>
  </si>
  <si>
    <t>Cước phí vận tải chuyến 1292328393 Phí sử dụng ứng dụng Be HĐ số 6448943</t>
  </si>
  <si>
    <t>Cước phí vận tải chuyến 1292023575 Phí sử dụng ứng dụng Be HĐ số 6365654</t>
  </si>
  <si>
    <t>Cước phí vận tải chuyến 1291845571 Phí sử dụng ứng dụng Be HĐ số 6324662</t>
  </si>
  <si>
    <t>Cước phí vận tải chuyến 1291675401 Phí sử dụng ứng dụng Be HĐ số 6287444</t>
  </si>
  <si>
    <t>0304757232</t>
  </si>
  <si>
    <t>ROLAND HP-702-WH Đàn Piano Kỹ Thuật Số ROLAND KSH-704/2WH Chân đàn Piano Kỹ Thuật Số Ghế Đàn Piano Tăng Đơ Tốt HĐ số 1491</t>
  </si>
  <si>
    <t>Cước phí vận tải chuyến 1293203834 Phí sử dụng ứng dụng Be HĐ số 6671018</t>
  </si>
  <si>
    <t>Cước phí vận tải chuyến 1292586233 Phí sử dụng ứng dụng Be HĐ số 6526896</t>
  </si>
  <si>
    <t>079087001817</t>
  </si>
  <si>
    <t>Cước phí vận tải chuyến 1293691722 Phí sử dụng ứng dụng Be HĐ số 6807989</t>
  </si>
  <si>
    <t>Cước phí vận tải chuyến 1293538768 Phí sử dụng ứng dụng Be HĐ số 6776526</t>
  </si>
  <si>
    <t>Cước phí vận tải chuyến 1293451209 Phí sử dụng ứng dụng Be HĐ số 6757597</t>
  </si>
  <si>
    <t>Cước phí vận tải chuyến 1293313053 Phí sử dụng ứng dụng Be HĐ số 6708104</t>
  </si>
  <si>
    <t>Phí dịch vụ tư vấn tháng 01/2026 HĐ số 34</t>
  </si>
  <si>
    <t>Cước phí vận tải chuyến 1295295158 Phí sử dụng ứng dụng Be HĐ số 7191183</t>
  </si>
  <si>
    <t>Cước phí vận tải chuyến 1294467154 Phí sử dụng ứng dụng Be HĐ số 7019819</t>
  </si>
  <si>
    <t>Cước phí vận tải chuyến 1296154963 Phí sử dụng ứng dụng Be HĐ số 7404382</t>
  </si>
  <si>
    <t>Cước phí vận tải chuyến 1296068173 Phí sử dụng ứng dụng Be HĐ số 7385655</t>
  </si>
  <si>
    <t>Cước phí vận tải chuyến 1296002760 Phí sử dụng ứng dụng Be HĐ số 7378250</t>
  </si>
  <si>
    <t>Cước phí vận tải chuyến 1295838398 Phí sử dụng ứng dụng Be HĐ số 7352834</t>
  </si>
  <si>
    <t>Cước phí vận tải chuyến 1295546205 Phí sử dụng ứng dụng Be HĐ số 7267399</t>
  </si>
  <si>
    <t>Cước phí vận tải chuyến 1298123135 Phí sử dụng ứng dụng Be HĐ số 7909460</t>
  </si>
  <si>
    <t>TÚI GIẤY DESIGN23, N/A, M, N/A, M - MS075 ÁO THUN TAY DÀI, 50NYM, S - 3FMTV1861 HĐ số 82879</t>
  </si>
  <si>
    <t>0314240161</t>
  </si>
  <si>
    <t>VẢI LÔNG AO CARDIGAN AO JACKET CHONG GI HĐ số 10735</t>
  </si>
  <si>
    <t>Cước phí vận tải chuyến 1300002130 Phí sử dụng ứng dụng Be HĐ số 8308796</t>
  </si>
  <si>
    <t>Cước phí vận tải chuyến 1299948677 Phí sử dụng ứng dụng Be HĐ số 8286872</t>
  </si>
  <si>
    <t>Cước phí vận tải chuyến 1299888132 Phí sử dụng ứng dụng Be HĐ số 8269434</t>
  </si>
  <si>
    <t>Cước phí vận tải chuyến 1299571876 Phí sử dụng ứng dụng Be HĐ số 8201223</t>
  </si>
  <si>
    <t>Cước phí vận tải chuyến 1299192565 Phí sử dụng ứng dụng Be HĐ số 8144733</t>
  </si>
  <si>
    <t>Cước phí vận tải chuyến 1299048736 Phí sử dụng ứng dụng Be HĐ số 8119425</t>
  </si>
  <si>
    <t>Cước phí vận tải chuyến 1301174778 Phí sử dụng ứng dụng Be HĐ số 8573261</t>
  </si>
  <si>
    <t>Cước phí vận tải chuyến 1301093919 Phí sử dụng ứng dụng Be HĐ số 8545087</t>
  </si>
  <si>
    <t>Cước phí vận tải chuyến 1300893198 Phí sử dụng ứng dụng Be HĐ số 8502035</t>
  </si>
  <si>
    <t>Cước phí vận tải chuyến 1300804065 Phí sử dụng ứng dụng Be HĐ số 8478615</t>
  </si>
  <si>
    <t>Cước phí vận tải chuyến 1300739320 Phí sử dụng ứng dụng Be HĐ số 8465287</t>
  </si>
  <si>
    <t>Cước phí vận tải chuyến 1300652963 Phí sử dụng ứng dụng Be HĐ số 8456221</t>
  </si>
  <si>
    <t>Cước phí vận tải chuyến 1300613134 Phí sử dụng ứng dụng Be HĐ số 8442521</t>
  </si>
  <si>
    <t>Cước phí vận tải chuyến 1300575506 Phí sử dụng ứng dụng Be HĐ số 8440475</t>
  </si>
  <si>
    <t>Cước phí vận tải chuyến 1300530102 Phí sử dụng ứng dụng Be HĐ số 8430645</t>
  </si>
  <si>
    <t>TÚI GIẤY, 04, 32 - CK-FSCCARRIERXS VÍ, XXS, 14 - CK6-10681108 HĐ số 87819</t>
  </si>
  <si>
    <t>0311854540</t>
  </si>
  <si>
    <t>Cước phí vận tải chuyến 1307642970 Phí sử dụng ứng dụng Be HĐ số 9873178</t>
  </si>
  <si>
    <t>Cước phí vận tải chuyến 1307570101 Phí sử dụng ứng dụng Be HĐ số 9863509</t>
  </si>
  <si>
    <t>Cước phí vận tải chuyến 1307522214 Phí sử dụng ứng dụng Be HĐ số 9861342</t>
  </si>
  <si>
    <t>Cước phí vận tải chuyến 1307451298 Phí sử dụng ứng dụng Be HĐ số 9850638</t>
  </si>
  <si>
    <t>Cước phí vận tải chuyến 1306912867 Phí sử dụng ứng dụng Be Phí điểm đón HĐ số 9757576</t>
  </si>
  <si>
    <t>Cước phí vận tải chuyến 1309890301 Phí sử dụng ứng dụng Be HĐ số 10260010</t>
  </si>
  <si>
    <t>Cước phí vận tải chuyến 1309627504 Phí sử dụng ứng dụng Be HĐ số 10198514</t>
  </si>
  <si>
    <t>Cước phí vận tải chuyến 1309276005 Phí sử dụng ứng dụng Be HĐ số 10143715</t>
  </si>
  <si>
    <t>Cước phí vận tải chuyến 1308922063 Phí sử dụng ứng dụng Be HĐ số 10105548</t>
  </si>
  <si>
    <t>Mon Nuoc T BLACK TEA GRAPEFRT Mon Nuoc Less Sweet Tui giay - Paper Bag - In-store only HĐ số 36579</t>
  </si>
  <si>
    <t>Cước phí vận tải chuyến 1311200547 Phí sử dụng ứng dụng Be HĐ số 10474285</t>
  </si>
  <si>
    <t>Cước phí vận tải chuyến 1311095502 Phí sử dụng ứng dụng Be HĐ số 10453176</t>
  </si>
  <si>
    <t>Cước phí vận tải chuyến 1310952103 Phí sử dụng ứng dụng Be HĐ số 10432198</t>
  </si>
  <si>
    <t>Cước phí vận tải chuyến 1310959157 Phí sử dụng ứng dụng Be HĐ số 10425590</t>
  </si>
  <si>
    <t>Cước phí vận tải chuyến 1310535181 Phí sử dụng ứng dụng Be HĐ số 10371059</t>
  </si>
  <si>
    <t>Cước phí vận tải chuyến 1310121583 Phí sử dụng ứng dụng Be HĐ số 10317520</t>
  </si>
  <si>
    <t>Cước phí vận tải chuyến 1310038941 Phí sử dụng ứng dụng Be HĐ số 10304417</t>
  </si>
  <si>
    <t>Cước phí vận tải chuyến 1311248495 Phí sử dụng ứng dụng Be HĐ số 4826966</t>
  </si>
  <si>
    <t>Cước phí vận tải chuyến 1312245196 Phí sử dụng ứng dụng Be HĐ số 10658686</t>
  </si>
  <si>
    <t>Cước phí vận tải chuyến 1311999369 Phí sử dụng ứng dụng Be HĐ số 10609610</t>
  </si>
  <si>
    <t>Cước phí vận tải chuyến 1311924916 Phí sử dụng ứng dụng Be HĐ số 10604095</t>
  </si>
  <si>
    <t>Cước phí vận tải chuyến 1311608749 Phí sử dụng ứng dụng Be HĐ số 10559912</t>
  </si>
  <si>
    <t>Cước phí vận tải chuyến 1311508587 Phí sử dụng ứng dụng Be HĐ số 10546237</t>
  </si>
  <si>
    <t>0318110660</t>
  </si>
  <si>
    <t>Cước phí vận tải chuyến 1313680233 Phí sử dụng ứng dụng Be HĐ số 10910931</t>
  </si>
  <si>
    <t>Cước phí vận tải chuyến 1313479142 Phí sử dụng ứng dụng Be HĐ số 10874282</t>
  </si>
  <si>
    <t>Cước phí vận tải chuyến 1313323489 Phí sử dụng ứng dụng Be HĐ số 10840801</t>
  </si>
  <si>
    <t>Cước phí vận tải chuyến 1313106387 Phí sử dụng ứng dụng Be HĐ số 10811118</t>
  </si>
  <si>
    <t>Cước phí vận tải chuyến 1312792588 Phí sử dụng ứng dụng Be HĐ số 10770917</t>
  </si>
  <si>
    <t>Cước phí vận tải chuyến 1312611748 Phí sử dụng ứng dụng Be HĐ số 10721884</t>
  </si>
  <si>
    <t>Cước phí vận tải chuyến 1314284036 Phí sử dụng ứng dụng Be HĐ số 11043933</t>
  </si>
  <si>
    <t>Cước phí vận tải chuyến 1314135591 Phí sử dụng ứng dụng Be HĐ số 11007288</t>
  </si>
  <si>
    <t>Cước phí vận tải chuyến 1314104934 Phí sử dụng ứng dụng Be HĐ số 11002893</t>
  </si>
  <si>
    <t>Cước phí vận tải chuyến 1314181138 Phí sử dụng ứng dụng Be HĐ số 5121883</t>
  </si>
  <si>
    <t>Cước phí vận tải chuyến 1314172371 Phí sử dụng ứng dụng Be HĐ số 5119638</t>
  </si>
  <si>
    <t>M ÁO POLO M ÁO THUN M QUẦN NỈ M QUẦN SHORT M ÁO NỈ HĐ số 59472</t>
  </si>
  <si>
    <t>ÁO NGỰC THỂ THAO(1090000@21%) TÚI GIẤY (Hàng tặng không thu tiền) HĐ số 187213</t>
  </si>
  <si>
    <t>Cước phí vận tải chuyến 1314980145 Phí sử dụng ứng dụng Be HĐ số 11256925</t>
  </si>
  <si>
    <t>Cước phí vận tải chuyến 1314942821 Phí sử dụng ứng dụng Be HĐ số 11241661</t>
  </si>
  <si>
    <t>Cước phí vận tải chuyến 1314913124 Phí sử dụng ứng dụng Be HĐ số 11231292</t>
  </si>
  <si>
    <t>Cước phí vận tải chuyến 1314906630 Phí sử dụng ứng dụng Be HĐ số 11229782</t>
  </si>
  <si>
    <t>Cước phí vận tải chuyến 1315119883 Phí sử dụng ứng dụng Be HĐ số 11314785</t>
  </si>
  <si>
    <t>Cước phí vận tải chuyến 1315435522 Phí sử dụng ứng dụng Be HĐ số 11432183</t>
  </si>
  <si>
    <t>Cước phí vận tải chuyến 1315359128 Phí sử dụng ứng dụng Be HĐ số 11406026</t>
  </si>
  <si>
    <t>Cước phí vận tải chuyến 1315300694 Phí sử dụng ứng dụng Be HĐ số 11385512</t>
  </si>
  <si>
    <t>Cước phí vận tải chuyến 1315731491 Phí sử dụng ứng dụng Be HĐ số 11545508</t>
  </si>
  <si>
    <t>Cước phí vận tải chuyến 1315594603 Phí sử dụng ứng dụng Be HĐ số 11495104</t>
  </si>
  <si>
    <t>Cước phí vận tải chuyến 1316007158 Phí sử dụng ứng dụng Be HĐ số 11643481</t>
  </si>
  <si>
    <t>Cước phí vận tải chuyến 1315989570 Phí sử dụng ứng dụng Be HĐ số 11638895</t>
  </si>
  <si>
    <t>Cước phí vận tải chuyến 1315860448 Phí sử dụng ứng dụng Be HĐ số 11594056</t>
  </si>
  <si>
    <t>Cước phí vận tải chuyến 1316497984 Phí sử dụng ứng dụng Be HĐ số 11796010</t>
  </si>
  <si>
    <t>Cước phí vận tải chuyến 1316466668 Phí sử dụng ứng dụng Be HĐ số 11786090</t>
  </si>
  <si>
    <t>Cước phí vận tải chuyến 1316372548 Phí sử dụng ứng dụng Be HĐ số 11761607</t>
  </si>
  <si>
    <t>Cước phí vận tải chuyến 1316287168 Phí sử dụng ứng dụng Be HĐ số 11734884</t>
  </si>
  <si>
    <t>Cước phí vận tải chuyến 1316833177 Phí sử dụng ứng dụng Be HĐ số 11891341</t>
  </si>
  <si>
    <t>Cước phí vận tải chuyến 1316741466 Phí sử dụng ứng dụng Be HĐ số 11868081</t>
  </si>
  <si>
    <t>Bánh cuốn gạo lứt chiên giòn _HCM Cơm Rang Trứng Cá_HCM Há Cảo TaiPan (2 viên) Khăn ướt in Logo Nước Dasani 510ml Phí phụ thu ngày lễ 5% HĐ số 4382</t>
  </si>
  <si>
    <t>Vé máy bay_Mã đặt chỗ 1330750347/ SGN_HAN, HAN_SGN HĐ số 6010</t>
  </si>
  <si>
    <t>Cước phí vận tải chuyến 1317491220 Phí sử dụng ứng dụng Be HĐ số 12069224</t>
  </si>
  <si>
    <t>Cước phí vận tải chuyến 1317383477 Phí sử dụng ứng dụng Be HĐ số 12042422</t>
  </si>
  <si>
    <t>Cước phí vận tải chuyến 1317369354 Phí sử dụng ứng dụng Be HĐ số 12037313</t>
  </si>
  <si>
    <t>THỊT BA RỌI HEO (150g)+ THỊT VAI (150G)+ THỊT NỌNG ĐÙI TRƯỚC (150G) CANH ĐẬU TƯƠNG THỊT BÒ GIẢM GIÁ CHIẾT KHẤU HĐ số 1567</t>
  </si>
  <si>
    <t>Cước phí vận tải chuyến 1318564346 Phí sử dụng ứng dụng Be HĐ số 12328557</t>
  </si>
  <si>
    <t>Cước phí vận tải chuyến 1318535774 Phí sử dụng ứng dụng Be HĐ số 12318553</t>
  </si>
  <si>
    <t>Cước phí vận tải chuyến 1318449182 Phí sử dụng ứng dụng Be HĐ số 12303253</t>
  </si>
  <si>
    <t>Cước phí vận tải chuyến 1318143365 Phí sử dụng ứng dụng Be HĐ số 12235208</t>
  </si>
  <si>
    <t>Cước phí vận tải chuyến 1318069711 Phí sử dụng ứng dụng Be HĐ số 12218601</t>
  </si>
  <si>
    <t>Cước phí vận tải chuyến 1319508438 Phí sử dụng ứng dụng Be HĐ số 12558762</t>
  </si>
  <si>
    <t>Cước phí vận tải chuyến 1319477236 Phí sử dụng ứng dụng Be HĐ số 12549425</t>
  </si>
  <si>
    <t>Cước phí vận tải chuyến 1319390014 Phí sử dụng ứng dụng Be HĐ số 12526545</t>
  </si>
  <si>
    <t>Cước phí vận tải chuyến 1319316221 Phí sử dụng ứng dụng Be HĐ số 12508353</t>
  </si>
  <si>
    <t>Cước phí vận tải chuyến 1319069808 Phí sử dụng ứng dụng Be HĐ số 12453510</t>
  </si>
  <si>
    <t>Cước phí vận tải chuyến 1318626214 Phí sử dụng ứng dụng Be HĐ số 12346658</t>
  </si>
  <si>
    <t>Cước phí vận tải chuyến 1320312146 Phí sử dụng ứng dụng Be HĐ số 12731861</t>
  </si>
  <si>
    <t>Cước phí vận tải chuyến 1320091514 Phí sử dụng ứng dụng Be HĐ số 12679454</t>
  </si>
  <si>
    <t>Cước phí vận tải chuyến 1319911631 Phí sử dụng ứng dụng Be HĐ số 12648456</t>
  </si>
  <si>
    <t>Cước phí vận tải chuyến 1319708664 Phí sử dụng ứng dụng Be HĐ số 12617867</t>
  </si>
  <si>
    <t>Cước phí vận tải chuyến 1319661074 Phí sử dụng ứng dụng Be HĐ số 12604590</t>
  </si>
  <si>
    <t>Cước phí vận tải chuyến 1319518527 Phí sử dụng ứng dụng Be HĐ số 12563435</t>
  </si>
  <si>
    <t>Khăn giấy màng bạc Kichi Suất ăn thỏa thích Kichi Pro Max (NL) Nước Suối Dasani Purified Chai 500ml HĐ số 686750</t>
  </si>
  <si>
    <t>Cước phí vận tải chuyến 1321127330 Phí sử dụng ứng dụng Be HĐ số 12928186</t>
  </si>
  <si>
    <t>Cước phí vận tải chuyến 1320443911 Phí sử dụng ứng dụng Be HĐ số 12764002</t>
  </si>
  <si>
    <t>Cước phí vận tải chuyến 1322117243 Phí sử dụng ứng dụng Be HĐ số 13186838</t>
  </si>
  <si>
    <t>Cước phí vận tải chuyến 1321756015 Phí sử dụng ứng dụng Be HĐ số 13089356</t>
  </si>
  <si>
    <t>Cước phí vận tải chuyến 1321687311 Phí sử dụng ứng dụng Be HĐ số 13073950</t>
  </si>
  <si>
    <t>Cước phí vận tải chuyến 1321601644 Phí sử dụng ứng dụng Be HĐ số 13057387</t>
  </si>
  <si>
    <t>Cước phí vận tải chuyến 1321485841 Phí sử dụng ứng dụng Be HĐ số 13034847</t>
  </si>
  <si>
    <t>Cước phí vận tải chuyến 1322842298 Phí sử dụng ứng dụng Be HĐ số 13378409</t>
  </si>
  <si>
    <t>Cước phí vận tải chuyến 1322158351 Phí sử dụng ứng dụng Be HĐ số 13203038</t>
  </si>
  <si>
    <t>Cước phí vận tải chuyến 1323176529 Phí sử dụng ứng dụng Be HĐ số 13475299</t>
  </si>
  <si>
    <t>Cước phí vận tải chuyến 1324859996 Phí sử dụng ứng dụng Be HĐ số 13857719</t>
  </si>
  <si>
    <t>Cước phí vận tải chuyến 1324694430 Phí sử dụng ứng dụng Be HĐ số 13815582</t>
  </si>
  <si>
    <t>Cước phí vận tải chuyến 1324375134 Phí sử dụng ứng dụng Be HĐ số 13744438</t>
  </si>
  <si>
    <t>Phí dịch vụ tư vấn tháng 02/2026 HĐ số 66</t>
  </si>
  <si>
    <t>Cước phí vận tải chuyến 1325771857 Phí sử dụng ứng dụng Be HĐ số 14089757</t>
  </si>
  <si>
    <t>Cước phí vận tải chuyến 1325445046 Phí sử dụng ứng dụng Be HĐ số 14007555</t>
  </si>
  <si>
    <t>Cước phí vận tải chuyến 1326157901 Phí sử dụng ứng dụng Be HĐ số 14199057</t>
  </si>
  <si>
    <t>Cước phí vận tải chuyến 1327749854 Phí sử dụng ứng dụng Be HĐ số 14567940</t>
  </si>
  <si>
    <t>Cước phí vận tải chuyến 1327558280 Phí sử dụng ứng dụng Be HĐ số 14521497</t>
  </si>
  <si>
    <t>Cước phí vận tải chuyến 1327271951 Phí sử dụng ứng dụng Be HĐ số 14464341</t>
  </si>
  <si>
    <t>Cước phí vận tải chuyến 1327028651 Phí sử dụng ứng dụng Be HĐ số 14418780</t>
  </si>
  <si>
    <t>Cước phí vận tải chuyến 1326910144 Phí sử dụng ứng dụng Be HĐ số 14399572</t>
  </si>
  <si>
    <t>Cước phí vận tải chuyến 1326872630 Phí sử dụng ứng dụng Be HĐ số 14393689</t>
  </si>
  <si>
    <t>W ÁO KHOÁC W ÁO KHOÁC HĐ số 170377</t>
  </si>
  <si>
    <t>Cước phí vận tải chuyến 1329352304 Phí sử dụng ứng dụng Be HĐ số 14944452</t>
  </si>
  <si>
    <t>Cước phí vận tải chuyến 1329188719 Phí sử dụng ứng dụng Be HĐ số 14912707</t>
  </si>
  <si>
    <t>Cước phí vận tải chuyến 1329059080 Phí sử dụng ứng dụng Be HĐ số 14888678</t>
  </si>
  <si>
    <t>Cước phí vận tải chuyến 1328986589 Phí sử dụng ứng dụng Be HĐ số 14875860</t>
  </si>
  <si>
    <t>Cước phí vận tải chuyến 1328941181 Phí sử dụng ứng dụng Be HĐ số 14866236</t>
  </si>
  <si>
    <t>Cước phí vận tải chuyến 1328910520 Phí sử dụng ứng dụng Be HĐ số 14861680</t>
  </si>
  <si>
    <t>Khăn giấy màng bạc Kichi Suất ăn thỏa thích Kichi Pro Max (NL) HĐ số 818109</t>
  </si>
  <si>
    <t>0318238276</t>
  </si>
  <si>
    <t>Thiết bị thu âm không dây DJI Mic Mini (2TX + 1RX + 1 Hộp sạc Mic)_DMMT01&amp;DMMR01&amp;DMMC01 HĐ số 1367</t>
  </si>
  <si>
    <t>Cước phí vận tải chuyến 1330095507 Phí sử dụng ứng dụng Be HĐ số 15129593</t>
  </si>
  <si>
    <t>Cước phí vận tải chuyến 1329956559 Phí sử dụng ứng dụng Be HĐ số 15100424</t>
  </si>
  <si>
    <t>Cước phí vận tải chuyến 1329895334 Phí sử dụng ứng dụng Be HĐ số 15085947</t>
  </si>
  <si>
    <t>Cước phí vận tải chuyến 1331337866 Phí sử dụng ứng dụng Be HĐ số 15427498</t>
  </si>
  <si>
    <t>Cước phí vận tải chuyến 1330859421 Phí sử dụng ứng dụng Be HĐ số 15320094</t>
  </si>
  <si>
    <t>Cước phí vận tải chuyến 1330856001 Phí sử dụng ứng dụng Be HĐ số 6894424</t>
  </si>
  <si>
    <t>Cước phí vận tải chuyến 1331663439 Phí sử dụng ứng dụng Be HĐ số 15502382</t>
  </si>
  <si>
    <t>0317411538</t>
  </si>
  <si>
    <t>Quần Tuff Muay Thái Traditional,model TUF-MS616 - 667 (MS663-WHT -S) HĐ số 1368</t>
  </si>
  <si>
    <t>Phí thí nghiệm mẫu 117-11-03-26/TNPV-3 HĐ số 1829</t>
  </si>
  <si>
    <t>0317601881</t>
  </si>
  <si>
    <t>Phí thuê văn phòng từ ngày 12/03/2026 đến ngày 29/10/2026 HĐ số 128</t>
  </si>
  <si>
    <t>Cước phí vận tải chuyến 1337307247 Phí sử dụng ứng dụng Be HĐ số 10909080</t>
  </si>
  <si>
    <t>Cước phí vận tải chuyến 1337239687 Phí sử dụng ứng dụng Be HĐ số 10900814</t>
  </si>
  <si>
    <t>Cước phí vận tải chuyến 1337176394 Phí sử dụng ứng dụng Be HĐ số 10888083</t>
  </si>
  <si>
    <t>Cước phí vận tải chuyến 1337146223 Phí sử dụng ứng dụng Be HĐ số 10884637</t>
  </si>
  <si>
    <t>Cước phí vận tải chuyến 1337023769 Phí sử dụng ứng dụng Be HĐ số 10866889</t>
  </si>
  <si>
    <t>Cước phí vận tải chuyến 1338253761 Phí sử dụng ứng dụng Be HĐ số 17222582</t>
  </si>
  <si>
    <t>Cước phí vận tải chuyến 1338118742 Phí sử dụng ứng dụng Be HĐ số 17191535</t>
  </si>
  <si>
    <t>Cước phí vận tải chuyến 1337711732 Phí sử dụng ứng dụng Be Phí điểm đón HĐ số 17087838</t>
  </si>
  <si>
    <t>Cước phí vận tải chuyến 1338118100 Phí sử dụng ứng dụng Be HĐ số 7798263</t>
  </si>
  <si>
    <t>Cước phí vận tải chuyến 1339277350 Phí sử dụng ứng dụng Be HĐ số 17492166</t>
  </si>
  <si>
    <t>Cước phí vận tải chuyến 1339217228 Phí sử dụng ứng dụng Be HĐ số 17471470</t>
  </si>
  <si>
    <t>Cước phí vận tải chuyến 1338809134 Phí sử dụng ứng dụng Be HĐ số 17379312</t>
  </si>
  <si>
    <t>Cước phí vận tải chuyến 1340350995 Phí sử dụng ứng dụng Be HĐ số 17764538</t>
  </si>
  <si>
    <t>Cước phí vận tải chuyến 1340248493 Phí sử dụng ứng dụng Be HĐ số 17735351</t>
  </si>
  <si>
    <t>Cước phí vận tải chuyến 1339576958 Phí sử dụng ứng dụng Be HĐ số 17597667</t>
  </si>
  <si>
    <t>Cước phí vận tải chuyến 1340597024 Phí sử dụng ứng dụng Be HĐ số 17848043</t>
  </si>
  <si>
    <t>Cước phí vận tải chuyến 1340516384 Phí sử dụng ứng dụng Be HĐ số 17827893</t>
  </si>
  <si>
    <t>Cước phí vận tải chuyến 1342081947 Phí sử dụng ứng dụng Be HĐ số 18226432</t>
  </si>
  <si>
    <t>Cước phí vận tải chuyến 1341956261 Phí sử dụng ứng dụng Be HĐ số 18191474</t>
  </si>
  <si>
    <t>Phí thí nghiệm mẫu 117-11-03-26/TNPV-1 Phí thí nghiệm mẫu 118-11-03-26/TNPV-1 Phí thí nghiệm mẫu 119-11-03-26/TNPV-1 HĐ số 2089</t>
  </si>
  <si>
    <t>Cước phí vận tải chuyến 1343000180 Phí sử dụng ứng dụng Be HĐ số 18455982</t>
  </si>
  <si>
    <t>Cước phí vận tải chuyến 1342356224 Phí sử dụng ứng dụng Be HĐ số 18311463</t>
  </si>
  <si>
    <t>Cước phí vận tải chuyến 1343887743 Phí sử dụng ứng dụng Be HĐ số 18687805</t>
  </si>
  <si>
    <t>Cước phí vận tải chuyến 1343865238 Phí sử dụng ứng dụng Be HĐ số 18677278</t>
  </si>
  <si>
    <t>Cước phí vận tải chuyến 1343751902 Phí sử dụng ứng dụng Be HĐ số 18645910</t>
  </si>
  <si>
    <t>Cước phí vận tải chuyến 1343658368 Phí sử dụng ứng dụng Be HĐ số 18622679</t>
  </si>
  <si>
    <t>Cước phí vận tải chuyến 1343589813 Phí sử dụng ứng dụng Be HĐ số 18604691</t>
  </si>
  <si>
    <t>Cước phí vận tải chuyến 1343328824 Phí sử dụng ứng dụng Be HĐ số 18546938</t>
  </si>
  <si>
    <t>Cước phí vận tải chuyến 1343311734 Phí sử dụng ứng dụng Be HĐ số 18545343</t>
  </si>
  <si>
    <t>Cước phí vận tải chuyến 1343232366 Phí sử dụng ứng dụng Be HĐ số 18530687</t>
  </si>
  <si>
    <t>COCA ZERO/SPRITE/FANTA/SODA COCA THỊT BA RỌI HEO (150g)+ THỊT VAI (150G)+ THỊT NỌNG ĐÙI TRƯỚC (150G) DIỀM THĂN BÒ (150G) CƠM KIM CHI PHÔ MAI PHÔ MAI NƯỚNG MÌ LẠNH KIM CHI M HĐ số 2400</t>
  </si>
  <si>
    <t>Cước phí vận tải chuyến 1344119416 Phí sử dụng ứng dụng Be HĐ số 18755909</t>
  </si>
  <si>
    <t>Cước phí vận tải chuyến 1345614609 Phí sử dụng ứng dụng Be HĐ số 19136187</t>
  </si>
  <si>
    <t>Cước phí vận tải chuyến 1346300306 Phí sử dụng ứng dụng Be HĐ số 19310357</t>
  </si>
  <si>
    <t>Cước phí vận tải chuyến 1346084431 Phí sử dụng ứng dụng Be HĐ số 19258701</t>
  </si>
  <si>
    <t>Cước phí vận tải chuyến 1345963485 Phí sử dụng ứng dụng Be HĐ số 19229043</t>
  </si>
  <si>
    <t>Phí dịch vụ tư vấn tháng 03/2026 HĐ số 106</t>
  </si>
  <si>
    <t>0319210763</t>
  </si>
  <si>
    <t>Cước phí vận tải chuyến 1349069013 Phí sử dụng ứng dụng Be HĐ số 20025150</t>
  </si>
  <si>
    <t>Cước phí vận tải chuyến 1348903949 Phí sử dụng ứng dụng Be HĐ số 19989374</t>
  </si>
  <si>
    <t>Cước phí vận tải chuyến 1348573738 Phí sử dụng ứng dụng Be HĐ số 19916825</t>
  </si>
  <si>
    <t>Cước phí vận tải chuyến 1348457582 Phí sử dụng ứng dụng Be HĐ số 19892788</t>
  </si>
  <si>
    <t>Cước phí vận tải chuyến 1349953897 Phí sử dụng ứng dụng Be HĐ số 20257774</t>
  </si>
  <si>
    <t>Cước phí vận tải chuyến 1349861830 Phí sử dụng ứng dụng Be HĐ số 20228235</t>
  </si>
  <si>
    <t>Cước phí vận tải chuyến 1349738753 Phí sử dụng ứng dụng Be HĐ số 20198670</t>
  </si>
  <si>
    <t>Cước phí vận tải chuyến 1349295764 Phí sử dụng ứng dụng Be HĐ số 20103330</t>
  </si>
  <si>
    <t>Cước phí vận tải chuyến 1349217050 Phí sử dụng ứng dụng Be HĐ số 20082513</t>
  </si>
  <si>
    <t>0316141166</t>
  </si>
  <si>
    <t>Dịch vụ quảng cáo và truyền thông theo Hợp đồng số RVHN-LT1/2026/DDD ký ngày 05/01/2026 HĐ số 1</t>
  </si>
  <si>
    <t>Dịch vụ quảng cáo và truyền thông theo Hợp đồng số 042/2026/HDDV/OQR ký ngày 10/01/2026 kèm Biên bản nghiệm thu và thanh lý ký ngày 19/01/2026 HĐ số 2</t>
  </si>
  <si>
    <t>Phí dịch vụ sử dụng hình ảnh theo Hợp đồng số 1012026/HĐDV/Y&amp;B ký ngày 02/01/2026 HĐ số 3</t>
  </si>
  <si>
    <t>0318268658</t>
  </si>
  <si>
    <t>Dịch vụ quảng cáo và truyền thông theo Hợp đồng số 0702/2026/HĐNT/QIANDU-ND ký ngày 07/02/2026 (Đợt 1) HĐ số 5</t>
  </si>
  <si>
    <t>Dịch vụ quảng cáo và truyền thông theo Hợp đồng số 0702/2026/HĐNT/QIANDU-ND ký ngày 07/02/2026 (Đợt 2) HĐ số 6</t>
  </si>
  <si>
    <t>Thanh toán 100% phí dịch vụ OAP - UV SUSTAIN Mar&amp;apos;26 - Video - Scope 3 - 100326 SOW số 36868/2025/WPP-BTL-LO ID TIktok: tnhadinh HĐ số 7</t>
  </si>
  <si>
    <t>Thanh toán 100% phí dịch vụ GRN - KOC Hub Mochi - Scope 3 - 300326 SOW số 41021/2025/WPP-BTL-LO ID Tiktok: tnhadinh HĐ số 8</t>
  </si>
  <si>
    <t>Dịch vụ quảng cáo và truyền thông theo Hợp đồng số 132/2026/HDDV/OQR ký ngày 27/02/2026 kèm Biên bản nghiệm thu và thanh lý số 132.01/2026/BBNT/OQR ký ngày 20/03/2026 HĐ số 9</t>
  </si>
  <si>
    <t>0317564887</t>
  </si>
  <si>
    <t>Dịch vụ quảng cáo và truyền thông theo Hợp đồng số 20260310/AZEDxTRUONGNHADINH ký ngày 10/03/2026 (Đợt 1) HĐ số 10</t>
  </si>
  <si>
    <t>Thanh toán 33.33% (Đợt 1) phí dịch vụ OAP - FULL RESIST Mar&amp;apos;26 - Video - Scope 3 - 100326 SOW số 36865/2025/WPP-BTL-LO ID Tiktok: tnhadinh HĐ số 11</t>
  </si>
  <si>
    <t>Dịch vụ quảng cáo và truyền thông theo Hợp đồng số 1403/2026/HĐDV/BS-TND ký ngày 14/03/2026 HĐ số 12</t>
  </si>
  <si>
    <t>Phí dịch vụ tư vấn tháng 12/2025 HĐ số 5</t>
  </si>
  <si>
    <t>0316935962</t>
  </si>
  <si>
    <t>Sweet Potato (bánh khoai lang tím) Matcha (bánh trà xanh) Raspberry (bánh mâm xôi) Specil Donut (bánh vị đặc biêt) Houjicha (bánh trà gạo rang) HĐ số 456</t>
  </si>
  <si>
    <t>Suất buffet Classic (NL) Nước Ume Peach Tea Pop Bình trà đá Trà Teapop - Ổi Khăn giấy màng bạc Golden Gate 2025 HĐ số 85701</t>
  </si>
  <si>
    <t>Thanh toan lai HĐ số 1448708</t>
  </si>
  <si>
    <t>0317499980</t>
  </si>
  <si>
    <t>Khăn Lạnh Walk-in - Kênh Booking Lẩu Thái Chua Cay Chả Giò Ngũ Quả Xốt Kem Trà Lê Hoa Cúc Trà Lài Sen (Đá) MT không thu tiền_Bao lì xì Tết  Bún Thêm Rau Nhút Cải Thảo Phí dịch vụ HĐ số 907</t>
  </si>
  <si>
    <t>Phí dịch vụ tư vấn tháng 01/2026 HĐ số 39</t>
  </si>
  <si>
    <t>Cơm bò xào lá hương nhu Cơm trắng Hủ tiếu xào tôm Soup SƯỜN SỤN chua cay miền Đông Bắc Trà chanh Thái Trà Sữa Thái Đỏ Trứng chiên hàu Xôi xoài HĐ số 6494</t>
  </si>
  <si>
    <t>Phí dịch vụ tư vấn tháng 02/2026 HĐ số 68</t>
  </si>
  <si>
    <t>0309456285</t>
  </si>
  <si>
    <t>Hàng hoá hiệu Aldo ARABELIA (MC14003) SS26 Medium_shopping bags (L38xH29xW14) (Hàng Tặng không thu tiền) BLOOMING SPRING 20% HĐ số 26673</t>
  </si>
  <si>
    <t>Phí dịch vụ tư vấn tháng 03/2026 HĐ số 105</t>
  </si>
  <si>
    <t>Thanh toán 100% phí dịch vụ MNY - BABY CUSHION - VIDEO - SCOPE 3 - 3001 SOW số 35420/2025/WPP-BTL-LO ID Tiktok: peonyanh HĐ số 1</t>
  </si>
  <si>
    <t>Thanh toán 100% phí dịch vụ Lan - New Year - livestream - Scope 3 - Ngọc Tú Anh SOW số 36244/2025/WPP-BTL-LO ID Tiktok: peonyanh HĐ số 2</t>
  </si>
  <si>
    <t>0318120098</t>
  </si>
  <si>
    <t>Dịch vụ quảng cáo và truyền thông theo Hợp đồng số 18122025-20 ký ngày 18/12/2025 kèm Biên bản nghiệm thu và thanh lý ký ngày 28/01/2026 HĐ số 3</t>
  </si>
  <si>
    <t>0316314852</t>
  </si>
  <si>
    <t>Phí dịch vụ quảng cáo cho nhãn hàng Extra Care theo Biên bản nghiệm thu thanh lý của hợp đồng dịch vụ số: 02.2026/HDDV - EXTRA CARE - NTA ký ngày 23/02/2026 HĐ số 6</t>
  </si>
  <si>
    <t>Dịch vụ quảng cáo và truyền thông theo Hợp đồng số 060226/HĐDV/PJSB ký ngày 06/02/2026 và Biên bản nghiệm thu ký ngày 23/02/2026 HĐ số 5</t>
  </si>
  <si>
    <t>Dịch vụ quảng cáo và truyền thông theo Hợp đồng số QC2002/2026/HĐQC/LPCOS - HKD NGỌC TÚ ANH ký ngày 24/02/2026 và Biên bản nghiệm thu ký ngày 07/03/2026 HĐ số 7</t>
  </si>
  <si>
    <t>Dịch vụ quảng cáo và truyền thông theo Hợp đồng số 003-2026/HĐDV-EL ký ngày 01/03/2026 HĐ số 8</t>
  </si>
  <si>
    <t>Dịch vụ quảng cáo và truyền thông theo Hợp đồng số HKD NTA_3BRO1_GARNIER MOCHI CAMP MAR - PACK ON TOP_260154_002 ký ngày 12/03/2026 và Biên bản nghiệm thu ký ngày 17/03/2026 HĐ số 9</t>
  </si>
  <si>
    <t>Dịch vụ quảng cáo và truyền thông theo Hợp đồng số 3122026/HĐDV/Y&amp;B ký ngày 25/02/2026 kèm Biên bản nghiệm thu và thanh toán số 3122026/BBNT-TT/Y&amp;B ký ngày 20/03/2026 HĐ số 10</t>
  </si>
  <si>
    <t>Thanh toán 100% phí dịch vụ CeraVe - Acne &amp; Cleanser - Payment thang 3 - Scope 2 - 3103 SOW số 43818/2025/WPP-BTL-LO ID Tiktok: peonyanh HĐ số 12</t>
  </si>
  <si>
    <t>034200000057</t>
  </si>
  <si>
    <t>Dịch vụ quảng cáo và truyền thông theo Hợp đồng số 20261403/HĐDV/NNTA ký ngày 14/03/2026 và Biên bản nghiệm thu ký ngày 25/03/2026 HĐ số 11</t>
  </si>
  <si>
    <t>Dịch vụ quảng cáo và truyền thông theo Hợp đồng số 03.2026/HĐDV_HỘ KINH DOANH NGỌC TÚ ANH_CÔNG TY TNHH HOÀI THU TH ký ngày 03/03/2026 kèm Biên bản nghiệm thu ký ngày 27/03/2026 HĐ số 13</t>
  </si>
  <si>
    <t>Dịch vụ quảng cáo và truyền thông theo Hợp đồng số 11032026/MKT-BHAPPY-peonyanh ký ngày 11/03/2026 kèm Biên bản nghiệm thu ký ngày 30/03/2026 HĐ số 15</t>
  </si>
  <si>
    <t>Dịch vụ quảng cáo theo Hợp đồng số 07.100326.02.MS-HKDNTA ký ngày 10/03/2026 kèm Biên bản nghiệm thu và thanh lý Hợp đồng HĐ số 14</t>
  </si>
  <si>
    <t>109998900</t>
  </si>
  <si>
    <t>Phí dịch vụ tư vấn tháng 12/2025 HĐ số 3</t>
  </si>
  <si>
    <t>310524194</t>
  </si>
  <si>
    <t>Frezyderm Medilike Effect Cream Type 3 (Lô: 251095 - HSD: 04/2028) HĐ số 156</t>
  </si>
  <si>
    <t>Phí dịch vụ tư vấn tháng 01/2026 HĐ số 54</t>
  </si>
  <si>
    <t>316914465</t>
  </si>
  <si>
    <t>Sữa rửa mặt (Clinicos good skin barrier cleanser 150ml) - (Hàng mẫu không thu tiền) Hàng mẫu không thu tiền khách hàng HĐ số 143</t>
  </si>
  <si>
    <t>Frezyderm Acnorm Normalizing Lotion (Lô: 2511196 - HSD: 11/2028) HĐ số 305</t>
  </si>
  <si>
    <t>Phí dịch vụ tư vấn tháng 02/2026 HĐ số 82</t>
  </si>
  <si>
    <t>314068305</t>
  </si>
  <si>
    <t>Dịch vụ quảng cáo và truyền thông theo Hợp đồng số 02/HĐKD/ESM/EFG/25 ký ngày 10/11/2025 kèm Biên bản nghiệm thu và thanh lý ký ngày 20/01/2026 HĐ số 1</t>
  </si>
  <si>
    <t>315803699</t>
  </si>
  <si>
    <t>315391861</t>
  </si>
  <si>
    <t>Dịch vụ quảng cáo và truyền thông theo Hợp đồng số MSS-HNS/260126/HDDV ký ngày 26/01/2026 HĐ số 3</t>
  </si>
  <si>
    <t>317963313</t>
  </si>
  <si>
    <t>Dịch vụ quảng cáo và truyền thông theo Hợp đồng số 12/2025/HDDV-HKD-LHN ký ngày 12/12/2025 HĐ số 4</t>
  </si>
  <si>
    <t>109550040</t>
  </si>
  <si>
    <t>Dịch vụ tư vấn chuyên môn và chiến lược truyền thông theo Hợp đồng số 2602/2026/HĐDV/HANKOREA-HNS ký ngày 26/02/2026 (Đợt 1) HĐ số 6</t>
  </si>
  <si>
    <t>109334402</t>
  </si>
  <si>
    <t>Dịch vụ tư vấn chuyên môn và chiến lược truyền thông theo Hợp đồng số 2702/2026/HĐDV/RUTOP- HNS ký ngày 27/02/2026 (Đợt 1) HĐ số 5</t>
  </si>
  <si>
    <t>Dịch vụ quảng cáo và truyền thông theo Hợp đồng số CLC/2026/24 ký ngày 23/02/2026 HĐ số 7</t>
  </si>
  <si>
    <t>317535156</t>
  </si>
  <si>
    <t>Dịch vụ quảng cáo và truyền thông theo Hợp đồng số 78/2025/HĐCT-HNS ký ngày 24/12/2025 HĐ số 10</t>
  </si>
  <si>
    <t>317476969</t>
  </si>
  <si>
    <t>Dịch vụ quảng cáo và truyền thông Hợp đồng số 291025/HDDV/HOCNHAN-IBP ký ngày 29/10/2025 và Biên bản nghiệm thu ký ngày 04/03/2026 HĐ số 9</t>
  </si>
  <si>
    <t>Phí dịch vụ tham dự sự kiện và đăng tải theo Hợp đồng số 111225/HDDV/HOCNHAN-IBP ký ngày 11/12/2025 và Biên bản nghiệm thu ký ngày 04/03/2026 HĐ số 8</t>
  </si>
  <si>
    <t>106639692</t>
  </si>
  <si>
    <t>Dịch vụ quảng cáo và truyền thông theo Hợp đồng số T09MPD26HDDV-0093-0717 HOCNHAN ký ngày 26/02/2026 và Biên bản nghiệm thu ký ngày 05/03/2026 HĐ số 11</t>
  </si>
  <si>
    <t>901158017</t>
  </si>
  <si>
    <t>Dịch vụ quảng cáo và truyền thông theo Hợp đồng số QC2002/2026/HĐHTQC/LPCOS-HKD HỌC NHÂN SKINCARE ký ngày 20/02/2026 kèm Biên bản nghiệm thu và thanh lý ký ngày 06/03/2026 HĐ số 12</t>
  </si>
  <si>
    <t>110850923</t>
  </si>
  <si>
    <t>Dịch vụ quảng cáo và truyên thông theo Hợp đồng số 20260313/HĐDV/MDPEEL12/SANAxHOCNHAN ký ngày 13/03/2026 HĐ số 14</t>
  </si>
  <si>
    <t>318504305</t>
  </si>
  <si>
    <t>Dịch vụ quảng cáo và truyền thông theo Hợp đồng số 041811/25-KOL-OVERall ký ngày 18/11/2025 HĐ số 13</t>
  </si>
  <si>
    <t>Dịch vụ quảng cáo và truyền thông theo Hợp đồng số 28012026/HDDV/IBP-HOCNHAN ký ngày 28/01/2026 kèm Biên bản nghiệm thu ký ngày 18/03/2026 HĐ số 15</t>
  </si>
  <si>
    <t>314397042</t>
  </si>
  <si>
    <t>Dịch vụ quảng cáo và truyền thông theo Hợp đồng số 1712/2025/HDDV/FGH-HOCNHAN ký ngày 17/12/2025 và Biên bản nghiệm thu ký ngày 23/03/2026 HĐ số 17</t>
  </si>
  <si>
    <t>Dịch vụ quảng cáo và truyền thông theo Hợp đồng số 1712/2025/HDDV/FGH-HOCNHAN ký ngày 17/12/2026 và Biên bản nghiệm thu ký ngày 23/03/2026 HĐ số 16</t>
  </si>
  <si>
    <t>108750008</t>
  </si>
  <si>
    <t>Dịch vụ quảng cáo và truyền thông theo Hợp đồng số HKD HN_3BRO1_GARNIER MOCHI CAMP MAR - PACK ON TOP_260154_005 ký ngày 12/03/2026 và Biên bản nghiệm thu ký ngày 24/03/2026 HĐ số 18</t>
  </si>
  <si>
    <t>Dịch vụ quảng cáo và truyền thông theo Hợp đồng số 05.2025 ký ngày 10/05/2025 và Biên bản nghiệm thu ký ngày 25/03/2026 HĐ số 20</t>
  </si>
  <si>
    <t>318416465</t>
  </si>
  <si>
    <t>Dịch vụ quảng cáo và truyền thông theo Hợp đồng số 11122025.HDDV. SPARKLE.HNS ký ngày 11/12/2025 HĐ số 19</t>
  </si>
  <si>
    <t>Dịch vụ quảng cáo và truyền thông theo Hợp đồng số MSS-HNS/051225/HDDV ký ngày 05/12/2025 kèm Biên bản nghiệm thu và thanh lý ký ngày 30/03/2026 HĐ số 23</t>
  </si>
  <si>
    <t>317435899</t>
  </si>
  <si>
    <t>Dịch vụ quảng cáo và truyền thông theo Hợp đồng số 01032026HDDVHOCNHANHOCSKINCAREMANYO ký ngày 01/03/2026 kèm Biên bản nghiệm thu ký ngày 30/03/2026 HĐ số 22</t>
  </si>
  <si>
    <t>Dịch vụ quảng cáo và truyền thông theo Hợp đồng số QC1503/2026/HĐQC/LPCOS - HKD HỌC NHÂN SKINCARE ký ngày 15/03/2026 kèm Biên bản nghiệm thu ký ngày 31/03/2026 HĐ số 24</t>
  </si>
  <si>
    <t>BÔNG TAI(5090000@10%) TÚI GIẤY (Hàng tặng không thu tiền) HĐ số 9041</t>
  </si>
  <si>
    <t>057. Thố Cơm trắng Nhỏ 073A. Chân nấm kho gừng 066A Bông cải xào nấm 096. Chè Bưởi Nhà An 158.Trà Sake 162B. Đậu hủ trứng cháy sả Khăn ướt Phí dịch vụ HĐ số 318</t>
  </si>
  <si>
    <t>Phí dịch vụ tư vấn tháng 12/2025 HĐ số 6</t>
  </si>
  <si>
    <t>TÚI GIẤY (Hàng tặng không thu tiền) VÒNG CỔ(7690000@16%) HĐ số 19649</t>
  </si>
  <si>
    <t>Món 32. Bavette Brasa Món 43. Arroz con Tuetano Thức uống AcquaPanna 750 Món 14. Ensalada alcachofas Món No Gilda Món Croquetas de Gambas Món 09. Airbaguettes HĐ số 283</t>
  </si>
  <si>
    <t>0317589225</t>
  </si>
  <si>
    <t>DUCK CONFIT PRAWN AND SCALLOP BISQUE FLOWERS FOUR PILLARS - BARTENDER'S CHOICE DASANI Service charge HĐ số 192</t>
  </si>
  <si>
    <t>0314057896</t>
  </si>
  <si>
    <t>Vòng đeo tay bằng bạc HĐ số 427</t>
  </si>
  <si>
    <t>Viên trang sức bạc dang bấm đính đá cubic zirconia trong suốt HĐ số 414</t>
  </si>
  <si>
    <t>OT1 Khăn lạnh A7 Hoành thánh chiên F5 TN.Thập cẩm chiên - Hai loại cá G5 TK.Thập cẩm chiên - Hai loại cá  TS5 Socola sữa tươi TM1 Trà hoa đậu biếc  HĐ số 2111</t>
  </si>
  <si>
    <t>SET BAO LÌ XÌ, ONE, RED - CO012025 TÚI GIẤY (MEDIUM), M, N/A - 0484-0000074 GIÀY NỮ, 6.5B, BLK - CCM12 HĐ số 64847</t>
  </si>
  <si>
    <t>0315601646</t>
  </si>
  <si>
    <t>Phí thuê văn phòng (từ ngày 27/01/2026 đến ngày 26/01/2027) Bảng tên công ty HĐ số 74</t>
  </si>
  <si>
    <t>Phí dịch vụ tư vấn tháng 01/2026 HĐ số 50</t>
  </si>
  <si>
    <t>BÍT TẾT BƠ CAFE DE PARIS KOMBUCHA HOA LẠC THẦN KOMBUCHA NHÃN MÌ LASAGNE BÒ WAGYU SALAD GÀ SỐT CAESAR Phí phục vụ HĐ số 3777</t>
  </si>
  <si>
    <t>VÒNG TAY(-5790000@10%)(Trả hàng) VÒNG CỔ(5790000@10%) TÚI GIẤY (Hàng tặng không thu tiền) HĐ số 208978</t>
  </si>
  <si>
    <t>Phần mềm hóa đơn điện tử M-100 8537932805-001.matbao.in (1 năm) HĐ số 14540</t>
  </si>
  <si>
    <t>Phí dịch vụ tư vấn tháng 02/2026 HĐ số 65</t>
  </si>
  <si>
    <t>Voucher di chuyển Xanh SM MDBEN96R HĐ số 5358</t>
  </si>
  <si>
    <t>Voucher di chuyển Xanh SM MV764NXV HĐ số 13718</t>
  </si>
  <si>
    <t>FIREBIRD TT FIREBIRD TT D HĐ số 17423</t>
  </si>
  <si>
    <t>0315898690</t>
  </si>
  <si>
    <t>Giày MEXICO 66 TGRS (1182A660.001.8) HĐ số 12981</t>
  </si>
  <si>
    <t>0310348848-001</t>
  </si>
  <si>
    <t>Voucher di chuyển Xanh SM MEKDE9A7 HĐ số 34036</t>
  </si>
  <si>
    <t>Voucher di chuyển Xanh SM MKB9359G HĐ số 41308</t>
  </si>
  <si>
    <t>Phí dịch vụ tư vấn tháng 03/2026 HĐ số 107</t>
  </si>
  <si>
    <t>Phi sử dụng hình ảnh theo Hợp đồng số 251210/HDDV/MIZUMI-HOANGTHACHH-251210MIZUMI ký ngày 10/12/2025 HĐ số 4</t>
  </si>
  <si>
    <t>Dịch vụ quảng cáo và truyền thông theo Hợp đồng số HDDV/PANTENExVĐxHOANGTHACH/301125 ký ngày 30/11/2025 (Đợt 1) HĐ số 3</t>
  </si>
  <si>
    <t>Dịch vụ quảng cáo và truyền thông theo Hợp đồng số HDDV/OLAYxVĐxHOANGTHACH/301125 ký ngày 30/11/2025 (Đợt 1) HĐ số 2</t>
  </si>
  <si>
    <t>Dịch vụ quảng cáo và truyền thông theo Hợp đồng số HTKMNTDTT/2025/HĐHTKD ký ngày 10/12/2025 (Đợt 2) và Biên bản nghiệm thu ký ngày 06/01/2026 HĐ số 1</t>
  </si>
  <si>
    <t>Dịch vụ quảng cáo và truyền thông theo Hợp đồng số HKD HOANGTHACH_ THE SAEM_05122025 ký ngày 05/12/2025 (Đợt 2 50% còn lại) và Biên bản nghiệm thu ký ngày 15/01/2026 HĐ số 6</t>
  </si>
  <si>
    <t>Dịch vụ quảng cáo và truyền thông theo Hợp đồng số HKD HOANGTHACH_3BRO1_UV COOLING - ON TOP [T1]_260002_003 ký ngày 01/01/2026 (Đợt 1) HĐ số 5</t>
  </si>
  <si>
    <t>Thanh toán 50% (Đợt 1) phí dịch vụ theo Hợp đồng số HD01012026/TIRTIR_ASIACONSULTING_HOANGTHACH ký ngày 01/01/2026 HĐ số 7</t>
  </si>
  <si>
    <t>Dịch vụ quảng cáo và truyền thông theo Hợp đồng số FINTVN-ATTENIR3-2025-52 ký ngày 10/11/2025 (Đợt 2) và Biên bản nghiệm thu ký ngày 29/01/2026 HĐ số 9</t>
  </si>
  <si>
    <t>Dịch vụ quảng cáo và truyền thông theo Hợp đồng số FINTVN-KAO7-2025-197 ký ngày 12/12/2025 (Đợt 2) và Biên bản nghiệm thu ký ngày 29/01/2026 HĐ số 8</t>
  </si>
  <si>
    <t>Dịch vụ quảng cáo và truyền thông theo Hợp đồng số HDDV/OLAYxVĐxHOANGTHACH/301125 ký ngày 30/11/2025 (Đợt 2) và Biên bản nghiệm thu ký ngày 30/01/2026 HĐ số 11</t>
  </si>
  <si>
    <t>Dịch vụ quảng cáo và truyền thông theo Hợp đồng số HDDV/PANTENExVĐxHOANGTHACH/301125 ký ngày 30/11/2025 (Đợt 2) và Biên bản nghiệm thu ký ngày 30/01/2026 HĐ số 10</t>
  </si>
  <si>
    <t>Phí dịch vụ sử dụng hình ảnh tháng 02-04/2026 theo Hợp đồng số 010825/ PLHĐHTDV/ THT-TANE ký ngày 31/01/2026 HĐ số 13</t>
  </si>
  <si>
    <t>Dịch vụ quảng cáo và truyền thông theo Hợp đồng số 01112025/HDDV/SGS-EMB-THT ký ngày 01/11/2025 (Đợt 2) kèm Biên bản nghiệm thu và thanh lý ký ngày 06/02/2026 HĐ số 14</t>
  </si>
  <si>
    <t>Dịch vụ quảng cáo và truyền thông theo Hợp đồng số HKD HOANGTHACH_3BRO1_UV COOLING - ON TOP [T1]_260002_003 ký ngày 01/01/2026 (Đợt 2) và Biên bản nghiệm thu ký ngày 24/02/2026 HĐ số 16</t>
  </si>
  <si>
    <t>Dịch vụ quảng cáo và truyền thông theo Hợp đồng số BD/VZONE/HOANGTHACH/LASHE202603 ký ngày 27/02/2026 (Đợt 1) HĐ số 17</t>
  </si>
  <si>
    <t>Phí sử dụng hình ảnh theo Hợp đồng số T04MPD26HDDV-0063-0011 HOANGTHACH ký ngày 27/02/2026 HĐ số 18</t>
  </si>
  <si>
    <t>Thanh toán 50% (Đợt 2) phí dịch vụ theo Hợp đồng số HD01012026/TIRTIR_ASIACONSULTING_HOANGTHACH ký ngày 01/01/2026 và Biên bản nghiệm thu ký ngày 03/03/2026 HĐ số 20</t>
  </si>
  <si>
    <t>Dịch vụ quảng cáo và truyền thông theo Hợp đồng số HKD HOANGTHACH_3BRO1_GARNIER MOCHI CAMP FEB_260107_002 ký ngày 12/02/2026 và Biên bản nghiệm thu ký ngày 03/03/2026 HĐ số 19</t>
  </si>
  <si>
    <t>Dịch vụ quảng cáo và truyền thông theo Hợp đồng số 082026/HĐDV/Y&amp;B ký ngày 01/01/2026 kèm Biên bản nghiệm thu và thanh toán số 082026/BBNT-TT/Y&amp;B ký ngày 10/03/2026 HĐ số 21</t>
  </si>
  <si>
    <t>Dịch vụ quảng cáo và truyền thông theo Hợp đồng số BD/VZONE/HOANGTHACH/LASHE202603 ký ngày 27/02/2026 (Đợt 2) kèm Biên bản nghiệm thu ký ngày 13/03/2026 HĐ số 23</t>
  </si>
  <si>
    <t>Phí sử dụng hình ảnh theo Hợp đồng số HDDV/PANTENEADSxVĐxHOANGTHACH/230126 ký ngày 23/01/2026 HĐ số 25</t>
  </si>
  <si>
    <t>Dịch vụ quảng cáo và truyền thông thông theo Hợp đồng số 24112025/HDDV/ES-MK-HT ký ngày 24/11/2025 (Đợt 2) và Biên bản nghiệm thu ký ngày 18/03/2026 HĐ số 24</t>
  </si>
  <si>
    <t>Phí dịch vụ tư vấn tháng 12/2025 HĐ số 14</t>
  </si>
  <si>
    <t>101778163</t>
  </si>
  <si>
    <t xml:space="preserve">  HĐ số 216818</t>
  </si>
  <si>
    <t>Phí dịch vụ tư vấn tháng 01/2026 HĐ số 45</t>
  </si>
  <si>
    <t>110013883</t>
  </si>
  <si>
    <t>Súp Kem Bí Đỏ Súp Kem Nấm Salad Ức Gà Hoàng Đế Thăn Bò Hokubee Nhật (200g) + Medium Well + Sốt Nấm + Khoai tây chiên Nước Chanh Tươi Nước Ép Dưa Hấu Mỳ hải sản sốt kem Pháp HĐ số 628</t>
  </si>
  <si>
    <t>Súp Kem Bí Đỏ Súp Kem Nấm Salad Ức Gà Hoàng Đế Mỳ hải sản sốt kem Pháp Thăn Bò Hokubee Nhật (200g) + Medium Well + Sốt Nấm + Khoai tây chiên Nước Chanh Tươi Nước Ép Dưa Hấu HĐ số 683</t>
  </si>
  <si>
    <t>107742477</t>
  </si>
  <si>
    <t>Cải thảo Xúc xích phô mai Nước ngọt pepsi Tủy bò Nước lọc Aquafina Trà Kombucha Chanh leo Trà Kombucha Ổi Hồng Trà táo đỏ hoa cúc Măng trúc Yên Tử Váng đậu chiên Đậu hũ phô mai Paste hải sản tam vị Lẩu cay Tian Long cấp độ 1 Lẩu cà chua COMBO TIAN LONG 2( Dành cho 3 khách) HĐ số 2064</t>
  </si>
  <si>
    <t xml:space="preserve">  HĐ số 652810</t>
  </si>
  <si>
    <t>Phí dịch vụ tư vấn tháng 02/2026 HĐ số 80</t>
  </si>
  <si>
    <t>313492494</t>
  </si>
  <si>
    <t>Dịch vụ quảng cáo và truyền thông theo Hợp đồng số 20251222/UNICORN x TRANGTRANKOC ký ngày 22/12/2025 và Biên bản nghiệm thu ký ngày 07/01/2026 HĐ số 1</t>
  </si>
  <si>
    <t>4001289543</t>
  </si>
  <si>
    <t>Dịch vụ quảng cáo và truyền thông theo Hợp đồng số THN/MKC/TRANGTRAN/30112025 ký ngày 30/11/2025 kèm Biên bản nghiệm thu ký ngày 19/01/2026 HĐ số 2</t>
  </si>
  <si>
    <t>Dịch vụ quảng cáo và truyền thông theo Hợp đồng số 291225/HDDV/TRANGTRAN-IBP ký ngày 25/12/2025 và Biên bản nghiệm thu ký ngày 20/01/2026 HĐ số 4</t>
  </si>
  <si>
    <t>Dịch vụ quảng cáo và truyền thông theo Hợp đồng số 08012026/HDDV/TRANGTRAN-IBP ký ngày 02/01/2026 và Biên bản nghiệm thu ký ngày 20/01/2026 HĐ số 3</t>
  </si>
  <si>
    <t>109361325</t>
  </si>
  <si>
    <t>Dịch vụ quảng cáo và truyền thông theo Hợp đồng số 0612.2025/HDDV/UPBASE-MINE-trangtrankoc ký ngày 06/12/2025 và Biên bản nghiệm thu ký ngày 21/01/2026 HĐ số 5</t>
  </si>
  <si>
    <t>2301347055</t>
  </si>
  <si>
    <t>Dịch vụ quảng cáo và truyền thông theo Thỏa thuận hợp tác ký ngày 13/01/2026 và Biên bản nghiệm thu ký ngày 23/01/2026 HĐ số 6</t>
  </si>
  <si>
    <t>318678340</t>
  </si>
  <si>
    <t>Thanh toán 100% phí dịch vụ GRN - AFFILIATE - LIVESTREAM - INDI COM - SCOPE 3 - 3001 - PO 4001386143 SOW số 35884/2025/WPP-BTL-LO ID Tiktok: trangtrankoc HĐ số 7</t>
  </si>
  <si>
    <t>Thanh toán 100% phí dịch vụ MNY - AFFILIATE - LIVESTREAM - INDI - SCOPE 3 - 3001 - PO 4001454557 SOW số 36043/2025/WPP-BTL-LO ID Tiktok: trangtrankoc HĐ số 9</t>
  </si>
  <si>
    <t>Thanh toán 100% phí dịch vụ 3CE - AFFILIATE - LIVESTREAM - INDI - SCOPE 3 - 3001 - PO 4001502294 SOW số 35765/2025/WPP-BTL-LO ID Tiktok: trangtrankoc HĐ số 8</t>
  </si>
  <si>
    <t>315627066</t>
  </si>
  <si>
    <t>Dịch vụ quảng cáo và truyền thông theo Hợp đống số 1001/2026/HDDV/UNI-HKDTTO ký ngày 09/01/2026 và Biên bản nghiệm thu số 1001/2026/BBNT/UNI-HKDTTO ký ngày 29/01/2026 HĐ số 10</t>
  </si>
  <si>
    <t>Dịch vụ quảng cáo và truyền thông theo Hợp đồng số 20251230/UNICORN x TRANGTRANKOC ký ngày 30/12/2025 và Biên bản nghiệm thu ký ngày 11/02/2026 HĐ số 11</t>
  </si>
  <si>
    <t>Dịch vụ quảng cáo và truyền thông theo Hợp đồng số S:KINHERITAGE/TRANGTRANKOC22/01/2026 ký ngày 10/01/2026 kèm Biên bản nghiệm thu ký ngày 26/02/2026 HĐ số 12</t>
  </si>
  <si>
    <t>Thanh toán 100% phí dịch vụ GRN -AFFILIATE -LIVESTREAM3.2 - COMPANY- SCOPE 3 - 1003 SOW số 37686/2025/WPP-BTL-LP ID Tiktok: trangtrankoc HĐ số 13</t>
  </si>
  <si>
    <t>Thanh toán 100% phí dịch vụ MNY - AFFILIATE - LIVESTREAM 3.2 - COMPANY - SCOPE 3 - 1003 SOW số 37688/2025/WPP-BTL-LP ID Tiktok: trangtrankoc HĐ số 15</t>
  </si>
  <si>
    <t>Thanh toán 100% phí dịch vụ GRN - AFFILIATE - LIVESTREAM 10.3 - COMPANY - SCOPE 3 - 1003 SOW số 37687/2025/WPP-BTL-LP ID Tiktok: trangtrankoc HĐ số 14</t>
  </si>
  <si>
    <t>Dịch vụ quảng cáo và truyền thông theo Hợp đồng số 06012026/HDDV/UPBASE-LASY-TRANGTRANKOC ký ngày 06/01/2026 HĐ số 16</t>
  </si>
  <si>
    <t>0305767459</t>
  </si>
  <si>
    <t>0310272229</t>
  </si>
  <si>
    <t>0300555450</t>
  </si>
  <si>
    <t>0319062762</t>
  </si>
  <si>
    <t>0309129418</t>
  </si>
  <si>
    <t>0106852727</t>
  </si>
  <si>
    <t>0318890555</t>
  </si>
  <si>
    <t>0107307178</t>
  </si>
  <si>
    <t>0316940306</t>
  </si>
  <si>
    <t>0107742477-001</t>
  </si>
  <si>
    <t>0110855086</t>
  </si>
  <si>
    <t>0318823340</t>
  </si>
  <si>
    <t>0110848995</t>
  </si>
  <si>
    <t>Phí dịch vụ tư vấn tháng 12/2025 HĐ số 17</t>
  </si>
  <si>
    <t>Phí dịch vụ tư vấn tháng 12/2025 HĐ số 22</t>
  </si>
  <si>
    <t>5801541680</t>
  </si>
  <si>
    <t>0318751706-002</t>
  </si>
  <si>
    <t>TRÀ ATISO ĐÀ LẠT KHAY RAU TẶNG LƯỠI BÒ CHÁY KHOAI BÒ MUỐI ỚT RAU RỪNG CÁ LANG GÓI LÁ NƯỚNG THAN KHOAI LANG NƯỚNG PHÔ MAI Chiết khấu HĐ số 456</t>
  </si>
  <si>
    <t>0100111948-002</t>
  </si>
  <si>
    <t xml:space="preserve"> HĐ số 10892</t>
  </si>
  <si>
    <t xml:space="preserve"> HĐ số 15929</t>
  </si>
  <si>
    <t>Buffet Đài Dư Hoa  NL Buffet Line Khai vị &amp; Tráng Miệng (NL) Khăn giấy màng bạc Manwah HĐ số 361639</t>
  </si>
  <si>
    <t>Phí dịch vụ Affiliate 01/2026_17340290023 (Affiliate Service fee 01/2026_17340290023) HĐ số 929342</t>
  </si>
  <si>
    <t>Phí dịch vụ tư vấn tháng 01/2026 HĐ số 56</t>
  </si>
  <si>
    <t>3700817152</t>
  </si>
  <si>
    <t>Bò Nướng Lá lốp Cơm chiên tôm với Thơm và trứng Me muối ớt Nước ngọt sprite Nước suối Alba Sinh tố xoài chuối ức Vịt Roti với sốt ngũ vị và nước dừa HĐ số 1814</t>
  </si>
  <si>
    <t>Phí dịch vụ Affiliate 02/2026_17340290023 (Affiliate Service fee 02/2026_17340290023) HĐ số 1572862</t>
  </si>
  <si>
    <t>Phí dịch vụ tư vấn tháng 02/2026 HĐ số 71</t>
  </si>
  <si>
    <t>059090008913</t>
  </si>
  <si>
    <t>Checkerboard salad Herd-Crusted lamd Steak premium beef selection (Tenderloin) XO seafood bowtie pasta Coke zero Water HĐ số 90</t>
  </si>
  <si>
    <t>Bò nướng Luang Prabang Cơm chiên dứa hải sản Khăn ướt in Logo Nước quả bầu nâu lạnh Nước uống mật hoa dừa 250ml x 12 cha Tằm đu đủ cay Thịt heo nướng xiên HĐ số 3440</t>
  </si>
  <si>
    <t>0313786656</t>
  </si>
  <si>
    <t>Vé Buffet tối cuối tuần, ngày lễ HĐ số 6091</t>
  </si>
  <si>
    <t>0110984148-001</t>
  </si>
  <si>
    <t>Dịch vụ quảng cáo và truyền thông theo Hợp đồng số 026/2026/HDDV/OQR ký ngày 10/01/2026 kèm Biên bản nghiệm thu và thanh lý hợp đồng ký ngày 15/01/2026 HĐ số 1</t>
  </si>
  <si>
    <t>0316717844</t>
  </si>
  <si>
    <t>Dịch vụ quảng cáo và truyền thông theo Hợp đồng số PLAYAH/KOC/250126/Hộ Kinh Doanh Nguyễn Lê Hoàng Long ký ngày 22/01/2026 HĐ số 2</t>
  </si>
  <si>
    <t>Dịch vụ quảng cáo và truyền thông theo Hợp đồng số GG-TC2026-HW-MIL-02 ký ngày 12/01/2026 kèm Biên bản nghiệm thu và thanh lý ký ngày 04/02/2026 HĐ số 3</t>
  </si>
  <si>
    <t>Điều chỉnh giảm mặt hàng Dịch vụ quảng cáo và truyền thông theo Hợp đồng số 090226/JEE-ONGTHIBALONG ký ngày 09/02/2026 HĐ số 7</t>
  </si>
  <si>
    <t>Dịch vụ quảng cáo và truyền thông theo Hợp đồng số 090226/JEE-ONGTHIBALONG ký ngày 09/02/2026 HĐ số 6</t>
  </si>
  <si>
    <t>Dịch vụ quảng cáo và truyền thông theo Hợp đồng số 090226/JEE-ONGTHIBALONG ký ngày 09/02/2026 HĐ số 5</t>
  </si>
  <si>
    <t>0306133695</t>
  </si>
  <si>
    <t>100% phí dịch vụ quảng cáo và truyền thông theo hợp đồng và Biên bản nghiệm thu PO số 3152103280 HĐ số 8</t>
  </si>
  <si>
    <t>Dịch vụ quảng cáo và truyền thông theo Hợp đồng số AMV/ÔTBL/CAM0078632/PEPSI TET 2026/SC/2026-0479P ký ngày 08/02/2026 kèm Biên bản nghiệm thu thanh lý ký ngày 02/03/2026 HĐ số 9</t>
  </si>
  <si>
    <t>Dịch vụ quảng cáo và truyền thông theo Hợp đồng số AMV/ÔTBL.02/CAM0078632/PEPSI TET 2026/SC/2026-0637P ký ngày 25/01/2026 kèm Biên bản nghiệm thu thanh lý ký ngày 12/03/2026 HĐ số 10</t>
  </si>
  <si>
    <t>Dịch vụ quảng cáo và truyền thông theo Hợp đồng số MSS-NLHL/030226/HDDV ký ngày 03/02/2026 và Biên bản nghiệm thu ký ngày 16/03/2026 HĐ số 11</t>
  </si>
  <si>
    <t>0316155539</t>
  </si>
  <si>
    <t>Dịch vụ quảng cáo và truyền thông theo Hợp đồng số ABB-CYAN-OTBL-240226 ký ngày 24/02/2026 kèm Biên bản nghiệm thu và thanh lý ký ngày 22/03/2026 HĐ số 12</t>
  </si>
  <si>
    <t>0316867783</t>
  </si>
  <si>
    <t>Dịch vụ quảng cáo và truyền thông theo Phụ lục 01 Hợp đồng số 13032026/HDDV/SK-ONGTHIBALONG ký ngày 13/03/2026 HĐ số 14</t>
  </si>
  <si>
    <t>Dịch vụ quảng cáo và truyền thông cho nhãn hàng Roger &amp; Gallet theo Hợp đồng số 681901202601/HDDV/RV/KOL ký ngày 19/01/2026 kèm Biên bản nghiệm thu &amp; thanh lý ký ngày 24/03/2026 HĐ số 13</t>
  </si>
  <si>
    <t>Dịch vụ quảng cáo và truyền thông theo Hợp đồng số 15012026_HĐDV-HUNGTHINH-ONGTHIBALONG ký ngày 15/01/2026 HĐ số 15</t>
  </si>
  <si>
    <t>SU7 Mì tomyum hải sản TCT5 Nước long nhãn đường nâu TTC5 Trà xoài  TT2 Trà chanh Thái trái mơ CP15 Pad Thái truyền thống SD9 Nọng heo xông khói Chilli Thái COT1 Khăn lạnh HĐ số 252</t>
  </si>
  <si>
    <t>Bánh kem 14cm Bánh mì bơ sữa Bông lan cuộn hoàng kim Bông lan nhật Chuối Cake Bỏng ngô Chuối cake mini HĐ số 44</t>
  </si>
  <si>
    <t>1301148883</t>
  </si>
  <si>
    <t>Gọng kính hiệu HMK KM28070 ĐEN VÀNGC1 HỘP DA CẬN Giảm giá hàng bán - HỘP DA CẬN (Hàng khuyến mại không thu tiền) Gọng kính hiệu New Balance NB09381X C01 49 HĐ số 184</t>
  </si>
  <si>
    <t>TÚI GIẤY 2020, 34, 01 - PD-PAPERBAG-S TÚI NAM, 34, 01 - PM2-25210206-3 HĐ số 23810</t>
  </si>
  <si>
    <t>0313861247</t>
  </si>
  <si>
    <t>Cọ trang điểm - 0138842 HĐ số 1237</t>
  </si>
  <si>
    <t>Phí dịch vụ tư vấn tháng 12/2025 HĐ số 27</t>
  </si>
  <si>
    <t>Phí dịch vụ Affiliate 01/2026_17313980220 (Affiliate Service fee 01/2026_17313980220) HĐ số 777435</t>
  </si>
  <si>
    <t>Aquafina Cơm chiên CUA Gỏi cá trê chiên xù Nọng heo nướng với nước chấm đặc biệt Tôm sống sốt hải sản Trà cam thảo mộc Trứng muối HĐ số 3071</t>
  </si>
  <si>
    <t>Phí dịch vụ tư vấn tháng 01/2026 HĐ số 47</t>
  </si>
  <si>
    <t>Nạc vai heo tươi Cocacola Tươi (ly) Nước Ép Dưa Hấu Buffet xèo xèo Classic NL (S) Miến trộn HĐ số 403696</t>
  </si>
  <si>
    <t>3901290035</t>
  </si>
  <si>
    <t>BÒ FUJI NHẬT BẢN THƯỢNG HẠNG CƠM CHIÊN KIM CHI TRÀ CHANH MẬT ONG (Honey Lemon Tea) COCA COLA NHẬT GHI CHÚ HĐ số 817</t>
  </si>
  <si>
    <t>072196009400</t>
  </si>
  <si>
    <t>LÊ QUẢ TƯƠI SIZE 30-13KG HĐ số 66</t>
  </si>
  <si>
    <t>Bông lan trứng muối Xoài sấy dẻo Xoài sấy dẻo Khô gà lá chanh nhỏ Khô gà lá chanh lớn Hạt điều cháy tỏi Macaron cây Vỏ bưởi sấy dẻo nhỏ Vỏ bưởi sấy dẻo lớn HĐ số 10</t>
  </si>
  <si>
    <t>Phí dịch vụ tư vấn tháng 02/2026 HĐ số 81</t>
  </si>
  <si>
    <t>0104115527</t>
  </si>
  <si>
    <t>Bánh Pizza HS Nhiệt Đới-Dày-S Mì Ý Thịt Bò Bằm Trà Chanh Bạc Hà-Bình HĐ số 7127</t>
  </si>
  <si>
    <t>0318827955</t>
  </si>
  <si>
    <t>PHÍ BAO BÌ L - TRÀ SỮA OOLONG ĐÀO Ngọt nguyên bản Đá bình thường HĐ số 13760</t>
  </si>
  <si>
    <t>0102313379-011</t>
  </si>
  <si>
    <t>Dịch vụ quảng cáo và truyền thông theo Hợp đồng số 912/2025/LINK-TRANHONGPHUC ký ngày 09/12/2025 và Biên bản nghiệm thu ký ngày 13/01/2026 HĐ số 1</t>
  </si>
  <si>
    <t>Dịch vụ quảng cáo và truyền thông theo Hợp đồng số HKD THP_ LOREAL PEEL MELASYL_15122025 ký ngày 15/12/2025 kèm Biên bản nghiệm thu và thanh lý ký ngày 22/01/2026 HĐ số 2</t>
  </si>
  <si>
    <t>Dịch vụ quảng cáo và truyền thông theo Hợp đồng số VT-MCN-V002 ký ngày 01/01/2026 Advertising and media services under Contract No. VT-MCN-V002 signed on January 1, 2026 HĐ số 3</t>
  </si>
  <si>
    <t>0317149224</t>
  </si>
  <si>
    <t>Dịch vụ quảng cáo và truyền thông theo Hợp đồng số 1001T1/26/HĐDV – BIO ký ngày 14/01/2026 HĐ số 5</t>
  </si>
  <si>
    <t>Dịch vụ quảng cáo và truyền thông theo Thỏa thuận số VT-MCN-V002 ký ngày 01/02/2026 Advertising and media services under Marketing Agency Agreement No. VT-MCN-V002 signed on February 1, 2026 HĐ số 6</t>
  </si>
  <si>
    <t>Dịch vụ quảng cáo và truyền thông theo Hợp đồng số 20012026HDDV/MEISHANG – TRANHONGPHUC ký ngày 20/01/2026 và Biên bản nghiệm thu ký ngày 02/03/2026 HĐ số 7</t>
  </si>
  <si>
    <t>Dịch vụ quảng cáo và truyền thông theo Hợp đồng số HKD THP_3BRO1_GARNIER MOCHI CAMP FEB_260107_00 ký ngày 12/02/2026 kèm Biên bản nghiệm thu và thanh lý ký ngày 03/03/2026 HĐ số 8</t>
  </si>
  <si>
    <t>Dịch vụ quảng cáo và truyền thông theo Hợp đồng số T03MPD26HDDV-0210-0201 HONGPHUC ký ngày 25/02/2026 và Biên bản nghiệm thu ký ngày 04/03/2026 HĐ số 9</t>
  </si>
  <si>
    <t>Dịch vụ quảng cáo và truyền thông theo Hợp đồng số T06MPD26HDDV-0089-0201 HONGPHUC ký ngày 25/02/2026 và Biên bản nghiệm thu ký ngày 10/03/2026 HĐ số 10</t>
  </si>
  <si>
    <t>Dịch vụ quảng cáo và truyền thông theo Hợp đồng số HKD THP_3BRO3_SIMPLE CORE_260134_002 ký ngày 04/03/2026 HĐ số 11</t>
  </si>
  <si>
    <t>Dịch vụ quảng cáo và truyền thông theo Hợp đồng số 10032026HDDV/MEISHANG – TRANHONGPHUC ký ngày 10/03/2026 và Biên bản nghiệm thu ký ngày 23/03/2026 HĐ số 12</t>
  </si>
  <si>
    <t>Dịch vụ quảng cáo và truyền thông theo Hợp đồng số T04MPD26HDDV-0123-0201 HONGPHUC ký ngày 01/03/2026 kèm Biên bản nghiệm thu ký ngày 27/03/2026 HĐ số 13</t>
  </si>
  <si>
    <t>Dịch vụ quảng cáo và truyền thông theo Hợp đồng số TOCOBO_SKVN_20260213_tranhongphuc107 ký ngày 13/02/2026 và Biên bản nghiệm thu ký ngày 30/03/2026 HĐ số 14</t>
  </si>
  <si>
    <t>Dịch vụ quảng cáo và truyền thông theo Hợp đồng số 09032026/HDDV/THP-NT ký ngày 09/03/2026 kèm Biên bản nghiệm thu và thanh lý ký ngày 31/03/2026 HĐ số 15</t>
  </si>
  <si>
    <t>Phí dịch vụ Affiliate 12/2025_17357950148 HĐ số 37088</t>
  </si>
  <si>
    <t>Phí dịch vụ tư vấn tháng 12/2025 HĐ số 2</t>
  </si>
  <si>
    <t>Cước phí vận chuyển mã 01KF35QDEKECSSFSZ837C4907B Phí nền tảng mã 01KF35QDEKECSSFSZ837C4907B HĐ số 4688852</t>
  </si>
  <si>
    <t>Vé Buffet 369 (NL) Buffet Line Cá Saba Hấp Bầu Bắp Bò Hấp Gừng Khăn giấy màng bạc Golden Gate 2025 HĐ số 176554</t>
  </si>
  <si>
    <t>Cước phí vận chuyển mã 01KFMT3M58KGQ687XGMCTWR4EG Chiết khấu thương mại/ giảm giá mã 01KFMT3M58KGQ687XGMCTWR4EG Phí nền tảng mã 01KFMT3M58KGQ687XGMCTWR4EG HĐ số 6853749</t>
  </si>
  <si>
    <t>Cước phí vận chuyển mã 01KFTAVWAA45PWNCQGBSMW5KH1 Chiết khấu thương mại/ giảm giá mã 01KFTAVWAA45PWNCQGBSMW5KH1 Phí nền tảng mã 01KFTAVWAA45PWNCQGBSMW5KH1 HĐ số 7656288</t>
  </si>
  <si>
    <t>Cước phí vận chuyển mã 01KFSRDD3K79T68GQJSH2JWDTX Chiết khấu thương mại/ giảm giá mã 01KFSRDD3K79T68GQJSH2JWDTX Phí nền tảng mã 01KFSRDD3K79T68GQJSH2JWDTX HĐ số 7548376</t>
  </si>
  <si>
    <t>Phí dịch vụ tư vấn tháng 01/2026 HĐ số 42</t>
  </si>
  <si>
    <t>Phí dịch vụ Affiliate 01/2026_17357950148 (Affiliate Service fee 01/2026_17357950148) HĐ số 810392</t>
  </si>
  <si>
    <t>BUFFET 239K Phí dịch vụ HĐ số 1884</t>
  </si>
  <si>
    <t>TÔM SỐNG MẮM CAY VÚ HEO ƯỚP SA TẾ TRÀ HOA ATISO TIGER BẠC KHĂN NỌNG GIÒN, XÔI DẺO Bò tơ lụi xả sốt tiêu xanh Dồi trường xào cải chua Phụ thu Tết HĐ số 841</t>
  </si>
  <si>
    <t>Buffet Đài Dư Hoa  NL Buffet Line Khai vị &amp; Tráng Miệng (NL) Khăn giấy màng bạc Manwah HĐ số 703103</t>
  </si>
  <si>
    <t>Phí dịch vụ Affiliate 02/2026_17357950148 (Affiliate Service fee 02/2026_17357950148) HĐ số 1585050</t>
  </si>
  <si>
    <t>Phí dịch vụ tư vấn tháng 02/2026 HĐ số 72</t>
  </si>
  <si>
    <t>BUFFET 249K HĐ số 2692</t>
  </si>
  <si>
    <t>0304384823</t>
  </si>
  <si>
    <t>Anh Trai "Say Hi" Concert - Day 9 - GA 2B HĐ số 30694</t>
  </si>
  <si>
    <t>Dịch vụ quảng cáo và truyền thông theo hợp đồng số 2512/2025/HDDV-GSLAY.XUANNHI ký ngày 23/12/2025 kèm Biên bản nghiệm thu và thanh lý hợp đồng ký ngày 05/01/2026 HĐ số 1</t>
  </si>
  <si>
    <t>Dịch vụ quảng cáo và truyền thông theo Hợp đồng số 20260102HDDV/MEISHANG – NGOCXUANNHI ký ngày 02/01/2026 và Biên bản nghiệm thu ký ngày 07/01/2026 HĐ số 2</t>
  </si>
  <si>
    <t>0110530320</t>
  </si>
  <si>
    <t>Dịch vụ quảng cáo và truyền thông theo Hợp đồng số 03.2411/2025/HDDV/SGL-QC ký ngày 24/11/2025 kèm Biên bản nghiệm thu ký ngày 11/01/2026 HĐ số 3</t>
  </si>
  <si>
    <t>0318476993</t>
  </si>
  <si>
    <t>Dịch vụ quảng cáo và truyền thông theo Hợp đồng số HD1401-2026-HDDV-JOOCYEE-NGOCXUANNHI ký ngày 14/01/2026 kèm Biên bản nghiệm thu ký ngày 19/01/2026 HĐ số 8</t>
  </si>
  <si>
    <t>Dịch vụ quảng cáo và truyền thông theo Hợp đồng số 058/2026/HDDV/OQR ký ngày 14/01/2026 kèm Biên bản nghiệm thu và thanh lý hợp đồng ký ngày 20/01/2026 HĐ số 9</t>
  </si>
  <si>
    <t>Dịch vụ quảng cáo theo Hợp đồng số 10.021026.02.MS-NXN ký ngày 02/01/2026 kèm Biên bản nghiệm thu và thanh lý Hợp đồng HĐ số 10</t>
  </si>
  <si>
    <t>Dịch vụ quảng cáo và truyền thông theo Hợp đồng số TP0126-HanFias/xuannhilamgido ký ngày 15/01/2026 và Biên bản nghiệm thu ký ngày 28/01/2026 HĐ số 11</t>
  </si>
  <si>
    <t>Dịch vụ quảng cáo và truyền thông theo hợp đồng số 2701/2026/HDDV-GSLAY.XUANNHI ký ngày 22/01/2026 kèm Biên bản nghiệm thu và thanh lý hợp đồng ký ngày 29/01/2026 HĐ số 12</t>
  </si>
  <si>
    <t>0314724148</t>
  </si>
  <si>
    <t>Dịch vụ quảng cáo và truyền thông theo Hợp đồng số 2801/2026/HDDV/CL/DM&amp;C-HKDNXN ký ngày 28/01/2026 HĐ số 14</t>
  </si>
  <si>
    <t>Thanh toán 100% phí dịch vụ OAP - Infallible Cushion - Video - Scope 3 - 1002 SOW số 36537/2025/WPP-BTL-LO ID Tiktok: xuannhilamgido HĐ số 13</t>
  </si>
  <si>
    <t>0318969607</t>
  </si>
  <si>
    <t>Dịch vụ quảng cáo và truyền thông theo Hợp đồng số KOL-2026/001/SKINPOP-XUANNHI ký ngày 20/01/2026 và Biên bản nghiệm thu ký ngày 04/02/2026 HĐ số 15</t>
  </si>
  <si>
    <t>0318751209</t>
  </si>
  <si>
    <t>Dịch vụ quảng cáo và truyền thông theo Hợp đồng số 2012-2025/HĐDV/GL-NNXN ký ngày 20/12/2025 và Biên bản nghiệm thu ký ngày 05/02/2026 HĐ số 17</t>
  </si>
  <si>
    <t>Dịch vụ quảng cáo và truyền thông theo Phụ lục 01 của Hợp đồng nguyên tắc số 01012026/JOYGROUP/HĐNT/HKDNGOCXUANNHI-DCV ký ngày 01/01/2026 và Biên bản nghiệm thu ký ngày 05/02/2026 HĐ số 16</t>
  </si>
  <si>
    <t>Dịch vụ quảng cáo và truyền thông theo Hợp đồng số 29012026.HDDV. SPARKLE.NXN ký ngày 29/01/2026 và Biên bản nghiệm thu ký ngày 06/02/2026 HĐ số 21</t>
  </si>
  <si>
    <t>Dịch vụ quảng cáo và truyền thông theo Hợp đồng số TP0226-HanFias/xuannhilamgido ký ngày 05/02/2026 và Biên bản nghiệm thu ký ngày 06/02/2026 HĐ số 20</t>
  </si>
  <si>
    <t>Dịch vụ quảng cáo và truyền thông theo Hợp đồng số 01.3001/2026/HDDV/SGL-QC ký ngày 30/01/2026 kèm Biên bản nghiệm thu và thanh lý ký ngày 06/02/2026 HĐ số 19</t>
  </si>
  <si>
    <t>Dịch vụ quảng cáo và truyền thông theo Hợp đồng số 050125/HDDV/NITORIxNGUYENNGOCXUANNHI ký ngày 05/01/2026 và Biên bản nghiệm thu ký ngày 06/02/2026 HĐ số 18</t>
  </si>
  <si>
    <t>Dịch vụ quảng cáo và truyền thông theo Hợp đồng số TOCOBO_Silicon2_20260108_xuannhilamgido ký ngày 08/01/2026 kèm Biên bản nghiệm thu và thanh lý hợp đồng ký ngày 12/02/2026 HĐ số 24</t>
  </si>
  <si>
    <t>Dịch vụ quảng cáo và truyền thông theo hợp đồng số 0101/2026/HDDV-LEMONADE.XUANNHI ký ngày 01/01/2026 kèm Biên bản nghiệm thu và thanh lý hợp đồng ký ngày 25/02/2026 HĐ số 25</t>
  </si>
  <si>
    <t>Dịch vụ quảng cáo và truyền thông theo Hợp đồng số 0402/2026/HĐDV/UNI_HKDNNXN ký ngày 10/11/2025 và Biên bản nghiệm thu ký ngày 04/03/2026 HĐ số 26</t>
  </si>
  <si>
    <t>Dịch vụ quảng cáo theo Hợp đồng số 10.270226.02.MS-NXN ký ngày 27/02/2026 kèm Biên bản nghiệm thu và thanh lý Hợp đồng HĐ số 29</t>
  </si>
  <si>
    <t>Dịch vụ quảng cáo và truyền thông theo Phụ lục 02 của Hợp đồng nguyên tắc số 01012026/JOYGROUP/HĐNT/HKDNGOCXUANNHI-DCV ký ngày 01/01/2026 và Biên bản nghiệm thu ký ngày 13/03/2026 HĐ số 30</t>
  </si>
  <si>
    <t>Dịch vụ quảng cáo và truyền thông theo Hợp đồng số 0203/2026/HDDV/BR/DM&amp;C-HKDNXN ký ngày 02/03/2026 và Biên bản nghiệm thu ký ngày 23/03/2026 HĐ số 31</t>
  </si>
  <si>
    <t>Dịch vụ quảng cáo và truyền thông theo hợp đồng số 2003/2026/HDDV-GSLAY.XUANNHI ký ngày 20/03/2026 kèm Biên bản nghiệm thu và thanh lý hợp đồng ký ngày 25/03/2026 HĐ số 32</t>
  </si>
  <si>
    <t>Dịch vụ quảng cáo và truyền thông theo Hợp đồng số 4902026/HĐDV/Y&amp;B ký ngày 01/03/2026 kèm Biên bản nghiệm thu và thanh toán số 4902026/BBNT-TT/Y&amp;B ký ngày 26/03/2026 HĐ số 33</t>
  </si>
  <si>
    <t>312886947</t>
  </si>
  <si>
    <t>AO AO KHOAC HĐ số 2164</t>
  </si>
  <si>
    <t>Phí dịch vụ tư vấn tháng 12/2025 HĐ số 32</t>
  </si>
  <si>
    <t>309430079</t>
  </si>
  <si>
    <t>314193257</t>
  </si>
  <si>
    <t>Phí dịch vụ tư vấn tháng 01/2026 HĐ số 60</t>
  </si>
  <si>
    <t>311433077</t>
  </si>
  <si>
    <t>KEM NEN (TE GLOWPACT VD26 BR20) (F8633100) HĐ số 12344</t>
  </si>
  <si>
    <t>100112437</t>
  </si>
  <si>
    <t>Phí dịch vụ ngân hàng HĐ số 7358930</t>
  </si>
  <si>
    <t>Phí dịch vụ tư vấn tháng 02/2026 HĐ số 69</t>
  </si>
  <si>
    <t>303217354</t>
  </si>
  <si>
    <t>315847456</t>
  </si>
  <si>
    <t>315587494</t>
  </si>
  <si>
    <t>Dịch vụ quảng cáo và truyền thông theo Hợp đồng số 05012026/BH-HDO ký ngày 05/01/2026 (Đợt 1) HĐ số 1</t>
  </si>
  <si>
    <t>313248400</t>
  </si>
  <si>
    <t>Dịch vụ quảng cáo và truyền thông theo Hợp đồng số HDDVQC/20251201/MANNY&amp;BEDANG ký ngày 01/12/2025 và Biên bản nghiệm thu kèm thanh lý ký ngày 13/01/2026 HĐ số 2</t>
  </si>
  <si>
    <t>Thanh toán 100% phí dịch vụ OAP - Glyco Repush PO4001538152 - Video - Scope 3 - 3001 SOW số 35375/2025/WPP-BTL-LO ID Tiktok: bedangbae HĐ số 3</t>
  </si>
  <si>
    <t>Thanh toán 100% phí dịch vụ OAP - Amino Micellar - Video - Scope 3 - 3001 SOW số 35721/2025/WPP-BTL-LO ID Tiktok: bedangbae HĐ số 6</t>
  </si>
  <si>
    <t>Thanh toán 100% phí dịch vụ MNY - BABY CUSHION - VIDEO - SCOPE 3 - 3001 SOW số 35446/2025/WPP-BTL-LO ID Tiktok: bedangbae HĐ số 5</t>
  </si>
  <si>
    <t>318288157</t>
  </si>
  <si>
    <t>Dịch vụ quảng cáo và truyền thông theo Hợp đồng số 281125/HĐDV/WONJIN/BEDANG ký ngày 28/11/2025 và Biên bản nghiệm thu ký ngày 20/01/2026 HĐ số 4</t>
  </si>
  <si>
    <t>Thanh toán 100% phí dịch vụ 3CE - KOC Hub Jan - Video - Scope 3 - 300126 SOW số 35242/2025/WPP-BTL-LO ID Tiktok: bedangbae HĐ số 7</t>
  </si>
  <si>
    <t>Dịch vụ quảng cáo và truyền thông theo Hợp đồng số 05012026/BH-HDO ký ngày 05/01/2026 (Đợt 2) HĐ số 8</t>
  </si>
  <si>
    <t>318520272</t>
  </si>
  <si>
    <t>Dịch vụ quảng cáo và truyền thông theo Hợp đồng số AR-BĐ-191125 ký ngày 28/11/2025 và Biên bản nghiệm thu ký ngày 04/02/2026 HĐ số 9</t>
  </si>
  <si>
    <t>318330264</t>
  </si>
  <si>
    <t>Dịch vụ quảng cáo và truyền thông theo Hợp đồng số 241225/HDDV/LAYSIAP3/ICON-HKDHAIDANGOFFICIAL ký ngày 24/12/2025 kèm Biên bản nghiệm thu và thanh lý ký ngày 09/02/2026 HĐ số 10</t>
  </si>
  <si>
    <t>Dịch vụ quảng cáo và truyền thông theo Hợp đồng số 090226/HĐDV/WONJIN/BEDANG ký ngày 09/02/2026 và Biên bản nghiệm thu ký ngày 13/02/2026 HĐ số 11</t>
  </si>
  <si>
    <t>Dịch vụ quảng cáo và truyền thông theo Hợp đồng số 01022026HDDVBEDANGDALBA ký ngày 01/02/2026 và Biên bản nghiệm thu ký ngày 02/03/2026 HĐ số 12</t>
  </si>
  <si>
    <t>Thanh toán 100% phí dịch vụ 3CE - KOC Hub Mar - Video - Scope 3 - 300326 SOW số 39402/2025/WPP-BTL-LO ID Tiktok: bedangbae HĐ số 13</t>
  </si>
  <si>
    <t>312089162</t>
  </si>
  <si>
    <t>Dịch vụ quảng cáo và truyền thông theo Hợp đồng số 13032026_HĐDV-HUNGTHINH-BEDANG ký ngày 13/03/2026 (Đợt 1) HĐ số 14</t>
  </si>
  <si>
    <t>108109926</t>
  </si>
  <si>
    <t>Phí dịch vụ quảng cáo theo Hợp đồng dịch vụ số MDA/20260304/2861 ngày 20/11/2025 và Biên bản nghiệm thu và thanh lý ngày 23/03/2026 HĐ số 15</t>
  </si>
  <si>
    <t>Thanh toán 100% phí dịch vụ LRP - UVAir KOL and Derm AWO - Video - Scope 1 - 1004 SOW số 45908/2025/WPP-BTL-LO ID Tiktok: bedangbae HĐ số 17</t>
  </si>
  <si>
    <t>Thanh toán 100% phí dịch vụ MNY - CLOUDTOPIA - Event - Scope 2 - 1004 SOW số 45840/2025/WPP-BTL-LO ID Tiktok: bedangbae HĐ số 16</t>
  </si>
  <si>
    <t>108771840</t>
  </si>
  <si>
    <t>Dịch vụ quảng cáo và truyền thông theo Hợp đồng số BETHESKIN_SKVSKVN_20260213_bedangbae ký ngày 13/02/2026 kèm Biên bản nghiệm thu ký ngày 31/03/2026 HĐ số 19</t>
  </si>
  <si>
    <t>Dịch vụ quảng cáo và truyền thông theo Hợp đồng số HKD THD_3BRO4_C-STORE LIVESTREAM_260133_001 ký ngày 06/03/2026 kèm Biên bản nghiệm thu và thanh lý ký ngày 31/03/2026 HĐ số 18</t>
  </si>
  <si>
    <t>Phí dịch vụ Affiliate 12/2025_17355060002 HĐ số 108325</t>
  </si>
  <si>
    <t>0108392659</t>
  </si>
  <si>
    <t>Phí dịch vụ tư vấn tháng 12/2025 HĐ số 12</t>
  </si>
  <si>
    <t>Phí dịch vụ tư vấn tháng 01/2026 HĐ số 49</t>
  </si>
  <si>
    <t>0102721191-068</t>
  </si>
  <si>
    <t>Buffet xèo xèo NL (S) Nước Coca Cola Mighty 650ml HĐ số 337280</t>
  </si>
  <si>
    <t>Phí dịch vụ tư vấn tháng 02/2026 HĐ số 78</t>
  </si>
  <si>
    <t>GIAY DE CAO HĐ số 10506</t>
  </si>
  <si>
    <t>Dịch vụ quảng cáo và truyền thông theo Hợp đồng số 15122025/HDDV/VANANH-IDAC ký ngày 15/12/2025 kèm Biên bản nghiệm thu và thanh lý ký ngày 05/01/2026 HĐ số 1</t>
  </si>
  <si>
    <t>0317328495</t>
  </si>
  <si>
    <t>Dịch vụ quảng cáo và truyền thông theo Hợp đồng số 121812/2025/HĐDV/XOM-DVA ký ngày 05/01/2026 và Biên bản nghiệm thu ký ngày 13/01/2026 HĐ số 2</t>
  </si>
  <si>
    <t>Dịch vụ quảng cáo và truyền thông theo Hợp đồng số T09MPD25HDDV-0050-2054 VANJINKA ký ngày 03/01/2026 và Biên bản nghiệm thu ký ngày 16/01/2026 HĐ số 3</t>
  </si>
  <si>
    <t>Dịch vụ quảng cáo và truyền thông theo Hợp đồng số 01012026HDDVDOANVANANHMANYO ký ngày 01/01/2026 và Biên bản nghiệm thu ký ngày 26/01/2026 HĐ số 4</t>
  </si>
  <si>
    <t>Dịch vụ quảng cáo theo Hợp đồng số 06.291225.02.MS-DVA ký ngày 29/12/2025 kèm Biên bản nghiệm thu và thanh lý Hợp đồng HĐ số 5</t>
  </si>
  <si>
    <t>Dịch vụ quảng cáo và truyền thông theo Hợp đồng số HKD DOANVANANH_3BRO1_UV COOLING - ON TOP [T1]_260002_011 ký ngày 15/01/2026 và Biên bản nghiệm thu ký ngày 04/02/2026 HĐ số 6</t>
  </si>
  <si>
    <t>Dịch vụ quảng cáo và truyền thông cho nhãn hàng BIODERMA theo Hợp đồng số 683001202601/HDDV/RV/KOL ký ngày 30/01/2026 kèm Biên bản nghiệm thu và thanh lý hợp đồng ký ngày 25/02/2026 HĐ số 7</t>
  </si>
  <si>
    <t>Dịch vụ quảng cáo và truyền thông theo Hợp đồng số HKD DVA_3BRO3_SIMPLE CORE_260103_004 ký ngày 24/02/2026 HĐ số 8</t>
  </si>
  <si>
    <t>0202170854</t>
  </si>
  <si>
    <t>Dịch vụ quảng cáo và truyền thông theo Hợp đồng số 20260226/XNKANHVIET x HKDDOANVANANH ký ngày 26/02/2026 HĐ số 10</t>
  </si>
  <si>
    <t>Dịch vụ quảng cáo và truyền thông theo Hợp đồng số 02032026/HDDV/UPBASE-NUCOS-VANJINKA/2026 ký ngày 02/03/2026 HĐ số 9</t>
  </si>
  <si>
    <t>Dịch vụ quảng cáo và truyền thông theo Hợp đồng số T06MPD26HDDV-0102-2054 VANJINKA ký ngày 02/03/2026 và Biên bản nghiệm thu ký ngày 16/03/2026 HĐ số 13</t>
  </si>
  <si>
    <t>Dịch vụ quảng cáo và truyền thông theo Hợp đồng số BK372/HKD_DVA/T5A/LIXIBOX ký ngày 02/01/2026 kèm Biên bản nghiệm thu và thanh lý ký ngày 16/03/2026 HĐ số 12</t>
  </si>
  <si>
    <t>Dịch vụ quảng cáo và truyền thông theo Hợp đồng số số T03MPD26HDDV-0140-2054 VANJINKA ký ngày 05/03/2026 và Biên bản nghiệm thu ký ngày 16/03/2026 HĐ số 11</t>
  </si>
  <si>
    <t>Dịch vụ quảng cáo và truyền thông theo Hợp đồng số 01032026HDDVDOANVANANHCELIMAX ký ngày 01/03/2026 và Biên bản nghiệm thu ký ngày 24/03/2026 HĐ số 14</t>
  </si>
  <si>
    <t>Phí dịch vụ tư vấn tháng 12/2025 HĐ số 11</t>
  </si>
  <si>
    <t>Phí dịch vụ tư vấn tháng 01/2026 HĐ số 52</t>
  </si>
  <si>
    <t>Phí dịch vụ tư vấn tháng 02/2026 HĐ số 89</t>
  </si>
  <si>
    <t>Dịch vụ quảng cáo và truyền thông theo Hợp đồng số 0801/2026 ký ngày 08/01/2026 HĐ số 2</t>
  </si>
  <si>
    <t>Dịch vụ quảng cáo và truyền thông theo Hợp đồng số 21/01/2026/HDDV/ZAKKA- THÚY NGA REVIEW ký ngày 21/01/2026 kèm Biên bản nghiệm thu và thanh lý hợp đồng ký ngày 26/01/2026 HĐ số 3</t>
  </si>
  <si>
    <t>0316680224</t>
  </si>
  <si>
    <t>Dịch vụ quảng cáo và truyền thông theo Hợp đồng số 001/1401/2026/HĐDV/LM-TH/LM-DKSH ký ngày 14/01/2026 và Biên bản nghiệm thu ký ngày 29/01/2026 HĐ số 4</t>
  </si>
  <si>
    <t>Dịch vụ quảng cáo và truyền thông theo Hợp đồng số 74b/HĐDV/DE-2026/01 ký ngày 05/01/2026 HĐ số 6</t>
  </si>
  <si>
    <t>Dịch vụ quảng cáo và truyền thông theo Hợp đồng số 290126/HĐDV/PJSB ký ngày 29/01/2026 và Biên bản nghiệm thu ký ngày 06/02/2026 HĐ số 7</t>
  </si>
  <si>
    <t>Dịch vụ quảng cáo và truyền thông theo Hợp đồng số 20260309/HĐDV/MDPEEL12/SANAxNganee. ký ngày 04/03/2026 HĐ số 8</t>
  </si>
  <si>
    <t>Dịch vụ quảng cáo và truyền thông theo Hợp đồng số 1803/HDDV/VINBEAUTY-HKD THUYNGA ký ngày 18/03/2026 HĐ số 10</t>
  </si>
  <si>
    <t>0317535156</t>
  </si>
  <si>
    <t>Dịch vụ quảng cáo và truyền thông theo Hợp đồng số 67/2026/HĐDV-TNO ký ngày 02/03/2026 và Biên bản nghiệm thu ký ngày 18/03/2026 HĐ số 9</t>
  </si>
  <si>
    <t>Dịch vụ quảng cáo và truyền thông theo Hợp đồng số 031-2026/HĐDV-EL ký ngày 19/03/2026 và Biên bản nghiệm thu ký ngày 31/03/2026 HĐ số 11</t>
  </si>
  <si>
    <t>0313612829</t>
  </si>
  <si>
    <t>Thịt bò ướp vị hoa quả Trà Kombucha Azaana Vị Mơ Má Đào 330Ml Coca Cola Lon 320ml Combo lẩu tiểu phát Phí dịch vụ 10% Nấm tiên Mỳ tôm HĐ số 7920</t>
  </si>
  <si>
    <t>Cước phí vận chuyển mã A-8QWPT9IGW6V4AV Phí dịch vụ mã A-8QWPT9IGW6V4AV HĐ số 2594</t>
  </si>
  <si>
    <t>Cước phí vận chuyển mã A-8Q4EESCWXCKKAV Phí dịch vụ mã A-8Q4EESCWXCKKAV HĐ số 4971</t>
  </si>
  <si>
    <t>Cước phí vận chuyển mã A-8Q3R4UBWWFBXAV Phí dịch vụ mã A-8Q3R4UBWWFBXAV HĐ số 4389</t>
  </si>
  <si>
    <t>Cước phí vận chuyển mã A-8Q965NCGX79EAV Phí dịch vụ mã A-8Q965NCGX79EAV HĐ số 6927</t>
  </si>
  <si>
    <t>Cước phí vận chuyển mã A-8QHWPIOWWAI8AV Phí dịch vụ mã A-8QHWPIOWWAI8AV HĐ số 10357</t>
  </si>
  <si>
    <t>Cước phí vận chuyển mã A-8QGO6SGW3WQOAV Phí dịch vụ mã A-8QGO6SGW3WQOAV HĐ số 9915</t>
  </si>
  <si>
    <t>Cước phí vận chuyển mã A-8QGSOGAW2TABAV Phí dịch vụ mã A-8QGSOGAW2TABAV HĐ số 9900</t>
  </si>
  <si>
    <t>Phí dịch vụ tư vấn tháng 12/2025 HĐ số 15</t>
  </si>
  <si>
    <t>Cước phí vận chuyển mã A-8QLBMCUWX6OJAV Phí dịch vụ mã A-8QLBMCUWX6OJAV HĐ số 11813</t>
  </si>
  <si>
    <t>Cước phí vận chuyển mã A-8QKC6MLWWPLUAV Phí dịch vụ mã A-8QKC6MLWWPLUAV HĐ số 11390</t>
  </si>
  <si>
    <t>Cước phí vận chuyển mã A-8QP9AXKWX869AV Phí dịch vụ mã A-8QP9AXKWX869AV HĐ số 13964</t>
  </si>
  <si>
    <t>Cước phí vận chuyển mã A-8QT9TW7GWE5RAV Phí dịch vụ mã A-8QT9TW7GWE5RAV HĐ số 16643</t>
  </si>
  <si>
    <t>Cước phí vận chuyển mã A-8QSVJSNGWMLVAV Phí dịch vụ mã A-8QSVJSNGWMLVAV HĐ số 16192</t>
  </si>
  <si>
    <t>Cước phí vận chuyển mã A-8RWUNIOGW4VMAV Phí dịch vụ mã A-8RWUNIOGW4VMAV HĐ số 18957</t>
  </si>
  <si>
    <t>CƠM CHIÊN CÀ RI SALAD NHIỆT ĐỚI SÚP CÀ CHUA GYOZA TOMYUM NẤM ĐÙI GÀ ÁP CHẢO TEMPURA CÀ CHUA BI NƯỚNG HĐ số 41</t>
  </si>
  <si>
    <t>Nước Ngọt Pepsi Nước Lọc Aquafina Bí Ngòi Ba Chỉ Bò Mỹ Hàu Hấp Gừng Cồi Sò Điệp Xốt XO Mực Ống Hấp Thái Cá Chép Giòn Hấp Gừng HĐ số 943</t>
  </si>
  <si>
    <t>Cước phí vận chuyển mã A-8RDU63VWWWOGAV Phí dịch vụ mã A-8RDU63VWWWOGAV HĐ số 28776</t>
  </si>
  <si>
    <t>Cước phí vận chuyển mã A-8RCVHTIGWAFSAV Phí dịch vụ mã A-8RCVHTIGWAFSAV HĐ số 27944</t>
  </si>
  <si>
    <t>Trà sen mật ong Cánh gà chiên mắm Cơm trắng HĐ số 160838</t>
  </si>
  <si>
    <t>Cước phí vận chuyển mã A-8ROUM38W2JIWAV Order IN-2-00CM08S7NPH7FBC8MZC4 Phí dịch vụ mã A-8ROUM38W2JIWAV Order IN-2-00CM08S7NPH7FBC8MZC4 HĐ số 17812</t>
  </si>
  <si>
    <t>Cước phí vận chuyển mã A-8RPMAFIGWD9IAV Phí dịch vụ mã A-8RPMAFIGWD9IAV HĐ số 36454</t>
  </si>
  <si>
    <t>Cước phí vận tải chuyến 1282777767 Phí sử dụng ứng dụng Be HĐ số 3925594</t>
  </si>
  <si>
    <t>Bánh Pizza gà phô mai Bánh Pizza hải sản nhiệt đới Pizza Gấp Đôi Nhân Phủ Hải Sản Pesto Truyền Thống HĐ số 32424</t>
  </si>
  <si>
    <t>082066030294</t>
  </si>
  <si>
    <t>Cước phí vận chuyển mã A-8S97OHAGX7P7AV Phí dịch vụ mã A-8S97OHAGX7P7AV HĐ số 49570</t>
  </si>
  <si>
    <t>0318743945</t>
  </si>
  <si>
    <t>찹쌀탕수육 미니- Thịt Heo Chiên Xù Mini 스페셜짬뽕 - Mỳ Champong Hải Sản HĐ số 428</t>
  </si>
  <si>
    <t>Cước phí vận chuyển mã A-8SI7WJBGW86SAV Phí dịch vụ mã A-8SI7WJBGW86SAV HĐ số 55937</t>
  </si>
  <si>
    <t>Cước phí vận tải chuyến 1286655608 Phí sử dụng ứng dụng Be HĐ số 2280870</t>
  </si>
  <si>
    <t>Nước hoa quả nhiệt đới Mỳ tôm Màn Thầu Chiên Nấm tiên Combo lẩu tiểu phát Paste tôm HĐ số 246448</t>
  </si>
  <si>
    <t>Cước phí vận tải chuyến 1292770958 Phí sử dụng ứng dụng Be HĐ số 2999961</t>
  </si>
  <si>
    <t>Cước phí vận chuyển mã A-8TSA3LVWXEJSAV Phí dịch vụ mã A-8TSA3LVWXEJSAV HĐ số 87262</t>
  </si>
  <si>
    <t>Cước phí vận tải chuyến 1294991948 Phí sử dụng ứng dụng Be HĐ số 3294521</t>
  </si>
  <si>
    <t>Cước phí vận chuyển mã A-8TNP3CHGWC4RAV Phí dịch vụ mã A-8TNP3CHGWC4RAV HĐ số 90753</t>
  </si>
  <si>
    <t>Cước phí vận chuyển mã A-8U3Q8VTGXE99AV Phí dịch vụ mã A-8U3Q8VTGXE99AV HĐ số 96750</t>
  </si>
  <si>
    <t>Combo lẩu tiểu phát Paste tôm Nước hoa quả nhiệt đới Đậu hũ pho mai Mỳ tôm Nấm tiên Khăn giấy màng bạc Golden Gate 2025 HĐ số 358954</t>
  </si>
  <si>
    <t>Cước phí vận chuyển mã A-8U7C9OEGWBH9AV Phí dịch vụ mã A-8U7C9OEGWBH9AV HĐ số 99848</t>
  </si>
  <si>
    <t>Cước phí vận chuyển mã A-8UC9T4TGW6KCAV Phí dịch vụ mã A-8UC9T4TGW6KCAV HĐ số 105012</t>
  </si>
  <si>
    <t>Phí dịch vụ tư vấn tháng 01/2026 HĐ số 48</t>
  </si>
  <si>
    <t>Cước phí vận chuyển mã A-8UFJ9XIWW6C9AV Phí dịch vụ mã A-8UFJ9XIWW6C9AV HĐ số 108184</t>
  </si>
  <si>
    <t>Cước phí vận chuyển mã A-8VX9HQDGWA9EAV Phí dịch vụ mã A-8VX9HQDGWA9EAV HĐ số 132410</t>
  </si>
  <si>
    <t>Cước phí vận chuyển mã A-8VWXBOIWWD7FAV Phí dịch vụ mã A-8VWXBOIWWD7FAV HĐ số 130769</t>
  </si>
  <si>
    <t>Cước phí vận tải chuyến 1306391429 Phí sử dụng ứng dụng Be HĐ số 4404083</t>
  </si>
  <si>
    <t>Cước phí vận chuyển mã A-8V5U76CGXCCJAV Phí dịch vụ mã A-8V5U76CGXCCJAV HĐ số 135716</t>
  </si>
  <si>
    <t>0317551768</t>
  </si>
  <si>
    <t>Hộp Quà Vip Bát Mã - Chai Rượu Vang Đỏ HĐ số 3837</t>
  </si>
  <si>
    <t>Hộp Quà VIP Bát Mã Vang Đỏ - Flash sale Ổi Ruby Tiền Giang Hạt Điều Thảo Mộc Bò Củ Chi Mộc Vị Gà Sấy Lá Chanh Hồng Trà Cam Quế Củ Sen Bơ Tỏi HĐ số 3836</t>
  </si>
  <si>
    <t>0110489312</t>
  </si>
  <si>
    <t>Tròng kính CHEMI 1.74 ASP PERFECT UV CRYSTAL U6 COATED Tròng kính CHEMI 1.74 ASP PERFECT UV CRYSTAL U6 COATED Gọng kính thời trang, mã hàng: AN8069(6228) HĐ số 43146</t>
  </si>
  <si>
    <t>0316465026</t>
  </si>
  <si>
    <t>Thịt dẻ sườn Thịt ba chỉ bò Canh thịt bò hầm cay Trứng hấp HĐ số 224</t>
  </si>
  <si>
    <t>Cánh gà chiên mắm Canh Chua Cá Hú Cơm trắng Bình trà đá Khăn giấy màng bạc Golden Gate 2025 HĐ số 494109</t>
  </si>
  <si>
    <t>Cước phí vận chuyển mã A-8VP9XUHWXWODAV Phí dịch vụ mã A-8VP9XUHWXWODAV HĐ số 152031</t>
  </si>
  <si>
    <t>Cước phí vận chuyển mã A-8VOIEOGWWF5SAV Phí dịch vụ mã A-8VOIEOGWWF5SAV HĐ số 151461</t>
  </si>
  <si>
    <t>Cước phí vận chuyển mã A-8VSQ4DTWWKADAV Phí dịch vụ mã A-8VSQ4DTWWKADAV HĐ số 153561</t>
  </si>
  <si>
    <t>Cước phí vận chuyển mã A-9WX8G8FWXCUEAV Phí dịch vụ mã A-9WX8G8FWXCUEAV HĐ số 154830</t>
  </si>
  <si>
    <t>5801557698</t>
  </si>
  <si>
    <t>Lẩu cá tầm - 350K 385k - Mẹt Gà Tây Bắc Nộm bò ba miền 7up suối Rượu Mơ Tây Bắc Sting Pepsi bún Gà Nướng Tiêu Xanh Phụ Thu tết thuế suất 8% Phụ Thu tết thuế suất 10% HĐ số 1968</t>
  </si>
  <si>
    <t>Cước phí vận tải chuyến 1318440823 Phí sử dụng ứng dụng Be HĐ số 12297530</t>
  </si>
  <si>
    <t>0102182292</t>
  </si>
  <si>
    <t>Sydney-TP Hồ Chí Minh-Sydney Sydney-TP Hồ Chí Minh-Sydney Phí dịch vụ vé máy bay HĐ số 10191</t>
  </si>
  <si>
    <t>Cước phí vận tải chuyến 1320937563 Phí sử dụng ứng dụng Be HĐ số 5794263</t>
  </si>
  <si>
    <t>CÁNH GÀ CHIÊN NƯỚC MẮM CANH TOMYUM HẢI SẢN CƠM CHIÊN TRÁI THƠM GỎI CÁ HỒI KHĂN ƯỚT TÔM TÊ TÁI TRÀ ATISO TRÀ CHANH THÁI CHADA TRÀ ĐÀO TRÀ SỮA THÁI ĐỎ XÔI XOÀI HĐ số 340</t>
  </si>
  <si>
    <t>Nấm nhung hươu Há cảo se điếu Nấm tiên Mỳ Trùng Khánh Combo lẩu tiểu phát Khăn giấy màng bạc Golden Gate 2025 HĐ số 771866</t>
  </si>
  <si>
    <t>AO JACKET CHONG GI HĐ số 82074</t>
  </si>
  <si>
    <t>Dịch vụ ăn uống theo bill số 334882 - 07/03/2026 (Chay) Phô Mai Burrata với trái cây nhiệt đới (75g) Mì Ý bò bằm và phô mai hun khói nhà làm HĐ số 13465</t>
  </si>
  <si>
    <t>0313067309</t>
  </si>
  <si>
    <t>Phí dịch vụ tư vấn tháng 02/2026 HĐ số 85</t>
  </si>
  <si>
    <t>CÁNH GÀ CHIÊN NƯỚC MẮM CANH TOMYUM HẢI SẢN CƠM CHIÊN TRÁI THƠM TRÀ ATISO TRÀ CHANH THÁI CHADA HĐ số 398</t>
  </si>
  <si>
    <t>Bình trà đá BV Buffet xèo xèo NL (C) Vé Buffet Panchan Khăn giấy màng bạc Gogi HĐ số 867820</t>
  </si>
  <si>
    <t>Cước phí vận tải chuyến 1343476268 Phí sử dụng ứng dụng Be HĐ số 8440630</t>
  </si>
  <si>
    <t>0313726209</t>
  </si>
  <si>
    <t>Nước Soda Chanh Yuzu Gía trên đã được chiết khấu 5% HĐ số 10504</t>
  </si>
  <si>
    <t>Cước phí vận tải chuyến 1345759116 Phí sử dụng ứng dụng Be HĐ số 8721404</t>
  </si>
  <si>
    <t>Dịch vụ quảng cáo và truyền thông theo Hợp đồng số 583KOC/12.25/HĐDV ký ngày 01/12/2025 kèm Biên bản nghiệm thu và thanh lý ký ngày 09/01/2026 HĐ số 1</t>
  </si>
  <si>
    <t>Thanh toán 100% phí dịch vụ 3CE - KOC Hub Jan - Video - Scope 3 - 300126 SOW số 35155/2025/WPP-BTL-LO ID Tiktok: chouchinchan HĐ số 2</t>
  </si>
  <si>
    <t>Phí sử dụng hình ảnh theo Hợp đồng số 23012026/HDDV/UPBASE-MISSSAIGON-CHOUCHINCHAN ký ngày 23/01/2026 HĐ số 3</t>
  </si>
  <si>
    <t>Dịch vụ quảng cáo và truyền thông theo Hợp đồng số I05606H_HDDV/HIIP-2026 ký ngày 09/01/2026 và Biên bản nghiệm thu ký ngày 30/01/2026 HĐ số 6</t>
  </si>
  <si>
    <t>0318874803</t>
  </si>
  <si>
    <t>Dịch vụ quảng cáo và truyền thông theo Phụ lục 01 ký ngày 23/01/2026 của Hợp đồng số 23122025/THIENKIMMINHCHAU/HDDV/NETWORK-KD ký ngày 23/12/2025 HĐ số 5</t>
  </si>
  <si>
    <t>Thanh toán phí dịch vụ theo Hợp đồng số HD01012026/DRG_ASIACONSULTING_CHOUCHINCHAN ký ngày 01/01/2026 kèm Biên bản nghiệm thu và thanh lý ký ngày 30/01/2026 HĐ số 4</t>
  </si>
  <si>
    <t>Dịch vụ quảng cáo và truyền thông theo Hợp đồng số 2412/2025/HDDV-GSLAY.MINHCHAU ký ngày 24/12/2025 kèm Biên bản nghiệm thu và thanh lý ký ngày 02/02/2026 HĐ số 7</t>
  </si>
  <si>
    <t>Dịch vụ quảng cáo và truyền thông theo Hợp đồng số 0501.2026/HDDV/UPBASE-L.ASY-chouchinchan ký ngày 05/01/2026 và Biên bản nghiệm thu ký ngày 03/02/2026 HĐ số 8</t>
  </si>
  <si>
    <t>Dịch vụ quảng cáo và truyền thông theo Hợp đồng số 1001/2026/HDDV-LEMONADE.MINHCHAU ký ngày 10/01/2026 kèm Biên bản nghiệm thu và thanh lý ký ngày 09/02/2026 HĐ số 10</t>
  </si>
  <si>
    <t>Dịch vụ quảng cáo và truyền thông theo Hợp đồng số 2801/2026/HDDV/CL/DM&amp;C-HKDTKMC ký ngày 28/01/2026 HĐ số 9</t>
  </si>
  <si>
    <t>Dịch vụ quảng cáo và truyền thông theo Hợp đồng số 414/2026/HDDV/SPV - kolchouluoimakeup ký ngày 02/01/2026 và Biên bản nghiệm thu ký ngày 10/02/2026 HĐ số 12</t>
  </si>
  <si>
    <t>0318350817</t>
  </si>
  <si>
    <t>Dịch vụ quảng cáo và truyền thông theo Hợp đồng số 2012/2025/HDDV-MISTINE.MINHCHAU ký ngày 20/12/2025 và Biên bản nghiệm thu ký ngày 10/02/2026 HĐ số 11</t>
  </si>
  <si>
    <t>Thanh toán 100% phí dịch vụ SHU - SPRINGFUL BEATS - Jan 2026 - SCOPE 2 - 1003 SOW số 36752/2025/WPP-BTL-LO ID Tiktok: chouchinchan HĐ số 13</t>
  </si>
  <si>
    <t>Thanh toán 100 phí dịch vụ OAP - Infallible Cushion - Video - Scope 3 - 1002 SOW số 36538/2025/WPP-BTL-LO ID Tiktok: chouchinchan HĐ số 14</t>
  </si>
  <si>
    <t>Phí dịch vụ sử dụng hình ảnh theo Hợp đồng số 1802/2026/HDDV-MISTINE.MINHCHAU ký ngày 18/02/2026 HĐ số 15</t>
  </si>
  <si>
    <t>Dịch vụ quảng cáo và truyền thông theo Hợp đồng số 0203/2026/HDDV/BR/DM&amp;C-HKDTKMC ký ngày 02/03/2026 HĐ số 16</t>
  </si>
  <si>
    <t>Thanh toán 100% phí dịch vụ 3CE - KOC Hub Mar - Video - Scope 3 - 300326 SOW số 39407/2025/WPP-BTL-LO ID Tiktok: chouchinchan HĐ số 17</t>
  </si>
  <si>
    <t>Dịch vụ quảng cáo và truyền thông theo Biên bản nghiệm thu Phụ lục 01 ký ngày 27/03/2026 của Hợp đồng nguyên tắc số 01032026/JOYGROUP/HĐNT/HKDTHIENKIMMINHCHAU/DCV ký ngày 01/03/2026 HĐ số 18</t>
  </si>
  <si>
    <t>0100150619-207</t>
  </si>
  <si>
    <t>Dịch vụ ngân hàng HĐ số 153</t>
  </si>
  <si>
    <t>Dịch vụ ngân hàng HĐ số 271</t>
  </si>
  <si>
    <t>0100150619-124</t>
  </si>
  <si>
    <t>Dịch vụ ngân hàng HĐ số 1320</t>
  </si>
  <si>
    <t>Dịch vụ ngân hàng HĐ số 2169</t>
  </si>
  <si>
    <t>0316864750</t>
  </si>
  <si>
    <t>dich vu quang cao livestream HĐ số 16</t>
  </si>
  <si>
    <t>Dịch vụ ngân hàng HĐ số 6414</t>
  </si>
  <si>
    <t>Dịch vụ quảng cáo và truyền thông theo Hợp đồng số HDDV/OLAYSDHAxVĐxVUDUYOFFICIAL/191225 ký ngày 19/12/2025 và Biên bản nghiệm thu ký ngày 07/01/2026 HĐ số 1</t>
  </si>
  <si>
    <t>0317189107</t>
  </si>
  <si>
    <t>Dịch vụ quảng cáo và truyền thông theo Hợp đồng số 202512/JBP/BLO-VUDUY ký ngày 27/11/2025 (Đợt 1) HĐ số 3</t>
  </si>
  <si>
    <t>0318745727</t>
  </si>
  <si>
    <t>Dịch vụ quảng cáo và truyền thông theo Hợp đồng số 20251215/AMORTALS x CALLMEDUY ký ngày 15/12/2025 HĐ số 2</t>
  </si>
  <si>
    <t>Dịch vụ quảng cáo và truyền thông theo Hợp đồng số 202511/JBP/GSCHANDO ký ngày 31/10/2025 (Đợt 2) và Biên bản nghiệm thu ký ngày 20/01/2026 HĐ số 4</t>
  </si>
  <si>
    <t>Hoa hồng tiếp thị liên kết theo Hợp đồng dịch vụ số SSPb/01122025/HDDV/MDA-HKDVD ngày 01/12/2025 kèm Biên bản nghiệm thu và thanh lý ngày 29/01/2026 HĐ số 5</t>
  </si>
  <si>
    <t>Dịch vụ quảng cáo và truyền thông theo Hợp đồng số 102025/PHAITRA/BLIVEE-CMD-VIORA ký ngày 01/12/2025 và Biên bản nghiệm thu ký ngày 31/01/2026 HĐ số 9</t>
  </si>
  <si>
    <t>Dịch vụ quảng cáo và truyền thông theo Hợp đồng số 112025/PHAITRA/BLIVEE-CMD-ETE ký ngày 24/11/2025 và Biên bản nghiệm thu ký ngày 31/01/2026 HĐ số 8</t>
  </si>
  <si>
    <t>Dịch vụ quảng cáo và truyền thông theo Hợp đồng số 122025/PHAITRA/BLIVEE-CMD-VPO ký ngày 01/12/2025 và Biên bản nghiệm thu ký ngày 31/01/2026 HĐ số 7</t>
  </si>
  <si>
    <t>Dịch vụ quảng cáo và truyền thông theo Hợp đồng số 112025/PHAITRA/BLIVEE-CMD-AT ký ngày 11/11/2025 và Biên bản nghiệm thu ký ngày 31/01/2026 HĐ số 6</t>
  </si>
  <si>
    <t>0318808247</t>
  </si>
  <si>
    <t>Dịch vụ quảng cáo và truyền thông theo Hợp đồng số 20260112/BAHTHAIxCALLMEDUY ký ngày 12/01/2026 (Đợt 1) HĐ số 11</t>
  </si>
  <si>
    <t>0318930568</t>
  </si>
  <si>
    <t>Dịch vụ quảng cáo và truyền thông theo Hợp đồng số 20260126/HDDV/NINA-CallmeDuy ký ngày 26/01/2026 (Đợt 1) HĐ số 10</t>
  </si>
  <si>
    <t>0313492494</t>
  </si>
  <si>
    <t>Dịch vụ quảng cáo và truyền thông theo Hợp đồng số 20260122/UNICORNxCALLMEDUY ký ngày 22/01/2026 và Biên bản nghiệm thu ký ngày 05/02/2026 HĐ số 12</t>
  </si>
  <si>
    <t>Hoa hồng tiếp thị liên kết theo Hợp đồng dịch vụ số SSPb/01012026/HDDV/MDA-HKDVD ngày 01/01/2026 kèm Biên bản nghiệm thu và thanh lý ngày 03/03/2026 HĐ số 14</t>
  </si>
  <si>
    <t>0318407573</t>
  </si>
  <si>
    <t>Dịch vụ quảng cáo và truyền thông theo Hợp đồng số VN2026/PR/CALLMEDUY/19122025/HDDVQC ký ngày 14/12/2025 HĐ số 13</t>
  </si>
  <si>
    <t>Dịch vụ quảng cáo và truyền thông theo Hợp đồng số 20251222/COLORKEYxCALLMEDUY ký ngày 22/12/2025 và Biên bản nghiệm thu ký ngày 12/03/2026 HĐ số 15</t>
  </si>
  <si>
    <t>Điều chỉnh giảm mặt hàng Dịch vụ quảng cáo và truyền thông theo Hợp đồng số 20260126/HDDV/NINA-CallmeDuy ký ngày 26/01/2026 (Đợt 1) HĐ số 16</t>
  </si>
  <si>
    <t>Dịch vụ quảng cáo và truyền thông theo Hợp đồng số 20260112/BAHTHAIxCALLMEDUY ký ngày 12/01/2026 (Đợt 2) kèm Biên bản nghiệm thu ký ngày 18/03/2026 HĐ số 18</t>
  </si>
  <si>
    <t>Hoa hồng tiếp thị liên kết theo Hợp đồng dịch vụ số SSPb/01022026/HDDV/MDA-HKDVD ngày 01/02/2026 kèm Biên bản nghiệm thu và thanh lý ngày 18/03/2026 HĐ số 17</t>
  </si>
  <si>
    <t>Phí dịch vụ tư vấn tháng 11/2025 HĐ số 4</t>
  </si>
  <si>
    <t>Phí dịch vụ tư vấn tháng 01/2026 HĐ số 38</t>
  </si>
  <si>
    <t>Phí dịch vụ tư vấn tháng 01/2026 HĐ số 79</t>
  </si>
  <si>
    <t>Dịch vụ quảng cáo và truyền thông theo Hợp đồng số HKDANVY/20251201 ký ngày 29/11/2025 (Đợt 2) kèm Biên bản nghiệm thu ký ngày 13/01/2026 HĐ số 1</t>
  </si>
  <si>
    <t>2301215429</t>
  </si>
  <si>
    <t>Dịch vụ quảng cáo và truyền thông theo Hợp đồng số 0901/2026/HDDV-MKT-GS ký ngày 09/01/2026 HĐ số 3</t>
  </si>
  <si>
    <t>3301726619</t>
  </si>
  <si>
    <t>Dịch vụ quảng cáo và truyền thông theo Hợp đồng số 01/HĐDV/LU-AnVy ký ngày 10/02/2026 (Đợt 1) HĐ số 4</t>
  </si>
  <si>
    <t>Dịch vụ quảng cáo và truyền thông theo Hợp đồng số HDDV – MKT – 02-004 ký ngày 24/02/2026 HĐ số 6</t>
  </si>
  <si>
    <t>Dịch vụ quảng cáo và truyền thông theo Hợp đồng số 01/HĐDV/LU-AnVy ký ngày 10/02/2026 (Đợt 2) kèm Biên bản nghiệm thu và thanh lý ký ngày 09/03/2026 HĐ số 7</t>
  </si>
  <si>
    <t>Dịch vụ quảng cáo và truyền thông theo Hợp đồng số 01/0303/HDDV/TTP-NX ký ngày 04/03/2026 HĐ số 8</t>
  </si>
  <si>
    <t>Dịch vụ quảng cáo và truyền thông theo Hợp đồng số 20260225/HKDANVYxCHIKARA ký ngày 25/02/2026 và Biên bản nghiệm thu ký ngày 18/03/2026 HĐ số 9</t>
  </si>
  <si>
    <t>Dịch vụ quảng cáo và truyền thông theo Hợp đồng số 07032026/HĐDV-ZEE-NTFGROWPLUS+SDD-NHACUAANVY ký ngày 07/03/2026 (Đợt 1) HĐ số 10</t>
  </si>
  <si>
    <t>Dịch vụ quảng cáo và truyền thông theo Hợp đồng số 20260318/HKDANVY x TALADTHAI ký ngày 18/03/2026 và Biên bản nghiệm thu ký ngày 24/03/2026 HĐ số 11</t>
  </si>
  <si>
    <t>Phí dịch vụ Affiliate 12/2025_17362030002 HĐ số 67569</t>
  </si>
  <si>
    <t>Phí dịch vụ tư vấn tháng 12/2025 HĐ số 30</t>
  </si>
  <si>
    <t>Phí dịch vụ tư vấn tháng 12/2025 HĐ số 28</t>
  </si>
  <si>
    <t>Thanh toan lai HĐ số 1489942</t>
  </si>
  <si>
    <t>M QUẦN SHORT ÁO KHOÁC LEN M ÁO KHOÁC HĐ số 10809</t>
  </si>
  <si>
    <t>Phí dịch vụ tư vấn tháng 01/2026 HĐ số 37</t>
  </si>
  <si>
    <t>Phí dịch vụ Affiliate 01/2026_17362030002 (Affiliate Service fee 01/2026_17362030002) HĐ số 871868</t>
  </si>
  <si>
    <t>Combo Giấy ăn đa sắc TopGia loại 4 lớp,140x175, gói rút, 240 tờ/gói, 10 gói/thùng kèm   Giấy ăn đa sắc TopGia loại 4 lớp,140x175, gói rút, 240 tờ/gói, 20 gói/thùng HĐ số 549137</t>
  </si>
  <si>
    <t>0317390503</t>
  </si>
  <si>
    <t>Mlekovita Sữa tiệt trùng nguyên kem (3.5% béo) 1L Yến mạch nguyên hạt Just Oats (cán dày) 64g HĐ số 1431</t>
  </si>
  <si>
    <t>0310618188</t>
  </si>
  <si>
    <t>KAI DAO CAO BIKINI 3C MEE BATH BONG TAM MOUSE 50G NIVEA SDT DG AM CHUYEN SAU 550ML HĐ số 185851</t>
  </si>
  <si>
    <t>0317700184</t>
  </si>
  <si>
    <t>Combo Giấy ăn đa sắc TopGia loại 4 lớp,140x175, gói rút, 240 tờ/gói, 10 gói/thùng kèm   Giấy ăn đa sắc TopGia loại 4 lớp,140x175, gói rút, 240 tờ/gói, 20 gói/thùng HĐ số 744939</t>
  </si>
  <si>
    <t>Phí dịch vụ Affiliate 02/2026_17362030002 (Affiliate Service fee 02/2026_17362030002) HĐ số 1703101</t>
  </si>
  <si>
    <t>0317110435</t>
  </si>
  <si>
    <t>Cơm canh thịt bò 설렁탕 HĐ số 4058</t>
  </si>
  <si>
    <t>0316994196</t>
  </si>
  <si>
    <t>Món EVIAN STILL 750ML Món LOCAL FRUIT SALAD Món PORK JOWL RISOTTO Món CRAB MEAT PASTA HĐ số 1116</t>
  </si>
  <si>
    <t>Phí dịch vụ tư vấn tháng 02/2026 HĐ số 87</t>
  </si>
  <si>
    <t>한국쌀밥/Cơm trắng 돼지김치찌개/Canh kimchi thịt heo 특항정살/Thịt nọng heo đặc biệt 특목살/Thịt cổ 물냉면/Mì lạnh HĐ số 3294</t>
  </si>
  <si>
    <t>0316729247</t>
  </si>
  <si>
    <t>Món  BÁNH MÌ KIỂU PHÁP KÈM TRÁI CÂY  Món  TRÀ THANH YÊN  Món  SINH TỐ CHUỐI XOÀI  HĐ số 8163</t>
  </si>
  <si>
    <t>0313604602</t>
  </si>
  <si>
    <t>Giấy nhiệt K80x42mm HĐ số 15032</t>
  </si>
  <si>
    <t>Cơm canh thịt Bò Cơm canh thịt Bò cay HĐ số 5231</t>
  </si>
  <si>
    <t>Dịch vụ quảng cáo và truyền thông theo Hợp đồng số 15-Cty-KOL/KOC/CBVN2025 ký ngày 10/12/2025 kèm Biên bản nghiệm thu và thanh lý ký ngày 05/01/2026 HĐ số 1</t>
  </si>
  <si>
    <t>Cung cấp 100% dịch vụ dự án Listerine H2 tháng 11 theo Biên bản nghiệm thu và thanh lý ký ngày 13/01/2026 và Hợp đồng số HĐ/3486/2025/METUB ký ngày 14/11/2025 HĐ số 2</t>
  </si>
  <si>
    <t>Dịch vụ quảng cáo và truyền thông theo Hợp đồng số 20260101/HĐDV/HOKINHDOANHVANPHAM ký ngày 01/01/2026 và Biên bản nghiệm thu ký ngày 19/01/2026 HĐ số 5</t>
  </si>
  <si>
    <t>Phí sử dụng hình ảnh theo Phụ lục 01 ký ngày 19/01/2026 của Hợp đồng số 15-Cty-KOL/KOC/CBVN2025 ký ngày 10/12/2025 HĐ số 4</t>
  </si>
  <si>
    <t>Dịch vụ quảng cáo và truyền thông theo Hợp đồng số 20/12/2025//HDDV/Mialala-HKDVP ký ngày 20/12/2025 và Biên bản nghiệm thu ký ngày 19/01/2026 HĐ số 3</t>
  </si>
  <si>
    <t>Dịch vụ quảng cáo và truyền thông theo Hợp đồng số MDA/20260114/2668 ngày 22/12/2025 và Biên bản nghiệm thu và thanh lý ngày 20/01/2026 HĐ số 7</t>
  </si>
  <si>
    <t>Thanh toán 100% phí dịch vụ Lan - New Year - Video - Scope 3 - 3101 SOW số 33855/2025/WPP-BTL-LO ID Tiktok: vanpham0719 HĐ số 6</t>
  </si>
  <si>
    <t>030195013776</t>
  </si>
  <si>
    <t>Dịch vụ quảng cáo và truyền thông theo Hợp đồng số 20260108/HDDV/CAPELLIxVANPHAM ký ngày 08/01/2026 và Biên bản nghiệm thu ký ngày 21/01/2026 HĐ số 9</t>
  </si>
  <si>
    <t>Thanh toán 100% phí dịch vụ MNY - BABY CUSHION - VIDEO - SCOPE 3 - 3001 SOW số 35416/2025/WPP-BTL-LO ID Tiktok: vanpham0719 HĐ số 8</t>
  </si>
  <si>
    <t>Thanh toán 100% phí dịch vụ VIC - BRAND LIVE 25.1 - SCOPE 2 - 1002 SOW số 36389/2025/WPP-BTL-LO ID Tiktok: vanpham0719 HĐ số 10</t>
  </si>
  <si>
    <t>Thanh toán 100% phí dịch vụ OAP - Amino Micellar - Video - Scope 3 - 3001 SOW số 35725/2025/WPP-BTL-LO ID Tiktok: vanpham_chillgirl HĐ số 11</t>
  </si>
  <si>
    <t>Dịch vụ quảng cáo và truyền thông theo Hợp đồng số 20260105/HĐDV/PHAMHONGVAN ký ngày 05/01/2026 HĐ số 13</t>
  </si>
  <si>
    <t>0314756823</t>
  </si>
  <si>
    <t>Dịch vụ quảng cáo và truyền thông theo Hợp đồng số TB - VANPHAM - 29012026 ký ngày 29/01/2026 kèm Biên bản nghiệm thu và thanh lý ký ngày 06/02/2026 HĐ số 12</t>
  </si>
  <si>
    <t>0302420730</t>
  </si>
  <si>
    <t>Dịch vụ quảng cáo và truyền thông theo Hợp đồng số eHS/2601211751 và Biên bản nghiệm thu số eHS/2601211751/BBNT HĐ số 14</t>
  </si>
  <si>
    <t>Dịch vụ quảng cáo và truyền thông theo Hợp đồng số 1212/RV/TC-VANPHAM/2025 ký ngày 12/12/2025 (Đợt 2) kèm Biên bản nghiệm thu &amp; thanh lý hợp đồng ký ngày 12/02/2026 HĐ số 15</t>
  </si>
  <si>
    <t>Dịch vụ quảng cáo và truyền thông theo Hợp đồng số 02022026HDDV/MEISHANG – VANPHAM ký ngày 02/02/2026 và Biên bản nghiệm thu ký ngày 25/02/2026 HĐ số 16</t>
  </si>
  <si>
    <t>0317895649</t>
  </si>
  <si>
    <t>Dịch vụ quảng cáo và truyền thông theo Hợp đồng số 01/2026/CCE/JUNGLEBEAT2 ký ngày 24/02/2026 HĐ số 17</t>
  </si>
  <si>
    <t>Thanh toán 100% phí dịch vụ OAP - UV ACTIVATION Jan&amp;apos;26 - Video - Scope 3 - 100326 SOW số 36879/2025/WPP-BTL-LO ID Tiktok: vanpham0719 HĐ số 18</t>
  </si>
  <si>
    <t>Dịch vụ quảng cáo và truyền thông theo Thỏa thuận hợp tác KOL HĐ số 19</t>
  </si>
  <si>
    <t>Dịch vụ quảng cáo và truyền thông theo Hợp đồng số 20012026HDDV/MEISHANG – VANPHAM ký ngày 20/01/2026 và Biên bản nghiệm thu ký ngày 10/03/2026 HĐ số 20</t>
  </si>
  <si>
    <t>2301257958</t>
  </si>
  <si>
    <t>Dịch vụ quảng cáo và truyền thông theo Phụ lục 01 ký ngày 24/02/2026 của Hợp đồng số 20260224/HDDV/CTYMYLANxHKDVANPHAM ký ngày 24/02/2026 HĐ số 23</t>
  </si>
  <si>
    <t>Dịch vụ quảng cáo và truyền thông theo Hợp đồng số HDDV/DOWNYxVĐxHKDVANPHAM/011125 ký ngày 01/11/2025 kèm Biên bản nghiệm thu ký ngày 11/03/2026 HĐ số 22</t>
  </si>
  <si>
    <t>Dịch vụ quảng cáo và truyền thông theo Hợp đồng số 27022026HDDV/MEISHANG – VANPHAM ký ngày 27/02/2026 và Biên bản nghiệm thu ký ngày 11/03/2026 HĐ số 21</t>
  </si>
  <si>
    <t>Dịch vụ quảng cáo và truyền thông theo Hợp đồng số 251213/HDDV/MIZUMI-VANPHAM0719-251213MIZUMI ký ngày 13/12/2025 HĐ số 25</t>
  </si>
  <si>
    <t>Dịch vụ quảng cáo và truyền thông theo Hợp đồng số 06022026/MKT-BHAPPY-vanpham0719 ký ngày 06/02/2026 và Biên bản nghiệm thu ký ngày 12/03/2026 HĐ số 24</t>
  </si>
  <si>
    <t>Dịch vụ quảng cáo và truyền thông theo Hợp đồng số 08122025/HĐDV-SE-VANPHAM-CLOSEUPXMAS ký ngày 08/12/2025 và Biên bản nghiệm thu ký ngày 17/03/2026 HĐ số 27</t>
  </si>
  <si>
    <t>Dịch vụ quảng cáo và truyền thông theo Hợp đồng số 08122025/HĐDV-SE-VANPHAM-AHC ký ngày 08/12/2025 và Biên bản nghiệm thu ký ngày 17/03/2026 HĐ số 26</t>
  </si>
  <si>
    <t>0317476969</t>
  </si>
  <si>
    <t>Dịch vụ quảng cáo và truyền thông theo Hợp đồng số 05012026/HDDV/IBP-VANPHAM ký ngày 05/01/2026 và Biên bản nghiệm thu ký ngày 18/03/2026 HĐ số 28</t>
  </si>
  <si>
    <t>Thanh toán 100% phí dịch vụ LAN - IDÔLE NPD FRAGRANCE - VIDEO - SCOPE 3 - 3103 SOW số 36737/2025/WPP-BTL-LO ID Tiktok: vanpham0719 HĐ số 29</t>
  </si>
  <si>
    <t>Dịch vụ quảng cáo và truyền thông theo Hợp đồng số T09MPD26HDDV-0142-2110 VANPHAM0719 ký ngày 15/03/2026 và Biên bản nghiệm thu ký ngày 20/03/2026 HĐ số 30</t>
  </si>
  <si>
    <t>Dịch vụ quảng cáo và truyền thông theo Hợp đồng số 2003/2026/SOKO-HOKINHDOANHVANPHAM ký ngày 20/03/2026 (Đợt 1) HĐ số 31</t>
  </si>
  <si>
    <t>Dịch vụ quảng cáo truyền thông theo Hợp đồng số: 260304/HDDV/BRAINAD-VANPHAM dự án Sulwhasoo_Perfecting Primer &amp; Perfecting Cream (BA420) ký ngày 04/3/2026 HĐ số 32</t>
  </si>
  <si>
    <t>Thanh toán 100% phí dịch vụ LRP - KOL AWO TTS SBD full franchise LRP T3 - Video - Scope 1 - 1004 SOW số 37982/2025/WPP-BTL-LO ID Tiktok: vanpham0719 HĐ số 33</t>
  </si>
  <si>
    <t>Dịch vụ quảng cáo và truyền thông theo Hợp đồng số 2003/2026/SOKO-HOKINHDOANHVANPHAM ký ngày 20/03/2026 (Đợt 2) và Biên bản nghiệm thu ký ngày 26/03/2026 HĐ số 34</t>
  </si>
  <si>
    <t>Dịch vụ quảng cáo và truyền thông theo Hợp đồng T03MPD26HDDV-0133-2110 VANPHAM0719 ký ngày 20/03/2026 và Biên bản nghiệm thu ký ngày 30/03/2026 HĐ số 36</t>
  </si>
  <si>
    <t>Thanh toán 100% phí dịch vụ MNY - LUMI MATTE - VIDEO - SCOPE 3 - 1004 SOW số 43995/2025/WPP-BTL-LO ID Tiktok: vanpham0719 HĐ số 35</t>
  </si>
  <si>
    <t>Dịch vụ quảng cáo và truyền thông theo Hợp đồng số 03032026HDDV/MEISHANG – VANPHAM ký ngày 03/03/2026 và Biên bản nghiệm thu ký ngày 31/03/2026 HĐ số 38</t>
  </si>
  <si>
    <t>Dịch vụ quảng cáo và truyền thông theo Hợp đồng số : 01122025/HDDV/IBP-VANPHAM ký ngày 01/12/2025 và Biên bản nghiệm thu ký ngày 31/03/2026 HĐ số 37</t>
  </si>
  <si>
    <t>Phí dịch vụ Affiliate 12/2025_17300510255 HĐ số 10739</t>
  </si>
  <si>
    <t>Phí dịch vụ tư vấn tháng 12/2025 HĐ số 26</t>
  </si>
  <si>
    <t xml:space="preserve">  HĐ số 44526</t>
  </si>
  <si>
    <t>1600160409</t>
  </si>
  <si>
    <t>Basa Fillet gói 250gr HĐ số 313</t>
  </si>
  <si>
    <t>Cước phí vận chuyển mã 01KFNAECM96KZ6T9XHZ2T2KPNS Chiết khấu thương mại/ giảm giá mã 01KFNAECM96KZ6T9XHZ2T2KPNS Phí nền tảng mã 01KFNAECM96KZ6T9XHZ2T2KPNS HĐ số 9238912</t>
  </si>
  <si>
    <t>Cước phí vận chuyển mã 01KFN260C2GN90CX590B62MCYM Chiết khấu thương mại/ giảm giá mã 01KFN260C2GN90CX590B62MCYM Phí nền tảng mã 01KFN260C2GN90CX590B62MCYM HĐ số 9162619</t>
  </si>
  <si>
    <t>Cước phí vận chuyển mã 01KFMPW4PWBQHZTYPVFB2SVHY7 Chiết khấu thương mại/ giảm giá mã 01KFMPW4PWBQHZTYPVFB2SVHY7 Phí nền tảng mã 01KFMPW4PWBQHZTYPVFB2SVHY7 HĐ số 9079652</t>
  </si>
  <si>
    <t>Cước phí vận chuyển mã 01KFNRE5183KJMP0YVR735PR2H Chiết khấu thương mại/ giảm giá mã 01KFNRE5183KJMP0YVR735PR2H HĐ số 7041302</t>
  </si>
  <si>
    <t>Cước phí vận chuyển mã 01KFNC2C152V3ZCB18HB14P8AH Chiết khấu thương mại/ giảm giá mã 01KFNC2C152V3ZCB18HB14P8AH HĐ số 6974735</t>
  </si>
  <si>
    <t>Cước phí vận chuyển mã 01KFN0T2D62XCQWV3WNK7TBBYY Chiết khấu thương mại/ giảm giá mã 01KFN0T2D62XCQWV3WNK7TBBYY HĐ số 6888593</t>
  </si>
  <si>
    <t>Cước phí vận chuyển mã 01KFMJB1TQEER56D4TP51DWHYS Chiết khấu thương mại/ giảm giá mã 01KFMJB1TQEER56D4TP51DWHYS HĐ số 6824068</t>
  </si>
  <si>
    <t>0110269067-002</t>
  </si>
  <si>
    <t>Cước phí vận chuyển mã 01KFPKF22B4MVTM1RZTT4AYCV1 Chiết khấu thương mại/ giảm giá mã 01KFPKF22B4MVTM1RZTT4AYCV1 HĐ số 334696</t>
  </si>
  <si>
    <t>Cước phí vận chuyển mã 01KFX7ER4VJ1KHWF4C4AZZ8C73 Chiết khấu thương mại/ giảm giá mã 01KFX7ER4VJ1KHWF4C4AZZ8C73 HĐ số 8040781</t>
  </si>
  <si>
    <t>Phí dịch vụ Affiliate 01/2026_17300510255 (Affiliate Service fee 01/2026_17300510255) HĐ số 858440</t>
  </si>
  <si>
    <t>Phí dịch vụ tư vấn tháng 01/2026 HĐ số 46</t>
  </si>
  <si>
    <t>Cước phí vận chuyển mã 01KGGTZ4JZNBQBJ326QYXSB3A7 Chiết khấu thương mại/ giảm giá mã 01KGGTZ4JZNBQBJ326QYXSB3A7 HĐ số 10478340</t>
  </si>
  <si>
    <t>Phí dịch vụ 10% Khăn giấy màng bạc Manwah Buffet Line Khai vị &amp; Tráng Miệng (NL) Buffet Đài Dư Hoa  NL HĐ số 555879</t>
  </si>
  <si>
    <t xml:space="preserve">  HĐ số 618456</t>
  </si>
  <si>
    <t>Cước phí vận chuyển mã 01KJMKJPYKNQCB00VVJB7W2R6H Chiết khấu thương mại/ giảm giá mã 01KJMKJPYKNQCB00VVJB7W2R6H Phí nền tảng mã 01KJMKJPYKNQCB00VVJB7W2R6H HĐ số 17789335</t>
  </si>
  <si>
    <t>Cước phí vận chuyển mã 01KJMHMTA2C92X15FP5FXHNBFW Chiết khấu thương mại/ giảm giá mã 01KJMHMTA2C92X15FP5FXHNBFW Phí nền tảng mã 01KJMHMTA2C92X15FP5FXHNBFW HĐ số 17782523</t>
  </si>
  <si>
    <t>Cước phí vận chuyển mã 01KJKVKBET4MQ1SCX7895KT5YJ Chiết khấu thương mại/ giảm giá mã 01KJKVKBET4MQ1SCX7895KT5YJ Phí nền tảng mã 01KJKVKBET4MQ1SCX7895KT5YJ HĐ số 17666116</t>
  </si>
  <si>
    <t>Phí dịch vụ Affiliate 02/2026_17300510255 (Affiliate Service fee 02/2026_17300510255) HĐ số 1722111</t>
  </si>
  <si>
    <t>0401511717</t>
  </si>
  <si>
    <t>PHÒNG Ở PHÍ NHẬN PHÒNG SỚM HĐ số 1395</t>
  </si>
  <si>
    <t>Cước phí vận chuyển mã 01KK1YFBM1FVASV2MG4QCPQWHJ Chiết khấu thương mại/ giảm giá mã 01KK1YFBM1FVASV2MG4QCPQWHJ Phí nền tảng mã 01KK1YFBM1FVASV2MG4QCPQWHJ HĐ số 26610206</t>
  </si>
  <si>
    <t>Cước phí vận chuyển mã 01KK0TVRJPHNPEK84YMQEM9EPX Chiết khấu thương mại/ giảm giá mã 01KK0TVRJPHNPEK84YMQEM9EPX Phí nền tảng mã 01KK0TVRJPHNPEK84YMQEM9EPX HĐ số 26337722</t>
  </si>
  <si>
    <t>Cước phí vận chuyển mã 01KK44W7D0Q75D9JGSWEZG5E2F Chiết khấu thương mại/ giảm giá mã 01KK44W7D0Q75D9JGSWEZG5E2F Phí nền tảng mã 01KK44W7D0Q75D9JGSWEZG5E2F HĐ số 27022633</t>
  </si>
  <si>
    <t>Cước phí vận chuyển mã 01KK33SKBQX8WT4PNGQF3GKMRZ Chiết khấu thương mại/ giảm giá mã 01KK33SKBQX8WT4PNGQF3GKMRZ HĐ số 19377758</t>
  </si>
  <si>
    <t>Phí dịch vụ tư vấn tháng 02/2026 HĐ số 97</t>
  </si>
  <si>
    <t>Cước phí vận chuyển mã 01KMA5C17T1ZM9ZRF263A29DGH Chiết khấu thương mại/ giảm giá mã 01KMA5C17T1ZM9ZRF263A29DGH Phí nền tảng mã 01KMA5C17T1ZM9ZRF263A29DGH HĐ số 24172913</t>
  </si>
  <si>
    <t>Cước phí vận chuyển mã 01KMH4F7N62Z8K72BZKCE42RQM Chiết khấu thương mại/ giảm giá mã 01KMH4F7N62Z8K72BZKCE42RQM Phí nền tảng mã 01KMH4F7N62Z8K72BZKCE42RQM HĐ số 25010949</t>
  </si>
  <si>
    <t>0317589842</t>
  </si>
  <si>
    <t>Dịch vụ quảng cáo và truyền thông theo Hợp đồng số 2025-2912/HDDV/NMH-HKDMNO ký ngày 05/01/2026 HĐ số 1</t>
  </si>
  <si>
    <t>Dịch vụ quảng cáo và truyền thông theo Phụ lục 01 ký ngày 01/01/2026 của Hợp đồng số 20260101/HDDV/CTYMYLANxHKDMINHNGHIA ký ngày 01/01/2026 HĐ số 2</t>
  </si>
  <si>
    <t>Dịch vụ quảng cáo và truyền thông theo Hợp đồng số 20260102HDDV/MEISHANG – TRANMINHNGHIA ký ngày 02/01/2026 và Biên bản nghiệm thu ký ngày 20/01/2026 HĐ số 3</t>
  </si>
  <si>
    <t>0318897705</t>
  </si>
  <si>
    <t>Dịch vụ quảng cáo và truyền thông theo Hợp đồng số ISTAR- nghiamotlitson - V - 2026 - 01 /HĐHTKD ký ngày 10/01/2026 kèm Biên bản nghiệm thu ký ngày 23/01/2026 HĐ số 5</t>
  </si>
  <si>
    <t>Dịch vụ quảng cáo và truyền thông theo Phụ lục 01 ký ngày 20/01/2026 của Hợp đồng số 2026/HĐQC/CIMEE-NGHIAMOTLITSON ký ngày 20/01/2026 HĐ số 6</t>
  </si>
  <si>
    <t>Dịch vụ quảng cáo và truyền thông theo Hợp đồng số TP0126-HanFias/nghiamotlitson ký ngày 20/01/2026 và Biên bản nghiệm thu ký ngày 05/02/2026 HĐ số 7</t>
  </si>
  <si>
    <t>Dịch vụ quảng cáo và truyền thông theo Biên bản nghiệm thu Phụ lục 01 ký ngày 24/02/2026 của Hợp đồng nguyên tắc số HĐ01012026/JOYGROUP/HĐNT/HKDMINHNGHIAOFFICIAL/DCV ký ngày 01/01/2026 HĐ số 12</t>
  </si>
  <si>
    <t>Dịch vụ quảng cáo và truyền thông theo Hợp đồng số 0102/2026/HDDV/CL/DM&amp;C-HKDMN ký ngày 01/02/2026 HĐ số 11</t>
  </si>
  <si>
    <t>Dịch vụ quảng cáo và truyền thông theo Hợp đồng số 0101/2026/HDDV-LEMONADE.MINHNGHIA ký ngày 01/01/2026 và Biên bản nghiệm thu ký ngày 26/02/2026 HĐ số 13</t>
  </si>
  <si>
    <t>Phí dịch vụ sử dụng hình ảnh theo Phụ lục 02 ký ngày 01/01/2026 của Hợp đồng số 20260101/HDDV/CTYMYLANxHKDMINHNGHIA ký ngày 01/01/2026 HĐ số 15</t>
  </si>
  <si>
    <t>Dịch vụ quảng cáo và truyền thông theo Biên bản nghiệm thu Phụ lục 02 ký ngày 02/03/2026 của Hợp đồng nguyên tắc số HĐ01012026/JOYGROUP/HĐNT/HKDMINHNGHIAOFFICIAL/DCV ký ngày 01/01/2026 HĐ số 14</t>
  </si>
  <si>
    <t>Dịch vụ quảng cáo và truyền thông theo Hợp đồng số HKD MINH NGHĨA OFFICIAL_ L&amp;apos;OREAL PARIS_20122025 ký ngày 20/12/2025 và Biên bản nghiệm thu ký ngày 04/03/2026 HĐ số 18</t>
  </si>
  <si>
    <t>Dịch vụ quảng cáo và truyền thông theo Hợp đồng số HKD MINHNGHIA_3BRO2_WPP_LOREAL ONTOP AMINO MCL_260042_002 ký ngày 23/01/2026 và Biên bản nghiệm thu ký ngày 04/03/2026 HĐ số 17</t>
  </si>
  <si>
    <t>Dịch vụ quảng cáo và truyền thông theo Hợp đồng số KOL-2026/002/SKINPOP-MINHNGHIA ký ngày 29/01/2026 và Biên bản nghiệm thu - thanh lý ký ngày 04/03/2026 HĐ số 16</t>
  </si>
  <si>
    <t>Dịch vụ quảng cáo và truyền thông theo Hợp đồng số HĐQC-2025 ký ngày 02/02/2026 HĐ số 19</t>
  </si>
  <si>
    <t>Thanh toán theo Hợp đồng dịch vụ số HD01012026/TIRTIR_ASIACONSULTING_NGHIAMOTLITSON ký ngày 01/01/2026 kèm Biên bản nghiệm thu và thanh lý ký ngày 10/03/2026 HĐ số 22</t>
  </si>
  <si>
    <t>Dịch vụ quảng cáo và truyền thông theo Hợp đồng số 0203/2026/HDDV/CL/DM&amp;C-HKDMN ký ngày 02/03/2026 HĐ số 21</t>
  </si>
  <si>
    <t>Dịch vụ quảng cáo và truyền thông theo Hợp đồng số 30012026.HDDV.SPARKLE.MNO ký ngày 30/01/2026 HĐ số 20</t>
  </si>
  <si>
    <t>Dịch vụ quảng cáo và truyền thông theo Invoice ngày 13/3/2026 HĐ số 23</t>
  </si>
  <si>
    <t>Dịch vụ quảng cáo và truyền thông theo Biên bản nghiệm thu Phụ lục 03 ký ngày 17/03/2026 của Hợp đồng nguyên tắc số HĐ01012026/JOYGROUP/HĐNT/HKDMINHNGHIAOFFICIAL/DCV ký ngày 01/01/2026 HĐ số 25</t>
  </si>
  <si>
    <t>0318886485</t>
  </si>
  <si>
    <t>Dịch vụ quảng cáo và truyền thông theo Hợp đồng số 06/HĐCTV/2026 ký ngày 08/02/2026 HĐ số 24</t>
  </si>
  <si>
    <t>0108432446</t>
  </si>
  <si>
    <t>Phí dịch vụ sử dụng hình ảnh theo Hợp đồng số 026001/HDDV/2026 ký ngày 19/03/2026 HĐ số 26</t>
  </si>
  <si>
    <t>0312354572</t>
  </si>
  <si>
    <t>Dịch vụ quảng cáo và truyền thông theo Phụ lục 01 ký ngày 01/01/2026 của Hợp đông số 26-001/MKT-ITS ký ngày 01/01/2026 và Biên bản nghiệm thu ký ngày 31/03/2026 HĐ số 28</t>
  </si>
  <si>
    <t>Dịch vụ quảng cáo và truyền thông theo Phụ lục 01 của Hợp đồng số 27032026/HĐQC/CIMEE-NGHIAMOTLITSON ký ngày 27/03/2026 HĐ số 27</t>
  </si>
  <si>
    <t>0308545630</t>
  </si>
  <si>
    <t>Bánh Canh Giò Gân Bò Củ Chi Nhỏ Nem Thêm Nước Suối Aqua Khăn Lạnh HĐ số 71</t>
  </si>
  <si>
    <t>Phí rút tiền 12/2025_fmccosmetics (Withdrawal Fee 12/2025_fmccosmetics) HĐ số 27717</t>
  </si>
  <si>
    <t>Dầu dưỡng Moroccanoil Treatment – 100ml HĐ số 25</t>
  </si>
  <si>
    <t>0316545497</t>
  </si>
  <si>
    <t>Máy chấm công TA302 HĐ số 570</t>
  </si>
  <si>
    <t>Phí rút tiền 01/2026_fmccosmetics (Withdrawal Fee 01/2026_fmccosmetics) HĐ số 1146643</t>
  </si>
  <si>
    <t>Bò Củ Chi Lớn Nem Thêm Bánh Canh Đặc Biệt Đá Chanh Dừa Trái Khăn Lạnh HĐ số 1845</t>
  </si>
  <si>
    <t>Phí dịch vụ tư vấn tháng 01/2026 HĐ số 59</t>
  </si>
  <si>
    <t>0313505746-006</t>
  </si>
  <si>
    <t>Cốc tai trái cây Sài Gòn Đá me hạt đác Service Charge 5%(VAT8) HĐ số 7669</t>
  </si>
  <si>
    <t>0318595126</t>
  </si>
  <si>
    <t>0317237424</t>
  </si>
  <si>
    <t>Bộ quà "BÁCH VỊ VẠN HỶ - Premium" Rượu Mango (250 ml) (Hàng cho, biếu, tặng không thu tiền) HĐ số 1301</t>
  </si>
  <si>
    <t>Phí rút tiền 02/2026_fmccosmetics (Withdrawal Fee 02/2026_fmccosmetics) HĐ số 1823123</t>
  </si>
  <si>
    <t>0316333855</t>
  </si>
  <si>
    <t>0313605719</t>
  </si>
  <si>
    <t>Siêu âm Phụ khoa Khám thai/Phụ khoa VIP HĐ số 6628</t>
  </si>
  <si>
    <t>0304664073</t>
  </si>
  <si>
    <t>Marvelon (H/21v)  HĐ số 5934</t>
  </si>
  <si>
    <t>Phí dịch vụ tư vấn tháng 02/2026 HĐ số 98</t>
  </si>
  <si>
    <t>0316914465</t>
  </si>
  <si>
    <t>Quà tặng túi giấy CellphoneS- 354201380810982 SM-A075FZKGXXV ĐTDĐ Samsung SM-A075F/DS,4+128,Đen- 354201380810982 HĐ số 594862</t>
  </si>
  <si>
    <t>0109092351</t>
  </si>
  <si>
    <t>Dịch vụ quảng cáo và truyền thông theo Hợp đồng số 10012026/HD-SEEDBEE/BUIPHAMTHUYVI ký ngày 10/01/2026 HĐ số 2</t>
  </si>
  <si>
    <t>Dịch vụ quảng cáo và truyền thông theo Hợp đồng số HKD THÚY VI_3BRO1_UV COOLING - ON TOP [T1]_260002_002 ký ngày 01/01/2026 và Biên bản nghiệm thu ký ngày 14/01/2026 HĐ số 1</t>
  </si>
  <si>
    <t>Dịch vụ quảng cáo và truyền thông theo Hợp đồng số 02-2912/2025/HĐDV/MKG-NAVI ký ngày 29/12/2025 và Biên bản nghiệm thu ký ngày 24/01/2026 HĐ số 3</t>
  </si>
  <si>
    <t>0316240230</t>
  </si>
  <si>
    <t>Dịch vụ quảng cáo và truyền thông theo Hợp đồng số HDDV/PANTENExVĐxTHUYVI/070126 ký ngày 07/01/2026 và Biên bản nghiệm thu ký ngày 02/02/2026 HĐ số 6</t>
  </si>
  <si>
    <t>Dịch vụ quảng cáo và truyền thông theo Hợp đồng số 02012026HDDVNAVICELIMAX ký ngày 02/01/2026 và Biên bản nghiệm thu ký ngày 02/02/2026 HĐ số 5</t>
  </si>
  <si>
    <t>Dịch vụ quảng cáo và truyền thông theo Hợp đồng số 260130/HDDV/BRAINAD-THUYVI ký ngày 30/01/2026 và Biên bản nghiệm thu ký ngày 06/02/2026 HĐ số 7</t>
  </si>
  <si>
    <t>Dịch vụ quảng cáo và truyền thông theo Hợp đồng số 01022026HDDVNAVIWELLAGE ký ngày 01/02/2026 và Biên bản nghiệm thu ký ngày 09/02/2026 HĐ số 8</t>
  </si>
  <si>
    <t>Cung cấp dịch vụ 100% theo BBNT ký ngày 10/02/2026 của Hợp đồng số HĐ/457/2026/METUB ký ngày 02/02/2026 HĐ số 9</t>
  </si>
  <si>
    <t>Dịch vụ quảng cáo và truyền thông theo Hợp đồng số 26012026HDDV/MEISHANG – THUYVI ký ngày 26/01/2026 và Biên bản nghiệm thu ký ngày 28/02/2026 HĐ số 10</t>
  </si>
  <si>
    <t>Dịch vụ quảng cáo và truyền thông theo Hợp đồng số HDDV/OLAYBODYLOTIONxVĐxTHUYVI/020226 ký ngày 02/02/2026 (Đợt 1) HĐ số 11</t>
  </si>
  <si>
    <t>Dịch vụ quảng cáo và truyền thông theo Hợp đồng số HD01022026/D’ALBA_ASIACONSULTING_NAVI ký ngày 01/02/2026 và Biên bản nghiệm thu ký ngày 10/03/2026 HĐ số 13</t>
  </si>
  <si>
    <t>Dịch vụ quảng cáo và truyền thông theo Hợp đồng số HDDV/OLAYBODYLOTIONxVĐxTHUYVI/020226 ký ngày 02/02/2026 (Đợt 2) kèm Biên bản nghiệm thu ký ngày 11/03/2026 HĐ số 14</t>
  </si>
  <si>
    <t>040191021456</t>
  </si>
  <si>
    <t>Dịch vụ quảng cáo và truyền thông theo Hợp đồng số 01/THUYVI/HERBARIO ký ngày 13/03/2026 HĐ số 15</t>
  </si>
  <si>
    <t>Dịch vụ quảng cáo và truyền thông theo Hợp đồng số 260130/HDDV/BRAINAD-HKDTHUYVI ký ngày 30/01/2026 và Biên bản nghiệm thu ký ngày 16/03/2026 HĐ số 16</t>
  </si>
  <si>
    <t>Dịch vụ quảng cáo và truyền thông theo Hợp đồng số 2702.2026/HDDV/UPBASE-BLISSBERRY-THUYVINAVI1602 ký ngày 27/02/2026 và Biên bản nghiệm thu ký ngày 17/03/2026 HĐ số 17</t>
  </si>
  <si>
    <t>Dịch vụ quảng cáo và truyền thông theo Hợp đồng số 190126/HĐDV/GOOKIN-NAVI ký ngày 19/01/2026 HĐ số 18</t>
  </si>
  <si>
    <t>Dịch vụ quảng cáo và truyền thông theo Hợp đồng số 190126/HĐDV/FA-NAVI ký ngày 19/01/2026 HĐ số 19</t>
  </si>
  <si>
    <t>Dịch vụ quảng cáo và truyền thông theo Hợp đồng số 01032026HDDVNAVIFATION ký ngày 01/03/2026 và Biên bản nghiệm thu ký ngày 25/03/2026 HĐ số 21</t>
  </si>
  <si>
    <t>015194006460</t>
  </si>
  <si>
    <t>Dịch vụ quảng cáo và truyền thông theo Hợp đồng số 10012026/HD-SEEDBEE/BUIPHAMTHUYVI ký ngày 10/01/2026 và Biên bản nghiệm thu ký ngày 25/03/2026 HĐ số 20</t>
  </si>
  <si>
    <t>Dịch vụ quảng cáo và truyền thông theo Hợp đồng số HKD THUYVI_3BRO3_CLEAR CYBER_OTS_260188_001 ký ngày 23/03/2026 và Biên bản nghiệm thu ký ngày 27/03/2026 HĐ số 22</t>
  </si>
  <si>
    <t>Dịch vụ quảng cáo và truyền thông theo Hợp đồng số THUYVI_3BRO3_SIMPLE_260148_011 ký ngày 11/03/2026 và Biên bản nghiệm thu ký ngày 31/03/2026 HĐ số 23</t>
  </si>
  <si>
    <t>HỘ KINH DOANH NGUYỄN VĂN ĐÔNG</t>
  </si>
  <si>
    <t>HỘ KINH DOANH HÀ GIANG OFFICIAL</t>
  </si>
  <si>
    <t>HỘ KINH DOANH KHA THANH DUY</t>
  </si>
  <si>
    <t>HỘ KINH DOANH TRẦN BÍCH UYÊN</t>
  </si>
  <si>
    <t>019303002169</t>
  </si>
  <si>
    <t>089202017472</t>
  </si>
  <si>
    <t>079302025196</t>
  </si>
  <si>
    <t>The 5213xxxx3637 GD thanh toan taiAPPLE COM BILL CORK IE HĐ số 382605</t>
  </si>
  <si>
    <t>Phần mềm hóa đơn điện tử M-100 001095012873.matbao.in (1 năm) HĐ số 3264</t>
  </si>
  <si>
    <t>USB Token-DN/HKD-MBCA Phí duy trì Chứng thư CKS Token-HKD-MBCA (1 năm) HĐ số 3474</t>
  </si>
  <si>
    <t>0316527995</t>
  </si>
  <si>
    <t>DỊCH VỤ LƯU TRÚ 602 40.NBK TỪ NGÀY 13/01/2026 ĐẾN NGÀY 17/01/2026 HR624311 HĐ số 12636</t>
  </si>
  <si>
    <t>0102159208</t>
  </si>
  <si>
    <t>COCOON - Tẩy da chết da đầu Bồ Kết 200ml COCOON - Nước dưỡng da đầu bồ kết 50ml (Hàng tặng không thu tiền) HĐ số 2495</t>
  </si>
  <si>
    <t>0102354569</t>
  </si>
  <si>
    <t>0310826692-001</t>
  </si>
  <si>
    <t>Thanh toán đợt 1 theo hợp đồng số HN/260201/004 ký ngày 16/01/2026 Thanh toán đợt 1 theo hợp đồng số HN/260201/004 ký ngày 16/01/2026 HĐ số 95</t>
  </si>
  <si>
    <t>038085006666</t>
  </si>
  <si>
    <t>SỨA BIỂN SỐT THÁI ĐẬU HỦ TẲM HÀNH RAU RỪNG GIA LAI CUA LỘT RANG MUỐI BÒ NƯỚNG KIM CHI ẾCH RANG MUỐI Lá Sách Bò Sate CANH BẦU NẤU TÔM KHĂN COCA Nước Suối HĐ số 1225</t>
  </si>
  <si>
    <t>0310840922</t>
  </si>
  <si>
    <t>In màu HĐ số 130</t>
  </si>
  <si>
    <t>Phí dịch vụ tư vấn tháng 01/2026 HĐ số 40</t>
  </si>
  <si>
    <t>0312171360</t>
  </si>
  <si>
    <t>Vé máy bay quốc nội HĐ số 4</t>
  </si>
  <si>
    <t>079179004206</t>
  </si>
  <si>
    <t>Trang trí Backdrop ngang 6m x cao 2m Trang trí tiểu cảnh phên tre xanh uốn lượn 2 bên Dàn đèn led nội dung " CÔ HỌC CHĂM DA &amp; FRIENDS" HĐ số 3</t>
  </si>
  <si>
    <t>0318206919</t>
  </si>
  <si>
    <t>034192000639</t>
  </si>
  <si>
    <t>0317315055</t>
  </si>
  <si>
    <t>Dịch vụ truyền thông quảng cáo cho sự kiện theo hợp đồng số : 230126/KMEDIA/DVMEDIA ký ngày 23/01/2026  HĐ số 24</t>
  </si>
  <si>
    <t>0109992874</t>
  </si>
  <si>
    <t>0106843546</t>
  </si>
  <si>
    <t>Robot hút bụi lau nhà thông minh, hiệu: Dreame, model: Matrix10 Ultra, màu: Black Nước lau sàn, chai 1 lít, AWH6, hiệu Dreame (Hàng tặng không thu tiền ) HĐ số 1247</t>
  </si>
  <si>
    <t>0108951120</t>
  </si>
  <si>
    <t>Nước - Coca zero 320ml Nước Dasani 510ml Vé buffet  449k HĐ số 1009</t>
  </si>
  <si>
    <t>2500686951</t>
  </si>
  <si>
    <t>Hộp quà Tết Healthy Design (hàng tặng không thu tiền) HĐ số 17</t>
  </si>
  <si>
    <t>0106713191</t>
  </si>
  <si>
    <t>ĐTDĐ Samsung S25 Ultra SM-S938B/DS,256GB, Xám, SM-S938BZTBXXV (353551776136033) HĐ số 41805</t>
  </si>
  <si>
    <t>0110478832</t>
  </si>
  <si>
    <t>Set Bò Lớn Canh Kim Chi Cơm nắm rong biển Cơm rang kim chi Ngô phomai Dasani Phí dịch vụ HĐ số 4740</t>
  </si>
  <si>
    <t>The 5213xxxx3637 GD thanh toan taiAPPLE COM BILL CORK IE HĐ số 8036364</t>
  </si>
  <si>
    <t>Phí dịch vụ tư vấn tháng 02/2026 HĐ số 70</t>
  </si>
  <si>
    <t>0314664629</t>
  </si>
  <si>
    <t>0107762787</t>
  </si>
  <si>
    <t>Pepsi chanh lon 320ml Suất Buffet 598K HĐ số 6773</t>
  </si>
  <si>
    <t>0111065549</t>
  </si>
  <si>
    <t>Nước Dasani 510ml Vé buffet 499k HĐ số 2745</t>
  </si>
  <si>
    <t>0319224389</t>
  </si>
  <si>
    <t>Phí dich vụ hỗ trợ phát sóng livestream từ 01/01/2026 đến 28/02/2026 theo hợp đồng số 01012026/HĐDV/NVĐ_VINNCMEDIA ký ngày 01/01/2026 HĐ số 440</t>
  </si>
  <si>
    <t>Dịch vụ quảng cáo và truyền thông theo Hợp đống số 150126/HDDV/DF-ACT-NVD ký kết ngày 15/01/2026 và Biên bản nghiệm thu ký ngày 30/01/2026 HĐ số 1</t>
  </si>
  <si>
    <t>0110408105</t>
  </si>
  <si>
    <t>Phí dịch vụ sử dụng hình ảnh theo Hợp đồng số 20260101/CHCD-CO&amp;KLEAR ký ngày 01/01/2026 HĐ số 2</t>
  </si>
  <si>
    <t>0318221868</t>
  </si>
  <si>
    <t>Dịch vụ quảng cáo và truyền thông theo Hợp đồng số 26.01.2026/HDQC-DEVEE ký ngày 19/01/2026 và Biên bản nghiệm thu ký ngày 04/02/2026 HĐ số 3</t>
  </si>
  <si>
    <t>0110675654</t>
  </si>
  <si>
    <t>Dịch vụ quảng cáo và truyền thông theo Hợp đồng số 20260115/CHCD-MAKE P:REM ký ngày 15/01/2026 và Biên bản nghiệm thu ký ngày 05/02/2026 HĐ số 5</t>
  </si>
  <si>
    <t>0318875684</t>
  </si>
  <si>
    <t>Phí sử dụng hình ảnh theo Hợp đồng số 20260101/CHCD-DERMAX ký ngày 01/01/2026 HĐ số 4</t>
  </si>
  <si>
    <t>Dịch vụ quảng cáo và truyền thông theo Hợp đồng số 04022026/CHCD-ZAKKA ký ngày 04/02/2026 và Biên bản nghiệm thu ký ngày 09/02/2026 HĐ số 6</t>
  </si>
  <si>
    <t>Dịch vụ quảng cáo và truyền thông cho nhãn hàng MURAD theo Hợp đồng số 682601202606/HDDV/RV/KOL ký ngày 26/01/2026 (Đợt 1) HĐ số 7</t>
  </si>
  <si>
    <t>Dịch vụ quảng cáo và truyền thông cho nhãn hàng MURAD theo Hợp đồng số 682601202606/HDDV/RV/KOL ký ngày 26/01/2026 (Đợt 2) kèm Biên bản nghiệm thu và thanh lý ký ngày 17/03/2026 HĐ số 8</t>
  </si>
  <si>
    <t>Phí dịch vụ Affiliate 12/2025_17325220053 HĐ số 19261</t>
  </si>
  <si>
    <t>Phần mềm hóa đơn điện tử M-100 019303002169.matbao.in (1 năm) HĐ số 6353</t>
  </si>
  <si>
    <t>Phí dịch vụ Affiliate 01/2026_17325220053 (Affiliate Service fee 01/2026_17325220053) HĐ số 780748</t>
  </si>
  <si>
    <t>0315304731-001</t>
  </si>
  <si>
    <t>W ÁO THUN W ÁO CỔ TRÒN W ÁO CỔ TRÒN W ÁO CỔ TRÒN W ÁO PARKA W ÁO LEN M ÁO THUN W ÁO THUN W ÁO THUN K ÁO HEATTECH HĐ số 33888</t>
  </si>
  <si>
    <t>0315855270-002</t>
  </si>
  <si>
    <t>ÁO BLOUSE TAY DÀI DOUBLE GAUZE KAPOK HĐ số 15649</t>
  </si>
  <si>
    <t>USB Token-DN/HKD-MBCA Phí duy trì Chứng thư CKS Token-HKD-MBCA (3 năm) HĐ số 8391</t>
  </si>
  <si>
    <t>0310941617-010</t>
  </si>
  <si>
    <t>Thẻ SD SanDisk Extreme Pro 256GB, UHS- I,200MB/s R, 140MB/s W, SDSDXXD­256G- GN4IN HĐ số 275</t>
  </si>
  <si>
    <t>0110758942</t>
  </si>
  <si>
    <t>Cơm dứa hải sản Trà sâm dứa Ba chỉ mắm me Pad thái hải sản Nấm hải sản chiên giòn Đậu que xào tỏi Soup TomYum hải sản Gỏi đu đủ tôm tươi HĐ số 644</t>
  </si>
  <si>
    <t>M ÁO NỈ M QUẦN NỈ M ÁO POLO HĐ số 43725</t>
  </si>
  <si>
    <t>0311241512-004</t>
  </si>
  <si>
    <t>0110765361</t>
  </si>
  <si>
    <t>Ghẹ ướp siêu cay ( nhỏ ) Bạch tuộc nhỏ xào cay Mì lạnh nước (Lớn) Trà mơ HQ HĐ số 1291</t>
  </si>
  <si>
    <t>Cước phí vận chuyển mã 01KHCTN6SZ6NPNXJ8X9KMTNZ5F Phí nền tảng mã 01KHCTN6SZ6NPNXJ8X9KMTNZ5F HĐ số 19335647</t>
  </si>
  <si>
    <t>Cước phí vận tải chuyến 1316531272 Phí sử dụng ứng dụng Be HĐ số 7713108</t>
  </si>
  <si>
    <t>Ghẹ ướp siêu cay HĐ số 1340</t>
  </si>
  <si>
    <t>Bạch tuộc nhỏ xào cay Mì lạnh nước (Lớn) Trà mơ HQ Ghẹ ướp siêu cay ( nhỏ ) HĐ số 1358</t>
  </si>
  <si>
    <t>0312120895-002</t>
  </si>
  <si>
    <t>Phí dịch vụ Affiliate 02/2026_17325220053 (Affiliate Service fee 02/2026_17325220053) HĐ số 1644824</t>
  </si>
  <si>
    <t>Thịt dải cắt khúc Thịt bò Wagyu tổng hợp Mì lạnh nước (vừa) Trà mơ HQ HĐ số 1494</t>
  </si>
  <si>
    <t>W ÁO KIỂU W CHÂN VÁY M ÁO THUN UT M ÁO THUN UT M ÁO THUN UT M ÁO THUN UT M ÁO POLO ÁO KHOÁC LEN M ÁO THUN UT HĐ số 63389</t>
  </si>
  <si>
    <t>Bạch tuộc nhỏ xào cay Ghẹ ướp siêu cay ( nhỏ ) Trà mơ HQ Mì lạnh nước (Lớn) HĐ số 1525</t>
  </si>
  <si>
    <t>Thịt bò Wagyu tổng hợp Thịt dải cắt khúc Mì lạnh nước (Lớn) Trà mơ HQ Mì lạnh nước (vừa) HĐ số 1642</t>
  </si>
  <si>
    <t>Aquafina Chai nhựa 500ml Suất Buffet 568K HĐ số 6911</t>
  </si>
  <si>
    <t>Phí dịch vụ tư vấn tháng 02/2026 HĐ số 99</t>
  </si>
  <si>
    <t>W BỘ MẶC NHÀ M ÁO THUN M ÁO THUN M ÁO THUN HĐ số 74036</t>
  </si>
  <si>
    <t>Thịt bò Wagyu tổng hợp Thịt dải cắt khúc Mì lạnh nước (Lớn) Trà mơ HQ HĐ số 1846</t>
  </si>
  <si>
    <t>Bạch tuộc nhỏ xào cay Mì lạnh nước (Lớn) Trà mơ HQ HĐ số 1887</t>
  </si>
  <si>
    <t>Cước phí vận chuyển mã 01KM9W0C0K0T3W9P3M5H4JJBGN Chiết khấu thương mại/ giảm giá mã 01KM9W0C0K0T3W9P3M5H4JJBGN HĐ số 34157904</t>
  </si>
  <si>
    <t>Bánh The Best Cheese Tart Mini - Cheese Kiri Nguyên bản Bánh DREAM CAKE CHOCOLATE (hộp thiếc) Nến cây Thu hộ Phí giao hàng FA278352 HĐ số 41743</t>
  </si>
  <si>
    <t>Cước phí vận tải chuyến 1344621687 Phí sử dụng ứng dụng Be HĐ số 18866367</t>
  </si>
  <si>
    <t>Cước phí vận chuyển mã 01KMKTHYT33FRVMF1YEFF5Z5F9 Chiết khấu thương mại/ giảm giá mã 01KMKTHYT33FRVMF1YEFF5Z5F9 HĐ số 25358205</t>
  </si>
  <si>
    <t>0313218607</t>
  </si>
  <si>
    <t>DỊCH VỤ BÁN HÀNG (Spa) DỊCH VỤ BÁN HÀNG (Spa) DỊCH VỤ BÁN HÀNG (Spa) PHÍ PHỤC VỤ (Service Charge) HĐ số 3448</t>
  </si>
  <si>
    <t>Thịt dải cắt khúc Thịt bò Wagyu tổng hợp Mì lạnh nước (vừa) Trà mơ HQ HĐ số 2028</t>
  </si>
  <si>
    <t>Dịch vụ quảng cáo và truyền thông theo Hợp đồng số FINTVN-KAO-TET26-04 ký ngày 22/01/2026 kèm Biên bản nghiệm thu và thanh lý ký ngày 09/02/2026 HĐ số 1</t>
  </si>
  <si>
    <t>Dịch vụ quảng cáo và truyền thông theo Hợp đồng số 260226/HDDV/BRAINAD-HAGIANG ký ngày 26/02/2026 (Đợt 1) HĐ số 3</t>
  </si>
  <si>
    <t>Dịch vụ quảng cáo và truyền thông theo Hợp đồng số 260226/HDDV/BRAINAD-HAGIANG ký ngày 26/02/2026 (Đợt 2) kèm Biên bản nghiệm thu thanh lý ký ngày 26/03/2026 HĐ số 5</t>
  </si>
  <si>
    <t>Dịch vụ quảng cáo và truyền thông theo Hợp đồng dịch vụ ký ngày 09/03/2026 Advertising and media services under the Service Contract signed on March 9, 2026. HĐ số 4</t>
  </si>
  <si>
    <t>Thanh toán 100% phí dịch vụ MNY - CLOUDTOPIA - Event - Scope 2 - 1004 SOW số 45839/2025/WPP-BTL-LO ID Tiktok: ciaramakeup2003 HĐ số 7</t>
  </si>
  <si>
    <t>Thanh toán 100% phí dịch vụ 3CE - KOC Hub Mar - Video - Scope 3 - 300326 SOW số 39410/2025/WPP-BTL-LO ID Tiktok: ciaramakeup2003 HĐ số 6</t>
  </si>
  <si>
    <t>Thanh toán 100% phí dịch vụ OAP - UV AQUA - Video - Scope 2 - 3003 - PO4001562310 SOW số 43151/2025/WPP-BTL-LO ID Tiktok: ciaramakeup2003 HĐ số 9</t>
  </si>
  <si>
    <t>Thanh toán 100% phí dịch vụ MNY - LUMI MATTE - VIDEO - SCOPE 3 - 1004 SOW số 43994/2025/WPP-BTL-LO ID Tiktok: ciaramakeup2003 HĐ số 8</t>
  </si>
  <si>
    <t>0317353935</t>
  </si>
  <si>
    <t>Tiền thuê văn phòng theo hợp đồng số 32998/HDKT/2026 HĐ số 3</t>
  </si>
  <si>
    <t>Phần mềm hóa đơn điện tử M-100 089202017472.matbao.in (1 năm) HĐ số 3892</t>
  </si>
  <si>
    <t>USB Token-DN/HKD-MBCA Phí duy trì Chứng thư CKS Token-HKD-MBCA (3 năm) HĐ số 4593</t>
  </si>
  <si>
    <t>Cước phí vận tải chuyến 1285416592 Phí sử dụng ứng dụng Be HĐ số 4659463</t>
  </si>
  <si>
    <t>Cước phí vận tải chuyến 1285206271 Phí sử dụng ứng dụng Be HĐ số 4596472</t>
  </si>
  <si>
    <t>Cước phí vận chuyển mã 01KFH463PSXMFG351J2W3APJES Chiết khấu thương mại/ giảm giá mã 01KFH463PSXMFG351J2W3APJES HĐ số 6417455</t>
  </si>
  <si>
    <t>Cước phí vận chuyển mã 01KFH1116TPQ03WF8S732PDWG2 Chiết khấu thương mại/ giảm giá mã 01KFH1116TPQ03WF8S732PDWG2 HĐ số 6415915</t>
  </si>
  <si>
    <t>Cước phí vận chuyển mã 01KFX29V477JZD56JG6EK6NE1K Chiết khấu thương mại/ giảm giá mã 01KFX29V477JZD56JG6EK6NE1K HĐ số 8010787</t>
  </si>
  <si>
    <t xml:space="preserve">  HĐ số 25268</t>
  </si>
  <si>
    <t>Cước phí vận tải chuyến 1306645806 Phí sử dụng ứng dụng Be HĐ số 9688832</t>
  </si>
  <si>
    <t>Cước phí vận tải chuyến 1307766009 Phí sử dụng ứng dụng Be HĐ số 9892450</t>
  </si>
  <si>
    <t>0318051817</t>
  </si>
  <si>
    <t>TM2 Nước lá dứa nha đam, hạt chia GD3 Canh chua cá hú KM7 Cá hú kho KM3 Mắm chưng R7 Bông thiên lý xào tỏi GTS17 Thố cơm nhỏ MOT1 Khăn HĐ số 3778</t>
  </si>
  <si>
    <t>Kem chống nắng - clinicos tone-up truth sunscreen 50ml (hàng mẫu không thu tiền) Kem chống nắng - Clinicos sensitive truth sunscreenn 50ml (hàng mẫu không thu tiền) HĐ số 169</t>
  </si>
  <si>
    <t>Hộp quà Tết Healthy Design (hàng tặng không thu tiền) HĐ số 16</t>
  </si>
  <si>
    <t>Cước phí vận tải chuyến 1319142424 Phí sử dụng ứng dụng Be HĐ số 12466214</t>
  </si>
  <si>
    <t>Cước phí vận tải chuyến 1319035470 Phí sử dụng ứng dụng Be HĐ số 12449322</t>
  </si>
  <si>
    <t>Cước phí vận tải chuyến 1318935264 Phí sử dụng ứng dụng Be HĐ số 12428379</t>
  </si>
  <si>
    <t>Cước phí vận tải chuyến 1318836880 Phí sử dụng ứng dụng Be HĐ số 12411157</t>
  </si>
  <si>
    <t>0317070895</t>
  </si>
  <si>
    <t xml:space="preserve">  HĐ số 560556</t>
  </si>
  <si>
    <t>111W08155-WHOO-Chăm sóc da 111W08155-WHOO-Chăm sóc da HĐ số 312061</t>
  </si>
  <si>
    <t>Cước phí vận tải chuyến 1323693397 Phí sử dụng ứng dụng Be HĐ số 13577551</t>
  </si>
  <si>
    <t>Sáp trang điểm cho môi và má - 0145381 HĐ số 8114</t>
  </si>
  <si>
    <t>Cước phí vận tải chuyến 1324485084 Phí sử dụng ứng dụng Be HĐ số 13764665</t>
  </si>
  <si>
    <t>Cước phí vận tải chuyến 1324143415 Phí sử dụng ứng dụng Be HĐ số 13703211</t>
  </si>
  <si>
    <t>Phí dịch vụ tư vấn tháng 02/2026 HĐ số 74</t>
  </si>
  <si>
    <t>Cước phí vận tải chuyến 1325945610 Phí sử dụng ứng dụng Be HĐ số 14152894</t>
  </si>
  <si>
    <t>Cước phí vận tải chuyến 1334618935 Phí sử dụng ứng dụng Be HĐ số 7356021</t>
  </si>
  <si>
    <t>Cước phí vận tải chuyến 1335798703 Phí sử dụng ứng dụng Be HĐ số 16590565</t>
  </si>
  <si>
    <t>Cước phí vận tải chuyến 1335958475 Phí sử dụng ứng dụng Be HĐ số 16639614</t>
  </si>
  <si>
    <t>Cước phí vận tải chuyến 1336803538 Phí sử dụng ứng dụng Be HĐ số 7624460</t>
  </si>
  <si>
    <t>Cước phí vận tải chuyến 1337213805 Phí sử dụng ứng dụng Be HĐ số 7676582</t>
  </si>
  <si>
    <t>Cước phí vận tải chuyến 1338509593 Phí sử dụng ứng dụng Be HĐ số 7846445</t>
  </si>
  <si>
    <t>Cước phí vận tải chuyến 1338220526 Phí sử dụng ứng dụng Be HĐ số 7815333</t>
  </si>
  <si>
    <t>Cước phí vận tải chuyến 1338174061 Phí sử dụng ứng dụng Be HĐ số 7806473</t>
  </si>
  <si>
    <t>Cước phí vận tải chuyến 1339115292 Phí sử dụng ứng dụng Be HĐ số 17446543</t>
  </si>
  <si>
    <t>Cước phí vận tải chuyến 1339826724 Phí sử dụng ứng dụng Be HĐ số 8013327</t>
  </si>
  <si>
    <t>Phấn trang điểm - 0132716 Cọ trang điểm - 0138847 HĐ số 4190</t>
  </si>
  <si>
    <t>3502544249</t>
  </si>
  <si>
    <t>Khăn cuộn Trà sả chanh hạt chia Nước rong biển Combo 1 (Gà lên mâm 5 món size nhỏ, Miếng măng gà xé) HĐ số 560</t>
  </si>
  <si>
    <t>Cước phí vận tải chuyến 1346433843 Phí sử dụng ứng dụng Be HĐ số 19334387</t>
  </si>
  <si>
    <t>Cước phí vận tải chuyến 1346930020 Phí sử dụng ứng dụng Be HĐ số 19475246</t>
  </si>
  <si>
    <t>Dịch vụ quảng cáo và truyền thông theo Hợp đồng số 45/2026/HĐDV-KTDO ký ngày 19/01/2026 HĐ số 2</t>
  </si>
  <si>
    <t>Dịch vụ quảng cáo và truyền thông theo Hợp đồng số 15012026/HDDV/KTD OFFICIAL-NT ký ngày 15/01/2026 kèm Biên bản nghiệm thu và thanh lý hợp đồng ký ngày 03/02/2026 HĐ số 1</t>
  </si>
  <si>
    <t>Dịch vụ quảng cáo và truyền thông theo Hợp đồng số 04122025/HĐGT-KTD ký ngày 04/12/2025 và Biên bản nghiệm thu ký ngày 04/02/2026 HĐ số 6</t>
  </si>
  <si>
    <t>Dịch vụ quảng cáo và truyền thông theo Hợp đồng số 1512/2025/LINK-KHATHANHDUY-CAS ký ngày 15/12/2025 và Biên bản nghiệm thu ký ngày 04/02/2026 HĐ số 5</t>
  </si>
  <si>
    <t>Dịch vụ quảng cáo và truyền thông theo Hợp đồng số T04MPD25HDDV-0140-2062 KHATHANHDUYOFFICIAL ký ngày 20/01/2026 và Biên bản nghiệm thu ký ngày 04/02/2026 HĐ số 4</t>
  </si>
  <si>
    <t>Dịch vụ quảng cáo và truyền thông theo Hợp đồng số số 01.1912/2025/HDDV/SGL-QC ký ngày 19/12/2025 và Biên bản nghiệm thu ký ngày 04/02/2026 HĐ số 3</t>
  </si>
  <si>
    <t>Dịch vụ quảng cáo và truyền thông theo Hợp đồng số MSS-KTD/190126/HDDV ký ngày 19/01/2026 và Biên bản nghiệm thu ký ngày 05/02/2026 HĐ số 8</t>
  </si>
  <si>
    <t>Dịch vụ quảng cáo và truyền thông theo Hợp đồng số 01122025HDDVKHATHANHDUYDIV ký ngày 01/12/2025 và Biên bản nghiệm thu ký ngày 05/02/2026 HĐ số 7</t>
  </si>
  <si>
    <t>Dịch vụ quảng cáo và truyền thông cho nhãn hàng Candid theo Hợp đồng số 682001202602/HDDV/RV/KOL ký ngày 20/01/2026 kèm Biên bản nghiệm thu và thanh lý ký ngày 10/02/2026 HĐ số 10</t>
  </si>
  <si>
    <t>Dịch vụ quảng cáo và truyền thông cho nhãn hàng Murad theo Hợp đồng số 682001202607/HDDV/RV/KOL ký ngày 20/01/2026 kèm Biên bản nghiệm thu và thanh lý ký ngày 10/02/2026 HĐ số 9</t>
  </si>
  <si>
    <t>0318289471</t>
  </si>
  <si>
    <t>Dịch vụ quảng cáo và truyền thông theo Hợp đồng quản bá Influencer ký ngày 22/01/2026 và biên bản nghiệm thu ký ngày 26/02/2026 HĐ số 11</t>
  </si>
  <si>
    <t>Dịch vụ quảng cáo và truyền thông theo Hợp đồng số HKD KTD_3BRO1_GARNIER MOCHI CAMP FEB_260107_006 ký ngày 12/02/2026 và Biên bản nghiệm thu ký ngày 03/03/2026 HĐ số 12</t>
  </si>
  <si>
    <t>Dịch vụ quảng cáo và truyền thông theo Hợp đồng số 2802/2026/TTS/KHATHANHDUY/MEARD ký ngày 28/02/2026 và Biên bản nghiệm thu ký ngày 09/03/2026 HĐ số 16</t>
  </si>
  <si>
    <t>Điều chỉnh giảm mặt hàng Dịch vụ quảng cáo và truyền thông theo Hợp đồng số 802/2026/TTS/KHATHANHDUY/MEARD ký ngày 28/02/2026 và Biên bản nghiệm thu ký ngày 09/03/2026 HĐ số 15</t>
  </si>
  <si>
    <t>Dịch vụ quảng cáo và truyền thông theo Hợp đồng số HDDV/OLAYxVĐxKHATHANHDUY/301125 ký ngày 30/11/2025 và Biên bản nghiệm thu ký ngày 09/03/2026 HĐ số 14</t>
  </si>
  <si>
    <t>Dịch vụ quảng cáo và truyền thông theo Hợp đồng số 802/2026/TTS/KHATHANHDUY/MEARD ký ngày 28/02/2026 và Biên bản nghiệm thu ký ngày 09/03/2026 HĐ số 13</t>
  </si>
  <si>
    <t>Thanh toán 100% phí dịch vụ KIE - UFM - Video - Scope 2 - 3001 SOW số 34814/2025/WPP-BTL-LO ID Tiktok: khathanhduy.vlogger HĐ số 17</t>
  </si>
  <si>
    <t>Thanh toán 100% phí dịch vụ KIE - ADVO AWO JAN&amp;apos;26 PHASE 1 - Video - Scope 2 - 1003 SOW số 36906/2025/WPP-BTL-LO ID Tiktok: khathanhduy.vlogger HĐ số 18</t>
  </si>
  <si>
    <t>Thanh toán 100% phí dịch vụ LRP - KOL AWO TTS SBD full franchise LRP T3 - Video - Scope 1 - 1004 SOW số 37980/2025/WPP-BTL-LO ID Tiktok: khathanhduy.vlogger HĐ số 20</t>
  </si>
  <si>
    <t>Dịch vụ quảng cáo và truyền thông theo Hợp đồng số 09032026/KHATHANHDUY-USOLAB ký ngày 09/03/2026 (Đợt 1) HĐ số 19</t>
  </si>
  <si>
    <t>Dịch vụ quảng cáo và truyền thông theo Hợp đồng số 01032026HDDVKHATHANHDUYBOJ ký ngày 01/03/2026 và Biên bản nghiệm thu ký ngày 25/03/2026 HĐ số 21</t>
  </si>
  <si>
    <t>Hoa hồng tiếp thị liên kết (Affiliate Marketing Commission) HĐ số 22</t>
  </si>
  <si>
    <t>0314009892</t>
  </si>
  <si>
    <t>Dịch vụ quảng cáo và truyền thông theo Hợp đồng số 20260303/LIENKETxKHATHANHDUY ký ngày 03/03/2026 và Biên bản nghiệm thu ký ngày 27/03/2026 HĐ số 23</t>
  </si>
  <si>
    <t>Dịch vụ quảng cáo và truyền thông theo Hợp đồng số 01032026HDDVKHATHANHDUYWELLAGE ký ngày 01/03/2026 kèm Biên bản nghiệm thu ký ngày 31/03/2026 HĐ số 24</t>
  </si>
  <si>
    <t>Phí dịch vụ Affiliate 12/2025_17343510054 HĐ số 114068</t>
  </si>
  <si>
    <t>Phí dịch vụ Affiliate 01/2026_17343510054 (Affiliate Service fee 01/2026_17343510054) HĐ số 798992</t>
  </si>
  <si>
    <t>USB Token-DN/HKD-MBCA Phí duy trì Chứng thư CKS Token-HKD-MBCA (3 năm) HĐ số 8557</t>
  </si>
  <si>
    <t>Phần mềm hóa đơn điện tử M-100 079302025196.matbao.in (1 năm) HĐ số 8506</t>
  </si>
  <si>
    <t>Má hồng chống nắng Clinicos UV Protection Color Bush - (Hàng mẫu không thu tiền) Dầu tẩy trang Micro Transfer Cleansing Oil (150gram/chai) - (Hàng mẫu không thu tiền) HĐ số 150</t>
  </si>
  <si>
    <t>Phí dịch vụ Affiliate 02/2026_17343510054 (Affiliate Service fee 02/2026_17343510054) HĐ số 1724372</t>
  </si>
  <si>
    <t>Phí dịch vụ tư vấn tháng 02/2026 HĐ số 75</t>
  </si>
  <si>
    <t>0314405952</t>
  </si>
  <si>
    <t>Cà Rốt, Táo, Chanh Dây Bánh Sừng Bò Nướng Phủ Bơ Trái, Trứng Trần, Arugula, Phô Mai Parmesan Trà Cascara Thanh Yên Espresso Với Hỗn Hợp Sữa &amp; Mật Ong Cà Phê Đen Đá HĐ số 13564</t>
  </si>
  <si>
    <t>Cá Saba nướng muối Cơm cuộn California Cơm cuộn cua lăn trứng cá chuồn Đậu hủ nướng_SSK Gà tẩm bột chiên Nước Dasani 510ml Sa lát Cua bấy Sashimi 4 loại _SSK HĐ số 2108</t>
  </si>
  <si>
    <t>Món  CƠM BÒ TRỘN HÀN QUỐC  HĐ số 8597</t>
  </si>
  <si>
    <t>0314193257</t>
  </si>
  <si>
    <t>Bạch Tuộc Trộn Wasabi Tươi Cá Hồi Sashimi Mì Ramen Mì Ramen Cay Mì Udon Thịt Bò Nước ngọt Coca Cola Nước suối (500ML) Trà Xanh Trứng Trứng Hấp HĐ số 4135</t>
  </si>
  <si>
    <t>Phí dịch vụ tư vấn tháng 03/2026 HĐ số 103</t>
  </si>
  <si>
    <t>Dịch vụ quảng cáo và truyền thông theo Thoả thuận hợp tác số TTHT/0302HF2026-BUBUTRANXOXO ký ngày 03/02/2026 HĐ số 1</t>
  </si>
  <si>
    <t>0314997603</t>
  </si>
  <si>
    <t>Dịch vụ quảng cáo và truyền thông theo Hợp đồng số HDDV/BUBUTRANXOXO/BATH&amp;BODYWORKS/02022026 ký ngày 02/02/2026 kèm Biên bản nghiệm thu và thanh lý hợp đồng ký ngày 03/03/2026 HĐ số 2</t>
  </si>
  <si>
    <t>Dịch vụ quảng cáo và truyền thông theo Hợp đồng số HD01022026/D’ALBA_ASIACONSULTING_BUBUTRANXOXO ký ngày 01/02/2026 kèm Biên bản nghiệm thu, thanh lý ký ngày 05/03/2026 HĐ số 3</t>
  </si>
  <si>
    <t>Dịch vụ sản xuất và đăng tải 01 video review về sản phẩm Tẩy da chết da đầu bồ kết Cocoon theo hợp đồng 1782226/HDDV/Y&amp;B và biên bản nghiệm thu ký ngày 09/03/2026 HĐ số 4</t>
  </si>
  <si>
    <t>Dịch vụ quảng cáo và truyền thông theo Hợp đồng số 152/2026/HDDV/OQR ký ngày 06/03/2026 kèm Biên bản nghiệm thu và thanh lý số 152.01/2026/BBNT/OQR ký ngày 11/03/2026 HĐ số 7</t>
  </si>
  <si>
    <t>0317172618</t>
  </si>
  <si>
    <t>Dịch vụ quảng cáo và truyền thông theo Hợp đồng số 1002/HDDVTT/2026/SEAMAKEUP ký ngày 10/02/2026 và Biên bản nghiệm thu ký ngày 11/03/2026 HĐ số 6</t>
  </si>
  <si>
    <t>Dịch vụ quảng cáo và truyền thông theo Hợp đồng số 0203/2026/HDDV/BR/DM&amp;C-HKDTBU ký ngày 02/03/2026 HĐ số 5</t>
  </si>
  <si>
    <t>Dịch vụ quảng cáo theo Hợp đồng số 07.090326.02.MS-TBU ký ngày 09/03/2026 kèm Biên bản nghiệm thu và thanh lý Hợp đồng HĐ số 8</t>
  </si>
  <si>
    <t>Dịch vụ quảng cáo và truyền thông theo Hợp đồng số BETHESKIN_SKVSKVN_20260213_bubutranxoxo ký ngày 13/02/2026 kèm Biên bản nghiệm thu ký ngày 31/03/2026 HĐ số 9</t>
  </si>
  <si>
    <t>Nhận Dịch vụ quảng cáo LOREAL PEEL MELASYL theo HĐ HKD VTB_LOREAL PEEL MELASYL_15122025 HĐ số 12</t>
  </si>
  <si>
    <t>Tra xanh C2 vai thanh lai 455ml HĐ số 12608</t>
  </si>
  <si>
    <t>HKD VU THAI BINH OFFICIAL chuyen tien nop quy</t>
  </si>
  <si>
    <t>Concha Y Toro HĐ số 323</t>
  </si>
  <si>
    <t>Phad Pak Ruam Mit HĐ số 322</t>
  </si>
  <si>
    <t>Dịch vụ quảng cáo và truyền thông theo HĐ 01122025HDDVVUTHAIBINHWELLAGE HĐ số 1</t>
  </si>
  <si>
    <t>Nhận Dịch vụ quảng cáo và truyền thông theo HĐ 01122025HDDVVUTHAIBINHWELLAGE HĐ số 1</t>
  </si>
  <si>
    <t>Xăng RON 95 HĐ số 53732</t>
  </si>
  <si>
    <t>DICH VU QUANG CAO VA TRUYEN THONG THEO HD SO 221025-090126 CTY TNHH DL VIEN DONG</t>
  </si>
  <si>
    <t>Dịch vụ quảng cáo và truyền thông theo HĐ 19122025_HĐDV-HUNGTHINH-VUTHAIBINH HĐ số 6</t>
  </si>
  <si>
    <t>Up Base thanh toan cho KOC Bye Bye Blemish thang 11 BO251024860</t>
  </si>
  <si>
    <t>Rau càng cua trộn bò Mỹ HĐ số 548</t>
  </si>
  <si>
    <t>Thanh toán 100% dịch vụ theo HĐ 01122025_HĐDV-HUNGTHINH-VUTHAIBINH HĐ số 8</t>
  </si>
  <si>
    <t>Thanh toán 100% dịch vụ theo HĐ 18092025_HĐDV-HUNGTHINH-VUTHAIBINH HĐ số 7</t>
  </si>
  <si>
    <t>Bầu kg Cá bạc má kg HĐ số 893239</t>
  </si>
  <si>
    <t>Nước khoáng thiên nhiên Lavie HĐ số 893001</t>
  </si>
  <si>
    <t>Nhận Dịch vụ quảng cáo và truyền thông theo HĐ 19122025_HĐDV-HUNGTHINH-VUTHAIBINH HĐ số 6</t>
  </si>
  <si>
    <t>CTCP HANG TIEU DUNG DONG HIEP TT tien DVQC theo HD so 18112025 HDHT LLVTB HD so 47 CONG TY CO PHAN HANG TIEU DUNG DONG HIEP</t>
  </si>
  <si>
    <t>Phô mai VINAMILK 120g HĐ số 66643</t>
  </si>
  <si>
    <t>TikTok Shop</t>
  </si>
  <si>
    <t>CTM BEAUTY THANH TOAN HOP DONG SO 25122025 HDDV WONJIN VUTHAIBINH CONG TY TNHH CTM BEAUTY VIET NAM</t>
  </si>
  <si>
    <t>BAAC thanh toan KOC HKD VU THAI BINH theo PO66 HD230623 BMONUMENT BAAC</t>
  </si>
  <si>
    <t>Đồ uống DASANI Xôi chim băm HĐ số 1108</t>
  </si>
  <si>
    <t>Dịch vụ quảng cáo LOREAL UV AQUA theo HĐ HKD VTB_LOREAL UV AQUA_01122025 HĐ số 13</t>
  </si>
  <si>
    <t>Dịch vụ quảng cáo LOREAL PEEL MELASYL theo HĐ HKD VTB_LOREAL PEEL MELASYL_15122025 HĐ số 12</t>
  </si>
  <si>
    <t>Dịch vụ quảng cáo LOREAL UNBOX FESTIVE theo HĐ HKD VTB_3BRO2_LOREA LUNBOX FESTIVE HĐ số 11</t>
  </si>
  <si>
    <t>Dịch vụ quảng cáo GARNIER UV COOLING theo HĐ HKD VTB_GARNIER_UV COOLING_19122025 HĐ số 10</t>
  </si>
  <si>
    <t>Nhận Thanh toán 100% dịch vụ theo HĐ 01122025_HĐDV-HUNGTHINH-VUTHAIBINH HĐ số 8</t>
  </si>
  <si>
    <t>CONG TY CO PHAN APPOTAPAY chuyen tien</t>
  </si>
  <si>
    <t>Nhận Thanh toán 100% dịch vụ theo HĐ 18092025_HĐDV-HUNGTHINH-VUTHAIBINH HĐ số 7</t>
  </si>
  <si>
    <t>Dịch vụ quảng cáo DEAR KLAIRS theo HĐ HKD VTB_DEAR KLAIRS_27112025 HĐ số 17</t>
  </si>
  <si>
    <t>Sui Shing International Company Lim REM FRM OVERSEAS carslanDW012602240003</t>
  </si>
  <si>
    <t>Điều trị lão hoá lăn kim HĐ số 2</t>
  </si>
  <si>
    <t>rut tien nhap quy</t>
  </si>
  <si>
    <t>Vé máy bay SGN_HAN HĐ số 8157</t>
  </si>
  <si>
    <t>Đăng tin tuyển dụng TOP ECO PLUS HĐ số 2108</t>
  </si>
  <si>
    <t>Trà Olong Thiso HĐ số 32199</t>
  </si>
  <si>
    <t>Nhận Dịch vụ quảng cáo LOREAL UV AQUA theo HĐ HKD VTB_LOREAL UV AQUA_01122025 HĐ số 13</t>
  </si>
  <si>
    <t>TikTok Shop SP 020097042203121505152026UB96534382</t>
  </si>
  <si>
    <t>Chả tôm Boran HĐ số 7140</t>
  </si>
  <si>
    <t>Trà Dưỡng Nhan HĐ số 3642</t>
  </si>
  <si>
    <t>0107150713</t>
  </si>
  <si>
    <t>Nhận Doanh thu Dịch vụ quảng cáo và truyền thông theo Hợp đồng số HKD VTB_ LOREAL PEEL_01102025 ký ngày 01/10/2025 và Biên bản nghiệm thu ký ngày 04/11/2025 HĐ số 35</t>
  </si>
  <si>
    <t>Nhận Doanh thu Dịch vụ quảng cáo và truyền thông theo Hợp đồng số HKD VTB_ L&amp;apos;OREAL PARIS_ CAMP HA_NOV_01112025 ký ngày 01/11/2025 và Biên bản nghiệm thu ký ngày 26/11/2025 HĐ số 43</t>
  </si>
  <si>
    <t>Dịch vụ quảng cáo và truyền thông theo HĐ 12112025-HDDV-DRCEUTICS-VUTHAIBINH HĐ số 2</t>
  </si>
  <si>
    <t>Phí dịch vụ tư vấn tháng 12-2025 HĐ số 21</t>
  </si>
  <si>
    <t>Thanh toán phí dịch vụ theo HĐ HD01122025-DALBA HĐ số 3</t>
  </si>
  <si>
    <t>Dịch vụ sản xuất video review Nước sen Hậu Giang theo HĐ 20102025-HĐDV-Y&amp;B HĐ số 5</t>
  </si>
  <si>
    <t>Dịch vụ quảng cáo theo HĐ 1911-2025-TTS-VUTHAIBINH-MIXBRAND HĐ số 4</t>
  </si>
  <si>
    <t>Nhận Dịch vụ quảng cáo theo HĐ 1911-2025-TTS-VUTHAIBINH-MIXBRAND HĐ số 4</t>
  </si>
  <si>
    <t>Dịch vụ quảng cáo theo HĐ 0101-2026-HĐNT-BO-HKDVTB HĐ số 9</t>
  </si>
  <si>
    <t>Nhận Dịch vụ quảng cáo theo HĐ 0101-2026-HĐNT-BO-HKDVTB HĐ số 9</t>
  </si>
  <si>
    <t>Thanh toán Phí dịch vụ tư vấn tháng 12-2025 HĐ số 21</t>
  </si>
  <si>
    <t>Nhận Dịch vụ quảng cáo và truyền thông theo HĐ 12112025-HDDV-DRCEUTICS-VUTHAIBINH HĐ số 2</t>
  </si>
  <si>
    <t>Dịch vụ sản xuất video review Nước Tẩy Trang Bí Đao theo BBNT 582026-BBNT-TT-Y&amp;B HĐ số 15</t>
  </si>
  <si>
    <t>Dịch vụ quảng cáo theo HĐ 2612-2025 HĐ số 14</t>
  </si>
  <si>
    <t>Nhận Dịch vụ quảng cáo theo HĐ 2612-2025 HĐ số 14</t>
  </si>
  <si>
    <t>Dịch vụ quảng cáo theo HĐ 29012026-HDDVHARICO-BBSKINCARE HĐ số 16</t>
  </si>
  <si>
    <t>Nhận Dịch vụ quảng cáo theo HĐ 29012026-HDDVHARICO-BBSKINCARE HĐ số 16</t>
  </si>
  <si>
    <t>Lãi tiền gửi tháng 01-2026</t>
  </si>
  <si>
    <t>Phí dịch vụ tư vấn tháng 01-2026 HĐ số 44</t>
  </si>
  <si>
    <t>Nhận Dịch vụ sản xuất video review Nước Tẩy Trang Bí Đao theo BBNT 582026-BBNT-TT-Y&amp;B HĐ số 15</t>
  </si>
  <si>
    <t>Nhận Dịch vụ sản xuất video review Nước sen Hậu Giang theo HĐ 20102025-HĐDV-Y&amp;B HĐ số 5</t>
  </si>
  <si>
    <t>Nhận Phí sử dụng hình ảnh theo HĐ HDDV-FAINxHKDVUTHAIBINHOFFICAL-2025-07 HĐ số 18</t>
  </si>
  <si>
    <t>Phí sử dụng hình ảnh theo HĐ HDDV-FAINxHKDVUTHAIBINHOFFICAL-2025-07 HĐ số 18</t>
  </si>
  <si>
    <t>Dịch vụ quảng cáo theo HĐ 2012-2025-HĐDV-BOOKING-DST-VUTHAIBINH HĐ số 19</t>
  </si>
  <si>
    <t>Nhận Dịch vụ quảng cáo theo HĐ 270226-HĐDV-PJSB HĐ số 20</t>
  </si>
  <si>
    <t>Lãi tiền gửi tháng 02-2026</t>
  </si>
  <si>
    <t>Dịch vụ quảng cáo theo HĐ 270226-HĐDV-PJSB HĐ số 20</t>
  </si>
  <si>
    <t>Phí dịch vụ tư vấn tháng 02-2026 HĐ số 67</t>
  </si>
  <si>
    <t>Phí dịch vụ tư vấn tháng 03-2026 HĐ số 104</t>
  </si>
  <si>
    <t>Lãi tiền gửi tháng 03-2026</t>
  </si>
  <si>
    <t>Thanh toán Tra xanh C2 vai thanh lai 455ml HĐ số 12608</t>
  </si>
  <si>
    <t>Thanh toán Concha Y Toro HĐ số 323</t>
  </si>
  <si>
    <t>Thanh toán Phad Pak Ruam Mit HĐ số 322</t>
  </si>
  <si>
    <t>Thanh toán Xăng RON 95 HĐ số 53732</t>
  </si>
  <si>
    <t>Thanh toán Rau càng cua trộn bò Mỹ HĐ số 548</t>
  </si>
  <si>
    <t>Thanh toán Bầu kg Cá bạc má kg HĐ số 893239</t>
  </si>
  <si>
    <t>Thanh toán Nước khoáng thiên nhiên Lavie HĐ số 893001</t>
  </si>
  <si>
    <t>Thanh toán Phô mai VINAMILK 120g HĐ số 66643</t>
  </si>
  <si>
    <t>Thanh toán Thanh toán Phí dịch vụ tư vấn tháng 12-2025 HĐ số 21</t>
  </si>
  <si>
    <t>Thanh toán Đồ uống DASANI Xôi chim băm HĐ số 1108</t>
  </si>
  <si>
    <t>Thanh toán Phí dịch vụ tư vấn tháng 01-2026 HĐ số 44</t>
  </si>
  <si>
    <t>Thanh toán Điều trị lão hoá lăn kim HĐ số 2</t>
  </si>
  <si>
    <t>Thanh toán Vé máy bay SGN_HAN HĐ số 8157</t>
  </si>
  <si>
    <t>Thanh toán Đăng tin tuyển dụng TOP ECO PLUS HĐ số 2108</t>
  </si>
  <si>
    <t>Thanh toán Trà Olong Thiso HĐ số 32199</t>
  </si>
  <si>
    <t>Thanh toán Chả tôm Boran HĐ số 7140</t>
  </si>
  <si>
    <t>Thanh toán Trà Dưỡng Nhan HĐ số 3642</t>
  </si>
  <si>
    <t>Thanh toán Phí dịch vụ tư vấn tháng 03-2026 HĐ số 104</t>
  </si>
  <si>
    <t>0110820090</t>
  </si>
  <si>
    <t>Đồ ăn /Beef Pho Đồ uống / Bubble tea red fruit -Giảm Giá /Social Club Food Disc 25% Phí dịch vụ (Service Charge) HĐ số 425</t>
  </si>
  <si>
    <t>Do uong/ Jasmine Pearls Gingerbread Chestnut Macaron -Giam Gia/Social Club Food Disc 25% Phí dịch vụ (Service Charge) HĐ số 585</t>
  </si>
  <si>
    <t>Do an/Afternoon tea Set -Giam Gia/Social Club Food Disc 25% Phí dịch vụ (Service Charge) HĐ số 991</t>
  </si>
  <si>
    <t>Do uong/ Bubble tea red fruit Do an/Beef Pho Do an/Trolley Cake Mango-Passion Crumble -Giam Gia/Social Club Food Disc 25% Phí dịch vụ (Service Charge) HĐ số 2598</t>
  </si>
  <si>
    <t>Trà vải Canh chả cá Mì đen Gà viên chiên - Sốt cay ngọt Set gà xào bắp cải phô mai Rich Gold - 2 người Trà đào HĐ số 2045</t>
  </si>
  <si>
    <t>Do an/Chicken Pho Do uong/ Bubble tea red fruit -Giam Gia/Social Club Food Disc 25% Phí dịch vụ (Service Charge) HĐ số 3133</t>
  </si>
  <si>
    <t>ÁO CARDIGAN NAM TAY DÀI(4999000@2%) TÚI GIẤY SPW SIZE M (Hàng tặng không thu tiền) HĐ số 46766</t>
  </si>
  <si>
    <t>Cơm Cuộn Cá Hồi  Bơ Sashimi Cá Hồi Sashimi Cá Trích Ép Trứng Sashimi Sò Đỏ Pineapple Juice Salad Tôm Trứng Cá Cay  Bơ HĐ số 302</t>
  </si>
  <si>
    <t>Do an/ Chocolate Peanut Sundae -Giam Gia/Social Club Food Disc 25% Phí dịch vụ (Service Charge) HĐ số 3658</t>
  </si>
  <si>
    <t>Đồ uống / Anna Held Đồ ăn / Yoghurt Berries Waffle -Giảm giá /Social Club Food Disc 25% Phí dịch vụ (Service Charge) HĐ số 8391</t>
  </si>
  <si>
    <t>Điều chỉnh giảm Dịch vụ quảng cáo và truyền thông theo Hợp đồng số T0825A1/HĐB/DCME-ADN205 ký ngày 06/01/2026 HĐ số 2</t>
  </si>
  <si>
    <t>Điều chỉnh giảm Dịch vụ quảng cáo và truyền thông theo Hợp đồng số 31/12/25//HDDV/Mialala - HBQ ký ngày 25/12/2025 và Biên bản nghiệm thu ký ngày 07/01/2026 HĐ số 1</t>
  </si>
  <si>
    <t>Điều chỉnh giảm Dịch vụ quảng cáo và truyền thông theo Hợp đồng số 06012026HDDVHABANHQUYBOJ ký ngày 06/01/2026 và Biên bản nghiệm thu ký ngày 09/01/2026 HĐ số 3</t>
  </si>
  <si>
    <t>Điều chỉnh giảm Dịch vụ quảng cáo và truyền thông theo Hợp đồng số T0126A1/HĐBK-KOL/DCME-ADN206 ký ngày 06/01/2026 HĐ số 4</t>
  </si>
  <si>
    <t>Điều chỉnh giảm Dịch vụ quảng cáo và truyền thông theo Hợp đồng số T0923A1/HĐB/DCME-ADN206 ký ngày 17/01/2026 HĐ số 5</t>
  </si>
  <si>
    <t>Điều chỉnh giảm Dịch vụ quảng cáo và truyền thông theo Hợp đồng số 210126/HĐDV/TIAM-COOKIEHOANG_ ký ngày 21/01/2026 HĐ số 6</t>
  </si>
  <si>
    <t>Điều chỉnh giảm Dịch vụ quảng cáo và truyền thông theo Hợp đồng số 270126/HĐDV/CHUNG-COOKIEHOANG_ ký ngày 27/01/2026 HĐ số 7</t>
  </si>
  <si>
    <t>Điều chỉnh giảm Dịch vụ quảng cáo và truyền thông theo Hợp đồng số FINTVN-LAURIER-PANTIES-2026-60 ký ngày 20/01/2026 và Biên bản nghiệm thu ký ngày 30/01/2026 HĐ số 8</t>
  </si>
  <si>
    <t>Điều chỉnh giảm Dịch vụ quảng cáo và truyền thông theo Hợp đồng số T09MPD25HDDV-0084-0319 MINHHUYEN ký ngày 30/01/2026 và Biên bản nghiệm thu ký ngày 12/02/2026 HĐ số 9</t>
  </si>
  <si>
    <t>Điều chỉnh giảm Dịch vụ quảng cáo và truyền thông theo Hợp đồng số 15/01/2026/ Hộ Kinh Doanh Hà Bánh Quy-VERITES/HDDV ký ngày 15/01/2026 và Biên bản nghiệm thu thanh lý ký ngày 25/02/2026 HĐ số 11</t>
  </si>
  <si>
    <t>Điều chỉnh giảm Dịch vụ quảng cáo và truyền thông theo Hợp đồng số HKD HABANHQUY _3BRO3_SIMPLE CORE_260103_001 ký ngày 12/02/2026 HĐ số 10</t>
  </si>
  <si>
    <t>Điều chỉnh giảm Dịch vụ quảng cáo và truyền thông theo Hợp đồng số FINTVN-ATTENIR-2026-41 ký ngày 03/02/2026 (Đợt 1) HĐ số 12</t>
  </si>
  <si>
    <t>Điều chỉnh giảm Dịch vụ quảng cáo và truyền thông theo Hợp đồng số 11022026HĐGT-HBQ ký ngày 11/02/2026 HĐ số 13</t>
  </si>
  <si>
    <t>Điều chỉnh giảm Dịch vụ quảng cáo và truyền thông theo Hợp đồng số FINTVN-ATTENIR-2026-41 ký ngày 03/02/2026 (Đợt 2) HĐ số 15</t>
  </si>
  <si>
    <t>Điều chỉnh giảm Dịch vụ quảng cáo và truyền thông theo Hợp đồng số 26022026/HDDV/TUXI-HBQ ký ngày 26/02/2026 (Đợt 1) HĐ số 14</t>
  </si>
  <si>
    <t>Điều chỉnh giảm Dịch vụ quảng cáo và truyền thông theo Hợp đồng số 1712026/HĐDV/Y&amp;B ký ngày 02/01/2026 kèm Biên bản nghiệm thu và thanh toán số 1712026/BBNT-TT/Y&amp;B ký ngày 05/03/2026 HĐ số 16</t>
  </si>
  <si>
    <t>Điều chỉnh giảm Dịch vụ quảng cáo và truyền thông theo Hợp đồng số HKD HABANHQUY _3BRO1_GARNIER MOCHI CAMP FEB_260107_001 ký ngày 01/02/2026 và Biên bản nghiệm thu ký ngày 10/03/2026 HĐ số 17</t>
  </si>
  <si>
    <t>100% dịch vụ quảng cáo dự án Neutrogena Key Assets Production 2026 theo BBNTTL của hợp đồng số HĐ/653/2026/METUB ký ngày 02/03/2026 HĐ số 18</t>
  </si>
  <si>
    <t>Điều chỉnh giảm 100% dịch vụ quảng cáo dự án Neutrogena Key Assets Production 2026 theo BBNTTL của hợp đồng số HĐ/653/2026/METUB ký ngày 02/03/2026 HĐ số 18</t>
  </si>
  <si>
    <t>Cung cấp dịch vụ 100% theo BBNT ký ngày 20/03/2026 của Hợp đồng số HĐ/190/2026/MMUSIC ký ngày 02/03/2026 HĐ số 19</t>
  </si>
  <si>
    <t>Điều chỉnh giảm Cung cấp dịch vụ 100% theo BBNT ký ngày 20/03/2026 của Hợp đồng số HĐ/190/2026/MMUSIC ký ngày 02/03/2026 HĐ số 19</t>
  </si>
  <si>
    <t>Điều chỉnh giảm Dịch vụ quảng cáo và truyền thông theo Hợp đồng số T1025A1/HĐB/DCME-ADN206 ký ngày 04/03/2026 HĐ số 20</t>
  </si>
  <si>
    <t>Điều chỉnh giảm Dịch vụ quảng cáo và truyền thông theo Hợp đồng số 5332026/HĐDV/Y&amp;B ký ngày 01/03/2026 kèm Biên bản nghiệm thu và thanh toán số 5332026/BBNT-TT/Y&amp;B ký ngày 31/03/2026 HĐ số 21</t>
  </si>
  <si>
    <t>Nhận Dịch vụ quảng cáo và truyền thông theo Hợp đồng số T0126A1/HĐBK-KOL/DCME-ADN206 ký ngày 06/01/2026 HĐ số 4</t>
  </si>
  <si>
    <t>415</t>
  </si>
  <si>
    <t>CT DI:601911832955 rut tien mat</t>
  </si>
  <si>
    <t>CT DI:188K2610TH2PBR7B rut tien mat</t>
  </si>
  <si>
    <t>Nhận Dịch vụ quảng cáo và truyền thông theo Hợp đồng số HKD HABANHQUY _3BRO3_SIMPLE CORE_260103_001 ký ngày 12/02/2026 HĐ số 10</t>
  </si>
  <si>
    <t>Nhận Dịch vụ quảng cáo và truyền thông theo Hợp đồng số T0825A1/HĐB/DCME-ADN205 ký ngày 06/01/2026 HĐ số 2</t>
  </si>
  <si>
    <t>Nhận Dịch vụ quảng cáo và truyền thông theo Hợp đồng số 06012026HDDVHABANHQUYBOJ ký ngày 06/01/2026 và Biên bản nghiệm thu ký ngày 09/01/2026 HĐ số 3</t>
  </si>
  <si>
    <t>CT DI:188K2610GML74REA rut tien mat</t>
  </si>
  <si>
    <t>HKD Ha Banh Quy (MVD KQOOO) - phí</t>
  </si>
  <si>
    <t>Nhận Dịch vụ quảng cáo và truyền thông theo Hợp đồng số 210126/HĐDV/TIAM-COOKIEHOANG_ ký ngày 21/01/2026 HĐ số 6</t>
  </si>
  <si>
    <t>Lãi tiền gửi</t>
  </si>
  <si>
    <t>CT DI:188K2611B59656V0 rut tien mat</t>
  </si>
  <si>
    <t>CT DI:602317185667 rut tien mat</t>
  </si>
  <si>
    <t>Nhận Dịch vụ quảng cáo và truyền thông theo Hợp đồng số T0923A1/HĐB/DCME-ADN206 ký ngày 17/01/2026 HĐ số 5</t>
  </si>
  <si>
    <t>262010207A-0013100/188N26112</t>
  </si>
  <si>
    <t>CT DI:602309609606 rut tien mat</t>
  </si>
  <si>
    <t>Nhận Dịch vụ quảng cáo và truyền thông theo Hợp đồng số 26022026/HDDV/TUXI-HBQ ký ngày 26/02/2026 (Đợt 1) HĐ số 14</t>
  </si>
  <si>
    <t>CT DI:606519662336 rut tien mat</t>
  </si>
  <si>
    <t>Nhận Dịch vụ quảng cáo và truyền thông theo Hợp đồng số FINTVN-ATTENIR-2026-41 ký ngày 03/02/2026 (Đợt 1) HĐ số 12</t>
  </si>
  <si>
    <t>Nhận Dịch vụ quảng cáo và truyền thông theo Hợp đồng số 11022026HĐGT-HBQ ký ngày 11/02/2026 HĐ số 13</t>
  </si>
  <si>
    <t>Nhận Dịch vụ quảng cáo và truyền thông theo Hợp đồng số FINTVN-LAURIER-PANTIES-2026-60 ký ngày 20/01/2026 và Biên bản nghiệm thu ký ngày 30/01/2026 HĐ số 8</t>
  </si>
  <si>
    <t>HKD Ha Banh Quy mvd KQ000 - phí</t>
  </si>
  <si>
    <t>CT DI:603723041233 rut tien mat</t>
  </si>
  <si>
    <t>Nhận Dịch vụ quảng cáo và truyền thông theo Hợp đồng số 270126/HĐDV/CHUNG-COOKIEHOANG_ ký ngày 27/01/2026 HĐ số 7</t>
  </si>
  <si>
    <t>CT DI:608318799835 rut tien mat</t>
  </si>
  <si>
    <t>Nhận Dịch vụ quảng cáo và truyền thông theo Hợp đồng số T09MPD25HDDV-0084-0319 MINHHUYEN ký ngày 30/01/2026 và Biên bản nghiệm thu ký ngày 12/02/2026 HĐ số 9</t>
  </si>
  <si>
    <t>CT DI:607109908053 rut tien mat</t>
  </si>
  <si>
    <t>Nhận Dịch vụ quảng cáo và truyền thông theo Hợp đồng số 1712026/HĐDV/Y&amp;B ký ngày 02/01/2026 kèm Biên bản nghiệm thu và thanh toán số 1712026/BBNT-TT/Y&amp;B ký ngày 05/03/2026 HĐ số 16</t>
  </si>
  <si>
    <t>CT DI:606918517169 QR rut tien mat</t>
  </si>
  <si>
    <t>Tra lai tien gui so TK: 312042018-20260117</t>
  </si>
  <si>
    <t>CUSTOMER rut tien mat nhap quy Trace 543365</t>
  </si>
  <si>
    <t>CUSTOMER BNT TT BOOKING HKD HA BANH QUY CFT PERFUMES Q4</t>
  </si>
  <si>
    <t>CUSTOMER rut tien mat nhap quy Trace 330601</t>
  </si>
  <si>
    <t>Nhận Dịch vụ quảng cáo và truyền thông theo Hợp đồng số 31/12/25//HDDV/Mialala - HBQ ký ngày 25/12/2025 và Biên bản nghiệm thu ký ngày 07/01/2026 HĐ số 1</t>
  </si>
  <si>
    <t>Tra lai tien gui so TK: 312042018-20260321</t>
  </si>
  <si>
    <t>CUSTOMER MBCT rut tien mat nhap quy D2LJHBX1</t>
  </si>
  <si>
    <t>CUSTOMER rut tien mat nhap quy Trace 646971</t>
  </si>
  <si>
    <t>Thanh toán Đồ ăn /Beef Pho Đồ uống / Bubble tea red fruit -Giảm Giá /Social Club Food Disc 25% Phí dịch vụ (Service Charge) HĐ số 425</t>
  </si>
  <si>
    <t>Thanh toán Phí dịch vụ tư vấn tháng 12/2025 HĐ số 7</t>
  </si>
  <si>
    <t>Thanh toán Do uong/ Jasmine Pearls Gingerbread Chestnut Macaron -Giam Gia/Social Club Food Disc 25% Phí dịch vụ (Service Charge) HĐ số 585</t>
  </si>
  <si>
    <t>Thanh toán Do an/Afternoon tea Set -Giam Gia/Social Club Food Disc 25% Phí dịch vụ (Service Charge) HĐ số 991</t>
  </si>
  <si>
    <t>Thanh toán Do uong/ Bubble tea red fruit Do an/Beef Pho Do an/Trolley Cake Mango-Passion Crumble -Giam Gia/Social Club Food Disc 25% Phí dịch vụ (Service Charge) HĐ số 2598</t>
  </si>
  <si>
    <t>Thanh toán Phí dịch vụ tư vấn tháng 01/2026 HĐ số 41</t>
  </si>
  <si>
    <t>Thanh toán Trà vải Canh chả cá Mì đen Gà viên chiên - Sốt cay ngọt Set gà xào bắp cải phô mai Rich Gold - 2 người Trà đào HĐ số 2045</t>
  </si>
  <si>
    <t>Thanh toán Do an/Chicken Pho Do uong/ Bubble tea red fruit -Giam Gia/Social Club Food Disc 25% Phí dịch vụ (Service Charge) HĐ số 3133</t>
  </si>
  <si>
    <t>Thanh toán Tiền thuê văn phòng gói SAVE+ từ ngày 01/02/2026 đến ngày 22/11/2026 tại địa chỉ Số 05 Đồng Nai, Phường Tân Sơn Hòa, TP. Hồ Chí Minh. Theo phụ lục hợp đồng số: 0701/VPA/05DN  HĐ số 291</t>
  </si>
  <si>
    <t>Thanh toán ÁO CARDIGAN NAM TAY DÀI(4999000@2%) TÚI GIẤY SPW SIZE M (Hàng tặng không thu tiền) HĐ số 46766</t>
  </si>
  <si>
    <t>Thanh toán Cơm Cuộn Cá Hồi  Bơ Sashimi Cá Hồi Sashimi Cá Trích Ép Trứng Sashimi Sò Đỏ Pineapple Juice Salad Tôm Trứng Cá Cay  Bơ HĐ số 302</t>
  </si>
  <si>
    <t>Thanh toán Do an/ Chocolate Peanut Sundae -Giam Gia/Social Club Food Disc 25% Phí dịch vụ (Service Charge) HĐ số 3658</t>
  </si>
  <si>
    <t>Thanh toán Món ăn Nhật Bản Omakase, suất ăn dễ thương; bao gồm: các loại cá, thịt bò, mực, tôm,.... theo ngày,  súp và kem ( Kawai set) HĐ số 103</t>
  </si>
  <si>
    <t>Thanh toán Phí dịch vụ tư vấn tháng 02/2026 HĐ số 73</t>
  </si>
  <si>
    <t>Thanh toán Đồ uống / Anna Held Đồ ăn / Yoghurt Berries Waffle -Giảm giá /Social Club Food Disc 25% Phí dịch vụ (Service Charge) HĐ số 8391</t>
  </si>
  <si>
    <t>Chi phí tiếp khách, ngoại giao HĐ số 151</t>
  </si>
  <si>
    <t>Chi phí tiếp khách, ngoại giao HĐ số 609</t>
  </si>
  <si>
    <t>v</t>
  </si>
  <si>
    <t>Chi phí đồ dùng văn phòng HĐ số 52</t>
  </si>
  <si>
    <t>Chi phí đồ dùng văn phòng HĐ số 58002</t>
  </si>
  <si>
    <t>Chi phí đồ dùng văn phòng HĐ số 131600</t>
  </si>
  <si>
    <t>Dịch vụ thực hiện sản xuất và đăng tải video review về sản phẩm Tinh chất bí đao N7 theo Hợp đồng số 042026/HĐDV/Y&amp;B ký ngày 01/12/2025 HĐ số 4</t>
  </si>
  <si>
    <t>Thanh toán SU7 Mì tomyum hải sản TCT5 Nước long nhãn đường nâu TTC5 Trà xoài  TT2 Trà chanh Thái trái mơ CP15 Pad Thái truyền thống SD9 Nọng heo xông khói Chilli Thái COT1 Khăn lạnh HĐ số 252</t>
  </si>
  <si>
    <t>Thanh toán Bánh kem 14cm Bánh mì bơ sữa Bông lan cuộn hoàng kim Bông lan nhật Chuối Cake Bỏng ngô Chuối cake mini HĐ số 44</t>
  </si>
  <si>
    <t>Thanh toán Gọng kính hiệu HMK KM28070 ĐEN VÀNGC1 HỘP DA CẬN Giảm giá hàng bán - HỘP DA CẬN (Hàng khuyến mại không thu tiền) Gọng kính hiệu New Balance NB09381X C01 49 HĐ số 184</t>
  </si>
  <si>
    <t>Thanh toán Chi phí đồ dùng văn phòng HĐ số 52</t>
  </si>
  <si>
    <t>Thanh toán TÚI GIẤY 2020, 34, 01 - PD-PAPERBAG-S TÚI NAM, 34, 01 - PM2-25210206-3 HĐ số 23810</t>
  </si>
  <si>
    <t>Thanh toán Cọ trang điểm - 0138842 HĐ số 1237</t>
  </si>
  <si>
    <t>Thanh toán Phí dịch vụ tư vấn tháng 12/2025 HĐ số 27</t>
  </si>
  <si>
    <t>Thanh toán Phí dịch vụ Affiliate 01/2026_17313980220 (Affiliate Service fee 01/2026_17313980220) HĐ số 777435</t>
  </si>
  <si>
    <t>Thanh toán Aquafina Cơm chiên CUA Gỏi cá trê chiên xù Nọng heo nướng với nước chấm đặc biệt Tôm sống sốt hải sản Trà cam thảo mộc Trứng muối HĐ số 3071</t>
  </si>
  <si>
    <t>Thanh toán Phí dịch vụ tư vấn tháng 01/2026 HĐ số 47</t>
  </si>
  <si>
    <t>Thanh toán Nạc vai heo tươi Cocacola Tươi (ly) Nước Ép Dưa Hấu Buffet xèo xèo Classic NL (S) Miến trộn HĐ số 403696</t>
  </si>
  <si>
    <t>Thanh toán Chi phí đồ dùng văn phòng HĐ số 58002</t>
  </si>
  <si>
    <t>Thanh toán BÒ FUJI NHẬT BẢN THƯỢNG HẠNG CƠM CHIÊN KIM CHI TRÀ CHANH MẬT ONG (Honey Lemon Tea) COCA COLA NHẬT GHI CHÚ HĐ số 817</t>
  </si>
  <si>
    <t>Thanh toán LÊ QUẢ TƯƠI SIZE 30-13KG HĐ số 66</t>
  </si>
  <si>
    <t>Thanh toán Bông lan trứng muối Xoài sấy dẻo Xoài sấy dẻo Khô gà lá chanh nhỏ Khô gà lá chanh lớn Hạt điều cháy tỏi Macaron cây Vỏ bưởi sấy dẻo nhỏ Vỏ bưởi sấy dẻo lớn HĐ số 10</t>
  </si>
  <si>
    <t>Thanh toán Phí dịch vụ tư vấn tháng 02/2026 HĐ số 81</t>
  </si>
  <si>
    <t>Thanh toán Bánh Pizza HS Nhiệt Đới-Dày-S Mì Ý Thịt Bò Bằm Trà Chanh Bạc Hà-Bình HĐ số 7127</t>
  </si>
  <si>
    <t>Thanh toán PHÍ BAO BÌ L - TRÀ SỮA OOLONG ĐÀO Ngọt nguyên bản Đá bình thường HĐ số 13760</t>
  </si>
  <si>
    <t>Thanh toán Chi phí đồ dùng văn phòng HĐ số 131600</t>
  </si>
  <si>
    <t>Rút tiền mặt</t>
  </si>
  <si>
    <t>Nộp BHXH</t>
  </si>
  <si>
    <t>Phí ngân hàng</t>
  </si>
  <si>
    <t>Doanh thu Dịch vụ quảng cáo và truyền thông theo Hợp đồng số HDDV/OLAYSCARLETxVĐxVTB/221025 ký ngày 22/10/2025 và Biên bản nghiệm thu ký ngày 29/10/2025 HĐ số 29</t>
  </si>
  <si>
    <t>Tiktok Shop</t>
  </si>
  <si>
    <t>Nhận Doanh thu Dịch vụ quảng cáo và truyền thông theo Hợp đồng số HKD THP_ GARNIER_ON_TOP_01102025 ký ngày 01/10/2025 và Biên bản nghiệm thu ký ngày 16/10/2025 HĐ số 27</t>
  </si>
  <si>
    <t>Giao dịch (262010207A-0018750)</t>
  </si>
  <si>
    <t>Nhận Dịch vụ quảng cáo và truyền thông theo Hợp đồng số 912/2025/LINK-TRANHONGPHUC ký ngày 09/12/2025 và Biên bản nghiệm thu ký ngày 13/01/2026 HĐ số 1</t>
  </si>
  <si>
    <t>Nhận Dịch vụ quảng cáo và truyền thông theo Hợp đồng số 1001T1/26/HĐDV – BIO ký ngày 14/01/2026 HĐ số 5</t>
  </si>
  <si>
    <t>Nhận Dịch vụ thực hiện sản xuất và đăng tải video review về sản phẩm Tinh chất bí đao N7 theo Hợp đồng số 042026/HĐDV/Y&amp;B ký ngày 01/12/2025 HĐ số 4</t>
  </si>
  <si>
    <t>Nhận Dịch vụ quảng cáo và truyền thông theo Hợp đồng số VT-MCN-V002 ký ngày 01/01/2026 Advertising and media services under Contract No. VT-MCN-V002 signed on January 1, 2026 HĐ số 3</t>
  </si>
  <si>
    <t>Nộp tiền gửi ngân hàng</t>
  </si>
  <si>
    <t>Nhận Dịch vụ quảng cáo và truyền thông theo Hợp đồng số HKD THP_ LOREAL PEEL MELASYL_15122025 ký ngày 15/12/2025 kèm Biên bản nghiệm thu và thanh lý ký ngày 22/01/2026 HĐ số 2</t>
  </si>
  <si>
    <t>Nhận Dịch vụ quảng cáo và truyền thông theo Hợp đồng số 20012026HDDV/MEISHANG – TRANHONGPHUC ký ngày 20/01/2026 và Biên bản nghiệm thu ký ngày 02/03/2026 HĐ số 7</t>
  </si>
  <si>
    <t>Doanh thu Tiktok Shop</t>
  </si>
  <si>
    <t>Nhận Dịch vụ quảng cáo và truyền thông theo Thỏa thuận số VT-MCN-V002 ký ngày 01/02/2026 HĐ số 6</t>
  </si>
  <si>
    <t>Nhận Dịch vụ quảng cáo và truyền thông</t>
  </si>
  <si>
    <t>Nộp Thuế GTGT, TNCN sàn TMĐT</t>
  </si>
  <si>
    <t>0301519977-021</t>
  </si>
  <si>
    <t>Điều chỉnh giảm Dịch vụ quảng cáo và truyền thông theo Hợp đồng số 2612/2025/HĐHTKD ký ngày 26/12/2025 và Biên bản nghiệm thu ký ngày 07/01/2026 HĐ số 1</t>
  </si>
  <si>
    <t>Điều chỉnh giảm Dịch vụ quảng cáo và truyền thông theo Hợp đồng số 2612-2/2025/HĐHTKD ký ngày 26/12/2025 (Đợt 1) HĐ số 2</t>
  </si>
  <si>
    <t>Điều chỉnh giảm Dịch vụ quảng cáo và truyền thông theo Hợp đồng số 03/2025/HDDV-MKT-HT-KOLký ngày 01/12/2025 kèm Biên bản nghiệm thu và thanh lý ký ngày 10/01/2026 HĐ số 3</t>
  </si>
  <si>
    <t>Điều chỉnh giảm Dịch vụ quảng cáo và truyền thông theo Hợp đồng số 030725/HDDV/RV/KOL ký ngày 25/12/2025 HĐ số 4</t>
  </si>
  <si>
    <t>Điều chỉnh giảm Thanh toán 100% phí dịch vụ OAP - Triple Power Mar&amp;apos;26 - Scope 3 - 3003 SOW số 37917/2025/WPP-BTL-LO ID Tiktok: thuyen_huynh HĐ số 6</t>
  </si>
  <si>
    <t>Điều chỉnh giảm Dịch vụ quảng cáo và truyền thông theo Hợp đồng số 1803-26/HPG-HT ký ngày 18/03/2026 (Đợt 1) HĐ số 7</t>
  </si>
  <si>
    <t>Điều chỉnh giảm Dịch vụ quảng cáo và truyền thông theo Hợp đồng số 1203/2026/HĐDV/LINK-HUYNHTHUYEN-CASMARA ký ngày 12/03/2026 kèm Biên bản nghiệm thu ký ngày 31/03/2026 HĐ số 9</t>
  </si>
  <si>
    <t>Điều chỉnh giảm Dịch vụ quảng cáo và truyền thông theo Hợp đồng số QC1503/2026/HĐQC/LPCOS - HKD HUỲNH THUYÊN ký ngày 15/03/2026 kèm Biên bản nghiệm thu và thanh lý ký ngày 31/03/2026 HĐ số 8</t>
  </si>
  <si>
    <t>Thanh toán Phí dịch vụ tư vấn tháng 11/2025 HĐ số 29</t>
  </si>
  <si>
    <t>Thanh toán  HĐ số 94109</t>
  </si>
  <si>
    <t>Thanh toán THU LAI NGAN HANG (INTEREST COLLECTION) HĐ số 91926</t>
  </si>
  <si>
    <t>Thanh toán THU LAI NGAN HANG (INTEREST COLLECTION) HĐ số 96319</t>
  </si>
  <si>
    <t>Thanh toán GIAY DE CAO
QUAN DAI
QUAN DAI HĐ số 33369</t>
  </si>
  <si>
    <t>Thanh toán Cước phí vận tải chuyến 1290061879
Phí sử dụng ứng dụng Be
Phí xử lý đơn hàng HĐ số 2665523</t>
  </si>
  <si>
    <t>Thanh toán Cước phí vận tải chuyến 1298203702
Phí sử dụng ứng dụng Be
Phí xử lý đơn hàng HĐ số 3599655</t>
  </si>
  <si>
    <t>Thanh toán Phí dịch vụ tư vấn tháng 01/2026 HĐ số 57</t>
  </si>
  <si>
    <t>Thanh toán THU LAI NGAN HANG (INTEREST COLLECTION) HĐ số 250313</t>
  </si>
  <si>
    <t>Thanh toán THU LAI NGAN HANG (INTEREST COLLECTION) HĐ số 254724</t>
  </si>
  <si>
    <t>Thanh toán  HĐ số 19456</t>
  </si>
  <si>
    <t>Thanh toán  HĐ số 2905</t>
  </si>
  <si>
    <t>Thanh toán  Tiền thuê văn phòng gói SAVE+ từ ngày 12/03/2026 đến ngày 11/03/2027 tại địa chỉ Số 05 Cửu Long, Phường Tân Sơn Hòa, TP. Hồ Chí Minh. Theo phụ lục hợp đồng số: 0786/VPA/05CL  HĐ số 481</t>
  </si>
  <si>
    <t>Thanh toán Phí dịch vụ tư vấn tháng 02/2026 HĐ số 96</t>
  </si>
  <si>
    <t>Thanh toán THU LAI NGAN HANG (INTEREST COLLECTION) HĐ số 473992</t>
  </si>
  <si>
    <t>Thanh toán THU LAI NGAN HANG (INTEREST COLLECTION) HĐ số 485308</t>
  </si>
  <si>
    <t>Nhận Dịch vụ quảng cáo và truyền thông theo Hợp đồng số 030725/HDDV/RV/KOL ký ngày 25/12/2025 HĐ số 4</t>
  </si>
  <si>
    <t>Nhận doanh thu dịch vụ quảng cáo</t>
  </si>
  <si>
    <t>Nhận Dịch vụ quảng cáo và truyền thông theo Hợp đồng số 03/2025/HDDV-MKT-HT-KOLký ngày 01/12/2025 kèm Biên bản nghiệm thu và thanh lý ký ngày 10/01/2026 HĐ số 3</t>
  </si>
  <si>
    <t>Thuế GTGT, TNCN sàn TMĐT</t>
  </si>
  <si>
    <t>Nhận doanh thu Tiktok</t>
  </si>
  <si>
    <t>Nhận Dịch vụ quảng cáo và truyền thông theo Hợp đồng số 202509/CONG TY TNHH THUONG MAI MY PHAM BAO CHAU x HKD HUYNH THUYEN ký ngày 24/01/2026 và Biên bản nghiệm thu ký ngày 04/02/2026 HĐ số 5</t>
  </si>
  <si>
    <t>Nộp tiền mặt vào ngân hàng</t>
  </si>
  <si>
    <t>Nhận Dịch vụ quảng cáo và truyền thông theo Hợp đồng số 1803-26/HPG-HT ký ngày 18/03/2026 (Đợt 1) HĐ số 7</t>
  </si>
  <si>
    <t>Nhận Dịch vụ quảng cáo và truyền thông theo Hợp đồng số QC1503/2026/HĐQC/LPCOS - HKD HUỲNH THUYÊN ký ngày 15/03/2026 kèm Biên bản nghiệm thu và thanh lý ký ngày 31/03/2026 HĐ số 8</t>
  </si>
  <si>
    <t>Thanh toán Chi phí đồ dùng văn phòng HĐ số 2148</t>
  </si>
  <si>
    <t>Chi phí đồ dùng văn phòng HĐ số 2148</t>
  </si>
  <si>
    <t>Điều chỉnh giảm Dịch vụ quảng cáo và truyền thông theo Hợp đồng số 202509/CONG TY TNHH THUONG MAI MY PHAM BAO CHAU x HKD HUYNH THUYEN ký ngày 24/01/2026 HĐ số 5</t>
  </si>
  <si>
    <t>Nhận Dịch vụ quảng cáo và truyền thông theo Hợp đồng số RVHN-LT1/2026/DDD ký ngày 05/01/2026 HĐ số 1</t>
  </si>
  <si>
    <t>Nhận Dịch vụ quảng cáo và truyền thông theo Hợp đồng số 042/2026/HDDV/OQR ký ngày 10/01/2026 kèm Biên bản nghiệm thu và thanh lý ký ngày 19/01/2026 HĐ số 2</t>
  </si>
  <si>
    <t>Hoàn tiền chuyển thừa</t>
  </si>
  <si>
    <t>Nhận Doanh thu Dịch vụ quảng cáo và truyền thông theo Hợp đồng số 112025VULACI-TRUONGNHADINH ký ngày 15/11/2025 (Đợt 2) HĐ số 17</t>
  </si>
  <si>
    <t>Nộp Thuế GTGT, TNCN phải nộp 2025/Q4</t>
  </si>
  <si>
    <t>Nộp Chi phí bảo hiểm</t>
  </si>
  <si>
    <t>Nhận Doanh thu Thanh toán 100% phí dịch vụ OAP - Festive Campaign - Video - Scope 3 - 3001 SOW số 33910/2025/WPP-BTL-LO ID Tiktok: tnhadinh HĐ số 18</t>
  </si>
  <si>
    <t>Nhận Phí dịch vụ sử dụng hình ảnh theo Hợp đồng số 1012026/HĐDV/Y&amp;B ký ngày 02/01/2026 HĐ số 3</t>
  </si>
  <si>
    <t>0318860335</t>
  </si>
  <si>
    <t>Nhận Dịch vụ quảng cáo và truyền thông theo Hợp đồng số 0702/2026/HĐNT/QIANDU-ND ký ngày 07/02/2026 (Đợt 1) HĐ số 5</t>
  </si>
  <si>
    <t>Nhận Dịch vụ quảng cáo và truyền thông theo Hợp đồng số 0702/2026/HĐNT/QIANDU-ND ký ngày 07/02/2026 (Đợt 2) HĐ số 6</t>
  </si>
  <si>
    <t>Nhận Doanh thu chia sẻ từ 10/2025 đến 02/2026 theo Thỏa thuận hợp tác ký ngày 23/04/2025 và Biên Bản nghiệm thu ký ngày 06/02/2026</t>
  </si>
  <si>
    <t>Nhận Thanh toán 100% phí dịch vụ OAP - UV SUSTAIN Mar&amp;apos;26 - Video - Scope 3 - 100326 SOW số 36868/2025/WPP-BTL-LO ID TIktok: tnhadinh HĐ số 7</t>
  </si>
  <si>
    <t>Nhận Dịch vụ quảng cáo và truyền thông theo Hợp đồng số 132/2026/HDDV/OQR ký ngày 27/02/2026 kèm Biên bản nghiệm thu và thanh lý số 132.01/2026/BBNT/OQR ký ngày 20/03/2026 HĐ số 9</t>
  </si>
  <si>
    <t>Nhận Dịch vụ quảng cáo và truyền thông theo Hợp đồng số 20260310/AZEDxTRUONGNHADINH ký ngày 10/03/2026 (Đợt 1) HĐ số 10</t>
  </si>
  <si>
    <t>Thanh toán Phí thí nghiệm mẫu 117-11-03-26/TNPV-3 HĐ số 1829</t>
  </si>
  <si>
    <t>Nhận Thanh toán 100% phí dịch vụ GRN - KOC Hub Mochi - Scope 3 - 300326 SOW số 41021/2025/WPP-BTL-LO ID Tiktok: tnhadinh HĐ số 8</t>
  </si>
  <si>
    <t>Chuyển tiền nhầm</t>
  </si>
  <si>
    <t>Nhận lại tiền chuyển nhầm</t>
  </si>
  <si>
    <t>Chi phí tiếp khách, ngoại giao HĐ số 216</t>
  </si>
  <si>
    <t>Chi phí tiếp khách, ngoại giao HĐ số 450</t>
  </si>
  <si>
    <t>Chi phí tiếp khách, ngoại giao HĐ số 47460</t>
  </si>
  <si>
    <t>Chi phí tiếp khách, ngoại giao HĐ số 125</t>
  </si>
  <si>
    <t>Chi phí tiếp khách, ngoại giao HĐ số 241439</t>
  </si>
  <si>
    <t>Chi phí tiếp khách, ngoại giao HĐ số 1330</t>
  </si>
  <si>
    <t>Chi phí tiếp khách, ngoại giao HĐ số 2478</t>
  </si>
  <si>
    <t>Chi phí tiếp khách, ngoại giao HĐ số 1250</t>
  </si>
  <si>
    <t>Chi phí tiếp khách, ngoại giao HĐ số 1553</t>
  </si>
  <si>
    <t>Chi phí tiếp khách, ngoại giao HĐ số 8416</t>
  </si>
  <si>
    <t>Chi phí tiếp khách, ngoại giao HĐ số 4058</t>
  </si>
  <si>
    <t>Chi phí tiếp khách, ngoại giao HĐ số 9189</t>
  </si>
  <si>
    <t>Chi phí tiếp khách, ngoại giao HĐ số 13396</t>
  </si>
  <si>
    <t>Chi phí tiếp khách, ngoại giao HĐ số 4135</t>
  </si>
  <si>
    <t>Chi phí tiếp khách, ngoại giao HĐ số 2009</t>
  </si>
  <si>
    <t>Chi phí tiếp khách, ngoại giao HĐ số 353433</t>
  </si>
  <si>
    <t>Chi phí tiếp khách, ngoại giao HĐ số 13004</t>
  </si>
  <si>
    <t>Doanh thu chia sẻ từ 10/2025 đến 02/2026 theo Thỏa thuận hợp tác ký ngày 23/04/2025 và Biên Bản nghiệm thu ký ngày 06/02/2026 HĐ số 4</t>
  </si>
  <si>
    <t>Thanh toán Cước phí vận chuyển mã 01KDV8AE6H3ZVRESWVWSS0536V HĐ số 42343</t>
  </si>
  <si>
    <t>Thanh toán Phí dịch vụ tư vấn tháng 12/2025 HĐ số 20</t>
  </si>
  <si>
    <t>Thanh toán Cước phí vận tải chuyến 1272816172 Phí sử dụng ứng dụng Be HĐ số 1204331</t>
  </si>
  <si>
    <t>Thanh toán Cước phí vận tải chuyến 1272744650 Phí sử dụng ứng dụng Be HĐ số 1189448</t>
  </si>
  <si>
    <t>Thanh toán  HĐ số 22950</t>
  </si>
  <si>
    <t>Thanh toán  HĐ số 22949</t>
  </si>
  <si>
    <t>Thanh toán Cước phí vận tải chuyến 1273736320 Phí sử dụng ứng dụng Be HĐ số 1453758</t>
  </si>
  <si>
    <t>Thanh toán Cước phí vận tải chuyến 1272940959 Phí sử dụng ứng dụng Be HĐ số 1243254</t>
  </si>
  <si>
    <t>Thanh toán Cước phí vận tải chuyến 1274507392 Phí sử dụng ứng dụng Be HĐ số 1663185</t>
  </si>
  <si>
    <t>Thanh toán Cước phí vận tải chuyến 1274141522 Phí sử dụng ứng dụng Be HĐ số 1572827</t>
  </si>
  <si>
    <t>Thanh toán Cước phí vận tải chuyến 1274057913 Phí sử dụng ứng dụng Be HĐ số 1551002</t>
  </si>
  <si>
    <t>Thanh toán Cước phí vận tải chuyến 1273988330 Phí sử dụng ứng dụng Be HĐ số 1538722</t>
  </si>
  <si>
    <t>Thanh toán Cước phí vận tải chuyến 1273792632 Phí sử dụng ứng dụng Be HĐ số 1475578</t>
  </si>
  <si>
    <t>Thanh toán Chi phí tiếp khách, ngoại giao HĐ số 216</t>
  </si>
  <si>
    <t>Thanh toán Cước phí vận tải chuyến 1275162009 Phí sử dụng ứng dụng Be HĐ số 1846632</t>
  </si>
  <si>
    <t>Thanh toán Cước phí vận tải chuyến 1275089068 Phí sử dụng ứng dụng Be HĐ số 1826000</t>
  </si>
  <si>
    <t>Thanh toán Cước phí vận tải chuyến 1274642266 Phí sử dụng ứng dụng Be HĐ số 1708730</t>
  </si>
  <si>
    <t>Thanh toán Chi phí tiếp khách, ngoại giao HĐ số 450</t>
  </si>
  <si>
    <t>Thanh toán Cước phí vận tải chuyến 1275960771 Phí sử dụng ứng dụng Be HĐ số 2063523</t>
  </si>
  <si>
    <t>Thanh toán Cước phí vận tải chuyến 1275893184 Phí sử dụng ứng dụng Be HĐ số 2047073</t>
  </si>
  <si>
    <t>Thanh toán Cước phí vận tải chuyến 1278168559 Phí sử dụng ứng dụng Be HĐ số 2683186</t>
  </si>
  <si>
    <t>Thanh toán Cước phí vận tải chuyến 1277685482 Phí sử dụng ứng dụng Be HĐ số 2554466</t>
  </si>
  <si>
    <t>Thanh toán Cước phí vận tải chuyến 1277603909 Phí sử dụng ứng dụng Be HĐ số 2533324</t>
  </si>
  <si>
    <t>Thanh toán Cước phí vận tải chuyến 1278872514 Phí sử dụng ứng dụng Be HĐ số 2872369</t>
  </si>
  <si>
    <t>Thanh toán Cước phí vận tải chuyến 1278762945 Phí sử dụng ứng dụng Be HĐ số 2840863</t>
  </si>
  <si>
    <t>Thanh toán Cước phí vận tải chuyến 1278526672 Phí sử dụng ứng dụng Be HĐ số 1271837</t>
  </si>
  <si>
    <t>Thanh toán Chi phí tiếp khách, ngoại giao HĐ số 47460</t>
  </si>
  <si>
    <t>Thanh toán Chi phí tiếp khách, ngoại giao HĐ số 125</t>
  </si>
  <si>
    <t>Thanh toán Cước phí vận tải chuyến 1279784536 Phí sử dụng ứng dụng Be HĐ số 3130590</t>
  </si>
  <si>
    <t>Thanh toán Cước phí vận tải chuyến 1279723587 Phí sử dụng ứng dụng Be HĐ số 3110791</t>
  </si>
  <si>
    <t>Thanh toán Cước phí vận tải chuyến 1279547762 Phí sử dụng ứng dụng Be HĐ số 3072508</t>
  </si>
  <si>
    <t>Thanh toán Cước phí vận tải chuyến 1279423859 Phí sử dụng ứng dụng Be HĐ số 3036625</t>
  </si>
  <si>
    <t>Thanh toán Cước phí vận tải chuyến 1279373713 Phí sử dụng ứng dụng Be HĐ số 3023051</t>
  </si>
  <si>
    <t>Thanh toán Cước phí vận tải chuyến 1280813365 Phí sử dụng ứng dụng Be HĐ số 3413602</t>
  </si>
  <si>
    <t>Thanh toán Cước phí vận tải chuyến 1280719905 Phí sử dụng ứng dụng Be HĐ số 3382689</t>
  </si>
  <si>
    <t>Thanh toán Cước phí vận tải chuyến 1280277998 Phí sử dụng ứng dụng Be HĐ số 3271188</t>
  </si>
  <si>
    <t>Thanh toán Cước phí vận tải chuyến 1280251796 Phí sử dụng ứng dụng Be HĐ số 3263159</t>
  </si>
  <si>
    <t>Thanh toán Cước phí vận tải chuyến 1280175444 Phí sử dụng ứng dụng Be HĐ số 3248227</t>
  </si>
  <si>
    <t>Thanh toán Cước phí vận tải chuyến 1280095583 Phí sử dụng ứng dụng Be HĐ số 3234225</t>
  </si>
  <si>
    <t>Thanh toán Cước phí vận tải chuyến 1281723025 Phí sử dụng ứng dụng Be HĐ số 3636582</t>
  </si>
  <si>
    <t>Thanh toán Cước phí vận tải chuyến 1281375845 Phí sử dụng ứng dụng Be HĐ số 3553236</t>
  </si>
  <si>
    <t>Thanh toán Cước phí vận tải chuyến 1281224435 Phí sử dụng ứng dụng Be HĐ số 3521133</t>
  </si>
  <si>
    <t>Thanh toán Cước phí vận tải chuyến 1281146530 Phí sử dụng ứng dụng Be HĐ số 3504316</t>
  </si>
  <si>
    <t>Thanh toán Cước phí vận tải chuyến 1281082479 Phí sử dụng ứng dụng Be HĐ số 3490793</t>
  </si>
  <si>
    <t>Thanh toán Cước phí vận tải chuyến 1280825503 Phí sử dụng ứng dụng Be HĐ số 3419391</t>
  </si>
  <si>
    <t>Thanh toán TÚI GIẤY THƯỜNG, 000, 0M - 01YXHDHDWL0030 ĐỒ DỆT KIM NỮ, WC1, 0S - UWM950141 HĐ số 38007</t>
  </si>
  <si>
    <t>Thanh toán TÚI GIẤY, 04, 34 - CK-FSCCARRIERS GIÀY, 36, 41 - CK1-60361558 HĐ số 37894</t>
  </si>
  <si>
    <t>Thanh toán Cước phí vận tải chuyến 1282862849 Phí sử dụng ứng dụng Be HĐ số 3953215</t>
  </si>
  <si>
    <t>Thanh toán Cước phí vận tải chuyến 1282715322 Phí sử dụng ứng dụng Be HĐ số 3908377</t>
  </si>
  <si>
    <t>Thanh toán Cước phí vận tải chuyến 1282252652 Phí sử dụng ứng dụng Be HĐ số 3789384</t>
  </si>
  <si>
    <t>Thanh toán Cước phí vận tải chuyến 1282148902 Phí sử dụng ứng dụng Be HĐ số 3765115</t>
  </si>
  <si>
    <t>Thanh toán Cước phí vận tải chuyến 1283596344 Phí sử dụng ứng dụng Be HĐ số 4171859</t>
  </si>
  <si>
    <t>Thanh toán Cước phí vận tải chuyến 1283434107 Phí sử dụng ứng dụng Be HĐ số 4124950</t>
  </si>
  <si>
    <t>Thanh toán Cước phí vận tải chuyến 1283250845 Phí sử dụng ứng dụng Be HĐ số 4069750</t>
  </si>
  <si>
    <t>Thanh toán Cước phí vận tải chuyến 1283173903 Phí sử dụng ứng dụng Be HĐ số 4048257</t>
  </si>
  <si>
    <t>Thanh toán Cước phí vận tải chuyến 1283921888 Phí sử dụng ứng dụng Be HĐ số 4269629</t>
  </si>
  <si>
    <t>Thanh toán Cước phí vận tải chuyến 1283845223 Phí sử dụng ứng dụng Be HĐ số 4253537</t>
  </si>
  <si>
    <t>Thanh toán Cước phí vận tải chuyến 1285398706 Phí sử dụng ứng dụng Be HĐ số 4656253</t>
  </si>
  <si>
    <t>Thanh toán Cước phí vận tải chuyến 1284753648 Phí sử dụng ứng dụng Be HĐ số 4494692</t>
  </si>
  <si>
    <t>Thanh toán Cước phí vận tải chuyến 1284695316 Phí sử dụng ứng dụng Be HĐ số 4485982</t>
  </si>
  <si>
    <t>Thanh toán Cước phí vận tải chuyến 1284746144 Phí sử dụng ứng dụng Be HĐ số 2028793</t>
  </si>
  <si>
    <t>Thanh toán Bánh Hộp Tròn Mini - Tiramisu Bánh Tart Ngàn Lớp - Dưa Lưới Bánh Tart Ngàn Lớp - Cherry HĐ số 31683</t>
  </si>
  <si>
    <t>Thanh toán Cước phí vận tải chuyến 1285689412 Phí sử dụng ứng dụng Be HĐ số 4746250</t>
  </si>
  <si>
    <t>Thanh toán Cước phí vận tải chuyến 1285639517 Phí sử dụng ứng dụng Be HĐ số 4737769</t>
  </si>
  <si>
    <t>Thanh toán Cước phí vận tải chuyến 1287299765 Phí sử dụng ứng dụng Be HĐ số 5150701</t>
  </si>
  <si>
    <t>Thanh toán Cước phí vận tải chuyến 1287214522 Phí sử dụng ứng dụng Be HĐ số 5122776</t>
  </si>
  <si>
    <t>Thanh toán Cước phí vận tải chuyến 1287084453 Phí sử dụng ứng dụng Be HĐ số 5095438</t>
  </si>
  <si>
    <t>Thanh toán Cước phí vận tải chuyến 1286725190 Phí sử dụng ứng dụng Be HĐ số 5011041</t>
  </si>
  <si>
    <t>Thanh toán Cước phí vận tải chuyến 1286626367 Phí sử dụng ứng dụng Be HĐ số 4990256</t>
  </si>
  <si>
    <t>Thanh toán Cước phí vận tải chuyến 1286561723 Phí sử dụng ứng dụng Be HĐ số 4978944</t>
  </si>
  <si>
    <t>Thanh toán Chi phí tiếp khách, ngoại giao HĐ số 241439</t>
  </si>
  <si>
    <t>Thanh toán Cước phí vận tải chuyến 1288420870 Phí sử dụng ứng dụng Be HĐ số 5422082</t>
  </si>
  <si>
    <t>Thanh toán Cước phí vận tải chuyến 1288198890 Phí sử dụng ứng dụng Be HĐ số 5370647</t>
  </si>
  <si>
    <t>Thanh toán Cước phí vận tải chuyến 1287720017 Phí sử dụng ứng dụng Be HĐ số 5266140</t>
  </si>
  <si>
    <t>Thanh toán Cước phí vận tải chuyến 1287616689 Phí sử dụng ứng dụng Be HĐ số 5245453</t>
  </si>
  <si>
    <t>Thanh toán Cước phí vận tải chuyến 1287560925 Phí sử dụng ứng dụng Be HĐ số 5236462</t>
  </si>
  <si>
    <t>Thanh toán Cước phí vận tải chuyến 1287499552 Phí sử dụng ứng dụng Be HĐ số 5224180</t>
  </si>
  <si>
    <t>Thanh toán Khăn lạnh Pepsi Nước suối Nem cá Combo 4 ( 2 Chả cá 1 + 1 Bao tử + 1 Cháo cá nhỏ + 1 Xà lách ) HĐ số 313</t>
  </si>
  <si>
    <t>Thanh toán Cước phí vận tải chuyến 1288695985 Phí sử dụng ứng dụng Be HĐ số 5513549</t>
  </si>
  <si>
    <t>Thanh toán Cước phí vận tải chuyến 1288649459 Phí sử dụng ứng dụng Be HĐ số 5501463</t>
  </si>
  <si>
    <t>Thanh toán Cước phí vận tải chuyến 1289628062 Phí sử dụng ứng dụng Be HĐ số 5756249</t>
  </si>
  <si>
    <t>Thanh toán Cước phí vận tải chuyến 1291101011 Phí sử dụng ứng dụng Be HĐ số 6140370</t>
  </si>
  <si>
    <t>Thanh toán Cước phí vận tải chuyến 1292328393 Phí sử dụng ứng dụng Be HĐ số 6448943</t>
  </si>
  <si>
    <t>Thanh toán Cước phí vận tải chuyến 1292023575 Phí sử dụng ứng dụng Be HĐ số 6365654</t>
  </si>
  <si>
    <t>Thanh toán Cước phí vận tải chuyến 1291845571 Phí sử dụng ứng dụng Be HĐ số 6324662</t>
  </si>
  <si>
    <t>Thanh toán Cước phí vận tải chuyến 1291675401 Phí sử dụng ứng dụng Be HĐ số 6287444</t>
  </si>
  <si>
    <t>Thanh toán Cước phí vận tải chuyến 1293203834 Phí sử dụng ứng dụng Be HĐ số 6671018</t>
  </si>
  <si>
    <t>Thanh toán Cước phí vận tải chuyến 1292586233 Phí sử dụng ứng dụng Be HĐ số 6526896</t>
  </si>
  <si>
    <t>Thanh toán Chi phí tiếp khách, ngoại giao HĐ số 1330</t>
  </si>
  <si>
    <t>Thanh toán Cước phí vận tải chuyến 1293691722 Phí sử dụng ứng dụng Be HĐ số 6807989</t>
  </si>
  <si>
    <t>Thanh toán Cước phí vận tải chuyến 1293538768 Phí sử dụng ứng dụng Be HĐ số 6776526</t>
  </si>
  <si>
    <t>Thanh toán Cước phí vận tải chuyến 1293451209 Phí sử dụng ứng dụng Be HĐ số 6757597</t>
  </si>
  <si>
    <t>Thanh toán Cước phí vận tải chuyến 1293313053 Phí sử dụng ứng dụng Be HĐ số 6708104</t>
  </si>
  <si>
    <t>Thanh toán Phí dịch vụ tư vấn tháng 01/2026 HĐ số 34</t>
  </si>
  <si>
    <t>Thanh toán Cước phí vận tải chuyến 1295295158 Phí sử dụng ứng dụng Be HĐ số 7191183</t>
  </si>
  <si>
    <t>Thanh toán Cước phí vận tải chuyến 1294467154 Phí sử dụng ứng dụng Be HĐ số 7019819</t>
  </si>
  <si>
    <t>Thanh toán Cước phí vận tải chuyến 1296154963 Phí sử dụng ứng dụng Be HĐ số 7404382</t>
  </si>
  <si>
    <t>Thanh toán Cước phí vận tải chuyến 1296068173 Phí sử dụng ứng dụng Be HĐ số 7385655</t>
  </si>
  <si>
    <t>Thanh toán Cước phí vận tải chuyến 1296002760 Phí sử dụng ứng dụng Be HĐ số 7378250</t>
  </si>
  <si>
    <t>Thanh toán Cước phí vận tải chuyến 1295838398 Phí sử dụng ứng dụng Be HĐ số 7352834</t>
  </si>
  <si>
    <t>Thanh toán Cước phí vận tải chuyến 1295546205 Phí sử dụng ứng dụng Be HĐ số 7267399</t>
  </si>
  <si>
    <t>Thanh toán Cước phí vận tải chuyến 1298123135 Phí sử dụng ứng dụng Be HĐ số 7909460</t>
  </si>
  <si>
    <t>Thanh toán TÚI GIẤY DESIGN23, N/A, M, N/A, M - MS075 ÁO THUN TAY DÀI, 50NYM, S - 3FMTV1861 HĐ số 82879</t>
  </si>
  <si>
    <t>Thanh toán VẢI LÔNG AO CARDIGAN AO JACKET CHONG GI HĐ số 10735</t>
  </si>
  <si>
    <t>Thanh toán Cước phí vận tải chuyến 1300002130 Phí sử dụng ứng dụng Be HĐ số 8308796</t>
  </si>
  <si>
    <t>Thanh toán Cước phí vận tải chuyến 1299948677 Phí sử dụng ứng dụng Be HĐ số 8286872</t>
  </si>
  <si>
    <t>Thanh toán Cước phí vận tải chuyến 1299888132 Phí sử dụng ứng dụng Be HĐ số 8269434</t>
  </si>
  <si>
    <t>Thanh toán Cước phí vận tải chuyến 1299571876 Phí sử dụng ứng dụng Be HĐ số 8201223</t>
  </si>
  <si>
    <t>Thanh toán Cước phí vận tải chuyến 1299192565 Phí sử dụng ứng dụng Be HĐ số 8144733</t>
  </si>
  <si>
    <t>Thanh toán Cước phí vận tải chuyến 1299048736 Phí sử dụng ứng dụng Be HĐ số 8119425</t>
  </si>
  <si>
    <t>Thanh toán Cước phí vận tải chuyến 1301174778 Phí sử dụng ứng dụng Be HĐ số 8573261</t>
  </si>
  <si>
    <t>Thanh toán Cước phí vận tải chuyến 1301093919 Phí sử dụng ứng dụng Be HĐ số 8545087</t>
  </si>
  <si>
    <t>Thanh toán Cước phí vận tải chuyến 1300893198 Phí sử dụng ứng dụng Be HĐ số 8502035</t>
  </si>
  <si>
    <t>Thanh toán Cước phí vận tải chuyến 1300804065 Phí sử dụng ứng dụng Be HĐ số 8478615</t>
  </si>
  <si>
    <t>Thanh toán Cước phí vận tải chuyến 1300739320 Phí sử dụng ứng dụng Be HĐ số 8465287</t>
  </si>
  <si>
    <t>Thanh toán Cước phí vận tải chuyến 1300652963 Phí sử dụng ứng dụng Be HĐ số 8456221</t>
  </si>
  <si>
    <t>Thanh toán Cước phí vận tải chuyến 1300613134 Phí sử dụng ứng dụng Be HĐ số 8442521</t>
  </si>
  <si>
    <t>Thanh toán Cước phí vận tải chuyến 1300575506 Phí sử dụng ứng dụng Be HĐ số 8440475</t>
  </si>
  <si>
    <t>Thanh toán Cước phí vận tải chuyến 1300530102 Phí sử dụng ứng dụng Be HĐ số 8430645</t>
  </si>
  <si>
    <t>Thanh toán TÚI GIẤY, 04, 32 - CK-FSCCARRIERXS VÍ, XXS, 14 - CK6-10681108 HĐ số 87819</t>
  </si>
  <si>
    <t>Thanh toán Chi phí tiếp khách, ngoại giao HĐ số 2478</t>
  </si>
  <si>
    <t>Thanh toán Cước phí vận tải chuyến 1307642970 Phí sử dụng ứng dụng Be HĐ số 9873178</t>
  </si>
  <si>
    <t>Thanh toán Cước phí vận tải chuyến 1307570101 Phí sử dụng ứng dụng Be HĐ số 9863509</t>
  </si>
  <si>
    <t>Thanh toán Cước phí vận tải chuyến 1307522214 Phí sử dụng ứng dụng Be HĐ số 9861342</t>
  </si>
  <si>
    <t>Thanh toán Cước phí vận tải chuyến 1307451298 Phí sử dụng ứng dụng Be HĐ số 9850638</t>
  </si>
  <si>
    <t>Thanh toán Cước phí vận tải chuyến 1306912867 Phí sử dụng ứng dụng Be Phí điểm đón HĐ số 9757576</t>
  </si>
  <si>
    <t>Thanh toán Chi phí tiếp khách, ngoại giao HĐ số 1250</t>
  </si>
  <si>
    <t>Thanh toán Cước phí vận tải chuyến 1309890301 Phí sử dụng ứng dụng Be HĐ số 10260010</t>
  </si>
  <si>
    <t>Thanh toán Cước phí vận tải chuyến 1309627504 Phí sử dụng ứng dụng Be HĐ số 10198514</t>
  </si>
  <si>
    <t>Thanh toán Cước phí vận tải chuyến 1309276005 Phí sử dụng ứng dụng Be HĐ số 10143715</t>
  </si>
  <si>
    <t>Thanh toán Cước phí vận tải chuyến 1308922063 Phí sử dụng ứng dụng Be HĐ số 10105548</t>
  </si>
  <si>
    <t>Thanh toán Mon Nuoc T BLACK TEA GRAPEFRT Mon Nuoc Less Sweet Tui giay - Paper Bag - In-store only HĐ số 36579</t>
  </si>
  <si>
    <t>Thanh toán Cước phí vận tải chuyến 1311200547 Phí sử dụng ứng dụng Be HĐ số 10474285</t>
  </si>
  <si>
    <t>Thanh toán Cước phí vận tải chuyến 1311095502 Phí sử dụng ứng dụng Be HĐ số 10453176</t>
  </si>
  <si>
    <t>Thanh toán Cước phí vận tải chuyến 1310952103 Phí sử dụng ứng dụng Be HĐ số 10432198</t>
  </si>
  <si>
    <t>Thanh toán Cước phí vận tải chuyến 1310959157 Phí sử dụng ứng dụng Be HĐ số 10425590</t>
  </si>
  <si>
    <t>Thanh toán Cước phí vận tải chuyến 1310535181 Phí sử dụng ứng dụng Be HĐ số 10371059</t>
  </si>
  <si>
    <t>Thanh toán Cước phí vận tải chuyến 1310121583 Phí sử dụng ứng dụng Be HĐ số 10317520</t>
  </si>
  <si>
    <t>Thanh toán Cước phí vận tải chuyến 1310038941 Phí sử dụng ứng dụng Be HĐ số 10304417</t>
  </si>
  <si>
    <t>Thanh toán Cước phí vận tải chuyến 1311248495 Phí sử dụng ứng dụng Be HĐ số 4826966</t>
  </si>
  <si>
    <t>Thanh toán Cước phí vận tải chuyến 1312245196 Phí sử dụng ứng dụng Be HĐ số 10658686</t>
  </si>
  <si>
    <t>Thanh toán Cước phí vận tải chuyến 1311999369 Phí sử dụng ứng dụng Be HĐ số 10609610</t>
  </si>
  <si>
    <t>Thanh toán Cước phí vận tải chuyến 1311924916 Phí sử dụng ứng dụng Be HĐ số 10604095</t>
  </si>
  <si>
    <t>Thanh toán Cước phí vận tải chuyến 1311608749 Phí sử dụng ứng dụng Be HĐ số 10559912</t>
  </si>
  <si>
    <t>Thanh toán Cước phí vận tải chuyến 1311508587 Phí sử dụng ứng dụng Be HĐ số 10546237</t>
  </si>
  <si>
    <t>Thanh toán Chi phí tiếp khách, ngoại giao HĐ số 1553</t>
  </si>
  <si>
    <t>Thanh toán Cước phí vận tải chuyến 1313680233 Phí sử dụng ứng dụng Be HĐ số 10910931</t>
  </si>
  <si>
    <t>Thanh toán Cước phí vận tải chuyến 1313479142 Phí sử dụng ứng dụng Be HĐ số 10874282</t>
  </si>
  <si>
    <t>Thanh toán Cước phí vận tải chuyến 1313323489 Phí sử dụng ứng dụng Be HĐ số 10840801</t>
  </si>
  <si>
    <t>Thanh toán Cước phí vận tải chuyến 1313106387 Phí sử dụng ứng dụng Be HĐ số 10811118</t>
  </si>
  <si>
    <t>Thanh toán Cước phí vận tải chuyến 1312792588 Phí sử dụng ứng dụng Be HĐ số 10770917</t>
  </si>
  <si>
    <t>Thanh toán Cước phí vận tải chuyến 1312611748 Phí sử dụng ứng dụng Be HĐ số 10721884</t>
  </si>
  <si>
    <t>Thanh toán Cước phí vận tải chuyến 1314284036 Phí sử dụng ứng dụng Be HĐ số 11043933</t>
  </si>
  <si>
    <t>Thanh toán Cước phí vận tải chuyến 1314135591 Phí sử dụng ứng dụng Be HĐ số 11007288</t>
  </si>
  <si>
    <t>Thanh toán Cước phí vận tải chuyến 1314104934 Phí sử dụng ứng dụng Be HĐ số 11002893</t>
  </si>
  <si>
    <t>Thanh toán Cước phí vận tải chuyến 1314181138 Phí sử dụng ứng dụng Be HĐ số 5121883</t>
  </si>
  <si>
    <t>Thanh toán Cước phí vận tải chuyến 1314172371 Phí sử dụng ứng dụng Be HĐ số 5119638</t>
  </si>
  <si>
    <t>Thanh toán M ÁO POLO M ÁO THUN M QUẦN NỈ M QUẦN SHORT M ÁO NỈ HĐ số 59472</t>
  </si>
  <si>
    <t>Thanh toán ÁO NGỰC THỂ THAO(1090000@21%) TÚI GIẤY (Hàng tặng không thu tiền) HĐ số 187213</t>
  </si>
  <si>
    <t>Thanh toán Cước phí vận tải chuyến 1314980145 Phí sử dụng ứng dụng Be HĐ số 11256925</t>
  </si>
  <si>
    <t>Thanh toán Cước phí vận tải chuyến 1314942821 Phí sử dụng ứng dụng Be HĐ số 11241661</t>
  </si>
  <si>
    <t>Thanh toán Cước phí vận tải chuyến 1314913124 Phí sử dụng ứng dụng Be HĐ số 11231292</t>
  </si>
  <si>
    <t>Thanh toán Cước phí vận tải chuyến 1314906630 Phí sử dụng ứng dụng Be HĐ số 11229782</t>
  </si>
  <si>
    <t>Thanh toán Cước phí vận tải chuyến 1315119883 Phí sử dụng ứng dụng Be HĐ số 11314785</t>
  </si>
  <si>
    <t>Thanh toán Cước phí vận tải chuyến 1315435522 Phí sử dụng ứng dụng Be HĐ số 11432183</t>
  </si>
  <si>
    <t>Thanh toán Cước phí vận tải chuyến 1315359128 Phí sử dụng ứng dụng Be HĐ số 11406026</t>
  </si>
  <si>
    <t>Thanh toán Cước phí vận tải chuyến 1315300694 Phí sử dụng ứng dụng Be HĐ số 11385512</t>
  </si>
  <si>
    <t>Thanh toán Cước phí vận tải chuyến 1315731491 Phí sử dụng ứng dụng Be HĐ số 11545508</t>
  </si>
  <si>
    <t>Thanh toán Cước phí vận tải chuyến 1315594603 Phí sử dụng ứng dụng Be HĐ số 11495104</t>
  </si>
  <si>
    <t>Thanh toán Cước phí vận tải chuyến 1316007158 Phí sử dụng ứng dụng Be HĐ số 11643481</t>
  </si>
  <si>
    <t>Thanh toán Cước phí vận tải chuyến 1315989570 Phí sử dụng ứng dụng Be HĐ số 11638895</t>
  </si>
  <si>
    <t>Thanh toán Cước phí vận tải chuyến 1315860448 Phí sử dụng ứng dụng Be HĐ số 11594056</t>
  </si>
  <si>
    <t>Thanh toán Chi phí tiếp khách, ngoại giao HĐ số 8416</t>
  </si>
  <si>
    <t>Thanh toán Chi phí tiếp khách, ngoại giao HĐ số 4058</t>
  </si>
  <si>
    <t>Thanh toán Cước phí vận tải chuyến 1316497984 Phí sử dụng ứng dụng Be HĐ số 11796010</t>
  </si>
  <si>
    <t>Thanh toán Cước phí vận tải chuyến 1316466668 Phí sử dụng ứng dụng Be HĐ số 11786090</t>
  </si>
  <si>
    <t>Thanh toán Cước phí vận tải chuyến 1316372548 Phí sử dụng ứng dụng Be HĐ số 11761607</t>
  </si>
  <si>
    <t>Thanh toán Cước phí vận tải chuyến 1316287168 Phí sử dụng ứng dụng Be HĐ số 11734884</t>
  </si>
  <si>
    <t>Thanh toán Cước phí vận tải chuyến 1316833177 Phí sử dụng ứng dụng Be HĐ số 11891341</t>
  </si>
  <si>
    <t>Thanh toán Cước phí vận tải chuyến 1316741466 Phí sử dụng ứng dụng Be HĐ số 11868081</t>
  </si>
  <si>
    <t>Thanh toán Bánh cuốn gạo lứt chiên giòn _HCM Cơm Rang Trứng Cá_HCM Há Cảo TaiPan (2 viên) Khăn ướt in Logo Nước Dasani 510ml Phí phụ thu ngày lễ 5% HĐ số 4382</t>
  </si>
  <si>
    <t>Thanh toán Vé máy bay_Mã đặt chỗ 1330750347/ SGN_HAN, HAN_SGN HĐ số 6010</t>
  </si>
  <si>
    <t>Thanh toán Cước phí vận tải chuyến 1317491220 Phí sử dụng ứng dụng Be HĐ số 12069224</t>
  </si>
  <si>
    <t>Thanh toán Cước phí vận tải chuyến 1317383477 Phí sử dụng ứng dụng Be HĐ số 12042422</t>
  </si>
  <si>
    <t>Thanh toán Cước phí vận tải chuyến 1317369354 Phí sử dụng ứng dụng Be HĐ số 12037313</t>
  </si>
  <si>
    <t>Thanh toán THỊT BA RỌI HEO (150g)+ THỊT VAI (150G)+ THỊT NỌNG ĐÙI TRƯỚC (150G) CANH ĐẬU TƯƠNG THỊT BÒ GIẢM GIÁ CHIẾT KHẤU HĐ số 1567</t>
  </si>
  <si>
    <t>Thanh toán Cước phí vận tải chuyến 1318564346 Phí sử dụng ứng dụng Be HĐ số 12328557</t>
  </si>
  <si>
    <t>Thanh toán Cước phí vận tải chuyến 1318535774 Phí sử dụng ứng dụng Be HĐ số 12318553</t>
  </si>
  <si>
    <t>Thanh toán Cước phí vận tải chuyến 1318449182 Phí sử dụng ứng dụng Be HĐ số 12303253</t>
  </si>
  <si>
    <t>Thanh toán Cước phí vận tải chuyến 1318143365 Phí sử dụng ứng dụng Be HĐ số 12235208</t>
  </si>
  <si>
    <t>Thanh toán Cước phí vận tải chuyến 1318069711 Phí sử dụng ứng dụng Be HĐ số 12218601</t>
  </si>
  <si>
    <t>Thanh toán Cước phí vận tải chuyến 1319508438 Phí sử dụng ứng dụng Be HĐ số 12558762</t>
  </si>
  <si>
    <t>Thanh toán Cước phí vận tải chuyến 1319477236 Phí sử dụng ứng dụng Be HĐ số 12549425</t>
  </si>
  <si>
    <t>Thanh toán Cước phí vận tải chuyến 1319390014 Phí sử dụng ứng dụng Be HĐ số 12526545</t>
  </si>
  <si>
    <t>Thanh toán Cước phí vận tải chuyến 1319316221 Phí sử dụng ứng dụng Be HĐ số 12508353</t>
  </si>
  <si>
    <t>Thanh toán Cước phí vận tải chuyến 1319069808 Phí sử dụng ứng dụng Be HĐ số 12453510</t>
  </si>
  <si>
    <t>Thanh toán Cước phí vận tải chuyến 1318626214 Phí sử dụng ứng dụng Be HĐ số 12346658</t>
  </si>
  <si>
    <t>Thanh toán Cước phí vận tải chuyến 1320312146 Phí sử dụng ứng dụng Be HĐ số 12731861</t>
  </si>
  <si>
    <t>Thanh toán Cước phí vận tải chuyến 1320091514 Phí sử dụng ứng dụng Be HĐ số 12679454</t>
  </si>
  <si>
    <t>Thanh toán Cước phí vận tải chuyến 1319911631 Phí sử dụng ứng dụng Be HĐ số 12648456</t>
  </si>
  <si>
    <t>Thanh toán Cước phí vận tải chuyến 1319708664 Phí sử dụng ứng dụng Be HĐ số 12617867</t>
  </si>
  <si>
    <t>Thanh toán Cước phí vận tải chuyến 1319661074 Phí sử dụng ứng dụng Be HĐ số 12604590</t>
  </si>
  <si>
    <t>Thanh toán Cước phí vận tải chuyến 1319518527 Phí sử dụng ứng dụng Be HĐ số 12563435</t>
  </si>
  <si>
    <t>Thanh toán Khăn giấy màng bạc Kichi Suất ăn thỏa thích Kichi Pro Max (NL) Nước Suối Dasani Purified Chai 500ml HĐ số 686750</t>
  </si>
  <si>
    <t>Thanh toán Cước phí vận tải chuyến 1321127330 Phí sử dụng ứng dụng Be HĐ số 12928186</t>
  </si>
  <si>
    <t>Thanh toán Cước phí vận tải chuyến 1320443911 Phí sử dụng ứng dụng Be HĐ số 12764002</t>
  </si>
  <si>
    <t>Thanh toán Cước phí vận tải chuyến 1322117243 Phí sử dụng ứng dụng Be HĐ số 13186838</t>
  </si>
  <si>
    <t>Thanh toán Cước phí vận tải chuyến 1321756015 Phí sử dụng ứng dụng Be HĐ số 13089356</t>
  </si>
  <si>
    <t>Thanh toán Cước phí vận tải chuyến 1321687311 Phí sử dụng ứng dụng Be HĐ số 13073950</t>
  </si>
  <si>
    <t>Thanh toán Cước phí vận tải chuyến 1321601644 Phí sử dụng ứng dụng Be HĐ số 13057387</t>
  </si>
  <si>
    <t>Thanh toán Cước phí vận tải chuyến 1321485841 Phí sử dụng ứng dụng Be HĐ số 13034847</t>
  </si>
  <si>
    <t>Thanh toán Cước phí vận tải chuyến 1322842298 Phí sử dụng ứng dụng Be HĐ số 13378409</t>
  </si>
  <si>
    <t>Thanh toán Cước phí vận tải chuyến 1322158351 Phí sử dụng ứng dụng Be HĐ số 13203038</t>
  </si>
  <si>
    <t>Thanh toán Cước phí vận tải chuyến 1323176529 Phí sử dụng ứng dụng Be HĐ số 13475299</t>
  </si>
  <si>
    <t>Thanh toán Cước phí vận tải chuyến 1324859996 Phí sử dụng ứng dụng Be HĐ số 13857719</t>
  </si>
  <si>
    <t>Thanh toán Cước phí vận tải chuyến 1324694430 Phí sử dụng ứng dụng Be HĐ số 13815582</t>
  </si>
  <si>
    <t>Thanh toán Cước phí vận tải chuyến 1324375134 Phí sử dụng ứng dụng Be HĐ số 13744438</t>
  </si>
  <si>
    <t>Thanh toán Phí dịch vụ tư vấn tháng 02/2026 HĐ số 66</t>
  </si>
  <si>
    <t>Thanh toán Cước phí vận tải chuyến 1325771857 Phí sử dụng ứng dụng Be HĐ số 14089757</t>
  </si>
  <si>
    <t>Thanh toán Cước phí vận tải chuyến 1325445046 Phí sử dụng ứng dụng Be HĐ số 14007555</t>
  </si>
  <si>
    <t>Thanh toán Chi phí tiếp khách, ngoại giao HĐ số 9189</t>
  </si>
  <si>
    <t>Thanh toán Cước phí vận tải chuyến 1326157901 Phí sử dụng ứng dụng Be HĐ số 14199057</t>
  </si>
  <si>
    <t>Thanh toán Cước phí vận tải chuyến 1327749854 Phí sử dụng ứng dụng Be HĐ số 14567940</t>
  </si>
  <si>
    <t>Thanh toán Cước phí vận tải chuyến 1327558280 Phí sử dụng ứng dụng Be HĐ số 14521497</t>
  </si>
  <si>
    <t>Thanh toán Cước phí vận tải chuyến 1327271951 Phí sử dụng ứng dụng Be HĐ số 14464341</t>
  </si>
  <si>
    <t>Thanh toán Cước phí vận tải chuyến 1327028651 Phí sử dụng ứng dụng Be HĐ số 14418780</t>
  </si>
  <si>
    <t>Thanh toán Cước phí vận tải chuyến 1326910144 Phí sử dụng ứng dụng Be HĐ số 14399572</t>
  </si>
  <si>
    <t>Thanh toán Cước phí vận tải chuyến 1326872630 Phí sử dụng ứng dụng Be HĐ số 14393689</t>
  </si>
  <si>
    <t>Thanh toán Chi phí tiếp khách, ngoại giao HĐ số 13396</t>
  </si>
  <si>
    <t>Thanh toán W ÁO KHOÁC W ÁO KHOÁC HĐ số 170377</t>
  </si>
  <si>
    <t>Thanh toán Cước phí vận tải chuyến 1329352304 Phí sử dụng ứng dụng Be HĐ số 14944452</t>
  </si>
  <si>
    <t>Thanh toán Cước phí vận tải chuyến 1329188719 Phí sử dụng ứng dụng Be HĐ số 14912707</t>
  </si>
  <si>
    <t>Thanh toán Cước phí vận tải chuyến 1329059080 Phí sử dụng ứng dụng Be HĐ số 14888678</t>
  </si>
  <si>
    <t>Thanh toán Cước phí vận tải chuyến 1328986589 Phí sử dụng ứng dụng Be HĐ số 14875860</t>
  </si>
  <si>
    <t>Thanh toán Cước phí vận tải chuyến 1328941181 Phí sử dụng ứng dụng Be HĐ số 14866236</t>
  </si>
  <si>
    <t>Thanh toán Cước phí vận tải chuyến 1328910520 Phí sử dụng ứng dụng Be HĐ số 14861680</t>
  </si>
  <si>
    <t>Thanh toán Khăn giấy màng bạc Kichi Suất ăn thỏa thích Kichi Pro Max (NL) HĐ số 818109</t>
  </si>
  <si>
    <t>Thanh toán Thiết bị thu âm không dây DJI Mic Mini (2TX + 1RX + 1 Hộp sạc Mic)_DMMT01&amp;DMMR01&amp;DMMC01 HĐ số 1367</t>
  </si>
  <si>
    <t>Thanh toán Cước phí vận tải chuyến 1330095507 Phí sử dụng ứng dụng Be HĐ số 15129593</t>
  </si>
  <si>
    <t>Thanh toán Cước phí vận tải chuyến 1329956559 Phí sử dụng ứng dụng Be HĐ số 15100424</t>
  </si>
  <si>
    <t>Thanh toán Cước phí vận tải chuyến 1329895334 Phí sử dụng ứng dụng Be HĐ số 15085947</t>
  </si>
  <si>
    <t>Thanh toán Cước phí vận tải chuyến 1331337866 Phí sử dụng ứng dụng Be HĐ số 15427498</t>
  </si>
  <si>
    <t>Thanh toán Cước phí vận tải chuyến 1330859421 Phí sử dụng ứng dụng Be HĐ số 15320094</t>
  </si>
  <si>
    <t>Thanh toán Cước phí vận tải chuyến 1330856001 Phí sử dụng ứng dụng Be HĐ số 6894424</t>
  </si>
  <si>
    <t>Thanh toán Cước phí vận tải chuyến 1331663439 Phí sử dụng ứng dụng Be HĐ số 15502382</t>
  </si>
  <si>
    <t>Thanh toán Quần Tuff Muay Thái Traditional,model TUF-MS616 - 667 (MS663-WHT -S) HĐ số 1368</t>
  </si>
  <si>
    <t>Thanh toán Cước phí vận tải chuyến 1337307247 Phí sử dụng ứng dụng Be HĐ số 10909080</t>
  </si>
  <si>
    <t>Thanh toán Cước phí vận tải chuyến 1337239687 Phí sử dụng ứng dụng Be HĐ số 10900814</t>
  </si>
  <si>
    <t>Thanh toán Cước phí vận tải chuyến 1337176394 Phí sử dụng ứng dụng Be HĐ số 10888083</t>
  </si>
  <si>
    <t>Thanh toán Cước phí vận tải chuyến 1337146223 Phí sử dụng ứng dụng Be HĐ số 10884637</t>
  </si>
  <si>
    <t>Thanh toán Cước phí vận tải chuyến 1337023769 Phí sử dụng ứng dụng Be HĐ số 10866889</t>
  </si>
  <si>
    <t>Thanh toán Cước phí vận tải chuyến 1338253761 Phí sử dụng ứng dụng Be HĐ số 17222582</t>
  </si>
  <si>
    <t>Thanh toán Cước phí vận tải chuyến 1338118742 Phí sử dụng ứng dụng Be HĐ số 17191535</t>
  </si>
  <si>
    <t>Thanh toán Cước phí vận tải chuyến 1337711732 Phí sử dụng ứng dụng Be Phí điểm đón HĐ số 17087838</t>
  </si>
  <si>
    <t>Thanh toán Cước phí vận tải chuyến 1338118100 Phí sử dụng ứng dụng Be HĐ số 7798263</t>
  </si>
  <si>
    <t>Thanh toán Cước phí vận tải chuyến 1339277350 Phí sử dụng ứng dụng Be HĐ số 17492166</t>
  </si>
  <si>
    <t>Thanh toán Cước phí vận tải chuyến 1339217228 Phí sử dụng ứng dụng Be HĐ số 17471470</t>
  </si>
  <si>
    <t>Thanh toán Cước phí vận tải chuyến 1338809134 Phí sử dụng ứng dụng Be HĐ số 17379312</t>
  </si>
  <si>
    <t>Thanh toán Cước phí vận tải chuyến 1340350995 Phí sử dụng ứng dụng Be HĐ số 17764538</t>
  </si>
  <si>
    <t>Thanh toán Cước phí vận tải chuyến 1340248493 Phí sử dụng ứng dụng Be HĐ số 17735351</t>
  </si>
  <si>
    <t>Thanh toán Cước phí vận tải chuyến 1339576958 Phí sử dụng ứng dụng Be HĐ số 17597667</t>
  </si>
  <si>
    <t>Thanh toán Cước phí vận tải chuyến 1340597024 Phí sử dụng ứng dụng Be HĐ số 17848043</t>
  </si>
  <si>
    <t>Thanh toán Cước phí vận tải chuyến 1340516384 Phí sử dụng ứng dụng Be HĐ số 17827893</t>
  </si>
  <si>
    <t>Thanh toán Cước phí vận tải chuyến 1342081947 Phí sử dụng ứng dụng Be HĐ số 18226432</t>
  </si>
  <si>
    <t>Thanh toán Cước phí vận tải chuyến 1341956261 Phí sử dụng ứng dụng Be HĐ số 18191474</t>
  </si>
  <si>
    <t>Thanh toán Cước phí vận tải chuyến 1343000180 Phí sử dụng ứng dụng Be HĐ số 18455982</t>
  </si>
  <si>
    <t>Thanh toán Cước phí vận tải chuyến 1342356224 Phí sử dụng ứng dụng Be HĐ số 18311463</t>
  </si>
  <si>
    <t>Thanh toán Cước phí vận tải chuyến 1343887743 Phí sử dụng ứng dụng Be HĐ số 18687805</t>
  </si>
  <si>
    <t>Thanh toán Cước phí vận tải chuyến 1343865238 Phí sử dụng ứng dụng Be HĐ số 18677278</t>
  </si>
  <si>
    <t>Thanh toán Cước phí vận tải chuyến 1343751902 Phí sử dụng ứng dụng Be HĐ số 18645910</t>
  </si>
  <si>
    <t>Thanh toán Cước phí vận tải chuyến 1343658368 Phí sử dụng ứng dụng Be HĐ số 18622679</t>
  </si>
  <si>
    <t>Thanh toán Cước phí vận tải chuyến 1343589813 Phí sử dụng ứng dụng Be HĐ số 18604691</t>
  </si>
  <si>
    <t>Thanh toán Cước phí vận tải chuyến 1343328824 Phí sử dụng ứng dụng Be HĐ số 18546938</t>
  </si>
  <si>
    <t>Thanh toán Cước phí vận tải chuyến 1343311734 Phí sử dụng ứng dụng Be HĐ số 18545343</t>
  </si>
  <si>
    <t>Thanh toán Cước phí vận tải chuyến 1343232366 Phí sử dụng ứng dụng Be HĐ số 18530687</t>
  </si>
  <si>
    <t>Thanh toán Chi phí tiếp khách, ngoại giao HĐ số 4135</t>
  </si>
  <si>
    <t>Thanh toán COCA ZERO/SPRITE/FANTA/SODA COCA THỊT BA RỌI HEO (150g)+ THỊT VAI (150G)+ THỊT NỌNG ĐÙI TRƯỚC (150G) DIỀM THĂN BÒ (150G) CƠM KIM CHI PHÔ MAI PHÔ MAI NƯỚNG MÌ LẠNH KIM CHI M HĐ số 2400</t>
  </si>
  <si>
    <t>Thanh toán Cước phí vận tải chuyến 1344119416 Phí sử dụng ứng dụng Be HĐ số 18755909</t>
  </si>
  <si>
    <t>Thanh toán Cước phí vận tải chuyến 1345614609 Phí sử dụng ứng dụng Be HĐ số 19136187</t>
  </si>
  <si>
    <t>Thanh toán Cước phí vận tải chuyến 1346300306 Phí sử dụng ứng dụng Be HĐ số 19310357</t>
  </si>
  <si>
    <t>Thanh toán Cước phí vận tải chuyến 1346084431 Phí sử dụng ứng dụng Be HĐ số 19258701</t>
  </si>
  <si>
    <t>Thanh toán Cước phí vận tải chuyến 1345963485 Phí sử dụng ứng dụng Be HĐ số 19229043</t>
  </si>
  <si>
    <t>Thanh toán Phí dịch vụ tư vấn tháng 03/2026 HĐ số 106</t>
  </si>
  <si>
    <t>Thanh toán Chi phí tiếp khách, ngoại giao HĐ số 2009</t>
  </si>
  <si>
    <t>Thanh toán Cước phí vận tải chuyến 1349069013 Phí sử dụng ứng dụng Be HĐ số 20025150</t>
  </si>
  <si>
    <t>Thanh toán Cước phí vận tải chuyến 1348903949 Phí sử dụng ứng dụng Be HĐ số 19989374</t>
  </si>
  <si>
    <t>Thanh toán Cước phí vận tải chuyến 1348573738 Phí sử dụng ứng dụng Be HĐ số 19916825</t>
  </si>
  <si>
    <t>Thanh toán Cước phí vận tải chuyến 1348457582 Phí sử dụng ứng dụng Be HĐ số 19892788</t>
  </si>
  <si>
    <t>Thanh toán Chi phí tiếp khách, ngoại giao HĐ số 353433</t>
  </si>
  <si>
    <t>Thanh toán Cước phí vận tải chuyến 1349953897 Phí sử dụng ứng dụng Be HĐ số 20257774</t>
  </si>
  <si>
    <t>Thanh toán Cước phí vận tải chuyến 1349861830 Phí sử dụng ứng dụng Be HĐ số 20228235</t>
  </si>
  <si>
    <t>Thanh toán Cước phí vận tải chuyến 1349738753 Phí sử dụng ứng dụng Be HĐ số 20198670</t>
  </si>
  <si>
    <t>Thanh toán Cước phí vận tải chuyến 1349295764 Phí sử dụng ứng dụng Be HĐ số 20103330</t>
  </si>
  <si>
    <t>Thanh toán Cước phí vận tải chuyến 1349217050 Phí sử dụng ứng dụng Be HĐ số 20082513</t>
  </si>
  <si>
    <t>Thanh toán Chi phí tiếp khách, ngoại giao HĐ số 13004</t>
  </si>
  <si>
    <t>Thanh toán Thanh toán ROLAND HP-702-WH Đàn Piano Kỹ Thuật Số ROLAND KSH-704/2WH Chân đàn Piano Kỹ Thuật Số Ghế Đàn Piano Tăng Đơ Tốt HĐ số 1491</t>
  </si>
  <si>
    <t>Thanh toán Thanh toán Phí thuê văn phòng từ ngày 12/03/2026 đến ngày 29/10/2026 HĐ số 128</t>
  </si>
  <si>
    <t>Thanh toán Thanh toán Phí thí nghiệm mẫu 117-11-03-26/TNPV-3 HĐ số 1829</t>
  </si>
  <si>
    <t>Điều chỉnh giảm Dịch vụ quảng cáo và truyền thông theo Hợp đồng số RVHN-LT1/2026/DDD ký ngày 05/01/2026 HĐ số 1</t>
  </si>
  <si>
    <t>Điều chỉnh giảm Dịch vụ quảng cáo và truyền thông theo Hợp đồng số 042/2026/HDDV/OQR ký ngày 10/01/2026 kèm Biên bản nghiệm thu và thanh lý ký ngày 19/01/2026 HĐ số 2</t>
  </si>
  <si>
    <t>Điều chỉnh giảm Phí dịch vụ sử dụng hình ảnh theo Hợp đồng số 1012026/HĐDV/Y&amp;B ký ngày 02/01/2026 HĐ số 3</t>
  </si>
  <si>
    <t>Điều chỉnh giảm Doanh thu chia sẻ từ 10/2025 đến 02/2026 theo Thỏa thuận hợp tác ký ngày 23/04/2025 và Biên Bản nghiệm thu ký ngày 06/02/2026 HĐ số 4</t>
  </si>
  <si>
    <t>Điều chỉnh giảm Dịch vụ quảng cáo và truyền thông theo Hợp đồng số 0702/2026/HĐNT/QIANDU-ND ký ngày 07/02/2026 (Đợt 1) HĐ số 5</t>
  </si>
  <si>
    <t>Điều chỉnh giảm Dịch vụ quảng cáo và truyền thông theo Hợp đồng số 0702/2026/HĐNT/QIANDU-ND ký ngày 07/02/2026 (Đợt 2) HĐ số 6</t>
  </si>
  <si>
    <t>Điều chỉnh giảm Thanh toán 100% phí dịch vụ OAP - UV SUSTAIN Mar&amp;apos;26 - Video - Scope 3 - 100326 SOW số 36868/2025/WPP-BTL-LO ID TIktok: tnhadinh HĐ số 7</t>
  </si>
  <si>
    <t>Điều chỉnh giảm Thanh toán 100% phí dịch vụ GRN - KOC Hub Mochi - Scope 3 - 300326 SOW số 41021/2025/WPP-BTL-LO ID Tiktok: tnhadinh HĐ số 8</t>
  </si>
  <si>
    <t>Điều chỉnh giảm Dịch vụ quảng cáo và truyền thông theo Hợp đồng số 132/2026/HDDV/OQR ký ngày 27/02/2026 kèm Biên bản nghiệm thu và thanh lý số 132.01/2026/BBNT/OQR ký ngày 20/03/2026 HĐ số 9</t>
  </si>
  <si>
    <t>Điều chỉnh giảm Dịch vụ quảng cáo và truyền thông theo Hợp đồng số 20260310/AZEDxTRUONGNHADINH ký ngày 10/03/2026 (Đợt 1) HĐ số 10</t>
  </si>
  <si>
    <t>Điều chỉnh giảm Thanh toán 33.33% (Đợt 1) phí dịch vụ OAP - FULL RESIST Mar&amp;apos;26 - Video - Scope 3 - 100326 SOW số 36865/2025/WPP-BTL-LO ID Tiktok: tnhadinh HĐ số 11</t>
  </si>
  <si>
    <t>Điều chỉnh giảm Dịch vụ quảng cáo và truyền thông theo Hợp đồng số 1403/2026/HĐDV/BS-TND ký ngày 14/03/2026 HĐ số 12</t>
  </si>
  <si>
    <t>Điều chỉnh giảm Dịch vụ quảng cáo và truyền thông theo Hợp đồng số 0801/2026 ký ngày 08/01/2026 HĐ số 2</t>
  </si>
  <si>
    <t>Điều chỉnh giảm Dịch vụ quảng cáo và truyền thông theo Hợp đồng số 21/01/2026/HDDV/ZAKKA- THÚY NGA REVIEW ký ngày 21/01/2026 kèm Biên bản nghiệm thu và thanh lý hợp đồng ký ngày 26/01/2026 HĐ số 3</t>
  </si>
  <si>
    <t>Điều chỉnh giảm Dịch vụ quảng cáo và truyền thông theo Hợp đồng số 001/1401/2026/HĐDV/LM-TH/LM-DKSH ký ngày 14/01/2026 và Biên bản nghiệm thu ký ngày 29/01/2026 HĐ số 4</t>
  </si>
  <si>
    <t>Điều chỉnh giảm Dịch vụ quảng cáo và truyền thông theo Hợp đồng số 74b/HĐDV/DE-2026/01 ký ngày 05/01/2026 HĐ số 6</t>
  </si>
  <si>
    <t>Điều chỉnh giảm Dịch vụ quảng cáo và truyền thông theo Hợp đồng số 290126/HĐDV/PJSB ký ngày 29/01/2026 và Biên bản nghiệm thu ký ngày 06/02/2026 HĐ số 7</t>
  </si>
  <si>
    <t>Điều chỉnh giảm Dịch vụ quảng cáo và truyền thông theo Hợp đồng số 20260309/HĐDV/MDPEEL12/SANAxNganee. ký ngày 04/03/2026 HĐ số 8</t>
  </si>
  <si>
    <t>Điều chỉnh giảm Dịch vụ quảng cáo và truyền thông theo Hợp đồng số 1803/HDDV/VINBEAUTY-HKD THUYNGA ký ngày 18/03/2026 HĐ số 10</t>
  </si>
  <si>
    <t>Điều chỉnh giảm Dịch vụ quảng cáo và truyền thông theo Hợp đồng số 67/2026/HĐDV-TNO ký ngày 02/03/2026 và Biên bản nghiệm thu ký ngày 18/03/2026 HĐ số 9</t>
  </si>
  <si>
    <t>Điều chỉnh giảm Dịch vụ quảng cáo và truyền thông theo Hợp đồng số 031-2026/HĐDV-EL ký ngày 19/03/2026 và Biên bản nghiệm thu ký ngày 31/03/2026 HĐ số 11</t>
  </si>
  <si>
    <t>Thanh toán Phí dịch vụ tư vấn tháng 12/2025 HĐ số 11</t>
  </si>
  <si>
    <t>Thanh toán Phí dịch vụ tư vấn tháng 01/2026 HĐ số 52</t>
  </si>
  <si>
    <t>Thanh toán Phí dịch vụ tư vấn tháng 02/2026 HĐ số 89</t>
  </si>
  <si>
    <t>Nộp Chi phí bảo hiểm tháng 2026.01</t>
  </si>
  <si>
    <t>Nộp Chi phí bảo hiểm tháng 2026.02</t>
  </si>
  <si>
    <t>Nộp Chi phí bảo hiểm tháng 2026.03</t>
  </si>
  <si>
    <t>Chi phí thực hiện sản xuất và đăng tải video review về sản phẩm Nước sen Hậu Giang và Sữa Rửa Mặt Sen Hậu Giang theo Hợp đồng số 20862025/HĐDV/Y&amp;B ký ngày 01/12/2025 HĐ số 1</t>
  </si>
  <si>
    <t>Điều chỉnh giảm Chi phí thực hiện sản xuất và đăng tải video review về sản phẩm Nước sen Hậu Giang và Sữa Rửa Mặt Sen Hậu Giang theo Hợp đồng số 20862025/HĐDV/Y&amp;B ký ngày 01/12/2025 HĐ số 1</t>
  </si>
  <si>
    <t>Dịch vụ quảng cáo và truyền thông theo Hợp đồng số 0201/2026/HĐDV-BOOKING/DST-THUYNGAOFFICIAL ký ngày 02/01/2026 HĐ số 5</t>
  </si>
  <si>
    <t>Điều chỉnh giảm Dịch vụ quảng cáo và truyền thông theo Hợp đồng số 0201/2026/HĐDV-BOOKING/DST-THUYNGAOFFICIAL ký ngày 02/01/2026 HĐ số 5</t>
  </si>
  <si>
    <t>Rút tiền gửi ngân hàng nhập quỹ tiền mặt</t>
  </si>
  <si>
    <t>Nhận Chi phí thực hiện sản xuất và đăng tải video review về sản phẩm Nước sen Hậu Giang và Sữa Rửa Mặt Sen Hậu Giang theo Hợp đồng số 20862025/HĐDV/Y&amp;B ký ngày 01/12/2025 HĐ số 1</t>
  </si>
  <si>
    <t>Nhận Doanh thu Dịch vụ quảng cáo và truyền thông theo Hợp đồng số 10122025/MKT-KOC ký ngày 10/12/2025 và Biên bản nghiệm thu ký ngày 31/12/2025 HĐ số 16</t>
  </si>
  <si>
    <t>Nhận Dịch vụ quảng cáo và truyền thông theo Hợp đồng số 21/01/2026/HDDV/ZAKKA- THÚY NGA REVIEW ký ngày 21/01/2026</t>
  </si>
  <si>
    <t>Nhận Dịch vụ quảng cáo và truyền thông theo Hợp đồng số 290126/HĐDV/PJSB ký ngày 29/01/2026</t>
  </si>
  <si>
    <t>Nhận Dịch vụ quảng cáo và truyền thông theo Hợp đồng số 0801/2026 ký ngày 08/01/2026 HĐ số 2</t>
  </si>
  <si>
    <t>Nhận Dịch vụ quảng cáo và truyền thông theo Hợp đồng số 74b/HĐDV/DE-2026/01 ký ngày 05/01/2026 HĐ số 6</t>
  </si>
  <si>
    <t>Nộp Chi phí BHXH</t>
  </si>
  <si>
    <t>Nhận Dịch vụ quảng cáo và truyền thông theo Hợp đồng số 20260309/HĐDV/MDPEEL12/SANAxNganee. ký ngày 04/03/2026 HĐ số 8</t>
  </si>
  <si>
    <t>Nhận Dịch vụ quảng cáo và truyền thông theo Hợp đồng số 001/1401/2026/HĐDV/LM-TH/LM-DKSH ký ngày 14/01/2026</t>
  </si>
  <si>
    <t xml:space="preserve">Nhận Dịch vụ quảng cáo và truyền thông theo Hợp đồng số 0201/2026/HĐDV-BOOKING/DST-THUYNGAOFFICIAL ký ngày 02/01/2026 </t>
  </si>
  <si>
    <t>Nhận Dịch vụ quảng cáo và truyền thông theo Hợp đồng số 67/2026/HĐDV-TNO ký ngày 02/03/2026</t>
  </si>
  <si>
    <t>Nhận Dịch vụ quảng cáo và truyền thông theo Hợp đồng số 20/12/2025//HDDV/Mialala-HKDVP ký ngày 20/12/2025</t>
  </si>
  <si>
    <t>Nhận Dịch vụ quảng cáo và truyền thông theo Hợp đồng số 15-Cty-KOL/KOC/CBVN2025 ký ngày 10/12/2025</t>
  </si>
  <si>
    <t>Nhận Doanh thu Dịch vụ quảng cáo và truyền thông theo Hợp đồng số 21122025/HĐ-DVQC2025 ký ngày 15/12/2025 và Biên bản nghiệm thu ký ngày 31/12/2025 HĐ số 21</t>
  </si>
  <si>
    <t>0315441181</t>
  </si>
  <si>
    <t>Nhận Doanh thu Dịch vụ quảng cáo và truyền thông theo Hợp đồng số AME/VÂN PHẠM/CAM0075623/HeadShoulder_OND25/Service Contract/2025-0041P ký ngày 31/10/2025 HĐ số 17</t>
  </si>
  <si>
    <t>Nhận Dịch vụ quảng cáo và truyền thông theo Hợp đồng số 20260101/HĐDV/HOKINHDOANHVANPHAM ký ngày 01/01/2026</t>
  </si>
  <si>
    <t>Nhận Phí sử dụng hình ảnh theo Phụ lục 01 ký ngày 19/01/2026 của Hợp đồng số 15-Cty-KOL/KOC/CBVN2025 ký ngày 10/12/2025 HĐ số 4</t>
  </si>
  <si>
    <t>Nhận Doanh thu Dịch vụ quảng cáo và truyền thông theo Hợp đồng số MDA/20251202/2393 ngày 20/11/2025 và Biên bản nghiệm thu và thanh lý ngày 15/12/2025 HĐ số 15</t>
  </si>
  <si>
    <t>0601256327</t>
  </si>
  <si>
    <t>Nhận Doanh thu Dịch vụ quảng cáo và truyền thông theo Hợp đồng số LSVN122025001/HĐDV–KOLký ngày 22/12/2025 và Biên bản nghiệm thu ký ngày 26/12/2025 HĐ số 20</t>
  </si>
  <si>
    <t>Nhận Dịch vụ quảng cáo và truyền thông theo Thỏa thuận hợp tác KOL HĐ số 19</t>
  </si>
  <si>
    <t>Nhận Dịch vụ quảng cáo và truyền thông theo Hợp đồng số : 01122025/HDDV/IBP-VANPHAM ký ngày 01/12/2025 và Biên bản nghiệm thu ký ngày 31/03/2026 HĐ số 37</t>
  </si>
  <si>
    <t>Nhận Doanh thu Thanh toán 100% phí dịch vụ Lan - Livestream - Scope 2 - 4001510886 SOW số 31006/2025/WPP-BTL-LO ID Tiktok: vanpham0719 HĐ số 19</t>
  </si>
  <si>
    <t>Doanh thu Tiktok</t>
  </si>
  <si>
    <t>Nhận Dịch vụ quảng cáo và truyền thông theo Hợp đồng số 20260105/HĐDV/PHAMHONGVAN ký ngày 05/01/2026 HĐ số 13</t>
  </si>
  <si>
    <t>Nhận Dịch vụ quảng cáo và truyền thông theo Hợp đồng số eHS/2601211751</t>
  </si>
  <si>
    <t>Nhận Dịch vụ quảng cáo và truyền thông theo Hợp đồng số TB - VANPHAM - 29012026 ký ngày 29/01/2026</t>
  </si>
  <si>
    <t>Nhận Thanh toán 100% phí dịch vụ Lan - New Year - Video - Scope 3 - 3101 SOW số 33855/2025/WPP-BTL-LO ID Tiktok: vanpham0719 HĐ số 6</t>
  </si>
  <si>
    <t>Nhận Dịch vụ quảng cáo và truyền thông theo Hợp đồng số 1212/RV/TC-VANPHAM/2025 ký ngày 12/12/2025 (Đợt 2)</t>
  </si>
  <si>
    <t>Nhận Dịch vụ quảng cáo và truyền thông theo Hợp đồng số 20260108/HDDV/CAPELLIxVANPHAM ký ngày 08/01/2026</t>
  </si>
  <si>
    <t>Nhận Dịch vụ quảng cáo và truyền thông theo Hợp đồng số 01/2026/CCE/JUNGLEBEAT2 ký ngày 24/02/2026 HĐ số 17</t>
  </si>
  <si>
    <t>Nhận Thanh toán 100% phí dịch vụ VIC - BRAND LIVE 25.1 - SCOPE 2 - 1002 SOW số 36389/2025/WPP-BTL-LO ID Tiktok: vanpham0719 HĐ số 10</t>
  </si>
  <si>
    <t>Nhận Dịch vụ quảng cáo và truyền thông theo Hợp đồng số 251213/HDDV/MIZUMI-VANPHAM0719-251213MIZUMI ký ngày 13/12/2025 HĐ số 25</t>
  </si>
  <si>
    <t>Nhận Thanh toán 100% phí dịch vụ MNY - BABY CUSHION - VIDEO - SCOPE 3 - 3001 SOW số 35416/2025/WPP-BTL-LO ID Tiktok: vanpham0719 HĐ số 8</t>
  </si>
  <si>
    <t>Nhận Doanh thu Thanh toán 100% phí dịch vụ MNY - TEDDY TINT - Video - Scope 3 - 10.11 - PO 4001467856 SOW số 28091/2025/WPP-BTL-LO ID Tiktok: vanpham0719 HĐ số 6</t>
  </si>
  <si>
    <t>Nhận Thanh toán 100% phí dịch vụ OAP - Amino Micellar - Video - Scope 3 - 3001 SOW số 35725/2025/WPP-BTL-LO ID Tiktok: vanpham_chillgirl HĐ số 11</t>
  </si>
  <si>
    <t>Nhận Dịch vụ quảng cáo và truyền thông theo Hợp đồng số 06022026/MKT-BHAPPY-vanpham0719 ký ngày 06/02/2026</t>
  </si>
  <si>
    <t>Nhận Dịch vụ quảng cáo và truyền thông theo Hợp đồng số 05012026/HDDV/IBP-VANPHAM ký ngày 05/01/2026 và Biên bản nghiệm thu ký ngày 18/03/2026 HĐ số 28</t>
  </si>
  <si>
    <t>Nhận Dịch vụ quảng cáo và truyền thông theo Hợp đồng số 20012026HDDV/MEISHANG – VANPHAM ký ngày 20/01/2026</t>
  </si>
  <si>
    <t>Nhận Dịch vụ quảng cáo và truyền thông theo Hợp đồng số 27022026HDDV/MEISHANG – VANPHAM ký ngày 27/02/2026</t>
  </si>
  <si>
    <t>Nhận Dịch vụ quảng cáo và truyền thông theo Hợp đồng số T09MPD26HDDV-0142-2110 VANPHAM0719 ký ngày 15/03/20260106639692</t>
  </si>
  <si>
    <t>Nhận Dịch vụ quảng cáo và truyền thông theo Hợp đồng số 2003/2026/SOKO-HOKINHDOANHVANPHAM ký ngày 20/03/2026 (Đợt 1) HĐ số 31</t>
  </si>
  <si>
    <t>Nhận Dịch vụ quảng cáo và truyền thông theo Phụ lục 01 ký ngày 24/02/2026 của Hợp đồng số 20260224/HDDV/CTYMYLANxHKDVANPHAM ký ngày 24/02/2026 HĐ số 23</t>
  </si>
  <si>
    <t>Nhận Dịch vụ quảng cáo và truyền thông theo Hợp đồng số 02022026HDDV/MEISHANG – VANPHAM ký ngày 02/02/2026 và Biên bản nghiệm thu ký ngày 25/02/2026 HĐ số 16</t>
  </si>
  <si>
    <t>Nhận Thanh toán 100% phí dịch vụ LAN - IDÔLE NPD FRAGRANCE - VIDEO - SCOPE 3 - 3103 SOW số 36737/2025/WPP-BTL-LO ID Tiktok: vanpham0719 HĐ số 29</t>
  </si>
  <si>
    <t>Nhận Thanh toán 100% phí dịch vụ OAP - UV ACTIVATION Jan&amp;apos;26 - Video - Scope 3 - 100326 SOW số 36879/2025/WPP-BTL-LO ID Tiktok: vanpham0719 HĐ số 18</t>
  </si>
  <si>
    <t>Chi phí tiếp khách, ngoại giao HĐ số 2176</t>
  </si>
  <si>
    <t>Thanh toán Chi phí tiếp khách, ngoại giao HĐ số 2176</t>
  </si>
  <si>
    <t>Chi phí tiếp khách, ngoại giao HĐ số 213338</t>
  </si>
  <si>
    <t>Thanh toán Chi phí tiếp khách, ngoại giao HĐ số 213338</t>
  </si>
  <si>
    <t>Điều chỉnh giảm Dịch vụ quảng cáo và truyền thông theo Hợp đồng số 15-Cty-KOL/KOC/CBVN2025 ký ngày 10/12/2025 kèm Biên bản nghiệm thu và thanh lý ký ngày 05/01/2026 HĐ số 1</t>
  </si>
  <si>
    <t>Điều chỉnh giảm Cung cấp 100% dịch vụ dự án Listerine H2 tháng 11 theo Biên bản nghiệm thu và thanh lý ký ngày 13/01/2026 và Hợp đồng số HĐ/3486/2025/METUB ký ngày 14/11/2025 HĐ số 2</t>
  </si>
  <si>
    <t>Điều chỉnh giảm Dịch vụ quảng cáo và truyền thông theo Hợp đồng số 20260101/HĐDV/HOKINHDOANHVANPHAM ký ngày 01/01/2026 và Biên bản nghiệm thu ký ngày 19/01/2026 HĐ số 5</t>
  </si>
  <si>
    <t>Điều chỉnh giảm Phí sử dụng hình ảnh theo Phụ lục 01 ký ngày 19/01/2026 của Hợp đồng số 15-Cty-KOL/KOC/CBVN2025 ký ngày 10/12/2025 HĐ số 4</t>
  </si>
  <si>
    <t>Điều chỉnh giảm Dịch vụ quảng cáo và truyền thông theo Hợp đồng số 20/12/2025//HDDV/Mialala-HKDVP ký ngày 20/12/2025 và Biên bản nghiệm thu ký ngày 19/01/2026 HĐ số 3</t>
  </si>
  <si>
    <t>Điều chỉnh giảm Dịch vụ quảng cáo và truyền thông theo Hợp đồng số MDA/20260114/2668 ngày 22/12/2025 và Biên bản nghiệm thu và thanh lý ngày 20/01/2026 HĐ số 7</t>
  </si>
  <si>
    <t>Điều chỉnh giảm Thanh toán 100% phí dịch vụ Lan - New Year - Video - Scope 3 - 3101 SOW số 33855/2025/WPP-BTL-LO ID Tiktok: vanpham0719 HĐ số 6</t>
  </si>
  <si>
    <t>Điều chỉnh giảm Dịch vụ quảng cáo và truyền thông theo Hợp đồng số 20260108/HDDV/CAPELLIxVANPHAM ký ngày 08/01/2026 và Biên bản nghiệm thu ký ngày 21/01/2026 HĐ số 9</t>
  </si>
  <si>
    <t>Điều chỉnh giảm Thanh toán 100% phí dịch vụ MNY - BABY CUSHION - VIDEO - SCOPE 3 - 3001 SOW số 35416/2025/WPP-BTL-LO ID Tiktok: vanpham0719 HĐ số 8</t>
  </si>
  <si>
    <t>Điều chỉnh giảm Thanh toán 100% phí dịch vụ VIC - BRAND LIVE 25.1 - SCOPE 2 - 1002 SOW số 36389/2025/WPP-BTL-LO ID Tiktok: vanpham0719 HĐ số 10</t>
  </si>
  <si>
    <t>Điều chỉnh giảm Thanh toán 100% phí dịch vụ OAP - Amino Micellar - Video - Scope 3 - 3001 SOW số 35725/2025/WPP-BTL-LO ID Tiktok: vanpham_chillgirl HĐ số 11</t>
  </si>
  <si>
    <t>Điều chỉnh giảm Dịch vụ quảng cáo và truyền thông theo Hợp đồng số 20260105/HĐDV/PHAMHONGVAN ký ngày 05/01/2026 HĐ số 13</t>
  </si>
  <si>
    <t>Điều chỉnh giảm Dịch vụ quảng cáo và truyền thông theo Hợp đồng số TB - VANPHAM - 29012026 ký ngày 29/01/2026 kèm Biên bản nghiệm thu và thanh lý ký ngày 06/02/2026 HĐ số 12</t>
  </si>
  <si>
    <t>Điều chỉnh giảm Dịch vụ quảng cáo và truyền thông theo Hợp đồng số eHS/2601211751 và Biên bản nghiệm thu số eHS/2601211751/BBNT HĐ số 14</t>
  </si>
  <si>
    <t>Điều chỉnh giảm Dịch vụ quảng cáo và truyền thông theo Hợp đồng số 1212/RV/TC-VANPHAM/2025 ký ngày 12/12/2025 (Đợt 2) kèm Biên bản nghiệm thu &amp; thanh lý hợp đồng ký ngày 12/02/2026 HĐ số 15</t>
  </si>
  <si>
    <t>Điều chỉnh giảm Dịch vụ quảng cáo và truyền thông theo Hợp đồng số 02022026HDDV/MEISHANG – VANPHAM ký ngày 02/02/2026 và Biên bản nghiệm thu ký ngày 25/02/2026 HĐ số 16</t>
  </si>
  <si>
    <t>Điều chỉnh giảm Dịch vụ quảng cáo và truyền thông theo Hợp đồng số 01/2026/CCE/JUNGLEBEAT2 ký ngày 24/02/2026 HĐ số 17</t>
  </si>
  <si>
    <t>Điều chỉnh giảm Thanh toán 100% phí dịch vụ OAP - UV ACTIVATION Jan&amp;apos;26 - Video - Scope 3 - 100326 SOW số 36879/2025/WPP-BTL-LO ID Tiktok: vanpham0719 HĐ số 18</t>
  </si>
  <si>
    <t>Điều chỉnh giảm Dịch vụ quảng cáo và truyền thông theo Thỏa thuận hợp tác KOL HĐ số 19</t>
  </si>
  <si>
    <t>Điều chỉnh giảm Dịch vụ quảng cáo và truyền thông theo Hợp đồng số 20012026HDDV/MEISHANG – VANPHAM ký ngày 20/01/2026 và Biên bản nghiệm thu ký ngày 10/03/2026 HĐ số 20</t>
  </si>
  <si>
    <t>Điều chỉnh giảm Dịch vụ quảng cáo và truyền thông theo Phụ lục 01 ký ngày 24/02/2026 của Hợp đồng số 20260224/HDDV/CTYMYLANxHKDVANPHAM ký ngày 24/02/2026 HĐ số 23</t>
  </si>
  <si>
    <t>Điều chỉnh giảm Dịch vụ quảng cáo và truyền thông theo Hợp đồng số HDDV/DOWNYxVĐxHKDVANPHAM/011125 ký ngày 01/11/2025 kèm Biên bản nghiệm thu ký ngày 11/03/2026 HĐ số 22</t>
  </si>
  <si>
    <t>Điều chỉnh giảm Dịch vụ quảng cáo và truyền thông theo Hợp đồng số 27022026HDDV/MEISHANG – VANPHAM ký ngày 27/02/2026 và Biên bản nghiệm thu ký ngày 11/03/2026 HĐ số 21</t>
  </si>
  <si>
    <t>Điều chỉnh giảm Dịch vụ quảng cáo và truyền thông theo Hợp đồng số 251213/HDDV/MIZUMI-VANPHAM0719-251213MIZUMI ký ngày 13/12/2025 HĐ số 25</t>
  </si>
  <si>
    <t>Điều chỉnh giảm Dịch vụ quảng cáo và truyền thông theo Hợp đồng số 06022026/MKT-BHAPPY-vanpham0719 ký ngày 06/02/2026 và Biên bản nghiệm thu ký ngày 12/03/2026 HĐ số 24</t>
  </si>
  <si>
    <t>Điều chỉnh giảm Dịch vụ quảng cáo và truyền thông theo Hợp đồng số 08122025/HĐDV-SE-VANPHAM-CLOSEUPXMAS ký ngày 08/12/2025 và Biên bản nghiệm thu ký ngày 17/03/2026 HĐ số 27</t>
  </si>
  <si>
    <t>Điều chỉnh giảm Dịch vụ quảng cáo và truyền thông theo Hợp đồng số 08122025/HĐDV-SE-VANPHAM-AHC ký ngày 08/12/2025 và Biên bản nghiệm thu ký ngày 17/03/2026 HĐ số 26</t>
  </si>
  <si>
    <t>Điều chỉnh giảm Dịch vụ quảng cáo và truyền thông theo Hợp đồng số 05012026/HDDV/IBP-VANPHAM ký ngày 05/01/2026 và Biên bản nghiệm thu ký ngày 18/03/2026 HĐ số 28</t>
  </si>
  <si>
    <t>Điều chỉnh giảm Thanh toán 100% phí dịch vụ LAN - IDÔLE NPD FRAGRANCE - VIDEO - SCOPE 3 - 3103 SOW số 36737/2025/WPP-BTL-LO ID Tiktok: vanpham0719 HĐ số 29</t>
  </si>
  <si>
    <t>Điều chỉnh giảm Dịch vụ quảng cáo và truyền thông theo Hợp đồng số T09MPD26HDDV-0142-2110 VANPHAM0719 ký ngày 15/03/2026 và Biên bản nghiệm thu ký ngày 20/03/2026 HĐ số 30</t>
  </si>
  <si>
    <t>Điều chỉnh giảm Dịch vụ quảng cáo và truyền thông theo Hợp đồng số 2003/2026/SOKO-HOKINHDOANHVANPHAM ký ngày 20/03/2026 (Đợt 1) HĐ số 31</t>
  </si>
  <si>
    <t>Điều chỉnh giảm Dịch vụ quảng cáo truyền thông theo Hợp đồng số: 260304/HDDV/BRAINAD-VANPHAM dự án Sulwhasoo_Perfecting Primer &amp; Perfecting Cream (BA420) ký ngày 04/3/2026 HĐ số 32</t>
  </si>
  <si>
    <t>Điều chỉnh giảm Thanh toán 100% phí dịch vụ LRP - KOL AWO TTS SBD full franchise LRP T3 - Video - Scope 1 - 1004 SOW số 37982/2025/WPP-BTL-LO ID Tiktok: vanpham0719 HĐ số 33</t>
  </si>
  <si>
    <t>Điều chỉnh giảm Dịch vụ quảng cáo và truyền thông theo Hợp đồng số 2003/2026/SOKO-HOKINHDOANHVANPHAM ký ngày 20/03/2026 (Đợt 2) và Biên bản nghiệm thu ký ngày 26/03/2026 HĐ số 34</t>
  </si>
  <si>
    <t>Điều chỉnh giảm Dịch vụ quảng cáo và truyền thông theo Hợp đồng T03MPD26HDDV-0133-2110 VANPHAM0719 ký ngày 20/03/2026 và Biên bản nghiệm thu ký ngày 30/03/2026 HĐ số 36</t>
  </si>
  <si>
    <t>Điều chỉnh giảm Thanh toán 100% phí dịch vụ MNY - LUMI MATTE - VIDEO - SCOPE 3 - 1004 SOW số 43995/2025/WPP-BTL-LO ID Tiktok: vanpham0719 HĐ số 35</t>
  </si>
  <si>
    <t>Điều chỉnh giảm Dịch vụ quảng cáo và truyền thông theo Hợp đồng số 03032026HDDV/MEISHANG – VANPHAM ký ngày 03/03/2026 và Biên bản nghiệm thu ký ngày 31/03/2026 HĐ số 38</t>
  </si>
  <si>
    <t>Điều chỉnh giảm Dịch vụ quảng cáo và truyền thông theo Hợp đồng số : 01122025/HDDV/IBP-VANPHAM ký ngày 01/12/2025 và Biên bản nghiệm thu ký ngày 31/03/2026 HĐ số 37</t>
  </si>
  <si>
    <t>0318330264</t>
  </si>
  <si>
    <t>Nhận Doanh thu Dịch vụ quảng cáo và truyền thông theo Hợp đồng số 011225/HDDV/NIVEABODYP2/ICON-VPCG-HKDVANPHAM ký ngày 01/11/2025 kèm Biên bản nghiệm thu và thanh lý ký ngày 24/12/2025 HĐ số 18</t>
  </si>
  <si>
    <t>Nhận Doanh thu Phí dịch vụ quảng cáo theo Hợp đồng số 412/HDDV-SE-VANPHAM-SSTYLE ký ngày 04/12/2025 HĐ số 22</t>
  </si>
  <si>
    <t>Nhận Cung cấp 100% dịch vụ dự án Listerine H2 tháng 11 theo Biên bản nghiệm thu và thanh lý ký ngày 13/01/2026 và Hợp đồng số HĐ/3486/2025/METUB ký ngày 14/11/2025 HĐ số 2</t>
  </si>
  <si>
    <t>Nhận Doanh thu Thanh toán 100% phí dịch vụ LAN - LUXE AFF PROJECT NOV 2025 - Scope 2 - 1012 SOW số 30480/2025/WPP-BTL-LO ID Tiktok: vanpham0719 HĐ số 12</t>
  </si>
  <si>
    <t>https://drive.google.com/drive/folders/1GDeMI6ORlhPIEgboQe2rKhwjoYmQpVgO</t>
  </si>
  <si>
    <t>https://drive.google.com/drive/folders/1MyoIZKGoBS9IbBzYwcwtPqmpdz1EQ0TU</t>
  </si>
  <si>
    <t>https://drive.google.com/drive/folders/1gKE5DAW3SNefv9TvjRvZ5E8LxPukYapu</t>
  </si>
  <si>
    <t>https://drive.google.com/drive/folders/1c4ELrJX5FUDvJG6r8U6q6UU1jXsD8C29</t>
  </si>
  <si>
    <t>https://drive.google.com/drive/folders/1Hrl6tRKIWjbiqdAyJg1SKNs4W0IfDl60</t>
  </si>
  <si>
    <t>HỘ KINH DOANH PHẠM HUỆ OFFICIAL</t>
  </si>
  <si>
    <t>051198010997</t>
  </si>
  <si>
    <t>Thanh toán Phí dịch vụ Affiliate 12/2025_17325220053 HĐ số 19261</t>
  </si>
  <si>
    <t>Thanh toán Phần mềm hóa đơn điện tử M-100 019303002169.matbao.in (1 năm) HĐ số 6353</t>
  </si>
  <si>
    <t>Thanh toán Phí dịch vụ Affiliate 01/2026_17325220053 (Affiliate Service fee 01/2026_17325220053) HĐ số 780748</t>
  </si>
  <si>
    <t>Thanh toán W ÁO THUN W ÁO CỔ TRÒN W ÁO CỔ TRÒN W ÁO CỔ TRÒN W ÁO PARKA W ÁO LEN M ÁO THUN W ÁO THUN W ÁO THUN K ÁO HEATTECH HĐ số 33888</t>
  </si>
  <si>
    <t>Thanh toán ÁO BLOUSE TAY DÀI DOUBLE GAUZE KAPOK HĐ số 15649</t>
  </si>
  <si>
    <t>Thanh toán USB Token-DN/HKD-MBCA Phí duy trì Chứng thư CKS Token-HKD-MBCA (3 năm) HĐ số 8391</t>
  </si>
  <si>
    <t>Thanh toán Thẻ SD SanDisk Extreme Pro 256GB, UHS- I,200MB/s R, 140MB/s W, SDSDXXD­256G- GN4IN HĐ số 275</t>
  </si>
  <si>
    <t>Thanh toán Cơm dứa hải sản Trà sâm dứa Ba chỉ mắm me Pad thái hải sản Nấm hải sản chiên giòn Đậu que xào tỏi Soup TomYum hải sản Gỏi đu đủ tôm tươi HĐ số 644</t>
  </si>
  <si>
    <t>Thanh toán M ÁO NỈ M QUẦN NỈ M ÁO POLO HĐ số 43725</t>
  </si>
  <si>
    <t>Thanh toán Ghẹ ướp siêu cay ( nhỏ ) Bạch tuộc nhỏ xào cay Mì lạnh nước (Lớn) Trà mơ HQ HĐ số 1291</t>
  </si>
  <si>
    <t>Thanh toán Cước phí vận chuyển mã 01KHCTN6SZ6NPNXJ8X9KMTNZ5F Phí nền tảng mã 01KHCTN6SZ6NPNXJ8X9KMTNZ5F HĐ số 19335647</t>
  </si>
  <si>
    <t>Thanh toán Cước phí vận tải chuyến 1316531272 Phí sử dụng ứng dụng Be HĐ số 7713108</t>
  </si>
  <si>
    <t>Thanh toán Ghẹ ướp siêu cay HĐ số 1340</t>
  </si>
  <si>
    <t>Thanh toán Bạch tuộc nhỏ xào cay Mì lạnh nước (Lớn) Trà mơ HQ Ghẹ ướp siêu cay ( nhỏ ) HĐ số 1358</t>
  </si>
  <si>
    <t>Thanh toán Phí dịch vụ Affiliate 02/2026_17325220053 (Affiliate Service fee 02/2026_17325220053) HĐ số 1644824</t>
  </si>
  <si>
    <t>Thanh toán Thịt dải cắt khúc Thịt bò Wagyu tổng hợp Mì lạnh nước (vừa) Trà mơ HQ HĐ số 1494</t>
  </si>
  <si>
    <t>Thanh toán W ÁO KIỂU W CHÂN VÁY M ÁO THUN UT M ÁO THUN UT M ÁO THUN UT M ÁO THUN UT M ÁO POLO ÁO KHOÁC LEN M ÁO THUN UT HĐ số 63389</t>
  </si>
  <si>
    <t>Thanh toán Bạch tuộc nhỏ xào cay Ghẹ ướp siêu cay ( nhỏ ) Trà mơ HQ Mì lạnh nước (Lớn) HĐ số 1525</t>
  </si>
  <si>
    <t>Thanh toán Thịt bò Wagyu tổng hợp Thịt dải cắt khúc Mì lạnh nước (Lớn) Trà mơ HQ Mì lạnh nước (vừa) HĐ số 1642</t>
  </si>
  <si>
    <t>Thanh toán Aquafina Chai nhựa 500ml Suất Buffet 568K HĐ số 6911</t>
  </si>
  <si>
    <t>Thanh toán Phí dịch vụ tư vấn tháng 02/2026 HĐ số 99</t>
  </si>
  <si>
    <t>Thanh toán W BỘ MẶC NHÀ M ÁO THUN M ÁO THUN M ÁO THUN HĐ số 74036</t>
  </si>
  <si>
    <t>Thanh toán Thịt bò Wagyu tổng hợp Thịt dải cắt khúc Mì lạnh nước (Lớn) Trà mơ HQ HĐ số 1846</t>
  </si>
  <si>
    <t>Thanh toán Bạch tuộc nhỏ xào cay Mì lạnh nước (Lớn) Trà mơ HQ HĐ số 1887</t>
  </si>
  <si>
    <t>Thanh toán Cước phí vận chuyển mã 01KM9W0C0K0T3W9P3M5H4JJBGN Chiết khấu thương mại/ giảm giá mã 01KM9W0C0K0T3W9P3M5H4JJBGN HĐ số 34157904</t>
  </si>
  <si>
    <t>Thanh toán Bánh The Best Cheese Tart Mini - Cheese Kiri Nguyên bản Bánh DREAM CAKE CHOCOLATE (hộp thiếc) Nến cây Thu hộ Phí giao hàng FA278352 HĐ số 41743</t>
  </si>
  <si>
    <t>Thanh toán Cước phí vận tải chuyến 1344621687 Phí sử dụng ứng dụng Be HĐ số 18866367</t>
  </si>
  <si>
    <t>Thanh toán Cước phí vận chuyển mã 01KMKTHYT33FRVMF1YEFF5Z5F9 Chiết khấu thương mại/ giảm giá mã 01KMKTHYT33FRVMF1YEFF5Z5F9 HĐ số 25358205</t>
  </si>
  <si>
    <t>Thanh toán DỊCH VỤ BÁN HÀNG (Spa) DỊCH VỤ BÁN HÀNG (Spa) DỊCH VỤ BÁN HÀNG (Spa) PHÍ PHỤC VỤ (Service Charge) HĐ số 3448</t>
  </si>
  <si>
    <t>Thanh toán Thịt dải cắt khúc Thịt bò Wagyu tổng hợp Mì lạnh nước (vừa) Trà mơ HQ HĐ số 2028</t>
  </si>
  <si>
    <t>Điều chỉnh giảm Dịch vụ quảng cáo và truyền thông theo Hợp đồng số FINTVN-KAO-TET26-04 ký ngày 22/01/2026 kèm Biên bản nghiệm thu và thanh lý ký ngày 09/02/2026 HĐ số 1</t>
  </si>
  <si>
    <t>Điều chỉnh giảm Dịch vụ quảng cáo và truyền thông theo Hợp đồng số 260226/HDDV/BRAINAD-HAGIANG ký ngày 26/02/2026 (Đợt 1) HĐ số 3</t>
  </si>
  <si>
    <t>Điều chỉnh giảm Dịch vụ quảng cáo và truyền thông theo Hợp đồng số 260226/HDDV/BRAINAD-HAGIANG ký ngày 26/02/2026 (Đợt 2) kèm Biên bản nghiệm thu thanh lý ký ngày 26/03/2026 HĐ số 5</t>
  </si>
  <si>
    <t>Điều chỉnh giảm Dịch vụ quảng cáo và truyền thông theo Hợp đồng dịch vụ ký ngày 09/03/2026 Advertising and media services under the Service Contract signed on March 9, 2026. HĐ số 4</t>
  </si>
  <si>
    <t>Điều chỉnh giảm Thanh toán 100% phí dịch vụ MNY - CLOUDTOPIA - Event - Scope 2 - 1004 SOW số 45839/2025/WPP-BTL-LO ID Tiktok: ciaramakeup2003 HĐ số 7</t>
  </si>
  <si>
    <t>Điều chỉnh giảm Thanh toán 100% phí dịch vụ 3CE - KOC Hub Mar - Video - Scope 3 - 300326 SOW số 39410/2025/WPP-BTL-LO ID Tiktok: ciaramakeup2003 HĐ số 6</t>
  </si>
  <si>
    <t>Điều chỉnh giảm Thanh toán 100% phí dịch vụ OAP - UV AQUA - Video - Scope 2 - 3003 - PO4001562310 SOW số 43151/2025/WPP-BTL-LO ID Tiktok: ciaramakeup2003 HĐ số 9</t>
  </si>
  <si>
    <t>Điều chỉnh giảm Thanh toán 100% phí dịch vụ MNY - LUMI MATTE - VIDEO - SCOPE 3 - 1004 SOW số 43994/2025/WPP-BTL-LO ID Tiktok: ciaramakeup2003 HĐ số 8</t>
  </si>
  <si>
    <t>Chi phí tiếp khách, ngoại giao HĐ số 29194</t>
  </si>
  <si>
    <t>Thanh toán Chi phí tiếp khách, ngoại giao HĐ số 29194</t>
  </si>
  <si>
    <t>Chi phí tiếp khách, ngoại giao HĐ số 919927</t>
  </si>
  <si>
    <t>Thanh toán Chi phí tiếp khách, ngoại giao HĐ số 919927</t>
  </si>
  <si>
    <t>Chi phí tiếp khách, ngoại giao HĐ số 92086</t>
  </si>
  <si>
    <t>Thanh toán Chi phí tiếp khách, ngoại giao HĐ số 92086</t>
  </si>
  <si>
    <t>Chi phí tiếp khách, ngoại giao HĐ số 110253</t>
  </si>
  <si>
    <t>Thanh toán Chi phí tiếp khách, ngoại giao HĐ số 110253</t>
  </si>
  <si>
    <t>Chi phí tiếp khách, ngoại giao HĐ số 1148376</t>
  </si>
  <si>
    <t>Thanh toán Chi phí tiếp khách, ngoại giao HĐ số 1148376</t>
  </si>
  <si>
    <t>Chi phí tiếp khách, ngoại giao HĐ số 1214029</t>
  </si>
  <si>
    <t>Thanh toán Chi phí tiếp khách, ngoại giao HĐ số 1214029</t>
  </si>
  <si>
    <t>Chi phí tiếp khách, ngoại giao HĐ số 331165</t>
  </si>
  <si>
    <t>Thanh toán Chi phí tiếp khách, ngoại giao HĐ số 331165</t>
  </si>
  <si>
    <t>Chi phí tiếp khách, ngoại giao HĐ số 3447</t>
  </si>
  <si>
    <t>Thanh toán Chi phí tiếp khách, ngoại giao HĐ số 3447</t>
  </si>
  <si>
    <t>Chi phí tiếp khách, ngoại giao HĐ số 1354518</t>
  </si>
  <si>
    <t>Thanh toán Chi phí tiếp khách, ngoại giao HĐ số 1354518</t>
  </si>
  <si>
    <t>Dịch vụ quảng cáo và truyền thông theo Hợp đồng số 20260202/ DELIGHT CONNECTION VN-HAGIANGOFFICIAL ký ngày 02/02/2026 HĐ số 2</t>
  </si>
  <si>
    <t>Điều chỉnh giảm Dịch vụ quảng cáo và truyền thông theo Hợp đồng số 20260202/ DELIGHT CONNECTION VN-HAGIANGOFFICIAL ký ngày 02/02/2026 HĐ số 2</t>
  </si>
  <si>
    <t>CÔNG TY TNHH SHOPEE</t>
  </si>
  <si>
    <t>CHI NHÁNH UNIQLO VINCOM PHẠM NGỌC THẠCH - CÔNG TY TNHH UNIQLO VIỆT NAM</t>
  </si>
  <si>
    <t>CHI NHÁNH CÔNG TY TNHH MUJI RETAIL (VIỆT NAM) TẠI HÀ NỘI</t>
  </si>
  <si>
    <t>CHI NHÁNH TẠI HÀ NỘI CÔNG TY CỔ PHẦN THƯƠNG MẠI VÀ DỊCH VỤ CÔNG NGHỆ SỐ ĐỈNH CAO</t>
  </si>
  <si>
    <t>CÔNG TY TNHH DỊCH VỤ ẨM THỰC KHAO THÁI</t>
  </si>
  <si>
    <t>CÔNG TY TNHH AEON VIỆT NAM- CHI NHÁNH LONG BIÊN</t>
  </si>
  <si>
    <t>CÔNG TY TNHH TAE BACK</t>
  </si>
  <si>
    <t>CÔNG TY CỔ PHẦN DI CHUYỂN XANH VÀ THÔNG MINH GSM</t>
  </si>
  <si>
    <t>CHI NHÁNH CÔNG TY CỔ PHẦN BE GROUP TẠI HÀ NỘI</t>
  </si>
  <si>
    <t>CHI NHÁNH CÔNG TY TNHH EB TÂN PHÚ TẠI HÀ NỘI</t>
  </si>
  <si>
    <t>CÔNG TY CỔ PHẦN THẦN BIỂN</t>
  </si>
  <si>
    <t>Công ty Cổ phần SX &amp; TM Thực phẩm Quốc tế Friendship Cakes</t>
  </si>
  <si>
    <t>CÔNG TY TNHH HAI DI LAO VIET NAM HOLDINGS - CHI NHÁNH THÀNH PHỐ HỒ CHÍ MINH</t>
  </si>
  <si>
    <t>CÔNG TY CỔ PHẦN BE GROUP</t>
  </si>
  <si>
    <t>CÔNG TY CỔ PHẦN KHÁCH SẠN FUSION SUITES SÀI GÒN</t>
  </si>
  <si>
    <t>CÔNG TY TNHH MARKETING FINT VIỆT NAM</t>
  </si>
  <si>
    <t>CÔNG TY TNHH DELIGHT CONNECTION VIỆT NAM</t>
  </si>
  <si>
    <t>CÔNG TY TNHH THƯƠNG MẠI QUẢNG CÁO SÁNG TẠO NÃO</t>
  </si>
  <si>
    <t>CÔNG TY MOODY GLOBAL LIMITED</t>
  </si>
  <si>
    <t>0318868038</t>
  </si>
  <si>
    <t>0311854540-006</t>
  </si>
  <si>
    <t xml:space="preserve">
 HĐ số 148908</t>
  </si>
  <si>
    <t xml:space="preserve">
 HĐ số 588759</t>
  </si>
  <si>
    <t>Phần mềm hóa đơn điện tử M-100 051198010997.matbao.in (1 năm) HĐ số 15533</t>
  </si>
  <si>
    <t>Tiền thuê văn phòng theo hợp đồng số: 1503/2026/HĐVP/CYBER-PHAMHUEOFFICIAL ký ngày 03/03/2026 HĐ số 85</t>
  </si>
  <si>
    <t>USB Token-DN/HKD-MBCA
Phí duy trì Chứng thư CKS Token-HKD-MBCA (1 năm) HĐ số 15789</t>
  </si>
  <si>
    <t>W ÁO LEN HĐ số 21846</t>
  </si>
  <si>
    <t>CP7 Cơm chiên thịt cua
SS11 Somtum sashimi tôm sú
CP15 Pad Thái truyền thống
KV9 Heo xiên nướng Mooping
COT1 Khăn lạnh
TT3 Trà vải
TS1 Trà sữa Thái Siam Sugar
TCT5 Nước long nhãn đường nâu HĐ số 10882</t>
  </si>
  <si>
    <t>TÚI GIẤY DESIGN23, N/A, S, N/A, S - MS074
ÁO THUN TAY DÀI, 50BKS, M - 3FMTV1561 HĐ số 208786</t>
  </si>
  <si>
    <t>Thanh toán 
 HĐ số 148908</t>
  </si>
  <si>
    <t>Thanh toán 
 HĐ số 588759</t>
  </si>
  <si>
    <t>Thanh toán Phần mềm hóa đơn điện tử M-100 051198010997.matbao.in (1 năm) HĐ số 15533</t>
  </si>
  <si>
    <t>Thanh toán Tiền thuê văn phòng theo hợp đồng số: 1503/2026/HĐVP/CYBER-PHAMHUEOFFICIAL ký ngày 03/03/2026 HĐ số 85</t>
  </si>
  <si>
    <t>Thanh toán USB Token-DN/HKD-MBCA
Phí duy trì Chứng thư CKS Token-HKD-MBCA (1 năm) HĐ số 15789</t>
  </si>
  <si>
    <t>Thanh toán W ÁO LEN HĐ số 21846</t>
  </si>
  <si>
    <t>Thanh toán TÚI GIẤY DESIGN23, N/A, S, N/A, S - MS074
ÁO THUN TAY DÀI, 50BKS, M - 3FMTV1561 HĐ số 208786</t>
  </si>
  <si>
    <t>Dịch vụ quảng cáo và truyền thông theo Hợp đồng số T03MPD26HDDV-0120-2114 AHYOUNG98 ký ngày 03/03/2026 và Biên bản nghiệm thu ký ngày 10/03/2026 HĐ số 1</t>
  </si>
  <si>
    <t>Dịch vụ quảng cáo và truyền thông theo Hợp đồng số 11032026/HDDV/UPBASE-NUCOS-AHYOUNG.98/2026 ký ngày 11/03/2026 HĐ số 3</t>
  </si>
  <si>
    <t>Hoa hồng tiếp thị liên kết (Affiliate Marketing Commission) HĐ số 5</t>
  </si>
  <si>
    <t>Thanh toán 100% phí dịch vụ 3CE - KOC Hub Mar - Video - Scope 3 - 300326 SOW số 39408/2025/WPP-BTL-LO ID Tiktok: ahyoung.98 HĐ số 4</t>
  </si>
  <si>
    <t>Điều chỉnh giảm Dịch vụ quảng cáo và truyền thông theo Hợp đồng số T03MPD26HDDV-0120-2114 AHYOUNG98 ký ngày 03/03/2026 và Biên bản nghiệm thu ký ngày 10/03/2026 HĐ số 1</t>
  </si>
  <si>
    <t>Điều chỉnh giảm Dịch vụ quảng cáo và truyền thông theo Hợp đồng số 11032026/HDDV/UPBASE-NUCOS-AHYOUNG.98/2026 ký ngày 11/03/2026 HĐ số 3</t>
  </si>
  <si>
    <t>Điều chỉnh giảm Hoa hồng tiếp thị liên kết (Affiliate Marketing Commission) HĐ số 5</t>
  </si>
  <si>
    <t>Điều chỉnh giảm Thanh toán 100% phí dịch vụ 3CE - KOC Hub Mar - Video - Scope 3 - 300326 SOW số 39408/2025/WPP-BTL-LO ID Tiktok: ahyoung.98 HĐ số 4</t>
  </si>
  <si>
    <t>Thanh toán Chi phí tiếp khách, ngoại giao HĐ số 5343</t>
  </si>
  <si>
    <t>Thanh toán Chi phí tiếp khách, ngoại giao HĐ số 6369</t>
  </si>
  <si>
    <t>Thanh toán Chi phí tiếp khách, ngoại giao HĐ số 319696</t>
  </si>
  <si>
    <t>Thanh toán Chi phí tiếp khách, ngoại giao HĐ số 10882</t>
  </si>
  <si>
    <t>Chi phí tiếp khách, ngoại giao số 5343</t>
  </si>
  <si>
    <t>Chi phí tiếp khách, ngoại giao HĐ số 6369</t>
  </si>
  <si>
    <t>Chi phí tiếp khách, ngoại giao HĐ số 319696</t>
  </si>
  <si>
    <t>Chi Nhánh Công Ty Cổ Phần Viễn Thông FPT</t>
  </si>
  <si>
    <t>CÔNG TY CỔ PHẦN ĐẦU TƯ KHAI THÁC TÀI SẢN CYBER</t>
  </si>
  <si>
    <t>Công Ty TNHH Uniqlo Việt Nam</t>
  </si>
  <si>
    <t>CÔNG TY CỔ PHẦN  ĐẦU TƯ VIÊN NGỌC MỚI – CHI NHÁNH NHÀ HÀNG CHANG KANG KUNG EMART</t>
  </si>
  <si>
    <t>CÔNG TY CỔ PHẦN MỸ PHẨM QUỐC TẾ THÙY DUNG</t>
  </si>
  <si>
    <t>TIKTOK PTE. LTD</t>
  </si>
  <si>
    <t>Nhận Dịch vụ quảng cáo và truyền thông theo Hợp đồng số FINTVN-KAO-TET26-04 ký ngày 22/01/2026 kèm Biên bản nghiệm thu và thanh lý ký ngày 09/02/2026 HĐ số 1</t>
  </si>
  <si>
    <t>Lãi ngân hàng</t>
  </si>
  <si>
    <t>Nhận Dịch vụ quảng cáo và truyền thông theo Hợp đồng dịch vụ ký ngày 09/03/2026 Advertising and media services under the Service Contract signed on March 9, 2026. HĐ số 4</t>
  </si>
  <si>
    <t>Nhận Dịch vụ quảng cáo và truyền thông theo Hợp đồng số 260226/HDDV/BRAINAD-HAGIANG ký ngày 26/02/2026 (Đợt 1) HĐ số 3</t>
  </si>
  <si>
    <t>Nhận Dịch vụ quảng cáo và truyền thông theo Hợp đồng số 11032026/HDDV/UPBASE-NUCOS-AHYOUNG.98/2026 ký ngày 11/03/2026 HĐ số 3</t>
  </si>
  <si>
    <t>Nhận Hoa hồng tiếp thị liên kết (Affiliate Marketing Commission) HĐ số 5</t>
  </si>
  <si>
    <t>Nhận Dịch vụ quảng cáo và truyền thông theo Hợp đồng số T03MPD26HDDV-0120-2114 AHYOUNG98 ký ngày 03/03/2026 và Biên bản nghiệm thu ký ngày 10/03/2026 HĐ số 1</t>
  </si>
  <si>
    <t>PT</t>
  </si>
  <si>
    <t>Nhận góp vốn từ chủ sỡ hữu</t>
  </si>
  <si>
    <t>Chi phí tiếp khách, ngoại giao HĐ số 121767</t>
  </si>
  <si>
    <t>Chi phí tiếp khách, ngoại giao HĐ số 4846</t>
  </si>
  <si>
    <t>Chi phí tiếp khách, ngoại giao HĐ số 9297</t>
  </si>
  <si>
    <t>Chi phí tiếp khách, ngoại giao HĐ số 3367</t>
  </si>
  <si>
    <t>Chi phí tiếp khách, ngoại giao HĐ số 4597</t>
  </si>
  <si>
    <t>Chi phí tiếp khách, ngoại giao HĐ số 13151</t>
  </si>
  <si>
    <t>Thanh toán Tiền thuê văn phòng theo hợp đồng số 32998/HDKT/2026 HĐ số 3</t>
  </si>
  <si>
    <t>Thanh toán Phần mềm hóa đơn điện tử M-100 089202017472.matbao.in (1 năm) HĐ số 3892</t>
  </si>
  <si>
    <t>Thanh toán USB Token-DN/HKD-MBCA Phí duy trì Chứng thư CKS Token-HKD-MBCA (3 năm) HĐ số 4593</t>
  </si>
  <si>
    <t>Thanh toán Cước phí vận tải chuyến 1285416592 Phí sử dụng ứng dụng Be HĐ số 4659463</t>
  </si>
  <si>
    <t>Thanh toán Cước phí vận tải chuyến 1285206271 Phí sử dụng ứng dụng Be HĐ số 4596472</t>
  </si>
  <si>
    <t>Thanh toán Cước phí vận chuyển mã 01KFH463PSXMFG351J2W3APJES Chiết khấu thương mại/ giảm giá mã 01KFH463PSXMFG351J2W3APJES HĐ số 6417455</t>
  </si>
  <si>
    <t>Thanh toán Cước phí vận chuyển mã 01KFH1116TPQ03WF8S732PDWG2 Chiết khấu thương mại/ giảm giá mã 01KFH1116TPQ03WF8S732PDWG2 HĐ số 6415915</t>
  </si>
  <si>
    <t>Thanh toán Cước phí vận chuyển mã 01KFX29V477JZD56JG6EK6NE1K Chiết khấu thương mại/ giảm giá mã 01KFX29V477JZD56JG6EK6NE1K HĐ số 8010787</t>
  </si>
  <si>
    <t>Thanh toán   HĐ số 25268</t>
  </si>
  <si>
    <t>Thanh toán Chi phí tiếp khách, ngoại giao HĐ số 121767</t>
  </si>
  <si>
    <t>Thanh toán Chi phí tiếp khách, ngoại giao HĐ số 4846</t>
  </si>
  <si>
    <t>Thanh toán Cước phí vận tải chuyến 1306645806 Phí sử dụng ứng dụng Be HĐ số 9688832</t>
  </si>
  <si>
    <t>Thanh toán Cước phí vận tải chuyến 1307766009 Phí sử dụng ứng dụng Be HĐ số 9892450</t>
  </si>
  <si>
    <t>Thanh toán Chi phí tiếp khách, ngoại giao HĐ số 9297</t>
  </si>
  <si>
    <t>Thanh toán TM2 Nước lá dứa nha đam, hạt chia GD3 Canh chua cá hú KM7 Cá hú kho KM3 Mắm chưng R7 Bông thiên lý xào tỏi GTS17 Thố cơm nhỏ MOT1 Khăn HĐ số 3778</t>
  </si>
  <si>
    <t>Thanh toán Kem chống nắng - clinicos tone-up truth sunscreen 50ml (hàng mẫu không thu tiền) Kem chống nắng - Clinicos sensitive truth sunscreenn 50ml (hàng mẫu không thu tiền) HĐ số 169</t>
  </si>
  <si>
    <t>Thanh toán Hộp quà Tết Healthy Design (hàng tặng không thu tiền) HĐ số 16</t>
  </si>
  <si>
    <t>Thanh toán Cước phí vận tải chuyến 1319142424 Phí sử dụng ứng dụng Be HĐ số 12466214</t>
  </si>
  <si>
    <t>Thanh toán Cước phí vận tải chuyến 1319035470 Phí sử dụng ứng dụng Be HĐ số 12449322</t>
  </si>
  <si>
    <t>Thanh toán Cước phí vận tải chuyến 1318935264 Phí sử dụng ứng dụng Be HĐ số 12428379</t>
  </si>
  <si>
    <t>Thanh toán Cước phí vận tải chuyến 1318836880 Phí sử dụng ứng dụng Be HĐ số 12411157</t>
  </si>
  <si>
    <t>Thanh toán Chi phí tiếp khách, ngoại giao HĐ số 3367</t>
  </si>
  <si>
    <t>Thanh toán   HĐ số 560556</t>
  </si>
  <si>
    <t>Thanh toán 111W08155-WHOO-Chăm sóc da 111W08155-WHOO-Chăm sóc da HĐ số 312061</t>
  </si>
  <si>
    <t>Thanh toán Cước phí vận tải chuyến 1323693397 Phí sử dụng ứng dụng Be HĐ số 13577551</t>
  </si>
  <si>
    <t>Thanh toán Sáp trang điểm cho môi và má - 0145381 HĐ số 8114</t>
  </si>
  <si>
    <t>Thanh toán Cước phí vận tải chuyến 1324485084 Phí sử dụng ứng dụng Be HĐ số 13764665</t>
  </si>
  <si>
    <t>Thanh toán Cước phí vận tải chuyến 1324143415 Phí sử dụng ứng dụng Be HĐ số 13703211</t>
  </si>
  <si>
    <t>Thanh toán Phí dịch vụ tư vấn tháng 02/2026 HĐ số 74</t>
  </si>
  <si>
    <t>Thanh toán Cước phí vận tải chuyến 1325945610 Phí sử dụng ứng dụng Be HĐ số 14152894</t>
  </si>
  <si>
    <t>Thanh toán Cước phí vận tải chuyến 1334618935 Phí sử dụng ứng dụng Be HĐ số 7356021</t>
  </si>
  <si>
    <t>Thanh toán Cước phí vận tải chuyến 1335798703 Phí sử dụng ứng dụng Be HĐ số 16590565</t>
  </si>
  <si>
    <t>Thanh toán Cước phí vận tải chuyến 1335958475 Phí sử dụng ứng dụng Be HĐ số 16639614</t>
  </si>
  <si>
    <t>Thanh toán Cước phí vận tải chuyến 1336803538 Phí sử dụng ứng dụng Be HĐ số 7624460</t>
  </si>
  <si>
    <t>Thanh toán Cước phí vận tải chuyến 1337213805 Phí sử dụng ứng dụng Be HĐ số 7676582</t>
  </si>
  <si>
    <t>Thanh toán Chi phí tiếp khách, ngoại giao HĐ số 4597</t>
  </si>
  <si>
    <t>Thanh toán Cước phí vận tải chuyến 1338509593 Phí sử dụng ứng dụng Be HĐ số 7846445</t>
  </si>
  <si>
    <t>Thanh toán Cước phí vận tải chuyến 1338220526 Phí sử dụng ứng dụng Be HĐ số 7815333</t>
  </si>
  <si>
    <t>Thanh toán Cước phí vận tải chuyến 1338174061 Phí sử dụng ứng dụng Be HĐ số 7806473</t>
  </si>
  <si>
    <t>Thanh toán Cước phí vận tải chuyến 1339115292 Phí sử dụng ứng dụng Be HĐ số 17446543</t>
  </si>
  <si>
    <t>Thanh toán Cước phí vận tải chuyến 1339826724 Phí sử dụng ứng dụng Be HĐ số 8013327</t>
  </si>
  <si>
    <t>Thanh toán Phấn trang điểm - 0132716 Cọ trang điểm - 0138847 HĐ số 4190</t>
  </si>
  <si>
    <t>Thanh toán Khăn cuộn Trà sả chanh hạt chia Nước rong biển Combo 1 (Gà lên mâm 5 món size nhỏ, Miếng măng gà xé) HĐ số 560</t>
  </si>
  <si>
    <t>Thanh toán Cước phí vận tải chuyến 1346433843 Phí sử dụng ứng dụng Be HĐ số 19334387</t>
  </si>
  <si>
    <t>Thanh toán Cước phí vận tải chuyến 1346930020 Phí sử dụng ứng dụng Be HĐ số 19475246</t>
  </si>
  <si>
    <t>Thanh toán Chi phí tiếp khách, ngoại giao HĐ số 13151</t>
  </si>
  <si>
    <t>Điều chỉnh giảm Dịch vụ quảng cáo và truyền thông theo Hợp đồng số 45/2026/HĐDV-KTDO ký ngày 19/01/2026 HĐ số 2</t>
  </si>
  <si>
    <t>Điều chỉnh giảm Dịch vụ quảng cáo và truyền thông theo Hợp đồng số 15012026/HDDV/KTD OFFICIAL-NT ký ngày 15/01/2026 kèm Biên bản nghiệm thu và thanh lý hợp đồng ký ngày 03/02/2026 HĐ số 1</t>
  </si>
  <si>
    <t>Điều chỉnh giảm Dịch vụ quảng cáo và truyền thông theo Hợp đồng số 04122025/HĐGT-KTD ký ngày 04/12/2025 và Biên bản nghiệm thu ký ngày 04/02/2026 HĐ số 6</t>
  </si>
  <si>
    <t>Điều chỉnh giảm Dịch vụ quảng cáo và truyền thông theo Hợp đồng số 1512/2025/LINK-KHATHANHDUY-CAS ký ngày 15/12/2025 và Biên bản nghiệm thu ký ngày 04/02/2026 HĐ số 5</t>
  </si>
  <si>
    <t>Điều chỉnh giảm Dịch vụ quảng cáo và truyền thông theo Hợp đồng số T04MPD25HDDV-0140-2062 KHATHANHDUYOFFICIAL ký ngày 20/01/2026 và Biên bản nghiệm thu ký ngày 04/02/2026 HĐ số 4</t>
  </si>
  <si>
    <t>Điều chỉnh giảm Dịch vụ quảng cáo và truyền thông theo Hợp đồng số số 01.1912/2025/HDDV/SGL-QC ký ngày 19/12/2025 và Biên bản nghiệm thu ký ngày 04/02/2026 HĐ số 3</t>
  </si>
  <si>
    <t>Điều chỉnh giảm Dịch vụ quảng cáo và truyền thông theo Hợp đồng số MSS-KTD/190126/HDDV ký ngày 19/01/2026 và Biên bản nghiệm thu ký ngày 05/02/2026 HĐ số 8</t>
  </si>
  <si>
    <t>Điều chỉnh giảm Dịch vụ quảng cáo và truyền thông theo Hợp đồng số 01122025HDDVKHATHANHDUYDIV ký ngày 01/12/2025 và Biên bản nghiệm thu ký ngày 05/02/2026 HĐ số 7</t>
  </si>
  <si>
    <t>Điều chỉnh giảm Dịch vụ quảng cáo và truyền thông cho nhãn hàng Candid theo Hợp đồng số 682001202602/HDDV/RV/KOL ký ngày 20/01/2026 kèm Biên bản nghiệm thu và thanh lý ký ngày 10/02/2026 HĐ số 10</t>
  </si>
  <si>
    <t>Điều chỉnh giảm Dịch vụ quảng cáo và truyền thông cho nhãn hàng Murad theo Hợp đồng số 682001202607/HDDV/RV/KOL ký ngày 20/01/2026 kèm Biên bản nghiệm thu và thanh lý ký ngày 10/02/2026 HĐ số 9</t>
  </si>
  <si>
    <t>Điều chỉnh giảm Dịch vụ quảng cáo và truyền thông theo Hợp đồng quản bá Influencer ký ngày 22/01/2026 và biên bản nghiệm thu ký ngày 26/02/2026 HĐ số 11</t>
  </si>
  <si>
    <t>Điều chỉnh giảm Dịch vụ quảng cáo và truyền thông theo Hợp đồng số HKD KTD_3BRO1_GARNIER MOCHI CAMP FEB_260107_006 ký ngày 12/02/2026 và Biên bản nghiệm thu ký ngày 03/03/2026 HĐ số 12</t>
  </si>
  <si>
    <t>Điều chỉnh giảm Dịch vụ quảng cáo và truyền thông theo Hợp đồng số 2802/2026/TTS/KHATHANHDUY/MEARD ký ngày 28/02/2026 và Biên bản nghiệm thu ký ngày 09/03/2026 HĐ số 16</t>
  </si>
  <si>
    <t>Điều chỉnh giảm Điều chỉnh giảm mặt hàng Dịch vụ quảng cáo và truyền thông theo Hợp đồng số 802/2026/TTS/KHATHANHDUY/MEARD ký ngày 28/02/2026 và Biên bản nghiệm thu ký ngày 09/03/2026 HĐ số 15</t>
  </si>
  <si>
    <t>Điều chỉnh giảm Dịch vụ quảng cáo và truyền thông theo Hợp đồng số HDDV/OLAYxVĐxKHATHANHDUY/301125 ký ngày 30/11/2025 và Biên bản nghiệm thu ký ngày 09/03/2026 HĐ số 14</t>
  </si>
  <si>
    <t>Điều chỉnh giảm Dịch vụ quảng cáo và truyền thông theo Hợp đồng số 802/2026/TTS/KHATHANHDUY/MEARD ký ngày 28/02/2026 và Biên bản nghiệm thu ký ngày 09/03/2026 HĐ số 13</t>
  </si>
  <si>
    <t>Điều chỉnh giảm Thanh toán 100% phí dịch vụ KIE - UFM - Video - Scope 2 - 3001 SOW số 34814/2025/WPP-BTL-LO ID Tiktok: khathanhduy.vlogger HĐ số 17</t>
  </si>
  <si>
    <t>Điều chỉnh giảm Thanh toán 100% phí dịch vụ KIE - ADVO AWO JAN&amp;apos;26 PHASE 1 - Video - Scope 2 - 1003 SOW số 36906/2025/WPP-BTL-LO ID Tiktok: khathanhduy.vlogger HĐ số 18</t>
  </si>
  <si>
    <t>Điều chỉnh giảm Thanh toán 100% phí dịch vụ LRP - KOL AWO TTS SBD full franchise LRP T3 - Video - Scope 1 - 1004 SOW số 37980/2025/WPP-BTL-LO ID Tiktok: khathanhduy.vlogger HĐ số 20</t>
  </si>
  <si>
    <t>Điều chỉnh giảm Dịch vụ quảng cáo và truyền thông theo Hợp đồng số 09032026/KHATHANHDUY-USOLAB ký ngày 09/03/2026 (Đợt 1) HĐ số 19</t>
  </si>
  <si>
    <t>Điều chỉnh giảm Dịch vụ quảng cáo và truyền thông theo Hợp đồng số 01032026HDDVKHATHANHDUYBOJ ký ngày 01/03/2026 và Biên bản nghiệm thu ký ngày 25/03/2026 HĐ số 21</t>
  </si>
  <si>
    <t>Điều chỉnh giảm Hoa hồng tiếp thị liên kết (Affiliate Marketing Commission) HĐ số 22</t>
  </si>
  <si>
    <t>Điều chỉnh giảm Dịch vụ quảng cáo và truyền thông theo Hợp đồng số 20260303/LIENKETxKHATHANHDUY ký ngày 03/03/2026 và Biên bản nghiệm thu ký ngày 27/03/2026 HĐ số 23</t>
  </si>
  <si>
    <t>Điều chỉnh giảm Dịch vụ quảng cáo và truyền thông theo Hợp đồng số 01032026HDDVKHATHANHDUYWELLAGE ký ngày 01/03/2026 kèm Biên bản nghiệm thu ký ngày 31/03/2026 HĐ số 24</t>
  </si>
  <si>
    <t>Nhận Dịch vụ quảng cáo và truyền thông theo Hợp đồng số 45/2026/HĐDV-KTDO HĐ số 2</t>
  </si>
  <si>
    <t>Nhận Dịch vụ quảng cáo và truyền thông theo Hợp đồng số 09032026/KHATHANHDUY-USOLAB (Đợt 1) HĐ số 19</t>
  </si>
  <si>
    <t>Nhận Dịch vụ quảng cáo và truyền thông theo Hợp đồng quản bá Influencer HĐ số 11</t>
  </si>
  <si>
    <t>Nhận Dịch vụ quảng cáo và truyền thông theo Hợp đồng số T04MPD25HDDV-0140-2062 HĐ số 4</t>
  </si>
  <si>
    <t>Nhận Hoa hồng tiếp thị liên kết (Affiliate Marketing Commission) HĐ số 22</t>
  </si>
  <si>
    <t>Nhận Dịch vụ quảng cáo và truyền thông theo Hợp đồng số 45/2026/HĐDV-KTDO ký ngày 19/01/2026 HĐ số 2</t>
  </si>
  <si>
    <t>Nhận Dịch vụ quảng cáo và truyền thông theo Hợp đồng số 15012026/HDDV/KTD OFFICIAL-NT ký ngày 15/01/2026</t>
  </si>
  <si>
    <t>Nhận Dịch vụ quảng cáo và truyền thông theo Hợp đồng số 04122025/HĐGT-KTD ký ngày 04/12/2025 và Biên bản nghiệm thu ký ngày 04/02/2026 HĐ số 6</t>
  </si>
  <si>
    <t>Nhận Dịch vụ quảng cáo và truyền thông theo Hợp đồng số số 01.1912/2025/HDDV/SGL-QC ký ngày 19/12/2025 và Biên bản nghiệm thu ký ngày 04/02/2026 HĐ số 3</t>
  </si>
  <si>
    <t>Nhận Doanh thu Tiktok</t>
  </si>
  <si>
    <t>Nhận Dịch vụ quảng cáo và truyền thông cho nhãn hàng Murad theo Hợp đồng số 682001202607/HDDV/RV/KOL ký ngày 20/01/2026</t>
  </si>
  <si>
    <t>Nhận Dịch vụ quảng cáo và truyền thông theo Hợp đồng số 01032026HDDVKHATHANHDUYBOJ ký ngày 01/03/2026</t>
  </si>
  <si>
    <t>CÔNG TY TNHH  ĐẠI TRUNG NAM</t>
  </si>
  <si>
    <t>CÔNG TY CỔ PHẦN TRẢI NGHIỆM TOÀN CẦU</t>
  </si>
  <si>
    <t>CÔNG TY TNHH BAOZ GROUP</t>
  </si>
  <si>
    <t>CÔNG TY TNHH XUẤT NHẬP KHẨU QUỐC TẾ CLINICOS</t>
  </si>
  <si>
    <t>CÔNG TY TNHH DỊCH VỤ VÀ THƯƠNG MẠI ÁNH DƯƠNG 1</t>
  </si>
  <si>
    <t>CÔNG TY TNHH MANGETSU</t>
  </si>
  <si>
    <t>CÔNG TY TNHH TAKASHIMAYA VIỆT NAM</t>
  </si>
  <si>
    <t>CÔNG TY TNHH CHANEL VIỆT NAM</t>
  </si>
  <si>
    <t>CÔNG TY TRÁCH NHIỆM HỮU HẠN THƯƠNG MẠI VÀ DỊCH VỤ ẨM THỰC PHÁT AN GIA</t>
  </si>
  <si>
    <t>CÔNG TY CỔ PHẦN TAKAHIRO</t>
  </si>
  <si>
    <t>CÔNG TY TNHH HYAESTIC VIỆT NAM</t>
  </si>
  <si>
    <t>CÔNG TY TNHH CO NA PI</t>
  </si>
  <si>
    <t>CÔNG TY TNHH THƯƠNG MẠI LINK VIỆT NAM</t>
  </si>
  <si>
    <t>CÔNG TY TNHH SG LINK</t>
  </si>
  <si>
    <t>CÔNG TY CỔ PHẦN PARSLEY</t>
  </si>
  <si>
    <t>CÔNG TY TNHH HIBIS VIỆT NAM</t>
  </si>
  <si>
    <t>CÔNG TY CỔ PHẦN REVIEW THÔNG MINH</t>
  </si>
  <si>
    <t>CÔNG TY TNHH CÔNG NGHỆ GEMO</t>
  </si>
  <si>
    <t>CÔNG TY TNHH TRUYỀN THÔNG VÀ SỰ KIỆN 3BROTHERS</t>
  </si>
  <si>
    <t>CÔNG TY TNHH DU LỊCH VIỄN ĐÔNG</t>
  </si>
  <si>
    <t>CÔNG TY CỔ PHẦN HANA HP GROUP</t>
  </si>
  <si>
    <t>CÔNG TY TNHH TRUYỀN THÔNG LIÊN KẾT</t>
  </si>
  <si>
    <t>Nộp Thuế GTGT, TNCN 2025/Q4</t>
  </si>
  <si>
    <t>2601041117</t>
  </si>
  <si>
    <t>Lãi chậm nộp thuế</t>
  </si>
  <si>
    <t>Thuế GTGT, TNCN sàn TMĐT 11/12/2025</t>
  </si>
  <si>
    <t>Điều chỉnh giảm Dịch vụ quảng cáo và truyền thông theo Hợp đồng số HKD KNL_ SKIN AQUA_15112025 ký ngày 15/11/2025 HĐ số 1</t>
  </si>
  <si>
    <t>Điều chỉnh giảm Dịch vụ quảng cáo và truyền thông theo Hợp đồng số 17-Cty-KOL/KOC/CBVN2025 ký ngày 10/12/2025 và Biên bản nghiệm thu ký ngày 21/01/2026 HĐ số 2</t>
  </si>
  <si>
    <t>Điều chỉnh giảm Dịch vụ quảng cáo và truyền thông theo Hợp đồng số 1811.2025/HDDV/UPBASE-BLISSBERRY-BEAUTYTIPS4.0 ký ngày 18/11/2025 HĐ số 4</t>
  </si>
  <si>
    <t>Điều chỉnh giảm Dịch vụ quảng cáo và truyền thông theo Hợp đồng số 201125/HDDV/KNL ký ngày 20/11/2025 và Biên bản nghiệm thu ký ngày 21/01/2026 HĐ số 3</t>
  </si>
  <si>
    <t>Điều chỉnh giảm Dịch vụ quảng cáo và truyền thông theo Hợp đồng số 01122025HDDVKIEULANMANYO ký ngày 01/12/2025 và Biên bản nghiệm thu ký ngày 23/01/2026 HĐ số 6</t>
  </si>
  <si>
    <t>Điều chỉnh giảm Dịch vụ quảng cáo và truyền thông theo Hợp đồng số 912/2025/HĐDV/LINK - KIEULAN ký ngày 09/12/2025 và Biên bản nghiệm thu ký ngày 23/01/2026 HĐ số 5</t>
  </si>
  <si>
    <t>Điều chỉnh giảm Dịch vụ quảng cáo và truyền thông theo Hợp đồng số QC1810/2025/HĐQC/LPCOS - HKD KIỀU NGỌC LAN ký ngày 18/10/2025 và Biên bản nghiệm thu ký ngày 23/01/2026 HĐ số 7</t>
  </si>
  <si>
    <t>Điều chỉnh giảm Dịch vụ quảng cáo và truyền thông theo Hợp đồng số 3011/2025/TTS/KIEULANBEUTY/MENARD ký ngày 30/11/2025 và Biên bản nghiệm thu ký ngày 28/01/2026 HĐ số 8</t>
  </si>
  <si>
    <t>Điều chỉnh giảm Dịch vụ quảng cáo và truyền thông theo Hợp đồng số HDDV/DOWNYLUXExVĐxKNL/101125 ký ngày 10/11/2025 kèm Biên bản nghiệm thu và thanh lý ký ngày 03/02/2026 HĐ số 9</t>
  </si>
  <si>
    <t>Điều chỉnh giảm Dịch vụ quảng cáo và truyền thông theo Hợp đồng số HDDV/PANTENExVĐxKNL/260825 ký ngày 26/08/2025 kèm Biên bản nghiệm thu và thanh lý ký ngày 03/02/2026 HĐ số 10</t>
  </si>
  <si>
    <t>Điều chỉnh giảm Dịch vụ quảng cáo và truyền thông theo Hợp đồng số HKD KIEUNGOCLAN_3BRO1_MCL HỒNG - ON TOP CAMP JAN_260035_001 ký ngày 15/01/2026 và Biên bản nghiệm thu ký ngày 04/02/2026 HĐ số 11</t>
  </si>
  <si>
    <t>Điều chỉnh giảm Dịch vụ quảng cáo và truyền thông theo Hợp đồng số 1901/HDDV/KIEULANBEAUTY-laCabine ký ngày 19/01/2026 kèm Biên bản nghiệm thu và thanh lý ký ngày 05/02/2026 HĐ số 13</t>
  </si>
  <si>
    <t>Điều chỉnh giảm Phí dịch vụ theo hợp đồng số 010120206/HDDV – EZS X HKD KIỀU NGỌC LAN ký ngày 01/01/2026 và Biên bản nghiệm thu số 01012026/BBNT – EZS X HKD KIỀU NGỌC LAN ký ngày 06/02/2026 HĐ số 14</t>
  </si>
  <si>
    <t>Điều chỉnh giảm Dịch vụ quảng cáo và truyền thông theo Hợp đồng số 05022026/HĐDV-ICONSKIN-KIEULANBEAUTY ký ngày 05/02/2026 kèm Biên bản nghiệm thu và thanh lý ký ngày 12/02/2026 HĐ số 15</t>
  </si>
  <si>
    <t>Điều chỉnh giảm Thanh toán 100% phí dịch vụ SHU - BRIGHTOIL - Jan 2026 - SCOPE 2 - 1001 SOW số 34714/2025/WPP-BTL-LO ID Tiktok: beautytips4.0 HĐ số 16</t>
  </si>
  <si>
    <t>Điều chỉnh giảm Dịch vụ quảng cáo và truyền thông theo Hợp đồng số 00040226/HĐDV/PJSB ký ngày 04/02/2026 và Biên bản nghiệm thu ký ngày 24/02/2026 HĐ số 17</t>
  </si>
  <si>
    <t>Điều chỉnh giảm Thanh toán 100% phí dịch vụ KIE - ADVO AWO JAN&amp;apos;26 PHASE 1 - Video - Scope 2 - 1003 SOW số 36906/2025/WPP-BTL-LO ID Tiktok: beautytips4.0 HĐ số 18</t>
  </si>
  <si>
    <t>Điều chỉnh giảm Dịch vụ quảng cáo và truyền thông theo Hợp đồng số số HKD KNL_3BRO3_SIMPLE CORE_260103_003 ký ngày 24/02/2026 HĐ số 20</t>
  </si>
  <si>
    <t>Điều chỉnh giảm Dịch vụ quảng cáo và truyền thông theo hợp đồng Hợp tác truyền thông ký ngày 15/12/2025 HĐ số 21</t>
  </si>
  <si>
    <t>Điều chỉnh giảm Dịch vụ quảng cáo theo Hợp đồng dịch vụ số 0303/2026/HDDV-TMG-LV ký ngày 03/03/2026 HĐ số 23</t>
  </si>
  <si>
    <t>Điều chỉnh giảm Dịch vụ quảng cáo và truyền thông theo Hợp đồng số 01022026HDDVKIEULANBOJ ký ngày 01/02/2026 và Biên bản nghiệm thu ký ngày 05/03/2026 HĐ số 24</t>
  </si>
  <si>
    <t>Điều chỉnh giảm Dịch vụ quảng cáo và truyền thông theo hợp đồng Hợp tác truyền thông ký ngày 05/02/2026 HĐ số 25</t>
  </si>
  <si>
    <t>Điều chỉnh giảm Dịch vụ quảng cáo và truyền thông theo Hợp đồng số QC2002/2026/HĐQC/LPCOS - HKD KIỀU NGỌC LAN ký ngày 20/02/2026 và Biên bản nghiệm thu ký ngày 09/03/2026 HĐ số 26</t>
  </si>
  <si>
    <t>Điều chỉnh giảm Dịch vụ quảng cáo và truyền thông theo Hợp đồng số HKD KIEUNGOCLAN_3BRO5_SULWHASOO_260041_001 ký ngày 07/01/2026 và Biên bản nghiệm thu ký ngày 12/03/2026 HĐ số 27</t>
  </si>
  <si>
    <t>Điều chỉnh giảm Dịch vụ quảng cáo và truyền thông theo Hợp đồng số HKD KNL_3BRO1_GARNIER LIVESTREAM KNL MAR_260160_001 ký ngày 07/03/2026 kèm Biên bản nghiệm thu ký ngày 18/03/2026 HĐ số 28</t>
  </si>
  <si>
    <t>Điều chỉnh giảm Dịch vụ quảng cáo và truyền thông theo Hợp đồng số 01-03012026/MKT-KOC ký ngày 03/01/2026 kèm Biên bản nghiệm thu ký ngày 20/03/2026 HĐ số 29</t>
  </si>
  <si>
    <t>Điều chỉnh giảm Dịch vụ quảng cáo và truyền thông theo Hợp đồng số 09032026/KIEULANBEAUTY-HANA ký ngày 09/03/2026 (Đợt 1) HĐ số 30</t>
  </si>
  <si>
    <t>Điều chỉnh giảm Dịch vụ quảng cáo và truyền thông cho nhãn hàng MURAD theo Hợp đồng số 682101202605/HDDV/RV/KOL ký ngày 21/01/2026 kèm Biên bản nghiệm thu và thanh lý ký ngày 24/03/2026 HĐ số 32</t>
  </si>
  <si>
    <t>Điều chỉnh giảm Dịch vụ quảng cáo và truyền thông theo Hợp đồng số 20260202/HDDV/BRAINAD-KNL ký ngày 02/02/2026 và Biên bản nghiệm thu ký ngày 24/03/2026 HĐ số 31</t>
  </si>
  <si>
    <t>Điều chỉnh giảm Dịch vụ quảng cáo và truyền thông theo Hợp đồng số HKD KNL_3BRO5_PURCELL_260061_001 ký ngày 23/01/2026 và Biên bản nghiệm thu ký ngày 25/03/2026 HĐ số 33</t>
  </si>
  <si>
    <t>Điều chỉnh giảm Dịch vụ quảng cáo và truyền thông theo Hợp đồng số 01032026HDDVKIEULANDALBA ký ngày 01/03/2026 và Biên bản nghiệm thu ký ngày 26/03/2026 HĐ số 34</t>
  </si>
  <si>
    <t>Điều chỉnh giảm Thanh toán 100% phí dịch vụ KIE - UFM - Video - Scope 2 - 1003 SOW số 36816/2025/WPP-BTL-LO ID Tiktok: beautytips4.0 HĐ số 35</t>
  </si>
  <si>
    <t>Điều chỉnh giảm Thanh toán 100% phí dịch vụ OAP - GLYCO REPUSH MAR&amp;apos;26 - Scope 3 - 1004 SOW số 45554/2025/WPP-BTL-LO ID Tiktok: beautytips4.0 HĐ số 36</t>
  </si>
  <si>
    <t>Điều chỉnh giảm Thanh toán 100% phí dịch vụ LRP - UVAir KOL and Derm AWO - Video - Scope 1 - 1004 SOW số 45901/2025/WPP-BTL-LO ID Tiktok: beautytips4.0 HĐ số 37</t>
  </si>
  <si>
    <t>Điều chỉnh giảm Dịch vụ quảng cáo theo Hợp đồng số 07.140326.02.MS-HKDKNL ký ngày 14/03/2026 kèm Biên bản nghiệm thu và thanh lý Hợp đồng HĐ số 38</t>
  </si>
  <si>
    <t>Thanh toán Phí dịch vụ tư vấn tháng 12/2025 HĐ số 16</t>
  </si>
  <si>
    <t>Thanh toán Cước phí vận chuyển mã 01KEH7QE73A64VFC21QYWZF2SW HĐ số 3379740</t>
  </si>
  <si>
    <t>Thanh toán Cước phí vận chuyển mã 01KF1047DKTGAWYNKMJC1MZTE1
Chiết khấu thương mại/ giảm giá mã 01KF1047DKTGAWYNKMJC1MZTE1
Phí nền tảng mã 01KF1047DKTGAWYNKMJC1MZTE1 HĐ số 5819104</t>
  </si>
  <si>
    <t>Thanh toán Cước phí vận chuyển mã 01KFXC1BAJSE27M2YJ4XRYQESH
Chiết khấu thương mại/ giảm giá mã 01KFXC1BAJSE27M2YJ4XRYQESH
Phí nền tảng mã 01KFXC1BAJSE27M2YJ4XRYQESH HĐ số 10773019</t>
  </si>
  <si>
    <t>Thanh toán Cước phí vận chuyển mã 01KFZJHBDFW68636EJ4AXJ6EDW
Chiết khấu thương mại/ giảm giá mã 01KFZJHBDFW68636EJ4AXJ6EDW HĐ số 11099977</t>
  </si>
  <si>
    <t>Thanh toán Cước phí vận chuyển mã 01KG51HVF2CWMA9HZGSWEPFZMG
Phí nền tảng mã 01KG51HVF2CWMA9HZGSWEPFZMG HĐ số 12051991</t>
  </si>
  <si>
    <t>Thanh toán Phí dịch vụ tư vấn tháng 01/2026 HĐ số 36</t>
  </si>
  <si>
    <t>Thanh toán Cước phí vận chuyển mã 01KGFG0KBAHNTAV156DS2MQKB1
Chiết khấu thương mại/ giảm giá mã 01KGFG0KBAHNTAV156DS2MQKB1 HĐ số 260530</t>
  </si>
  <si>
    <t>Thanh toán Cước phí vận chuyển mã 01KGMEBR55HDMSV4RW6W8BW5BG HĐ số 14885064</t>
  </si>
  <si>
    <t>Thanh toán Cước phí vận chuyển mã 01KGMK84PXE0HXPQWQG0T9BKM1
Phí nền tảng mã 01KGMK84PXE0HXPQWQG0T9BKM1 HĐ số 14926953</t>
  </si>
  <si>
    <t>Thanh toán Cước phí vận chuyển mã 01KGVX5ETH4R3XEFNDW0M9V4QQ
Phí nền tảng mã 01KGVX5ETH4R3XEFNDW0M9V4QQ HĐ số 16336324</t>
  </si>
  <si>
    <t>Thanh toán Cước phí vận chuyển mã 01KGY95JDJX8MF0F06SFXGRN31
Chiết khấu thương mại/ giảm giá mã 01KGY95JDJX8MF0F06SFXGRN31
Phí nền tảng mã 01KGY95JDJX8MF0F06SFXGRN31 HĐ số 16794092</t>
  </si>
  <si>
    <t>Thanh toán Cước phí vận chuyển mã 01KGYXWP3A875XWBYXT5ET44CX
Phí nền tảng mã 01KGYXWP3A875XWBYXT5ET44CX HĐ số 16977104</t>
  </si>
  <si>
    <t>Thanh toán Cước phí vận chuyển mã 01KH07KCEXMTEQC2547F4E9X4G
Chiết khấu thương mại/ giảm giá mã 01KH07KCEXMTEQC2547F4E9X4G HĐ số 17117729</t>
  </si>
  <si>
    <t>Thanh toán Cước phí vận chuyển mã 01KH0JSS3ZZ75JGK1ATTXPD603
Chiết khấu thương mại/ giảm giá mã 01KH0JSS3ZZ75JGK1ATTXPD603
Phí nền tảng mã 01KH0JSS3ZZ75JGK1ATTXPD603 HĐ số 17192041</t>
  </si>
  <si>
    <t>Thanh toán Cước phí vận chuyển mã 01KH0WG5C9NQQJNNSVTHV51HA8
Phí nền tảng mã 01KH0WG5C9NQQJNNSVTHV51HA8 HĐ số 17268284</t>
  </si>
  <si>
    <t>Thanh toán Cước phí vận chuyển mã 01KJ5A617ADWKD23ESHT5Z1T1J
Chiết khấu thương mại/ giảm giá mã 01KJ5A617ADWKD23ESHT5Z1T1J HĐ số 21865786</t>
  </si>
  <si>
    <t>Thanh toán Cước phí vận chuyển mã 01KJ7954ZM7MFYY9A2VB22D1BJ
Chiết khấu thương mại/ giảm giá mã 01KJ7954ZM7MFYY9A2VB22D1BJ
Phí nền tảng mã 01KJ7954ZM7MFYY9A2VB22D1BJ HĐ số 22130883</t>
  </si>
  <si>
    <t>Thanh toán Cước phí vận chuyển mã 01KJ7H25WV1YVRMGBC2V2H1BAB
Chiết khấu thương mại/ giảm giá mã 01KJ7H25WV1YVRMGBC2V2H1BAB
Phí nền tảng mã 01KJ7H25WV1YVRMGBC2V2H1BAB HĐ số 22192195</t>
  </si>
  <si>
    <t>Thanh toán Cước phí vận chuyển mã 01KJQ21SW4Z96YZ3MMC928903B
Chiết khấu thương mại/ giảm giá mã 01KJQ21SW4Z96YZ3MMC928903B
Phí nền tảng mã 01KJQ21SW4Z96YZ3MMC928903B HĐ số 24786978</t>
  </si>
  <si>
    <t>Thanh toán Phí dịch vụ tư vấn tháng 02/2026 HĐ số 83</t>
  </si>
  <si>
    <t>Thanh toán Phí dịch vụ tư vấn tháng 03/2026 HĐ số 84</t>
  </si>
  <si>
    <t>Thanh toán Cước phí vận chuyển mã 01KKEANM7MCWHMNBA4M2N60KYA
Chiết khấu thương mại/ giảm giá mã 01KKEANM7MCWHMNBA4M2N60KYA HĐ số 28817030</t>
  </si>
  <si>
    <t>Thanh toán Cước phí vận chuyển mã 01KKPE1HGK9BE8G8PQZ3K39594
Chiết khấu thương mại/ giảm giá mã 01KKPE1HGK9BE8G8PQZ3K39594 HĐ số 30323203</t>
  </si>
  <si>
    <t>Thanh toán Cước phí vận chuyển mã 01KM27THYM3920DJ3EKTC2XTM7 HĐ số 32270867</t>
  </si>
  <si>
    <t>Thanh toán Cước phí vận chuyển mã 01KM4Z4C2KJC3CZGT3S7G0DW5X
Chiết khấu thương mại/ giảm giá mã 01KM4Z4C2KJC3CZGT3S7G0DW5X
Phí nền tảng mã 01KM4Z4C2KJC3CZGT3S7G0DW5X HĐ số 32765395</t>
  </si>
  <si>
    <t>Thanh toán Cước phí vận chuyển mã 01KM5S87KTJ83XECHA2TXTE42K
Chiết khấu thương mại/ giảm giá mã 01KM5S87KTJ83XECHA2TXTE42K HĐ số 23604661</t>
  </si>
  <si>
    <t>Thanh toán Cước phí vận tải chuyến 1340127341
Phí sử dụng ứng dụng Be HĐ số 17717041</t>
  </si>
  <si>
    <t>Thanh toán Cước phí vận chuyển mã 01KM731Q2RAW7GP86M5509NZFE
Chiết khấu thương mại/ giảm giá mã 01KM731Q2RAW7GP86M5509NZFE HĐ số 23716573</t>
  </si>
  <si>
    <t>Thanh toán Cước phí vận chuyển mã 01KM7B04F8DCZVBM2DF7KYNCET HĐ số 23762163</t>
  </si>
  <si>
    <t>Thanh toán Cước phí vận chuyển mã 01KM7CJARRPVQ60D7PE2SM5FHR
Chiết khấu thương mại/ giảm giá mã 01KM7CJARRPVQ60D7PE2SM5FHR HĐ số 23780503</t>
  </si>
  <si>
    <t>Thanh toán Cước phí vận chuyển mã 01KMCJAXG5WFZ0S3H6GTTWXM1K
Chiết khấu thương mại/ giảm giá mã 01KMCJAXG5WFZ0S3H6GTTWXM1K
Phí nền tảng mã 01KMCJAXG5WFZ0S3H6GTTWXM1K HĐ số 34274105</t>
  </si>
  <si>
    <t>Thanh toán Cước phí vận chuyển mã 01KMDB8CB6WJ7Z82RRWG799FE6
Chiết khấu thương mại/ giảm giá mã 01KMDB8CB6WJ7Z82RRWG799FE6 HĐ số 34471650</t>
  </si>
  <si>
    <t>Thanh toán Cước phí vận chuyển mã 01KMFJ98Y5KTGB2ZN183ERTM74
Chiết khấu thương mại/ giảm giá mã 01KMFJ98Y5KTGB2ZN183ERTM74
Phí nền tảng mã 01KMFJ98Y5KTGB2ZN183ERTM74 HĐ số 34827049</t>
  </si>
  <si>
    <t>Thanh toán Cước phí vận chuyển mã 01KMG383H2NK3EBGR26VJ6S72X
Chiết khấu thương mại/ giảm giá mã 01KMG383H2NK3EBGR26VJ6S72X HĐ số 34965635</t>
  </si>
  <si>
    <t>Thanh toán Cước phí vận chuyển mã 01KMHK93N9ANKS6B45FH0XGF7J
Phí nền tảng mã 01KMHK93N9ANKS6B45FH0XGF7J HĐ số 35148076</t>
  </si>
  <si>
    <t>Thanh toán Cước phí vận chuyển mã 01KMHMPDBF7EJVZP5P2P4PR42F
Chiết khấu thương mại/ giảm giá mã 01KMHMPDBF7EJVZP5P2P4PR42F
Phí nền tảng mã 01KMHMPDBF7EJVZP5P2P4PR42F HĐ số 35165636</t>
  </si>
  <si>
    <t>Thanh toán Cước phí vận chuyển mã 01KMHW79A02FZEMAEJJHQRF6P2
Chiết khấu thương mại/ giảm giá mã 01KMHW79A02FZEMAEJJHQRF6P2
Phí nền tảng mã 01KMHW79A02FZEMAEJJHQRF6P2 HĐ số 35212912</t>
  </si>
  <si>
    <t>Thanh toán Cước phí vận chuyển mã 01KMNC0P745G6119NABEPP5A3T
Chiết khấu thương mại/ giảm giá mã 01KMNC0P745G6119NABEPP5A3T
Phí nền tảng mã 01KMNC0P745G6119NABEPP5A3T HĐ số 35952625</t>
  </si>
  <si>
    <t>Thanh toán Cước phí vận chuyển mã 01KMSED6SF2MGBY18TKV11Q8KV
Chiết khấu thương mại/ giảm giá mã 01KMSED6SF2MGBY18TKV11Q8KV
Phí nền tảng mã 01KMSED6SF2MGBY18TKV11Q8KV HĐ số 36698528</t>
  </si>
  <si>
    <t>Thanh toán Cước phí vận chuyển mã 01KMT3FZPY6QEX1AXW61WGG6FM
Chiết khấu thương mại/ giảm giá mã 01KMT3FZPY6QEX1AXW61WGG6FM HĐ số 26250598</t>
  </si>
  <si>
    <t>Thanh toán Cước phí vận chuyển mã 01KMYVE0AAGFYJ2HJARWY7HE4B
Chiết khấu thương mại/ giảm giá mã 01KMYVE0AAGFYJ2HJARWY7HE4B
Phí nền tảng mã 01KMYVE0AAGFYJ2HJARWY7HE4B HĐ số 37819360</t>
  </si>
  <si>
    <t>Nhận Doanh thu Quảng cáo và truyền thông</t>
  </si>
  <si>
    <t>Điều chỉnh giảm Dịch vụ quảng cáo và truyền thông theo Hợp đồng số 06012026/HĐDV-SE-KIEULANBEAUTY ký ngày 06/01/2026, Phụ lục 01 ký ngày 06/01/2026 HĐ số 12</t>
  </si>
  <si>
    <t>Dịch vụ quảng cáo và truyền thông theo Hợp đồng số PR25067/18112025/ESTEE-UNO-KIEULANBEAUTY ký ngày 18/11/2025 HĐ số 22</t>
  </si>
  <si>
    <t>Điều chỉnh giảm Dịch vụ quảng cáo và truyền thông theo Hợp đồng số PR25067/18112025/ESTEE-UNO-KIEULANBEAUTY ký ngày 18/11/2025 HĐ số 22</t>
  </si>
  <si>
    <t>Chi phí đồ dùng văn phòng HĐ số 602</t>
  </si>
  <si>
    <t>Chi phí đồ dùng văn phòng HĐ số 631</t>
  </si>
  <si>
    <t>Thanh toán Chi phí đồ dùng văn phòng HĐ số 602</t>
  </si>
  <si>
    <t>Thanh toán Chi phí đồ dùng văn phòng HĐ số 631</t>
  </si>
  <si>
    <t>Nhận Doanh thu Dịch vụ quảng cáo và truyền thông theo Hợp đồng số HKD KNL_ JUDYDOLL_14112025 ký ngày 14/11/2025 HĐ số 35</t>
  </si>
  <si>
    <t>Nhận Doanh thu Dịch vụ quảng cáo và truyền thông theo Hợp đồng số HKD KNL_ DIINBI_07112025 ký ngày 07/11/2025 HĐ số 36</t>
  </si>
  <si>
    <t>Nhận Doanh thu Dịch vụ quảng cáo và truyền thông theo Hợp đồng số HKD KNL_ CANDID_02122025 ký ngày 02/12/2025 HĐ số 37</t>
  </si>
  <si>
    <t>Nhận Dịch vụ quảng cáo và truyền thông theo Hợp đồng số HKD KNL_ SKIN AQUA_15112025 ký ngày 15/11/2025 HĐ số 1</t>
  </si>
  <si>
    <t>Nhận Dịch vụ quảng cáo và truyền thông theo hợp đồng Hợp tác truyền thông ký ngày 15/12/2025 HĐ số 21</t>
  </si>
  <si>
    <t>Nhận Dịch vụ quảng cáo và truyền thông theo Hợp đồng số 01122025HDDVKIEULANMANYO ký ngày 01/12/2025 và Biên bản nghiệm thu ký ngày 23/01/2026 HĐ số 6</t>
  </si>
  <si>
    <t>0316418241</t>
  </si>
  <si>
    <t>Nhận Doanh thu Dịch vụ quảng cáo và truyền thông theo Hợp đồng số 1612/HDDV/PU-KIEULANBEAUTY ký ngày 16/12/2025 HĐ số 34</t>
  </si>
  <si>
    <t>Nhận Doanh thu Dịch vụ quảng cáo và truyền thông theo Hợp đồng số 1611/2025/TTS/MIXKOLS/YAMAN ký ngày 16/11/2025 và Biên bản nghiệm thu ký ngày 18/11/2025 HĐ số 20</t>
  </si>
  <si>
    <t>Nhận Doanh thu Dịch vụ quảng cáo và truyền thông theo Hợp đồng số 251111/HDDV/BRAINAD-KNL ký ngày 11/11/2025 và Biên bản nghiệm thu ký ngày 12/12/2025 HĐ số 30</t>
  </si>
  <si>
    <t>Nhận Dịch vụ quảng cáo và truyền thông theo Hợp đồng số 912/2025/HĐDV/LINK - KIEULAN ký ngày 09/12/2025 và Biên bản nghiệm thu ký ngày 23/01/2026 HĐ số 5</t>
  </si>
  <si>
    <t>Nhận Dịch vụ quảng cáo và truyền thông theo Hợp đồng số 1901/HDDV/KIEULANBEAUTY-laCabine ký ngày 19/01/2026 kèm Biên bản nghiệm thu và thanh lý ký ngày 05/02/2026 HĐ số 13</t>
  </si>
  <si>
    <t>Nhận Phí dịch vụ theo hợp đồng số 010120206/HDDV – EZS X HKD KIỀU NGỌC LAN ký ngày 01/01/2026 và Biên bản nghiệm thu số 01012026/BBNT – EZS X HKD KIỀU NGỌC LAN ký ngày 06/02/2026 HĐ số 14</t>
  </si>
  <si>
    <t>Nhận Dịch vụ quảng cáo và truyền thông theo Hợp đồng số 05022026/HĐDV-ICONSKIN-KIEULANBEAUTY ký ngày 05/02/2026 kèm Biên bản nghiệm thu và thanh lý ký ngày 12/02/2026 HĐ số 15</t>
  </si>
  <si>
    <t>Nhận Dịch vụ quảng cáo và truyền thông theo Hợp đồng số 06012026/HĐDV-SE-KIEULANBEAUTY ký ngày 06/01/2026, Phụ lục 01 ký ngày 06/01/2026 kèm Biên bản nghiệm thu và thanh lý ký ngày 05/02/2026 HĐ số 12</t>
  </si>
  <si>
    <t>Nhận Dịch vụ quảng cáo và truyền thông theo Hợp đồng số 3011/2025/TTS/KIEULANBEUTY/MENARD ký ngày 30/11/2025 và Biên bản nghiệm thu ký ngày 28/01/2026 HĐ số 8</t>
  </si>
  <si>
    <t>Nhận Dịch vụ quảng cáo và truyền thông theo Hợp đồng số 00040226/HĐDV/PJSB ký ngày 04/02/2026 và Biên bản nghiệm thu ký ngày 24/02/2026 HĐ số 17</t>
  </si>
  <si>
    <t>Nhận Dịch vụ quảng cáo và truyền thông theo Hợp đồng số HDDV/DOWNYLUXExVĐxKNL/101125 ký ngày 10/11/2025 kèm Biên bản nghiệm thu và thanh lý ký ngày 03/02/2026 HĐ số 9</t>
  </si>
  <si>
    <t>Nhận Dịch vụ quảng cáo và truyền thông theo hợp đồng Hợp tác truyền thông ký ngày 05/02/2026 HĐ số 25</t>
  </si>
  <si>
    <t>Nhận Dịch vụ quảng cáo và truyền thông theo Hợp đồng số QC2002/2026/HĐQC/LPCOS - HKD KIỀU NGỌC LAN ký ngày 20/02/2026 và Biên bản nghiệm thu ký ngày 09/03/2026 HĐ số 26</t>
  </si>
  <si>
    <t>Nhận Dịch vụ quảng cáo theo Hợp đồng dịch vụ số 0303/2026/HDDV-TMG-LV ký ngày 03/03/2026 HĐ số 23</t>
  </si>
  <si>
    <t>Nhận Dịch vụ quảng cáo và truyền thông theo Hợp đồng số 09032026/KIEULANBEAUTY-HANA ký ngày 09/03/2026 (Đợt 1) HĐ số 30</t>
  </si>
  <si>
    <t>Nhận Dịch vụ quảng cáo và truyền thông theo Hợp đồng số 01032026HDDVKIEULANDALBA ký ngày 01/03/2026 và Biên bản nghiệm thu ký ngày 26/03/2026 HĐ số 34</t>
  </si>
  <si>
    <t>Nhận Dịch vụ quảng cáo và truyền thông theo Hợp đồng số 1811.2025/HDDV/UPBASE-BLISSBERRY-BEAUTYTIPS4.0 ký ngày 18/11/2025 HĐ số 4</t>
  </si>
  <si>
    <t>Nhận Dịch vụ quảng cáo và truyền thông theo Hợp đồng số 01-03012026/MKT-KOC ký ngày 03/01/2026 kèm Biên bản nghiệm thu ký ngày 20/03/2026 HĐ số 29</t>
  </si>
  <si>
    <t>Nhận Dịch vụ quảng cáo và truyền thông theo Hợp đồng số 01022026HDDVKIEULANBOJ ký ngày 01/02/2026 và Biên bản nghiệm thu ký ngày 05/03/2026 HĐ số 24</t>
  </si>
  <si>
    <t>0312308209</t>
  </si>
  <si>
    <t>Nhận Doanh thu dịch vụ quảng cáo và truyền thông</t>
  </si>
  <si>
    <t>Nhận Doanh thu Dịch vụ quảng cáo và truyền thông theo Hợp đồng số T03MPD25HDDV-0105-0057 KIEUNGOCLAN ký ngày 22/11/2025 và Biên bản nghiệm thu ký ngày 28/11/2025 HĐ số 22</t>
  </si>
  <si>
    <t>Nhận Doanh thu Dịch vụ quảng cáo và truyền thông theo Hợp đồng số T03MPD25HDDV-0125-1977 NGUYENNGOCTUANH ký ngày 05/12/2025 và Biên bản nghiệm thu ký ngày 12/12/2025 HĐ số 12</t>
  </si>
  <si>
    <t>Nhận Doanh thu Dịch vụ quảng cáo và truyền thông theo Hợp đồng số HDDV-01122025-NGUYENNGOCTUANH ký ngày 01/12/2025 và Biên bản nghiệm thu ký ngày 30/12/2025 HĐ số 14</t>
  </si>
  <si>
    <t>Nhận Dịch vụ quảng cáo và truyền thông theo Hợp đồng số 18122025-20 ký ngày 18/12/2025 kèm Biên bản nghiệm thu và thanh lý ký ngày 28/01/2026 HĐ số 3</t>
  </si>
  <si>
    <t>Nhận Thanh toán 100% phí dịch vụ MNY - BABY CUSHION - VIDEO - SCOPE 3 - 3001 SOW số 35420/2025/WPP-BTL-LO ID Tiktok: peonyanh HĐ số 1</t>
  </si>
  <si>
    <t>Nhận Thanh toán 100% phí dịch vụ Lan - New Year - livestream - Scope 3 - Ngọc Tú Anh SOW số 36244/2025/WPP-BTL-LO ID Tiktok: peonyanh HĐ số 2</t>
  </si>
  <si>
    <t>Nhận Phí dịch vụ quảng cáo cho nhãn hàng Extra Care theo Biên bản nghiệm thu thanh lý của hợp đồng dịch vụ số: 02.2026/HDDV - EXTRA CARE - NTA ký ngày 23/02/2026 HĐ số 6</t>
  </si>
  <si>
    <t>Nhận Dịch vụ quảng cáo và truyền thông theo Hợp đồng số 060226/HĐDV/PJSB ký ngày 06/02/2026 và Biên bản nghiệm thu ký ngày 23/02/2026 HĐ số 5</t>
  </si>
  <si>
    <t>Nhận Dịch vụ quảng cáo và truyền thông theo Hợp đồng số QC2002/2026/HĐQC/LPCOS - HKD NGỌC TÚ ANH ký ngày 24/02/2026 và Biên bản nghiệm thu ký ngày 07/03/2026 HĐ số 7</t>
  </si>
  <si>
    <t>Nhận Dịch vụ quảng cáo và truyền thông theo Hợp đồng số 003-2026/HĐDV-EL ký ngày 01/03/2026 HĐ số 8</t>
  </si>
  <si>
    <t>Nhận Dịch vụ quảng cáo và truyền thông theo Hợp đồng số 3122026/HĐDV/Y&amp;B ký ngày 25/02/2026 kèm Biên bản nghiệm thu và thanh toán số 3122026/BBNT-TT/Y&amp;B ký ngày 20/03/2026 HĐ số 10</t>
  </si>
  <si>
    <t>Nhận Dịch vụ quảng cáo và truyền thông theo Hợp đồng số 03.2026/HĐDV_HỘ KINH DOANH NGỌC TÚ ANH_CÔNG TY TNHH HOÀI THU TH ký ngày 03/03/2026 kèm Biên bản nghiệm thu ký ngày 27/03/2026 HĐ số 13</t>
  </si>
  <si>
    <t>Nhận Dịch vụ quảng cáo và truyền thông theo Hợp đồng số 20261403/HĐDV/NNTA ký ngày 14/03/2026 và Biên bản nghiệm thu ký ngày 25/03/2026 HĐ số 11</t>
  </si>
  <si>
    <t>Nhận Doanh thu Dịch vụ quảng cáo và truyền thông theo Hợp đồng số 0712/2025/TTS/NGOCTUANH/MENARD ký ngày 07/12/2025 và Biên bản nghiệm thu ký ngày 15/12/2025 HĐ số 13</t>
  </si>
  <si>
    <t>Nhận Doanh thu Hoa hồng tiếp thị liên kết Tiktok</t>
  </si>
  <si>
    <t>Doanh thu Hoa hồng tiếp thị liên kết Tiktok</t>
  </si>
  <si>
    <t>Thanh toán Phí dịch vụ tư vấn tháng 12/2025 HĐ số 5</t>
  </si>
  <si>
    <t>Thanh toán Sweet Potato (bánh khoai lang tím) Matcha (bánh trà xanh) Raspberry (bánh mâm xôi) Specil Donut (bánh vị đặc biêt) Houjicha (bánh trà gạo rang) HĐ số 456</t>
  </si>
  <si>
    <t>Thanh toán Suất buffet Classic (NL) Nước Ume Peach Tea Pop Bình trà đá Trà Teapop - Ổi Khăn giấy màng bạc Golden Gate 2025 HĐ số 85701</t>
  </si>
  <si>
    <t>Thanh toán Thanh toan lai HĐ số 1448708</t>
  </si>
  <si>
    <t>Thanh toán Khăn Lạnh Walk-in - Kênh Booking Lẩu Thái Chua Cay Chả Giò Ngũ Quả Xốt Kem Trà Lê Hoa Cúc Trà Lài Sen (Đá) MT không thu tiền_Bao lì xì Tết  Bún Thêm Rau Nhút Cải Thảo Phí dịch vụ HĐ số 907</t>
  </si>
  <si>
    <t>Thanh toán Phí dịch vụ tư vấn tháng 01/2026 HĐ số 39</t>
  </si>
  <si>
    <t>Thanh toán Cơm bò xào lá hương nhu Cơm trắng Hủ tiếu xào tôm Soup SƯỜN SỤN chua cay miền Đông Bắc Trà chanh Thái Trà Sữa Thái Đỏ Trứng chiên hàu Xôi xoài HĐ số 6494</t>
  </si>
  <si>
    <t>Thanh toán Phí dịch vụ tư vấn tháng 02/2026 HĐ số 68</t>
  </si>
  <si>
    <t>Thanh toán Hàng hoá hiệu Aldo ARABELIA (MC14003) SS26 Medium_shopping bags (L38xH29xW14) (Hàng Tặng không thu tiền) BLOOMING SPRING 20% HĐ số 26673</t>
  </si>
  <si>
    <t>Thanh toán Phí dịch vụ tư vấn tháng 03/2026 HĐ số 105</t>
  </si>
  <si>
    <t>Điều chỉnh giảm Thanh toán 100% phí dịch vụ MNY - BABY CUSHION - VIDEO - SCOPE 3 - 3001 SOW số 35420/2025/WPP-BTL-LO ID Tiktok: peonyanh HĐ số 1</t>
  </si>
  <si>
    <t>Điều chỉnh giảm Thanh toán 100% phí dịch vụ Lan - New Year - livestream - Scope 3 - Ngọc Tú Anh SOW số 36244/2025/WPP-BTL-LO ID Tiktok: peonyanh HĐ số 2</t>
  </si>
  <si>
    <t>Điều chỉnh giảm Dịch vụ quảng cáo và truyền thông theo Hợp đồng số 18122025-20 ký ngày 18/12/2025 kèm Biên bản nghiệm thu và thanh lý ký ngày 28/01/2026 HĐ số 3</t>
  </si>
  <si>
    <t>Điều chỉnh giảm Dịch vụ quảng cáo và truyền thông theo Hợp đồng số 060226/HĐDV/PJSB ký ngày 06/02/2026 và Biên bản nghiệm thu ký ngày 23/02/2026 HĐ số 5</t>
  </si>
  <si>
    <t>Điều chỉnh giảm Phí dịch vụ quảng cáo cho nhãn hàng Extra Care theo Biên bản nghiệm thu thanh lý của hợp đồng dịch vụ số: 02.2026/HDDV - EXTRA CARE - NTA ký ngày 23/02/2026 HĐ số 6</t>
  </si>
  <si>
    <t>Điều chỉnh giảm Dịch vụ quảng cáo và truyền thông theo Hợp đồng số QC2002/2026/HĐQC/LPCOS - HKD NGỌC TÚ ANH ký ngày 24/02/2026 và Biên bản nghiệm thu ký ngày 07/03/2026 HĐ số 7</t>
  </si>
  <si>
    <t>Điều chỉnh giảm Dịch vụ quảng cáo và truyền thông theo Hợp đồng số 003-2026/HĐDV-EL ký ngày 01/03/2026 HĐ số 8</t>
  </si>
  <si>
    <t>Điều chỉnh giảm Dịch vụ quảng cáo và truyền thông theo Hợp đồng số HKD NTA_3BRO1_GARNIER MOCHI CAMP MAR - PACK ON TOP_260154_002 ký ngày 12/03/2026 và Biên bản nghiệm thu ký ngày 17/03/2026 HĐ số 9</t>
  </si>
  <si>
    <t>Điều chỉnh giảm Dịch vụ quảng cáo và truyền thông theo Hợp đồng số 3122026/HĐDV/Y&amp;B ký ngày 25/02/2026 kèm Biên bản nghiệm thu và thanh toán số 3122026/BBNT-TT/Y&amp;B ký ngày 20/03/2026 HĐ số 10</t>
  </si>
  <si>
    <t>Điều chỉnh giảm Dịch vụ quảng cáo và truyền thông theo Hợp đồng số 20261403/HĐDV/NNTA ký ngày 14/03/2026 và Biên bản nghiệm thu ký ngày 25/03/2026 HĐ số 11</t>
  </si>
  <si>
    <t>Điều chỉnh giảm Thanh toán 100% phí dịch vụ CeraVe - Acne &amp; Cleanser - Payment thang 3 - Scope 2 - 3103 SOW số 43818/2025/WPP-BTL-LO ID Tiktok: peonyanh HĐ số 12</t>
  </si>
  <si>
    <t>Điều chỉnh giảm Dịch vụ quảng cáo và truyền thông theo Hợp đồng số 03.2026/HĐDV_HỘ KINH DOANH NGỌC TÚ ANH_CÔNG TY TNHH HOÀI THU TH ký ngày 03/03/2026 kèm Biên bản nghiệm thu ký ngày 27/03/2026 HĐ số 13</t>
  </si>
  <si>
    <t>Điều chỉnh giảm Dịch vụ quảng cáo theo Hợp đồng số 07.100326.02.MS-HKDNTA ký ngày 10/03/2026 kèm Biên bản nghiệm thu và thanh lý Hợp đồng HĐ số 14</t>
  </si>
  <si>
    <t>Điều chỉnh giảm Dịch vụ quảng cáo và truyền thông theo Hợp đồng số 11032026/MKT-BHAPPY-peonyanh ký ngày 11/03/2026 kèm Biên bản nghiệm thu ký ngày 30/03/2026 HĐ số 15</t>
  </si>
  <si>
    <t>Chi phí tiếp khách, ngoại giao HĐ số 5486</t>
  </si>
  <si>
    <t>Thanh toán Chi phí tiếp khách, ngoại giao HĐ số 5486</t>
  </si>
  <si>
    <t>Thanh toán Phí dịch vụ tư vấn tháng 12/2025 HĐ số 3</t>
  </si>
  <si>
    <t>Thanh toán Frezyderm Medilike Effect Cream Type 3 (Lô: 251095 - HSD: 04/2028) HĐ số 156</t>
  </si>
  <si>
    <t>Thanh toán Phí dịch vụ tư vấn tháng 01/2026 HĐ số 54</t>
  </si>
  <si>
    <t>Thanh toán Sữa rửa mặt (Clinicos good skin barrier cleanser 150ml) - (Hàng mẫu không thu tiền) Hàng mẫu không thu tiền khách hàng HĐ số 143</t>
  </si>
  <si>
    <t>Thanh toán Frezyderm Acnorm Normalizing Lotion (Lô: 2511196 - HSD: 11/2028) HĐ số 305</t>
  </si>
  <si>
    <t>Thanh toán Phí dịch vụ tư vấn tháng 02/2026 HĐ số 82</t>
  </si>
  <si>
    <t>Điều chỉnh giảm Dịch vụ quảng cáo và truyền thông theo Hợp đồng số 02/HĐKD/ESM/EFG/25 ký ngày 10/11/2025 kèm Biên bản nghiệm thu và thanh lý ký ngày 20/01/2026 HĐ số 1</t>
  </si>
  <si>
    <t>Điều chỉnh giảm Dịch vụ quảng cáo và truyền thông theo Hợp đồng số MSS-HNS/260126/HDDV ký ngày 26/01/2026 HĐ số 3</t>
  </si>
  <si>
    <t>Điều chỉnh giảm Dịch vụ quảng cáo và truyền thông theo Hợp đồng số 12/2025/HDDV-HKD-LHN ký ngày 12/12/2025 HĐ số 4</t>
  </si>
  <si>
    <t>Điều chỉnh giảm Dịch vụ tư vấn chuyên môn và chiến lược truyền thông theo Hợp đồng số 2602/2026/HĐDV/HANKOREA-HNS ký ngày 26/02/2026 (Đợt 1) HĐ số 6</t>
  </si>
  <si>
    <t>Điều chỉnh giảm Dịch vụ tư vấn chuyên môn và chiến lược truyền thông theo Hợp đồng số 2702/2026/HĐDV/RUTOP- HNS ký ngày 27/02/2026 (Đợt 1) HĐ số 5</t>
  </si>
  <si>
    <t>Điều chỉnh giảm Dịch vụ quảng cáo và truyền thông theo Hợp đồng số CLC/2026/24 ký ngày 23/02/2026 HĐ số 7</t>
  </si>
  <si>
    <t>Điều chỉnh giảm Dịch vụ quảng cáo và truyền thông theo Hợp đồng số 78/2025/HĐCT-HNS ký ngày 24/12/2025 HĐ số 10</t>
  </si>
  <si>
    <t>Điều chỉnh giảm Dịch vụ quảng cáo và truyền thông Hợp đồng số 291025/HDDV/HOCNHAN-IBP ký ngày 29/10/2025 và Biên bản nghiệm thu ký ngày 04/03/2026 HĐ số 9</t>
  </si>
  <si>
    <t>Điều chỉnh giảm Phí dịch vụ tham dự sự kiện và đăng tải theo Hợp đồng số 111225/HDDV/HOCNHAN-IBP ký ngày 11/12/2025 và Biên bản nghiệm thu ký ngày 04/03/2026 HĐ số 8</t>
  </si>
  <si>
    <t>Điều chỉnh giảm Dịch vụ quảng cáo và truyền thông theo Hợp đồng số T09MPD26HDDV-0093-0717 HOCNHAN ký ngày 26/02/2026 và Biên bản nghiệm thu ký ngày 05/03/2026 HĐ số 11</t>
  </si>
  <si>
    <t>Điều chỉnh giảm Dịch vụ quảng cáo và truyền thông theo Hợp đồng số QC2002/2026/HĐHTQC/LPCOS-HKD HỌC NHÂN SKINCARE ký ngày 20/02/2026 kèm Biên bản nghiệm thu và thanh lý ký ngày 06/03/2026 HĐ số 12</t>
  </si>
  <si>
    <t>Điều chỉnh giảm Dịch vụ quảng cáo và truyên thông theo Hợp đồng số 20260313/HĐDV/MDPEEL12/SANAxHOCNHAN ký ngày 13/03/2026 HĐ số 14</t>
  </si>
  <si>
    <t>Điều chỉnh giảm Dịch vụ quảng cáo và truyền thông theo Hợp đồng số 041811/25-KOL-OVERall ký ngày 18/11/2025 HĐ số 13</t>
  </si>
  <si>
    <t>Điều chỉnh giảm Dịch vụ quảng cáo và truyền thông theo Hợp đồng số 28012026/HDDV/IBP-HOCNHAN ký ngày 28/01/2026 kèm Biên bản nghiệm thu ký ngày 18/03/2026 HĐ số 15</t>
  </si>
  <si>
    <t>Điều chỉnh giảm Dịch vụ quảng cáo và truyền thông theo Hợp đồng số 1712/2025/HDDV/FGH-HOCNHAN ký ngày 17/12/2025 và Biên bản nghiệm thu ký ngày 23/03/2026 HĐ số 17</t>
  </si>
  <si>
    <t>Điều chỉnh giảm Dịch vụ quảng cáo và truyền thông theo Hợp đồng số 1712/2025/HDDV/FGH-HOCNHAN ký ngày 17/12/2026 và Biên bản nghiệm thu ký ngày 23/03/2026 HĐ số 16</t>
  </si>
  <si>
    <t>Điều chỉnh giảm Dịch vụ quảng cáo và truyền thông theo Hợp đồng số HKD HN_3BRO1_GARNIER MOCHI CAMP MAR - PACK ON TOP_260154_005 ký ngày 12/03/2026 và Biên bản nghiệm thu ký ngày 24/03/2026 HĐ số 18</t>
  </si>
  <si>
    <t>Điều chỉnh giảm Dịch vụ quảng cáo và truyền thông theo Hợp đồng số 05.2025 ký ngày 10/05/2025 và Biên bản nghiệm thu ký ngày 25/03/2026 HĐ số 20</t>
  </si>
  <si>
    <t>Điều chỉnh giảm Dịch vụ quảng cáo và truyền thông theo Hợp đồng số 11122025.HDDV. SPARKLE.HNS ký ngày 11/12/2025 HĐ số 19</t>
  </si>
  <si>
    <t>Điều chỉnh giảm Dịch vụ quảng cáo và truyền thông theo Hợp đồng số MSS-HNS/051225/HDDV ký ngày 05/12/2025 kèm Biên bản nghiệm thu và thanh lý ký ngày 30/03/2026 HĐ số 23</t>
  </si>
  <si>
    <t>Điều chỉnh giảm Dịch vụ quảng cáo và truyền thông theo Hợp đồng số 01032026HDDVHOCNHANHOCSKINCAREMANYO ký ngày 01/03/2026 kèm Biên bản nghiệm thu ký ngày 30/03/2026 HĐ số 22</t>
  </si>
  <si>
    <t>Điều chỉnh giảm Dịch vụ quảng cáo và truyền thông theo Hợp đồng số QC1503/2026/HĐQC/LPCOS - HKD HỌC NHÂN SKINCARE ký ngày 15/03/2026 kèm Biên bản nghiệm thu ký ngày 31/03/2026 HĐ số 24</t>
  </si>
  <si>
    <t>Chi phí cung cấp dịch vụ và đăng tải video review sản phẩm thuộc thương hiệu Cocoon Vietnam theo Hợp đồng số 22542025/HĐDV/Y&amp;B ký ngày 26/11/2025 HĐ số 2</t>
  </si>
  <si>
    <t>Điều chỉnh giảm Chi phí cung cấp dịch vụ và đăng tải video review sản phẩm thuộc thương hiệu Cocoon Vietnam theo Hợp đồng số 22542025/HĐDV/Y&amp;B ký ngày 26/11/2025 HĐ số 2</t>
  </si>
  <si>
    <t>Dịch vụ quảng cáo và truyền thông theo Hợp đồng số 0601/2026/HĐDV-BOOKING/DST-HOCNHANSKINCARE ký ngày 06/01/2026 HĐ số 21</t>
  </si>
  <si>
    <t>Điều chỉnh giảm Dịch vụ quảng cáo và truyền thông theo Hợp đồng số 0601/2026/HĐDV-BOOKING/DST-HOCNHANSKINCARE ký ngày 06/01/2026 HĐ số 21</t>
  </si>
  <si>
    <t>Nhận Doanh thu Dịch vụ quảng cáo và truyền thông theo Hợp đồng số HKD HN_ NINELESS_01092025 ký ngày 01/09/2025 và Biên bản nghiệm thu ký ngày 09/12/2025 HĐ số 30</t>
  </si>
  <si>
    <t>Nhận Doanh thu Dịch vụ quảng cáo và truyền thông theo Hợp đồng số 251112/HDDV/BRAINAD-HOCNHAN ký ngày 12/11/2025 (Đợt 2) và Biên bản nghiệm thu ký ngày 22/12/2025 HĐ số 37</t>
  </si>
  <si>
    <t>Lãi tiền gửi ngân hàng</t>
  </si>
  <si>
    <t>Hoàn tiền chuyển khoản nhầm</t>
  </si>
  <si>
    <t>0314068305</t>
  </si>
  <si>
    <t>Nhận Dịch vụ quảng cáo và truyền thông theo Hợp đồng số 02/HĐKD/ESM/EFG/25 ký ngày 10/11/2025 kèm Biên bản nghiệm thu và thanh lý ký ngày 20/01/2026 HĐ số 1</t>
  </si>
  <si>
    <t>0314397042</t>
  </si>
  <si>
    <t>Nhận Dịch vụ quảng cáo và truyền thông theo Hợp đồng số 1712/2025/HDDV/FGH-HOCNHAN ký ngày 17/12/2026 và Biên bản nghiệm thu ký ngày 23/03/2026 HĐ số 16</t>
  </si>
  <si>
    <t>Nhận Dịch vụ quảng cáo và truyền thông theo Hợp đồng số MSS-HNS/260126/HDDV ký ngày 26/01/2026 HĐ số 3</t>
  </si>
  <si>
    <t>0109550040</t>
  </si>
  <si>
    <t>Nhận Dịch vụ tư vấn chuyên môn và chiến lược truyền thông theo Hợp đồng số 2602/2026/HĐDV/HANKOREA-HNS ký ngày 26/02/2026 (Đợt 1) HĐ số 6</t>
  </si>
  <si>
    <t>Nhận Dịch vụ quảng cáo và truyền thông theo Hợp đồng số 12/2025/HDDV-HKD-LHN ký ngày 12/12/2025 HĐ số 4</t>
  </si>
  <si>
    <t>Nhận Dịch vụ quảng cáo và truyền thông theo Hợp đồng số 78/2025/HĐCT-HNS ký ngày 24/12/2025 HĐ số 10</t>
  </si>
  <si>
    <t>Nhận Dịch vụ quảng cáo và truyền thông theo Hợp đồng số QC2002/2026/HĐHTQC/LPCOS-HKD HỌC NHÂN SKINCARE ký ngày 20/02/2026 kèm Biên bản nghiệm thu và thanh lý ký ngày 06/03/2026 HĐ số 12</t>
  </si>
  <si>
    <t>0109334402</t>
  </si>
  <si>
    <t>Nhận Dịch vụ tư vấn chuyên môn và chiến lược truyền thông theo Hợp đồng số 2702/2026/HĐDV/RUTOP- HNS ký ngày 27/02/2026 (Đợt 1) HĐ số 5</t>
  </si>
  <si>
    <t>Nhận Dịch vụ quảng cáo và truyên thông theo Hợp đồng số 20260313/HĐDV/MDPEEL12/SANAxHOCNHAN ký ngày 13/03/2026 HĐ số 14</t>
  </si>
  <si>
    <t>Nhận Dịch vụ quảng cáo và truyền thông theo Hợp đồng số CLC/2026/24 ký ngày 23/02/2026 HĐ số 7</t>
  </si>
  <si>
    <t>0318504305</t>
  </si>
  <si>
    <t>Nhận Dịch vụ quảng cáo và truyền thông theo Hợp đồng số 041811/25-KOL-OVERall ký ngày 18/11/2025 HĐ số 13</t>
  </si>
  <si>
    <t>Nhận Dịch vụ quảng cáo và truyền thông theo Hợp đồng số 05.2025 ký ngày 10/05/2025 và Biên bản nghiệm thu ký ngày 25/03/2026 HĐ số 20</t>
  </si>
  <si>
    <t>Nhận Dịch vụ quảng cáo và truyền thông theo Hợp đồng số QC1503/2026/HĐQC/LPCOS - HKD HỌC NHÂN SKINCARE ký ngày 15/03/2026 kèm Biên bản nghiệm thu ký ngày 31/03/2026 HĐ số 24</t>
  </si>
  <si>
    <t>Nhận Chi phí cung cấp dịch vụ và đăng tải video review sản phẩm thuộc thương hiệu Cocoon Vietnam theo Hợp đồng số 22542025/HĐDV/Y&amp;B ký ngày 26/11/2025 HĐ số 2</t>
  </si>
  <si>
    <t>Nhận Dịch vụ quảng cáo và truyền thông theo Hợp đồng số 0601/2026/HĐDV-BOOKING/DST-HOCNHANSKINCARE ký ngày 06/01/2026 HĐ số 21</t>
  </si>
  <si>
    <t>Thanh toán Chi phí cung cấp dịch vụ và đăng tải video review sản phẩm thuộc thương hiệu Cocoon Vietnam theo Hợp đồng số 22542025/HĐDV/Y&amp;B ký ngày 26/11/2025 HĐ số 2</t>
  </si>
  <si>
    <t>273</t>
  </si>
  <si>
    <t>Nhận Dịch vụ quảng cáo và truyền thông theo Hợp đồng số HKD HN_3BRO1_GARNIER MOCHI CAMP MAR - PACK ON TOP_260154_005 ký ngày 12/03/2026 và Biên bản nghiệm thu ký ngày 24/03/2026 HĐ số 18</t>
  </si>
  <si>
    <t>Điều chỉnh giảm Dịch vụ quảng cáo và truyền thông theo Hợp đồng số 20251216HDDV/MEISHANG – DANGVIOFFICIAL ký ngày 26/12/2025 và Biên bản nghiệm thu ký ngày 11/01/2026 HĐ số 2</t>
  </si>
  <si>
    <t>Điều chỉnh giảm Thanh toán 100% phí dịch vụ MNY - BABYCUSHION - VIDEO - SCOPE3 - 3001 SOW số 35419/2025/WPP-BTL-LO ID Tiktok: dangvbeauty179 HĐ số 4</t>
  </si>
  <si>
    <t>Điều chỉnh giảm Thanh toán 100% phí dịch vụ MNY - Teddy Tint - Video -Scope 3 - 1012 SOW số 30770/2025/WPP-BTL-LO ID Tiktok: dangvbeauty179 HĐ số 3</t>
  </si>
  <si>
    <t>Điều chỉnh giảm Thanh toán 100% phí dịch vụ OAP - Infallible Cushion - Video - Scope 3 - 3001 SOW số 35731/2025/WPP-BTL-LO ID Tiktok: dangvbeauty179 HĐ số 5</t>
  </si>
  <si>
    <t>Điều chỉnh giảm Thanh toán 100% phí dịch vụ OAP - Infallible Cushion - Video - Scope 3 - 3001 SOW số 35731/2025/WPP-BTL-LO ID Tiktok: dangvbeauty179 HĐ số 6</t>
  </si>
  <si>
    <t>Điều chỉnh giảm Điều chỉnh giảm mặt hàng Thanh toán 100% phí dịch vụ OAP - Infallible Cushion - Video - Scope 3 - 3001 SOW số 35731/2025/WPP-BTL-LO ID Tiktok: dangvbeauty179 HĐ số 7</t>
  </si>
  <si>
    <t>Điều chỉnh giảm Thanh toán 100% phí dịch vụ 3CE - KOC Hub Jan - Video - Scope 3 - 300126 SOW số 35170/2025/WPP-BTL-LO ID Tiktok: dangvbeauty179 HĐ số 8</t>
  </si>
  <si>
    <t>Điều chỉnh giảm Dịch vụ quảng cáo và truyền thông theo Hợp đồng số 131/2026/LINK-DANGVI ký ngày 13/1/2026 và Biên bản nghiệm thu ký ngày 06/02/2026 HĐ số 9</t>
  </si>
  <si>
    <t>Điều chỉnh giảm Dịch vụ quảng cáo và truyền thông theo Hợp đồng số 20260101/HĐDV/NGUYENNGOCDANGVI ký ngày 01/01/2026 và Biên bản nghiệm thu ký ngày 06/02/2026 HĐ số 10</t>
  </si>
  <si>
    <t>Điều chỉnh giảm Dịch vụ quảng cáo và truyền thông theo Hợp đồng số 20260106/HĐDV/NNĐV ký ngày 06/01/2026 và Biên bản nghiệm thu ký ngày 11/02/2026 HĐ số 11</t>
  </si>
  <si>
    <t>Điều chỉnh giảm Thanh toán 100% phí dịch vụ LAN-IDÔLE NPD FRAGRANCE - VIDEO - SCOPE2 - 1003 SOW số 37711/2025/WPP-BTL-LO ID Tiktok: dangvibeauty HĐ số 12</t>
  </si>
  <si>
    <t>Điều chỉnh giảm Dịch vụ quảng cáo và truyền thông theo Hợp đồng số 260226/HDDV/BRAINAD-DANGVI ký ngày 26/02/2026 (Đợt 1) HĐ số 13</t>
  </si>
  <si>
    <t>Điều chỉnh giảm Dịch vụ quảng cáo theo hợp đồng số 0326+VULACINETWORKxHKDDangViP00418 và Bảng đối soát IS03.26+VULACIxHKD Đăng Vi HĐ số 15</t>
  </si>
  <si>
    <t>Điều chỉnh giảm Dịch vụ quảng cáo và truyền thông theo Hợp đồng số 20260315/HKDDANGVI x DEERA ký ngày 15/03/2026 và Biên bản nghiệm thu ký ngày 25/03/2026 HĐ số 14</t>
  </si>
  <si>
    <t>Điều chỉnh giảm Thanh toán 100% phí dịch vụ 3CE - KOC Hub Mar - Video - Scope 3 - 300326 SOW số 39403/2025/WPP-BTL-LO ID Tiktok: dangvibeauty HĐ số 17</t>
  </si>
  <si>
    <t>Điều chỉnh giảm Thanh toán 100% phí dịch vụ MNY - CLOUDTOPIA - Event - Scope 2 - 1004 SOW số 45837/2025/WPP-BTL-LO ID Tiktok: dangvibeauty HĐ số 16</t>
  </si>
  <si>
    <t>21/02/2026</t>
  </si>
  <si>
    <t>Rút tiền gửi ngân hàng nhập qxuy tiền mặt</t>
  </si>
  <si>
    <t>Nhận Doanh thu Thanh toán 100% phí dịch vụ 3CE - KOC Hub Dec - ViVideo -Scope 3 - 3012 SOW số 32021/2025/WPP-BTL-LO ID Tiktok: dangvbeauty179 HĐ số 45</t>
  </si>
  <si>
    <t>Nhận Doanh thu Dịch vụ quảng cáo và truyền thông theo Hợp đồng số 3011/2025/TTS/DANGVI/MENARD ký ngày 30/11/2025 và Biên bản nghiệm thu ký ngày 18/12/2025 HĐ số 43</t>
  </si>
  <si>
    <t>Nhận Doanh thu Dịch vụ quảng cáo và truyền thông theo Hợp đồng số MDA/20251202/2395 ngày 21/11/2025 và Biên bản nghiệm thu và thanh lý ngày 08/12/2025 HĐ số 41</t>
  </si>
  <si>
    <t>Nhận Dịch vụ quảng cáo và truyền thông theo Hợp đồng số 20260101/HĐDV/NGUYENNGOCDANGVI ký ngày 01/01/2026 và Biên bản nghiệm thu ký ngày 06/02/2026 HĐ số 10</t>
  </si>
  <si>
    <t>Nhận Dịch vụ quảng cáo và truyền thông theo Hợp đồng số 20260106/HĐDV/NNĐV ký ngày 06/01/2026 và Biên bản nghiệm thu ký ngày 11/02/2026 HĐ số 11</t>
  </si>
  <si>
    <t>Nhận Doanh thu Thanh toán 100% phí dịch vụ CeraVe - CRV livestreamer Aeon Mall - Handling payment - Scope 3 - 3012 SOW số 31020/2025/WPP-BTL-LO ID Tiktok: dangvbeauty179 HĐ số 46</t>
  </si>
  <si>
    <t>Nhận Dịch vụ quảng cáo và truyền thông theo Hợp đồng số 20251216HDDV/MEISHANG – DANGVIOFFICIAL ký ngày 26/12/2025 và Biên bản nghiệm thu ký ngày 11/01/2026 HĐ số 2</t>
  </si>
  <si>
    <t>Nhận Thanh toán 100% phí dịch vụ 3CE - KOC Hub Jan - Video - Scope 3 - 300126 SOW số 35170/2025/WPP-BTL-LO ID Tiktok: dangvbeauty179 HĐ số 8</t>
  </si>
  <si>
    <t>Nhận Thanh toán 100% phí dịch vụ OAP - Infallible Cushion - Video - Scope 3 - 3001 SOW số 35731/2025/WPP-BTL-LO ID Tiktok: dangvbeauty179 HĐ số 6</t>
  </si>
  <si>
    <t>Nhận Thanh toán 100% phí dịch vụ MNY - BABYCUSHION - VIDEO - SCOPE3 - 3001 SOW số 35419/2025/WPP-BTL-LO ID Tiktok: dangvbeauty179 HĐ số 4</t>
  </si>
  <si>
    <t>Nhận Dịch vụ quảng cáo và truyền thông theo Hợp đồng số 131/2026/LINK-DANGVI ký ngày 13/1/2026 và Biên bản nghiệm thu ký ngày 06/02/2026 HĐ số 9</t>
  </si>
  <si>
    <t>Nhận Thanh toán 100% phí dịch vụ MNY - Teddy Tint - Video -Scope 3 - 1012 SOW số 30770/2025/WPP-BTL-LO ID Tiktok: dangvbeauty179 HĐ số 3</t>
  </si>
  <si>
    <t>Nhận Dịch vụ quảng cáo theo hợp đồng số 0326+VULACINETWORKxHKDDangViP00418 và Bảng đối soát IS03.26+VULACIxHKD Đăng Vi HĐ số 15</t>
  </si>
  <si>
    <t>Nhận Dịch vụ quảng cáo và truyền thông theo Hợp đồng số 260226/HDDV/BRAINAD-DANGVI ký ngày 26/02/2026 (Đợt 1) HĐ số 13</t>
  </si>
  <si>
    <t>Nhận Thanh toán 100% phí dịch vụ LAN-IDÔLE NPD FRAGRANCE - VIDEO - SCOPE2 - 1003 SOW số 37711/2025/WPP-BTL-LO ID Tiktok: dangvibeauty HĐ số 12</t>
  </si>
  <si>
    <t>Thanh toán Phí dịch vụ tư vấn tháng 12/2025 HĐ số 8</t>
  </si>
  <si>
    <t>Thanh toán Bàn ăn | JEGIND | gỗ công nghiệp/gỗ cao su | trắng/màu sồi | Ø105xC75cm
Ghế bàn ăn | KASTRUP | gỗ sồi/vải polyster | vàng cát/sồi | R49xS57xC82cm HĐ số 5132</t>
  </si>
  <si>
    <t>Thanh toán Cước phí vận chuyển mã 01KFA9ESVXZFZ4JT348B1FP5R1
Chiết khấu thương mại/ giảm giá mã 01KFA9ESVXZFZ4JT348B1FP5R1 HĐ số 5620730</t>
  </si>
  <si>
    <t>Thanh toán Buffet Hasu NL
Bình trà đá
Khăn giấy màng bạc Golden Gate 2025 HĐ số 234431</t>
  </si>
  <si>
    <t>Thanh toán Buffet Promax (NL)
Coca Cola Zero (Lon)
Nước Gạo Dưa Hấu
Khăn giấy màng bạc Kichi HĐ số 274335</t>
  </si>
  <si>
    <t>Thanh toán Phí dịch vụ tư vấn tháng 01/2026 HĐ số 35</t>
  </si>
  <si>
    <t>Thanh toán Cước phí vận chuyển mã 01KKDNQ0SVGRZP2EF3YW043P1E
Chiết khấu thương mại/ giảm giá mã 01KKDNQ0SVGRZP2EF3YW043P1E HĐ số 20678078</t>
  </si>
  <si>
    <t>Thanh toán Phí dịch vụ tư vấn tháng 02/2026 HĐ số 94</t>
  </si>
  <si>
    <t>Chi phí tiếp khách, ngoại giao HĐ số 1143</t>
  </si>
  <si>
    <t>Chi phí tiếp khách, ngoại giao HĐ số 4973</t>
  </si>
  <si>
    <t>Thanh toán Chi phí tiếp khách, ngoại giao HĐ số 90571</t>
  </si>
  <si>
    <t>Thanh toán Chi phí tiếp khách, ngoại giaoHĐ số 1143</t>
  </si>
  <si>
    <t>Thanh toán Chi phí tiếp khách, ngoại giao HĐ số 4973</t>
  </si>
  <si>
    <t>312</t>
  </si>
  <si>
    <t>Chi phí tiếp khách, ngoại giao HĐ số 14202</t>
  </si>
  <si>
    <t>Thanh toán Chi phí tiếp khách, ngoại giao HĐ số 14202</t>
  </si>
  <si>
    <t>Chi phí tiếp khách, ngoại giao HĐ số 937</t>
  </si>
  <si>
    <t>Thanh toán Chi phí tiếp khách, ngoại giao HĐ số 937</t>
  </si>
  <si>
    <t>Cước phí vận chuyển HĐ số 1219</t>
  </si>
  <si>
    <t>Thanh toán Cước phí vận chuyển HĐ số 1219</t>
  </si>
  <si>
    <t>Chi phí tiếp khách, ngoại giao HĐ số 46427</t>
  </si>
  <si>
    <t>Thanh toán Chi phí tiếp khách, ngoại giao HĐ số 46427</t>
  </si>
  <si>
    <t>Chi phí tiếp khách, ngoại giao HĐ số 1435</t>
  </si>
  <si>
    <t>Thanh toán Chi phí tiếp khách, ngoại giao HĐ số 1435</t>
  </si>
  <si>
    <t>Chi phí đồ dùng văn phòng HĐ số 81669</t>
  </si>
  <si>
    <t>Thanh toán Chi phí đồ dùng văn phòng HĐ số 81669</t>
  </si>
  <si>
    <t>Chi phí tiếp khách, ngoại giao HĐ số 337</t>
  </si>
  <si>
    <t>Thanh toán Chi phí tiếp khách, ngoại giao HĐ số 337</t>
  </si>
  <si>
    <t>Chi phí tiếp khách, ngoại giao HĐ số 128</t>
  </si>
  <si>
    <t>Thanh toán Chi phí tiếp khách, ngoại giao HĐ số 128</t>
  </si>
  <si>
    <t>Cước phí vận tải chuyến HĐ số 5760</t>
  </si>
  <si>
    <t>Thanh toán Cước phí vận tải chuyến HĐ số 5760</t>
  </si>
  <si>
    <t>Chi phí tiếp khách, ngoại giao HĐ số 5524</t>
  </si>
  <si>
    <t>Thanh toán Chi phí tiếp khách, ngoại giao HĐ số 5524</t>
  </si>
  <si>
    <t>Chi phí tiếp khách, ngoại giao HĐ số 105068</t>
  </si>
  <si>
    <t>Thanh toán Chi phí tiếp khách, ngoại giao HĐ số 105068</t>
  </si>
  <si>
    <t>Chi phí tiếp khách, ngoại giao HĐ số 16124</t>
  </si>
  <si>
    <t>Thanh toán Chi phí tiếp khách, ngoại giao HĐ số 16124</t>
  </si>
  <si>
    <t>Cước phí vận tải chuyến HĐ số 7210</t>
  </si>
  <si>
    <t>Thanh toán Cước phí vận tải chuyến HĐ số 7210</t>
  </si>
  <si>
    <t>Chi phí tiếp khách, ngoại giao HĐ số 697556</t>
  </si>
  <si>
    <t>Thanh toán Chi phí tiếp khách, ngoại giao HĐ số 697556</t>
  </si>
  <si>
    <t>Chi phí tiếp khách, ngoại giao HĐ số 9591</t>
  </si>
  <si>
    <t>Thanh toán Chi phí tiếp khách, ngoại giao HĐ số 9591</t>
  </si>
  <si>
    <t>Chi phí tiếp khách, ngoại giao HĐ số 141</t>
  </si>
  <si>
    <t>Thanh toán Chi phí tiếp khách, ngoại giao HĐ số 141</t>
  </si>
  <si>
    <t>Chi phí tiếp khách, ngoại giao HĐ số 16671</t>
  </si>
  <si>
    <t>Thanh toán Chi phí tiếp khách, ngoại giao HĐ số 16671</t>
  </si>
  <si>
    <t>Chi phí tiếp khách, ngoại giao HĐ số 203</t>
  </si>
  <si>
    <t>Thanh toán Chi phí tiếp khách, ngoại giao HĐ số 203</t>
  </si>
  <si>
    <t>Chi phí tiếp khách, ngoại giao HĐ số 411845</t>
  </si>
  <si>
    <t>Thanh toán Chi phí tiếp khách, ngoại giao HĐ số 411845</t>
  </si>
  <si>
    <t>Chi phí tiếp khách, ngoại giao HĐ số 1289</t>
  </si>
  <si>
    <t>Thanh toán Chi phí tiếp khách, ngoại giao HĐ số 1289</t>
  </si>
  <si>
    <t>Chi phí tiếp khách, ngoại giao HĐ số 19895</t>
  </si>
  <si>
    <t>Thanh toán Chi phí tiếp khách, ngoại giao HĐ số 19895</t>
  </si>
  <si>
    <t>Chi phí tiếp khách, ngoại giao HĐ số 21412</t>
  </si>
  <si>
    <t>Thanh toán Chi phí tiếp khách, ngoại giao HĐ số 21412</t>
  </si>
  <si>
    <t>Chi phí tiếp khách, ngoại giao HĐ số 15157</t>
  </si>
  <si>
    <t>Thanh toán Chi phí tiếp khách, ngoại giao HĐ số 15157</t>
  </si>
  <si>
    <t>Chi phí tiếp khách, ngoại giao HĐ số 25320</t>
  </si>
  <si>
    <t>Thanh toán Chi phí tiếp khách, ngoại giao HĐ số 25320</t>
  </si>
  <si>
    <t>Chi phí tiếp khách, ngoại giao HĐ số 4390</t>
  </si>
  <si>
    <t>Thanh toán Chi phí tiếp khách, ngoại giao HĐ số 4390</t>
  </si>
  <si>
    <t>Chi phí tiếp khách, ngoại giao HĐ số 6788</t>
  </si>
  <si>
    <t>Thanh toán Chi phí tiếp khách, ngoại giao HĐ số 6788</t>
  </si>
  <si>
    <t>Chi phí đồ dùng văn phòng HĐ số 425775</t>
  </si>
  <si>
    <t>Thanh toán Chi phí đồ dùng văn phòng HĐ số 425775</t>
  </si>
  <si>
    <t>Chi phí tiếp khách, ngoại giao HĐ số 27229</t>
  </si>
  <si>
    <t>Thanh toán Chi phí tiếp khách, ngoại giao HĐ số 27229</t>
  </si>
  <si>
    <t>Chi phí tiếp khách, ngoại giao HĐ số 1200</t>
  </si>
  <si>
    <t>Thanh toán Chi phí tiếp khách, ngoại giao HĐ số 1200</t>
  </si>
  <si>
    <t>Chi phí tiếp khách, ngoại giao HĐ số 7468</t>
  </si>
  <si>
    <t>Thanh toán Chi phí tiếp khách, ngoại giao HĐ số 7468</t>
  </si>
  <si>
    <t>Chi phí tiếp khách, ngoại giao HĐ số 13506</t>
  </si>
  <si>
    <t>Thanh toán Chi phí tiếp khách, ngoại giao HĐ số 13506</t>
  </si>
  <si>
    <t>Chi phí tiếp khách, ngoại giao HĐ số 265904</t>
  </si>
  <si>
    <t>Thanh toán Chi phí tiếp khách, ngoại giao HĐ số 265904</t>
  </si>
  <si>
    <t>Chi phí tiếp khách, ngoại giao HĐ số 1395</t>
  </si>
  <si>
    <t>Thanh toán Chi phí tiếp khách, ngoại giao HĐ số 1395</t>
  </si>
  <si>
    <t>Chi phí tiếp khách, ngoại giao HĐ số 855526</t>
  </si>
  <si>
    <t>Thanh toán Chi phí tiếp khách, ngoại giao HĐ số 855526</t>
  </si>
  <si>
    <t>Chi phí tiếp khách, ngoại giao HĐ số 278767</t>
  </si>
  <si>
    <t>Thanh toán Chi phí tiếp khách, ngoại giao HĐ số 278767</t>
  </si>
  <si>
    <t>Chi phí tiếp khách, ngoại giao HĐ số 1182</t>
  </si>
  <si>
    <t>Thanh toán Chi phí tiếp khách, ngoại giao HĐ số 1182</t>
  </si>
  <si>
    <t>Chi phí tiếp khách, ngoại giao HĐ số 328044</t>
  </si>
  <si>
    <t>Thanh toán Chi phí tiếp khách, ngoại giao HĐ số 328044</t>
  </si>
  <si>
    <t>Chi phí tiếp khách, ngoại giao HĐ số 30921</t>
  </si>
  <si>
    <t>Thanh toán Chi phí tiếp khách, ngoại giao HĐ số 30921</t>
  </si>
  <si>
    <t>Chi phí tiếp khách, ngoại giao HĐ số 40655</t>
  </si>
  <si>
    <t>Thanh toán Chi phí tiếp khách, ngoại giao HĐ số 40655</t>
  </si>
  <si>
    <t>Chi phí tiếp khách, ngoại giao HĐ số 24340</t>
  </si>
  <si>
    <t>Thanh toán Chi phí tiếp khách, ngoại giao HĐ số 24340</t>
  </si>
  <si>
    <t>Chi phí tiếp khách, ngoại giao HĐ số 338977</t>
  </si>
  <si>
    <t>Thanh toán Chi phí tiếp khách, ngoại giao HĐ số 338977</t>
  </si>
  <si>
    <t>Chi phí tiếp khách, ngoại giao HĐ số 32344</t>
  </si>
  <si>
    <t>Thanh toán Chi phí tiếp khách, ngoại giao HĐ số 32344</t>
  </si>
  <si>
    <t>Chi phí tiếp khách, ngoại giao HĐ số 346041</t>
  </si>
  <si>
    <t>Thanh toán Chi phí tiếp khách, ngoại giao HĐ số 346041</t>
  </si>
  <si>
    <t>Chi phí tiếp khách, ngoại giao HĐ số 12263</t>
  </si>
  <si>
    <t>Thanh toán Chi phí tiếp khách, ngoại giao HĐ số 12263</t>
  </si>
  <si>
    <t>0318648794</t>
  </si>
  <si>
    <t>Nhận Doanh thu Dịch vụ quảng cáo và truyền thông theo 25112025/HDDV/TCC-CONGAN ký ngày 25/11/2025 và Biên bản nghiệm thu ký ngày 23/12/2025 HĐ số 23</t>
  </si>
  <si>
    <t>0317581963</t>
  </si>
  <si>
    <t>Nhận Doanh thu Dịch vụ quảng cáo và truyền thông theo Hợp đồng số CREATIVE/01/081225 ký ngày 08/12/2025 và Biên bản nghiệm thu ký ngày 30/12/2025 HĐ số 25</t>
  </si>
  <si>
    <t>Nhận Doanh thu Dịch vụ quảng cáo và truyền thông theo Hợp đồng số 1012/2025/TTS/CONGAN/SHISEIDO ký ngày 10/12/2025 và Biên bản nghiệm thu ký ngày 17/12/2025 HĐ số 22</t>
  </si>
  <si>
    <t>Nhận Doanh thu Dịch vụ quảng cáo và truyền thông theo Hợp đồng số 251025/HDDV/NTFLACTOFERRIN/ICON-CONGAN-HKDCONGANOFFICIAL ký ngày 25/10/2025 (Đợt 2) và Biên bản nghiệm thu ký ngày 12/12/2025 HĐ số 21</t>
  </si>
  <si>
    <t>Nhận Doanh thu Thanh toán 100% phí dịch vụ LP - STORY AFF 11.11 &amp; 12.12 - Video - Scope 2 - 3012 SOW số 33517/2025/WPP-BTL-LO ID Tiktok: cokimngann HĐ số 24</t>
  </si>
  <si>
    <t>Nhận Doanh thu Thanh toán 100% phí dịch vụ Lan - New Year - Video - Scope 3 - 3101 SOW số 33824/2025/WPP-BTL-LO ID Tiktok: cokimngann HĐ số 26</t>
  </si>
  <si>
    <t>Nhận Dịch vụ quảng cáo và truyền thông theo Hợp đồng số 251225/HDDV/BRAINAD-CONGAN ký ngày 25/12/2025 (Đợt 1) HĐ số 1</t>
  </si>
  <si>
    <t>Nhận Dịch vụ quảng cáo và truyền thông theo Hợp đồng số 251225/HDDV/BRAINAD-CONGAN ký ngày 25/12/2025 (Đợt 2) HĐ số 2</t>
  </si>
  <si>
    <t>Nhận Thanh toán Đợt 1 (50%): Phí dịch vụ quảng cáo theo Hợp đồng dịch vụ số MDA/20260317/2935 ngày 17/03/2026 HĐ số 3</t>
  </si>
  <si>
    <t>1253</t>
  </si>
  <si>
    <t>Điều chỉnh giảm Dịch vụ quảng cáo và truyền thông theo Hợp đồng số 251225/HDDV/BRAINAD-CONGAN ký ngày 25/12/2025 (Đợt 1) HĐ số 1</t>
  </si>
  <si>
    <t>Điều chỉnh giảm Dịch vụ quảng cáo và truyền thông theo Hợp đồng số 251225/HDDV/BRAINAD-CONGAN ký ngày 25/12/2025 (Đợt 2) HĐ số 2</t>
  </si>
  <si>
    <t>Điều chỉnh giảm Thanh toán Đợt 1 (50%): Phí dịch vụ quảng cáo theo Hợp đồng dịch vụ số MDA/20260317/2935 ngày 17/03/2026 HĐ số 3</t>
  </si>
  <si>
    <t>Điều chỉnh giảm Cung cấp dịch vụ đợt 1 (50%) theo Hợp đồng số HĐ/155/2026/MMUSIC ký ngày 25/02/2026 HĐ số 4</t>
  </si>
  <si>
    <t>Chi phí tiếp khách, ngoại giao HĐ số 24518</t>
  </si>
  <si>
    <t>Chi phí đồ dùng văn phòng HĐ số 2088</t>
  </si>
  <si>
    <t>Chi phí đồ dùng văn phòng HĐ số 195</t>
  </si>
  <si>
    <t>Dịch vụ quảng cáo và truyền thông theo Phụ lục yêu cầu dịch vụ số 03 ký ngày 20/10/2025 của Hợp đồng nguyên tắc số 02-200825-HUEUII/WV ký ngày 20/08/2025 HĐ số 2</t>
  </si>
  <si>
    <t>Dịch vụ quảng cáo và truyền thông theo Phụ lục yêu cầu dịch vụ số 04 ký ngày 01/01/2026 của Hợp đồng nguyên tắc số 02-200825-HUEUII/WV ký ngày 20/08/2025 HĐ số 7</t>
  </si>
  <si>
    <t>Dịch vụ quảng cáo và truyền thông theo Hợp đồng số 112026/HDDV – EZS X HKD NGUYỄN HUỆ MAKEUP ký ngày 02/03/2026 HĐ số 13</t>
  </si>
  <si>
    <t>Dịch vụ quảng cáo và truyền thông theo Phụ lục yêu cầu dịch vụ số 05 ký ngày 20/01/2026 của Hợp đồng nguyên tắc số 02-200825-HUEUII/WV ký ngày 20/08/2025 HĐ số 14</t>
  </si>
  <si>
    <t>Thanh toán The 4158xxxx8837 GD thanh toan taiAdobe com Saggart DublIE HĐ số 695173</t>
  </si>
  <si>
    <t>Thanh toán The 4158xxxx8837 GD thanh toan taiAdobe com Saggart DublIE HĐ số 610862</t>
  </si>
  <si>
    <t>Thanh toán Chi phí tiếp khách, ngoại giao HĐ số 24518</t>
  </si>
  <si>
    <t>Thanh toán Phí dịch vụ tư vấn tháng 12/2025 HĐ số 23</t>
  </si>
  <si>
    <t>Thanh toán Thu lãi HĐ số 1069089</t>
  </si>
  <si>
    <t>Thanh toán Chi phí đồ dùng văn phòng HĐ số 2088</t>
  </si>
  <si>
    <t>Thanh toán Chi phí đồ dùng văn phòng HĐ số 195</t>
  </si>
  <si>
    <t>Thanh toán The 4158xxxx8837 GD thanh toan taiFS Capture One fsprg nl NL HĐ số 1494814</t>
  </si>
  <si>
    <t>Thanh toán Phí thuê dịch vụ văn phòng từ 01/01/2026 - 31/12/2026 Bảng hiệu Công ty HĐ số 15</t>
  </si>
  <si>
    <t>Thanh toán Phí dịch vụ tư vấn tháng 01/2026 HĐ số 55</t>
  </si>
  <si>
    <t>Thanh toán The 4158xxxx8837 GD thanh toan taiAdobe com Saggart DublIE HĐ số 8361424</t>
  </si>
  <si>
    <t>Thanh toán Phí dịch vụ tư vấn tháng 02/2026 HĐ số 76</t>
  </si>
  <si>
    <t>Thanh toán The 4158xxxx8837 GD thanh toan taiAdobe com Saggart DublIE HĐ số 9374224</t>
  </si>
  <si>
    <t>Thanh toán Thu lãi HĐ số 9669075</t>
  </si>
  <si>
    <t>Điều chỉnh giảm Dịch vụ quảng cáo và truyền thông theo Hợp đồng số 20251115/HOATHINH x NGUYENHUE ký ngày 15/11/2025 và Biên bản nghiệm thu ký ngày 05/01/2026 HĐ số 3</t>
  </si>
  <si>
    <t>Điều chỉnh giảm Dịch vụ quảng cáo và truyền thông theo Phụ lục yêu cầu dịch vụ số 03 ký ngày 20/10/2025 của Hợp đồng nguyên tắc số 02-200825-HUEUII/WV ký ngày 20/08/2025 HĐ số 2</t>
  </si>
  <si>
    <t>Điều chỉnh giảm Thanh toán phí dịch vụ theo Hợp đồng số HD20112025/DRG_ASIACONSULTING_HUE.UII ký ngày 20/11/2025 kèm Biên bản nghiệm thu và thanh lý ký ngày 06/01/2026 HĐ số 4</t>
  </si>
  <si>
    <t>Điều chỉnh giảm Dịch vụ quảng cáo và truyền thông theo Hợp đồng số 2026/KOL/MENOW-HUENGUYEN ký ngày 01/01/2026 HĐ số 5</t>
  </si>
  <si>
    <t>Điều chỉnh giảm Dịch vụ quảng cáo và truyền thông theo Phụ lục yêu cầu dịch vụ số 04 ký ngày 01/01/2026 của Hợp đồng nguyên tắc số 02-200825-HUEUII/WV ký ngày 20/08/2025 HĐ số 7</t>
  </si>
  <si>
    <t>Điều chỉnh giảm Dịch vụ quảng cáo và truyền thông theo Hợp đồng số HKD NGUYENHUE_3BRO6_LOREAL_260015_001 ký ngày 06/01/2026 kèm Biên bản nghiệm thu và thanh lý ký ngày 27/01/2026 HĐ số 6</t>
  </si>
  <si>
    <t>Điều chỉnh giảm Dịch vụ quảng cáo và truyền thông theo Hợp đồng số 28012026.HDDV. SPARKLE.NHMAKEUP ký ngày 28/01/2026 kèm Biên bản nghiệm thu và thanh lý hợp đồng ký ngày 29/01/2026 HĐ số 8</t>
  </si>
  <si>
    <t>Điều chỉnh giảm Dịch vụ quảng cáo và truyền thông theo Hợp đồng số 29122025.HDDV. SPARKLE.NHMAKEUP ký ngày 29/12/2025 kèm Biên bản nghiệm thu và thanh lý hợp đồng ký ngày 04/02/2026 HĐ số 9</t>
  </si>
  <si>
    <t>Điều chỉnh giảm Dịch vụ quảng cáo và truyền thông theo Hợp đồng số HKD NGUYENHUE_3BRO6_LOREAL CUSHION_260106_001 ký ngày 01/02/2026 kèm Biên bản nghiệm thu và thanh lý ký ngày 04/03/2026 HĐ số 10</t>
  </si>
  <si>
    <t>Điều chỉnh giảm Dịch vụ quảng cáo và truyền thông theo Hợp đồng số 112026/HDDV – EZS X HKD NGUYỄN HUỆ MAKEUP ký ngày 02/03/2026 HĐ số 13</t>
  </si>
  <si>
    <t>Điều chỉnh giảm Dịch vụ quảng cáo và truyền thông theo Hợp đồng số 090226/HĐDV/MQNY-HUE.UII ký ngày 09/02/2026 và Biên bản nghiệm thu và thanh lý ký ngày 10/03/2026 HĐ số 12</t>
  </si>
  <si>
    <t>Điều chỉnh giảm Dịch vụ quảng cáo và truyền thông theo Hợp đồng số HKNR-PM-TS-KOL-20260205-035 ký ngày 09/02/2026 và Biên bản kiểm nghiệm và bàn giao sản phẩm 10/03/2026 HĐ số 11</t>
  </si>
  <si>
    <t>Điều chỉnh giảm Dịch vụ quảng cáo và truyền thông theo Phụ lục yêu cầu dịch vụ số 05 ký ngày 20/01/2026 của Hợp đồng nguyên tắc số 02-200825-HUEUII/WV ký ngày 20/08/2025 HĐ số 14</t>
  </si>
  <si>
    <t>Điều chỉnh giảm Dịch vụ quảng cáo và truyền thông theo Hợp đồng số 10032026.HDDV. SPARKLE.NHMAKEUP ký ngày 10/03/2026 kèm Biên bản nghiệm thu và thanh lý ký ngày 23/03/2026 HĐ số 15</t>
  </si>
  <si>
    <t>Điều chỉnh giảm Dịch vụ quảng cáo và truyền thông theo Hợp đồng số HDDV/VZONE-NGUYENHUE-TIRTIR/09032026 ký ngày 09/03/2026 kèm Biên bản nghiệm thu ký ngày 25/03/2026 HĐ số 16</t>
  </si>
  <si>
    <t>3468802222</t>
  </si>
  <si>
    <t>Nhận Dịch vụ quảng cáo và truyền thông theo Hợp đồng số 20251115/HOATHINH x NGUYENHUE ký ngày 15/11/2025 và Biên bản nghiệm thu ký ngày 05/01/2026 HĐ số 3</t>
  </si>
  <si>
    <t>Nhận Dịch vụ quảng cáo và truyền thông theo Hợp đồng số 2026/KOL/MENOW-HUENGUYEN ký ngày 01/01/2026 HĐ số 5</t>
  </si>
  <si>
    <t>Nhận Doanh thu Dịch vụ quảng cáo và truyền thông theo Hợp đồng số HKD NGUYENHUE_ LOREAL UV AQUA_15112025 ký ngày 15/11/2025 và Biên bản nghiệm thu ký ngày 11/12/2025 HĐ số 25</t>
  </si>
  <si>
    <t>Nhận Thanh toán phí dịch vụ theo Hợp đồng số HD20112025/DRG_ASIACONSULTING_HUE.UII ký ngày 20/11/2025 kèm Biên bản nghiệm thu và thanh lý ký ngày 06/01/2026 HĐ số 4</t>
  </si>
  <si>
    <t>Nhận Dịch vụ quảng cáo và truyền thông theo Hợp đồng số 29122025.HDDV. SPARKLE.NHMAKEUP ký ngày 29/12/2025 kèm Biên bản nghiệm thu và thanh lý hợp đồng ký ngày 04/02/2026 HĐ số 9</t>
  </si>
  <si>
    <t>Nhận Dịch vụ quảng cáo và truyền thông theo Hợp đồng số 28012026.HDDV. SPARKLE.NHMAKEUP ký ngày 28/01/2026 kèm Biên bản nghiệm thu và thanh lý hợp đồng ký ngày 29/01/2026 HĐ số 8</t>
  </si>
  <si>
    <t>Nhận Dịch vụ quảng cáo và truyền thông theo Hợp đồng số VT/HDQC/2025120103 ký ngày 01/012/2025 Advertising and media services under Contract No. VT/HDQC/2025120103 signed on December 1, 2025 HĐ số 1</t>
  </si>
  <si>
    <t>Nhận Dịch vụ quảng cáo và truyền thông theo Hợp đồng số HKNR-PM-TS-KOL-20260205-035 ký ngày 09/02/2026 và Biên bản kiểm nghiệm và bàn giao sản phẩm 10/03/2026 HĐ số 11</t>
  </si>
  <si>
    <t>Nhận Dịch vụ quảng cáo và truyền thông theo Hợp đồng số HKD NGUYENHUE_3BRO6_LOREAL_260015_001 ký ngày 06/01/2026 kèm Biên bản nghiệm thu và thanh lý ký ngày 27/01/2026 HĐ số 6</t>
  </si>
  <si>
    <t>Nhận Dịch vụ quảng cáo và truyền thông theo Hợp đồng số 090226/HĐDV/MQNY-HUE.UII ký ngày 09/02/2026 và Biên bản nghiệm thu và thanh lý ký ngày 10/03/2026 HĐ số 12</t>
  </si>
  <si>
    <t>Nhận Dịch vụ quảng cáo và truyền thông theo Hợp đồng số HKD NGUYENHUE_3BRO6_LOREAL CUSHION_260106_001 ký ngày 01/02/2026 kèm Biên bản nghiệm thu và thanh lý ký ngày 04/03/2026 HĐ số 10</t>
  </si>
  <si>
    <t>Nhận Dịch vụ quảng cáo và truyền thông theo Hợp đồng số HDDV/VZONE-NGUYENHUE-TIRTIR/09032026 ký ngày 09/03/2026 kèm Biên bản nghiệm thu ký ngày 25/03/2026 HĐ số 16</t>
  </si>
  <si>
    <t>Điều chỉnh giảm Dịch vụ quảng cáo và truyền thông theo Hợp đồng số VT/HDQC/2025120103 ký ngày 01/012/2025 HĐ số 1</t>
  </si>
  <si>
    <t>Nhận Dịch vụ quảng cáo và truyền thông theo Phụ lục yêu cầu dịch vụ số 03 ký ngày 20/10/2025 của Hợp đồng nguyên tắc số 02-200825-HUEUII/WV ký ngày 20/08/2025 HĐ số 2</t>
  </si>
  <si>
    <t>Nhận Dịch vụ quảng cáo và truyền thông theo Phụ lục yêu cầu dịch vụ số 04 ký ngày 01/01/2026 của Hợp đồng nguyên tắc số 02-200825-HUEUII/WV ký ngày 20/08/2025 HĐ số 7</t>
  </si>
  <si>
    <t>Nhận Dịch vụ quảng cáo và truyền thông theo Phụ lục yêu cầu dịch vụ số 05 ký ngày 20/01/2026 của Hợp đồng nguyên tắc số 02-200825-HUEUII/WV ký ngày 20/08/2025 HĐ số 14</t>
  </si>
  <si>
    <t>Nhận Dịch vụ quảng cáo và truyền thông theo Hợp đồng số 112026/HDDV – EZS X HKD NGUYỄN HUỆ MAKEUP ký ngày 02/03/2026 HĐ số 13</t>
  </si>
  <si>
    <t>Thanh toán Phí dịch vụ Affiliate 12/2025_17357950148 HĐ số 37088</t>
  </si>
  <si>
    <t>Thanh toán Phí dịch vụ tư vấn tháng 12/2025 HĐ số 2</t>
  </si>
  <si>
    <t>Thanh toán Cước phí vận chuyển mã 01KF35QDEKECSSFSZ837C4907B Phí nền tảng mã 01KF35QDEKECSSFSZ837C4907B HĐ số 4688852</t>
  </si>
  <si>
    <t>Thanh toán Vé Buffet 369 (NL) Buffet Line Cá Saba Hấp Bầu Bắp Bò Hấp Gừng Khăn giấy màng bạc Golden Gate 2025 HĐ số 176554</t>
  </si>
  <si>
    <t>Thanh toán Cước phí vận chuyển mã 01KFMT3M58KGQ687XGMCTWR4EG Chiết khấu thương mại/ giảm giá mã 01KFMT3M58KGQ687XGMCTWR4EG Phí nền tảng mã 01KFMT3M58KGQ687XGMCTWR4EG HĐ số 6853749</t>
  </si>
  <si>
    <t>Thanh toán Cước phí vận chuyển mã 01KFTAVWAA45PWNCQGBSMW5KH1 Chiết khấu thương mại/ giảm giá mã 01KFTAVWAA45PWNCQGBSMW5KH1 Phí nền tảng mã 01KFTAVWAA45PWNCQGBSMW5KH1 HĐ số 7656288</t>
  </si>
  <si>
    <t>Thanh toán Cước phí vận chuyển mã 01KFSRDD3K79T68GQJSH2JWDTX Chiết khấu thương mại/ giảm giá mã 01KFSRDD3K79T68GQJSH2JWDTX Phí nền tảng mã 01KFSRDD3K79T68GQJSH2JWDTX HĐ số 7548376</t>
  </si>
  <si>
    <t>Thanh toán Phí dịch vụ tư vấn tháng 01/2026 HĐ số 42</t>
  </si>
  <si>
    <t>Thanh toán Phí dịch vụ Affiliate 01/2026_17357950148 (Affiliate Service fee 01/2026_17357950148) HĐ số 810392</t>
  </si>
  <si>
    <t>Thanh toán BUFFET 239K Phí dịch vụ HĐ số 1884</t>
  </si>
  <si>
    <t>Thanh toán TÔM SỐNG MẮM CAY VÚ HEO ƯỚP SA TẾ TRÀ HOA ATISO TIGER BẠC KHĂN NỌNG GIÒN, XÔI DẺO Bò tơ lụi xả sốt tiêu xanh Dồi trường xào cải chua Phụ thu Tết HĐ số 841</t>
  </si>
  <si>
    <t>Thanh toán Buffet Đài Dư Hoa  NL Buffet Line Khai vị &amp; Tráng Miệng (NL) Khăn giấy màng bạc Manwah HĐ số 703103</t>
  </si>
  <si>
    <t>Thanh toán Phí dịch vụ Affiliate 02/2026_17357950148 (Affiliate Service fee 02/2026_17357950148) HĐ số 1585050</t>
  </si>
  <si>
    <t>Thanh toán Phí dịch vụ tư vấn tháng 02/2026 HĐ số 72</t>
  </si>
  <si>
    <t>Thanh toán BUFFET 249K HĐ số 2692</t>
  </si>
  <si>
    <t>Thanh toán Anh Trai "Say Hi" Concert - Day 9 - GA 2B HĐ số 30694</t>
  </si>
  <si>
    <t>Điều chỉnh giảm Dịch vụ quảng cáo và truyền thông theo hợp đồng số 2512/2025/HDDV-GSLAY.XUANNHI ký ngày 23/12/2025 kèm Biên bản nghiệm thu và thanh lý hợp đồng ký ngày 05/01/2026 HĐ số 1</t>
  </si>
  <si>
    <t>Điều chỉnh giảm Dịch vụ quảng cáo và truyền thông theo Hợp đồng số 20260102HDDV/MEISHANG – NGOCXUANNHI ký ngày 02/01/2026 và Biên bản nghiệm thu ký ngày 07/01/2026 HĐ số 2</t>
  </si>
  <si>
    <t>Điều chỉnh giảm Dịch vụ quảng cáo và truyền thông theo Hợp đồng số 03.2411/2025/HDDV/SGL-QC ký ngày 24/11/2025 kèm Biên bản nghiệm thu ký ngày 11/01/2026 HĐ số 3</t>
  </si>
  <si>
    <t>Điều chỉnh giảm Dịch vụ quảng cáo và truyền thông theo Hợp đồng số HD1401-2026-HDDV-JOOCYEE-NGOCXUANNHI ký ngày 14/01/2026 kèm Biên bản nghiệm thu ký ngày 19/01/2026 HĐ số 8</t>
  </si>
  <si>
    <t>Điều chỉnh giảm Dịch vụ quảng cáo và truyền thông theo Hợp đồng số 058/2026/HDDV/OQR ký ngày 14/01/2026 kèm Biên bản nghiệm thu và thanh lý hợp đồng ký ngày 20/01/2026 HĐ số 9</t>
  </si>
  <si>
    <t>Điều chỉnh giảm Dịch vụ quảng cáo theo Hợp đồng số 10.021026.02.MS-NXN ký ngày 02/01/2026 kèm Biên bản nghiệm thu và thanh lý Hợp đồng HĐ số 10</t>
  </si>
  <si>
    <t>Điều chỉnh giảm Dịch vụ quảng cáo và truyền thông theo Hợp đồng số TP0126-HanFias/xuannhilamgido ký ngày 15/01/2026 và Biên bản nghiệm thu ký ngày 28/01/2026 HĐ số 11</t>
  </si>
  <si>
    <t>Điều chỉnh giảm Dịch vụ quảng cáo và truyền thông theo hợp đồng số 2701/2026/HDDV-GSLAY.XUANNHI ký ngày 22/01/2026 kèm Biên bản nghiệm thu và thanh lý hợp đồng ký ngày 29/01/2026 HĐ số 12</t>
  </si>
  <si>
    <t>Điều chỉnh giảm Dịch vụ quảng cáo và truyền thông theo Hợp đồng số 2801/2026/HDDV/CL/DM&amp;C-HKDNXN ký ngày 28/01/2026 HĐ số 14</t>
  </si>
  <si>
    <t>Điều chỉnh giảm Thanh toán 100% phí dịch vụ OAP - Infallible Cushion - Video - Scope 3 - 1002 SOW số 36537/2025/WPP-BTL-LO ID Tiktok: xuannhilamgido HĐ số 13</t>
  </si>
  <si>
    <t>Điều chỉnh giảm Dịch vụ quảng cáo và truyền thông theo Hợp đồng số KOL-2026/001/SKINPOP-XUANNHI ký ngày 20/01/2026 và Biên bản nghiệm thu ký ngày 04/02/2026 HĐ số 15</t>
  </si>
  <si>
    <t>Điều chỉnh giảm Dịch vụ quảng cáo và truyền thông theo Hợp đồng số 2012-2025/HĐDV/GL-NNXN ký ngày 20/12/2025 và Biên bản nghiệm thu ký ngày 05/02/2026 HĐ số 17</t>
  </si>
  <si>
    <t>Điều chỉnh giảm Dịch vụ quảng cáo và truyền thông theo Hợp đồng số 29012026.HDDV. SPARKLE.NXN ký ngày 29/01/2026 và Biên bản nghiệm thu ký ngày 06/02/2026 HĐ số 21</t>
  </si>
  <si>
    <t>Điều chỉnh giảm Dịch vụ quảng cáo và truyền thông theo Hợp đồng số TP0226-HanFias/xuannhilamgido ký ngày 05/02/2026 và Biên bản nghiệm thu ký ngày 06/02/2026 HĐ số 20</t>
  </si>
  <si>
    <t>Điều chỉnh giảm Dịch vụ quảng cáo và truyền thông theo Hợp đồng số 01.3001/2026/HDDV/SGL-QC ký ngày 30/01/2026 kèm Biên bản nghiệm thu và thanh lý ký ngày 06/02/2026 HĐ số 19</t>
  </si>
  <si>
    <t>Điều chỉnh giảm Dịch vụ quảng cáo và truyền thông theo Hợp đồng số 050125/HDDV/NITORIxNGUYENNGOCXUANNHI ký ngày 05/01/2026 và Biên bản nghiệm thu ký ngày 06/02/2026 HĐ số 18</t>
  </si>
  <si>
    <t>Điều chỉnh giảm Dịch vụ quảng cáo và truyền thông theo Hợp đồng số TOCOBO_Silicon2_20260108_xuannhilamgido ký ngày 08/01/2026 kèm Biên bản nghiệm thu và thanh lý hợp đồng ký ngày 12/02/2026 HĐ số 24</t>
  </si>
  <si>
    <t>Điều chỉnh giảm Dịch vụ quảng cáo và truyền thông theo hợp đồng số 0101/2026/HDDV-LEMONADE.XUANNHI ký ngày 01/01/2026 kèm Biên bản nghiệm thu và thanh lý hợp đồng ký ngày 25/02/2026 HĐ số 25</t>
  </si>
  <si>
    <t>Điều chỉnh giảm Dịch vụ quảng cáo và truyền thông theo Hợp đồng số 0402/2026/HĐDV/UNI_HKDNNXN ký ngày 10/11/2025 và Biên bản nghiệm thu ký ngày 04/03/2026 HĐ số 26</t>
  </si>
  <si>
    <t>Điều chỉnh giảm Dịch vụ quảng cáo theo Hợp đồng số 10.270226.02.MS-NXN ký ngày 27/02/2026 kèm Biên bản nghiệm thu và thanh lý Hợp đồng HĐ số 29</t>
  </si>
  <si>
    <t>Điều chỉnh giảm Dịch vụ quảng cáo và truyền thông theo Hợp đồng số 0203/2026/HDDV/BR/DM&amp;C-HKDNXN ký ngày 02/03/2026 và Biên bản nghiệm thu ký ngày 23/03/2026 HĐ số 31</t>
  </si>
  <si>
    <t>Điều chỉnh giảm Dịch vụ quảng cáo và truyền thông theo hợp đồng số 2003/2026/HDDV-GSLAY.XUANNHI ký ngày 20/03/2026 kèm Biên bản nghiệm thu và thanh lý hợp đồng ký ngày 25/03/2026 HĐ số 32</t>
  </si>
  <si>
    <t>Điều chỉnh giảm Dịch vụ quảng cáo và truyền thông theo Hợp đồng số 4902026/HĐDV/Y&amp;B ký ngày 01/03/2026 kèm Biên bản nghiệm thu và thanh toán số 4902026/BBNT-TT/Y&amp;B ký ngày 26/03/2026 HĐ số 33</t>
  </si>
  <si>
    <t>Dịch vụ quảng cáo và truyền thông theo Phụ lục yêu cầu số 15 ký ngày 01/12/2025 của Hợp đồng nguyên tắc số HD/01092025/WVXUANNHILAMGIDO ký ngày 01/09/2025 HĐ số 7</t>
  </si>
  <si>
    <t>Điều chỉnh giảm Dịch vụ quảng cáo và truyền thông theo Phụ lục yêu cầu số 15 ký ngày 01/12/2025 của Hợp đồng nguyên tắc số HD/01092025/WVXUANNHILAMGIDO ký ngày 01/09/2025 HĐ số 7</t>
  </si>
  <si>
    <t>Dịch vụ quảng cáo và truyền thông theo Phụ lục yêu cầu số 14 ký ngày 01/12/2025 của Hợp đồng nguyên tắc số HD/01092025/WVXUANNHILAMGIDO ký ngày 01/09/2025 HĐ số 6</t>
  </si>
  <si>
    <t>Điều chỉnh giảm Dịch vụ quảng cáo và truyền thông theo Phụ lục yêu cầu số 14 ký ngày 01/12/2025 của Hợp đồng nguyên tắc số HD/01092025/WVXUANNHILAMGIDO ký ngày 01/09/2025 HĐ số 6</t>
  </si>
  <si>
    <t>Dịch vụ quảng cáo và truyền thông theo Phụ lục yêu cầu số 13 ký ngày 20/11/2025 của Hợp đồng nguyên tắc số HD/01092025/WVXUANNHILAMGIDO ký ngày 01/09/2025 HĐ số 5</t>
  </si>
  <si>
    <t>Điều chỉnh giảm Dịch vụ quảng cáo và truyền thông theo Phụ lục yêu cầu số 13 ký ngày 20/11/2025 của Hợp đồng nguyên tắc số HD/01092025/WVXUANNHILAMGIDO ký ngày 01/09/2025 HĐ số 5</t>
  </si>
  <si>
    <t>Dịch vụ quảng cáo và truyền thông theo Phụ lục yêu cầu số 12 ký ngày 20/11/2025 của Hợp đồng nguyên tắc số HD/01092025/WVXUANNHILAMGIDO ký ngày 01/09/2025 HĐ số 4</t>
  </si>
  <si>
    <t>Điều chỉnh giảm Dịch vụ quảng cáo và truyền thông theo Phụ lục yêu cầu số 12 ký ngày 20/11/2025 của Hợp đồng nguyên tắc số HD/01092025/WVXUANNHILAMGIDO ký ngày 01/09/2025 HĐ số 4</t>
  </si>
  <si>
    <t>Điều chỉnh giảm Dịch vụ quảng cáo và truyền thông theo Phụ lục 01 của Hợp đồng nguyên tắc số 01012026/JOYGROUP/HĐNT/HKDNGOCXUANNHI-DCV ký ngày 01/01/2026 HĐ số 16</t>
  </si>
  <si>
    <t>Dịch vụ quảng cáo và truyền thông theo Phụ lục yêu cầu số 17 ký ngày 02/01/2026 của Hợp đồng nguyên tắc số HD/01092025/WVXUANNHILAMGIDO ký ngày 01/09/2025 HĐ số 23</t>
  </si>
  <si>
    <t>Điều chỉnh giảm Dịch vụ quảng cáo và truyền thông theo Phụ lục yêu cầu số 17 ký ngày 02/01/2026 của Hợp đồng nguyên tắc số HD/01092025/WVXUANNHILAMGIDO ký ngày 01/09/2025 HĐ số 23</t>
  </si>
  <si>
    <t>Dịch vụ quảng cáo và truyền thông theo Phụ lục yêu cầu số 16 ký ngày 02/01/2026 của Hợp đồng nguyên tắc số HD/01092025/WVXUANNHILAMGIDO ký ngày 01/09/2025 HĐ số 22</t>
  </si>
  <si>
    <t>Điều chỉnh giảm Dịch vụ quảng cáo và truyền thông theo Phụ lục yêu cầu số 16 ký ngày 02/01/2026 của Hợp đồng nguyên tắc số HD/01092025/WVXUANNHILAMGIDO ký ngày 01/09/2025 HĐ số 22</t>
  </si>
  <si>
    <t>Dịch vụ quảng cáo và truyền thông theo Phụ lục yêu cầu số 19 ký ngày 05/03/2026 của Hợp đồng nguyên tắc số HD/01092025/WVXUANNHILAMGIDO ký ngày 01/09/2025 HĐ số 28</t>
  </si>
  <si>
    <t>Điều chỉnh giảm Dịch vụ quảng cáo và truyền thông theo Phụ lục yêu cầu số 19 ký ngày 05/03/2026 của Hợp đồng nguyên tắc số HD/01092025/WVXUANNHILAMGIDO ký ngày 01/09/2025 HĐ số 28</t>
  </si>
  <si>
    <t>Dịch vụ quảng cáo và truyền thông theo Phụ lục yêu cầu số 18 ký ngày 05/01/2026 của Hợp đồng nguyên tắc số HD/01092025/WVXUANNHILAMGIDO ký ngày 01/09/2025 HĐ số 27</t>
  </si>
  <si>
    <t>Điều chỉnh giảm Dịch vụ quảng cáo và truyền thông theo Phụ lục yêu cầu số 18 ký ngày 05/01/2026 của Hợp đồng nguyên tắc số HD/01092025/WVXUANNHILAMGIDO ký ngày 01/09/2025 HĐ số 27</t>
  </si>
  <si>
    <t>Điều chỉnh giảm Dịch vụ quảng cáo và truyền thông theo Phụ lục 02 của Hợp đồng nguyên tắc số 01012026/JOYGROUP/HĐNT/HKDNGOCXUANNHI-DCV ký ngày 01/01/2026 HĐ số 30</t>
  </si>
  <si>
    <t>Nhận Doanh thu Dịch vụ quảng cáo và truyền thông theo Hợp đồng số 011225/HDDV – EZS X HKD NGỌC XUÂN NHI ký ngày 01/12/2025 HĐ số 38</t>
  </si>
  <si>
    <t>Nhận Doanh thu Dịch vụ quảng cáo và truyền thông theo Hợp đồng số 2025-0690/HDDV/NMH-HKDNXN ký ngày 18/11/2025 kèm Biên bản nghiệm thu và thanh lý ký ngày 24/12/2025 HĐ số 39</t>
  </si>
  <si>
    <t>Nhận Dịch vụ quảng cáo và truyền thông theo Hợp đồng số 03.2411/2025/HDDV/SGL-QC ký ngày 24/11/2025 kèm Biên bản nghiệm thu ký ngày 11/01/2026 HĐ số 3</t>
  </si>
  <si>
    <t>Nhận Dịch vụ quảng cáo và truyền thông theo Hợp đồng số 20260102HDDV/MEISHANG – NGOCXUANNHI ký ngày 02/01/2026 và Biên bản nghiệm thu ký ngày 07/01/2026 HĐ số 2</t>
  </si>
  <si>
    <t>Nhận Dịch vụ quảng cáo và truyền thông theo Phụ lục yêu cầu số 15 ký ngày 01/12/2025 của Hợp đồng nguyên tắc số HD/01092025/WVXUANNHILAMGIDO ký ngày 01/09/2025 và Biên bản nghiệm thu ký ngày 15/01/2026 HĐ số 7</t>
  </si>
  <si>
    <t>Nhận Dịch vụ quảng cáo và truyền thông theo Phụ lục yêu cầu số 13 ký ngày 20/11/2025 của Hợp đồng nguyên tắc số HD/01092025/WVXUANNHILAMGIDO ký ngày 01/09/2025 và Biên bản nghiệm thu ký ngày 15/01/2026 HĐ số 5</t>
  </si>
  <si>
    <t>Nhận Doanh thu hoa hồng tiếp thị liên kết</t>
  </si>
  <si>
    <t>Nhận Dịch vụ quảng cáo và truyền thông theo hợp đồng số 2512/2025/HDDV-GSLAY.XUANNHI ký ngày 23/12/2025 kèm Biên bản nghiệm thu và thanh lý hợp đồng ký ngày 05/01/2026 HĐ số 1</t>
  </si>
  <si>
    <t>Nhận Dịch vụ quảng cáo và truyền thông theo Phụ lục yêu cầu số 14 ký ngày 01/12/2025 của Hợp đồng nguyên tắc số HD/01092025/WVXUANNHILAMGIDO ký ngày 01/09/2025 và Biên bản nghiệm thu ký ngày 15/01/2026 HĐ số 6</t>
  </si>
  <si>
    <t>Nhận Dịch vụ quảng cáo và truyền thông theo Hợp đồng số HD1401-2026-HDDV-JOOCYEE-NGOCXUANNHI ký ngày 14/01/2026 kèm Biên bản nghiệm thu ký ngày 19/01/2026 HĐ số 8</t>
  </si>
  <si>
    <t>Nhận Dịch vụ quảng cáo và truyền thông theo Hợp đồng số TP0126-HanFias/xuannhilamgido ký ngày 15/01/2026 và Biên bản nghiệm thu ký ngày 28/01/2026 HĐ số 11</t>
  </si>
  <si>
    <t>Nhận Dịch vụ quảng cáo và truyền thông theo Hợp đồng số 2801/2026/HDDV/CL/DM&amp;C-HKDNXN ký ngày 28/01/2026 HĐ số 14</t>
  </si>
  <si>
    <t>Nhận Dịch vụ quảng cáo và truyền thông theo Hợp đồng số 058/2026/HDDV/OQR ký ngày 14/01/2026 kèm Biên bản nghiệm thu và thanh lý hợp đồng ký ngày 20/01/2026 HĐ số 9</t>
  </si>
  <si>
    <t>Nhận Dịch vụ quảng cáo và truyền thông theo Hợp đồng số 050125/HDDV/NITORIxNGUYENNGOCXUANNHI ký ngày 05/01/2026 và Biên bản nghiệm thu ký ngày 06/02/2026 HĐ số 18</t>
  </si>
  <si>
    <t>Nhận Dịch vụ quảng cáo và truyền thông theo Hợp đồng số 2012-2025/HĐDV/GL-NNXN ký ngày 20/12/2025 và Biên bản nghiệm thu ký ngày 05/02/2026 HĐ số 17</t>
  </si>
  <si>
    <t>Nhận Dịch vụ quảng cáo và truyền thông theo Phụ lục yêu cầu số 16 ký ngày 02/01/2026 của Hợp đồng nguyên tắc số HD/01092025/WVXUANNHILAMGIDO ký ngày 01/09/2025 và Biên bản nghiệm thu ký ngày 09/02/2026 HĐ số 22</t>
  </si>
  <si>
    <t>Nhận Dịch vụ quảng cáo và truyền thông theo Phụ lục yêu cầu số 17 ký ngày 02/01/2026 của Hợp đồng nguyên tắc số HD/01092025/WVXUANNHILAMGIDO ký ngày 01/09/2025 và Biên bản nghiệm thu ký ngày 09/02/2026 HĐ số 23</t>
  </si>
  <si>
    <t>Nhận Dịch vụ quảng cáo và truyền thông theo hợp đồng số 2701/2026/HDDV-GSLAY.XUANNHI ký ngày 22/01/2026 kèm Biên bản nghiệm thu và thanh lý hợp đồng ký ngày 29/01/2026 HĐ số 12</t>
  </si>
  <si>
    <t>Nhận Dịch vụ quảng cáo và truyền thông theo Hợp đồng số TP0226-HanFias/xuannhilamgido ký ngày 05/02/2026 và Biên bản nghiệm thu ký ngày 06/02/2026 HĐ số 20</t>
  </si>
  <si>
    <t>Nhận Dịch vụ quảng cáo theo Hợp đồng số 10.270226.02.MS-NXN ký ngày 27/02/2026 kèm Biên bản nghiệm thu và thanh lý Hợp đồng HĐ số 29</t>
  </si>
  <si>
    <t>Nhận Dịch vụ quảng cáo và truyền thông theo Phụ lục 01 của Hợp đồng nguyên tắc số 01012026/JOYGROUP/HĐNT/HKDNGOCXUANNHI-DCV ký ngày 01/01/2026 và Biên bản nghiệm thu ký ngày 05/02/2026 HĐ số 16</t>
  </si>
  <si>
    <t>Nhận Dịch vụ quảng cáo và truyền thông theo Hợp đồng số KOL-2026/001/SKINPOP-XUANNHI ký ngày 20/01/2026 và Biên bản nghiệm thu ký ngày 04/02/2026 HĐ số 15</t>
  </si>
  <si>
    <t>Nhận Dịch vụ quảng cáo và truyền thông theo Hợp đồng số TOCOBO_Silicon2_20260108_xuannhilamgido ký ngày 08/01/2026 kèm Biên bản nghiệm thu và thanh lý hợp đồng ký ngày 12/02/2026 HĐ số 24</t>
  </si>
  <si>
    <t>Nhận Thanh toán 100% phí dịch vụ OAP - Infallible Cushion - Video - Scope 3 - 1002 SOW số 36537/2025/WPP-BTL-LO ID Tiktok: xuannhilamgido HĐ số 13</t>
  </si>
  <si>
    <t>Nhận Dịch vụ quảng cáo và truyền thông theo Hợp đồng số 0402/2026/HĐDV/UNI_HKDNNXN ký ngày 10/11/2025 và Biên bản nghiệm thu ký ngày 04/03/2026 HĐ số 26</t>
  </si>
  <si>
    <t>Nhận Dịch vụ quảng cáo và truyền thông theo Hợp đồng số 0203/2026/HDDV/BR/DM&amp;C-HKDNXN ký ngày 02/03/2026 và Biên bản nghiệm thu ký ngày 23/03/2026 HĐ số 31</t>
  </si>
  <si>
    <t>Nhận Dịch vụ quảng cáo và truyền thông theo Phụ lục 02 của Hợp đồng nguyên tắc số 01012026/JOYGROUP/HĐNT/HKDNGOCXUANNHI-DCV ký ngày 01/01/2026 và Biên bản nghiệm thu ký ngày 13/03/2026 HĐ số 30</t>
  </si>
  <si>
    <t>Nhận Dịch vụ quảng cáo và truyền thông theo Phụ lục yêu cầu số 19 ký ngày 05/03/2026 của Hợp đồng nguyên tắc số HD/01092025/WVXUANNHILAMGIDO ký ngày 01/09/2025 và Biên bản nghiệm thu ký ngày 12/03/2026 HĐ số 28</t>
  </si>
  <si>
    <t>Nhận Dịch vụ quảng cáo và truyền thông theo Phụ lục yêu cầu số 18 ký ngày 05/01/2026 của Hợp đồng nguyên tắc số HD/01092025/WVXUANNHILAMGIDO ký ngày 01/09/2025 và Biên bản nghiệm thu ký ngày 12/03/2026 HĐ số 27</t>
  </si>
  <si>
    <t>Nhận Dịch vụ quảng cáo và truyền thông theo hợp đồng số 0101/2026/HDDV-LEMONADE.XUANNHI ký ngày 01/01/2026 kèm Biên bản nghiệm thu và thanh lý hợp đồng ký ngày 25/02/2026 HĐ số 25</t>
  </si>
  <si>
    <t>Doanh thu hoa hồng tiếp thị liên kết</t>
  </si>
  <si>
    <t>Nhận Dịch vụ quảng cáo và truyền thông theo Hợp đồng số 29012026.HDDV. SPARKLE.NXN ký ngày 29/01/2026 và Biên bản nghiệm thu ký ngày 06/02/2026 HĐ số 21</t>
  </si>
  <si>
    <t>Nộp Thuế GTGT, TNCN sàn TMĐT 03/11/2025</t>
  </si>
  <si>
    <t>Thanh toán SỨA BIỂN SỐT THÁI ĐẬU HỦ TẲM HÀNH RAU RỪNG GIA LAI CUA LỘT RANG MUỐI BÒ NƯỚNG KIM CHI ẾCH RANG MUỐI Lá Sách Bò Sate CANH BẦU NẤU TÔM KHĂN COCA Nước Suối HĐ số 1225</t>
  </si>
  <si>
    <t>Thanh toán In màu HĐ số 130</t>
  </si>
  <si>
    <t>Thanh toán Phí dịch vụ tư vấn tháng 01/2026 HĐ số 40</t>
  </si>
  <si>
    <t>Thanh toán Vé máy bay quốc nội HĐ số 4</t>
  </si>
  <si>
    <t>Thanh toán Trang trí Backdrop ngang 6m x cao 2m Trang trí tiểu cảnh phên tre xanh uốn lượn 2 bên Dàn đèn led nội dung " CÔ HỌC CHĂM DA &amp; FRIENDS" HĐ số 3</t>
  </si>
  <si>
    <t>Thanh toán Dịch vụ tư vấn, quản lý sự kiện liên hoan cuối năm theo Hợp đồng số 310126/HĐTVCHCD ký ngày 31/01/2026 HĐ số 6</t>
  </si>
  <si>
    <t>Thanh toán Robot hút bụi lau nhà thông minh, hiệu: Dreame, model: Matrix10 Ultra, màu: Black Nước lau sàn, chai 1 lít, AWH6, hiệu Dreame (Hàng tặng không thu tiền ) HĐ số 1247</t>
  </si>
  <si>
    <t>Thanh toán Set Bò Lớn Canh Kim Chi Cơm nắm rong biển Cơm rang kim chi Ngô phomai Dasani Phí dịch vụ HĐ số 4740</t>
  </si>
  <si>
    <t>Thanh toán Phí dịch vụ tư vấn tháng 02/2026 HĐ số 70</t>
  </si>
  <si>
    <t>Điều chỉnh giảm Dịch vụ quảng cáo và truyền thông theo Hợp đống số 150126/HDDV/DF-ACT-NVD ký kết ngày 15/01/2026 và Biên bản nghiệm thu ký ngày 30/01/2026 HĐ số 1</t>
  </si>
  <si>
    <t>Điều chỉnh giảm Phí dịch vụ sử dụng hình ảnh theo Hợp đồng số 20260101/CHCD-CO&amp;KLEAR ký ngày 01/01/2026 HĐ số 2</t>
  </si>
  <si>
    <t>Điều chỉnh giảm Dịch vụ quảng cáo và truyền thông theo Hợp đồng số 26.01.2026/HDQC-DEVEE ký ngày 19/01/2026 và Biên bản nghiệm thu ký ngày 04/02/2026 HĐ số 3</t>
  </si>
  <si>
    <t>Điều chỉnh giảm Dịch vụ quảng cáo và truyền thông theo Hợp đồng số 20260115/CHCD-MAKE P:REM ký ngày 15/01/2026 và Biên bản nghiệm thu ký ngày 05/02/2026 HĐ số 5</t>
  </si>
  <si>
    <t>Điều chỉnh giảm Phí sử dụng hình ảnh theo Hợp đồng số 20260101/CHCD-DERMAX ký ngày 01/01/2026 HĐ số 4</t>
  </si>
  <si>
    <t>Điều chỉnh giảm Dịch vụ quảng cáo và truyền thông theo Hợp đồng số 04022026/CHCD-ZAKKA ký ngày 04/02/2026 và Biên bản nghiệm thu ký ngày 09/02/2026 HĐ số 6</t>
  </si>
  <si>
    <t>Điều chỉnh giảm Dịch vụ quảng cáo và truyền thông cho nhãn hàng MURAD theo Hợp đồng số 682601202606/HDDV/RV/KOL ký ngày 26/01/2026 (Đợt 1) HĐ số 7</t>
  </si>
  <si>
    <t>Chi phí tiếp khách, ngoại giao HĐ số 77</t>
  </si>
  <si>
    <t>Thanh toán Chi phí tiếp khách, ngoại giao HĐ số 77</t>
  </si>
  <si>
    <t>Chi phí tiếp khách, ngoại giao HĐ số 8254</t>
  </si>
  <si>
    <t>Thanh toán đợt 2 theo hợp đồng số HN/260201/004 ký ngày 16/01/2026 và Biên bản nghiệm thu và thanh lý hợp đồng kèm theo Thanh toán đợt 2 theo hợp đồng số HN/260201/004 ký ngày 16/01/2026 HĐ số 164</t>
  </si>
  <si>
    <t>Đợt 2 theo hợp đồng số HN/260201/004 ký ngày 16/01/2026 và Biên bản nghiệm thu và thanh lý hợp đồng kèm theo Thanh toán đợt 2 theo hợp đồng số HN/260201/004 ký ngày 16/01/2026 HĐ số 164</t>
  </si>
  <si>
    <t>Chi phí tiếp khách, ngoại giao HĐ số 118390</t>
  </si>
  <si>
    <t>Thanh toán Chi phí tiếp khách, ngoại giao HĐ số 118390</t>
  </si>
  <si>
    <t>Chi phí tiếp khách, ngoại giao HĐ số 348</t>
  </si>
  <si>
    <t>Chi phí tiếp khách, ngoại giao HĐ số 1370</t>
  </si>
  <si>
    <t>Thanh toán Chi phí tiếp khách, ngoại giao HĐ số 1370</t>
  </si>
  <si>
    <t>Chi phí tiếp khách, ngoại giao HĐ số 87641</t>
  </si>
  <si>
    <t>Thanh toán Chi phí tiếp khách, ngoại giao HĐ số 87641</t>
  </si>
  <si>
    <t>Chi phí tiếp khách, ngoại giao HĐ số 1144</t>
  </si>
  <si>
    <t>Thanh toán Chi phí tiếp khách, ngoại giao HĐ số 1144</t>
  </si>
  <si>
    <t>Chi phí tiếp khách, ngoại giao HĐ số 1724</t>
  </si>
  <si>
    <t>Thanh toán Chi phí tiếp khách, ngoại giao HĐ số 1724</t>
  </si>
  <si>
    <t>Điều chỉnh giảm Dịch vụ quảng cáo và truyền thông cho nhãn hàng MURAD theo Hợp đồng số 682601202606/HDDV/RV/KOL ký ngày 26/01/2026 (Đợt 2) HĐ số 8</t>
  </si>
  <si>
    <t>Nhận chuyển khoản khác</t>
  </si>
  <si>
    <t>Hoàn chuyển khoản</t>
  </si>
  <si>
    <t>Thanh toán Dịch vụ truyền thông quảng cáo cho sự kiện theo hợp đồng số : 230126/KMEDIA/DVMEDIA ký ngày 23/01/2026 HĐ số 24</t>
  </si>
  <si>
    <t>Nhận Phí dịch vụ sử dụng hình ảnh theo Hợp đồng số 20260101/CHCD-CO&amp;KLEAR ký ngày 01/01/2026 HĐ số 2</t>
  </si>
  <si>
    <t>Nhận Dịch vụ quảng cáo và truyền thông theo Hợp đống số 150126/HDDV/DF-ACT-NVD ký kết ngày 15/01/2026 và Biên bản nghiệm thu ký ngày 30/01/2026 HĐ số 1</t>
  </si>
  <si>
    <t>Nhận Phí sử dụng hình ảnh theo Hợp đồng số 20260101/CHCD-DERMAX ký ngày 01/01/2026 HĐ số 4</t>
  </si>
  <si>
    <t>Nhận Dịch vụ quảng cáo và truyền thông theo Hợp đồng số 04022026/CHCD-ZAKKA ký ngày 04/02/2026 và Biên bản nghiệm thu ký ngày 09/02/2026 HĐ số 6</t>
  </si>
  <si>
    <t>Thanh toán không hóa đơn</t>
  </si>
  <si>
    <t>Nhận Dịch vụ quảng cáo và truyền thông cho nhãn hàng MURAD theo Hợp đồng số 682601202606/HDDV/RV/KOL ký ngày 26/01/2026 (Đợt 2) kèm Biên bản nghiệm thu và thanh lý ký ngày 17/03/2026 HĐ số 8</t>
  </si>
  <si>
    <t>Nhận Dịch vụ quảng cáo và truyền thông theo Hợp đồng số 20260115/CHCD-MAKE P:REM ký ngày 15/01/2026 và Biên bản nghiệm thu ký ngày 05/02/2026 HĐ số 5</t>
  </si>
  <si>
    <t>Nhận Dịch vụ quảng cáo và truyền thông theo Hợp đồng số 26.01.2026/HDQC-DEVEE ký ngày 19/01/2026 và Biên bản nghiệm thu ký ngày 04/02/2026 HĐ số 3</t>
  </si>
  <si>
    <t>Thanh toán Chi phí tiếp khách, ngoại giao số 8254</t>
  </si>
  <si>
    <t>Chi phí không hóa đơn</t>
  </si>
  <si>
    <t>Thanh toán Thu lãi HĐ số 37913</t>
  </si>
  <si>
    <t>Thanh toán Thu lãi HĐ số 38060</t>
  </si>
  <si>
    <t>Thanh toán BUFFET 319K HĐ số 335</t>
  </si>
  <si>
    <t>Thanh toán Khăn lạnh
SUẤT BUFFET TRƯA T2 - T6_525K
Nước soda chanh HĐ số 1225</t>
  </si>
  <si>
    <t>Thanh toán Bánh xèo hải sản
Cơm chiên rong biển
Dưa leo
Khăn lạnh
Món set cho 2 khách - Couple Course
Nước ngọt coca cola
Sườn Bò LA HĐ số 768</t>
  </si>
  <si>
    <t>Thanh toán Coca Cola Lon 320ml
Trà thảo mộc Wang lao ji 300ml
Đậu tuyết HK
Trà Cam Quế Hồng Đài
Set Lẩu Song Phúc
Thịt Giai Yên
Khăn Cuộn Lạnh HĐ số 249556</t>
  </si>
  <si>
    <t>Thanh toán Phí dịch vụ tư vấn tháng 01/2026 HĐ số 63</t>
  </si>
  <si>
    <t>Thanh toán Phí dịch vụ tư vấn tháng 01/2026 HĐ số 64</t>
  </si>
  <si>
    <t>Thanh toán Cơm chiên rong biển
Món set cho 2 khách - Couple Course
Sườn Bò LA
Xà lách cá trích ép trứng HĐ số 2565</t>
  </si>
  <si>
    <t>Thanh toán 8092450512612 / HAN9GSGN HĐ số 13038</t>
  </si>
  <si>
    <t>Thanh toán Phí dịch vụ tư vấn tháng 02/2026 HĐ số 86</t>
  </si>
  <si>
    <t>Thanh toán Thu lãi HĐ số 9513022</t>
  </si>
  <si>
    <t>Thanh toán Thu lãi HĐ số 9513023</t>
  </si>
  <si>
    <t>Thanh toán Vé máy bay quốc nội
HAN SGN  HĐ số 49308</t>
  </si>
  <si>
    <t>Điều chỉnh giảm Dịch vụ quảng cáo và truyền thông theo Hợp đồng số 01122025HDDVLUONGLEEKLAIRS ký ngày 01/12/2025 và Biên bản nghiệm thu ký ngày 07/01/2026 HĐ số 1</t>
  </si>
  <si>
    <t>Điều chỉnh giảm Dịch vụ quảng cáo và truyền thông theo Hợp đồng số 91/2026/LINK-LUONGLEE ký ngày 09/01/2026 và Biên bản nghiệm thu ký ngày 10/01/2026 HĐ số 2</t>
  </si>
  <si>
    <t>Điều chỉnh giảm Dịch vụ quảng cáo và truyền thông theo Hợp đồng số 8691202608/HDDV/RV/KOL ký ngày 09/11/2025 HĐ số 3</t>
  </si>
  <si>
    <t>Điều chỉnh giảm Dịch vụ quảng cáo và truyền thông theo Hợp đồng số 01-0201/2026/HĐDV/MKG-LUONGLEE ký ngày 02/01/2026 và Biên bản nghiệm thu ký ngày 14/01/2026 HĐ số 4</t>
  </si>
  <si>
    <t>Điều chỉnh giảm Dịch vụ quảng cáo và truyền thông theo Hợp đồng số HKD LUONGLEE_3BRO1_UV COOLING - ON TOP [T1]_260002_004 ký ngày 01/01/2026 và Biên bản nghiệm thu ký ngày 15/01/2026 HĐ số 5</t>
  </si>
  <si>
    <t>Điều chỉnh giảm Dịch vụ quảng cáo và truyền thông theo Hợp đồng số 23012026/MKT-KOC ký ngày 23/01/2026 và Biên bản nghiệm thu ký ngày 09/02/2026 HĐ số 6</t>
  </si>
  <si>
    <t>Điều chỉnh giảm Dịch vụ quảng cáo và truyền thông theo Hợp đồng số 20260212/HĐDV/MDPEEL12/SANAxLUONGLEE ký ngày 12/02/2026 HĐ số 7</t>
  </si>
  <si>
    <t>Điều chỉnh giảm Dịch vụ quảng cáo và truyền thông theo Hợp đồng số 050226/HĐDV/PJSB ký ngày 05/02/2026 kèm Biên bản nghiệm thu ký ngày 23/02/2026 HĐ số 8</t>
  </si>
  <si>
    <t>Điều chỉnh giảm Dịch vụ quảng cáo và truyền thông theo Hợp đồng số HKD LUONGLEE_3BRO1_GARNIER MOCHI CAMP FEB_260107_012 ký ngày 12/02/2026 và Biên bản nghiệm thu ký ngày 03/03/2026 HĐ số 9</t>
  </si>
  <si>
    <t>Điều chỉnh giảm Dịch vụ quảng cáo và truyền thông theo Hợp đồng số 260130/HDDV/BRAINAD-HKD LUONGLEE ký ngày 30/01/2026 và Biên bản nghiệm thu ký ngày 04/03/2026 HĐ số 10</t>
  </si>
  <si>
    <t>Điều chỉnh giảm Dịch vụ quảng cáo và truyền thông theo Hợp đồng số 20260228/AHOHWA x LUONGLEE ký ngày 28/02/2026 và Biên bản nghiệm thu ký ngày 17/03/2026 HĐ số 11</t>
  </si>
  <si>
    <t>Điều chỉnh giảm Dịch vụ quảng cáo và truyền thông theo Hợp đồng số 01032026HDDVLUONGLEEDIV ký ngày 01/03/2026 và Biên bản nghiệm thu ký ngày 20/03/2026 HĐ số 12</t>
  </si>
  <si>
    <t>Điều chỉnh giảm Dịch vụ quảng cáo và truyền thông theo Hợp đồng số 2303-26/HPG-LUONGLEE ký ngày 23/03/2026 (Đợt 1) HĐ số 13</t>
  </si>
  <si>
    <t>Điều chỉnh giảm Dịch vụ quảng cáo truyền thông theo Hợp đồng số: 260304/HDDV/BRAINAD-LUONGLEE dự án Lactacyd 2026 IWD campaign (BA409) ký ngày 04/3/2026 HĐ số 14</t>
  </si>
  <si>
    <t>Điều chỉnh giảm Dịch vụ quảng cáo và truyền thông theo Hợp đồng số T03MPD26HDDV-0135-1919 LUONGLEE ký ngày 15/03/2025 và Biên bản nghiệm thu ký ngày 26/03/2026 HĐ số 15</t>
  </si>
  <si>
    <t>Điều chỉnh giảm Dịch vụ quảng cáo và truyền thông theo Hợp đồng số 260310/HDDV/BRAINAD-LUONGLEE ký ngày 10/03/2026 kèm Biên bản nghiệm thu ký ngày 27/03/2026 HĐ số 16</t>
  </si>
  <si>
    <t>Điều chỉnh giảm Dịch vụ quảng cáo và truyền thông theo Hợp đồng số 01032026HDDVLUONGLEEMANYO ký ngày 01/03/2026 và Biên bản nghiệm thu ký ngày 30/03/2026 HĐ số 17</t>
  </si>
  <si>
    <t>Nhận Dịch vụ quảng cáo và truyền thông theo Hợp đồng số 01122025HDDVLUONGLEEKLAIRS ký ngày 01/12/2025 và Biên bản nghiệm thu ký ngày 07/01/2026 HĐ số 1</t>
  </si>
  <si>
    <t>Nhận Doanh thu Dịch vụ quảng cáo và truyền thông theo Hợp đồng số 02/2025/HDDV-MKT-HT-KOL ký ngày 03/12/2025 và Biên bản nghiệm thu ký ngày 30/12/2025 HĐ số 30</t>
  </si>
  <si>
    <t>Nhận Doanh thu Dịch vụ quảng cáo và truyền thông theo Hợp đồng số HKD LUONGLEE_ GARNIER_ON_TOP_01102025 ký ngày 01/10/2025 và Biên bản nghiệm thu ký ngày 16/10/2025 HĐ số 12</t>
  </si>
  <si>
    <t>Nhận Doanh thu Dịch vụ quảng cáo và truyền thông cho nhãn hàng MURAD theo Hợp đồng số 682709202503/HDDV/RV/KOL ký ngày 27/09/2025 và Biên bản nghiệm thu ký ngày 22/12/2025 HĐ số 25</t>
  </si>
  <si>
    <t>Nhận Doanh thu Dịch vụ quảng cáo và truyền thông cho nhãn hàng GEMO theo Hợp đồng số 681111202508/HDDV/RV/KOL ký ngày 11/11/2025 và Biên bản nghiệm thu ký ngày 23/12/2025 HĐ số 26</t>
  </si>
  <si>
    <t>Nhân Dịch vụ quảng cáo và truyền thông theo Hợp đồng số 8691202608/HDDV/RV/KOL ký ngày 09/11/2025 HĐ số 3</t>
  </si>
  <si>
    <t>Nhận Dịch vụ quảng cáo và truyền thông theo Hợp đồng số 01-0201/2026/HĐDV/MKG-LUONGLEE ký ngày 02/01/2026 và Biên bản nghiệm thu ký ngày 14/01/2026 HĐ số 4</t>
  </si>
  <si>
    <t>Nhận Doanh thu Dịch vụ quảng cáo và truyền thông theo Hợp đồng số 20251112/AZEDxLUONGLEE ký ngày 12/11/2025 và Biên bản nghiệm thu ký ngày 29/12/2025 HĐ số 29</t>
  </si>
  <si>
    <t>Nhận Dịch vụ quảng cáo và truyền thông theo Hợp đồng số 91/2026/LINK-LUONGLEE ký ngày 09/01/2026 và Biên bản nghiệm thu ký ngày 10/01/2026 HĐ số 2</t>
  </si>
  <si>
    <t>Nhận Dịch vụ quảng cáo và truyền thông theo Hợp đồng số 23012026/MKT-KOC ký ngày 23/01/2026 và Biên bản nghiệm thu ký ngày 09/02/2026 HĐ số 6</t>
  </si>
  <si>
    <t>Nhận Dịch vụ quảng cáo và truyền thông theo Hợp đồng số 20260212/HĐDV/MDPEEL12/SANAxLUONGLEE ký ngày 12/02/2026 HĐ số 7</t>
  </si>
  <si>
    <t>Nhận Dịch vụ quảng cáo và truyền thông theo Hợp đồng số 050226/HĐDV/PJSB ký ngày 05/02/2026 kèm Biên bản nghiệm thu ký ngày 23/02/2026 HĐ số 8</t>
  </si>
  <si>
    <t>Nhận Dịch vụ quảng cáo và truyền thông theo Hợp đồng số HKD LUONGLEE_3BRO1_UV COOLING - ON TOP [T1]_260002_004 ký ngày 01/01/2026 và Biên bản nghiệm thu ký ngày 15/01/2026 HĐ số 5</t>
  </si>
  <si>
    <t>Nhận Dịch vụ quảng cáo và truyền thông theo Hợp đồng số 01032026HDDVLUONGLEEDIV ký ngày 01/03/2026 và Biên bản nghiệm thu ký ngày 20/03/2026 HĐ số 12</t>
  </si>
  <si>
    <t>Nhận Dịch vụ quảng cáo và truyền thông theo Hợp đồng số 2303-26/HPG-LUONGLEE ký ngày 23/03/2026 (Đợt 1) HĐ số 13</t>
  </si>
  <si>
    <t>Nhận Dịch vụ quảng cáo và truyền thông theo Hợp đồng số 260130/HDDV/BRAINAD-HKD LUONGLEE ký ngày 30/01/2026 và Biên bản nghiệm thu ký ngày 04/03/2026 HĐ số 10</t>
  </si>
  <si>
    <t>Thanh toán Chi phí tiếp khách, ngoại giao HĐ số 675</t>
  </si>
  <si>
    <t>Thanh toán Chi phí tiếp khách, ngoại giao HĐ số 5338</t>
  </si>
  <si>
    <t>Thanh toán Chi phí tiếp khách, ngoại giao HĐ số 10358</t>
  </si>
  <si>
    <t>Chi phí tiếp khách, ngoại giao HĐ số 675</t>
  </si>
  <si>
    <t>Chi phí tiếp khách, ngoại giao HĐ số 5338</t>
  </si>
  <si>
    <t>Chi phí tiếp khách, ngoại giao HĐ số 10358</t>
  </si>
  <si>
    <t>Thu không rõ đối tượng</t>
  </si>
  <si>
    <t>Thanh toán Phí dịch vụ tư vấn tháng 12/2025 HĐ số 1</t>
  </si>
  <si>
    <t>Thanh toán Bồi dưỡng nghiệp vụ Livestream khóa 03 (T1.2026) HĐ số 21</t>
  </si>
  <si>
    <t>Thanh toán Phí dịch vụ tư vấn tháng 01/2026 HĐ số 61</t>
  </si>
  <si>
    <t>Thanh toán Bánh Tết 2026 - Combo 2 hộp bánh - Set A
Thu hộ Phí giao hàng
FA269056 HĐ số 20969</t>
  </si>
  <si>
    <t>Thanh toán Cước dịch vụ vận chuyển khách du lịch Hồ Chí Minh - Khánh Hòa ngày 18/02/2026, biển kiểm soát 50F-052.71 HĐ số 4506</t>
  </si>
  <si>
    <t>Thanh toán Cước phí vận chuyển mã 01KJ3WX726N1MNQF5XNVR6M2DW HĐ số 15927217</t>
  </si>
  <si>
    <t>Thanh toán Vé máy bay_Mã đặt chỗ 1332974290/ SGN_VCS, VCS_SGN HĐ số 6822</t>
  </si>
  <si>
    <t>Thanh toán Phí dịch vụ tư vấn tháng 02/2026 HĐ số 95</t>
  </si>
  <si>
    <t>Thanh toán Speedcat Ballet SD Cafe Wns Dark Chocolate-Warm White HĐ số 4718</t>
  </si>
  <si>
    <t>Điều chỉnh giảm Dịch vụ quảng cáo và truyền thông theo Hợp đồng số HD0512/2025/HDDV/PMB-BK ký ngày 05/12/2025 và Biên bản nghiệm thu ký ngày 09/01/2026 HĐ số 1</t>
  </si>
  <si>
    <t>Điều chỉnh giảm Dịch vụ quảng cáo và truyền thông theo Hợp đồng số HD1012/2025/HDDV/PMB-BK ký ngày 10/12/2025 (Đợt 2) và Biên bản nghiệm thu ký ngày 04/02/2026 HĐ số 2</t>
  </si>
  <si>
    <t>Điều chỉnh giảm Dịch vụ quảng cáo và truyền thông theo Hợp đồng số 007-26/HDDV/MS-MKT-[HCM]-GIGI ký ngày 28/01/2026 và Biên bản nghiệm thu ký ngày 06/02/2026 HĐ số 3</t>
  </si>
  <si>
    <t>Điều chỉnh giảm Dịch vụ quảng cáo và truyền thông theo Hợp đồng số HD0501/2026/HDDV/PMB-BK ký ngày 05/01/2026 và Biên bản nghiệm thu ký ngày 09/02/2026 HĐ số 4</t>
  </si>
  <si>
    <t>Điều chỉnh giảm Dịch vụ quảng cáo và truyền thông theo Hợp đồng số PAP-KOLPUMETBAY/EVENTNDA/2202 ký ngày 22/02/2026 kèm Biên bản nghiệm thu và thanh lý ký ngày 11/03/2026 HĐ số 6</t>
  </si>
  <si>
    <t>Điều chỉnh giảm Dịch vụ quảng cáo và truyền thông theo Hợp đồng số PAP-KOLPUMETBAY/LOCALLAUNCH/2202 ký ngày 22/02/2026 kèm Biên bản nghiệm thu và thanh lý ký ngày 11/03/2026 HĐ số 7</t>
  </si>
  <si>
    <t>Điều chỉnh giảm Dịch vụ quảng cáo và truyền thông theo Hợp đồng số PAP-KOLPUPHAM/JOYGROUP/T2/0502 ký ngày 05/02/2026 kèm Biên bản nghiệm thu và thanh lý ký ngày 11/03/2026 HĐ số 5</t>
  </si>
  <si>
    <t>Điều chỉnh giảm Dịch vụ quảng cáo và truyền thông theo Hợp đồng số HD0502/2026/HDDV/PMB-BK ký ngày 05/02/2026 và Biên bản nghiệm thu ký ngày 12/03/2026 HĐ số 8</t>
  </si>
  <si>
    <t>Điều chỉnh giảm Dịch vụ quảng cáo và truyền thông theo Hợp đồng số 02/WMVN-KOCEYESME10112026 ký ngày 10/03/2026 HĐ số 9</t>
  </si>
  <si>
    <t>Điều chỉnh giảm Dịch vụ quảng cáo và truyền thông theo Hợp đồng số 010-26/HDDV/MS-MKT-[HCM]-GIGI ký ngày 10/03/2026 và Biên bản nghiệm thu ký ngày 23/03/2026 HĐ số 10</t>
  </si>
  <si>
    <t>Rút tiền gửi nhập quỹ tiền mặt</t>
  </si>
  <si>
    <t>Nhận Doanh thu Dịch vụ quảng cáo và truyền thông theo Hợp đồng số 25122025/HĐ-DVQC2025 ký ngày 19/12/2025 và Biên bản nghiệm thu ký ngày 30/12/2025 HĐ số 10</t>
  </si>
  <si>
    <t>0106857676</t>
  </si>
  <si>
    <t>Nhận Doanh thu Dịch vụ quảng cáo và truyền thông theo Hợp đồng số AT_001/HĐ/1011_2025_PUMET7 ký ngày 10/11/2025 và Biên bản nghiệm thu ký ngày 08/12/2025 HĐ số 6</t>
  </si>
  <si>
    <t>Nhận Dịch vụ quảng cáo và truyền thông theo Hợp đồng số HD0512/2025/HDDV/PMB-BK ký ngày 05/12/2025 và Biên bản nghiệm thu ký ngày 09/01/2026 HĐ số 1</t>
  </si>
  <si>
    <t>Nộp thuế kinh doanh</t>
  </si>
  <si>
    <t>Nhận Dịch vụ quảng cáo và truyền thông theo Hợp đồng số HD0501/2026/HDDV/PMB-BK ký ngày 05/01/2026 và Biên bản nghiệm thu ký ngày 09/02/2026 HĐ số 4</t>
  </si>
  <si>
    <t>Nhận Dịch vụ quảng cáo và truyền thông theo Hợp đồng số HD1012/2025/HDDV/PMB-BK ký ngày 10/12/2025 (Đợt 2) và Biên bản nghiệm thu ký ngày 04/02/2026 HĐ số 2</t>
  </si>
  <si>
    <t>Nộp tiền BHXH</t>
  </si>
  <si>
    <t>Nhận Dịch vụ quảng cáo và truyền thông theo Hợp đồng số 007-26/HDDV/MS-MKT-[HCM]-GIGI ký ngày 28/01/2026 và Biên bản nghiệm thu ký ngày 06/02/2026 HĐ số 3</t>
  </si>
  <si>
    <t>Nhận Dịch vụ quảng cáo và truyền thông theo Hợp đồng số HD0502/2026/HDDV/PMB-BK ký ngày 05/02/2026 và Biên bản nghiệm thu ký ngày 12/03/2026 HĐ số 8</t>
  </si>
  <si>
    <t>Nhận Dịch vụ quảng cáo và truyền thông theo Hợp đồng số 02/WMVN-KOCEYESME10112026 ký ngày 10/03/2026 HĐ số 9</t>
  </si>
  <si>
    <t>Nhận Dịch vụ quảng cáo và truyền thông theo Hợp đồng số PAP-KOLPUPHAM/JOYGROUP/T2/0502 ký ngày 05/02/2026 kèm Biên bản nghiệm thu và thanh lý ký ngày 11/03/2026 HĐ số 5</t>
  </si>
  <si>
    <t>Thanh toán Chi phí tiếp khách, ngoại giao HĐ số 5251</t>
  </si>
  <si>
    <t>Chi phí tiếp khách, ngoại giao HĐ số 5251</t>
  </si>
  <si>
    <t>0313248400</t>
  </si>
  <si>
    <t>0107287436</t>
  </si>
  <si>
    <t>Nhận Doanh thu Dịch vụ quảng cáo và truyền thông theo Hợp đồng số MK-NLHL-2501/HDDV ký ngày 01/12/2025 và Biên bản nghiệm thu ký ngày 31/12/2025 HĐ số 59</t>
  </si>
  <si>
    <t>Nhận Doanh thu Phí sử dụng hình ảnh theo Hợp đồng số AMV/ONG THI BA LONG/CAM0075784/CANESBALANCE HCP/Service Contract/2025-0113P ký ngày 06/11/2025 và Biên bản nghiệm thu ký ngày 30/12/2025 HĐ số 57</t>
  </si>
  <si>
    <t>0111024165</t>
  </si>
  <si>
    <t>Nhận Doanh thu Dịch vụ quảng cáo và truyền thông theo Hợp đồng số 2025/HDDV/VTM-OTBL-MILO ký ngày 06/11/2025 và Biên bản nghiệm thu ký ngày 18/12/2025 HĐ số 52</t>
  </si>
  <si>
    <t>Nhận Dịch vụ quảng cáo và truyền thông theo Hợp đồng số 026/2026/HDDV/OQR ký ngày 10/01/2026 kèm Biên bản nghiệm thu và thanh lý hợp đồng ký ngày 15/01/2026 HĐ số 1</t>
  </si>
  <si>
    <t>Nhận Doanh thu Thanh toán 100% dịch vụ quảng cáo dự án DOVE XMAS 2025 theo BBTL của hợp đồng số HĐ/3829/2025/METUB ký ngày 17/12/2025 HĐ số 55</t>
  </si>
  <si>
    <t>0111143204</t>
  </si>
  <si>
    <t>Nhận Doanh thu Dịch vụ quảng cáo và truyền thông theo Hợp đồng số 1912/2025/HDDV/ PNT ký ngày 19/12/2025 HĐ số 53</t>
  </si>
  <si>
    <t>0000000004</t>
  </si>
  <si>
    <t>0100150619</t>
  </si>
  <si>
    <t>Nộp Thuế GTGT, TNCN Q4/2025</t>
  </si>
  <si>
    <t>0108164853</t>
  </si>
  <si>
    <t>Nhận Doanh thu Phí dịch vụ theo Hợp đồng số 01112025/HDDV/BOXVN-OTBL ký ngày 01/11/2025 kèm Biên bản nghiệm thu và thanh lý Hợp đồng HĐ số 48</t>
  </si>
  <si>
    <t>0315346763</t>
  </si>
  <si>
    <t>Nhận Doanh thu Dịch vụ quảng cáo và truyền thông theo Hợp đồng số QC81111225-PANASONIC-SHARET-ONGTHIBALONG ký ngày 11/12/2025 và Biên bản nghiệm thu ký ngày 31/12/2025 HĐ số 58</t>
  </si>
  <si>
    <t>Nhận Dịch vụ quảng cáo và truyền thông theo Hợp đồng số PLAYAH/KOC/250126/Hộ Kinh Doanh Nguyễn Lê Hoàng Long ký ngày 22/01/2026 HĐ số 2</t>
  </si>
  <si>
    <t>Nhận Dịch vụ quảng cáo và truyền thông theo Hợp đồng số GG-TC2026-HW-MIL-02 ký ngày 12/01/2026 kèm Biên bản nghiệm thu và thanh lý ký ngày 04/02/2026 HĐ số 3</t>
  </si>
  <si>
    <t>0314868245</t>
  </si>
  <si>
    <t>Nhận Doanh thu Dịch vụ quảng cáo và truyền thông theo Hợp đồng số 112025/HĐDV-OTBL-SS ký ngày 30/11/2025 và Biên bản nghiệm thu ký ngày 31/12/2025 HĐ số 60</t>
  </si>
  <si>
    <t>Nhận Doanh thu Dịch vụ quảng cáo và truyền thông theo Hợp đồng số 24102025/HĐDV-ZEE-C2-ÔNG THỈ BÀ LONG ký ngày 24/10/2025 và Biên bản nghiệm thu ký ngày 18/12/2025 HĐ số 50</t>
  </si>
  <si>
    <t>Nhận Doanh thu Dịch vụ quảng cáo và truyền thông theo Hợp đồng số AMV/ÔNG THỈ BÀ LONG/CAM0074142/SHELL Q4 PROMO/Service Contract/2025-0040P HĐ số 62</t>
  </si>
  <si>
    <t>Nhận Doanh thu Dịch vụ quảng cáo và truyền thông theo Hợp đồng số AMV/ÔNG THỈ BÀ LONG/CAM0074911/Omnicom-Philips/Service Contract/2025-0048P HĐ số 61</t>
  </si>
  <si>
    <t>0316906263</t>
  </si>
  <si>
    <t>Nhận Doanh thu Dịch vụ quảng cáo và truyền thông theo Hợp đồng số ATV/ÔNG THỈ BÀ LONG/CAM0075849/DUREX POME NOV25/Service Contract/2025-0016P HĐ số 54</t>
  </si>
  <si>
    <t>Nhận Dịch vụ quảng cáo và truyền thông theo Hợp đồng số 090226/JEE-ONGTHIBALONG ký ngày 09/02/2026 HĐ số 6</t>
  </si>
  <si>
    <t>Nộp BXHH</t>
  </si>
  <si>
    <t>Nhận 100% phí dịch vụ quảng cáo và truyền thông theo hợp đồng và Biên bản nghiệm thu PO số 3152103280 HĐ số 8</t>
  </si>
  <si>
    <t>Nhận Dịch vụ quảng cáo và truyền thông theo Hợp đồng số AMV/ÔTBL/CAM0078632/PEPSI TET 2026/SC/2026-0479P ký ngày 08/02/2026 kèm Biên bản nghiệm thu thanh lý ký ngày 02/03/2026 HĐ số 9</t>
  </si>
  <si>
    <t>Nhận Dịch vụ quảng cáo và truyền thông theo Hợp đồng số ABB-CYAN-OTBL-240226 ký ngày 24/02/2026 kèm Biên bản nghiệm thu và thanh lý ký ngày 22/03/2026 HĐ số 12</t>
  </si>
  <si>
    <t>0319444930</t>
  </si>
  <si>
    <t>Nhận Doanh thu dịch vụ quảng cáo</t>
  </si>
  <si>
    <t>Nhận Dịch vụ quảng cáo và truyền thông theo Phụ lục 01 Hợp đồng số 13032026/HDDV/SK-ONGTHIBALONG ký ngày 13/03/2026 HĐ số 14</t>
  </si>
  <si>
    <t>Nhận Doanh thu Dịch vụ quảng cáo và truyền thông theo Hợp đồng số HDDVQC/20251110/MANNY&amp;ONGTHIBALONG ký ngày 10/11/2025 (Đợt 2) HĐ số 56</t>
  </si>
  <si>
    <t>Chi phí tiếp khách, ngoại giao HĐ số 243</t>
  </si>
  <si>
    <t>Chi phí tiếp khách, ngoại giao HĐ số 130</t>
  </si>
  <si>
    <t>Chi phí tiếp khách, ngoại giao HĐ số 2141</t>
  </si>
  <si>
    <t>Chi phí tiếp khách, ngoại giao HĐ số 3362</t>
  </si>
  <si>
    <t>Điều chỉnh nội dung từ &amp;quot;Dịch vụ quảng cáo và truyền thông theo Hợp đồng số AMV/ÔNG THỈ BÀ LONG/CAM0074142/SHELL Q4 PROMO/Service Contract/2025-0040P ký ngày 01/12/2025 HĐ số 4</t>
  </si>
  <si>
    <t>Điều chỉnh giảm Dịch vụ quảng cáo và truyền thông theo Hợp đồng số 026/2026/HDDV/OQR ký ngày 10/01/2026 kèm Biên bản nghiệm thu và thanh lý hợp đồng ký ngày 15/01/2026 HĐ số 1</t>
  </si>
  <si>
    <t>Điều chỉnh giảm Dịch vụ quảng cáo và truyền thông theo Hợp đồng số PLAYAH/KOC/250126/Hộ Kinh Doanh Nguyễn Lê Hoàng Long ký ngày 22/01/2026 HĐ số 2</t>
  </si>
  <si>
    <t>Điều chỉnh giảm Dịch vụ quảng cáo và truyền thông theo Hợp đồng số GG-TC2026-HW-MIL-02 ký ngày 12/01/2026 kèm Biên bản nghiệm thu và thanh lý ký ngày 04/02/2026 HĐ số 3</t>
  </si>
  <si>
    <t>Điều chỉnh giảm Điều chỉnh nội dung từ &amp;quot;Dịch vụ quảng cáo và truyền thông theo Hợp đồng số AMV/ÔNG THỈ BÀ LONG/CAM0074142/SHELL Q4 PROMO/Service Contract/2025-0040P ký ngày 01/12/2025 HĐ số 4</t>
  </si>
  <si>
    <t>Điều chỉnh giảm Dịch vụ quảng cáo và truyền thông theo Hợp đồng số 090226/JEE-ONGTHIBALONG ký ngày 09/02/2026 HĐ số 5</t>
  </si>
  <si>
    <t>Điều chỉnh giảm Dịch vụ quảng cáo và truyền thông theo Hợp đồng số 090226/JEE-ONGTHIBALONG ký ngày 09/02/2026 HĐ số 6</t>
  </si>
  <si>
    <t>Điều chỉnh giảm Điều chỉnh giảm mặt hàng Dịch vụ quảng cáo và truyền thông theo Hợp đồng số 090226/JEE-ONGTHIBALONG ký ngày 09/02/2026 HĐ số 7</t>
  </si>
  <si>
    <t>Điều chỉnh giảm 100% phí dịch vụ quảng cáo và truyền thông theo hợp đồng và Biên bản nghiệm thu PO số 3152103280 HĐ số 8</t>
  </si>
  <si>
    <t>Điều chỉnh giảm Dịch vụ quảng cáo và truyền thông theo Hợp đồng số AMV/ÔTBL/CAM0078632/PEPSI TET 2026/SC/2026-0479P ký ngày 08/02/2026 kèm Biên bản nghiệm thu thanh lý ký ngày 02/03/2026 HĐ số 9</t>
  </si>
  <si>
    <t>Điều chỉnh giảm Dịch vụ quảng cáo và truyền thông theo Hợp đồng số AMV/ÔTBL.02/CAM0078632/PEPSI TET 2026/SC/2026-0637P ký ngày 25/01/2026 kèm Biên bản nghiệm thu thanh lý ký ngày 12/03/2026 HĐ số 10</t>
  </si>
  <si>
    <t>Điều chỉnh giảm Dịch vụ quảng cáo và truyền thông theo Hợp đồng số MSS-NLHL/030226/HDDV ký ngày 03/02/2026 và Biên bản nghiệm thu ký ngày 16/03/2026 HĐ số 11</t>
  </si>
  <si>
    <t>Điều chỉnh giảm Dịch vụ quảng cáo và truyền thông theo Hợp đồng số ABB-CYAN-OTBL-240226 ký ngày 24/02/2026 kèm Biên bản nghiệm thu và thanh lý ký ngày 22/03/2026 HĐ số 12</t>
  </si>
  <si>
    <t>Điều chỉnh giảm Dịch vụ quảng cáo và truyền thông cho nhãn hàng Roger &amp; Gallet theo Hợp đồng số 681901202601/HDDV/RV/KOL ký ngày 19/01/2026 kèm Biên bản nghiệm thu &amp; thanh lý ký ngày 24/03/2026 HĐ số 13</t>
  </si>
  <si>
    <t>Điều chỉnh giảm Dịch vụ quảng cáo và truyền thông theo Phụ lục 01 Hợp đồng số 13032026/HDDV/SK-ONGTHIBALONG ký ngày 13/03/2026 HĐ số 14</t>
  </si>
  <si>
    <t>Điều chỉnh giảm Dịch vụ quảng cáo và truyền thông theo Hợp đồng số 15012026_HĐDV-HUNGTHINH-ONGTHIBALONG ký ngày 15/01/2026 HĐ số 15</t>
  </si>
  <si>
    <t>Thanh toán AO AO KHOAC HĐ số 2164</t>
  </si>
  <si>
    <t>Thanh toán Phí dịch vụ tư vấn tháng 12/2025 HĐ số 32</t>
  </si>
  <si>
    <t>Thanh toán Phí dịch vụ tư vấn tháng 01/2026 HĐ số 60</t>
  </si>
  <si>
    <t>Thanh toán KEM NEN (TE GLOWPACT VD26 BR20) (F8633100) HĐ số 12344</t>
  </si>
  <si>
    <t>Thanh toán Phí dịch vụ ngân hàng HĐ số 7358930</t>
  </si>
  <si>
    <t>Thanh toán Phí dịch vụ tư vấn tháng 02/2026 HĐ số 69</t>
  </si>
  <si>
    <t>Điều chỉnh giảm Dịch vụ quảng cáo và truyền thông theo Hợp đồng số 05012026/BH-HDO ký ngày 05/01/2026 (Đợt 1) HĐ số 1</t>
  </si>
  <si>
    <t>Điều chỉnh giảm Dịch vụ quảng cáo và truyền thông theo Hợp đồng số HDDVQC/20251201/MANNY&amp;BEDANG ký ngày 01/12/2025 và Biên bản nghiệm thu kèm thanh lý ký ngày 13/01/2026 HĐ số 2</t>
  </si>
  <si>
    <t>Điều chỉnh giảm Thanh toán 100% phí dịch vụ OAP - Glyco Repush PO4001538152 - Video - Scope 3 - 3001 SOW số 35375/2025/WPP-BTL-LO ID Tiktok: bedangbae HĐ số 3</t>
  </si>
  <si>
    <t>Điều chỉnh giảm Thanh toán 100% phí dịch vụ OAP - Amino Micellar - Video - Scope 3 - 3001 SOW số 35721/2025/WPP-BTL-LO ID Tiktok: bedangbae HĐ số 6</t>
  </si>
  <si>
    <t>Điều chỉnh giảm Thanh toán 100% phí dịch vụ MNY - BABY CUSHION - VIDEO - SCOPE 3 - 3001 SOW số 35446/2025/WPP-BTL-LO ID Tiktok: bedangbae HĐ số 5</t>
  </si>
  <si>
    <t>Điều chỉnh giảm Dịch vụ quảng cáo và truyền thông theo Hợp đồng số 281125/HĐDV/WONJIN/BEDANG ký ngày 28/11/2025 và Biên bản nghiệm thu ký ngày 20/01/2026 HĐ số 4</t>
  </si>
  <si>
    <t>Điều chỉnh giảm Thanh toán 100% phí dịch vụ 3CE - KOC Hub Jan - Video - Scope 3 - 300126 SOW số 35242/2025/WPP-BTL-LO ID Tiktok: bedangbae HĐ số 7</t>
  </si>
  <si>
    <t>Điều chỉnh giảm Dịch vụ quảng cáo và truyền thông theo Hợp đồng số 05012026/BH-HDO ký ngày 05/01/2026 (Đợt 2) HĐ số 8</t>
  </si>
  <si>
    <t>Điều chỉnh giảm Dịch vụ quảng cáo và truyền thông theo Hợp đồng số AR-BĐ-191125 ký ngày 28/11/2025 và Biên bản nghiệm thu ký ngày 04/02/2026 HĐ số 9</t>
  </si>
  <si>
    <t>Điều chỉnh giảm Dịch vụ quảng cáo và truyền thông theo Hợp đồng số 241225/HDDV/LAYSIAP3/ICON-HKDHAIDANGOFFICIAL ký ngày 24/12/2025 kèm Biên bản nghiệm thu và thanh lý ký ngày 09/02/2026 HĐ số 10</t>
  </si>
  <si>
    <t>Điều chỉnh giảm Dịch vụ quảng cáo và truyền thông theo Hợp đồng số 090226/HĐDV/WONJIN/BEDANG ký ngày 09/02/2026 và Biên bản nghiệm thu ký ngày 13/02/2026 HĐ số 11</t>
  </si>
  <si>
    <t>Điều chỉnh giảm Dịch vụ quảng cáo và truyền thông theo Hợp đồng số 01022026HDDVBEDANGDALBA ký ngày 01/02/2026 và Biên bản nghiệm thu ký ngày 02/03/2026 HĐ số 12</t>
  </si>
  <si>
    <t>Điều chỉnh giảm Thanh toán 100% phí dịch vụ 3CE - KOC Hub Mar - Video - Scope 3 - 300326 SOW số 39402/2025/WPP-BTL-LO ID Tiktok: bedangbae HĐ số 13</t>
  </si>
  <si>
    <t>Điều chỉnh giảm Dịch vụ quảng cáo và truyền thông theo Hợp đồng số 13032026_HĐDV-HUNGTHINH-BEDANG ký ngày 13/03/2026 (Đợt 1) HĐ số 14</t>
  </si>
  <si>
    <t>Điều chỉnh giảm Phí dịch vụ quảng cáo theo Hợp đồng dịch vụ số MDA/20260304/2861 ngày 20/11/2025 và Biên bản nghiệm thu và thanh lý ngày 23/03/2026 HĐ số 15</t>
  </si>
  <si>
    <t>Điều chỉnh giảm Thanh toán 100% phí dịch vụ LRP - UVAir KOL and Derm AWO - Video - Scope 1 - 1004 SOW số 45908/2025/WPP-BTL-LO ID Tiktok: bedangbae HĐ số 17</t>
  </si>
  <si>
    <t>Điều chỉnh giảm Thanh toán 100% phí dịch vụ MNY - CLOUDTOPIA - Event - Scope 2 - 1004 SOW số 45840/2025/WPP-BTL-LO ID Tiktok: bedangbae HĐ số 16</t>
  </si>
  <si>
    <t>Điều chỉnh giảm Dịch vụ quảng cáo và truyền thông theo Hợp đồng số BETHESKIN_SKVSKVN_20260213_bedangbae ký ngày 13/02/2026 kèm Biên bản nghiệm thu ký ngày 31/03/2026 HĐ số 19</t>
  </si>
  <si>
    <t>Điều chỉnh giảm Dịch vụ quảng cáo và truyền thông theo Hợp đồng số HKD THD_3BRO4_C-STORE LIVESTREAM_260133_001 ký ngày 06/03/2026 kèm Biên bản nghiệm thu và thanh lý ký ngày 31/03/2026 HĐ số 18</t>
  </si>
  <si>
    <t>Nhận Doanh thu Dịch vụ quảng cáo và truyền thông theo Hợp đồng số HDDV/BEDANG/BATH&amp;BODYWORKS/07112025 ký ngày 07/11/2025 kèm Biên bản nghiệm thu và thanh lý ký ngày 25/12/2025 HĐ số 18</t>
  </si>
  <si>
    <t>0318288157</t>
  </si>
  <si>
    <t>Nhận Dịch vụ quảng cáo và truyền thông theo Hợp đồng số 281125/HĐDV/WONJIN/BEDANG ký ngày 28/11/2025 và Biên bản nghiệm thu ký ngày 20/01/2026 HĐ số 4</t>
  </si>
  <si>
    <t>0110430703</t>
  </si>
  <si>
    <t>Nhận Doanh thu Dịch vụ quảng cáo và truyền thông theo Hợp đồng số 15122025/HĐDV/Hải đăng -TCR ký ngày 31/12/2025 HĐ số 26</t>
  </si>
  <si>
    <t>0316416910</t>
  </si>
  <si>
    <t>Nhận Doanh thu Phí cung cấp dịch vụ quảng cáo theo hợp đồng số HĐ/1820/2025/VNNL ký ngày 16/09/2025 kèm biên bản nghiệm thu và thanh lý ký ngày 12/11/2025 HĐ số 9</t>
  </si>
  <si>
    <t>Nhận Doanh thu Thanh toán 100% phí dịch vụ 3CE - Livestream Dec - Scope 3 -3012 SOW số 32189/2025/WPP-BTL-LO ID Tiktok: bedangbae HĐ số 23</t>
  </si>
  <si>
    <t>Nhận Thanh toán 100% phí dịch vụ OAP - Amino Micellar - Video - Scope 3 - 3001 SOW số 35721/2025/WPP-BTL-LO ID Tiktok: bedangbae HĐ số 6</t>
  </si>
  <si>
    <t>Nhận Thanh toán 100% phí dịch vụ 3CE - KOC Hub Jan - Video - Scope 3 - 300126 SOW số 35242/2025/WPP-BTL-LO ID Tiktok: bedangbae HĐ số 7</t>
  </si>
  <si>
    <t>0318520272</t>
  </si>
  <si>
    <t>Nhận Dịch vụ quảng cáo và truyền thông theo Hợp đồng số AR-BĐ-191125 ký ngày 28/11/2025 và Biên bản nghiệm thu ký ngày 04/02/2026 HĐ số 9</t>
  </si>
  <si>
    <t>Nhận Thanh toán 100% phí dịch vụ MNY - BABY CUSHION - VIDEO - SCOPE 3 - 3001 SOW số 35446/2025/WPP-BTL-LO ID Tiktok: bedangbae HĐ số 5</t>
  </si>
  <si>
    <t>Nhận Dịch vụ quảng cáo và truyền thông theo Hợp đồng số 090226/HĐDV/WONJIN/BEDANG ký ngày 09/02/2026 và Biên bản nghiệm thu ký ngày 13/02/2026 HĐ số 11</t>
  </si>
  <si>
    <t>Nhận Doanh thu Dịch vụ quảng cáo và truyền thông theo Hợp đồng số 01122025.HDDV.SPARKLE.HDO ký ngày 01/12/2025 và Biên bản nghiệm thu ký ngày 08/12/2025 HĐ số 15</t>
  </si>
  <si>
    <t>Nhận Dịch vụ quảng cáo và truyền thông theo Hợp đồng số HDDVQC/20251201/MANNY&amp;BEDANG ký ngày 01/12/2025 và Biên bản nghiệm thu kèm thanh lý ký ngày 13/01/2026 HĐ số 2</t>
  </si>
  <si>
    <t>Nhận Dịch vụ quảng cáo và truyền thông theo Hợp đồng số 01022026HDDVBEDANGDALBA ký ngày 01/02/2026 và Biên bản nghiệm thu ký ngày 02/03/2026 HĐ số 12</t>
  </si>
  <si>
    <t>Nhận Thanh toán 100% phí dịch vụ OAP - Glyco Repush PO4001538152 - Video - Scope 3 - 3001 SOW số 35375/2025/WPP-BTL-LO ID Tiktok: bedangbae HĐ số 3</t>
  </si>
  <si>
    <t>Nhận Dịch vụ quảng cáo và truyền thông theo Hợp đồng số 241225/HDDV/LAYSIAP3/ICON-HKDHAIDANGOFFICIAL ký ngày 24/12/2025 kèm Biên bản nghiệm thu và thanh lý ký ngày 09/02/2026 HĐ số 10</t>
  </si>
  <si>
    <t>0303217354</t>
  </si>
  <si>
    <t>Nhận Dịch vụ quảng cáo và truyền thông theo Hợp đồng số 13032026_HĐDV-HUNGTHINH-BEDANG ký ngày 13/03/2026 (Đợt 1) HĐ số 14</t>
  </si>
  <si>
    <t>Nhận Thanh toán 100% phí dịch vụ 3CE - KOC Hub Mar - Video - Scope 3 - 300326 SOW số 39402/2025/WPP-BTL-LO ID Tiktok: bedangbae HĐ số 13</t>
  </si>
  <si>
    <t>Nhận Thanh toán 100% phí dịch vụ LRP - UVAir KOL and Derm AWO - Video - Scope 1 - 1004 SOW số 45908/2025/WPP-BTL-LO ID Tiktok: bedangbae HĐ số 17</t>
  </si>
  <si>
    <t>Thanh toán Chi phí đồ dùng văn phòng HĐ số 2512172</t>
  </si>
  <si>
    <t>Thanh toán Chi phí đồ dùng văn phòng HĐ số 2543196</t>
  </si>
  <si>
    <t>Thanh toán Chi phí đồ dùng văn phòng HĐ số 2503</t>
  </si>
  <si>
    <t>Thanh toán Chi phí tiếp khách, ngoại giao HĐ số 1316</t>
  </si>
  <si>
    <t>Chi phí tiếp khách, ngoại giao HĐ số 1316</t>
  </si>
  <si>
    <t>Chi phí tiếp khách, ngoại giao HĐ số 12595</t>
  </si>
  <si>
    <t>Chi phí đồ dùng văn phòng HĐ số 2503</t>
  </si>
  <si>
    <t>Chi phí đồ dùng văn phòng HĐ số 2512172</t>
  </si>
  <si>
    <t>Chi phí đồ dùng văn phòng HĐ số 2543196</t>
  </si>
  <si>
    <t>Chi phí đồ dùng văn phòng HĐ số 2540373</t>
  </si>
  <si>
    <t>Thanh toán Chi phí đồ dùng văn phòng HĐ số 2540373</t>
  </si>
  <si>
    <t>Thanh toán Chi phí tiếp khách, ngoại giao HĐ số 12595</t>
  </si>
  <si>
    <t>Nhận Doanh thu Dịch vụ quảng cáo và truyền thông theo Hợp đồng số 122025/HDDV/TOOM/HAIDANG OFFICIAL ký ngày 15/12/2025 và Biên bản nghiệm thu ký ngày 29/12/2025 HĐ số 24</t>
  </si>
  <si>
    <t>0315587494</t>
  </si>
  <si>
    <t>Nhận Dịch vụ quảng cáo và truyền thông theo Hợp đồng số 05012026/BH-HDO ký ngày 05/01/2026 (Đợt 1) HĐ số 1</t>
  </si>
  <si>
    <t>Nhận Dịch vụ quảng cáo và truyền thông theo Hợp đồng số 05012026/BH-HDO ký ngày 05/01/2026 (Đợt 2) HĐ số 8</t>
  </si>
  <si>
    <t>Thanh toán Phí dịch vụ Affiliate 12/2025_17355060002 HĐ số 108325</t>
  </si>
  <si>
    <t>Thanh toán Phí dịch vụ tư vấn tháng 12/2025 HĐ số 12</t>
  </si>
  <si>
    <t>Thanh toán Phí dịch vụ tư vấn tháng 01/2026 HĐ số 49</t>
  </si>
  <si>
    <t>Thanh toán Buffet xèo xèo NL (S) Nước Coca Cola Mighty 650ml HĐ số 337280</t>
  </si>
  <si>
    <t>Thanh toán Phí dịch vụ tư vấn tháng 02/2026 HĐ số 78</t>
  </si>
  <si>
    <t>Thanh toán GIAY DE CAO HĐ số 10506</t>
  </si>
  <si>
    <t>Điều chỉnh giảm Dịch vụ quảng cáo và truyền thông theo Hợp đồng số 15122025/HDDV/VANANH-IDAC ký ngày 15/12/2025 kèm Biên bản nghiệm thu và thanh lý ký ngày 05/01/2026 HĐ số 1</t>
  </si>
  <si>
    <t>Điều chỉnh giảm Dịch vụ quảng cáo và truyền thông theo Hợp đồng số 121812/2025/HĐDV/XOM-DVA ký ngày 05/01/2026 và Biên bản nghiệm thu ký ngày 13/01/2026 HĐ số 2</t>
  </si>
  <si>
    <t>Điều chỉnh giảm Dịch vụ quảng cáo và truyền thông theo Hợp đồng số T09MPD25HDDV-0050-2054 VANJINKA ký ngày 03/01/2026 và Biên bản nghiệm thu ký ngày 16/01/2026 HĐ số 3</t>
  </si>
  <si>
    <t>Điều chỉnh giảm Dịch vụ quảng cáo và truyền thông theo Hợp đồng số 01012026HDDVDOANVANANHMANYO ký ngày 01/01/2026 và Biên bản nghiệm thu ký ngày 26/01/2026 HĐ số 4</t>
  </si>
  <si>
    <t>Điều chỉnh giảm Dịch vụ quảng cáo theo Hợp đồng số 06.291225.02.MS-DVA ký ngày 29/12/2025 kèm Biên bản nghiệm thu và thanh lý Hợp đồng HĐ số 5</t>
  </si>
  <si>
    <t>Điều chỉnh giảm Dịch vụ quảng cáo và truyền thông theo Hợp đồng số HKD DOANVANANH_3BRO1_UV COOLING - ON TOP [T1]_260002_011 ký ngày 15/01/2026 và Biên bản nghiệm thu ký ngày 04/02/2026 HĐ số 6</t>
  </si>
  <si>
    <t>Điều chỉnh giảm Dịch vụ quảng cáo và truyền thông theo Hợp đồng số HKD DVA_3BRO3_SIMPLE CORE_260103_004 ký ngày 24/02/2026 HĐ số 8</t>
  </si>
  <si>
    <t>Điều chỉnh giảm Dịch vụ quảng cáo và truyền thông theo Hợp đồng số 20260226/XNKANHVIET x HKDDOANVANANH ký ngày 26/02/2026 HĐ số 10</t>
  </si>
  <si>
    <t>Điều chỉnh giảm Dịch vụ quảng cáo và truyền thông theo Hợp đồng số 02032026/HDDV/UPBASE-NUCOS-VANJINKA/2026 ký ngày 02/03/2026 HĐ số 9</t>
  </si>
  <si>
    <t>Điều chỉnh giảm Dịch vụ quảng cáo và truyền thông theo Hợp đồng số T06MPD26HDDV-0102-2054 VANJINKA ký ngày 02/03/2026 và Biên bản nghiệm thu ký ngày 16/03/2026 HĐ số 13</t>
  </si>
  <si>
    <t>Điều chỉnh giảm Dịch vụ quảng cáo và truyền thông theo Hợp đồng số BK372/HKD_DVA/T5A/LIXIBOX ký ngày 02/01/2026 kèm Biên bản nghiệm thu và thanh lý ký ngày 16/03/2026 HĐ số 12</t>
  </si>
  <si>
    <t>Điều chỉnh giảm Dịch vụ quảng cáo và truyền thông theo Hợp đồng số số T03MPD26HDDV-0140-2054 VANJINKA ký ngày 05/03/2026 và Biên bản nghiệm thu ký ngày 16/03/2026 HĐ số 11</t>
  </si>
  <si>
    <t>Điều chỉnh giảm Dịch vụ quảng cáo và truyền thông theo Hợp đồng số 01032026HDDVDOANVANANHCELIMAX ký ngày 01/03/2026 và Biên bản nghiệm thu ký ngày 24/03/2026 HĐ số 14</t>
  </si>
  <si>
    <t>0317346818</t>
  </si>
  <si>
    <t>Nhận Doanh thu Dịch vụ quảng cáo và truyền thông theo Hợp đồng số 26112025/HDKV/VNNW-HKD ĐVA ký ngày 26/11/2025 (Đợt 2) và Biên bản nghiệm thu ký ngày 29/12/2025 HĐ số 37</t>
  </si>
  <si>
    <t>Nhận Doanh thu Dịch vụ quảng cáo và truyền thông theo Hợp đồng số HKD DVA_ ACNE – AID_17112025 ký ngày 17/11/2025 HĐ số 30</t>
  </si>
  <si>
    <t>Nhận Doanh thu Dịch vụ quảng cáo và truyền thông theo Hợp đồng số HDDV/FAINxHKDDOANVANANH/2025-05 ký ngày 04/12/2025 và Biên bản nghiệm thu ký ngày 15/12/2025 HĐ số 31</t>
  </si>
  <si>
    <t>Nhận Doanh thu Dịch vụ quảng cáo và truyền thông theo Hợp đồng số MDA/20251028/2087 ngày 01/10/2025 kèm Biên bản nghiệm thu và thanh lý ngày 03/11/2025 HĐ số 19</t>
  </si>
  <si>
    <t>Nhận Dịch vụ quảng cáo và truyền thông theo Hợp đồng số 01012026HDDVDOANVANANHMANYO ký ngày 01/01/2026 và Biên bản nghiệm thu ký ngày 26/01/2026 HĐ số 4</t>
  </si>
  <si>
    <t>Nhận Dịch vụ quảng cáo và truyền thông theo Hợp đồng số 121812/2025/HĐDV/XOM-DVA ký ngày 05/01/2026 và Biên bản nghiệm thu ký ngày 13/01/2026 HĐ số 2</t>
  </si>
  <si>
    <t>Nhận Dịch vụ quảng cáo và truyền thông theo Hợp đồng số 15122025/HDDV/VANANH-IDAC ký ngày 15/12/2025 kèm Biên bản nghiệm thu và thanh lý ký ngày 05/01/2026 HĐ số 1</t>
  </si>
  <si>
    <t>0318853842</t>
  </si>
  <si>
    <t>Nhận Doanh thu Dịch vụ quảng cáo và truyền thông theo Hợp đồng số HD30112025/KANS__HUMAN__VANJINKA ký ngày 30/11/2025 và Biên bản nghiệm thu ký ngày 29/12/2025 HĐ số 36</t>
  </si>
  <si>
    <t>Nhận Doanh thu Dịch vụ quảng cáo và truyền thông theo Hợp đồng số BK275/HKD_DVA/T5A/MIALALA ký ngày 04/12/2025 HĐ số 32</t>
  </si>
  <si>
    <t>Nhận Dịch vụ quảng cáo và truyền thông theo Hợp đồng số T09MPD25HDDV-0050-2054 VANJINKA ký ngày 03/01/2026 và Biên bản nghiệm thu ký ngày 16/01/2026 HĐ số 3</t>
  </si>
  <si>
    <t>Nhận Dịch vụ quảng cáo và truyền thông theo Hợp đồng số 20260226/XNKANHVIET x HKDDOANVANANH ký ngày 26/02/2026 HĐ số 10</t>
  </si>
  <si>
    <t>Nhận Dịch vụ quảng cáo và truyền thông theo Hợp đồng số HKD DOANVANANH_3BRO1_UV COOLING - ON TOP [T1]_260002_011 ký ngày 15/01/2026 và Biên bản nghiệm thu ký ngày 04/02/2026 HĐ số 6</t>
  </si>
  <si>
    <t>Nhận Dịch vụ quảng cáo theo Hợp đồng số 06.291225.02.MS-DVA ký ngày 29/12/2025 kèm Biên bản nghiệm thu và thanh lý Hợp đồng HĐ số 5</t>
  </si>
  <si>
    <t>Nhận Dịch vụ quảng cáo và truyền thông theo Hợp đồng số 01032026HDDVDOANVANANHCELIMAX ký ngày 01/03/2026 và Biên bản nghiệm thu ký ngày 24/03/2026 HĐ số 14</t>
  </si>
  <si>
    <t>Nhận Dịch vụ quảng cáo và truyền thông cho nhãn hàng BIODERMA theo Hợp đồng số 683001202601/HDDV/RV/KOL ký ngày 30/01/2026 kèm Biên bản nghiệm thu và thanh lý hợp đồng ký ngày 25/02/2026 HĐ số 7</t>
  </si>
  <si>
    <t>Nhận Dịch vụ quảng cáo và truyền thông theo Hợp đồng số BK372/HKD_DVA/T5A/LIXIBOX ký ngày 02/01/2026 kèm Biên bản nghiệm thu và thanh lý ký ngày 16/03/2026 HĐ số 12</t>
  </si>
  <si>
    <t>Thanh toán Chi phí tiếp khách, ngoại giao HĐ số 6015</t>
  </si>
  <si>
    <t>Chi phí tiếp khách, ngoại giao HĐ số 6015</t>
  </si>
  <si>
    <t>Điều chỉnh giảm Dịch vụ quảng cáo và truyền thông cho nhãn hàng BIODERMA theo Hợp đồng số 683001202601/HDDV/RV/KOL ký ngày 30/01/2026 HĐ số 7</t>
  </si>
  <si>
    <t>Thanh toán Phí dịch vụ tư vấn tháng 11/2025 HĐ số 4</t>
  </si>
  <si>
    <t>Thanh toán Phí dịch vụ tư vấn tháng 01/2026 HĐ số 38</t>
  </si>
  <si>
    <t>Thanh toán Phí dịch vụ tư vấn tháng 01/2026 HĐ số 79</t>
  </si>
  <si>
    <t>Điều chỉnh giảm Dịch vụ quảng cáo và truyền thông theo Hợp đồng số HKDANVY/20251201 ký ngày 29/11/2025 (Đợt 2) kèm Biên bản nghiệm thu ký ngày 13/01/2026 HĐ số 1</t>
  </si>
  <si>
    <t>Điều chỉnh giảm Dịch vụ quảng cáo và truyền thông theo Hợp đồng số 0901/2026/HDDV-MKT-GS ký ngày 09/01/2026 HĐ số 3</t>
  </si>
  <si>
    <t>Điều chỉnh giảm Dịch vụ quảng cáo và truyền thông theo Hợp đồng số 01/HĐDV/LU-AnVy ký ngày 10/02/2026 (Đợt 1) HĐ số 4</t>
  </si>
  <si>
    <t>Điều chỉnh giảm Dịch vụ quảng cáo và truyền thông theo Hợp đồng số HDDV – MKT – 02-004 ký ngày 24/02/2026 HĐ số 6</t>
  </si>
  <si>
    <t>Điều chỉnh giảm Dịch vụ quảng cáo và truyền thông theo Hợp đồng số 01/HĐDV/LU-AnVy ký ngày 10/02/2026 (Đợt 2) kèm Biên bản nghiệm thu và thanh lý ký ngày 09/03/2026 HĐ số 7</t>
  </si>
  <si>
    <t>Điều chỉnh giảm Dịch vụ quảng cáo và truyền thông theo Hợp đồng số 01/0303/HDDV/TTP-NX ký ngày 04/03/2026 HĐ số 8</t>
  </si>
  <si>
    <t>Điều chỉnh giảm Dịch vụ quảng cáo và truyền thông theo Hợp đồng số 20260225/HKDANVYxCHIKARA ký ngày 25/02/2026 và Biên bản nghiệm thu ký ngày 18/03/2026 HĐ số 9</t>
  </si>
  <si>
    <t>Điều chỉnh giảm Dịch vụ quảng cáo và truyền thông theo Hợp đồng số 07032026/HĐDV-ZEE-NTFGROWPLUS+SDD-NHACUAANVY ký ngày 07/03/2026 (Đợt 1) HĐ số 10</t>
  </si>
  <si>
    <t>Điều chỉnh giảm Dịch vụ quảng cáo và truyền thông theo Hợp đồng số 20260318/HKDANVY x TALADTHAI ký ngày 18/03/2026 và Biên bản nghiệm thu ký ngày 24/03/2026 HĐ số 11</t>
  </si>
  <si>
    <t>0318613625</t>
  </si>
  <si>
    <t>Nhận Dịch vụ quảng cáo và truyền thông theo Hợp đồng số HDDV – MKT – 02-004 ký ngày 24/02/2026 HĐ số 6</t>
  </si>
  <si>
    <t>0109967211</t>
  </si>
  <si>
    <t>Nhận Dịch vụ quảng cáo và truyền thông theo Hợp đồng số 01/0303/HDDV/TTP-NX ký ngày 04/03/2026 HĐ số 8</t>
  </si>
  <si>
    <t>Nhận Dịch vụ quảng cáo và truyền thông theo Hợp đồng số 01/HĐDV/LU-AnVy ký ngày 10/02/2026 (Đợt 2) kèm Biên bản nghiệm thu và thanh lý ký ngày 09/03/2026 HĐ số 7</t>
  </si>
  <si>
    <t>0317228596</t>
  </si>
  <si>
    <t>Nhận Dịch vụ quảng cáo và truyền thông theo Hợp đồng số 20260225/HKDANVYxCHIKARA ký ngày 25/02/2026 và Biên bản nghiệm thu ký ngày 18/03/2026 HĐ số 9</t>
  </si>
  <si>
    <t>Dịch vụ quảng cáo và truyền thông theo Hợp đồng số 0402/HDDV-2026/PEXPLE-ANVY/TOSHIBA ký ngày 04/02/2026 HĐ số 5</t>
  </si>
  <si>
    <t>Điều chỉnh giảm Dịch vụ quảng cáo và truyền thông theo Hợp đồng số 0402/HDDV-2026/PEXPLE-ANVY/TOSHIBA ký ngày 04/02/2026 HĐ số 5</t>
  </si>
  <si>
    <t>Dịch vụ truyền thông đăng bài Tiktok Nhà của An Vy cho dự án THACO AUTO Quý 4.2025 theo hợp đồng số 0103-2026/HDDV/BrandC&amp;AnVyOfficial ký ngày 16/3 HĐ số 12</t>
  </si>
  <si>
    <t>Điều chỉnh giảm Dịch vụ truyền thông đăng bài Tiktok Nhà của An Vy cho dự án THACO AUTO Quý 4.2025 theo hợp đồng số 0103-2026/HDDV/BrandC&amp;AnVyOfficial ký ngày 16/3 HĐ số 12</t>
  </si>
  <si>
    <t>Nhận Dịch vụ quảng cáo và truyền thông theo Hợp đồng số 0402/HDDV-2026/PEXPLE-ANVY/TOSHIBA ký ngày 04/02/2026 HĐ số 5</t>
  </si>
  <si>
    <t>Thanh toán Bánh Canh Giò Gân Bò Củ Chi Nhỏ Nem Thêm Nước Suối Aqua Khăn Lạnh HĐ số 71</t>
  </si>
  <si>
    <t>Thanh toán Phí rút tiền 12/2025_fmccosmetics (Withdrawal Fee 12/2025_fmccosmetics) HĐ số 27717</t>
  </si>
  <si>
    <t>Thanh toán Dầu dưỡng Moroccanoil Treatment – 100ml HĐ số 25</t>
  </si>
  <si>
    <t>Thanh toán Máy chấm công TA302 HĐ số 570</t>
  </si>
  <si>
    <t>Thanh toán Phí rút tiền 01/2026_fmccosmetics (Withdrawal Fee 01/2026_fmccosmetics) HĐ số 1146643</t>
  </si>
  <si>
    <t>Thanh toán Bò Củ Chi Lớn Nem Thêm Bánh Canh Đặc Biệt Đá Chanh Dừa Trái Khăn Lạnh HĐ số 1845</t>
  </si>
  <si>
    <t>Thanh toán Phí dịch vụ tư vấn tháng 01/2026 HĐ số 59</t>
  </si>
  <si>
    <t>Thanh toán Cốc tai trái cây Sài Gòn Đá me hạt đác Service Charge 5%(VAT8) HĐ số 7669</t>
  </si>
  <si>
    <t>Thanh toán Bộ quà "BÁCH VỊ VẠN HỶ - Premium" Rượu Mango (250 ml) (Hàng cho, biếu, tặng không thu tiền) HĐ số 1301</t>
  </si>
  <si>
    <t>Thanh toán Phí rút tiền 02/2026_fmccosmetics (Withdrawal Fee 02/2026_fmccosmetics) HĐ số 1823123</t>
  </si>
  <si>
    <t>Thanh toán Siêu âm Phụ khoa Khám thai/Phụ khoa VIP HĐ số 6628</t>
  </si>
  <si>
    <t>Thanh toán Marvelon (H/21v)  HĐ số 5934</t>
  </si>
  <si>
    <t>Thanh toán Phí dịch vụ tư vấn tháng 02/2026 HĐ số 98</t>
  </si>
  <si>
    <t>Thanh toán Quà tặng túi giấy CellphoneS- 354201380810982 SM-A075FZKGXXV ĐTDĐ Samsung SM-A075F/DS,4+128,Đen- 354201380810982 HĐ số 594862</t>
  </si>
  <si>
    <t>Điều chỉnh giảm Dịch vụ quảng cáo và truyền thông theo Hợp đồng số 10012026/HD-SEEDBEE/BUIPHAMTHUYVI ký ngày 10/01/2026 HĐ số 2</t>
  </si>
  <si>
    <t>Điều chỉnh giảm Dịch vụ quảng cáo và truyền thông theo Hợp đồng số HKD THÚY VI_3BRO1_UV COOLING - ON TOP [T1]_260002_002 ký ngày 01/01/2026 và Biên bản nghiệm thu ký ngày 14/01/2026 HĐ số 1</t>
  </si>
  <si>
    <t>Điều chỉnh giảm Dịch vụ quảng cáo và truyền thông theo Hợp đồng số 02-2912/2025/HĐDV/MKG-NAVI ký ngày 29/12/2025 và Biên bản nghiệm thu ký ngày 24/01/2026 HĐ số 3</t>
  </si>
  <si>
    <t>Điều chỉnh giảm Dịch vụ quảng cáo và truyền thông theo Hợp đồng số HDDV/PANTENExVĐxTHUYVI/070126 ký ngày 07/01/2026 và Biên bản nghiệm thu ký ngày 02/02/2026 HĐ số 6</t>
  </si>
  <si>
    <t>Điều chỉnh giảm Dịch vụ quảng cáo và truyền thông theo Hợp đồng số 02012026HDDVNAVICELIMAX ký ngày 02/01/2026 và Biên bản nghiệm thu ký ngày 02/02/2026 HĐ số 5</t>
  </si>
  <si>
    <t>Điều chỉnh giảm Dịch vụ quảng cáo và truyền thông theo Hợp đồng số 260130/HDDV/BRAINAD-THUYVI ký ngày 30/01/2026 và Biên bản nghiệm thu ký ngày 06/02/2026 HĐ số 7</t>
  </si>
  <si>
    <t>Điều chỉnh giảm Dịch vụ quảng cáo và truyền thông theo Hợp đồng số 01022026HDDVNAVIWELLAGE ký ngày 01/02/2026 và Biên bản nghiệm thu ký ngày 09/02/2026 HĐ số 8</t>
  </si>
  <si>
    <t>Điều chỉnh giảm Cung cấp dịch vụ 100% theo BBNT ký ngày 10/02/2026 của Hợp đồng số HĐ/457/2026/METUB ký ngày 02/02/2026 HĐ số 9</t>
  </si>
  <si>
    <t>Điều chỉnh giảm Dịch vụ quảng cáo và truyền thông theo Hợp đồng số 26012026HDDV/MEISHANG – THUYVI ký ngày 26/01/2026 và Biên bản nghiệm thu ký ngày 28/02/2026 HĐ số 10</t>
  </si>
  <si>
    <t>Điều chỉnh giảm Dịch vụ quảng cáo và truyền thông theo Hợp đồng số HDDV/OLAYBODYLOTIONxVĐxTHUYVI/020226 ký ngày 02/02/2026 (Đợt 1) HĐ số 11</t>
  </si>
  <si>
    <t>Điều chỉnh giảm Dịch vụ quảng cáo và truyền thông theo Hợp đồng số HD01022026/D’ALBA_ASIACONSULTING_NAVI ký ngày 01/02/2026 và Biên bản nghiệm thu ký ngày 10/03/2026 HĐ số 13</t>
  </si>
  <si>
    <t>Điều chỉnh giảm Dịch vụ quảng cáo và truyền thông theo Hợp đồng số HDDV/OLAYBODYLOTIONxVĐxTHUYVI/020226 ký ngày 02/02/2026 (Đợt 2) kèm Biên bản nghiệm thu ký ngày 11/03/2026 HĐ số 14</t>
  </si>
  <si>
    <t>Điều chỉnh giảm Dịch vụ quảng cáo và truyền thông theo Hợp đồng số 01/THUYVI/HERBARIO ký ngày 13/03/2026 HĐ số 15</t>
  </si>
  <si>
    <t>Điều chỉnh giảm Dịch vụ quảng cáo và truyền thông theo Hợp đồng số 260130/HDDV/BRAINAD-HKDTHUYVI ký ngày 30/01/2026 và Biên bản nghiệm thu ký ngày 16/03/2026 HĐ số 16</t>
  </si>
  <si>
    <t>Điều chỉnh giảm Dịch vụ quảng cáo và truyền thông theo Hợp đồng số 2702.2026/HDDV/UPBASE-BLISSBERRY-THUYVINAVI1602 ký ngày 27/02/2026 và Biên bản nghiệm thu ký ngày 17/03/2026 HĐ số 17</t>
  </si>
  <si>
    <t>Điều chỉnh giảm Dịch vụ quảng cáo và truyền thông theo Hợp đồng số 190126/HĐDV/GOOKIN-NAVI ký ngày 19/01/2026 HĐ số 18</t>
  </si>
  <si>
    <t>Điều chỉnh giảm Dịch vụ quảng cáo và truyền thông theo Hợp đồng số 190126/HĐDV/FA-NAVI ký ngày 19/01/2026 HĐ số 19</t>
  </si>
  <si>
    <t>Điều chỉnh giảm Dịch vụ quảng cáo và truyền thông theo Hợp đồng số 01032026HDDVNAVIFATION ký ngày 01/03/2026 và Biên bản nghiệm thu ký ngày 25/03/2026 HĐ số 21</t>
  </si>
  <si>
    <t>Điều chỉnh giảm Dịch vụ quảng cáo và truyền thông theo Hợp đồng số 10012026/HD-SEEDBEE/BUIPHAMTHUYVI ký ngày 10/01/2026 và Biên bản nghiệm thu ký ngày 25/03/2026 HĐ số 20</t>
  </si>
  <si>
    <t>Điều chỉnh giảm Dịch vụ quảng cáo và truyền thông theo Hợp đồng số HKD THUYVI_3BRO3_CLEAR CYBER_OTS_260188_001 ký ngày 23/03/2026 và Biên bản nghiệm thu ký ngày 27/03/2026 HĐ số 22</t>
  </si>
  <si>
    <t>Điều chỉnh giảm Dịch vụ quảng cáo và truyền thông theo Hợp đồng số THUYVI_3BRO3_SIMPLE_260148_011 ký ngày 11/03/2026 và Biên bản nghiệm thu ký ngày 31/03/2026 HĐ số 23</t>
  </si>
  <si>
    <t>Chi phí đồ dùng văn phòng HĐ số 271156</t>
  </si>
  <si>
    <t>Thanh toán Chi phí đồ dùng văn phòng HĐ số 271156</t>
  </si>
  <si>
    <t>Chi phí tiếp khách, ngoại giao HĐ số 2610</t>
  </si>
  <si>
    <t>Thanh toán Chi phí tiếp khách, ngoại giaoe HĐ số 2610</t>
  </si>
  <si>
    <t>Chi phí đồ dùng văn phòng HĐ số 1367401</t>
  </si>
  <si>
    <t>Thanh toán Chi phí đồ dùng văn phòng HĐ số 1367401</t>
  </si>
  <si>
    <t>Chi phí tiếp khách, ngoại giao HĐ số 1465</t>
  </si>
  <si>
    <t>Thanh toán Chi phí tiếp khách, ngoại giao HĐ số 1465</t>
  </si>
  <si>
    <t>Chi phí tiếp khách, ngoại giao HĐ số 2027455</t>
  </si>
  <si>
    <t>Thanh toán Chi phí tiếp khách, ngoại giao HĐ số 2027455</t>
  </si>
  <si>
    <t>Chi phí tiếp khách, ngoại giao HĐ số 394</t>
  </si>
  <si>
    <t>Thanh toán Chi phí tiếp khách, ngoại giao HĐ số 394</t>
  </si>
  <si>
    <t>Chi phí đồ dùng văn phòng HĐ số 286</t>
  </si>
  <si>
    <t>Thanh toán Chi phí đồ dùng văn phòng HĐ số 286</t>
  </si>
  <si>
    <t>Dịch vụ quảng cáo và truyền thông theo Hợp đồng số 2601/HDDV-2026/PEXPLE-NAVI/SLOWPURE ký ngày 26/01/2026 HĐ số 4</t>
  </si>
  <si>
    <t>Điều chỉnh giảm Dịch vụ quảng cáo và truyền thông theo Hợp đồng số 2601/HDDV-2026/PEXPLE-NAVI/SLOWPURE ký ngày 26/01/2026 HĐ số 4</t>
  </si>
  <si>
    <t>Dịch vụ quảng cáo và truyền thông theo Hợp đồng số 1401/2026/HĐDV-BOOKING/DST-NAVI ký ngày 14/01/2026 HĐ số 12</t>
  </si>
  <si>
    <t>Điều chỉnh giảm Dịch vụ quảng cáo và truyền thông theo Hợp đồng số 1401/2026/HĐDV-BOOKING/DST-NAVI ký ngày 14/01/2026 HĐ số 12</t>
  </si>
  <si>
    <t>Nhận Dịch vụ quảng cáo và truyền thông theo Hợp đồng số 10012026/HD-SEEDBEE/BUIPHAMTHUYVI ký ngày 10/01/2026 HĐ số 2</t>
  </si>
  <si>
    <t>Nhận Dịch vụ quảng cáo và truyền thông theo Hợp đồng số 02-2912/2025/HĐDV/MKG-NAVI ký ngày 29/12/2025 và Biên bản nghiệm thu ký ngày 24/01/2026 HĐ số 3</t>
  </si>
  <si>
    <t>Nhận Dịch vụ quảng cáo và truyền thông theo Hợp đồng số 02012026HDDVNAVICELIMAX ký ngày 02/01/2026 và Biên bản nghiệm thu ký ngày 02/02/2026 HĐ số 5</t>
  </si>
  <si>
    <t>Nhận Dịch vụ quảng cáo và truyền thông theo Hợp đồng số HDDV/PANTENExVĐxTHUYVI/070126 ký ngày 07/01/2026 và Biên bản nghiệm thu ký ngày 02/02/2026 HĐ số 6</t>
  </si>
  <si>
    <t>Nhận Dịch vụ quảng cáo và truyền thông theo Hợp đồng số HKD THÚY VI_3BRO1_UV COOLING - ON TOP [T1]_260002_002 ký ngày 01/01/2026 và Biên bản nghiệm thu ký ngày 14/01/2026 HĐ số 1</t>
  </si>
  <si>
    <t>Nhận Dịch vụ quảng cáo và truyền thông theo Hợp đồng số 260130/HDDV/BRAINAD-THUYVI ký ngày 30/01/2026 và Biên bản nghiệm thu ký ngày 06/02/2026 HĐ số 7</t>
  </si>
  <si>
    <t>Nhận Dịch vụ quảng cáo và truyền thông theo Hợp đồng số 01022026HDDVNAVIWELLAGE ký ngày 01/02/2026 và Biên bản nghiệm thu ký ngày 09/02/2026 HĐ số 8</t>
  </si>
  <si>
    <t>Nhận Cung cấp dịch vụ 100% theo BBNT ký ngày 10/02/2026 của Hợp đồng số HĐ/457/2026/METUB ký ngày 02/02/2026 HĐ số 9</t>
  </si>
  <si>
    <t>Nhận Dịch vụ quảng cáo và truyền thông theo Hợp đồng số HDDV/OLAYBODYLOTIONxVĐxTHUYVI/020226 ký ngày 02/02/2026 (Đợt 1) HĐ số 11</t>
  </si>
  <si>
    <t>Nhận Dịch vụ quảng cáo và truyền thông theo Hợp đồng số 26012026HDDV/MEISHANG – THUYVI ký ngày 26/01/2026 và Biên bản nghiệm thu ký ngày 28/02/2026 HĐ số 10</t>
  </si>
  <si>
    <t>Nhận Dịch vụ quảng cáo và truyền thông theo Hợp đồng số 01/THUYVI/HERBARIO ký ngày 13/03/2026 HĐ số 15</t>
  </si>
  <si>
    <t>Nhận Dịch vụ quảng cáo và truyền thông theo Hợp đồng số HDDV/OLAYBODYLOTIONxVĐxTHUYVI/020226 ký ngày 02/02/2026 (Đợt 2) kèm Biên bản nghiệm thu ký ngày 11/03/2026 HĐ số 14</t>
  </si>
  <si>
    <t>Nhận Dịch vụ quảng cáo và truyền thông theo Hợp đồng số 2702.2026/HDDV/UPBASE-BLISSBERRY-THUYVINAVI1602 ký ngày 27/02/2026 và Biên bản nghiệm thu ký ngày 17/03/2026 HĐ số 17</t>
  </si>
  <si>
    <t>Nhận Dịch vụ quảng cáo và truyền thông theo Hợp đồng số 190126/HĐDV/GOOKIN-NAVI ký ngày 19/01/2026 HĐ số 18</t>
  </si>
  <si>
    <t>Nhận Dịch vụ quảng cáo và truyền thông theo Hợp đồng số 10012026/HD-SEEDBEE/BUIPHAMTHUYVI ký ngày 10/01/2026 và Biên bản nghiệm thu ký ngày 25/03/2026 HĐ số 20</t>
  </si>
  <si>
    <t>Nhận Dịch vụ quảng cáo và truyền thông theo Hợp đồng số HD01022026/D’ALBA_ASIACONSULTING_NAVI ký ngày 01/02/2026 và Biên bản nghiệm thu ký ngày 10/03/2026 HĐ số 13</t>
  </si>
  <si>
    <t>Nhận Dịch vụ quảng cáo và truyền thông theo Hợp đồng số 260130/HDDV/BRAINAD-HKDTHUYVI ký ngày 30/01/2026 và Biên bản nghiệm thu ký ngày 16/03/2026 HĐ số 16</t>
  </si>
  <si>
    <t>Nhận Dịch vụ quảng cáo và truyền thông theo Hợp đồng số 01032026HDDVNAVIFATION ký ngày 01/03/2026 và Biên bản nghiệm thu ký ngày 25/03/2026 HĐ số 21</t>
  </si>
  <si>
    <t>Nhận Dịch vụ quảng cáo và truyền thông theo Hợp đồng số 2601/HDDV-2026/PEXPLE-NAVI/SLOWPURE ký ngày 26/01/2026 HĐ số 4</t>
  </si>
  <si>
    <t>Nhận Dịch vụ quảng cáo và truyền thông theo Hợp đồng số 1401/2026/HĐDV-BOOKING/DST-NAVI ký ngày 14/01/2026 HĐ số 12</t>
  </si>
  <si>
    <t>Thanh toán Phí dịch vụ Affiliate 12/2025_17300510255 HĐ số 10739</t>
  </si>
  <si>
    <t>Thanh toán Phí dịch vụ tư vấn tháng 12/2025 HĐ số 26</t>
  </si>
  <si>
    <t>Thanh toán   HĐ số 44526</t>
  </si>
  <si>
    <t>Thanh toán Basa Fillet gói 250gr HĐ số 313</t>
  </si>
  <si>
    <t>Thanh toán Cước phí vận chuyển mã 01KFNAECM96KZ6T9XHZ2T2KPNS Chiết khấu thương mại/ giảm giá mã 01KFNAECM96KZ6T9XHZ2T2KPNS Phí nền tảng mã 01KFNAECM96KZ6T9XHZ2T2KPNS HĐ số 9238912</t>
  </si>
  <si>
    <t>Thanh toán Cước phí vận chuyển mã 01KFN260C2GN90CX590B62MCYM Chiết khấu thương mại/ giảm giá mã 01KFN260C2GN90CX590B62MCYM Phí nền tảng mã 01KFN260C2GN90CX590B62MCYM HĐ số 9162619</t>
  </si>
  <si>
    <t>Thanh toán Cước phí vận chuyển mã 01KFMPW4PWBQHZTYPVFB2SVHY7 Chiết khấu thương mại/ giảm giá mã 01KFMPW4PWBQHZTYPVFB2SVHY7 Phí nền tảng mã 01KFMPW4PWBQHZTYPVFB2SVHY7 HĐ số 9079652</t>
  </si>
  <si>
    <t>Thanh toán Cước phí vận chuyển mã 01KFNRE5183KJMP0YVR735PR2H Chiết khấu thương mại/ giảm giá mã 01KFNRE5183KJMP0YVR735PR2H HĐ số 7041302</t>
  </si>
  <si>
    <t>Thanh toán Cước phí vận chuyển mã 01KFNC2C152V3ZCB18HB14P8AH Chiết khấu thương mại/ giảm giá mã 01KFNC2C152V3ZCB18HB14P8AH HĐ số 6974735</t>
  </si>
  <si>
    <t>Thanh toán Cước phí vận chuyển mã 01KFN0T2D62XCQWV3WNK7TBBYY Chiết khấu thương mại/ giảm giá mã 01KFN0T2D62XCQWV3WNK7TBBYY HĐ số 6888593</t>
  </si>
  <si>
    <t>Thanh toán Cước phí vận chuyển mã 01KFMJB1TQEER56D4TP51DWHYS Chiết khấu thương mại/ giảm giá mã 01KFMJB1TQEER56D4TP51DWHYS HĐ số 6824068</t>
  </si>
  <si>
    <t>Thanh toán Cước phí vận chuyển mã 01KFPKF22B4MVTM1RZTT4AYCV1 Chiết khấu thương mại/ giảm giá mã 01KFPKF22B4MVTM1RZTT4AYCV1 HĐ số 334696</t>
  </si>
  <si>
    <t>Thanh toán Cước phí vận chuyển mã 01KFX7ER4VJ1KHWF4C4AZZ8C73 Chiết khấu thương mại/ giảm giá mã 01KFX7ER4VJ1KHWF4C4AZZ8C73 HĐ số 8040781</t>
  </si>
  <si>
    <t>Thanh toán Phí dịch vụ Affiliate 01/2026_17300510255 (Affiliate Service fee 01/2026_17300510255) HĐ số 858440</t>
  </si>
  <si>
    <t>Thanh toán Phí dịch vụ tư vấn tháng 01/2026 HĐ số 46</t>
  </si>
  <si>
    <t>Thanh toán Cước phí vận chuyển mã 01KGGTZ4JZNBQBJ326QYXSB3A7 Chiết khấu thương mại/ giảm giá mã 01KGGTZ4JZNBQBJ326QYXSB3A7 HĐ số 10478340</t>
  </si>
  <si>
    <t>Thanh toán Phí dịch vụ 10% Khăn giấy màng bạc Manwah Buffet Line Khai vị &amp; Tráng Miệng (NL) Buffet Đài Dư Hoa  NL HĐ số 555879</t>
  </si>
  <si>
    <t>Thanh toán   HĐ số 618456</t>
  </si>
  <si>
    <t>Thanh toán Cước phí vận chuyển mã 01KJMKJPYKNQCB00VVJB7W2R6H Chiết khấu thương mại/ giảm giá mã 01KJMKJPYKNQCB00VVJB7W2R6H Phí nền tảng mã 01KJMKJPYKNQCB00VVJB7W2R6H HĐ số 17789335</t>
  </si>
  <si>
    <t>Thanh toán Cước phí vận chuyển mã 01KJMHMTA2C92X15FP5FXHNBFW Chiết khấu thương mại/ giảm giá mã 01KJMHMTA2C92X15FP5FXHNBFW Phí nền tảng mã 01KJMHMTA2C92X15FP5FXHNBFW HĐ số 17782523</t>
  </si>
  <si>
    <t>Thanh toán Cước phí vận chuyển mã 01KJKVKBET4MQ1SCX7895KT5YJ Chiết khấu thương mại/ giảm giá mã 01KJKVKBET4MQ1SCX7895KT5YJ Phí nền tảng mã 01KJKVKBET4MQ1SCX7895KT5YJ HĐ số 17666116</t>
  </si>
  <si>
    <t>Thanh toán Phí dịch vụ Affiliate 02/2026_17300510255 (Affiliate Service fee 02/2026_17300510255) HĐ số 1722111</t>
  </si>
  <si>
    <t>Thanh toán PHÒNG Ở PHÍ NHẬN PHÒNG SỚM HĐ số 1395</t>
  </si>
  <si>
    <t>Thanh toán Cước phí vận chuyển mã 01KK1YFBM1FVASV2MG4QCPQWHJ Chiết khấu thương mại/ giảm giá mã 01KK1YFBM1FVASV2MG4QCPQWHJ Phí nền tảng mã 01KK1YFBM1FVASV2MG4QCPQWHJ HĐ số 26610206</t>
  </si>
  <si>
    <t>Thanh toán Cước phí vận chuyển mã 01KK0TVRJPHNPEK84YMQEM9EPX Chiết khấu thương mại/ giảm giá mã 01KK0TVRJPHNPEK84YMQEM9EPX Phí nền tảng mã 01KK0TVRJPHNPEK84YMQEM9EPX HĐ số 26337722</t>
  </si>
  <si>
    <t>Thanh toán Cước phí vận chuyển mã 01KK44W7D0Q75D9JGSWEZG5E2F Chiết khấu thương mại/ giảm giá mã 01KK44W7D0Q75D9JGSWEZG5E2F Phí nền tảng mã 01KK44W7D0Q75D9JGSWEZG5E2F HĐ số 27022633</t>
  </si>
  <si>
    <t>Thanh toán Cước phí vận chuyển mã 01KK33SKBQX8WT4PNGQF3GKMRZ Chiết khấu thương mại/ giảm giá mã 01KK33SKBQX8WT4PNGQF3GKMRZ HĐ số 19377758</t>
  </si>
  <si>
    <t>Thanh toán Phí dịch vụ tư vấn tháng 02/2026 HĐ số 97</t>
  </si>
  <si>
    <t>Thanh toán Cước phí vận chuyển mã 01KMA5C17T1ZM9ZRF263A29DGH Chiết khấu thương mại/ giảm giá mã 01KMA5C17T1ZM9ZRF263A29DGH Phí nền tảng mã 01KMA5C17T1ZM9ZRF263A29DGH HĐ số 24172913</t>
  </si>
  <si>
    <t>Thanh toán Cước phí vận chuyển mã 01KMH4F7N62Z8K72BZKCE42RQM Chiết khấu thương mại/ giảm giá mã 01KMH4F7N62Z8K72BZKCE42RQM Phí nền tảng mã 01KMH4F7N62Z8K72BZKCE42RQM HĐ số 25010949</t>
  </si>
  <si>
    <t>Điều chỉnh giảm Dịch vụ quảng cáo và truyền thông theo Hợp đồng số 2025-2912/HDDV/NMH-HKDMNO ký ngày 05/01/2026 HĐ số 1</t>
  </si>
  <si>
    <t>Điều chỉnh giảm Dịch vụ quảng cáo và truyền thông theo Phụ lục 01 ký ngày 01/01/2026 của Hợp đồng số 20260101/HDDV/CTYMYLANxHKDMINHNGHIA ký ngày 01/01/2026 HĐ số 2</t>
  </si>
  <si>
    <t>Điều chỉnh giảm Dịch vụ quảng cáo và truyền thông theo Hợp đồng số 20260102HDDV/MEISHANG – TRANMINHNGHIA ký ngày 02/01/2026 và Biên bản nghiệm thu ký ngày 20/01/2026 HĐ số 3</t>
  </si>
  <si>
    <t>Điều chỉnh giảm Dịch vụ quảng cáo và truyền thông theo Hợp đồng số ISTAR- nghiamotlitson - V - 2026 - 01 /HĐHTKD ký ngày 10/01/2026 kèm Biên bản nghiệm thu ký ngày 23/01/2026 HĐ số 5</t>
  </si>
  <si>
    <t>Điều chỉnh giảm Dịch vụ quảng cáo và truyền thông theo Phụ lục 01 ký ngày 20/01/2026 của Hợp đồng số 2026/HĐQC/CIMEE-NGHIAMOTLITSON ký ngày 20/01/2026 HĐ số 6</t>
  </si>
  <si>
    <t>Điều chỉnh giảm Dịch vụ quảng cáo và truyền thông theo Hợp đồng số TP0126-HanFias/nghiamotlitson ký ngày 20/01/2026 và Biên bản nghiệm thu ký ngày 05/02/2026 HĐ số 7</t>
  </si>
  <si>
    <t>Điều chỉnh giảm Dịch vụ quảng cáo và truyền thông theo Hợp đồng số 0102/2026/HDDV/CL/DM&amp;C-HKDMN ký ngày 01/02/2026 HĐ số 11</t>
  </si>
  <si>
    <t>Điều chỉnh giảm Dịch vụ quảng cáo và truyền thông theo Hợp đồng số 0101/2026/HDDV-LEMONADE.MINHNGHIA ký ngày 01/01/2026 và Biên bản nghiệm thu ký ngày 26/02/2026 HĐ số 13</t>
  </si>
  <si>
    <t>Điều chỉnh giảm Phí dịch vụ sử dụng hình ảnh theo Phụ lục 02 ký ngày 01/01/2026 của Hợp đồng số 20260101/HDDV/CTYMYLANxHKDMINHNGHIA ký ngày 01/01/2026 HĐ số 15</t>
  </si>
  <si>
    <t>Điều chỉnh giảm Dịch vụ quảng cáo và truyền thông theo Hợp đồng số HKD MINH NGHĨA OFFICIAL_ L&amp;apos;OREAL PARIS_20122025 ký ngày 20/12/2025 và Biên bản nghiệm thu ký ngày 04/03/2026 HĐ số 18</t>
  </si>
  <si>
    <t>Điều chỉnh giảm Dịch vụ quảng cáo và truyền thông theo Hợp đồng số HKD MINHNGHIA_3BRO2_WPP_LOREAL ONTOP AMINO MCL_260042_002 ký ngày 23/01/2026 và Biên bản nghiệm thu ký ngày 04/03/2026 HĐ số 17</t>
  </si>
  <si>
    <t>Điều chỉnh giảm Dịch vụ quảng cáo và truyền thông theo Hợp đồng số KOL-2026/002/SKINPOP-MINHNGHIA ký ngày 29/01/2026 và Biên bản nghiệm thu - thanh lý ký ngày 04/03/2026 HĐ số 16</t>
  </si>
  <si>
    <t>Điều chỉnh giảm Dịch vụ quảng cáo và truyền thông theo Hợp đồng số HĐQC-2025 ký ngày 02/02/2026 HĐ số 19</t>
  </si>
  <si>
    <t>Điều chỉnh giảm Thanh toán theo Hợp đồng dịch vụ số HD01012026/TIRTIR_ASIACONSULTING_NGHIAMOTLITSON ký ngày 01/01/2026 kèm Biên bản nghiệm thu và thanh lý ký ngày 10/03/2026 HĐ số 22</t>
  </si>
  <si>
    <t>Điều chỉnh giảm Dịch vụ quảng cáo và truyền thông theo Hợp đồng số 0203/2026/HDDV/CL/DM&amp;C-HKDMN ký ngày 02/03/2026 HĐ số 21</t>
  </si>
  <si>
    <t>Điều chỉnh giảm Dịch vụ quảng cáo và truyền thông theo Hợp đồng số 30012026.HDDV.SPARKLE.MNO ký ngày 30/01/2026 HĐ số 20</t>
  </si>
  <si>
    <t>Điều chỉnh giảm Dịch vụ quảng cáo và truyền thông theo Invoice ngày 13/3/2026 HĐ số 23</t>
  </si>
  <si>
    <t>Điều chỉnh giảm Dịch vụ quảng cáo và truyền thông theo Hợp đồng số 06/HĐCTV/2026 ký ngày 08/02/2026 HĐ số 24</t>
  </si>
  <si>
    <t>Điều chỉnh giảm Phí dịch vụ sử dụng hình ảnh theo Hợp đồng số 026001/HDDV/2026 ký ngày 19/03/2026 HĐ số 26</t>
  </si>
  <si>
    <t>Điều chỉnh giảm Dịch vụ quảng cáo và truyền thông theo Phụ lục 01 ký ngày 01/01/2026 của Hợp đông số 26-001/MKT-ITS ký ngày 01/01/2026 và Biên bản nghiệm thu ký ngày 31/03/2026 HĐ số 28</t>
  </si>
  <si>
    <t>Điều chỉnh giảm Dịch vụ quảng cáo và truyền thông theo Phụ lục 01 của Hợp đồng số 27032026/HĐQC/CIMEE-NGHIAMOTLITSON ký ngày 27/03/2026 HĐ số 27</t>
  </si>
  <si>
    <t>Nhận Doanh thu Dịch vụ quảng cáo và truyền thông theo Hợp đồng số 11122025.HDDV.SPARKLE.MNO ký ngày 11/12/2025 và Biên bản nghiệm thu ký ngày 30/12/2025 HĐ số 6</t>
  </si>
  <si>
    <t>Nhận Dịch vụ quảng cáo và truyền thông theo Phụ lục 01 ký ngày 01/01/2026 của Hợp đồng số 20260101/HDDV/CTYMYLANxHKDMINHNGHIA ký ngày 01/01/2026 HĐ số 2</t>
  </si>
  <si>
    <t>Nhận Dịch vụ quảng cáo và truyền thông theo Hợp đồng số ISTAR- nghiamotlitson - V - 2026 - 01 /HĐHTKD ký ngày 10/01/2026 kèm Biên bản nghiệm thu ký ngày 23/01/2026 HĐ số 5</t>
  </si>
  <si>
    <t>Nhận Dịch vụ quảng cáo và truyền thông theo Phụ lục 01 ký ngày 20/01/2026 của Hợp đồng số 2026/HĐQC/CIMEE-NGHIAMOTLITSON ký ngày 20/01/2026 HĐ số 6</t>
  </si>
  <si>
    <t>Nhận Dịch vụ quảng cáo và truyền thông theo Hợp đồng số 2025-2912/HDDV/NMH-HKDMNO ký ngày 05/01/2026 HĐ số 1</t>
  </si>
  <si>
    <t>Nhận Dịch vụ quảng cáo và truyền thông theo Hợp đồng số TP0126-HanFias/nghiamotlitson ký ngày 20/01/2026 và Biên bản nghiệm thu ký ngày 05/02/2026 HĐ số 7</t>
  </si>
  <si>
    <t>Nhận Dịch vụ quảng cáo và truyền thông theo Hợp đồng số 0102/2026/HDDV/CL/DM&amp;C-HKDMN ký ngày 01/02/2026 HĐ số 11</t>
  </si>
  <si>
    <t>Nhận Phí dịch vụ sử dụng hình ảnh theo Phụ lục 02 ký ngày 01/01/2026 của Hợp đồng số 20260101/HDDV/CTYMYLANxHKDMINHNGHIA ký ngày 01/01/2026 HĐ số 15</t>
  </si>
  <si>
    <t>Nhận Dịch vụ quảng cáo và truyền thông theo Hợp đồng số 0101/2026/HDDV-LEMONADE.MINHNGHIA ký ngày 01/01/2026 và Biên bản nghiệm thu ký ngày 26/02/2026 HĐ số 13</t>
  </si>
  <si>
    <t>Nhận Dịch vụ quảng cáo và truyền thông theo Hợp đồng số 30012026.HDDV.SPARKLE.MNO ký ngày 30/01/2026 HĐ số 20</t>
  </si>
  <si>
    <t>Nhận Dịch vụ quảng cáo và truyền thông theo Biên bản nghiệm thu Phụ lục 02 ký ngày 02/03/2026 của Hợp đồng nguyên tắc số HĐ01012026/JOYGROUP/HĐNT/HKDMINHNGHIAOFFICIAL/DCV ký ngày 01/01/2026 HĐ số 14</t>
  </si>
  <si>
    <t>Nhận Thanh toán theo Hợp đồng dịch vụ số HD01012026/TIRTIR_ASIACONSULTING_NGHIAMOTLITSON ký ngày 01/01/2026 kèm Biên bản nghiệm thu và thanh lý ký ngày 10/03/2026 HĐ số 22</t>
  </si>
  <si>
    <t>Nhận Dịch vụ quảng cáo và truyền thông theo Biên bản nghiệm thu Phụ lục 01 ký ngày 24/02/2026 của Hợp đồng nguyên tắc số HĐ01012026/JOYGROUP/HĐNT/HKDMINHNGHIAOFFICIAL/DCV ký ngày 01/01/2026 HĐ số 12</t>
  </si>
  <si>
    <t>Nhận Dịch vụ quảng cáo và truyền thông theo Hợp đồng số 06/HĐCTV/2026 ký ngày 08/02/2026 HĐ số 24</t>
  </si>
  <si>
    <t>Nhận Dịch vụ quảng cáo và truyền thông theo Hợp đồng số 012026/HDDV – EZS X HKD MINH NGHĨA OFFICIAL ký ngày 01/01/2026 HĐ số 4</t>
  </si>
  <si>
    <t>Nhận Dịch vụ quảng cáo và truyền thông theo Phụ lục 01 ký ngày 02/02/2026 của Hợp đồng nguyên tắc số 03-010226-NGHIAMOTLITSON/WV ký ngày 01/02/2026 HĐ số 8</t>
  </si>
  <si>
    <t>Nhận Dịch vụ quảng cáo và truyền thông theo Phụ lục 02 ký ngày 05/02/2026 của Hợp đồng nguyên tắc số 03-010226-NGHIAMOTLITSON/WV ký ngày 01/02/2026 HĐ số 9</t>
  </si>
  <si>
    <t>Nhận Phí dịch vụ sản xuất và đăng tải video review sản phẩm Nước tẩy trang Bí Đao theo Hợp đồng số 992026/HĐDV/Y&amp;B ký ngày 02/01/2026 HĐ số 10</t>
  </si>
  <si>
    <t>Thanh toán Chi phí đồ dùng văn phòng HĐ số 337197</t>
  </si>
  <si>
    <t>Thanh toán Chi phí tiếp khách, ngoại giao HĐ số 312</t>
  </si>
  <si>
    <t>Chi phí đồ dùng văn phòng HĐ số 337197</t>
  </si>
  <si>
    <t>Chi phí tiếp khách, ngoại giao HĐ số 312</t>
  </si>
  <si>
    <t>Dịch vụ quảng cáo và truyền thông theo Hợp đồng số 012026/HDDV – EZS X HKD MINH NGHĨA OFFICIAL ký ngày 01/01/2026 HĐ số 4</t>
  </si>
  <si>
    <t>Điều chỉnh giảm Dịch vụ quảng cáo và truyền thông theo Hợp đồng số 012026/HDDV – EZS X HKD MINH NGHĨA OFFICIAL ký ngày 01/01/2026 HĐ số 4</t>
  </si>
  <si>
    <t>Dịch vụ quảng cáo và truyền thông theo Phụ lục 01 ký ngày 02/02/2026 của Hợp đồng nguyên tắc số 03-010226-NGHIAMOTLITSON/WV ký ngày 01/02/2026 HĐ số 8</t>
  </si>
  <si>
    <t>Dịch vụ quảng cáo và truyền thông theo Phụ lục 02 ký ngày 05/02/2026 của Hợp đồng nguyên tắc số 03-010226-NGHIAMOTLITSON/WV ký ngày 01/02/2026 HĐ số 9</t>
  </si>
  <si>
    <t>Điều chỉnh giảm Dịch vụ quảng cáo và truyền thông theo Phụ lục 01 ký ngày 02/02/2026 của Hợp đồng nguyên tắc số 03-010226-NGHIAMOTLITSON/WV ký ngày 01/02/2026 HĐ số 8</t>
  </si>
  <si>
    <t>Điều chỉnh giảm Dịch vụ quảng cáo và truyền thông theo Phụ lục 02 ký ngày 05/02/2026 của Hợp đồng nguyên tắc số 03-010226-NGHIAMOTLITSON/WV ký ngày 01/02/2026 HĐ số 9</t>
  </si>
  <si>
    <t>Điều chỉnh giảm Phí dịch vụ sản xuất và đăng tải video review sản phẩm Nước tẩy trang Bí Đao theo Hợp đồng số 992026/HĐDV/Y&amp;B ký ngày 02/01/2026 HĐ số 10</t>
  </si>
  <si>
    <t>Phí dịch vụ sản xuất và đăng tải video review sản phẩm Nước tẩy trang Bí Đao theo Hợp đồng số 992026/HĐDV/Y&amp;B ký ngày 02/01/2026 HĐ số 10</t>
  </si>
  <si>
    <t>Điều chỉnh giảm Dịch vụ quảng cáo và truyền thông theo Hợp đồng nguyên tắc số HĐ01012026/JOYGROUP/HĐNT/HKDMINHNGHIAOFFICIAL/DCV ký ngày 01/01/2026 HĐ số 12</t>
  </si>
  <si>
    <t>Điều chỉnh giảm Dịch vụ quảng cáo và truyền thông của Hợp đồng nguyên tắc số HĐ01012026/JOYGROUP/HĐNT/HKDMINHNGHIAOFFICIAL/DCV ký ngày 01/01/2026 HĐ số 14</t>
  </si>
  <si>
    <t>Điều chỉnh giảm Dịch vụ quảng cáo và truyền thông theo Hợp đồng nguyên tắc số HĐ01012026/JOYGROUP/HĐNT/HKDMINHNGHIAOFFICIAL/DCV ký ngày 01/01/2026 HĐ số 25</t>
  </si>
  <si>
    <t>Chi phí tiếp khách, ngoại giao HĐ số 259781</t>
  </si>
  <si>
    <t>Chi phí tiếp khách, ngoại giao HĐ số 331513</t>
  </si>
  <si>
    <t>Chi phí tiếp khách, ngoại giao HĐ số 8576</t>
  </si>
  <si>
    <t xml:space="preserve"> </t>
  </si>
  <si>
    <t>Thanh toán Phí dịch vụ Affiliate 12/2025_17343510054 HĐ số 114068</t>
  </si>
  <si>
    <t>Thanh toán Phí dịch vụ Affiliate 01/2026_17343510054 (Affiliate Service fee 01/2026_17343510054) HĐ số 798992</t>
  </si>
  <si>
    <t>Thanh toán USB Token-DN/HKD-MBCA Phí duy trì Chứng thư CKS Token-HKD-MBCA (3 năm) HĐ số 8557</t>
  </si>
  <si>
    <t>Thanh toán Phần mềm hóa đơn điện tử M-100 079302025196.matbao.in (1 năm) HĐ số 8506</t>
  </si>
  <si>
    <t>Thanh toán Má hồng chống nắng Clinicos UV Protection Color Bush - (Hàng mẫu không thu tiền) Dầu tẩy trang Micro Transfer Cleansing Oil (150gram/chai) - (Hàng mẫu không thu tiền) HĐ số 150</t>
  </si>
  <si>
    <t>Thanh toán Phí dịch vụ Affiliate 02/2026_17343510054 (Affiliate Service fee 02/2026_17343510054) HĐ số 1724372</t>
  </si>
  <si>
    <t>Thanh toán Phí dịch vụ tư vấn tháng 02/2026 HĐ số 75</t>
  </si>
  <si>
    <t>Thanh toán Chi phí tiếp khách, ngoại giao HĐ số 259781</t>
  </si>
  <si>
    <t>Thanh toán Cà Rốt, Táo, Chanh Dây Bánh Sừng Bò Nướng Phủ Bơ Trái, Trứng Trần, Arugula, Phô Mai Parmesan Trà Cascara Thanh Yên Espresso Với Hỗn Hợp Sữa &amp; Mật Ong Cà Phê Đen Đá HĐ số 13564</t>
  </si>
  <si>
    <t>Thanh toán Cá Saba nướng muối Cơm cuộn California Cơm cuộn cua lăn trứng cá chuồn Đậu hủ nướng_SSK Gà tẩm bột chiên Nước Dasani 510ml Sa lát Cua bấy Sashimi 4 loại _SSK HĐ số 2108</t>
  </si>
  <si>
    <t>Thanh toán Chi phí tiếp khách, ngoại giao HĐ số 331513</t>
  </si>
  <si>
    <t>Thanh toán Món  CƠM BÒ TRỘN HÀN QUỐC  HĐ số 8597</t>
  </si>
  <si>
    <t>Thanh toán Chi phí tiếp khách, ngoại giao HĐ số 8576</t>
  </si>
  <si>
    <t>Thanh toán Bạch Tuộc Trộn Wasabi Tươi Cá Hồi Sashimi Mì Ramen Mì Ramen Cay Mì Udon Thịt Bò Nước ngọt Coca Cola Nước suối (500ML) Trà Xanh Trứng Trứng Hấp HĐ số 4135</t>
  </si>
  <si>
    <t>Thanh toán Phí dịch vụ tư vấn tháng 03/2026 HĐ số 103</t>
  </si>
  <si>
    <t>Điều chỉnh giảm Dịch vụ quảng cáo và truyền thông theo Thoả thuận hợp tác số TTHT/0302HF2026-BUBUTRANXOXO ký ngày 03/02/2026 HĐ số 1</t>
  </si>
  <si>
    <t>Điều chỉnh giảm Dịch vụ quảng cáo và truyền thông theo Hợp đồng số HDDV/BUBUTRANXOXO/BATH&amp;BODYWORKS/02022026 ký ngày 02/02/2026 kèm Biên bản nghiệm thu và thanh lý hợp đồng ký ngày 03/03/2026 HĐ số 2</t>
  </si>
  <si>
    <t>Điều chỉnh giảm Dịch vụ quảng cáo và truyền thông theo Hợp đồng số HD01022026/D’ALBA_ASIACONSULTING_BUBUTRANXOXO ký ngày 01/02/2026 kèm Biên bản nghiệm thu, thanh lý ký ngày 05/03/2026 HĐ số 3</t>
  </si>
  <si>
    <t>Điều chỉnh giảm Dịch vụ sản xuất và đăng tải 01 video review về sản phẩm Tẩy da chết da đầu bồ kết Cocoon theo hợp đồng 1782226/HDDV/Y&amp;B và biên bản nghiệm thu ký ngày 09/03/2026 HĐ số 4</t>
  </si>
  <si>
    <t>Điều chỉnh giảm Dịch vụ quảng cáo và truyền thông theo Hợp đồng số 152/2026/HDDV/OQR ký ngày 06/03/2026 kèm Biên bản nghiệm thu và thanh lý số 152.01/2026/BBNT/OQR ký ngày 11/03/2026 HĐ số 7</t>
  </si>
  <si>
    <t>Điều chỉnh giảm Dịch vụ quảng cáo và truyền thông theo Hợp đồng số 1002/HDDVTT/2026/SEAMAKEUP ký ngày 10/02/2026 và Biên bản nghiệm thu ký ngày 11/03/2026 HĐ số 6</t>
  </si>
  <si>
    <t>Điều chỉnh giảm Dịch vụ quảng cáo và truyền thông theo Hợp đồng số 0203/2026/HDDV/BR/DM&amp;C-HKDTBU ký ngày 02/03/2026 HĐ số 5</t>
  </si>
  <si>
    <t>Điều chỉnh giảm Dịch vụ quảng cáo theo Hợp đồng số 07.090326.02.MS-TBU ký ngày 09/03/2026 kèm Biên bản nghiệm thu và thanh lý Hợp đồng HĐ số 8</t>
  </si>
  <si>
    <t>Điều chỉnh giảm Dịch vụ quảng cáo và truyền thông theo Hợp đồng số BETHESKIN_SKVSKVN_20260213_bubutranxoxo ký ngày 13/02/2026 kèm Biên bản nghiệm thu ký ngày 31/03/2026 HĐ số 9</t>
  </si>
  <si>
    <t>Nhận Dịch vụ quảng cáo và truyền thông theo Hợp đồng số HDDV/BUBUTRANXOXO/BATH&amp;BODYWORKS/02022026 ký ngày 02/02/2026 kèm Biên bản nghiệm thu và thanh lý hợp đồng ký ngày 03/03/2026 HĐ số 2</t>
  </si>
  <si>
    <t>Nhận Dịch vụ quảng cáo và truyền thông theo Hợp đồng số HD01022026/D’ALBA_ASIACONSULTING_BUBUTRANXOXO ký ngày 01/02/2026 kèm Biên bản nghiệm thu, thanh lý ký ngày 05/03/2026 HĐ số 3</t>
  </si>
  <si>
    <t>Nhận Dịch vụ quảng cáo và truyền thông theo Thoả thuận hợp tác số TTHT/0302HF2026-BUBUTRANXOXO ký ngày 03/02/2026 HĐ số 1</t>
  </si>
  <si>
    <t>Nhận Dịch vụ quảng cáo và truyền thông theo Hợp đồng số 152/2026/HDDV/OQR ký ngày 06/03/2026 kèm Biên bản nghiệm thu và thanh lý số 152.01/2026/BBNT/OQR ký ngày 11/03/2026 HĐ số 7</t>
  </si>
  <si>
    <t>Nhận Dịch vụ quảng cáo và truyền thông theo Hợp đồng số 1002/HDDVTT/2026/SEAMAKEUP ký ngày 10/02/2026 và Biên bản nghiệm thu ký ngày 11/03/2026 HĐ số 6</t>
  </si>
  <si>
    <t>Nhận Dịch vụ quảng cáo và truyền thông theo Hợp đồng số 0203/2026/HDDV/BR/DM&amp;C-HKDTBU ký ngày 02/03/2026 HĐ số 5</t>
  </si>
  <si>
    <t>Thanh toán Cơm Lươn Nướng
Nước Suối
Cơm Cá Hồi, Trứng Cá Hồi &amp; Cá Ngừ
Sashimi 6 Loại
Cá Saba Nướng Than HĐ số 319</t>
  </si>
  <si>
    <t>Thanh toán Cước phí vận tải chuyến 1276564232
Phí sử dụng ứng dụng Be HĐ số 2227302</t>
  </si>
  <si>
    <t>Thanh toán Phí dịch vụ tư vấn tháng 11/2025 HĐ số 31</t>
  </si>
  <si>
    <t>Thanh toán Cơm chiên CUA
Hàu trên chảo sắt
Mực chiên tỏi lý sơn
Nước ép DỨA
Nước ép DƯA HẤU
Soup Tôm Tomyum NƯỚC TRONG
Xôi xoài HĐ số 1592</t>
  </si>
  <si>
    <t>Thanh toán Cước phí vận tải chuyến 1281537115
Phí sử dụng ứng dụng Be
Phí dịch vụ thông báo tình trạng đơn hàng HĐ số 1664259</t>
  </si>
  <si>
    <t>Thanh toán Cước phí vận tải chuyến 1281903174
Phí sử dụng ứng dụng Be HĐ số 3693271</t>
  </si>
  <si>
    <t>Thanh toán Cước phí vận tải chuyến 1282301566
Phí sử dụng ứng dụng Be HĐ số 3795365</t>
  </si>
  <si>
    <t>Thanh toán Cước phí vận tải chuyến 1282536354
Phí sử dụng ứng dụng Be HĐ số 3847382</t>
  </si>
  <si>
    <t>Thanh toán Cước phí vận tải chuyến 1286905500
Phí sử dụng ứng dụng Be HĐ số 2318464</t>
  </si>
  <si>
    <t>Thanh toán Cước phí vận tải chuyến 1290065369
Phí sử dụng ứng dụng Be HĐ số 5861970</t>
  </si>
  <si>
    <t>Thanh toán Cước phí vận tải chuyến 1290123563
Phí sử dụng ứng dụng Be HĐ số 2681351</t>
  </si>
  <si>
    <t>Thanh toán Cước phí vận tải chuyến 1293823092
Phí sử dụng ứng dụng Be HĐ số 3143786</t>
  </si>
  <si>
    <t>Thanh toán  HĐ số 287002</t>
  </si>
  <si>
    <t>Thanh toán Cước phí vận tải chuyến 1296163756
Phí sử dụng ứng dụng Be HĐ số 7406618</t>
  </si>
  <si>
    <t>Thanh toán Cước phí vận tải chuyến 1296802780
Phí sử dụng ứng dụng Be HĐ số 7584364</t>
  </si>
  <si>
    <t>Thanh toán Phí dịch vụ tư vấn tháng 01/2026 HĐ số 43</t>
  </si>
  <si>
    <t>Thanh toán Phí dịch vụ Affiliate 01/2026_17343960000 (Affiliate Service fee 01/2026_17343960000) HĐ số 827955</t>
  </si>
  <si>
    <t>Thanh toán Cước phí vận tải chuyến 1300049185
Phí sử dụng ứng dụng Be HĐ số 8323973</t>
  </si>
  <si>
    <t>Thanh toán Cước phí vận tải chuyến 1300619749
Phí sử dụng ứng dụng Be HĐ số 3877559</t>
  </si>
  <si>
    <t>Thanh toán Cước phí vận tải chuyến 1302807838
Phí sử dụng ứng dụng Be HĐ số 8931931</t>
  </si>
  <si>
    <t>Thanh toán LCBAGM- LC TÚI TB
LN5FSK20LV-WR00- Chân váy HĐ số 259</t>
  </si>
  <si>
    <t>Thanh toán Cước phí vận tải chuyến 1306074493
Phí sử dụng ứng dụng Be HĐ số 9576271</t>
  </si>
  <si>
    <t>Thanh toán Vé máy bay_Mã đặt chỗ 1327155352/ SGN_HAN HĐ số 5393</t>
  </si>
  <si>
    <t>Thanh toán Cước phí vận tải chuyến 1309072691
Phí sử dụng ứng dụng Be HĐ số 10121926</t>
  </si>
  <si>
    <t>Thanh toán Cước phí vận tải chuyến 1316022295
Phí sử dụng ứng dụng Be HĐ số 11652056</t>
  </si>
  <si>
    <t>Thanh toán Cước phí vận tải chuyến 1318191128
Phí sử dụng ứng dụng Be HĐ số 12252040</t>
  </si>
  <si>
    <t>Thanh toán Cước phí vận tải chuyến 1318436232
Phí sử dụng ứng dụng Be HĐ số 12299224</t>
  </si>
  <si>
    <t>Thanh toán Cước phí vận tải chuyến 1318573064
Phí sử dụng ứng dụng Be HĐ số 12327695</t>
  </si>
  <si>
    <t>Thanh toán Cước phí vận tải chuyến 1319316872
Phí sử dụng ứng dụng Be HĐ số 12506891</t>
  </si>
  <si>
    <t>Thanh toán Cước phí vận tải chuyến 1319432031
Phí sử dụng ứng dụng Be HĐ số 12535332</t>
  </si>
  <si>
    <t>Thanh toán Cước phí vận tải chuyến 1319915083
Phí sử dụng ứng dụng Be HĐ số 5687214</t>
  </si>
  <si>
    <t>Thanh toán Cước phí vận tải chuyến 1319921577
Phí sử dụng ứng dụng Be HĐ số 12650610</t>
  </si>
  <si>
    <t>Thanh toán Cước phí vận tải chuyến 1320020141
Phí sử dụng ứng dụng Be HĐ số 12667163</t>
  </si>
  <si>
    <t>Thanh toán  HĐ số 512154</t>
  </si>
  <si>
    <t>Thanh toán Cước phí vận tải chuyến 1320717952
Phí sử dụng ứng dụng Be HĐ số 5758717</t>
  </si>
  <si>
    <t>Thanh toán Cước phí vận tải chuyến 1320743346
Phí sử dụng ứng dụng Be HĐ số 12841573</t>
  </si>
  <si>
    <t>Thanh toán Cước phí vận tải chuyến 1320788916
Phí sử dụng ứng dụng Be HĐ số 12851020</t>
  </si>
  <si>
    <t>Thanh toán Nước Mía Tắc
Dừa Tươi
Cải Rổ Xào
Gỏi Đu Đủ Tôm Khô
Cánh Gà Chiên
Hủ Tíu Xào Hải Sản Kiểu Thái
Súp Sườn Heo HĐ số 5288</t>
  </si>
  <si>
    <t>Thanh toán Cước phí vận tải chuyến 1322332016
Phí sử dụng ứng dụng Be HĐ số 13256226</t>
  </si>
  <si>
    <t>Thanh toán Cước phí vận tải chuyến 1322412782
Phí sử dụng ứng dụng Be HĐ số 13272244</t>
  </si>
  <si>
    <t>Thanh toán Cước phí vận tải chuyến 1323085904
Phí sử dụng ứng dụng Be HĐ số 13463252</t>
  </si>
  <si>
    <t>Thanh toán Phí dịch vụ Affiliate 02/2026_17343960000 (Affiliate Service fee 02/2026_17343960000) HĐ số 1678229</t>
  </si>
  <si>
    <t>Thanh toán Cước phí vận tải chuyến 1327698333
Phí sử dụng ứng dụng Be HĐ số 14556927</t>
  </si>
  <si>
    <t>Thanh toán Cước phí vận tải chuyến 1327790840
Phí sử dụng ứng dụng Be HĐ số 14585783</t>
  </si>
  <si>
    <t>Thanh toán Cước phí vận tải chuyến 1328087476
Phí sử dụng ứng dụng Be HĐ số 6599423</t>
  </si>
  <si>
    <t>Thanh toán Cước phí vận tải chuyến 1328120160
Phí sử dụng ứng dụng Be HĐ số 14669101</t>
  </si>
  <si>
    <t>Thanh toán Cước phí vận tải chuyến 1328280147
Phí sử dụng ứng dụng Be HĐ số 14701330</t>
  </si>
  <si>
    <t>Thanh toán Cước phí vận tải chuyến 1329151877
Phí sử dụng ứng dụng Be HĐ số 6724732</t>
  </si>
  <si>
    <t>Thanh toán Cước phí vận tải chuyến 1329811744
Phí sử dụng ứng dụng Be HĐ số 15071109</t>
  </si>
  <si>
    <t>Thanh toán Cước phí vận tải chuyến 1331042800
Phí sử dụng ứng dụng Be HĐ số 15358264</t>
  </si>
  <si>
    <t>Thanh toán Extra (1) Thịt cuộn lá mè - Roasted pork in perilla
Mực chiên - Calamari
Cơm chiên sate tôm - Sate shrimp fried rice
Orange Juice
Phí dịch vụ HĐ số 2293</t>
  </si>
  <si>
    <t>Thanh toán Cước phí vận tải chuyến 1332088084
Phí sử dụng ứng dụng Be HĐ số 7054042</t>
  </si>
  <si>
    <t>Thanh toán Cước phí vận tải chuyến 1332149730
Phí sử dụng ứng dụng Be HĐ số 7061992</t>
  </si>
  <si>
    <t>Thanh toán Cước phí vận tải chuyến 1332394443
Phí sử dụng ứng dụng Be HĐ số 7088061</t>
  </si>
  <si>
    <t>Thanh toán Cước phí vận tải chuyến 1332882371
Phí sử dụng ứng dụng Be HĐ số 15826691</t>
  </si>
  <si>
    <t>Thanh toán Cước phí vận tải chuyến 1333132693
Phí sử dụng ứng dụng Be HĐ số 15885427</t>
  </si>
  <si>
    <t>Thanh toán Cước phí vận tải chuyến 1333241137
Phí sử dụng ứng dụng Be HĐ số 15912961</t>
  </si>
  <si>
    <t>Thanh toán Cước phí vận tải chuyến 1333271770
Phí sử dụng ứng dụng Be HĐ số 15921424</t>
  </si>
  <si>
    <t>Thanh toán Cước phí vận tải chuyến 1334123571
Phí sử dụng ứng dụng Be HĐ số 16143193</t>
  </si>
  <si>
    <t>Thanh toán Phí dịch vụ tư vấn tháng 02/2026 HĐ số 93</t>
  </si>
  <si>
    <t>Thanh toán Cước phí vận tải chuyến 1337181949
Phí sử dụng ứng dụng Be HĐ số 7667741</t>
  </si>
  <si>
    <t>Thanh toán Dịch vụ quảng cáo và truyền thông theo Hợp đồng số
 022026/VANHANH/BLIVEE-LUONGDO ngày 02/02/2026 và Biên bản nghiệm thu và thanh lý ngày 18/03/2026 HĐ số 95</t>
  </si>
  <si>
    <t>Thanh toán Cước phí vận tải chuyến 1338843126
Phí sử dụng ứng dụng Be HĐ số 7883395</t>
  </si>
  <si>
    <t>Thanh toán Cước phí vận tải chuyến 1339575535
Phí sử dụng ứng dụng Be HĐ số 17589869</t>
  </si>
  <si>
    <t>Thanh toán Cước phí vận tải chuyến 1339636391
Phí sử dụng ứng dụng Be HĐ số 17602782</t>
  </si>
  <si>
    <t>Thanh toán Cước phí vận tải chuyến 1339672290
Phí sử dụng ứng dụng Be HĐ số 7989367</t>
  </si>
  <si>
    <t>Thanh toán Cước phí vận tải chuyến 1339682594
Phí sử dụng ứng dụng Be HĐ số 7986840</t>
  </si>
  <si>
    <t>Thanh toán Cước phí vận tải chuyến 1339821933
Phí sử dụng ứng dụng Be HĐ số 17646197</t>
  </si>
  <si>
    <t>Thanh toán Cước phí vận tải chuyến 1339856615
Phí sử dụng ứng dụng Be HĐ số 17651523</t>
  </si>
  <si>
    <t>Thanh toán Cước phí vận tải chuyến 1339975426
Phí sử dụng ứng dụng Be HĐ số 17683371</t>
  </si>
  <si>
    <t>Thanh toán Cước phí vận tải chuyến 1340066688
Phí sử dụng ứng dụng Be HĐ số 8049531</t>
  </si>
  <si>
    <t>Thanh toán Cước phí vận tải chuyến 1340249832
Phí sử dụng ứng dụng Be HĐ số 17735460</t>
  </si>
  <si>
    <t>Thanh toán Cước phí vận tải chuyến 1340585866
Phí sử dụng ứng dụng Be HĐ số 17843158</t>
  </si>
  <si>
    <t>Thanh toán Cước phí vận tải chuyến 1340634517
Phí sử dụng ứng dụng Be HĐ số 17852555</t>
  </si>
  <si>
    <t>Thanh toán Cước phí vận tải chuyến 1341012502
Phí sử dụng ứng dụng Be HĐ số 8151062</t>
  </si>
  <si>
    <t>Thanh toán Cước phí vận tải chuyến 1346877169
Phí sử dụng ứng dụng Be HĐ số 8861776</t>
  </si>
  <si>
    <t>Thanh toán Cước phí vận tải chuyến 1346955395
Phí sử dụng ứng dụng Be HĐ số 19482332</t>
  </si>
  <si>
    <t>Thanh toán Cước phí vận tải chuyến 1347058501
Phí sử dụng ứng dụng Be HĐ số 19505407</t>
  </si>
  <si>
    <t>Thanh toán Cước phí vận tải chuyến 1347604181
Phí sử dụng ứng dụng Be HĐ số 8947921</t>
  </si>
  <si>
    <t>Điều chỉnh giảm Dịch vụ quảng cáo và truyền thông theo Hợp đồng số 10122025/HĐ-DVQC2025 ký ngày 10/12/2025 kèm Biên bản nghiệm thu và thanh lý ký ngày 06/01/2026 HĐ số 1</t>
  </si>
  <si>
    <t>Điều chỉnh giảm Dịch vụ quảng cáo và truyền thông theo Hợp đồng số 018/HĐHT-TRIO ký ngày 08/11/2025 và Biên bản nghiệm thu ký ngày 13/01/2026 HĐ số 2</t>
  </si>
  <si>
    <t>Điều chỉnh giảm Dịch vụ quảng cáo và truyền thông theo Phạm vi công việc số 3 ký ngày 02/01/2026 của Hợp đồng dịch vụ khung ký ngày 26/07/2025 và Biên bản nghiệm thu ký ngày 21/01/2026 HĐ số 3</t>
  </si>
  <si>
    <t>Điều chỉnh giảm Thanh toán 100% phí dịch vụ OAP - Glyco Repush 2 - Video - Scope 3 - 3001 SOW số 35381/2025/WPP-BTL-LO ID Tiktok: im.lukedo HĐ số 4</t>
  </si>
  <si>
    <t>Điều chỉnh giảm Dịch vụ quảng cáo và truyền thông theo Hợp đồng số 2212.25/VL-TLO/ACNES ký ngày 22/12/2025 kèm Biên bản nghiệm thu và thanh lý ký ngày 24/02/2026 HĐ số 5</t>
  </si>
  <si>
    <t>Điều chỉnh giảm Thanh toán 100% phí dịch vụ GRN - KOC Hub Skin MCL Pink - Video - Scope 3 - 100326 SOW số 36952/2025/WPP-BTL-LO ID Tiktok: im.lukedo HĐ số 6</t>
  </si>
  <si>
    <t>Điều chỉnh giảm Dịch vụ quảng cáo và truyền thông theo Hợp đồng số 12/2025/HĐHTKD ký ngày 01/12/2025 và Biên bản nghiệm thu ký ngày 07/03/2026 HĐ số 7</t>
  </si>
  <si>
    <t>Thanh toán Chi phí tiếp khách, ngoại giao HĐ số 263</t>
  </si>
  <si>
    <t>Thanh toán Chi phí tiếp khách, ngoại giao HĐ số 122002</t>
  </si>
  <si>
    <t>Thanh toán Chi phí tiếp khách, ngoại giao HĐ số 6213</t>
  </si>
  <si>
    <t>Thanh toán Chi phí tiếp khách, ngoại giao HĐ số 7704</t>
  </si>
  <si>
    <t>Thanh toán Chi phí tiếp khách, ngoại giao HĐ số 13494</t>
  </si>
  <si>
    <t>Chi phí tiếp khách, ngoại giao HĐ số 263</t>
  </si>
  <si>
    <t>Chi phí tiếp khách, ngoại giao HĐ số 122002</t>
  </si>
  <si>
    <t>Chi phí tiếp khách, ngoại giao HĐ số 6213</t>
  </si>
  <si>
    <t>Chi phí tiếp khách, ngoại giao HĐ số 7704</t>
  </si>
  <si>
    <t>Chi phí tiếp khách, ngoại giao HĐ số 13494</t>
  </si>
  <si>
    <t>Nhận Doanh thu Dịch vụ quảng cáo và truyền thông theo Hợp đồng số MDA/20250924/1740 ngày 10/09/2024 và Biên bản nghiệm thu và thanh lý ngày 02/10/2025 HĐ số 3</t>
  </si>
  <si>
    <t>5300138174-001</t>
  </si>
  <si>
    <t>Nộp lãi chậm nộp</t>
  </si>
  <si>
    <t>Nộp Thuế GTGT, TNCN sàn TMĐT 12/2025</t>
  </si>
  <si>
    <t>Nhận Dịch vụ quảng cáo và truyền thông theo Phạm vi công việc số 3 ký ngày 02/01/2026 của Hợp đồng dịch vụ khung ký ngày 26/07/2025 và Biên bản nghiệm thu ký ngày 21/01/2026 HĐ số 3</t>
  </si>
  <si>
    <t>Nhận Doanh thu Thanh toán 100% phí dịch vụ OAP - AFFILIATE - VIDEO - COMPANY - SCOPE 3 - 3012 - PO 4001486074 SOW số 31118/2025/WPP-BTL-LO ID Tiktok: im.lukedo HĐ số 18</t>
  </si>
  <si>
    <t>Nhận Doanh thu Hoa hồng tiếp thị liên kết</t>
  </si>
  <si>
    <t>Nhận Dịch vụ quảng cáo và truyền thông theo Hợp đồng số 10122025/HĐ-DVQC2025 ký ngày 10/12/2025 kèm Biên bản nghiệm thu và thanh lý ký ngày 06/01/2026 HĐ số 1</t>
  </si>
  <si>
    <t>Nhận Dịch vụ quảng cáo và truyền thông theo Hợp đồng số 018/HĐHT-TRIO ký ngày 08/11/2025 và Biên bản nghiệm thu ký ngày 13/01/2026 HĐ số 2</t>
  </si>
  <si>
    <t>Nhận Doanh thu Dịch vụ quảng cáo và truyền thông theo Hợp đồng số 2152025/ZAKKA NATURALS – LUKE ĐỖ ký ngày 21/05/2025 và Biên bản nghiệm thu ký ngày 18/07/2025 HĐ số 15</t>
  </si>
  <si>
    <t>0108046916</t>
  </si>
  <si>
    <t>Nhận Doanh thu Chi phí cung cấp dịch vụ cho nhãn hàng P/S theo hợp đồng số 1512/2025/HĐDV - GUM 7/BNT - ĐTL HĐ số 16</t>
  </si>
  <si>
    <t>Nhận Dịch vụ quảng cáo và truyền thông theo Hợp đồng số 2212.25/VL-TLO/ACNES ký ngày 22/12/2025 kèm Biên bản nghiệm thu và thanh lý ký ngày 24/02/2026 HĐ số 5</t>
  </si>
  <si>
    <t>Nhận Thanh toán 100% phí dịch vụ OAP - Glyco Repush 2 - Video - Scope 3 - 3001 SOW số 35381/2025/WPP-BTL-LO ID Tiktok: im.lukedo HĐ số 4</t>
  </si>
  <si>
    <t>Nhận Thanh toán 100% phí dịch vụ GRN - KOC Hub Skin MCL Pink - Video - Scope 3 - 100326 SOW số 36952/2025/WPP-BTL-LO ID Tiktok: im.lukedo HĐ số 6</t>
  </si>
  <si>
    <t>Doanh thu Hoa hồng tiếp thị liên kết</t>
  </si>
  <si>
    <t>Nhận Dịch vụ quảng cáo và truyền thông theo Hợp đồng số 12/2025/HĐHTKD ký ngày 01/12/2025 và Biên bản nghiệm thu ký ngày 07/03/2026 HĐ số 7</t>
  </si>
  <si>
    <t>Nhận không rõ đối tượng</t>
  </si>
  <si>
    <t>391</t>
  </si>
  <si>
    <t>Thanh toán BÔNG TAI(5090000@10%) TÚI GIẤY (Hàng tặng không thu tiền) HĐ số 9041</t>
  </si>
  <si>
    <t>Thanh toán 057. Thố Cơm trắng Nhỏ 073A. Chân nấm kho gừng 066A Bông cải xào nấm 096. Chè Bưởi Nhà An 158.Trà Sake 162B. Đậu hủ trứng cháy sả Khăn ướt Phí dịch vụ HĐ số 318</t>
  </si>
  <si>
    <t>Thanh toán Phí dịch vụ tư vấn tháng 12/2025 HĐ số 6</t>
  </si>
  <si>
    <t>Thanh toán TÚI GIẤY (Hàng tặng không thu tiền) VÒNG CỔ(7690000@16%) HĐ số 19649</t>
  </si>
  <si>
    <t>Thanh toán Món 32. Bavette Brasa Món 43. Arroz con Tuetano Thức uống AcquaPanna 750 Món 14. Ensalada alcachofas Món No Gilda Món Croquetas de Gambas Món 09. Airbaguettes HĐ số 283</t>
  </si>
  <si>
    <t>Thanh toán DUCK CONFIT PRAWN AND SCALLOP BISQUE FLOWERS FOUR PILLARS - BARTENDER'S CHOICE DASANI Service charge HĐ số 192</t>
  </si>
  <si>
    <t>Thanh toán Vòng đeo tay bằng bạc HĐ số 427</t>
  </si>
  <si>
    <t>Thanh toán Viên trang sức bạc dang bấm đính đá cubic zirconia trong suốt HĐ số 414</t>
  </si>
  <si>
    <t>Thanh toán OT1 Khăn lạnh A7 Hoành thánh chiên F5 TN.Thập cẩm chiên - Hai loại cá G5 TK.Thập cẩm chiên - Hai loại cá  TS5 Socola sữa tươi TM1 Trà hoa đậu biếc  HĐ số 2111</t>
  </si>
  <si>
    <t>Thanh toán SET BAO LÌ XÌ, ONE, RED - CO012025 TÚI GIẤY (MEDIUM), M, N/A - 0484-0000074 GIÀY NỮ, 6.5B, BLK - CCM12 HĐ số 64847</t>
  </si>
  <si>
    <t>Thanh toán Phí thuê văn phòng (từ ngày 27/01/2026 đến ngày 26/01/2027) Bảng tên công ty HĐ số 74</t>
  </si>
  <si>
    <t>Thanh toán Phí dịch vụ tư vấn tháng 01/2026 HĐ số 50</t>
  </si>
  <si>
    <t>Thanh toán BÍT TẾT BƠ CAFE DE PARIS KOMBUCHA HOA LẠC THẦN KOMBUCHA NHÃN MÌ LASAGNE BÒ WAGYU SALAD GÀ SỐT CAESAR Phí phục vụ HĐ số 3777</t>
  </si>
  <si>
    <t>Thanh toán VÒNG TAY(-5790000@10%)(Trả hàng) VÒNG CỔ(5790000@10%) TÚI GIẤY (Hàng tặng không thu tiền) HĐ số 208978</t>
  </si>
  <si>
    <t>Thanh toán Phần mềm hóa đơn điện tử M-100 8537932805-001.matbao.in (1 năm) HĐ số 14540</t>
  </si>
  <si>
    <t>Thanh toán Voucher di chuyển Xanh SM MDBEN96R HĐ số 5358</t>
  </si>
  <si>
    <t>Thanh toán Voucher di chuyển Xanh SM MV764NXV HĐ số 13718</t>
  </si>
  <si>
    <t>Thanh toán FIREBIRD TT FIREBIRD TT D HĐ số 17423</t>
  </si>
  <si>
    <t>Thanh toán Giày MEXICO 66 TGRS (1182A660.001.8) HĐ số 12981</t>
  </si>
  <si>
    <t>Thanh toán Voucher di chuyển Xanh SM MEKDE9A7 HĐ số 34036</t>
  </si>
  <si>
    <t>Thanh toán Voucher di chuyển Xanh SM MKB9359G HĐ số 41308</t>
  </si>
  <si>
    <t>Điều chỉnh giảm Phi sử dụng hình ảnh theo Hợp đồng số 251210/HDDV/MIZUMI-HOANGTHACHH-251210MIZUMI ký ngày 10/12/2025 HĐ số 4</t>
  </si>
  <si>
    <t>Điều chỉnh giảm Dịch vụ quảng cáo và truyền thông theo Hợp đồng số HDDV/PANTENExVĐxHOANGTHACH/301125 ký ngày 30/11/2025 (Đợt 1) HĐ số 3</t>
  </si>
  <si>
    <t>Điều chỉnh giảm Dịch vụ quảng cáo và truyền thông theo Hợp đồng số HDDV/OLAYxVĐxHOANGTHACH/301125 ký ngày 30/11/2025 (Đợt 1) HĐ số 2</t>
  </si>
  <si>
    <t>Điều chỉnh giảm Dịch vụ quảng cáo và truyền thông theo Hợp đồng số HTKMNTDTT/2025/HĐHTKD ký ngày 10/12/2025 (Đợt 2) và Biên bản nghiệm thu ký ngày 06/01/2026 HĐ số 1</t>
  </si>
  <si>
    <t>Điều chỉnh giảm Dịch vụ quảng cáo và truyền thông theo Hợp đồng số HKD HOANGTHACH_ THE SAEM_05122025 ký ngày 05/12/2025 (Đợt 2 50% còn lại) và Biên bản nghiệm thu ký ngày 15/01/2026 HĐ số 6</t>
  </si>
  <si>
    <t>Điều chỉnh giảm Dịch vụ quảng cáo và truyền thông theo Hợp đồng số HKD HOANGTHACH_3BRO1_UV COOLING - ON TOP [T1]_260002_003 ký ngày 01/01/2026 (Đợt 1) HĐ số 5</t>
  </si>
  <si>
    <t>Điều chỉnh giảm Thanh toán 50% (Đợt 1) phí dịch vụ theo Hợp đồng số HD01012026/TIRTIR_ASIACONSULTING_HOANGTHACH ký ngày 01/01/2026 HĐ số 7</t>
  </si>
  <si>
    <t>Điều chỉnh giảm Dịch vụ quảng cáo và truyền thông theo Hợp đồng số FINTVN-ATTENIR3-2025-52 ký ngày 10/11/2025 (Đợt 2) và Biên bản nghiệm thu ký ngày 29/01/2026 HĐ số 9</t>
  </si>
  <si>
    <t>Điều chỉnh giảm Dịch vụ quảng cáo và truyền thông theo Hợp đồng số FINTVN-KAO7-2025-197 ký ngày 12/12/2025 (Đợt 2) và Biên bản nghiệm thu ký ngày 29/01/2026 HĐ số 8</t>
  </si>
  <si>
    <t>Điều chỉnh giảm Dịch vụ quảng cáo và truyền thông theo Hợp đồng số HDDV/OLAYxVĐxHOANGTHACH/301125 ký ngày 30/11/2025 (Đợt 2) và Biên bản nghiệm thu ký ngày 30/01/2026 HĐ số 11</t>
  </si>
  <si>
    <t>Điều chỉnh giảm Dịch vụ quảng cáo và truyền thông theo Hợp đồng số HDDV/PANTENExVĐxHOANGTHACH/301125 ký ngày 30/11/2025 (Đợt 2) và Biên bản nghiệm thu ký ngày 30/01/2026 HĐ số 10</t>
  </si>
  <si>
    <t>Điều chỉnh giảm Phí dịch vụ sử dụng hình ảnh tháng 02-04/2026 theo Hợp đồng số 010825/ PLHĐHTDV/ THT-TANE ký ngày 31/01/2026 HĐ số 13</t>
  </si>
  <si>
    <t>Điều chỉnh giảm Dịch vụ quảng cáo và truyền thông theo Hợp đồng số 01112025/HDDV/SGS-EMB-THT ký ngày 01/11/2025 (Đợt 2) kèm Biên bản nghiệm thu và thanh lý ký ngày 06/02/2026 HĐ số 14</t>
  </si>
  <si>
    <t>Điều chỉnh giảm Dịch vụ quảng cáo và truyền thông theo Hợp đồng số BD/VZONE/HOANGTHACH/LASHE202603 ký ngày 27/02/2026 (Đợt 1) HĐ số 17</t>
  </si>
  <si>
    <t>Điều chỉnh giảm Phí sử dụng hình ảnh theo Hợp đồng số T04MPD26HDDV-0063-0011 HOANGTHACH ký ngày 27/02/2026 HĐ số 18</t>
  </si>
  <si>
    <t>Điều chỉnh giảm Thanh toán 50% (Đợt 2) phí dịch vụ theo Hợp đồng số HD01012026/TIRTIR_ASIACONSULTING_HOANGTHACH ký ngày 01/01/2026 và Biên bản nghiệm thu ký ngày 03/03/2026 HĐ số 20</t>
  </si>
  <si>
    <t>Điều chỉnh giảm Dịch vụ quảng cáo và truyền thông theo Hợp đồng số HKD HOANGTHACH_3BRO1_GARNIER MOCHI CAMP FEB_260107_002 ký ngày 12/02/2026 và Biên bản nghiệm thu ký ngày 03/03/2026 HĐ số 19</t>
  </si>
  <si>
    <t>Điều chỉnh giảm Dịch vụ quảng cáo và truyền thông theo Hợp đồng số 082026/HĐDV/Y&amp;B ký ngày 01/01/2026 kèm Biên bản nghiệm thu và thanh toán số 082026/BBNT-TT/Y&amp;B ký ngày 10/03/2026 HĐ số 21</t>
  </si>
  <si>
    <t>Điều chỉnh giảm Dịch vụ quảng cáo và truyền thông theo Hợp đồng số BD/VZONE/HOANGTHACH/LASHE202603 ký ngày 27/02/2026 (Đợt 2) kèm Biên bản nghiệm thu ký ngày 13/03/2026 HĐ số 23</t>
  </si>
  <si>
    <t>Điều chỉnh giảm Phí sử dụng hình ảnh theo Hợp đồng số HDDV/PANTENEADSxVĐxHOANGTHACH/230126 ký ngày 23/01/2026 HĐ số 25</t>
  </si>
  <si>
    <t>Điều chỉnh giảm Dịch vụ quảng cáo và truyền thông thông theo Hợp đồng số 24112025/HDDV/ES-MK-HT ký ngày 24/11/2025 (Đợt 2) và Biên bản nghiệm thu ký ngày 18/03/2026 HĐ số 24</t>
  </si>
  <si>
    <t>Chi phí đồ dùng văn phòng HĐ số 967</t>
  </si>
  <si>
    <t>Thanh toán Chi phí đồ dùng văn phòng HĐ số 967</t>
  </si>
  <si>
    <t>Chi phí đồ dùng văn phòng HĐ số 187853</t>
  </si>
  <si>
    <t>Thanh toán Chi phí đồ dùng văn phòng HĐ số 187853</t>
  </si>
  <si>
    <t>Chi phí tiếp khách, ngoại giao HĐ số 5276</t>
  </si>
  <si>
    <t>Thanh toán Chi phí tiếp khách, ngoại giao HĐ số 5276</t>
  </si>
  <si>
    <t>Chi phí tiếp khách, ngoại giao HĐ số 1252</t>
  </si>
  <si>
    <t>Thanh toán Chi phí tiếp khách, ngoại giao HĐ số 1252</t>
  </si>
  <si>
    <t>Dịch vụ quảng cáo và truyền thông theo Hợp đồng số VTCOSMETICS_Silicon2_03122025_hoangthachhh ký ngày 08/12/2025 (Đợt 2) và Biên bản nghiệm thu ký ngày 31/01/2026 HĐ số 12</t>
  </si>
  <si>
    <t>Điều chỉnh giảm Dịch vụ quảng cáo và truyền thông theo Hợp đồng số VTCOSMETICS_Silicon2_03122025_hoangthachhh ký ngày 08/12/2025 (Đợt 2) và Biên bản nghiệm thu ký ngày 31/01/2026 HĐ số 12</t>
  </si>
  <si>
    <t>Phí thực hiện sản xuất và đăng tải video review sản phẩm thuộc thương hiệu Cocoon Việt Nam theo hợp đồng số 20042025/HĐDV/Y&amp;B ký ngày 01/12/2025 (Đợt 2) HĐ số 15</t>
  </si>
  <si>
    <t>Điều chỉnh giảm Phí thực hiện sản xuất và đăng tải video review sản phẩm thuộc thương hiệu Cocoon Việt Nam theo hợp đồng số 20042025/HĐDV/Y&amp;B ký ngày 01/12/2025 (Đợt 2) HĐ số 15</t>
  </si>
  <si>
    <t>Điều chỉnh giảm Dịch vụ quảng cáo và truyền thông theo Hợp đồng số HKD HOANGTHACH_3BRO1_UV COOLING - ON TOP [T1]_260002_003 ký ngày 01/01/2026 (Đợt 2) HĐ số 16</t>
  </si>
  <si>
    <t>Dịch vụ quảng cáo và truyền thông theo Hợp đồng số VTCOSMETICS_Silicon2_03122025_hoangthachhh ký ngày 08/12/2025 (Đợt 2) HĐ số 22</t>
  </si>
  <si>
    <t>Điều chỉnh giảm Dịch vụ quảng cáo và truyền thông theo Hợp đồng số VTCOSMETICS_Silicon2_03122025_hoangthachhh ký ngày 08/12/2025 (Đợt 2) HĐ số 22</t>
  </si>
  <si>
    <t>Nhận Doanh thu Thanh toán theo Hợp đồng dịch vụ số HD01112025/TIRTIR_ASIACONSULTING_HOANGTHACH ký ngày 01/11/2025 (Đợt 2) kèm Biên bản nghiệm thu và thanh lý ký ngày 11/12/2025 HĐ số 50</t>
  </si>
  <si>
    <t>Nhận đặt cọc</t>
  </si>
  <si>
    <t>Nhận Doanh thu Phí dịch vụ sử dụng hình ảnh 01/2026 theo Hợp đồng số 010825/HĐHTDV/THTTANE ký ngày 01/08/2025 HĐ số 62</t>
  </si>
  <si>
    <t>Hoàn đặt cọc</t>
  </si>
  <si>
    <t>Nhận Phi sử dụng hình ảnh theo Hợp đồng số 251210/HDDV/MIZUMI-HOANGTHACHH-251210MIZUMI ký ngày 10/12/2025 HĐ số 4</t>
  </si>
  <si>
    <t>Nhận Thanh toán 50% (Đợt 1) phí dịch vụ theo Hợp đồng số HD01012026/TIRTIR_ASIACONSULTING_HOANGTHACH ký ngày 01/01/2026 HĐ số 7</t>
  </si>
  <si>
    <t>Nhận Doanh thu Dịch vụ quảng cáo và truyền thông theo Hợp đồng số HKD HOANGTHACH_ LOREAL UV AQUA_15112025 ký ngày 15/11/2025 (Đợt 2) và Biên bản nghiệm thu ký ngày 23/12/2025 HĐ số 59</t>
  </si>
  <si>
    <t>Nhận Dịch vụ quảng cáo và truyền thông theo Hợp đồng số HTKMNTDTT/2025/HĐHTKD ký ngày 10/12/2025 (Đợt 2) và Biên bản nghiệm thu ký ngày 06/01/2026 HĐ số 1</t>
  </si>
  <si>
    <t>Nộp Thuế GTGT, TNCN HKD 2025/Q4</t>
  </si>
  <si>
    <t>Nhận Dịch vụ quảng cáo và truyền thông theo Hợp đồng số HDDV/PANTENExVĐxHOANGTHACH/301125 ký ngày 30/11/2025 (Đợt 1) HĐ số 3</t>
  </si>
  <si>
    <t>Nhận Dịch vụ quảng cáo và truyền thông theo Hợp đồng số HKD HOANGTHACH_3BRO1_UV COOLING - ON TOP [T1]_260002_003 ký ngày 01/01/2026 (Đợt 1) HĐ số 5</t>
  </si>
  <si>
    <t>Nhận Dịch vụ quảng cáo và truyền thông theo Hợp đồng số HDDV/OLAYxVĐxHOANGTHACH/301125 ký ngày 30/11/2025 (Đợt 1) HĐ số 2</t>
  </si>
  <si>
    <t>Nhận Dịch vụ quảng cáo và truyền thông theo Hợp đồng số FINTVN-ATTENIR3-2025-52 ký ngày 10/11/2025 (Đợt 2) và Biên bản nghiệm thu ký ngày 29/01/2026 HĐ số 9</t>
  </si>
  <si>
    <t>Nhận Phí dịch vụ sử dụng hình ảnh tháng 02-04/2026 theo Hợp đồng số 010825/ PLHĐHTDV/ THT-TANE ký ngày 31/01/2026 HĐ số 13</t>
  </si>
  <si>
    <t>Nhận Dịch vụ quảng cáo và truyền thông theo Hợp đồng số HKD HOANGTHACH_ THE SAEM_05122025 ký ngày 05/12/2025 (Đợt 2 50% còn lại) và Biên bản nghiệm thu ký ngày 15/01/2026 HĐ số 6</t>
  </si>
  <si>
    <t>Nhận Dịch vụ quảng cáo và truyền thông theo Hợp đồng số 01112025/HDDV/SGS-EMB-THT ký ngày 01/11/2025 (Đợt 2) kèm Biên bản nghiệm thu và thanh lý ký ngày 06/02/2026 HĐ số 14</t>
  </si>
  <si>
    <t>Nhận chuyển khoản nhầm</t>
  </si>
  <si>
    <t>Hoàn trả chuyển nhầm</t>
  </si>
  <si>
    <t>Thanh toán Phí dịch vụ tư vấn tháng 02/2026 HĐ số 65</t>
  </si>
  <si>
    <t>Nhận Dịch vụ quảng cáo và truyền thông theo Hợp đồng số FINTVN-KAO7-2025-197 ký ngày 12/12/2025 (Đợt 2) và Biên bản nghiệm thu ký ngày 29/01/2026 HĐ số 8</t>
  </si>
  <si>
    <t>Nhận Thanh toán 50% (Đợt 2) phí dịch vụ theo Hợp đồng số HD01012026/TIRTIR_ASIACONSULTING_HOANGTHACH ký ngày 01/01/2026 và Biên bản nghiệm thu ký ngày 03/03/2026 HĐ số 20</t>
  </si>
  <si>
    <t>Nhận Dịch vụ quảng cáo và truyền thông theo Hợp đồng số BD/VZONE/HOANGTHACH/LASHE202603 ký ngày 27/02/2026 (Đợt 1) HĐ số 17</t>
  </si>
  <si>
    <t>Chuyển khoản nhầm</t>
  </si>
  <si>
    <t>Nhận lại tiền chuyển khoản nhầm</t>
  </si>
  <si>
    <t>Thanh toán Phí dịch vụ tư vấn tháng 03/2026 HĐ số 107</t>
  </si>
  <si>
    <t>Nhận Doanh thu Dịch vụ quảng cáo và truyền thông theo Hợp đồng số 111125/HDDV/BSTARS-TKMC ký ngày 11/11/2025 và Biên bản nghiệm thu ký ngày 24/12/2025 HĐ số 29</t>
  </si>
  <si>
    <t>Nhận Doanh thu Dịch vụ quảng cáo và truyền thông theo Hợp đồng số 08102025/HĐDV-ZEE-SENKA-CHOULUOIMAKEUP ký ngày 08/10/2025 và Biên bản nghiệm thu ký ngày 23/12/2025 HĐ số 25</t>
  </si>
  <si>
    <t>Nhận Doanh thu Dịch vụ quảng cáo và truyền thông theo Bảng báo giá ký ngày 01/11/2025 của Hợp đồng số 11_2025_TPC0119/HDDV/TPC/2025 ký ngày 01/11/2025 HĐ số 33</t>
  </si>
  <si>
    <t>Nhận Doanh thu Dịch vụ quảng cáo và truyền thông theo Hợp đồng số 29122025.HDDV. SPARKLE.MINHCHAU ký ngày 29/12/2025 HĐ số 32</t>
  </si>
  <si>
    <t>Nhận Doanh thu Thanh toán 100% phí dịch vụ 3CE - KOC Hub Dec - Video - Scope 3 - 3012 SOW số 32018/2025/WPP-BTL-LO ID Tiktok: chouchinchan HĐ số 23</t>
  </si>
  <si>
    <t>Nhận Doanh thu Dịch vụ quảng cáo và truyền thông theo Hợp đồng số 18122025/HDDV/UPBASE-MISSSAIGON-CHOUCHINCHAN ký ngày 18/12/2025 và Biên bản nghiệm thu ký ngày 29/12/2025 HĐ số 31</t>
  </si>
  <si>
    <t>Nhận Doanh thu Phí sử dụng hình ảnh theo Hợp đồng số 31/12-2025/HĐMKT - BM/01 ký ngày 31/12/2025 HĐ số 34</t>
  </si>
  <si>
    <t>Nhận Doanh thu Phí dịch vụ sử dụng hình ảnh theo Hợp đồng số 1011/2025/TTS/CHAULUOIMAKEUP/SHISEIDO ký ngày 10/11/2025 và Biên bản nghiệm thu ký ngày 05/12/2025 HĐ số 21</t>
  </si>
  <si>
    <t>Nhận Doanh thu Dịch vụ quảng cáo và truyền thông theo Hợp đồng số 1411/2025/HĐDV/UNI_HKDTKMC ký ngày 10/11/2025 HĐ số 27</t>
  </si>
  <si>
    <t>Nhận Thanh toán 100% phí dịch vụ 3CE - KOC Hub Jan - Video - Scope 3 - 300126 SOW số 35155/2025/WPP-BTL-LO ID Tiktok: chouchinchan HĐ số 2</t>
  </si>
  <si>
    <t>Nộp Thuế GTGT, TNCN 2025.Q4</t>
  </si>
  <si>
    <t>Nhận Dịch vụ quảng cáo và truyền thông theo Phụ lục 01 ký ngày 23/01/2026 của Hợp đồng số 23122025/THIENKIMMINHCHAU/HDDV/NETWORK-KD ký ngày 23/12/2025 HĐ số 5</t>
  </si>
  <si>
    <t>Nhận Dịch vụ quảng cáo và truyền thông theo Hợp đồng số I05606H_HDDV/HIIP-2026 ký ngày 09/01/2026 và Biên bản nghiệm thu ký ngày 30/01/2026 HĐ số 6</t>
  </si>
  <si>
    <t>Nhận Dịch vụ quảng cáo và truyền thông theo Hợp đồng số 2801/2026/HDDV/CL/DM&amp;C-HKDTKMC ký ngày 28/01/2026 HĐ số 9</t>
  </si>
  <si>
    <t>Nhận Thanh toán phí dịch vụ theo Hợp đồng số HD01012026/DRG_ASIACONSULTING_CHOUCHINCHAN ký ngày 01/01/2026 kèm Biên bản nghiệm thu và thanh lý ký ngày 30/01/2026 HĐ số 4</t>
  </si>
  <si>
    <t>Nhận Dịch vụ quảng cáo và truyền thông theo Hợp đồng số 1001/2026/HDDV-LEMONADE.MINHCHAU ký ngày 10/01/2026 kèm Biên bản nghiệm thu và thanh lý ký ngày 09/02/2026 HĐ số 10</t>
  </si>
  <si>
    <t>Nhận Dịch vụ quảng cáo và truyền thông theo Hợp đồng số 2412/2025/HDDV-GSLAY.MINHCHAU ký ngày 24/12/2025 kèm Biên bản nghiệm thu và thanh lý ký ngày 02/02/2026 HĐ số 7</t>
  </si>
  <si>
    <t>Nhận Dịch vụ quảng cáo và truyền thông theo Hợp đồng số 2012/2025/HDDV-MISTINE.MINHCHAU ký ngày 20/12/2025 và Biên bản nghiệm thu ký ngày 10/02/2026 HĐ số 11</t>
  </si>
  <si>
    <t>Nhận Phí sử dụng hình ảnh theo Hợp đồng số 23012026/HDDV/UPBASE-MISSSAIGON-CHOUCHINCHAN ký ngày 23/01/2026 HĐ số 3</t>
  </si>
  <si>
    <t>Nhận Dịch vụ quảng cáo và truyền thông theo Hợp đồng số 583KOC/12.25/HĐDV ký ngày 01/12/2025 kèm Biên bản nghiệm thu và thanh lý ký ngày 09/01/2026 HĐ số 1</t>
  </si>
  <si>
    <t>Nhận Thanh toán 100% phí dịch vụ SHU - SPRINGFUL BEATS - Jan 2026 - SCOPE 2 - 1003 SOW số 36752/2025/WPP-BTL-LO ID Tiktok: chouchinchan HĐ số 13</t>
  </si>
  <si>
    <t>Nhận Dịch vụ quảng cáo và truyền thông theo Hợp đồng số 414/2026/HDDV/SPV - kolchouluoimakeup ký ngày 02/01/2026 và Biên bản nghiệm thu ký ngày 10/02/2026 HĐ số 12</t>
  </si>
  <si>
    <t>Chi phí đồ dùng văn phòng HĐ số 30889</t>
  </si>
  <si>
    <t>Chi phí tiếp khách, ngoại giao HĐ số 22907</t>
  </si>
  <si>
    <t>Chi phí tiếp khách, ngoại giao HĐ số 21377</t>
  </si>
  <si>
    <t>Chi phí tiếp khách, ngoại giao HĐ số 72</t>
  </si>
  <si>
    <t>Chi phí tiếp khách, ngoại giao HĐ số 784</t>
  </si>
  <si>
    <t>Chi phí tiếp khách, ngoại giao HĐ số 978</t>
  </si>
  <si>
    <t>Chi phí tiếp khách, ngoại giao HĐ số 120</t>
  </si>
  <si>
    <t>Chi phí tiếp khách, ngoại giao HĐ số 981596</t>
  </si>
  <si>
    <t>Chi phí tiếp khách, ngoại giao HĐ số 10503</t>
  </si>
  <si>
    <t>Thanh toán Cước phí vận chuyển mã A-8QWPT9IGW6V4AV Phí dịch vụ mã A-8QWPT9IGW6V4AV HĐ số 2594</t>
  </si>
  <si>
    <t>Thanh toán Chi phí đồ dùng văn phòng HĐ số 30889</t>
  </si>
  <si>
    <t>Thanh toán Thịt bò ướp vị hoa quả Trà Kombucha Azaana Vị Mơ Má Đào 330Ml Coca Cola Lon 320ml Combo lẩu tiểu phát Phí dịch vụ 10% Nấm tiên Mỳ tôm HĐ số 7920</t>
  </si>
  <si>
    <t>Thanh toán Chi phí tiếp khách, ngoại giao HĐ số 22907</t>
  </si>
  <si>
    <t>Thanh toán Cước phí vận chuyển mã A-8Q3R4UBWWFBXAV Phí dịch vụ mã A-8Q3R4UBWWFBXAV HĐ số 4389</t>
  </si>
  <si>
    <t>Thanh toán Cước phí vận chuyển mã A-8Q4EESCWXCKKAV Phí dịch vụ mã A-8Q4EESCWXCKKAV HĐ số 4971</t>
  </si>
  <si>
    <t>Thanh toán Cước phí vận chuyển mã A-8Q965NCGX79EAV Phí dịch vụ mã A-8Q965NCGX79EAV HĐ số 6927</t>
  </si>
  <si>
    <t>Thanh toán Cước phí vận chuyển mã A-8QGO6SGW3WQOAV Phí dịch vụ mã A-8QGO6SGW3WQOAV HĐ số 9915</t>
  </si>
  <si>
    <t>Thanh toán Cước phí vận chuyển mã A-8QGSOGAW2TABAV Phí dịch vụ mã A-8QGSOGAW2TABAV HĐ số 9900</t>
  </si>
  <si>
    <t>Thanh toán Cước phí vận chuyển mã A-8QHWPIOWWAI8AV Phí dịch vụ mã A-8QHWPIOWWAI8AV HĐ số 10357</t>
  </si>
  <si>
    <t>Thanh toán Chi phí tiếp khách, ngoại giao HĐ số 21377</t>
  </si>
  <si>
    <t>Thanh toán Cước phí vận chuyển mã A-8QKC6MLWWPLUAV Phí dịch vụ mã A-8QKC6MLWWPLUAV HĐ số 11390</t>
  </si>
  <si>
    <t>Thanh toán Cước phí vận chuyển mã A-8QLBMCUWX6OJAV Phí dịch vụ mã A-8QLBMCUWX6OJAV HĐ số 11813</t>
  </si>
  <si>
    <t>Thanh toán Phí dịch vụ tư vấn tháng 12/2025 HĐ số 15</t>
  </si>
  <si>
    <t>Thanh toán Cước phí vận chuyển mã A-8QP9AXKWX869AV Phí dịch vụ mã A-8QP9AXKWX869AV HĐ số 13964</t>
  </si>
  <si>
    <t>Thanh toán Cước phí vận chuyển mã A-8QSVJSNGWMLVAV Phí dịch vụ mã A-8QSVJSNGWMLVAV HĐ số 16192</t>
  </si>
  <si>
    <t>Thanh toán Cước phí vận chuyển mã A-8QT9TW7GWE5RAV Phí dịch vụ mã A-8QT9TW7GWE5RAV HĐ số 16643</t>
  </si>
  <si>
    <t>Thanh toán CƠM CHIÊN CÀ RI SALAD NHIỆT ĐỚI SÚP CÀ CHUA GYOZA TOMYUM NẤM ĐÙI GÀ ÁP CHẢO TEMPURA CÀ CHUA BI NƯỚNG HĐ số 41</t>
  </si>
  <si>
    <t>Thanh toán Cước phí vận chuyển mã A-8RWUNIOGW4VMAV Phí dịch vụ mã A-8RWUNIOGW4VMAV HĐ số 18957</t>
  </si>
  <si>
    <t>Thanh toán Nước Ngọt Pepsi Nước Lọc Aquafina Bí Ngòi Ba Chỉ Bò Mỹ Hàu Hấp Gừng Cồi Sò Điệp Xốt XO Mực Ống Hấp Thái Cá Chép Giòn Hấp Gừng HĐ số 943</t>
  </si>
  <si>
    <t>Thanh toán Cước phí vận chuyển mã A-8RCVHTIGWAFSAV Phí dịch vụ mã A-8RCVHTIGWAFSAV HĐ số 27944</t>
  </si>
  <si>
    <t>Thanh toán Cước phí vận chuyển mã A-8RDU63VWWWOGAV Phí dịch vụ mã A-8RDU63VWWWOGAV HĐ số 28776</t>
  </si>
  <si>
    <t>Thanh toán Trà sen mật ong Cánh gà chiên mắm Cơm trắng HĐ số 160838</t>
  </si>
  <si>
    <t>Thanh toán Cước phí vận chuyển mã A-8ROUM38W2JIWAV Order IN-2-00CM08S7NPH7FBC8MZC4 Phí dịch vụ mã A-8ROUM38W2JIWAV Order IN-2-00CM08S7NPH7FBC8MZC4 HĐ số 17812</t>
  </si>
  <si>
    <t>Thanh toán Cước phí vận chuyển mã A-8RPMAFIGWD9IAV Phí dịch vụ mã A-8RPMAFIGWD9IAV HĐ số 36454</t>
  </si>
  <si>
    <t>Thanh toán Bánh Pizza gà phô mai Bánh Pizza hải sản nhiệt đới Pizza Gấp Đôi Nhân Phủ Hải Sản Pesto Truyền Thống HĐ số 32424</t>
  </si>
  <si>
    <t>Thanh toán Cước phí vận tải chuyến 1282777767 Phí sử dụng ứng dụng Be HĐ số 3925594</t>
  </si>
  <si>
    <t>Thanh toán Chi phí tiếp khách, ngoại giao HĐ số 72</t>
  </si>
  <si>
    <t>Thanh toán Cước phí vận chuyển mã A-8S97OHAGX7P7AV Phí dịch vụ mã A-8S97OHAGX7P7AV HĐ số 49570</t>
  </si>
  <si>
    <t>Thanh toán 찹쌀탕수육 미니- Thịt Heo Chiên Xù Mini 스페셜짬뽕 - Mỳ Champong Hải Sản HĐ số 428</t>
  </si>
  <si>
    <t>Thanh toán Cước phí vận chuyển mã A-8SI7WJBGW86SAV Phí dịch vụ mã A-8SI7WJBGW86SAV HĐ số 55937</t>
  </si>
  <si>
    <t>Thanh toán Cước phí vận tải chuyến 1286655608 Phí sử dụng ứng dụng Be HĐ số 2280870</t>
  </si>
  <si>
    <t>Thanh toán Nước hoa quả nhiệt đới Mỳ tôm Màn Thầu Chiên Nấm tiên Combo lẩu tiểu phát Paste tôm HĐ số 246448</t>
  </si>
  <si>
    <t>Thanh toán Cước phí vận tải chuyến 1292770958 Phí sử dụng ứng dụng Be HĐ số 2999961</t>
  </si>
  <si>
    <t>Thanh toán Cước phí vận chuyển mã A-8TSA3LVWXEJSAV Phí dịch vụ mã A-8TSA3LVWXEJSAV HĐ số 87262</t>
  </si>
  <si>
    <t>Thanh toán Cước phí vận chuyển mã A-8TNP3CHGWC4RAV Phí dịch vụ mã A-8TNP3CHGWC4RAV HĐ số 90753</t>
  </si>
  <si>
    <t>Thanh toán Cước phí vận tải chuyến 1294991948 Phí sử dụng ứng dụng Be HĐ số 3294521</t>
  </si>
  <si>
    <t>Thanh toán Cước phí vận chuyển mã A-8U3Q8VTGXE99AV Phí dịch vụ mã A-8U3Q8VTGXE99AV HĐ số 96750</t>
  </si>
  <si>
    <t>Thanh toán Combo lẩu tiểu phát Paste tôm Nước hoa quả nhiệt đới Đậu hũ pho mai Mỳ tôm Nấm tiên Khăn giấy màng bạc Golden Gate 2025 HĐ số 358954</t>
  </si>
  <si>
    <t>Thanh toán Cước phí vận chuyển mã A-8U7C9OEGWBH9AV Phí dịch vụ mã A-8U7C9OEGWBH9AV HĐ số 99848</t>
  </si>
  <si>
    <t>Thanh toán Cước phí vận chuyển mã A-8UC9T4TGW6KCAV Phí dịch vụ mã A-8UC9T4TGW6KCAV HĐ số 105012</t>
  </si>
  <si>
    <t>Thanh toán Cước phí vận chuyển mã A-8UFJ9XIWW6C9AV Phí dịch vụ mã A-8UFJ9XIWW6C9AV HĐ số 108184</t>
  </si>
  <si>
    <t>Thanh toán Phí dịch vụ tư vấn tháng 01/2026 HĐ số 48</t>
  </si>
  <si>
    <t>Thanh toán Cước phí vận chuyển mã A-8VWXBOIWWD7FAV Phí dịch vụ mã A-8VWXBOIWWD7FAV HĐ số 130769</t>
  </si>
  <si>
    <t>Thanh toán Cước phí vận chuyển mã A-8VX9HQDGWA9EAV Phí dịch vụ mã A-8VX9HQDGWA9EAV HĐ số 132410</t>
  </si>
  <si>
    <t>Thanh toán Cước phí vận chuyển mã A-8V5U76CGXCCJAV Phí dịch vụ mã A-8V5U76CGXCCJAV HĐ số 135716</t>
  </si>
  <si>
    <t>Thanh toán Cước phí vận tải chuyến 1306391429 Phí sử dụng ứng dụng Be HĐ số 4404083</t>
  </si>
  <si>
    <t>Thanh toán Hộp Quà Vip Bát Mã - Chai Rượu Vang Đỏ HĐ số 3837</t>
  </si>
  <si>
    <t>Thanh toán Hộp Quà VIP Bát Mã Vang Đỏ - Flash sale Ổi Ruby Tiền Giang Hạt Điều Thảo Mộc Bò Củ Chi Mộc Vị Gà Sấy Lá Chanh Hồng Trà Cam Quế Củ Sen Bơ Tỏi HĐ số 3836</t>
  </si>
  <si>
    <t>Thanh toán Tròng kính CHEMI 1.74 ASP PERFECT UV CRYSTAL U6 COATED Tròng kính CHEMI 1.74 ASP PERFECT UV CRYSTAL U6 COATED Gọng kính thời trang, mã hàng: AN8069(6228) HĐ số 43146</t>
  </si>
  <si>
    <t>Thanh toán Thịt dẻ sườn Thịt ba chỉ bò Canh thịt bò hầm cay Trứng hấp HĐ số 224</t>
  </si>
  <si>
    <t>Thanh toán Cánh gà chiên mắm Canh Chua Cá Hú Cơm trắng Bình trà đá Khăn giấy màng bạc Golden Gate 2025 HĐ số 494109</t>
  </si>
  <si>
    <t>Thanh toán Cước phí vận chuyển mã A-8VOIEOGWWF5SAV Phí dịch vụ mã A-8VOIEOGWWF5SAV HĐ số 151461</t>
  </si>
  <si>
    <t>Thanh toán Cước phí vận chuyển mã A-8VP9XUHWXWODAV Phí dịch vụ mã A-8VP9XUHWXWODAV HĐ số 152031</t>
  </si>
  <si>
    <t>Thanh toán Cước phí vận chuyển mã A-8VSQ4DTWWKADAV Phí dịch vụ mã A-8VSQ4DTWWKADAV HĐ số 153561</t>
  </si>
  <si>
    <t>Thanh toán Cước phí vận chuyển mã A-9WX8G8FWXCUEAV Phí dịch vụ mã A-9WX8G8FWXCUEAV HĐ số 154830</t>
  </si>
  <si>
    <t>Thanh toán Lẩu cá tầm - 350K 385k - Mẹt Gà Tây Bắc Nộm bò ba miền 7up suối Rượu Mơ Tây Bắc Sting Pepsi bún Gà Nướng Tiêu Xanh Phụ Thu tết thuế suất 8% Phụ Thu tết thuế suất 10% HĐ số 1968</t>
  </si>
  <si>
    <t>Thanh toán Cước phí vận tải chuyến 1318440823 Phí sử dụng ứng dụng Be HĐ số 12297530</t>
  </si>
  <si>
    <t>Thanh toán Sydney-TP Hồ Chí Minh-Sydney Sydney-TP Hồ Chí Minh-Sydney Phí dịch vụ vé máy bay HĐ số 10191</t>
  </si>
  <si>
    <t>Thanh toán Chi phí tiếp khách, ngoại giao HĐ số 784</t>
  </si>
  <si>
    <t>Thanh toán Cước phí vận tải chuyến 1320937563 Phí sử dụng ứng dụng Be HĐ số 5794263</t>
  </si>
  <si>
    <t>Thanh toán CÁNH GÀ CHIÊN NƯỚC MẮM CANH TOMYUM HẢI SẢN CƠM CHIÊN TRÁI THƠM GỎI CÁ HỒI KHĂN ƯỚT TÔM TÊ TÁI TRÀ ATISO TRÀ CHANH THÁI CHADA TRÀ ĐÀO TRÀ SỮA THÁI ĐỎ XÔI XOÀI HĐ số 340</t>
  </si>
  <si>
    <t>Thanh toán Chi phí tiếp khách, ngoại giao HĐ số 978</t>
  </si>
  <si>
    <t>Thanh toán Nấm nhung hươu Há cảo se điếu Nấm tiên Mỳ Trùng Khánh Combo lẩu tiểu phát Khăn giấy màng bạc Golden Gate 2025 HĐ số 771866</t>
  </si>
  <si>
    <t>Thanh toán AO JACKET CHONG GI HĐ số 82074</t>
  </si>
  <si>
    <t>Thanh toán Dịch vụ ăn uống theo bill số 334882 - 07/03/2026 (Chay) Phô Mai Burrata với trái cây nhiệt đới (75g) Mì Ý bò bằm và phô mai hun khói nhà làm HĐ số 13465</t>
  </si>
  <si>
    <t>Thanh toán Chi phí tiếp khách, ngoại giao HĐ số 120</t>
  </si>
  <si>
    <t>Thanh toán Phí dịch vụ tư vấn tháng 02/2026 HĐ số 85</t>
  </si>
  <si>
    <t>Thanh toán CÁNH GÀ CHIÊN NƯỚC MẮM CANH TOMYUM HẢI SẢN CƠM CHIÊN TRÁI THƠM TRÀ ATISO TRÀ CHANH THÁI CHADA HĐ số 398</t>
  </si>
  <si>
    <t>Thanh toán Bình trà đá BV Buffet xèo xèo NL (C) Vé Buffet Panchan Khăn giấy màng bạc Gogi HĐ số 867820</t>
  </si>
  <si>
    <t>Thanh toán Chi phí tiếp khách, ngoại giao HĐ số 981596</t>
  </si>
  <si>
    <t>Thanh toán Cước phí vận tải chuyến 1343476268 Phí sử dụng ứng dụng Be HĐ số 8440630</t>
  </si>
  <si>
    <t>Thanh toán Chi phí tiếp khách, ngoại giao HĐ số 10503</t>
  </si>
  <si>
    <t>Thanh toán Nước Soda Chanh Yuzu Gía trên đã được chiết khấu 5% HĐ số 10504</t>
  </si>
  <si>
    <t>Thanh toán Cước phí vận tải chuyến 1345759116 Phí sử dụng ứng dụng Be HĐ số 8721404</t>
  </si>
  <si>
    <t>Điều chỉnh giảm Dịch vụ quảng cáo và truyền thông theo Hợp đồng số 583KOC/12.25/HĐDV ký ngày 01/12/2025 kèm Biên bản nghiệm thu và thanh lý ký ngày 09/01/2026 HĐ số 1</t>
  </si>
  <si>
    <t>Điều chỉnh giảm Thanh toán 100% phí dịch vụ 3CE - KOC Hub Jan - Video - Scope 3 - 300126 SOW số 35155/2025/WPP-BTL-LO ID Tiktok: chouchinchan HĐ số 2</t>
  </si>
  <si>
    <t>Điều chỉnh giảm Phí sử dụng hình ảnh theo Hợp đồng số 23012026/HDDV/UPBASE-MISSSAIGON-CHOUCHINCHAN ký ngày 23/01/2026 HĐ số 3</t>
  </si>
  <si>
    <t>Điều chỉnh giảm Dịch vụ quảng cáo và truyền thông theo Hợp đồng số I05606H_HDDV/HIIP-2026 ký ngày 09/01/2026 và Biên bản nghiệm thu ký ngày 30/01/2026 HĐ số 6</t>
  </si>
  <si>
    <t>Điều chỉnh giảm Dịch vụ quảng cáo và truyền thông theo Phụ lục 01 ký ngày 23/01/2026 của Hợp đồng số 23122025/THIENKIMMINHCHAU/HDDV/NETWORK-KD ký ngày 23/12/2025 HĐ số 5</t>
  </si>
  <si>
    <t>Điều chỉnh giảm Thanh toán phí dịch vụ theo Hợp đồng số HD01012026/DRG_ASIACONSULTING_CHOUCHINCHAN ký ngày 01/01/2026 kèm Biên bản nghiệm thu và thanh lý ký ngày 30/01/2026 HĐ số 4</t>
  </si>
  <si>
    <t>Điều chỉnh giảm Dịch vụ quảng cáo và truyền thông theo Hợp đồng số 2412/2025/HDDV-GSLAY.MINHCHAU ký ngày 24/12/2025 kèm Biên bản nghiệm thu và thanh lý ký ngày 02/02/2026 HĐ số 7</t>
  </si>
  <si>
    <t>Điều chỉnh giảm Dịch vụ quảng cáo và truyền thông theo Hợp đồng số 0501.2026/HDDV/UPBASE-L.ASY-chouchinchan ký ngày 05/01/2026 và Biên bản nghiệm thu ký ngày 03/02/2026 HĐ số 8</t>
  </si>
  <si>
    <t>Điều chỉnh giảm Dịch vụ quảng cáo và truyền thông theo Hợp đồng số 1001/2026/HDDV-LEMONADE.MINHCHAU ký ngày 10/01/2026 kèm Biên bản nghiệm thu và thanh lý ký ngày 09/02/2026 HĐ số 10</t>
  </si>
  <si>
    <t>Điều chỉnh giảm Dịch vụ quảng cáo và truyền thông theo Hợp đồng số 2801/2026/HDDV/CL/DM&amp;C-HKDTKMC ký ngày 28/01/2026 HĐ số 9</t>
  </si>
  <si>
    <t>Điều chỉnh giảm Dịch vụ quảng cáo và truyền thông theo Hợp đồng số 2012/2025/HDDV-MISTINE.MINHCHAU ký ngày 20/12/2025 và Biên bản nghiệm thu ký ngày 10/02/2026 HĐ số 11</t>
  </si>
  <si>
    <t>Điều chỉnh giảm Dịch vụ quảng cáo và truyền thông theo Hợp đồng số 414/2026/HDDV/SPV - kolchouluoimakeup ký ngày 02/01/2026 và Biên bản nghiệm thu ký ngày 10/02/2026 HĐ số 12</t>
  </si>
  <si>
    <t>Điều chỉnh giảm Thanh toán 100% phí dịch vụ SHU - SPRINGFUL BEATS - Jan 2026 - SCOPE 2 - 1003 SOW số 36752/2025/WPP-BTL-LO ID Tiktok: chouchinchan HĐ số 13</t>
  </si>
  <si>
    <t>Điều chỉnh giảm Thanh toán 100 phí dịch vụ OAP - Infallible Cushion - Video - Scope 3 - 1002 SOW số 36538/2025/WPP-BTL-LO ID Tiktok: chouchinchan HĐ số 14</t>
  </si>
  <si>
    <t>Điều chỉnh giảm Phí dịch vụ sử dụng hình ảnh theo Hợp đồng số 1802/2026/HDDV-MISTINE.MINHCHAU ký ngày 18/02/2026 HĐ số 15</t>
  </si>
  <si>
    <t>Điều chỉnh giảm Dịch vụ quảng cáo và truyền thông theo Hợp đồng số 0203/2026/HDDV/BR/DM&amp;C-HKDTKMC ký ngày 02/03/2026 HĐ số 16</t>
  </si>
  <si>
    <t>Điều chỉnh giảm Thanh toán 100% phí dịch vụ 3CE - KOC Hub Mar - Video - Scope 3 - 300326 SOW số 39407/2025/WPP-BTL-LO ID Tiktok: chouchinchan HĐ số 17</t>
  </si>
  <si>
    <t>Điều chỉnh giảm Dịch vụ quảng cáo và truyền thông theo Biên bản nghiệm thu Phụ lục 01 ký ngày 27/03/2026 của Hợp đồng nguyên tắc số 01032026/JOYGROUP/HĐNT/HKDTHIENKIMMINHCHAU/DCV ký ngày 01/03/2026 HĐ số 18</t>
  </si>
  <si>
    <t>Nhận Phí sử dụng hình ảnh theo Hợp đồng số HDDV/PANTENEADSxVĐxHOANGTHACH/230126 ký ngày 23/01/2026 HĐ số 25</t>
  </si>
  <si>
    <t>Nhận Phí sử dụng hình ảnh theo Hợp đồng số T04MPD26HDDV-0063-0011 HOANGTHACH ký ngày 27/02/2026 HĐ số 18</t>
  </si>
  <si>
    <t>Nhận Dịch vụ quảng cáo và truyền thông thông theo Hợp đồng số 24112025/HDDV/ES-MK-HT ký ngày 24/11/2025 (Đợt 2) và Biên bản nghiệm thu ký ngày 18/03/2026 HĐ số 24</t>
  </si>
  <si>
    <t>Nhận Dịch vụ quảng cáo và truyền thông theo Hợp đồng số VTCOSMETICS_Silicon2_03122025_hoangthachhh ký ngày 08/12/2025 (Đợt 2) HĐ số 22</t>
  </si>
  <si>
    <t>Nhận Phí thực hiện sản xuất và đăng tải video review sản phẩm thuộc thương hiệu Cocoon Việt Nam theo hợp đồng số 20042025/HĐDV/Y&amp;B ký ngày 01/12/2025 (Đợt 2) HĐ số 15</t>
  </si>
  <si>
    <t>0000000006</t>
  </si>
  <si>
    <t>0313438930</t>
  </si>
  <si>
    <t>0316123992</t>
  </si>
  <si>
    <t>0402256019</t>
  </si>
  <si>
    <t>Nhận Dịch vụ quảng cáo và truyền thông theo Hợp đồng số HKDANVY/20251201 ký ngày 29/11/2025 (Đợt 2) kèm Biên bản nghiệm thu ký ngày 13/01/2026 HĐ số 1</t>
  </si>
  <si>
    <t>0107968516</t>
  </si>
  <si>
    <t>Nhận Doanh thu Dịch vụ quảng cáo và truyền thông theo Hợp đồng số 13112025/HDDV/VUANEM-ANVYOFFICIAL/DUNLOPILLOPOWERFUL ký ngày 13/11/2025 và Biên bản nghiệm thu ký ngày 23/11/2025 HĐ số 6</t>
  </si>
  <si>
    <t>Nộp thuế</t>
  </si>
  <si>
    <t>Nhận Dịch vụ quảng cáo và truyền thông theo Hợp đồng số 0901/2026/HDDV-MKT-GS ký ngày 09/01/2026 HĐ số 3</t>
  </si>
  <si>
    <t>Nhận Dịch vụ quảng cáo và truyền thông theo Hợp đồng số 01/HĐDV/LU-AnVy ký ngày 10/02/2026 (Đợt 1) HĐ số 4</t>
  </si>
  <si>
    <t>Nhận tiền chuyển khoản nhầm</t>
  </si>
  <si>
    <t>Nhận Dịch vụ sáng tạo nội dung, tư vấn thương hiệu theo Hợp đồng số 060126/HĐTV-PJSB ký ngày 06/01/2026 (Đợt 1) HĐ số 1</t>
  </si>
  <si>
    <t>Nhận Dịch vụ sáng tạo nội dung, tư vấn cho thương hiệu theo Hợp đồng số 060126/HĐTV-INNO ký ngày 06/01/2026 (Đợt 1) HĐ số 2</t>
  </si>
  <si>
    <t>Nhận Dịch vụ tư vấn phát triển thương hiệu theo Hợp đồng số 090126 ký ngày 09/01/2026 (Đợt 1) HĐ số 3</t>
  </si>
  <si>
    <t>Nhận Dịch vụ tư vấn quản lý tháng 01/2026 theo Hợp đồng số 03/2025/HĐ/KTGEMARI ký ngày 04/06/2025 HĐ số 4</t>
  </si>
  <si>
    <t>Nộp Thuế GTGT, TNCN</t>
  </si>
  <si>
    <t>Thanh toán lương tháng 2026.01 (Mai Thúy Vân)</t>
  </si>
  <si>
    <t>Thanh toán lương tháng 2026.01 (Nguyễn Ngọc Bảo Trâm)</t>
  </si>
  <si>
    <t>Thanh toán lương tháng 2026.01 (Trần Thị Mỹ Ngân)</t>
  </si>
  <si>
    <t>Nhận Dịch vụ tư vấn, quản lý sự kiện liên hoan cuối năm theo Hợp đồng số 310126/HĐTVCHCD ký ngày 31/01/2026 HĐ số 6</t>
  </si>
  <si>
    <t>Nhận Dịch vụ tư vấn quản lý tháng 01/2026 theo Hợp đồng số 0506/2025/HĐ/KTHKDTTT ký ngày 05/06/2025 và Biên bản nghiệm thu ký ngày 05/02/2026 HĐ số 7</t>
  </si>
  <si>
    <t>Nhận Dịch vụ sáng tạo nội dung, bài viết quảng cáo cho thương hiệu theo Hợp đồng số 270825/HĐTVMOCHA ký ngày 28/08/2025 (Đợt 2) kèm Biên bản nghiệm thu ký ngày 02/02/2026 HĐ số 5</t>
  </si>
  <si>
    <t>Nhận Dịch vụ quảng cáo và truyền thông theo Hợp đồng số 252026/HĐDV/Y&amp;B ký ngày 01/01/2026 kèm Biên bản nghiệm thu và thanh toán số 252026/BBNT-TT/Y&amp;B ký ngày 06/02/2026 HĐ số 8</t>
  </si>
  <si>
    <t>Nhận Dịch vụ tư vấn quản lý tháng 02/2026 theo Hợp đồng số 03/2025/HĐ/KTGEMARI ký ngày 04/06/2025 HĐ số 11</t>
  </si>
  <si>
    <t>Nhận Phí dịch vụ quản lý theo Hợp đồng số 01012026/HDDV – EZS X HKD TÂM TÀI TRÍ ký ngày 01/01/2026 kèm Biên bản nghiệm thu và thanh lý số 01012026/BBNT – EZS X HKD TÂM TÀI TRÍ ký ngày 06/02/2026 HĐ số 9</t>
  </si>
  <si>
    <t>Hoàn trả chuyển khoản nhầm</t>
  </si>
  <si>
    <t>Nhận Dịch vụ tư vấn, quản lý chiến dịch truyền thông quảng bá sản phẩm theo Hợp đồng số 28012026/HĐTVIS ký ngày 28/01/2026 (Đợt 1) HĐ số 10</t>
  </si>
  <si>
    <t>Nhận Dịch vụ tư vấn, quản lý chiến dịch truyền thông quảng bá thương hiệu theo Hợp đồng số 120126/HĐTVEF ký ngày 30/01/2026 (Đợt 1) HĐ số 13</t>
  </si>
  <si>
    <t>Thanh toán lương tháng 2026.02 (Nguyễn Ngọc Bảo Trâm)</t>
  </si>
  <si>
    <t>Thanh toán lương tháng 2026.02 (Mai Thúy Vân)</t>
  </si>
  <si>
    <t>Thanh toán lương tháng 2026.02 (Trần Thị Mỹ Ngân)</t>
  </si>
  <si>
    <t>Thanh toán lương tháng 2026.02 (Nguyễn Thị Phương Trang)</t>
  </si>
  <si>
    <t>Nhận Dịch vụ tư vấn quản lý tháng 02/2026 theo Hợp đồng số 0506/2025/HĐ/KTHKDTTT ký ngày 05/06/2025 và Biên bản nghiệm thu ký ngày 09/03/2026 HĐ số 14</t>
  </si>
  <si>
    <t>Nhận Dịch vụ sáng tạo nội dung, bài viết quảng cáo thương hiệu tháng 01 và 02/2026 theo Hợp đồng số 200925/HĐTVWELOVE ký ngày 20/09/2025 kèm Biên bản nghiệm thu ký ngày 10/03/2026 HĐ số 15</t>
  </si>
  <si>
    <t>Nhận Dịch vụ tư vấn tư vấn và phát triển thương hiệu theo Hợp đồng số 080126/HĐ/ TTTĐM ký ngày 08/01/2026 (Đợt 1) HĐ số 16</t>
  </si>
  <si>
    <t>Nhận Dịch vụ tư vấn quản lý tháng 03/2026 theo Hợp đồng số 03/2025/HĐ/KTGEMARI ký ngày 04/06/2025 HĐ số 18</t>
  </si>
  <si>
    <t>Thanh toán Phí dịch vụ tư vấn tháng 02-03/2026 HĐ số 101</t>
  </si>
  <si>
    <t>Nhận Dịch vụ sáng tạo nội dung, tư vấn cho thương hiệu theo Hợp đồng số 060126/HĐTV-INNO ký ngày 06/01/2026 (Đợt 2) và Biên bản nghiệm thu ký ngày 23/03/2026 HĐ số 19</t>
  </si>
  <si>
    <t>Nhận Phí dịch vụ quản lý theo Hợp đồng số 3332026/HDDV – EZS X HKD TÂM TÀI TRÍ ký ngày 01/03/2026 kèm Biên bản nghiệm thu và thanh lý số 3332026/BBNT – EZS X HKD TÂM TÀI TRÍ ký ngày 14/03/2026 HĐ số 17</t>
  </si>
  <si>
    <t>Thanh toán lương tháng 2026.03 (Nguyễn Ngọc Bảo Trâm)</t>
  </si>
  <si>
    <t>Thanh toán lương tháng 2026.03 (Nguyễn Thị Phương Trang)</t>
  </si>
  <si>
    <t>Thanh toán lương tháng 2026.03 (Huỳnh Quốc Bảo)</t>
  </si>
  <si>
    <t>Thanh toán lương tháng 2026.03 (Mai Thúy Vân)</t>
  </si>
  <si>
    <t>Chi phí tiếp khách, ngoại giao HĐ số 13</t>
  </si>
  <si>
    <t>Thanh toán Phí dịch vụ Affiliate 12/2025_17364280326 HĐ số 15169</t>
  </si>
  <si>
    <t>Thanh toán VÉ MÁY BAY QUỐC NỘI
7382317667450 / SGNVNHAN
7382317667451 / SGNVNHAN
7382317667452 / SGNVNHAN HĐ số 1623</t>
  </si>
  <si>
    <t>Thanh toán Phí dịch vụ tư vấn tháng 12/2025 HĐ số 25</t>
  </si>
  <si>
    <t>Thanh toán Phí dịch vụ Affiliate 01/2026_17364280326 (Affiliate Service fee 01/2026_17364280326) HĐ số 747756</t>
  </si>
  <si>
    <t>Thanh toán Phí dịch vụ tư vấn tháng 01/2026 HĐ số 62</t>
  </si>
  <si>
    <t>Thanh toán 7382319064862 / SGNVNHAN
7382319064865 / HANVNSGN HĐ số 19656</t>
  </si>
  <si>
    <t>Thanh toán Phí dịch vụ Affiliate 02/2026_17364280326 (Affiliate Service fee 02/2026_17364280326) HĐ số 1564274</t>
  </si>
  <si>
    <t>Thanh toán 7382319385249 / HANVNSGN HĐ số 23285</t>
  </si>
  <si>
    <t>Thanh toán Thanh toán Chi phí tiếp khách, ngoại giao HĐ số 13</t>
  </si>
  <si>
    <t>Thanh toán COCOON Mặt nạ nghệ Hưng Yên 30ML
COCOON - Cà phê Đắk Lắk làm sạch da chết cơ thể 200ML
COCOON Son dưỡng dầu dừa Bến Tre 5G
(Hàng tặng không thu tiền) HĐ số 11311</t>
  </si>
  <si>
    <t>Thanh toán 7382319746523 / SGNVNHAN HĐ số 29147</t>
  </si>
  <si>
    <t>Thanh toán 7382319909995 / HANVNSGN HĐ số 31556</t>
  </si>
  <si>
    <t>Điều chỉnh giảm Dịch vụ sáng tạo nội dung, tư vấn thương hiệu theo Hợp đồng số 060126/HĐTV-PJSB ký ngày 06/01/2026 (Đợt 1) HĐ số 1</t>
  </si>
  <si>
    <t>Điều chỉnh giảm Dịch vụ sáng tạo nội dung, tư vấn cho thương hiệu theo Hợp đồng số 060126/HĐTV-INNO ký ngày 06/01/2026 (Đợt 1) HĐ số 2</t>
  </si>
  <si>
    <t>Điều chỉnh giảm Dịch vụ tư vấn phát triển thương hiệu theo Hợp đồng số 090126 ký ngày 09/01/2026 (Đợt 1) HĐ số 3</t>
  </si>
  <si>
    <t>Điều chỉnh giảm Dịch vụ tư vấn quản lý tháng 01/2026 theo Hợp đồng số 03/2025/HĐ/KTGEMARI ký ngày 04/06/2025 HĐ số 4</t>
  </si>
  <si>
    <t>Điều chỉnh giảm Dịch vụ sáng tạo nội dung, bài viết quảng cáo cho thương hiệu theo Hợp đồng số 270825/HĐTVMOCHA ký ngày 28/08/2025 (Đợt 2) kèm Biên bản nghiệm thu ký ngày 02/02/2026 HĐ số 5</t>
  </si>
  <si>
    <t>Điều chỉnh giảm Dịch vụ tư vấn, quản lý sự kiện liên hoan cuối năm theo Hợp đồng số 310126/HĐTVCHCD ký ngày 31/01/2026 HĐ số 6</t>
  </si>
  <si>
    <t>Điều chỉnh giảm Dịch vụ tư vấn quản lý tháng 01/2026 theo Hợp đồng số 0506/2025/HĐ/KTHKDTTT ký ngày 05/06/2025 và Biên bản nghiệm thu ký ngày 05/02/2026 HĐ số 7</t>
  </si>
  <si>
    <t>Điều chỉnh giảm Dịch vụ quảng cáo và truyền thông theo Hợp đồng số 252026/HĐDV/Y&amp;B ký ngày 01/01/2026 kèm Biên bản nghiệm thu và thanh toán số 252026/BBNT-TT/Y&amp;B ký ngày 06/02/2026 HĐ số 8</t>
  </si>
  <si>
    <t>Điều chỉnh giảm Phí dịch vụ quản lý theo Hợp đồng số 01012026/HDDV – EZS X HKD TÂM TÀI TRÍ ký ngày 01/01/2026 kèm Biên bản nghiệm thu và thanh lý số 01012026/BBNT – EZS X HKD TÂM TÀI TRÍ ký ngày 06/02/2026 HĐ số 9</t>
  </si>
  <si>
    <t>Điều chỉnh giảm Dịch vụ tư vấn, quản lý chiến dịch truyền thông quảng bá sản phẩm theo Hợp đồng số 28012026/HĐTVIS ký ngày 28/01/2026 (Đợt 1) HĐ số 10</t>
  </si>
  <si>
    <t>Điều chỉnh giảm Dịch vụ tư vấn quản lý tháng 02/2026 theo Hợp đồng số 03/2025/HĐ/KTGEMARI ký ngày 04/06/2025 HĐ số 11</t>
  </si>
  <si>
    <t>Điều chỉnh giảm Dịch vụ soạn thảo nội dung báo cáo nghiên cứu khoa học theo Hợp đồng số 011025/HĐTVEF ký ngày 01/10/2025 HĐ số 12</t>
  </si>
  <si>
    <t>Điều chỉnh giảm Dịch vụ tư vấn, quản lý chiến dịch truyền thông quảng bá thương hiệu theo Hợp đồng số 120126/HĐTVEF ký ngày 30/01/2026 (Đợt 1) HĐ số 13</t>
  </si>
  <si>
    <t>Điều chỉnh giảm Dịch vụ tư vấn quản lý tháng 02/2026 theo Hợp đồng số 0506/2025/HĐ/KTHKDTTT ký ngày 05/06/2025 và Biên bản nghiệm thu ký ngày 09/03/2026 HĐ số 14</t>
  </si>
  <si>
    <t>Điều chỉnh giảm Dịch vụ sáng tạo nội dung, bài viết quảng cáo thương hiệu tháng 01 và 02/2026 theo Hợp đồng số 200925/HĐTVWELOVE ký ngày 20/09/2025 kèm Biên bản nghiệm thu ký ngày 10/03/2026 HĐ số 15</t>
  </si>
  <si>
    <t>Điều chỉnh giảm Dịch vụ tư vấn tư vấn và phát triển thương hiệu theo Hợp đồng số 080126/HĐ/ TTTĐM ký ngày 08/01/2026 (Đợt 1) HĐ số 16</t>
  </si>
  <si>
    <t>Điều chỉnh giảm Phí dịch vụ quản lý theo Hợp đồng số 3332026/HDDV – EZS X HKD TÂM TÀI TRÍ ký ngày 01/03/2026 kèm Biên bản nghiệm thu và thanh lý số 3332026/BBNT – EZS X HKD TÂM TÀI TRÍ ký ngày 14/03/2026 HĐ số 17</t>
  </si>
  <si>
    <t>Điều chỉnh giảm Dịch vụ tư vấn quản lý tháng 03/2026 theo Hợp đồng số 03/2025/HĐ/KTGEMARI ký ngày 04/06/2025 HĐ số 18</t>
  </si>
  <si>
    <t>Điều chỉnh giảm Dịch vụ sáng tạo nội dung, tư vấn cho thương hiệu theo Hợp đồng số 060126/HĐTV-INNO ký ngày 06/01/2026 (Đợt 2) và Biên bản nghiệm thu ký ngày 23/03/2026 HĐ số 19</t>
  </si>
  <si>
    <t>Điều chỉnh giảm Thanh toán 100% phí dịch vụ LRP - UVAir Event Launching - Video - Scope 1 - 1004 SOW số 43198/2025/WPP-BTL-LO ID Tiktok: okmoranh6892 HĐ số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</si>
</sst>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43" formatCode="_-* #,##0.00_-;\-* #,##0.00_-;_-* &quot;-&quot;??_-;_-@_-"/>
    <numFmt numFmtId="164" formatCode="_-* #,##0\ _₫_-;\-* #,##0\ _₫_-;_-* &quot;-&quot;\ _₫_-;_-@_-"/>
  </numFmts>
  <fonts count="29" x14ac:knownFonts="1">
    <font>
      <sz val="11"/>
      <color theme="1"/>
      <name val="Calibri"/>
      <family val="2"/>
      <charset val="163"/>
      <scheme val="minor"/>
    </font>
    <font>
      <sz val="10"/>
      <name val="Arial"/>
      <family val="2"/>
    </font>
    <font>
      <b/>
      <sz val="10"/>
      <color rgb="FFFF0000"/>
      <name val="Times New Roman"/>
      <family val="1"/>
    </font>
    <font>
      <b/>
      <sz val="10"/>
      <color theme="1"/>
      <name val="Times New Roman"/>
      <family val="1"/>
    </font>
    <font>
      <sz val="10"/>
      <color theme="1"/>
      <name val="Times New Roman"/>
      <family val="1"/>
    </font>
    <font>
      <b/>
      <sz val="10"/>
      <color indexed="10"/>
      <name val="Times New Roman"/>
      <family val="1"/>
    </font>
    <font>
      <b/>
      <sz val="10"/>
      <name val="Times New Roman"/>
      <family val="1"/>
    </font>
    <font>
      <b/>
      <sz val="10"/>
      <color rgb="FFFF0000"/>
      <name val="Times New Roman"/>
      <family val="1"/>
      <charset val="163"/>
    </font>
    <font>
      <b/>
      <sz val="10"/>
      <color theme="1"/>
      <name val="Times New Roman"/>
      <family val="1"/>
      <charset val="163"/>
    </font>
    <font>
      <sz val="10"/>
      <color theme="1"/>
      <name val="Times New Roman"/>
      <family val="1"/>
      <charset val="163"/>
    </font>
    <font>
      <b/>
      <sz val="10"/>
      <color indexed="10"/>
      <name val="Times New Roman"/>
      <family val="1"/>
      <charset val="163"/>
    </font>
    <font>
      <b/>
      <sz val="10"/>
      <name val="Times New Roman"/>
      <family val="1"/>
      <charset val="163"/>
    </font>
    <font>
      <sz val="10"/>
      <color rgb="FF000000"/>
      <name val="Times New Roman"/>
      <family val="1"/>
      <charset val="163"/>
    </font>
    <font>
      <sz val="10"/>
      <color rgb="FF000000"/>
      <name val="Times New Roman"/>
      <family val="1"/>
    </font>
    <font>
      <b/>
      <sz val="10"/>
      <color rgb="FF000000"/>
      <name val="Times New Roman"/>
      <family val="1"/>
      <charset val="163"/>
    </font>
    <font>
      <b/>
      <sz val="10"/>
      <color rgb="FF000000"/>
      <name val="Times New Roman"/>
      <family val="1"/>
    </font>
    <font>
      <sz val="11"/>
      <color theme="1"/>
      <name val="Times New Roman"/>
      <family val="1"/>
      <charset val="163"/>
    </font>
    <font>
      <b/>
      <sz val="11"/>
      <color theme="1"/>
      <name val="Times New Roman"/>
      <family val="1"/>
      <charset val="163"/>
    </font>
    <font>
      <sz val="11"/>
      <color theme="1"/>
      <name val="Aptos Narrow"/>
      <family val="2"/>
    </font>
    <font>
      <u/>
      <sz val="11"/>
      <color rgb="FF467886"/>
      <name val="Times New Roman"/>
      <family val="1"/>
      <charset val="163"/>
    </font>
    <font>
      <u/>
      <sz val="11"/>
      <color theme="10"/>
      <name val="Calibri"/>
      <family val="2"/>
      <charset val="163"/>
      <scheme val="minor"/>
    </font>
    <font>
      <sz val="11"/>
      <color theme="1"/>
      <name val="Times New Roman"/>
      <family val="1"/>
    </font>
    <font>
      <sz val="11"/>
      <color theme="1"/>
      <name val="Aptos Narrow"/>
    </font>
    <font>
      <b/>
      <sz val="11"/>
      <color theme="1"/>
      <name val="Times New Roman"/>
      <family val="1"/>
    </font>
    <font>
      <u/>
      <sz val="11"/>
      <color theme="10"/>
      <name val="Times New Roman"/>
      <family val="1"/>
    </font>
    <font>
      <u/>
      <sz val="10"/>
      <color theme="10"/>
      <name val="Times New Roman"/>
      <family val="1"/>
    </font>
    <font>
      <sz val="8"/>
      <name val="Calibri"/>
      <family val="2"/>
      <charset val="163"/>
      <scheme val="minor"/>
    </font>
    <font>
      <b/>
      <sz val="11"/>
      <color theme="1"/>
      <name val="Times New Roman"/>
    </font>
    <font>
      <sz val="11"/>
      <color theme="1"/>
      <name val="Times New Roman"/>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12">
    <border>
      <left/>
      <right/>
      <top/>
      <bottom/>
      <diagonal/>
    </border>
    <border>
      <left style="medium">
        <color rgb="FFCCCCCC"/>
      </left>
      <right style="medium">
        <color rgb="FFCCCCCC"/>
      </right>
      <top style="medium">
        <color rgb="FFCCCCCC"/>
      </top>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style="medium">
        <color rgb="FFCCCCCC"/>
      </left>
      <right style="medium">
        <color rgb="FFCCCCCC"/>
      </right>
      <top/>
      <bottom style="medium">
        <color rgb="FF000000"/>
      </bottom>
      <diagonal/>
    </border>
    <border>
      <left style="medium">
        <color rgb="FFCCCCCC"/>
      </left>
      <right/>
      <top style="medium">
        <color rgb="FFCCCCCC"/>
      </top>
      <bottom/>
      <diagonal/>
    </border>
    <border>
      <left style="medium">
        <color rgb="FFCCCCCC"/>
      </left>
      <right/>
      <top/>
      <bottom/>
      <diagonal/>
    </border>
    <border>
      <left/>
      <right/>
      <top style="medium">
        <color rgb="FFCCCCCC"/>
      </top>
      <bottom style="medium">
        <color rgb="FFCCCCCC"/>
      </bottom>
      <diagonal/>
    </border>
    <border>
      <left/>
      <right/>
      <top style="medium">
        <color rgb="FFCCCCCC"/>
      </top>
      <bottom/>
      <diagonal/>
    </border>
    <border>
      <left/>
      <right style="medium">
        <color rgb="FFCCCCCC"/>
      </right>
      <top/>
      <bottom style="medium">
        <color rgb="FFCCCCCC"/>
      </bottom>
      <diagonal/>
    </border>
  </borders>
  <cellStyleXfs count="4">
    <xf numFmtId="0" fontId="0" fillId="0" borderId="0"/>
    <xf numFmtId="0" fontId="1" fillId="0" borderId="0"/>
    <xf numFmtId="43" fontId="1" fillId="0" borderId="0" applyFont="0" applyFill="0" applyBorder="0" applyAlignment="0" applyProtection="0"/>
    <xf numFmtId="0" fontId="20" fillId="0" borderId="0" applyNumberFormat="0" applyFill="0" applyBorder="0" applyAlignment="0" applyProtection="0"/>
  </cellStyleXfs>
  <cellXfs count="282">
    <xf numFmtId="0" fontId="0" fillId="0" borderId="0" xfId="0"/>
    <xf numFmtId="0" fontId="4" fillId="0" borderId="7" xfId="0" applyFont="1" applyBorder="1"/>
    <xf numFmtId="0" fontId="2" fillId="0" borderId="4" xfId="0" applyFont="1" applyBorder="1" applyAlignment="1">
      <alignment horizontal="center" wrapText="1"/>
    </xf>
    <xf numFmtId="0" fontId="4" fillId="0" borderId="8" xfId="0" applyFont="1" applyBorder="1"/>
    <xf numFmtId="49" fontId="5" fillId="0" borderId="0" xfId="1" applyNumberFormat="1" applyFont="1" applyAlignment="1">
      <alignment horizontal="center" vertical="center" wrapText="1"/>
    </xf>
    <xf numFmtId="14" fontId="5" fillId="0" borderId="0" xfId="1" applyNumberFormat="1" applyFont="1" applyAlignment="1">
      <alignment horizontal="center" vertical="center" wrapText="1"/>
    </xf>
    <xf numFmtId="49" fontId="6" fillId="0" borderId="0" xfId="1" applyNumberFormat="1" applyFont="1" applyAlignment="1">
      <alignment horizontal="center" vertical="center" wrapText="1"/>
    </xf>
    <xf numFmtId="49" fontId="5" fillId="0" borderId="0" xfId="1" applyNumberFormat="1" applyFont="1" applyAlignment="1">
      <alignment horizontal="center" vertical="center"/>
    </xf>
    <xf numFmtId="49" fontId="5" fillId="0" borderId="0" xfId="1" applyNumberFormat="1" applyFont="1" applyAlignment="1">
      <alignment horizontal="right"/>
    </xf>
    <xf numFmtId="0" fontId="5" fillId="0" borderId="0" xfId="1" applyFont="1" applyAlignment="1">
      <alignment horizontal="center" vertical="center" wrapText="1"/>
    </xf>
    <xf numFmtId="3" fontId="5" fillId="0" borderId="0" xfId="1" applyNumberFormat="1" applyFont="1" applyAlignment="1">
      <alignment horizontal="center" vertical="center" wrapText="1"/>
    </xf>
    <xf numFmtId="164" fontId="5" fillId="0" borderId="0" xfId="2" applyNumberFormat="1" applyFont="1" applyAlignment="1">
      <alignment horizontal="center" vertical="center" wrapText="1"/>
    </xf>
    <xf numFmtId="0" fontId="4" fillId="0" borderId="0" xfId="0" applyFont="1"/>
    <xf numFmtId="14" fontId="4" fillId="0" borderId="0" xfId="0" applyNumberFormat="1" applyFont="1"/>
    <xf numFmtId="49" fontId="4" fillId="0" borderId="0" xfId="0" applyNumberFormat="1" applyFont="1"/>
    <xf numFmtId="0" fontId="2" fillId="0" borderId="4" xfId="0" applyFont="1" applyBorder="1" applyAlignment="1">
      <alignment horizontal="center"/>
    </xf>
    <xf numFmtId="41" fontId="5" fillId="0" borderId="0" xfId="2" applyNumberFormat="1" applyFont="1" applyAlignment="1">
      <alignment horizontal="center" vertical="center" wrapText="1"/>
    </xf>
    <xf numFmtId="41" fontId="4" fillId="0" borderId="0" xfId="0" applyNumberFormat="1" applyFont="1"/>
    <xf numFmtId="0" fontId="4" fillId="0" borderId="0" xfId="0" applyFont="1" applyAlignment="1">
      <alignment vertical="center" wrapText="1"/>
    </xf>
    <xf numFmtId="0" fontId="9" fillId="0" borderId="7" xfId="0" applyFont="1" applyBorder="1"/>
    <xf numFmtId="0" fontId="9" fillId="0" borderId="0" xfId="0" applyFont="1"/>
    <xf numFmtId="0" fontId="7" fillId="0" borderId="4" xfId="0" applyFont="1" applyBorder="1" applyAlignment="1">
      <alignment horizontal="center"/>
    </xf>
    <xf numFmtId="0" fontId="7" fillId="0" borderId="4" xfId="0" applyFont="1" applyBorder="1" applyAlignment="1">
      <alignment horizontal="center" wrapText="1"/>
    </xf>
    <xf numFmtId="0" fontId="9" fillId="0" borderId="8" xfId="0" applyFont="1" applyBorder="1"/>
    <xf numFmtId="49" fontId="10" fillId="0" borderId="0" xfId="1" applyNumberFormat="1" applyFont="1" applyAlignment="1">
      <alignment horizontal="center" vertical="center" wrapText="1"/>
    </xf>
    <xf numFmtId="14" fontId="10" fillId="0" borderId="0" xfId="1" applyNumberFormat="1" applyFont="1" applyAlignment="1">
      <alignment horizontal="center" vertical="center" wrapText="1"/>
    </xf>
    <xf numFmtId="49" fontId="11" fillId="0" borderId="0" xfId="1" applyNumberFormat="1" applyFont="1" applyAlignment="1">
      <alignment horizontal="center" vertical="center" wrapText="1"/>
    </xf>
    <xf numFmtId="49" fontId="10" fillId="0" borderId="0" xfId="1" applyNumberFormat="1" applyFont="1" applyAlignment="1">
      <alignment horizontal="center" vertical="center"/>
    </xf>
    <xf numFmtId="49" fontId="10" fillId="0" borderId="0" xfId="1" applyNumberFormat="1" applyFont="1" applyAlignment="1">
      <alignment horizontal="right"/>
    </xf>
    <xf numFmtId="0" fontId="10" fillId="0" borderId="0" xfId="1" applyFont="1" applyAlignment="1">
      <alignment horizontal="center" vertical="center" wrapText="1"/>
    </xf>
    <xf numFmtId="3" fontId="10" fillId="0" borderId="0" xfId="1" applyNumberFormat="1" applyFont="1" applyAlignment="1">
      <alignment horizontal="center" vertical="center" wrapText="1"/>
    </xf>
    <xf numFmtId="164" fontId="10" fillId="0" borderId="0" xfId="2" applyNumberFormat="1" applyFont="1" applyAlignment="1">
      <alignment horizontal="center" vertical="center" wrapText="1"/>
    </xf>
    <xf numFmtId="49" fontId="9" fillId="0" borderId="0" xfId="0" applyNumberFormat="1" applyFont="1"/>
    <xf numFmtId="164" fontId="9" fillId="0" borderId="0" xfId="0" applyNumberFormat="1" applyFont="1"/>
    <xf numFmtId="164" fontId="9" fillId="0" borderId="0" xfId="0" applyNumberFormat="1" applyFont="1" applyAlignment="1">
      <alignment horizontal="right" wrapText="1"/>
    </xf>
    <xf numFmtId="164" fontId="10" fillId="0" borderId="0" xfId="2" applyNumberFormat="1" applyFont="1" applyAlignment="1">
      <alignment horizontal="right" vertical="center" wrapText="1"/>
    </xf>
    <xf numFmtId="14" fontId="4" fillId="0" borderId="0" xfId="0" applyNumberFormat="1" applyFont="1" applyAlignment="1">
      <alignment horizontal="center"/>
    </xf>
    <xf numFmtId="0" fontId="12" fillId="0" borderId="0" xfId="0" applyFont="1"/>
    <xf numFmtId="0" fontId="13" fillId="0" borderId="0" xfId="0" applyFont="1"/>
    <xf numFmtId="0" fontId="12" fillId="0" borderId="10" xfId="0" applyFont="1" applyBorder="1"/>
    <xf numFmtId="0" fontId="7" fillId="0" borderId="11" xfId="0" applyFont="1" applyBorder="1"/>
    <xf numFmtId="0" fontId="7" fillId="0" borderId="11" xfId="0" applyFont="1" applyBorder="1" applyAlignment="1">
      <alignment wrapText="1"/>
    </xf>
    <xf numFmtId="0" fontId="7" fillId="0" borderId="0" xfId="0" applyFont="1" applyAlignment="1">
      <alignment wrapText="1"/>
    </xf>
    <xf numFmtId="0" fontId="11" fillId="0" borderId="0" xfId="0" applyFont="1" applyAlignment="1">
      <alignment wrapText="1"/>
    </xf>
    <xf numFmtId="0" fontId="7" fillId="0" borderId="0" xfId="0" applyFont="1"/>
    <xf numFmtId="0" fontId="13" fillId="0" borderId="10" xfId="0" applyFont="1" applyBorder="1"/>
    <xf numFmtId="0" fontId="2" fillId="0" borderId="11" xfId="0" applyFont="1" applyBorder="1"/>
    <xf numFmtId="0" fontId="2" fillId="0" borderId="11" xfId="0" applyFont="1" applyBorder="1" applyAlignment="1">
      <alignment wrapText="1"/>
    </xf>
    <xf numFmtId="0" fontId="2" fillId="0" borderId="0" xfId="0" applyFont="1" applyAlignment="1">
      <alignment wrapText="1"/>
    </xf>
    <xf numFmtId="0" fontId="6" fillId="0" borderId="0" xfId="0" applyFont="1" applyAlignment="1">
      <alignment wrapText="1"/>
    </xf>
    <xf numFmtId="49" fontId="6" fillId="0" borderId="0" xfId="0" applyNumberFormat="1" applyFont="1" applyAlignment="1">
      <alignment wrapText="1"/>
    </xf>
    <xf numFmtId="49" fontId="2" fillId="0" borderId="0" xfId="0" applyNumberFormat="1" applyFont="1" applyAlignment="1">
      <alignment wrapText="1"/>
    </xf>
    <xf numFmtId="0" fontId="2" fillId="0" borderId="0" xfId="0" applyFont="1"/>
    <xf numFmtId="41" fontId="2" fillId="0" borderId="0" xfId="0" applyNumberFormat="1" applyFont="1" applyAlignment="1">
      <alignment wrapText="1"/>
    </xf>
    <xf numFmtId="14" fontId="2" fillId="0" borderId="0" xfId="0" applyNumberFormat="1" applyFont="1" applyAlignment="1">
      <alignment horizontal="center" wrapText="1"/>
    </xf>
    <xf numFmtId="49" fontId="13" fillId="0" borderId="0" xfId="0" applyNumberFormat="1" applyFont="1"/>
    <xf numFmtId="41" fontId="13" fillId="0" borderId="0" xfId="0" applyNumberFormat="1" applyFont="1" applyAlignment="1">
      <alignment wrapText="1"/>
    </xf>
    <xf numFmtId="41" fontId="13" fillId="0" borderId="0" xfId="0" applyNumberFormat="1" applyFont="1"/>
    <xf numFmtId="49" fontId="7" fillId="0" borderId="0" xfId="0" applyNumberFormat="1" applyFont="1" applyAlignment="1">
      <alignment wrapText="1"/>
    </xf>
    <xf numFmtId="49" fontId="12" fillId="0" borderId="0" xfId="0" applyNumberFormat="1" applyFont="1"/>
    <xf numFmtId="49" fontId="0" fillId="0" borderId="0" xfId="0" applyNumberFormat="1"/>
    <xf numFmtId="14" fontId="9" fillId="0" borderId="0" xfId="0" applyNumberFormat="1" applyFont="1" applyAlignment="1">
      <alignment horizontal="center"/>
    </xf>
    <xf numFmtId="14" fontId="13" fillId="0" borderId="0" xfId="0" applyNumberFormat="1" applyFont="1" applyAlignment="1">
      <alignment horizontal="center"/>
    </xf>
    <xf numFmtId="14" fontId="7" fillId="0" borderId="0" xfId="0" applyNumberFormat="1" applyFont="1" applyAlignment="1">
      <alignment horizontal="center" wrapText="1"/>
    </xf>
    <xf numFmtId="164" fontId="7" fillId="0" borderId="0" xfId="0" applyNumberFormat="1" applyFont="1" applyAlignment="1">
      <alignment horizontal="right" wrapText="1"/>
    </xf>
    <xf numFmtId="164" fontId="13" fillId="0" borderId="0" xfId="0" applyNumberFormat="1" applyFont="1" applyAlignment="1">
      <alignment horizontal="right" wrapText="1"/>
    </xf>
    <xf numFmtId="14" fontId="7" fillId="0" borderId="0" xfId="0" applyNumberFormat="1" applyFont="1" applyAlignment="1">
      <alignment horizontal="center" vertical="center" wrapText="1"/>
    </xf>
    <xf numFmtId="14" fontId="13" fillId="0" borderId="0" xfId="0" applyNumberFormat="1" applyFont="1" applyAlignment="1">
      <alignment horizontal="center" vertical="center"/>
    </xf>
    <xf numFmtId="0" fontId="9" fillId="0" borderId="0" xfId="0" applyFont="1" applyAlignment="1">
      <alignment horizontal="center" vertical="center"/>
    </xf>
    <xf numFmtId="14" fontId="9" fillId="0" borderId="0" xfId="0" applyNumberFormat="1" applyFont="1" applyAlignment="1">
      <alignment horizontal="center" vertical="center"/>
    </xf>
    <xf numFmtId="0" fontId="17" fillId="2" borderId="0" xfId="0" applyFont="1" applyFill="1" applyAlignment="1">
      <alignment horizontal="center" vertical="center"/>
    </xf>
    <xf numFmtId="0" fontId="16" fillId="0" borderId="0" xfId="0" applyFont="1" applyAlignment="1">
      <alignment horizontal="center"/>
    </xf>
    <xf numFmtId="0" fontId="16" fillId="0" borderId="0" xfId="0" applyFont="1"/>
    <xf numFmtId="0" fontId="20" fillId="0" borderId="0" xfId="3" applyFill="1" applyBorder="1" applyAlignment="1"/>
    <xf numFmtId="0" fontId="18" fillId="0" borderId="0" xfId="0" applyFont="1"/>
    <xf numFmtId="3" fontId="16" fillId="0" borderId="0" xfId="0" applyNumberFormat="1" applyFont="1" applyAlignment="1">
      <alignment horizontal="right"/>
    </xf>
    <xf numFmtId="14" fontId="16" fillId="0" borderId="0" xfId="0" applyNumberFormat="1" applyFont="1" applyAlignment="1">
      <alignment horizontal="right"/>
    </xf>
    <xf numFmtId="0" fontId="16" fillId="0" borderId="0" xfId="0" applyFont="1" applyAlignment="1">
      <alignment horizontal="right"/>
    </xf>
    <xf numFmtId="0" fontId="19" fillId="0" borderId="0" xfId="0" applyFont="1"/>
    <xf numFmtId="10" fontId="0" fillId="0" borderId="0" xfId="0" applyNumberFormat="1" applyAlignment="1">
      <alignment horizontal="center"/>
    </xf>
    <xf numFmtId="164" fontId="0" fillId="0" borderId="0" xfId="0" applyNumberFormat="1" applyAlignment="1">
      <alignment horizontal="right" wrapText="1"/>
    </xf>
    <xf numFmtId="14" fontId="2" fillId="0" borderId="0" xfId="0" applyNumberFormat="1" applyFont="1" applyAlignment="1">
      <alignment horizontal="center" vertical="center" wrapText="1"/>
    </xf>
    <xf numFmtId="41" fontId="2" fillId="0" borderId="0" xfId="0" applyNumberFormat="1" applyFont="1" applyAlignment="1">
      <alignment horizontal="right" wrapText="1"/>
    </xf>
    <xf numFmtId="49" fontId="16" fillId="0" borderId="0" xfId="0" applyNumberFormat="1" applyFont="1" applyAlignment="1">
      <alignment horizontal="center"/>
    </xf>
    <xf numFmtId="3" fontId="4" fillId="0" borderId="0" xfId="0" applyNumberFormat="1" applyFont="1"/>
    <xf numFmtId="14" fontId="0" fillId="0" borderId="0" xfId="0" applyNumberFormat="1" applyAlignment="1">
      <alignment horizontal="center"/>
    </xf>
    <xf numFmtId="41" fontId="0" fillId="0" borderId="0" xfId="0" applyNumberFormat="1"/>
    <xf numFmtId="0" fontId="4" fillId="0" borderId="0" xfId="0" applyFont="1" applyAlignment="1">
      <alignment horizontal="center"/>
    </xf>
    <xf numFmtId="0" fontId="12" fillId="0" borderId="10" xfId="0" applyFont="1" applyBorder="1" applyAlignment="1">
      <alignment vertical="center"/>
    </xf>
    <xf numFmtId="0" fontId="12" fillId="0" borderId="0" xfId="0" applyFont="1" applyAlignment="1">
      <alignment vertical="center"/>
    </xf>
    <xf numFmtId="0" fontId="9" fillId="0" borderId="0" xfId="0" applyFont="1" applyAlignment="1">
      <alignment vertical="center"/>
    </xf>
    <xf numFmtId="49" fontId="9" fillId="0" borderId="0" xfId="0" applyNumberFormat="1" applyFont="1" applyAlignment="1">
      <alignment vertical="center"/>
    </xf>
    <xf numFmtId="41" fontId="9" fillId="0" borderId="0" xfId="0" applyNumberFormat="1" applyFont="1" applyAlignment="1">
      <alignment vertical="center"/>
    </xf>
    <xf numFmtId="0" fontId="7" fillId="0" borderId="11" xfId="0" applyFont="1" applyBorder="1" applyAlignment="1">
      <alignment vertical="center"/>
    </xf>
    <xf numFmtId="0" fontId="7" fillId="0" borderId="11" xfId="0" applyFont="1" applyBorder="1" applyAlignment="1">
      <alignment vertical="center" wrapText="1"/>
    </xf>
    <xf numFmtId="0" fontId="7" fillId="0" borderId="0" xfId="0" applyFont="1" applyAlignment="1">
      <alignment vertical="center" wrapText="1"/>
    </xf>
    <xf numFmtId="0" fontId="11" fillId="0" borderId="0" xfId="0" applyFont="1" applyAlignment="1">
      <alignment vertical="center" wrapText="1"/>
    </xf>
    <xf numFmtId="49" fontId="7" fillId="0" borderId="0" xfId="0" applyNumberFormat="1" applyFont="1" applyAlignment="1">
      <alignment vertical="center" wrapText="1"/>
    </xf>
    <xf numFmtId="0" fontId="7" fillId="0" borderId="0" xfId="0" applyFont="1" applyAlignment="1">
      <alignment vertical="center"/>
    </xf>
    <xf numFmtId="164" fontId="7" fillId="0" borderId="0" xfId="0" applyNumberFormat="1" applyFont="1" applyAlignment="1">
      <alignment horizontal="right" vertical="center" wrapText="1"/>
    </xf>
    <xf numFmtId="164" fontId="9" fillId="0" borderId="0" xfId="0" applyNumberFormat="1" applyFont="1" applyAlignment="1">
      <alignment horizontal="right" vertical="center" wrapText="1"/>
    </xf>
    <xf numFmtId="164" fontId="9" fillId="0" borderId="0" xfId="0" applyNumberFormat="1" applyFont="1" applyAlignment="1">
      <alignment vertical="center"/>
    </xf>
    <xf numFmtId="41" fontId="12" fillId="0" borderId="0" xfId="0" applyNumberFormat="1" applyFont="1" applyAlignment="1">
      <alignment wrapText="1"/>
    </xf>
    <xf numFmtId="0" fontId="7" fillId="0" borderId="0" xfId="0" applyFont="1" applyAlignment="1">
      <alignment horizontal="center" wrapText="1"/>
    </xf>
    <xf numFmtId="14" fontId="12" fillId="0" borderId="0" xfId="0" applyNumberFormat="1" applyFont="1" applyAlignment="1">
      <alignment horizontal="center"/>
    </xf>
    <xf numFmtId="0" fontId="0" fillId="0" borderId="0" xfId="0" applyAlignment="1">
      <alignment horizontal="center"/>
    </xf>
    <xf numFmtId="0" fontId="9" fillId="0" borderId="0" xfId="0" applyFont="1" applyAlignment="1">
      <alignment horizontal="center"/>
    </xf>
    <xf numFmtId="0" fontId="4" fillId="0" borderId="7" xfId="0" applyFont="1" applyBorder="1" applyAlignment="1">
      <alignment vertical="center"/>
    </xf>
    <xf numFmtId="0" fontId="4" fillId="0" borderId="0" xfId="0" applyFont="1" applyAlignment="1">
      <alignment vertical="center"/>
    </xf>
    <xf numFmtId="0" fontId="2" fillId="0" borderId="4" xfId="0" applyFont="1" applyBorder="1" applyAlignment="1">
      <alignment horizontal="center" vertical="center"/>
    </xf>
    <xf numFmtId="0" fontId="2" fillId="0" borderId="4" xfId="0" applyFont="1" applyBorder="1" applyAlignment="1">
      <alignment horizontal="center" vertical="center" wrapText="1"/>
    </xf>
    <xf numFmtId="0" fontId="4" fillId="0" borderId="8" xfId="0" applyFont="1" applyBorder="1" applyAlignment="1">
      <alignment vertical="center"/>
    </xf>
    <xf numFmtId="49" fontId="5" fillId="0" borderId="0" xfId="1" applyNumberFormat="1" applyFont="1" applyAlignment="1">
      <alignment horizontal="right" vertical="center"/>
    </xf>
    <xf numFmtId="49" fontId="4" fillId="0" borderId="0" xfId="0" applyNumberFormat="1" applyFont="1" applyAlignment="1">
      <alignment vertical="center"/>
    </xf>
    <xf numFmtId="41" fontId="4" fillId="0" borderId="0" xfId="0" applyNumberFormat="1" applyFont="1" applyAlignment="1">
      <alignment vertical="center"/>
    </xf>
    <xf numFmtId="164" fontId="4" fillId="0" borderId="0" xfId="0" applyNumberFormat="1" applyFont="1" applyAlignment="1">
      <alignment horizontal="right" vertical="center" wrapText="1"/>
    </xf>
    <xf numFmtId="41" fontId="4" fillId="0" borderId="0" xfId="0" applyNumberFormat="1" applyFont="1" applyAlignment="1">
      <alignment horizontal="right" vertical="center"/>
    </xf>
    <xf numFmtId="14" fontId="4" fillId="0" borderId="0" xfId="0" applyNumberFormat="1" applyFont="1" applyAlignment="1">
      <alignment horizontal="center" vertical="center"/>
    </xf>
    <xf numFmtId="0" fontId="4" fillId="0" borderId="0" xfId="0" applyFont="1" applyAlignment="1">
      <alignment horizontal="center" vertical="center"/>
    </xf>
    <xf numFmtId="41" fontId="9" fillId="0" borderId="0" xfId="0" applyNumberFormat="1" applyFont="1" applyAlignment="1">
      <alignment wrapText="1"/>
    </xf>
    <xf numFmtId="49" fontId="4" fillId="0" borderId="0" xfId="0" applyNumberFormat="1" applyFont="1" applyAlignment="1">
      <alignment horizontal="center"/>
    </xf>
    <xf numFmtId="0" fontId="2" fillId="0" borderId="0" xfId="0" applyFont="1" applyAlignment="1">
      <alignment horizontal="center" wrapText="1"/>
    </xf>
    <xf numFmtId="0" fontId="6" fillId="0" borderId="0" xfId="0" applyFont="1" applyAlignment="1">
      <alignment horizontal="center" wrapText="1"/>
    </xf>
    <xf numFmtId="0" fontId="0" fillId="0" borderId="0" xfId="0" applyAlignment="1">
      <alignment vertical="center"/>
    </xf>
    <xf numFmtId="41" fontId="9" fillId="0" borderId="0" xfId="0" applyNumberFormat="1" applyFont="1" applyAlignment="1">
      <alignment horizontal="right" vertical="center" wrapText="1"/>
    </xf>
    <xf numFmtId="0" fontId="13" fillId="0" borderId="0" xfId="0" applyFont="1" applyAlignment="1">
      <alignment vertical="center"/>
    </xf>
    <xf numFmtId="49" fontId="12" fillId="0" borderId="0" xfId="0" applyNumberFormat="1" applyFont="1" applyAlignment="1">
      <alignment vertical="center"/>
    </xf>
    <xf numFmtId="14" fontId="9" fillId="0" borderId="0" xfId="0" applyNumberFormat="1" applyFont="1" applyAlignment="1">
      <alignment vertical="center"/>
    </xf>
    <xf numFmtId="164" fontId="13" fillId="0" borderId="0" xfId="0" applyNumberFormat="1" applyFont="1" applyAlignment="1">
      <alignment horizontal="right" vertical="center" wrapText="1"/>
    </xf>
    <xf numFmtId="41" fontId="9" fillId="0" borderId="0" xfId="0" applyNumberFormat="1" applyFont="1" applyAlignment="1">
      <alignment horizontal="right" wrapText="1"/>
    </xf>
    <xf numFmtId="0" fontId="4" fillId="0" borderId="0" xfId="0" quotePrefix="1" applyFont="1"/>
    <xf numFmtId="3" fontId="4" fillId="0" borderId="0" xfId="0" applyNumberFormat="1" applyFont="1" applyAlignment="1">
      <alignment vertical="center"/>
    </xf>
    <xf numFmtId="14" fontId="4" fillId="0" borderId="0" xfId="0" applyNumberFormat="1" applyFont="1" applyAlignment="1">
      <alignment vertical="center"/>
    </xf>
    <xf numFmtId="164" fontId="4" fillId="0" borderId="0" xfId="0" applyNumberFormat="1" applyFont="1" applyAlignment="1">
      <alignment vertical="center"/>
    </xf>
    <xf numFmtId="0" fontId="21" fillId="0" borderId="0" xfId="0" applyFont="1" applyAlignment="1">
      <alignment horizontal="center"/>
    </xf>
    <xf numFmtId="0" fontId="21" fillId="0" borderId="0" xfId="0" applyFont="1"/>
    <xf numFmtId="0" fontId="20" fillId="0" borderId="0" xfId="3" applyFill="1" applyAlignment="1"/>
    <xf numFmtId="49" fontId="21" fillId="0" borderId="0" xfId="0" applyNumberFormat="1" applyFont="1" applyAlignment="1">
      <alignment horizontal="center"/>
    </xf>
    <xf numFmtId="3" fontId="21" fillId="0" borderId="0" xfId="0" applyNumberFormat="1" applyFont="1" applyAlignment="1">
      <alignment horizontal="right"/>
    </xf>
    <xf numFmtId="14" fontId="21" fillId="0" borderId="0" xfId="0" applyNumberFormat="1" applyFont="1" applyAlignment="1">
      <alignment horizontal="right"/>
    </xf>
    <xf numFmtId="0" fontId="21" fillId="0" borderId="0" xfId="0" applyFont="1" applyAlignment="1">
      <alignment horizontal="right"/>
    </xf>
    <xf numFmtId="0" fontId="22" fillId="0" borderId="0" xfId="0" applyFont="1"/>
    <xf numFmtId="164" fontId="0" fillId="0" borderId="0" xfId="0" applyNumberFormat="1"/>
    <xf numFmtId="0" fontId="23" fillId="2" borderId="0" xfId="0" applyFont="1" applyFill="1" applyAlignment="1">
      <alignment horizontal="center" vertical="center"/>
    </xf>
    <xf numFmtId="49" fontId="21" fillId="0" borderId="0" xfId="0" quotePrefix="1" applyNumberFormat="1" applyFont="1" applyAlignment="1">
      <alignment horizontal="center"/>
    </xf>
    <xf numFmtId="0" fontId="24" fillId="0" borderId="0" xfId="3" applyFont="1"/>
    <xf numFmtId="0" fontId="25" fillId="0" borderId="0" xfId="3" applyFont="1"/>
    <xf numFmtId="0" fontId="27" fillId="2" borderId="0" xfId="0" applyFont="1" applyFill="1" applyAlignment="1">
      <alignment horizontal="center" vertical="center"/>
    </xf>
    <xf numFmtId="0" fontId="28" fillId="0" borderId="0" xfId="0" applyFont="1" applyAlignment="1">
      <alignment horizontal="center"/>
    </xf>
    <xf numFmtId="0" fontId="28" fillId="0" borderId="0" xfId="0" applyFont="1"/>
    <xf numFmtId="49" fontId="28" fillId="0" borderId="0" xfId="0" applyNumberFormat="1" applyFont="1" applyAlignment="1">
      <alignment horizontal="center"/>
    </xf>
    <xf numFmtId="3" fontId="28" fillId="0" borderId="0" xfId="0" applyNumberFormat="1" applyFont="1" applyAlignment="1">
      <alignment horizontal="right"/>
    </xf>
    <xf numFmtId="14" fontId="28" fillId="0" borderId="0" xfId="0" applyNumberFormat="1" applyFont="1" applyAlignment="1">
      <alignment horizontal="right"/>
    </xf>
    <xf numFmtId="0" fontId="28" fillId="0" borderId="0" xfId="0" applyFont="1" applyAlignment="1">
      <alignment horizontal="right"/>
    </xf>
    <xf numFmtId="0" fontId="15" fillId="0" borderId="1" xfId="0" applyFont="1" applyBorder="1" applyAlignment="1">
      <alignment wrapText="1"/>
    </xf>
    <xf numFmtId="0" fontId="15" fillId="0" borderId="5" xfId="0" applyFont="1" applyBorder="1" applyAlignment="1">
      <alignment wrapText="1"/>
    </xf>
    <xf numFmtId="41" fontId="13" fillId="0" borderId="0" xfId="0" applyNumberFormat="1" applyFont="1" applyAlignment="1">
      <alignment vertical="center"/>
    </xf>
    <xf numFmtId="41" fontId="13" fillId="0" borderId="0" xfId="0" applyNumberFormat="1" applyFont="1" applyAlignment="1">
      <alignment horizontal="right" vertical="center" wrapText="1"/>
    </xf>
    <xf numFmtId="164" fontId="0" fillId="0" borderId="0" xfId="0" applyNumberFormat="1" applyAlignment="1">
      <alignment vertical="center"/>
    </xf>
    <xf numFmtId="0" fontId="4" fillId="0" borderId="0" xfId="0" applyFont="1" applyAlignment="1">
      <alignment wrapText="1"/>
    </xf>
    <xf numFmtId="49" fontId="4" fillId="0" borderId="0" xfId="0" applyNumberFormat="1" applyFont="1" applyAlignment="1">
      <alignment wrapText="1"/>
    </xf>
    <xf numFmtId="49" fontId="12" fillId="0" borderId="0" xfId="0" quotePrefix="1" applyNumberFormat="1" applyFont="1"/>
    <xf numFmtId="0" fontId="12" fillId="0" borderId="0" xfId="0" quotePrefix="1" applyFont="1"/>
    <xf numFmtId="41" fontId="7" fillId="0" borderId="0" xfId="0" applyNumberFormat="1" applyFont="1" applyAlignment="1">
      <alignment wrapText="1"/>
    </xf>
    <xf numFmtId="49" fontId="9" fillId="0" borderId="0" xfId="0" quotePrefix="1" applyNumberFormat="1" applyFont="1"/>
    <xf numFmtId="0" fontId="4" fillId="3" borderId="0" xfId="0" applyFont="1" applyFill="1"/>
    <xf numFmtId="14" fontId="4" fillId="3" borderId="0" xfId="0" applyNumberFormat="1" applyFont="1" applyFill="1" applyAlignment="1">
      <alignment horizontal="center"/>
    </xf>
    <xf numFmtId="49" fontId="4" fillId="3" borderId="0" xfId="0" applyNumberFormat="1" applyFont="1" applyFill="1" applyAlignment="1">
      <alignment horizontal="center"/>
    </xf>
    <xf numFmtId="0" fontId="13" fillId="3" borderId="0" xfId="0" applyFont="1" applyFill="1"/>
    <xf numFmtId="49" fontId="4" fillId="3" borderId="0" xfId="0" applyNumberFormat="1" applyFont="1" applyFill="1"/>
    <xf numFmtId="41" fontId="4" fillId="3" borderId="0" xfId="0" applyNumberFormat="1" applyFont="1" applyFill="1"/>
    <xf numFmtId="49" fontId="4" fillId="3" borderId="0" xfId="0" quotePrefix="1" applyNumberFormat="1" applyFont="1" applyFill="1"/>
    <xf numFmtId="49" fontId="4" fillId="0" borderId="0" xfId="0" quotePrefix="1" applyNumberFormat="1" applyFont="1" applyAlignment="1">
      <alignment vertical="center"/>
    </xf>
    <xf numFmtId="41" fontId="9" fillId="0" borderId="0" xfId="0" applyNumberFormat="1" applyFont="1"/>
    <xf numFmtId="49" fontId="4" fillId="0" borderId="0" xfId="0" quotePrefix="1" applyNumberFormat="1" applyFont="1"/>
    <xf numFmtId="0" fontId="4" fillId="3" borderId="0" xfId="0" quotePrefix="1" applyFont="1" applyFill="1"/>
    <xf numFmtId="10" fontId="0" fillId="0" borderId="0" xfId="0" applyNumberFormat="1"/>
    <xf numFmtId="0" fontId="9" fillId="3" borderId="0" xfId="0" applyFont="1" applyFill="1"/>
    <xf numFmtId="14" fontId="9" fillId="3" borderId="0" xfId="0" applyNumberFormat="1" applyFont="1" applyFill="1" applyAlignment="1">
      <alignment horizontal="center"/>
    </xf>
    <xf numFmtId="164" fontId="9" fillId="3" borderId="0" xfId="0" applyNumberFormat="1" applyFont="1" applyFill="1" applyAlignment="1">
      <alignment horizontal="right" wrapText="1"/>
    </xf>
    <xf numFmtId="0" fontId="0" fillId="3" borderId="0" xfId="0" applyFill="1"/>
    <xf numFmtId="49" fontId="0" fillId="3" borderId="0" xfId="0" applyNumberFormat="1" applyFill="1"/>
    <xf numFmtId="14" fontId="4" fillId="0" borderId="0" xfId="0" quotePrefix="1" applyNumberFormat="1" applyFont="1" applyAlignment="1">
      <alignment horizontal="center"/>
    </xf>
    <xf numFmtId="0" fontId="9" fillId="3" borderId="0" xfId="0" applyFont="1" applyFill="1" applyAlignment="1">
      <alignment vertical="center"/>
    </xf>
    <xf numFmtId="14" fontId="9" fillId="3" borderId="0" xfId="0" applyNumberFormat="1" applyFont="1" applyFill="1" applyAlignment="1">
      <alignment horizontal="center" vertical="center"/>
    </xf>
    <xf numFmtId="49" fontId="9" fillId="3" borderId="0" xfId="0" applyNumberFormat="1" applyFont="1" applyFill="1" applyAlignment="1">
      <alignment vertical="center"/>
    </xf>
    <xf numFmtId="164" fontId="9" fillId="3" borderId="0" xfId="0" applyNumberFormat="1" applyFont="1" applyFill="1" applyAlignment="1">
      <alignment horizontal="right" vertical="center" wrapText="1"/>
    </xf>
    <xf numFmtId="41" fontId="9" fillId="3" borderId="0" xfId="0" applyNumberFormat="1" applyFont="1" applyFill="1" applyAlignment="1">
      <alignment vertical="center"/>
    </xf>
    <xf numFmtId="49" fontId="9" fillId="3" borderId="0" xfId="0" quotePrefix="1" applyNumberFormat="1" applyFont="1" applyFill="1" applyAlignment="1">
      <alignment vertical="center"/>
    </xf>
    <xf numFmtId="0" fontId="9" fillId="0" borderId="0" xfId="0" quotePrefix="1" applyFont="1"/>
    <xf numFmtId="49" fontId="9" fillId="3" borderId="0" xfId="0" applyNumberFormat="1" applyFont="1" applyFill="1"/>
    <xf numFmtId="49" fontId="9" fillId="3" borderId="0" xfId="0" quotePrefix="1" applyNumberFormat="1" applyFont="1" applyFill="1"/>
    <xf numFmtId="0" fontId="14" fillId="0" borderId="1" xfId="0" applyFont="1" applyBorder="1" applyAlignment="1">
      <alignment wrapText="1"/>
    </xf>
    <xf numFmtId="0" fontId="14" fillId="0" borderId="5" xfId="0" applyFont="1" applyBorder="1" applyAlignment="1">
      <alignment wrapText="1"/>
    </xf>
    <xf numFmtId="0" fontId="7" fillId="0" borderId="1" xfId="0" applyFont="1" applyBorder="1" applyAlignment="1">
      <alignment wrapText="1"/>
    </xf>
    <xf numFmtId="0" fontId="7" fillId="0" borderId="5" xfId="0" applyFont="1" applyBorder="1" applyAlignment="1">
      <alignment wrapText="1"/>
    </xf>
    <xf numFmtId="14" fontId="7" fillId="0" borderId="1" xfId="0" applyNumberFormat="1" applyFont="1" applyBorder="1" applyAlignment="1">
      <alignment horizontal="center" vertical="center" wrapText="1"/>
    </xf>
    <xf numFmtId="14" fontId="7" fillId="0" borderId="5" xfId="0" applyNumberFormat="1" applyFont="1" applyBorder="1" applyAlignment="1">
      <alignment horizontal="center" vertical="center" wrapText="1"/>
    </xf>
    <xf numFmtId="0" fontId="14" fillId="0" borderId="6" xfId="0" applyFont="1" applyBorder="1" applyAlignment="1">
      <alignment wrapText="1"/>
    </xf>
    <xf numFmtId="164" fontId="7" fillId="0" borderId="1" xfId="0" applyNumberFormat="1" applyFont="1" applyBorder="1" applyAlignment="1">
      <alignment horizontal="right" wrapText="1"/>
    </xf>
    <xf numFmtId="164" fontId="7" fillId="0" borderId="5" xfId="0" applyNumberFormat="1" applyFont="1" applyBorder="1" applyAlignment="1">
      <alignment horizontal="right" wrapText="1"/>
    </xf>
    <xf numFmtId="49" fontId="7" fillId="0" borderId="1" xfId="0" applyNumberFormat="1" applyFont="1" applyBorder="1" applyAlignment="1">
      <alignment wrapText="1"/>
    </xf>
    <xf numFmtId="49" fontId="7" fillId="0" borderId="5" xfId="0" applyNumberFormat="1" applyFont="1" applyBorder="1" applyAlignment="1">
      <alignment wrapText="1"/>
    </xf>
    <xf numFmtId="0" fontId="7" fillId="0" borderId="1" xfId="0" applyFont="1" applyBorder="1"/>
    <xf numFmtId="0" fontId="7" fillId="0" borderId="5" xfId="0" applyFont="1" applyBorder="1"/>
    <xf numFmtId="0" fontId="14" fillId="0" borderId="9" xfId="0" applyFont="1" applyBorder="1" applyAlignment="1">
      <alignment wrapText="1"/>
    </xf>
    <xf numFmtId="0" fontId="14" fillId="0" borderId="3" xfId="0" applyFont="1" applyBorder="1" applyAlignment="1">
      <alignment wrapText="1"/>
    </xf>
    <xf numFmtId="41" fontId="2" fillId="0" borderId="1" xfId="0" applyNumberFormat="1" applyFont="1" applyBorder="1" applyAlignment="1">
      <alignment horizontal="center" vertical="center" wrapText="1"/>
    </xf>
    <xf numFmtId="41" fontId="2" fillId="0" borderId="5" xfId="0" applyNumberFormat="1" applyFont="1" applyBorder="1" applyAlignment="1">
      <alignment horizontal="center" vertical="center" wrapText="1"/>
    </xf>
    <xf numFmtId="49" fontId="2" fillId="0" borderId="1" xfId="0" applyNumberFormat="1" applyFont="1" applyBorder="1" applyAlignment="1">
      <alignment horizontal="center" vertical="center" wrapText="1"/>
    </xf>
    <xf numFmtId="49" fontId="2" fillId="0" borderId="5" xfId="0" applyNumberFormat="1" applyFont="1" applyBorder="1" applyAlignment="1">
      <alignment horizontal="center" vertical="center" wrapText="1"/>
    </xf>
    <xf numFmtId="49" fontId="2" fillId="0" borderId="1" xfId="0" applyNumberFormat="1" applyFont="1" applyBorder="1" applyAlignment="1">
      <alignment horizontal="center" vertical="center"/>
    </xf>
    <xf numFmtId="49" fontId="2" fillId="0" borderId="5" xfId="0" applyNumberFormat="1" applyFont="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5" xfId="0" applyFont="1" applyBorder="1" applyAlignment="1">
      <alignment horizontal="center" vertical="center" wrapText="1"/>
    </xf>
    <xf numFmtId="49" fontId="3" fillId="0" borderId="1" xfId="0" applyNumberFormat="1" applyFont="1" applyBorder="1" applyAlignment="1">
      <alignment horizontal="center" vertical="center" wrapText="1"/>
    </xf>
    <xf numFmtId="49" fontId="3" fillId="0" borderId="5" xfId="0" applyNumberFormat="1" applyFont="1" applyBorder="1" applyAlignment="1">
      <alignment horizontal="center" vertical="center" wrapText="1"/>
    </xf>
    <xf numFmtId="14" fontId="2" fillId="0" borderId="1" xfId="0" applyNumberFormat="1" applyFont="1" applyBorder="1" applyAlignment="1">
      <alignment horizontal="center" vertical="center" wrapText="1"/>
    </xf>
    <xf numFmtId="14" fontId="2" fillId="0" borderId="5"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3" fillId="0" borderId="6" xfId="0" applyFont="1" applyBorder="1" applyAlignment="1">
      <alignment horizontal="center" vertical="center" wrapText="1"/>
    </xf>
    <xf numFmtId="49" fontId="3" fillId="0" borderId="6" xfId="0" applyNumberFormat="1" applyFont="1" applyBorder="1" applyAlignment="1">
      <alignment horizontal="center" vertical="center" wrapText="1"/>
    </xf>
    <xf numFmtId="164" fontId="7" fillId="0" borderId="1" xfId="0" applyNumberFormat="1" applyFont="1" applyBorder="1" applyAlignment="1">
      <alignment horizontal="right" vertical="center" wrapText="1"/>
    </xf>
    <xf numFmtId="164" fontId="7" fillId="0" borderId="5" xfId="0" applyNumberFormat="1" applyFont="1" applyBorder="1" applyAlignment="1">
      <alignment horizontal="right" vertical="center" wrapText="1"/>
    </xf>
    <xf numFmtId="49" fontId="7" fillId="0" borderId="1" xfId="0" applyNumberFormat="1" applyFont="1" applyBorder="1" applyAlignment="1">
      <alignment vertical="center" wrapText="1"/>
    </xf>
    <xf numFmtId="49" fontId="7" fillId="0" borderId="5" xfId="0" applyNumberFormat="1" applyFont="1" applyBorder="1" applyAlignment="1">
      <alignment vertical="center" wrapText="1"/>
    </xf>
    <xf numFmtId="0" fontId="7" fillId="0" borderId="1" xfId="0" applyFont="1" applyBorder="1" applyAlignment="1">
      <alignment vertical="center"/>
    </xf>
    <xf numFmtId="0" fontId="7" fillId="0" borderId="5" xfId="0" applyFont="1" applyBorder="1" applyAlignment="1">
      <alignment vertical="center"/>
    </xf>
    <xf numFmtId="0" fontId="14" fillId="0" borderId="9" xfId="0" applyFont="1" applyBorder="1" applyAlignment="1">
      <alignment vertical="center" wrapText="1"/>
    </xf>
    <xf numFmtId="0" fontId="14" fillId="0" borderId="3" xfId="0" applyFont="1" applyBorder="1" applyAlignment="1">
      <alignment vertical="center" wrapText="1"/>
    </xf>
    <xf numFmtId="0" fontId="7" fillId="0" borderId="1" xfId="0" applyFont="1" applyBorder="1" applyAlignment="1">
      <alignment vertical="center" wrapText="1"/>
    </xf>
    <xf numFmtId="0" fontId="7" fillId="0" borderId="5" xfId="0" applyFont="1" applyBorder="1" applyAlignment="1">
      <alignment vertical="center" wrapText="1"/>
    </xf>
    <xf numFmtId="0" fontId="14" fillId="0" borderId="1" xfId="0" applyFont="1" applyBorder="1" applyAlignment="1">
      <alignment vertical="center" wrapText="1"/>
    </xf>
    <xf numFmtId="0" fontId="14" fillId="0" borderId="5" xfId="0" applyFont="1" applyBorder="1" applyAlignment="1">
      <alignment vertical="center" wrapText="1"/>
    </xf>
    <xf numFmtId="0" fontId="14" fillId="0" borderId="6" xfId="0" applyFont="1" applyBorder="1" applyAlignment="1">
      <alignment vertical="center" wrapText="1"/>
    </xf>
    <xf numFmtId="0" fontId="7" fillId="0" borderId="1" xfId="0" applyFont="1" applyBorder="1" applyAlignment="1">
      <alignment horizontal="center" wrapText="1"/>
    </xf>
    <xf numFmtId="0" fontId="7" fillId="0" borderId="5" xfId="0" applyFont="1" applyBorder="1" applyAlignment="1">
      <alignment horizontal="center" wrapText="1"/>
    </xf>
    <xf numFmtId="41" fontId="2" fillId="0" borderId="1" xfId="0" applyNumberFormat="1" applyFont="1" applyBorder="1" applyAlignment="1">
      <alignment wrapText="1"/>
    </xf>
    <xf numFmtId="41" fontId="2" fillId="0" borderId="5" xfId="0" applyNumberFormat="1" applyFont="1" applyBorder="1" applyAlignment="1">
      <alignment wrapText="1"/>
    </xf>
    <xf numFmtId="49" fontId="2" fillId="0" borderId="1" xfId="0" applyNumberFormat="1" applyFont="1" applyBorder="1" applyAlignment="1">
      <alignment wrapText="1"/>
    </xf>
    <xf numFmtId="49" fontId="2" fillId="0" borderId="5" xfId="0" applyNumberFormat="1" applyFont="1" applyBorder="1" applyAlignment="1">
      <alignment wrapText="1"/>
    </xf>
    <xf numFmtId="0" fontId="2" fillId="0" borderId="1" xfId="0" applyFont="1" applyBorder="1"/>
    <xf numFmtId="0" fontId="2" fillId="0" borderId="5" xfId="0" applyFont="1" applyBorder="1"/>
    <xf numFmtId="0" fontId="15" fillId="0" borderId="9" xfId="0" applyFont="1" applyBorder="1" applyAlignment="1">
      <alignment wrapText="1"/>
    </xf>
    <xf numFmtId="0" fontId="15" fillId="0" borderId="3" xfId="0" applyFont="1" applyBorder="1" applyAlignment="1">
      <alignment wrapText="1"/>
    </xf>
    <xf numFmtId="0" fontId="2" fillId="0" borderId="1" xfId="0" applyFont="1" applyBorder="1" applyAlignment="1">
      <alignment wrapText="1"/>
    </xf>
    <xf numFmtId="0" fontId="2" fillId="0" borderId="5" xfId="0" applyFont="1" applyBorder="1" applyAlignment="1">
      <alignment wrapText="1"/>
    </xf>
    <xf numFmtId="0" fontId="15" fillId="0" borderId="1" xfId="0" applyFont="1" applyBorder="1" applyAlignment="1">
      <alignment wrapText="1"/>
    </xf>
    <xf numFmtId="0" fontId="15" fillId="0" borderId="5" xfId="0" applyFont="1" applyBorder="1" applyAlignment="1">
      <alignment wrapText="1"/>
    </xf>
    <xf numFmtId="14" fontId="2" fillId="0" borderId="1" xfId="0" applyNumberFormat="1" applyFont="1" applyBorder="1" applyAlignment="1">
      <alignment horizontal="center" wrapText="1"/>
    </xf>
    <xf numFmtId="14" fontId="2" fillId="0" borderId="5" xfId="0" applyNumberFormat="1" applyFont="1" applyBorder="1" applyAlignment="1">
      <alignment horizontal="center" wrapText="1"/>
    </xf>
    <xf numFmtId="0" fontId="15" fillId="0" borderId="6" xfId="0" applyFont="1" applyBorder="1" applyAlignment="1">
      <alignment wrapText="1"/>
    </xf>
    <xf numFmtId="41" fontId="2" fillId="0" borderId="1" xfId="0" applyNumberFormat="1" applyFont="1" applyBorder="1" applyAlignment="1">
      <alignment horizontal="right" wrapText="1"/>
    </xf>
    <xf numFmtId="41" fontId="2" fillId="0" borderId="5" xfId="0" applyNumberFormat="1" applyFont="1" applyBorder="1" applyAlignment="1">
      <alignment horizontal="right" wrapText="1"/>
    </xf>
    <xf numFmtId="0" fontId="3" fillId="0" borderId="5" xfId="0" applyFont="1" applyBorder="1" applyAlignment="1">
      <alignment horizontal="center" vertical="center" wrapText="1"/>
    </xf>
    <xf numFmtId="0" fontId="2" fillId="0" borderId="1" xfId="0" applyFont="1" applyBorder="1" applyAlignment="1">
      <alignment horizontal="center" vertical="center"/>
    </xf>
    <xf numFmtId="0" fontId="2" fillId="0" borderId="5" xfId="0" applyFont="1" applyBorder="1" applyAlignment="1">
      <alignment horizontal="center" vertical="center"/>
    </xf>
    <xf numFmtId="14" fontId="7" fillId="0" borderId="1" xfId="0" applyNumberFormat="1" applyFont="1" applyBorder="1" applyAlignment="1">
      <alignment horizontal="center" wrapText="1"/>
    </xf>
    <xf numFmtId="14" fontId="7" fillId="0" borderId="5" xfId="0" applyNumberFormat="1" applyFont="1" applyBorder="1" applyAlignment="1">
      <alignment horizontal="center" wrapText="1"/>
    </xf>
    <xf numFmtId="41" fontId="7" fillId="0" borderId="1" xfId="0" applyNumberFormat="1" applyFont="1" applyBorder="1" applyAlignment="1">
      <alignment wrapText="1"/>
    </xf>
    <xf numFmtId="41" fontId="7" fillId="0" borderId="5" xfId="0" applyNumberFormat="1" applyFont="1" applyBorder="1" applyAlignment="1">
      <alignment wrapText="1"/>
    </xf>
    <xf numFmtId="164" fontId="2" fillId="0" borderId="1" xfId="0" applyNumberFormat="1" applyFont="1" applyBorder="1" applyAlignment="1">
      <alignment horizontal="center" vertical="center" wrapText="1"/>
    </xf>
    <xf numFmtId="164" fontId="2" fillId="0" borderId="5" xfId="0" applyNumberFormat="1" applyFont="1" applyBorder="1" applyAlignment="1">
      <alignment horizontal="center" vertical="center" wrapText="1"/>
    </xf>
    <xf numFmtId="164" fontId="7" fillId="0" borderId="1" xfId="0" applyNumberFormat="1" applyFont="1" applyBorder="1" applyAlignment="1">
      <alignment horizontal="center" vertical="center" wrapText="1"/>
    </xf>
    <xf numFmtId="164" fontId="7" fillId="0" borderId="5" xfId="0" applyNumberFormat="1" applyFont="1" applyBorder="1" applyAlignment="1">
      <alignment horizontal="center" vertical="center" wrapText="1"/>
    </xf>
    <xf numFmtId="49" fontId="7" fillId="0" borderId="1" xfId="0" applyNumberFormat="1" applyFont="1" applyBorder="1" applyAlignment="1">
      <alignment horizontal="center" vertical="center" wrapText="1"/>
    </xf>
    <xf numFmtId="49" fontId="7" fillId="0" borderId="5" xfId="0" applyNumberFormat="1" applyFont="1" applyBorder="1" applyAlignment="1">
      <alignment horizontal="center" vertical="center" wrapText="1"/>
    </xf>
    <xf numFmtId="49" fontId="7" fillId="0" borderId="1" xfId="0" applyNumberFormat="1" applyFont="1" applyBorder="1" applyAlignment="1">
      <alignment horizontal="center" vertical="center"/>
    </xf>
    <xf numFmtId="49" fontId="7" fillId="0" borderId="5" xfId="0" applyNumberFormat="1" applyFont="1" applyBorder="1" applyAlignment="1">
      <alignment horizontal="center" vertical="center"/>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7" fillId="0" borderId="1" xfId="0" applyFont="1" applyBorder="1" applyAlignment="1">
      <alignment horizontal="center" vertical="center" wrapText="1"/>
    </xf>
    <xf numFmtId="0" fontId="7" fillId="0" borderId="5" xfId="0" applyFont="1" applyBorder="1" applyAlignment="1">
      <alignment horizontal="center" vertical="center" wrapText="1"/>
    </xf>
    <xf numFmtId="49" fontId="8" fillId="0" borderId="1" xfId="0" applyNumberFormat="1" applyFont="1" applyBorder="1" applyAlignment="1">
      <alignment horizontal="center" vertical="center" wrapText="1"/>
    </xf>
    <xf numFmtId="49" fontId="8" fillId="0" borderId="5" xfId="0" applyNumberFormat="1" applyFont="1" applyBorder="1" applyAlignment="1">
      <alignment horizontal="center" vertical="center" wrapText="1"/>
    </xf>
    <xf numFmtId="0" fontId="8" fillId="0" borderId="1" xfId="0" applyFont="1" applyBorder="1" applyAlignment="1">
      <alignment horizontal="center" vertical="center" wrapText="1"/>
    </xf>
    <xf numFmtId="0" fontId="8" fillId="0" borderId="6" xfId="0" applyFont="1" applyBorder="1" applyAlignment="1">
      <alignment horizontal="center" vertical="center" wrapText="1"/>
    </xf>
    <xf numFmtId="49" fontId="8" fillId="0" borderId="6" xfId="0" applyNumberFormat="1" applyFont="1" applyBorder="1" applyAlignment="1">
      <alignment horizontal="center" vertical="center" wrapText="1"/>
    </xf>
    <xf numFmtId="49" fontId="15" fillId="0" borderId="1" xfId="0" applyNumberFormat="1" applyFont="1" applyBorder="1" applyAlignment="1">
      <alignment wrapText="1"/>
    </xf>
    <xf numFmtId="49" fontId="15" fillId="0" borderId="5" xfId="0" applyNumberFormat="1" applyFont="1" applyBorder="1" applyAlignment="1">
      <alignment wrapText="1"/>
    </xf>
  </cellXfs>
  <cellStyles count="4">
    <cellStyle name="Comma 2" xfId="2" xr:uid="{00000000-0005-0000-0000-000000000000}"/>
    <cellStyle name="Hyperlink" xfId="3" builtinId="8"/>
    <cellStyle name="Normal" xfId="0" builtinId="0"/>
    <cellStyle name="Normal 2" xfId="1" xr:uid="{00000000-0005-0000-0000-000003000000}"/>
  </cellStyles>
  <dxfs count="27">
    <dxf>
      <font>
        <color rgb="FF9C0006"/>
      </font>
      <fill>
        <patternFill>
          <bgColor rgb="FFFFC7CE"/>
        </patternFill>
      </fill>
    </dxf>
    <dxf>
      <font>
        <b val="0"/>
        <i val="0"/>
        <strike val="0"/>
        <condense val="0"/>
        <extend val="0"/>
        <outline val="0"/>
        <shadow val="0"/>
        <u val="none"/>
        <vertAlign val="baseline"/>
        <sz val="11"/>
        <color theme="1"/>
        <name val="Aptos Narrow"/>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ptos Narrow"/>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ptos Narrow"/>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ptos Narrow"/>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ptos Narrow"/>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ptos Narrow"/>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19" formatCode="dd/mm/yyyy"/>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30" formatCode="@"/>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textRotation="0" wrapText="0" indent="0" justifyLastLine="0" shrinkToFit="0" readingOrder="0"/>
    </dxf>
    <dxf>
      <font>
        <b/>
        <i val="0"/>
        <strike val="0"/>
        <condense val="0"/>
        <extend val="0"/>
        <outline val="0"/>
        <shadow val="0"/>
        <u val="none"/>
        <vertAlign val="baseline"/>
        <sz val="11"/>
        <color theme="1"/>
        <name val="Times New Roman"/>
        <scheme val="none"/>
      </font>
      <fill>
        <patternFill patternType="solid">
          <fgColor indexed="64"/>
          <bgColor rgb="FF92D050"/>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X36" totalsRowShown="0" headerRowDxfId="26" dataDxfId="25">
  <autoFilter ref="A2:X36" xr:uid="{00000000-0009-0000-0100-000001000000}"/>
  <tableColumns count="24">
    <tableColumn id="1" xr3:uid="{00000000-0010-0000-0000-000001000000}" name="STT" dataDxfId="24"/>
    <tableColumn id="22" xr3:uid="{00000000-0010-0000-0000-000016000000}" name="Done hạch toán" dataDxfId="23"/>
    <tableColumn id="2" xr3:uid="{00000000-0010-0000-0000-000002000000}" name="Tên HKD" dataDxfId="22"/>
    <tableColumn id="3" xr3:uid="{00000000-0010-0000-0000-000003000000}" name="Trang hóa đơn đầu ra" dataDxfId="21" dataCellStyle="Hyperlink"/>
    <tableColumn id="4" xr3:uid="{00000000-0010-0000-0000-000004000000}" name="ID" dataDxfId="20"/>
    <tableColumn id="5" xr3:uid="{00000000-0010-0000-0000-000005000000}" name="Mật khẩu" dataDxfId="19"/>
    <tableColumn id="6" xr3:uid="{00000000-0010-0000-0000-000006000000}" name="Trang hóa đơn đầu vào" dataDxfId="18"/>
    <tableColumn id="7" xr3:uid="{00000000-0010-0000-0000-000007000000}" name="ID2" dataDxfId="17"/>
    <tableColumn id="8" xr3:uid="{00000000-0010-0000-0000-000008000000}" name="Mật khẩu3" dataDxfId="16"/>
    <tableColumn id="9" xr3:uid="{00000000-0010-0000-0000-000009000000}" name="Bảo hiểm" dataDxfId="15"/>
    <tableColumn id="10" xr3:uid="{00000000-0010-0000-0000-00000A000000}" name="ID4" dataDxfId="14"/>
    <tableColumn id="11" xr3:uid="{00000000-0010-0000-0000-00000B000000}" name="Mật khẩu5" dataDxfId="13"/>
    <tableColumn id="12" xr3:uid="{00000000-0010-0000-0000-00000C000000}" name="Số Chủ HKD đóng BHXH" dataDxfId="12"/>
    <tableColumn id="13" xr3:uid="{00000000-0010-0000-0000-00000D000000}" name="Mức đóng BHXH chủ hộ" dataDxfId="11"/>
    <tableColumn id="14" xr3:uid="{00000000-0010-0000-0000-00000E000000}" name="Thời gian đóng BHXH" dataDxfId="10"/>
    <tableColumn id="15" xr3:uid="{00000000-0010-0000-0000-00000F000000}" name="Số Nhân viên đóng BHXH" dataDxfId="9"/>
    <tableColumn id="16" xr3:uid="{00000000-0010-0000-0000-000010000000}" name="Thời gian đóng BHXH6" dataDxfId="8"/>
    <tableColumn id="17" xr3:uid="{00000000-0010-0000-0000-000011000000}" name="Mức lương (NET)" dataDxfId="7"/>
    <tableColumn id="18" xr3:uid="{00000000-0010-0000-0000-000012000000}" name="Bảo hiểm (NET)" dataDxfId="6"/>
    <tableColumn id="19" xr3:uid="{00000000-0010-0000-0000-000013000000}" name="Link sever" dataDxfId="5" dataCellStyle="Hyperlink"/>
    <tableColumn id="20" xr3:uid="{00000000-0010-0000-0000-000014000000}" name="Mật khẩu 3TSOFT" dataDxfId="4"/>
    <tableColumn id="21" xr3:uid="{00000000-0010-0000-0000-000015000000}" name="Sao kê ngân hàng" dataDxfId="3"/>
    <tableColumn id="23" xr3:uid="{00000000-0010-0000-0000-000017000000}" name="Column1" dataDxfId="2"/>
    <tableColumn id="25" xr3:uid="{00000000-0010-0000-0000-000019000000}" name="Column2" dataDxfId="1"/>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9"/>
  <sheetViews>
    <sheetView zoomScale="85" zoomScaleNormal="85" workbookViewId="0">
      <pane xSplit="3" ySplit="4" topLeftCell="D5" activePane="bottomRight" state="frozen"/>
      <selection pane="topRight" activeCell="D1" sqref="D1"/>
      <selection pane="bottomLeft" activeCell="A5" sqref="A5"/>
      <selection pane="bottomRight" activeCell="C22" sqref="C22"/>
    </sheetView>
  </sheetViews>
  <sheetFormatPr defaultRowHeight="15" x14ac:dyDescent="0.25"/>
  <cols>
    <col min="2" max="2" width="17.85546875" customWidth="1"/>
    <col min="3" max="3" width="47.5703125" customWidth="1"/>
    <col min="4" max="4" width="9.140625" customWidth="1"/>
    <col min="5" max="5" width="12.140625" customWidth="1"/>
    <col min="6" max="6" width="24.28515625" customWidth="1"/>
    <col min="7" max="7" width="14.85546875" bestFit="1" customWidth="1"/>
    <col min="8" max="8" width="15.7109375" bestFit="1" customWidth="1"/>
    <col min="9" max="9" width="39.42578125" bestFit="1" customWidth="1"/>
    <col min="11" max="11" width="13.28515625" customWidth="1"/>
    <col min="12" max="12" width="16" customWidth="1"/>
    <col min="13" max="13" width="26.42578125" customWidth="1"/>
    <col min="14" max="14" width="24" customWidth="1"/>
    <col min="15" max="15" width="27.5703125" customWidth="1"/>
    <col min="16" max="16" width="25.140625" customWidth="1"/>
    <col min="17" max="17" width="19.85546875" customWidth="1"/>
    <col min="18" max="18" width="18.42578125" customWidth="1"/>
    <col min="19" max="19" width="13.42578125" customWidth="1"/>
    <col min="20" max="20" width="20.85546875" customWidth="1"/>
    <col min="21" max="21" width="19.42578125" customWidth="1"/>
  </cols>
  <sheetData>
    <row r="1" spans="1:24" x14ac:dyDescent="0.25">
      <c r="A1" t="s">
        <v>230</v>
      </c>
      <c r="B1" s="79">
        <f>COUNTIF(Table1[Done hạch toán],"v")/MAX(Table1[STT])</f>
        <v>0.94117647058823528</v>
      </c>
      <c r="C1">
        <f>COUNTIF(Table1[Done hạch toán],"v")</f>
        <v>32</v>
      </c>
    </row>
    <row r="2" spans="1:24" x14ac:dyDescent="0.25">
      <c r="A2" s="70" t="s">
        <v>17</v>
      </c>
      <c r="B2" s="70" t="s">
        <v>229</v>
      </c>
      <c r="C2" s="70" t="s">
        <v>111</v>
      </c>
      <c r="D2" s="70" t="s">
        <v>112</v>
      </c>
      <c r="E2" s="70" t="s">
        <v>113</v>
      </c>
      <c r="F2" s="70" t="s">
        <v>114</v>
      </c>
      <c r="G2" s="70" t="s">
        <v>115</v>
      </c>
      <c r="H2" s="70" t="s">
        <v>224</v>
      </c>
      <c r="I2" s="70" t="s">
        <v>225</v>
      </c>
      <c r="J2" s="70" t="s">
        <v>116</v>
      </c>
      <c r="K2" s="70" t="s">
        <v>226</v>
      </c>
      <c r="L2" s="70" t="s">
        <v>227</v>
      </c>
      <c r="M2" s="70" t="s">
        <v>117</v>
      </c>
      <c r="N2" s="70" t="s">
        <v>118</v>
      </c>
      <c r="O2" s="70" t="s">
        <v>119</v>
      </c>
      <c r="P2" s="70" t="s">
        <v>120</v>
      </c>
      <c r="Q2" s="70" t="s">
        <v>228</v>
      </c>
      <c r="R2" s="70" t="s">
        <v>121</v>
      </c>
      <c r="S2" s="70" t="s">
        <v>122</v>
      </c>
      <c r="T2" s="70" t="s">
        <v>123</v>
      </c>
      <c r="U2" s="70" t="s">
        <v>124</v>
      </c>
      <c r="V2" s="70" t="s">
        <v>125</v>
      </c>
      <c r="W2" s="143" t="s">
        <v>334</v>
      </c>
      <c r="X2" s="147" t="s">
        <v>357</v>
      </c>
    </row>
    <row r="3" spans="1:24" x14ac:dyDescent="0.25">
      <c r="A3" s="71">
        <v>1</v>
      </c>
      <c r="B3" s="71" t="s">
        <v>2587</v>
      </c>
      <c r="C3" s="145" t="s">
        <v>126</v>
      </c>
      <c r="D3" s="73" t="s">
        <v>127</v>
      </c>
      <c r="E3" s="71" t="s">
        <v>128</v>
      </c>
      <c r="F3" s="71" t="s">
        <v>129</v>
      </c>
      <c r="G3" s="72" t="s">
        <v>130</v>
      </c>
      <c r="H3" s="83" t="s">
        <v>108</v>
      </c>
      <c r="I3" s="72" t="s">
        <v>129</v>
      </c>
      <c r="J3" s="73" t="s">
        <v>131</v>
      </c>
      <c r="K3" s="74">
        <v>1300021652</v>
      </c>
      <c r="L3" s="74" t="s">
        <v>129</v>
      </c>
      <c r="M3" s="72">
        <v>1</v>
      </c>
      <c r="N3" s="75">
        <v>690300</v>
      </c>
      <c r="O3" s="76">
        <v>45839</v>
      </c>
      <c r="P3" s="77">
        <v>0</v>
      </c>
      <c r="Q3" s="74"/>
      <c r="R3" s="74"/>
      <c r="S3" s="74"/>
      <c r="T3" s="73" t="s">
        <v>132</v>
      </c>
      <c r="U3" s="72" t="s">
        <v>133</v>
      </c>
      <c r="V3" s="72" t="s">
        <v>21</v>
      </c>
      <c r="W3" s="74"/>
      <c r="X3" s="141" t="s">
        <v>359</v>
      </c>
    </row>
    <row r="4" spans="1:24" x14ac:dyDescent="0.25">
      <c r="A4" s="71">
        <f>A3+1</f>
        <v>2</v>
      </c>
      <c r="B4" s="71" t="s">
        <v>2587</v>
      </c>
      <c r="C4" s="145" t="s">
        <v>134</v>
      </c>
      <c r="D4" s="73" t="s">
        <v>135</v>
      </c>
      <c r="E4" s="71" t="s">
        <v>128</v>
      </c>
      <c r="F4" s="71" t="s">
        <v>129</v>
      </c>
      <c r="G4" s="72" t="s">
        <v>130</v>
      </c>
      <c r="H4" s="83" t="s">
        <v>60</v>
      </c>
      <c r="I4" s="72" t="s">
        <v>129</v>
      </c>
      <c r="J4" s="72" t="s">
        <v>131</v>
      </c>
      <c r="K4" s="74">
        <v>1303027720</v>
      </c>
      <c r="L4" s="74" t="s">
        <v>129</v>
      </c>
      <c r="M4" s="72">
        <v>1</v>
      </c>
      <c r="N4" s="75">
        <v>690300</v>
      </c>
      <c r="O4" s="76">
        <v>45839</v>
      </c>
      <c r="P4" s="77">
        <v>0</v>
      </c>
      <c r="Q4" s="74"/>
      <c r="R4" s="74"/>
      <c r="S4" s="74"/>
      <c r="T4" s="73" t="s">
        <v>136</v>
      </c>
      <c r="U4" s="72" t="s">
        <v>137</v>
      </c>
      <c r="V4" s="72" t="s">
        <v>21</v>
      </c>
      <c r="W4" s="74"/>
      <c r="X4" s="141" t="s">
        <v>359</v>
      </c>
    </row>
    <row r="5" spans="1:24" x14ac:dyDescent="0.25">
      <c r="A5" s="71">
        <f t="shared" ref="A5:A36" si="0">A4+1</f>
        <v>3</v>
      </c>
      <c r="B5" s="71" t="s">
        <v>2587</v>
      </c>
      <c r="C5" s="145" t="s">
        <v>138</v>
      </c>
      <c r="D5" s="73" t="s">
        <v>139</v>
      </c>
      <c r="E5" s="71" t="s">
        <v>128</v>
      </c>
      <c r="F5" s="71" t="s">
        <v>129</v>
      </c>
      <c r="G5" s="72" t="s">
        <v>130</v>
      </c>
      <c r="H5" s="83" t="s">
        <v>140</v>
      </c>
      <c r="I5" s="72" t="s">
        <v>129</v>
      </c>
      <c r="J5" s="72" t="s">
        <v>131</v>
      </c>
      <c r="K5" s="74">
        <v>10096002728</v>
      </c>
      <c r="L5" s="74" t="s">
        <v>129</v>
      </c>
      <c r="M5" s="72">
        <v>1</v>
      </c>
      <c r="N5" s="75">
        <v>690300</v>
      </c>
      <c r="O5" s="76">
        <v>45839</v>
      </c>
      <c r="P5" s="77">
        <v>1</v>
      </c>
      <c r="Q5" s="76">
        <v>45666</v>
      </c>
      <c r="R5" s="74"/>
      <c r="S5" s="75" t="s">
        <v>313</v>
      </c>
      <c r="T5" s="73" t="s">
        <v>141</v>
      </c>
      <c r="U5" s="72" t="s">
        <v>142</v>
      </c>
      <c r="V5" s="72" t="s">
        <v>21</v>
      </c>
      <c r="W5" s="74"/>
      <c r="X5" s="141" t="s">
        <v>359</v>
      </c>
    </row>
    <row r="6" spans="1:24" x14ac:dyDescent="0.25">
      <c r="A6" s="71">
        <f t="shared" si="0"/>
        <v>4</v>
      </c>
      <c r="B6" s="71" t="s">
        <v>2587</v>
      </c>
      <c r="C6" s="145" t="s">
        <v>143</v>
      </c>
      <c r="D6" s="73" t="s">
        <v>144</v>
      </c>
      <c r="E6" s="71" t="s">
        <v>128</v>
      </c>
      <c r="F6" s="71" t="s">
        <v>129</v>
      </c>
      <c r="G6" s="72" t="s">
        <v>130</v>
      </c>
      <c r="H6" s="83" t="s">
        <v>103</v>
      </c>
      <c r="I6" s="72" t="s">
        <v>129</v>
      </c>
      <c r="J6" s="72" t="s">
        <v>131</v>
      </c>
      <c r="K6" s="74">
        <v>25300006441</v>
      </c>
      <c r="L6" s="74" t="s">
        <v>129</v>
      </c>
      <c r="M6" s="72">
        <v>1</v>
      </c>
      <c r="N6" s="75">
        <v>690300</v>
      </c>
      <c r="O6" s="76">
        <v>45839</v>
      </c>
      <c r="P6" s="77">
        <v>0</v>
      </c>
      <c r="Q6" s="74"/>
      <c r="R6" s="74"/>
      <c r="S6" s="74"/>
      <c r="T6" s="73" t="s">
        <v>145</v>
      </c>
      <c r="U6" s="72" t="s">
        <v>146</v>
      </c>
      <c r="V6" s="72" t="s">
        <v>21</v>
      </c>
      <c r="W6" s="74" t="s">
        <v>378</v>
      </c>
      <c r="X6" s="141" t="s">
        <v>359</v>
      </c>
    </row>
    <row r="7" spans="1:24" x14ac:dyDescent="0.25">
      <c r="A7" s="71">
        <f t="shared" si="0"/>
        <v>5</v>
      </c>
      <c r="B7" s="71" t="s">
        <v>2587</v>
      </c>
      <c r="C7" s="145" t="s">
        <v>147</v>
      </c>
      <c r="D7" s="73" t="s">
        <v>148</v>
      </c>
      <c r="E7" s="71" t="s">
        <v>128</v>
      </c>
      <c r="F7" s="71" t="s">
        <v>129</v>
      </c>
      <c r="G7" s="72" t="s">
        <v>130</v>
      </c>
      <c r="H7" s="83" t="s">
        <v>149</v>
      </c>
      <c r="I7" s="72" t="s">
        <v>129</v>
      </c>
      <c r="J7" s="72" t="s">
        <v>131</v>
      </c>
      <c r="K7" s="74">
        <v>34192000639</v>
      </c>
      <c r="L7" s="74" t="s">
        <v>129</v>
      </c>
      <c r="M7" s="72">
        <v>1</v>
      </c>
      <c r="N7" s="75">
        <v>2950000</v>
      </c>
      <c r="O7" s="76">
        <v>45839</v>
      </c>
      <c r="P7" s="77">
        <v>0</v>
      </c>
      <c r="Q7" s="74"/>
      <c r="R7" s="74"/>
      <c r="S7" s="74"/>
      <c r="T7" s="73" t="s">
        <v>150</v>
      </c>
      <c r="U7" s="72" t="s">
        <v>151</v>
      </c>
      <c r="V7" s="72" t="s">
        <v>21</v>
      </c>
      <c r="W7" s="74"/>
      <c r="X7" s="141" t="s">
        <v>359</v>
      </c>
    </row>
    <row r="8" spans="1:24" x14ac:dyDescent="0.25">
      <c r="A8" s="71">
        <f t="shared" si="0"/>
        <v>6</v>
      </c>
      <c r="B8" s="71" t="s">
        <v>2587</v>
      </c>
      <c r="C8" s="145" t="s">
        <v>152</v>
      </c>
      <c r="D8" s="73" t="s">
        <v>153</v>
      </c>
      <c r="E8" s="71" t="s">
        <v>128</v>
      </c>
      <c r="F8" s="71" t="s">
        <v>129</v>
      </c>
      <c r="G8" s="72" t="s">
        <v>130</v>
      </c>
      <c r="H8" s="83" t="s">
        <v>154</v>
      </c>
      <c r="I8" s="72" t="s">
        <v>129</v>
      </c>
      <c r="J8" s="72" t="s">
        <v>131</v>
      </c>
      <c r="K8" s="74">
        <v>38192002704</v>
      </c>
      <c r="L8" s="74" t="s">
        <v>129</v>
      </c>
      <c r="M8" s="72">
        <v>1</v>
      </c>
      <c r="N8" s="75">
        <v>690300</v>
      </c>
      <c r="O8" s="76">
        <v>45839</v>
      </c>
      <c r="P8" s="77">
        <v>0</v>
      </c>
      <c r="Q8" s="74"/>
      <c r="R8" s="74"/>
      <c r="S8" s="74"/>
      <c r="T8" s="73" t="s">
        <v>155</v>
      </c>
      <c r="U8" s="72" t="s">
        <v>156</v>
      </c>
      <c r="V8" s="74" t="s">
        <v>21</v>
      </c>
      <c r="W8" s="74"/>
      <c r="X8" s="141" t="s">
        <v>359</v>
      </c>
    </row>
    <row r="9" spans="1:24" x14ac:dyDescent="0.25">
      <c r="A9" s="71">
        <f t="shared" si="0"/>
        <v>7</v>
      </c>
      <c r="B9" s="71" t="s">
        <v>2587</v>
      </c>
      <c r="C9" s="145" t="s">
        <v>99</v>
      </c>
      <c r="D9" s="73" t="s">
        <v>157</v>
      </c>
      <c r="E9" s="71" t="s">
        <v>128</v>
      </c>
      <c r="F9" s="71" t="s">
        <v>129</v>
      </c>
      <c r="G9" s="72" t="s">
        <v>130</v>
      </c>
      <c r="H9" s="83" t="s">
        <v>79</v>
      </c>
      <c r="I9" s="72" t="s">
        <v>129</v>
      </c>
      <c r="J9" s="72" t="s">
        <v>131</v>
      </c>
      <c r="K9" s="74"/>
      <c r="L9" s="74"/>
      <c r="M9" s="72"/>
      <c r="N9" s="75"/>
      <c r="O9" s="76"/>
      <c r="P9" s="77">
        <v>0</v>
      </c>
      <c r="Q9" s="74"/>
      <c r="R9" s="74"/>
      <c r="S9" s="74"/>
      <c r="T9" s="73" t="s">
        <v>158</v>
      </c>
      <c r="U9" s="72" t="s">
        <v>159</v>
      </c>
      <c r="V9" s="72" t="s">
        <v>21</v>
      </c>
      <c r="W9" s="74" t="s">
        <v>333</v>
      </c>
      <c r="X9" s="141" t="s">
        <v>359</v>
      </c>
    </row>
    <row r="10" spans="1:24" x14ac:dyDescent="0.25">
      <c r="A10" s="71">
        <f t="shared" si="0"/>
        <v>8</v>
      </c>
      <c r="B10" s="71" t="s">
        <v>2587</v>
      </c>
      <c r="C10" s="145" t="s">
        <v>160</v>
      </c>
      <c r="D10" s="73" t="s">
        <v>161</v>
      </c>
      <c r="E10" s="71" t="s">
        <v>128</v>
      </c>
      <c r="F10" s="71" t="s">
        <v>129</v>
      </c>
      <c r="G10" s="72" t="s">
        <v>130</v>
      </c>
      <c r="H10" s="83" t="s">
        <v>162</v>
      </c>
      <c r="I10" s="72" t="s">
        <v>129</v>
      </c>
      <c r="J10" s="72" t="s">
        <v>131</v>
      </c>
      <c r="K10" s="74">
        <v>56194006883</v>
      </c>
      <c r="L10" s="74" t="s">
        <v>129</v>
      </c>
      <c r="M10" s="72">
        <v>1</v>
      </c>
      <c r="N10" s="75">
        <v>690300</v>
      </c>
      <c r="O10" s="76">
        <v>45839</v>
      </c>
      <c r="P10" s="77">
        <v>0</v>
      </c>
      <c r="Q10" s="74"/>
      <c r="R10" s="74"/>
      <c r="S10" s="74"/>
      <c r="T10" s="73" t="s">
        <v>163</v>
      </c>
      <c r="U10" s="72" t="s">
        <v>164</v>
      </c>
      <c r="V10" s="74" t="s">
        <v>21</v>
      </c>
      <c r="W10" s="74"/>
      <c r="X10" s="141" t="s">
        <v>359</v>
      </c>
    </row>
    <row r="11" spans="1:24" x14ac:dyDescent="0.25">
      <c r="A11" s="71">
        <f t="shared" si="0"/>
        <v>9</v>
      </c>
      <c r="B11" s="71" t="s">
        <v>2587</v>
      </c>
      <c r="C11" s="145" t="s">
        <v>165</v>
      </c>
      <c r="D11" s="73" t="s">
        <v>166</v>
      </c>
      <c r="E11" s="71" t="s">
        <v>128</v>
      </c>
      <c r="F11" s="71" t="s">
        <v>129</v>
      </c>
      <c r="G11" s="72" t="s">
        <v>130</v>
      </c>
      <c r="H11" s="83" t="s">
        <v>48</v>
      </c>
      <c r="I11" s="72" t="s">
        <v>129</v>
      </c>
      <c r="J11" s="72" t="s">
        <v>131</v>
      </c>
      <c r="K11" s="74">
        <v>56195009149</v>
      </c>
      <c r="L11" s="74" t="s">
        <v>129</v>
      </c>
      <c r="M11" s="72">
        <v>1</v>
      </c>
      <c r="N11" s="75">
        <v>690300</v>
      </c>
      <c r="O11" s="76">
        <v>45839</v>
      </c>
      <c r="P11" s="77">
        <v>0</v>
      </c>
      <c r="Q11" s="74"/>
      <c r="R11" s="74"/>
      <c r="S11" s="74"/>
      <c r="T11" s="73" t="s">
        <v>167</v>
      </c>
      <c r="U11" s="72" t="s">
        <v>168</v>
      </c>
      <c r="V11" s="72" t="s">
        <v>21</v>
      </c>
      <c r="W11" s="74"/>
      <c r="X11" s="141" t="s">
        <v>359</v>
      </c>
    </row>
    <row r="12" spans="1:24" x14ac:dyDescent="0.25">
      <c r="A12" s="71">
        <f t="shared" si="0"/>
        <v>10</v>
      </c>
      <c r="B12" s="71" t="s">
        <v>2587</v>
      </c>
      <c r="C12" s="145" t="s">
        <v>101</v>
      </c>
      <c r="D12" s="73" t="s">
        <v>169</v>
      </c>
      <c r="E12" s="71" t="s">
        <v>128</v>
      </c>
      <c r="F12" s="71" t="s">
        <v>129</v>
      </c>
      <c r="G12" s="72" t="s">
        <v>130</v>
      </c>
      <c r="H12" s="83" t="s">
        <v>100</v>
      </c>
      <c r="I12" s="72" t="s">
        <v>129</v>
      </c>
      <c r="J12" s="72" t="s">
        <v>131</v>
      </c>
      <c r="K12" s="74">
        <v>68196002329</v>
      </c>
      <c r="L12" s="74" t="s">
        <v>129</v>
      </c>
      <c r="M12" s="72">
        <v>1</v>
      </c>
      <c r="N12" s="75">
        <v>690300</v>
      </c>
      <c r="O12" s="76">
        <v>45839</v>
      </c>
      <c r="P12" s="77">
        <v>0</v>
      </c>
      <c r="Q12" s="74"/>
      <c r="R12" s="74"/>
      <c r="S12" s="74"/>
      <c r="T12" s="73" t="s">
        <v>170</v>
      </c>
      <c r="U12" s="72" t="s">
        <v>171</v>
      </c>
      <c r="V12" s="72" t="s">
        <v>21</v>
      </c>
      <c r="W12" s="74"/>
      <c r="X12" s="141" t="s">
        <v>359</v>
      </c>
    </row>
    <row r="13" spans="1:24" x14ac:dyDescent="0.25">
      <c r="A13" s="71">
        <f t="shared" si="0"/>
        <v>11</v>
      </c>
      <c r="B13" s="71" t="s">
        <v>2587</v>
      </c>
      <c r="C13" s="145" t="s">
        <v>172</v>
      </c>
      <c r="D13" s="73" t="s">
        <v>173</v>
      </c>
      <c r="E13" s="71" t="s">
        <v>128</v>
      </c>
      <c r="F13" s="71" t="s">
        <v>129</v>
      </c>
      <c r="G13" s="72" t="s">
        <v>130</v>
      </c>
      <c r="H13" s="83" t="s">
        <v>174</v>
      </c>
      <c r="I13" s="72" t="s">
        <v>129</v>
      </c>
      <c r="J13" s="72" t="s">
        <v>131</v>
      </c>
      <c r="K13" s="74">
        <v>79194032715</v>
      </c>
      <c r="L13" s="74" t="s">
        <v>129</v>
      </c>
      <c r="M13" s="72">
        <v>1</v>
      </c>
      <c r="N13" s="75">
        <v>690300</v>
      </c>
      <c r="O13" s="76">
        <v>45839</v>
      </c>
      <c r="P13" s="77">
        <v>0</v>
      </c>
      <c r="Q13" s="74"/>
      <c r="R13" s="74"/>
      <c r="S13" s="74"/>
      <c r="T13" s="73" t="s">
        <v>175</v>
      </c>
      <c r="U13" s="72" t="s">
        <v>176</v>
      </c>
      <c r="V13" s="72" t="s">
        <v>21</v>
      </c>
      <c r="W13" s="74"/>
      <c r="X13" s="141" t="s">
        <v>359</v>
      </c>
    </row>
    <row r="14" spans="1:24" x14ac:dyDescent="0.25">
      <c r="A14" s="71">
        <f t="shared" si="0"/>
        <v>12</v>
      </c>
      <c r="B14" s="71" t="s">
        <v>2587</v>
      </c>
      <c r="C14" s="145" t="s">
        <v>177</v>
      </c>
      <c r="D14" s="73" t="s">
        <v>178</v>
      </c>
      <c r="E14" s="71" t="s">
        <v>128</v>
      </c>
      <c r="F14" s="71" t="s">
        <v>129</v>
      </c>
      <c r="G14" s="72" t="s">
        <v>130</v>
      </c>
      <c r="H14" s="83" t="s">
        <v>109</v>
      </c>
      <c r="I14" s="72" t="s">
        <v>129</v>
      </c>
      <c r="J14" s="72" t="s">
        <v>131</v>
      </c>
      <c r="K14" s="74">
        <v>79195001626</v>
      </c>
      <c r="L14" s="74" t="s">
        <v>129</v>
      </c>
      <c r="M14" s="72">
        <v>1</v>
      </c>
      <c r="N14" s="75">
        <v>690300</v>
      </c>
      <c r="O14" s="76">
        <v>45839</v>
      </c>
      <c r="P14" s="77">
        <v>0</v>
      </c>
      <c r="Q14" s="74"/>
      <c r="R14" s="74"/>
      <c r="S14" s="74"/>
      <c r="T14" s="73" t="s">
        <v>179</v>
      </c>
      <c r="U14" s="72" t="s">
        <v>180</v>
      </c>
      <c r="V14" s="72" t="s">
        <v>21</v>
      </c>
      <c r="W14" s="74"/>
      <c r="X14" s="141" t="s">
        <v>359</v>
      </c>
    </row>
    <row r="15" spans="1:24" x14ac:dyDescent="0.25">
      <c r="A15" s="71">
        <f t="shared" si="0"/>
        <v>13</v>
      </c>
      <c r="B15" s="71" t="s">
        <v>2587</v>
      </c>
      <c r="C15" s="145" t="s">
        <v>181</v>
      </c>
      <c r="D15" s="73" t="s">
        <v>182</v>
      </c>
      <c r="E15" s="71" t="s">
        <v>128</v>
      </c>
      <c r="F15" s="71" t="s">
        <v>129</v>
      </c>
      <c r="G15" s="72" t="s">
        <v>130</v>
      </c>
      <c r="H15" s="83" t="s">
        <v>105</v>
      </c>
      <c r="I15" s="72" t="s">
        <v>129</v>
      </c>
      <c r="J15" s="72" t="s">
        <v>131</v>
      </c>
      <c r="K15" s="74">
        <v>79195003024</v>
      </c>
      <c r="L15" s="74" t="s">
        <v>129</v>
      </c>
      <c r="M15" s="72">
        <v>1</v>
      </c>
      <c r="N15" s="75">
        <v>690300</v>
      </c>
      <c r="O15" s="76">
        <v>45839</v>
      </c>
      <c r="P15" s="77">
        <v>0</v>
      </c>
      <c r="Q15" s="74"/>
      <c r="R15" s="74"/>
      <c r="S15" s="74"/>
      <c r="T15" s="73" t="s">
        <v>183</v>
      </c>
      <c r="U15" s="72" t="s">
        <v>184</v>
      </c>
      <c r="V15" s="72" t="s">
        <v>21</v>
      </c>
      <c r="W15" s="74"/>
      <c r="X15" s="141" t="s">
        <v>359</v>
      </c>
    </row>
    <row r="16" spans="1:24" x14ac:dyDescent="0.25">
      <c r="A16" s="71">
        <f t="shared" si="0"/>
        <v>14</v>
      </c>
      <c r="B16" s="71" t="s">
        <v>2587</v>
      </c>
      <c r="C16" s="145" t="s">
        <v>185</v>
      </c>
      <c r="D16" s="73" t="s">
        <v>186</v>
      </c>
      <c r="E16" s="71" t="s">
        <v>128</v>
      </c>
      <c r="F16" s="71" t="s">
        <v>129</v>
      </c>
      <c r="G16" s="72" t="s">
        <v>130</v>
      </c>
      <c r="H16" s="83" t="s">
        <v>70</v>
      </c>
      <c r="I16" s="72" t="s">
        <v>129</v>
      </c>
      <c r="J16" s="72" t="s">
        <v>131</v>
      </c>
      <c r="K16" s="74">
        <v>87099001146</v>
      </c>
      <c r="L16" s="74" t="s">
        <v>129</v>
      </c>
      <c r="M16" s="72">
        <v>1</v>
      </c>
      <c r="N16" s="75">
        <v>690300</v>
      </c>
      <c r="O16" s="76">
        <v>45839</v>
      </c>
      <c r="P16" s="77">
        <v>0</v>
      </c>
      <c r="Q16" s="74"/>
      <c r="R16" s="74"/>
      <c r="S16" s="74"/>
      <c r="T16" s="73" t="s">
        <v>187</v>
      </c>
      <c r="U16" s="72" t="s">
        <v>188</v>
      </c>
      <c r="V16" s="74" t="s">
        <v>21</v>
      </c>
      <c r="W16" s="74"/>
      <c r="X16" s="141" t="s">
        <v>359</v>
      </c>
    </row>
    <row r="17" spans="1:24" x14ac:dyDescent="0.25">
      <c r="A17" s="71">
        <f t="shared" si="0"/>
        <v>15</v>
      </c>
      <c r="B17" s="71" t="s">
        <v>2587</v>
      </c>
      <c r="C17" s="145" t="s">
        <v>102</v>
      </c>
      <c r="D17" s="73" t="s">
        <v>189</v>
      </c>
      <c r="E17" s="71" t="s">
        <v>128</v>
      </c>
      <c r="F17" s="71" t="s">
        <v>129</v>
      </c>
      <c r="G17" s="72" t="s">
        <v>130</v>
      </c>
      <c r="H17" s="83" t="s">
        <v>66</v>
      </c>
      <c r="I17" s="72" t="s">
        <v>129</v>
      </c>
      <c r="J17" s="72" t="s">
        <v>131</v>
      </c>
      <c r="K17" s="74">
        <v>91098010465</v>
      </c>
      <c r="L17" s="74" t="s">
        <v>129</v>
      </c>
      <c r="M17" s="72">
        <v>1</v>
      </c>
      <c r="N17" s="75">
        <v>690300</v>
      </c>
      <c r="O17" s="76">
        <v>45839</v>
      </c>
      <c r="P17" s="77">
        <v>0</v>
      </c>
      <c r="Q17" s="74"/>
      <c r="R17" s="74"/>
      <c r="S17" s="74"/>
      <c r="T17" s="73" t="s">
        <v>190</v>
      </c>
      <c r="U17" s="72" t="s">
        <v>191</v>
      </c>
      <c r="V17" s="72" t="s">
        <v>21</v>
      </c>
      <c r="W17" s="74" t="s">
        <v>333</v>
      </c>
      <c r="X17" s="141" t="s">
        <v>359</v>
      </c>
    </row>
    <row r="18" spans="1:24" x14ac:dyDescent="0.25">
      <c r="A18" s="71">
        <f t="shared" si="0"/>
        <v>16</v>
      </c>
      <c r="B18" s="71"/>
      <c r="C18" s="145" t="s">
        <v>192</v>
      </c>
      <c r="D18" s="73" t="s">
        <v>193</v>
      </c>
      <c r="E18" s="71" t="s">
        <v>128</v>
      </c>
      <c r="F18" s="71" t="s">
        <v>129</v>
      </c>
      <c r="G18" s="72" t="s">
        <v>130</v>
      </c>
      <c r="H18" s="83" t="s">
        <v>194</v>
      </c>
      <c r="I18" s="72" t="s">
        <v>129</v>
      </c>
      <c r="J18" s="72" t="s">
        <v>131</v>
      </c>
      <c r="K18" s="74">
        <v>34300000255</v>
      </c>
      <c r="L18" s="74" t="s">
        <v>129</v>
      </c>
      <c r="M18" s="72">
        <v>1</v>
      </c>
      <c r="N18" s="75">
        <v>690300</v>
      </c>
      <c r="O18" s="76">
        <v>45839</v>
      </c>
      <c r="P18" s="77">
        <v>4</v>
      </c>
      <c r="Q18" s="76">
        <v>45664</v>
      </c>
      <c r="R18" s="75" t="s">
        <v>314</v>
      </c>
      <c r="S18" s="75" t="s">
        <v>315</v>
      </c>
      <c r="T18" s="73" t="s">
        <v>195</v>
      </c>
      <c r="U18" s="72" t="s">
        <v>196</v>
      </c>
      <c r="V18" s="74" t="s">
        <v>21</v>
      </c>
      <c r="W18" s="74"/>
      <c r="X18" s="141" t="s">
        <v>359</v>
      </c>
    </row>
    <row r="19" spans="1:24" x14ac:dyDescent="0.25">
      <c r="A19" s="71">
        <f t="shared" si="0"/>
        <v>17</v>
      </c>
      <c r="B19" s="71" t="s">
        <v>2587</v>
      </c>
      <c r="C19" s="145" t="s">
        <v>197</v>
      </c>
      <c r="D19" s="73" t="s">
        <v>198</v>
      </c>
      <c r="E19" s="71" t="s">
        <v>128</v>
      </c>
      <c r="F19" s="71" t="s">
        <v>129</v>
      </c>
      <c r="G19" s="72" t="s">
        <v>130</v>
      </c>
      <c r="H19" s="83" t="s">
        <v>110</v>
      </c>
      <c r="I19" s="72" t="s">
        <v>129</v>
      </c>
      <c r="J19" s="72" t="s">
        <v>131</v>
      </c>
      <c r="K19" s="72">
        <v>70095006110</v>
      </c>
      <c r="L19" s="72" t="s">
        <v>129</v>
      </c>
      <c r="M19" s="72">
        <v>1</v>
      </c>
      <c r="N19" s="75">
        <v>690300</v>
      </c>
      <c r="O19" s="76">
        <v>45870</v>
      </c>
      <c r="P19" s="77">
        <v>0</v>
      </c>
      <c r="Q19" s="74"/>
      <c r="R19" s="74"/>
      <c r="S19" s="74"/>
      <c r="T19" s="73" t="s">
        <v>199</v>
      </c>
      <c r="U19" s="72" t="s">
        <v>200</v>
      </c>
      <c r="V19" s="72" t="s">
        <v>21</v>
      </c>
      <c r="W19" s="74" t="s">
        <v>374</v>
      </c>
      <c r="X19" s="141" t="s">
        <v>359</v>
      </c>
    </row>
    <row r="20" spans="1:24" x14ac:dyDescent="0.25">
      <c r="A20" s="71">
        <f t="shared" si="0"/>
        <v>18</v>
      </c>
      <c r="B20" s="71" t="s">
        <v>2587</v>
      </c>
      <c r="C20" s="145" t="s">
        <v>201</v>
      </c>
      <c r="D20" s="73" t="s">
        <v>202</v>
      </c>
      <c r="E20" s="71" t="s">
        <v>128</v>
      </c>
      <c r="F20" s="71" t="s">
        <v>129</v>
      </c>
      <c r="G20" s="72" t="s">
        <v>130</v>
      </c>
      <c r="H20" s="83" t="s">
        <v>86</v>
      </c>
      <c r="I20" s="72" t="s">
        <v>129</v>
      </c>
      <c r="J20" s="72" t="s">
        <v>131</v>
      </c>
      <c r="K20" s="72">
        <v>79200020738</v>
      </c>
      <c r="L20" s="72" t="s">
        <v>129</v>
      </c>
      <c r="M20" s="72">
        <v>1</v>
      </c>
      <c r="N20" s="75">
        <v>690300</v>
      </c>
      <c r="O20" s="76">
        <v>45870</v>
      </c>
      <c r="P20" s="77">
        <v>0</v>
      </c>
      <c r="Q20" s="74"/>
      <c r="R20" s="74"/>
      <c r="S20" s="74"/>
      <c r="T20" s="78" t="s">
        <v>203</v>
      </c>
      <c r="U20" s="72" t="s">
        <v>204</v>
      </c>
      <c r="V20" s="72" t="s">
        <v>21</v>
      </c>
      <c r="W20" s="74"/>
      <c r="X20" s="141" t="s">
        <v>359</v>
      </c>
    </row>
    <row r="21" spans="1:24" x14ac:dyDescent="0.25">
      <c r="A21" s="71">
        <f t="shared" si="0"/>
        <v>19</v>
      </c>
      <c r="B21" s="71" t="s">
        <v>2587</v>
      </c>
      <c r="C21" s="145" t="s">
        <v>205</v>
      </c>
      <c r="D21" s="73" t="s">
        <v>206</v>
      </c>
      <c r="E21" s="71" t="s">
        <v>128</v>
      </c>
      <c r="F21" s="71" t="s">
        <v>129</v>
      </c>
      <c r="G21" s="72" t="s">
        <v>130</v>
      </c>
      <c r="H21" s="83" t="s">
        <v>232</v>
      </c>
      <c r="I21" s="72" t="s">
        <v>129</v>
      </c>
      <c r="J21" s="72" t="s">
        <v>131</v>
      </c>
      <c r="K21" s="72">
        <v>72098001948</v>
      </c>
      <c r="L21" s="72" t="s">
        <v>129</v>
      </c>
      <c r="M21" s="72">
        <v>1</v>
      </c>
      <c r="N21" s="75">
        <v>690300</v>
      </c>
      <c r="O21" s="76">
        <v>45870</v>
      </c>
      <c r="P21" s="77">
        <v>0</v>
      </c>
      <c r="Q21" s="74"/>
      <c r="R21" s="74"/>
      <c r="S21" s="74"/>
      <c r="T21" s="73" t="s">
        <v>207</v>
      </c>
      <c r="U21" s="72" t="s">
        <v>208</v>
      </c>
      <c r="V21" s="72" t="s">
        <v>21</v>
      </c>
      <c r="W21" s="74"/>
      <c r="X21" s="141" t="s">
        <v>359</v>
      </c>
    </row>
    <row r="22" spans="1:24" x14ac:dyDescent="0.25">
      <c r="A22" s="71">
        <f t="shared" si="0"/>
        <v>20</v>
      </c>
      <c r="B22" s="71" t="s">
        <v>2587</v>
      </c>
      <c r="C22" s="145" t="s">
        <v>209</v>
      </c>
      <c r="D22" s="73" t="s">
        <v>210</v>
      </c>
      <c r="E22" s="71" t="s">
        <v>128</v>
      </c>
      <c r="F22" s="71" t="s">
        <v>129</v>
      </c>
      <c r="G22" s="72" t="s">
        <v>130</v>
      </c>
      <c r="H22" s="83" t="s">
        <v>236</v>
      </c>
      <c r="I22" s="72" t="s">
        <v>129</v>
      </c>
      <c r="J22" s="72" t="s">
        <v>131</v>
      </c>
      <c r="K22" s="72">
        <v>79302004855</v>
      </c>
      <c r="L22" s="72" t="s">
        <v>129</v>
      </c>
      <c r="M22" s="72">
        <v>1</v>
      </c>
      <c r="N22" s="75">
        <v>690300</v>
      </c>
      <c r="O22" s="76">
        <v>45901</v>
      </c>
      <c r="P22" s="77">
        <v>0</v>
      </c>
      <c r="Q22" s="74"/>
      <c r="R22" s="74"/>
      <c r="S22" s="74"/>
      <c r="T22" s="73" t="s">
        <v>211</v>
      </c>
      <c r="U22" s="72" t="s">
        <v>212</v>
      </c>
      <c r="V22" s="72" t="s">
        <v>21</v>
      </c>
      <c r="W22" s="74"/>
      <c r="X22" s="141" t="s">
        <v>359</v>
      </c>
    </row>
    <row r="23" spans="1:24" x14ac:dyDescent="0.25">
      <c r="A23" s="71">
        <f t="shared" si="0"/>
        <v>21</v>
      </c>
      <c r="B23" s="71" t="s">
        <v>2587</v>
      </c>
      <c r="C23" s="145" t="s">
        <v>213</v>
      </c>
      <c r="D23" s="73" t="s">
        <v>214</v>
      </c>
      <c r="E23" s="71" t="s">
        <v>128</v>
      </c>
      <c r="F23" s="71" t="s">
        <v>129</v>
      </c>
      <c r="G23" s="72" t="s">
        <v>130</v>
      </c>
      <c r="H23" s="83" t="s">
        <v>237</v>
      </c>
      <c r="I23" s="72" t="s">
        <v>129</v>
      </c>
      <c r="J23" s="72" t="s">
        <v>131</v>
      </c>
      <c r="K23" s="72">
        <v>79098009021</v>
      </c>
      <c r="L23" s="72" t="s">
        <v>129</v>
      </c>
      <c r="M23" s="72">
        <v>1</v>
      </c>
      <c r="N23" s="75">
        <v>690300</v>
      </c>
      <c r="O23" s="76">
        <v>45901</v>
      </c>
      <c r="P23" s="77">
        <v>0</v>
      </c>
      <c r="Q23" s="74"/>
      <c r="R23" s="74"/>
      <c r="S23" s="74"/>
      <c r="T23" s="73" t="s">
        <v>215</v>
      </c>
      <c r="U23" s="72" t="s">
        <v>216</v>
      </c>
      <c r="V23" s="72" t="s">
        <v>21</v>
      </c>
      <c r="W23" s="74"/>
      <c r="X23" s="141" t="s">
        <v>359</v>
      </c>
    </row>
    <row r="24" spans="1:24" x14ac:dyDescent="0.25">
      <c r="A24" s="71">
        <f t="shared" si="0"/>
        <v>22</v>
      </c>
      <c r="B24" s="71" t="s">
        <v>2587</v>
      </c>
      <c r="C24" s="145" t="s">
        <v>217</v>
      </c>
      <c r="D24" s="73" t="s">
        <v>218</v>
      </c>
      <c r="E24" s="71" t="s">
        <v>128</v>
      </c>
      <c r="F24" s="71" t="s">
        <v>129</v>
      </c>
      <c r="G24" s="72" t="s">
        <v>130</v>
      </c>
      <c r="H24" s="83" t="s">
        <v>238</v>
      </c>
      <c r="I24" s="72" t="s">
        <v>129</v>
      </c>
      <c r="J24" s="72" t="s">
        <v>131</v>
      </c>
      <c r="K24" s="74">
        <v>14198000033</v>
      </c>
      <c r="L24" s="74" t="s">
        <v>129</v>
      </c>
      <c r="M24" s="72">
        <v>1</v>
      </c>
      <c r="N24" s="75">
        <v>690300</v>
      </c>
      <c r="O24" s="76">
        <v>45901</v>
      </c>
      <c r="P24" s="77">
        <v>0</v>
      </c>
      <c r="Q24" s="74"/>
      <c r="R24" s="74"/>
      <c r="S24" s="74"/>
      <c r="T24" s="73" t="s">
        <v>219</v>
      </c>
      <c r="U24" s="72" t="s">
        <v>220</v>
      </c>
      <c r="V24" s="72" t="s">
        <v>21</v>
      </c>
      <c r="W24" s="74"/>
      <c r="X24" s="141" t="s">
        <v>359</v>
      </c>
    </row>
    <row r="25" spans="1:24" x14ac:dyDescent="0.25">
      <c r="A25" s="71">
        <f t="shared" si="0"/>
        <v>23</v>
      </c>
      <c r="B25" s="71" t="s">
        <v>2587</v>
      </c>
      <c r="C25" s="145" t="s">
        <v>221</v>
      </c>
      <c r="D25" s="73" t="s">
        <v>222</v>
      </c>
      <c r="E25" s="71" t="s">
        <v>128</v>
      </c>
      <c r="F25" s="71" t="s">
        <v>129</v>
      </c>
      <c r="G25" s="72" t="s">
        <v>130</v>
      </c>
      <c r="H25" s="83" t="s">
        <v>239</v>
      </c>
      <c r="I25" s="72" t="s">
        <v>129</v>
      </c>
      <c r="J25" s="72" t="s">
        <v>131</v>
      </c>
      <c r="K25" s="72">
        <v>52300008705</v>
      </c>
      <c r="L25" s="72" t="s">
        <v>129</v>
      </c>
      <c r="M25" s="72">
        <v>1</v>
      </c>
      <c r="N25" s="75">
        <v>690300</v>
      </c>
      <c r="O25" s="76">
        <v>45901</v>
      </c>
      <c r="P25" s="77">
        <v>0</v>
      </c>
      <c r="Q25" s="74"/>
      <c r="R25" s="74"/>
      <c r="S25" s="74"/>
      <c r="T25" s="73" t="s">
        <v>223</v>
      </c>
      <c r="U25" s="72" t="s">
        <v>316</v>
      </c>
      <c r="V25" s="72" t="s">
        <v>21</v>
      </c>
      <c r="W25" s="74"/>
      <c r="X25" s="141" t="s">
        <v>359</v>
      </c>
    </row>
    <row r="26" spans="1:24" x14ac:dyDescent="0.25">
      <c r="A26" s="71">
        <f t="shared" si="0"/>
        <v>24</v>
      </c>
      <c r="B26" s="134" t="s">
        <v>2587</v>
      </c>
      <c r="C26" s="145" t="s">
        <v>317</v>
      </c>
      <c r="D26" s="136" t="s">
        <v>222</v>
      </c>
      <c r="E26" s="134" t="s">
        <v>128</v>
      </c>
      <c r="F26" s="134" t="s">
        <v>129</v>
      </c>
      <c r="G26" s="135" t="s">
        <v>130</v>
      </c>
      <c r="H26" s="144" t="s">
        <v>336</v>
      </c>
      <c r="I26" s="135" t="s">
        <v>129</v>
      </c>
      <c r="J26" s="135" t="s">
        <v>131</v>
      </c>
      <c r="K26" s="135">
        <v>68199000053</v>
      </c>
      <c r="L26" s="135" t="s">
        <v>129</v>
      </c>
      <c r="M26" s="135">
        <v>1</v>
      </c>
      <c r="N26" s="75">
        <v>690300</v>
      </c>
      <c r="O26" s="139">
        <v>45931</v>
      </c>
      <c r="P26" s="140">
        <v>0</v>
      </c>
      <c r="Q26" s="141"/>
      <c r="R26" s="141"/>
      <c r="S26" s="141"/>
      <c r="T26" s="136" t="s">
        <v>318</v>
      </c>
      <c r="U26" s="135" t="s">
        <v>319</v>
      </c>
      <c r="V26" s="141"/>
      <c r="W26" s="74"/>
      <c r="X26" s="141" t="s">
        <v>359</v>
      </c>
    </row>
    <row r="27" spans="1:24" x14ac:dyDescent="0.25">
      <c r="A27" s="71">
        <f t="shared" si="0"/>
        <v>25</v>
      </c>
      <c r="B27" s="134"/>
      <c r="C27" s="145" t="s">
        <v>320</v>
      </c>
      <c r="D27" s="136" t="s">
        <v>222</v>
      </c>
      <c r="E27" s="134" t="s">
        <v>128</v>
      </c>
      <c r="F27" s="134" t="s">
        <v>129</v>
      </c>
      <c r="G27" s="135" t="s">
        <v>130</v>
      </c>
      <c r="H27" s="144" t="s">
        <v>358</v>
      </c>
      <c r="I27" s="135" t="s">
        <v>129</v>
      </c>
      <c r="J27" s="135" t="s">
        <v>131</v>
      </c>
      <c r="K27" s="135">
        <v>92097002234</v>
      </c>
      <c r="L27" s="135" t="s">
        <v>129</v>
      </c>
      <c r="M27" s="135">
        <v>1</v>
      </c>
      <c r="N27" s="138">
        <v>5900000</v>
      </c>
      <c r="O27" s="139">
        <v>45931</v>
      </c>
      <c r="P27" s="140">
        <v>0</v>
      </c>
      <c r="Q27" s="141"/>
      <c r="R27" s="141"/>
      <c r="S27" s="141"/>
      <c r="T27" s="136" t="s">
        <v>321</v>
      </c>
      <c r="U27" s="135"/>
      <c r="V27" s="141"/>
      <c r="W27" s="74"/>
      <c r="X27" s="141" t="s">
        <v>360</v>
      </c>
    </row>
    <row r="28" spans="1:24" x14ac:dyDescent="0.25">
      <c r="A28" s="71">
        <f t="shared" si="0"/>
        <v>26</v>
      </c>
      <c r="B28" s="134" t="s">
        <v>2587</v>
      </c>
      <c r="C28" s="145" t="s">
        <v>322</v>
      </c>
      <c r="D28" s="136" t="s">
        <v>222</v>
      </c>
      <c r="E28" s="134" t="s">
        <v>128</v>
      </c>
      <c r="F28" s="134" t="s">
        <v>129</v>
      </c>
      <c r="G28" s="135" t="s">
        <v>130</v>
      </c>
      <c r="H28" s="144" t="s">
        <v>362</v>
      </c>
      <c r="I28" s="135" t="s">
        <v>129</v>
      </c>
      <c r="J28" s="135" t="s">
        <v>131</v>
      </c>
      <c r="K28" s="135">
        <v>82198013719</v>
      </c>
      <c r="L28" s="135" t="s">
        <v>129</v>
      </c>
      <c r="M28" s="135">
        <v>1</v>
      </c>
      <c r="N28" s="75">
        <v>690300</v>
      </c>
      <c r="O28" s="139">
        <v>45962</v>
      </c>
      <c r="P28" s="140">
        <v>0</v>
      </c>
      <c r="Q28" s="141"/>
      <c r="R28" s="141"/>
      <c r="S28" s="141"/>
      <c r="T28" s="136" t="s">
        <v>323</v>
      </c>
      <c r="U28" s="135" t="s">
        <v>324</v>
      </c>
      <c r="V28" s="72" t="s">
        <v>21</v>
      </c>
      <c r="W28" s="74"/>
      <c r="X28" s="141" t="s">
        <v>359</v>
      </c>
    </row>
    <row r="29" spans="1:24" x14ac:dyDescent="0.25">
      <c r="A29" s="71">
        <f t="shared" si="0"/>
        <v>27</v>
      </c>
      <c r="B29" s="134" t="s">
        <v>2587</v>
      </c>
      <c r="C29" s="145" t="s">
        <v>325</v>
      </c>
      <c r="D29" s="136" t="s">
        <v>222</v>
      </c>
      <c r="E29" s="134" t="s">
        <v>128</v>
      </c>
      <c r="F29" s="134" t="s">
        <v>129</v>
      </c>
      <c r="G29" s="135" t="s">
        <v>130</v>
      </c>
      <c r="H29" s="144" t="s">
        <v>363</v>
      </c>
      <c r="I29" s="135" t="s">
        <v>129</v>
      </c>
      <c r="J29" s="135" t="s">
        <v>131</v>
      </c>
      <c r="K29" s="135">
        <v>31196005568</v>
      </c>
      <c r="L29" s="135" t="s">
        <v>129</v>
      </c>
      <c r="M29" s="135">
        <v>1</v>
      </c>
      <c r="N29" s="75">
        <v>690300</v>
      </c>
      <c r="O29" s="139">
        <v>45992</v>
      </c>
      <c r="P29" s="140">
        <v>0</v>
      </c>
      <c r="Q29" s="141"/>
      <c r="R29" s="141"/>
      <c r="S29" s="141"/>
      <c r="T29" s="136" t="s">
        <v>326</v>
      </c>
      <c r="U29" s="135" t="s">
        <v>327</v>
      </c>
      <c r="V29" s="141" t="s">
        <v>21</v>
      </c>
      <c r="W29" s="74"/>
      <c r="X29" s="141" t="s">
        <v>359</v>
      </c>
    </row>
    <row r="30" spans="1:24" x14ac:dyDescent="0.25">
      <c r="A30" s="71">
        <f t="shared" si="0"/>
        <v>28</v>
      </c>
      <c r="B30" s="134" t="s">
        <v>2587</v>
      </c>
      <c r="C30" s="145" t="s">
        <v>328</v>
      </c>
      <c r="D30" s="136"/>
      <c r="E30" s="134"/>
      <c r="F30" s="134"/>
      <c r="G30" s="135"/>
      <c r="H30" s="137"/>
      <c r="I30" s="135"/>
      <c r="J30" s="135" t="s">
        <v>131</v>
      </c>
      <c r="K30" s="135" t="s">
        <v>377</v>
      </c>
      <c r="L30" s="135" t="s">
        <v>129</v>
      </c>
      <c r="M30" s="135">
        <v>1</v>
      </c>
      <c r="N30" s="75">
        <v>690300</v>
      </c>
      <c r="O30" s="139">
        <v>46023</v>
      </c>
      <c r="P30" s="140">
        <v>0</v>
      </c>
      <c r="Q30" s="141"/>
      <c r="R30" s="141"/>
      <c r="S30" s="141"/>
      <c r="T30" s="136" t="s">
        <v>329</v>
      </c>
      <c r="U30" s="135" t="s">
        <v>330</v>
      </c>
      <c r="V30" s="72" t="s">
        <v>21</v>
      </c>
      <c r="W30" s="74"/>
      <c r="X30" s="141" t="s">
        <v>359</v>
      </c>
    </row>
    <row r="31" spans="1:24" x14ac:dyDescent="0.25">
      <c r="A31" s="71">
        <f t="shared" si="0"/>
        <v>29</v>
      </c>
      <c r="B31" s="134" t="s">
        <v>2587</v>
      </c>
      <c r="C31" s="145" t="s">
        <v>331</v>
      </c>
      <c r="D31" s="136"/>
      <c r="E31" s="134"/>
      <c r="F31" s="134"/>
      <c r="G31" s="135"/>
      <c r="H31" s="137" t="s">
        <v>367</v>
      </c>
      <c r="I31" s="135" t="s">
        <v>129</v>
      </c>
      <c r="J31" s="135" t="s">
        <v>131</v>
      </c>
      <c r="K31" s="135" t="s">
        <v>367</v>
      </c>
      <c r="L31" s="135" t="s">
        <v>129</v>
      </c>
      <c r="M31" s="135">
        <v>1</v>
      </c>
      <c r="N31" s="75">
        <v>690300</v>
      </c>
      <c r="O31" s="139">
        <v>46023</v>
      </c>
      <c r="P31" s="140">
        <v>0</v>
      </c>
      <c r="Q31" s="141"/>
      <c r="R31" s="141"/>
      <c r="S31" s="141"/>
      <c r="T31" s="136" t="s">
        <v>332</v>
      </c>
      <c r="U31" s="135"/>
      <c r="V31" s="141"/>
      <c r="W31" s="74"/>
      <c r="X31" s="141" t="s">
        <v>360</v>
      </c>
    </row>
    <row r="32" spans="1:24" x14ac:dyDescent="0.25">
      <c r="A32" s="71">
        <f t="shared" si="0"/>
        <v>30</v>
      </c>
      <c r="B32" s="148" t="s">
        <v>2587</v>
      </c>
      <c r="C32" s="145" t="s">
        <v>2206</v>
      </c>
      <c r="D32" s="136"/>
      <c r="E32" s="148"/>
      <c r="F32" s="148"/>
      <c r="G32" s="149"/>
      <c r="H32" s="150" t="s">
        <v>768</v>
      </c>
      <c r="I32" s="149" t="s">
        <v>129</v>
      </c>
      <c r="J32" s="149"/>
      <c r="K32" s="149"/>
      <c r="L32" s="149"/>
      <c r="M32" s="149"/>
      <c r="N32" s="151"/>
      <c r="O32" s="152"/>
      <c r="P32" s="153"/>
      <c r="Q32" s="141"/>
      <c r="R32" s="141"/>
      <c r="S32" s="141"/>
      <c r="T32" s="136" t="s">
        <v>3127</v>
      </c>
      <c r="U32" s="149"/>
      <c r="V32" s="141"/>
      <c r="W32" s="141"/>
      <c r="X32" s="141"/>
    </row>
    <row r="33" spans="1:24" x14ac:dyDescent="0.25">
      <c r="A33" s="71">
        <f t="shared" si="0"/>
        <v>31</v>
      </c>
      <c r="B33" s="148" t="s">
        <v>2587</v>
      </c>
      <c r="C33" s="145" t="s">
        <v>2207</v>
      </c>
      <c r="D33" s="136"/>
      <c r="E33" s="148"/>
      <c r="F33" s="148"/>
      <c r="G33" s="149"/>
      <c r="H33" s="150" t="s">
        <v>2210</v>
      </c>
      <c r="I33" s="149" t="s">
        <v>129</v>
      </c>
      <c r="J33" s="149"/>
      <c r="K33" s="149"/>
      <c r="L33" s="149"/>
      <c r="M33" s="149"/>
      <c r="N33" s="151"/>
      <c r="O33" s="152"/>
      <c r="P33" s="153"/>
      <c r="Q33" s="141"/>
      <c r="R33" s="141"/>
      <c r="S33" s="141"/>
      <c r="T33" s="136" t="s">
        <v>3128</v>
      </c>
      <c r="U33" s="149"/>
      <c r="V33" s="141"/>
      <c r="W33" s="141"/>
      <c r="X33" s="141"/>
    </row>
    <row r="34" spans="1:24" x14ac:dyDescent="0.25">
      <c r="A34" s="71">
        <f t="shared" si="0"/>
        <v>32</v>
      </c>
      <c r="B34" s="134" t="s">
        <v>2587</v>
      </c>
      <c r="C34" s="145" t="s">
        <v>2208</v>
      </c>
      <c r="D34" s="136"/>
      <c r="E34" s="148"/>
      <c r="F34" s="148"/>
      <c r="G34" s="149"/>
      <c r="H34" s="150" t="s">
        <v>2211</v>
      </c>
      <c r="I34" s="149" t="s">
        <v>129</v>
      </c>
      <c r="J34" s="149" t="s">
        <v>131</v>
      </c>
      <c r="K34" s="149" t="s">
        <v>367</v>
      </c>
      <c r="L34" s="149" t="s">
        <v>129</v>
      </c>
      <c r="M34" s="149">
        <v>1</v>
      </c>
      <c r="N34" s="151">
        <v>690300</v>
      </c>
      <c r="O34" s="152">
        <v>46054</v>
      </c>
      <c r="P34" s="153"/>
      <c r="Q34" s="141"/>
      <c r="R34" s="141"/>
      <c r="S34" s="141"/>
      <c r="T34" s="136" t="s">
        <v>3129</v>
      </c>
      <c r="U34" s="149"/>
      <c r="V34" s="141"/>
      <c r="W34" s="141"/>
      <c r="X34" s="141"/>
    </row>
    <row r="35" spans="1:24" x14ac:dyDescent="0.25">
      <c r="A35" s="71">
        <f t="shared" si="0"/>
        <v>33</v>
      </c>
      <c r="B35" s="134" t="s">
        <v>2587</v>
      </c>
      <c r="C35" s="145" t="s">
        <v>2209</v>
      </c>
      <c r="D35" s="136"/>
      <c r="E35" s="148"/>
      <c r="F35" s="148"/>
      <c r="G35" s="149"/>
      <c r="H35" s="150" t="s">
        <v>2212</v>
      </c>
      <c r="I35" s="149" t="s">
        <v>129</v>
      </c>
      <c r="J35" s="149"/>
      <c r="K35" s="149"/>
      <c r="L35" s="149"/>
      <c r="M35" s="149"/>
      <c r="N35" s="151"/>
      <c r="O35" s="152"/>
      <c r="P35" s="153"/>
      <c r="Q35" s="141"/>
      <c r="R35" s="141"/>
      <c r="S35" s="141"/>
      <c r="T35" s="136" t="s">
        <v>3130</v>
      </c>
      <c r="U35" s="149"/>
      <c r="V35" s="141"/>
      <c r="W35" s="141"/>
      <c r="X35" s="141"/>
    </row>
    <row r="36" spans="1:24" x14ac:dyDescent="0.25">
      <c r="A36" s="71">
        <f t="shared" si="0"/>
        <v>34</v>
      </c>
      <c r="B36" s="148" t="s">
        <v>2587</v>
      </c>
      <c r="C36" s="145" t="s">
        <v>3132</v>
      </c>
      <c r="D36" s="136"/>
      <c r="E36" s="148"/>
      <c r="F36" s="148"/>
      <c r="G36" s="149"/>
      <c r="H36" s="150" t="s">
        <v>3133</v>
      </c>
      <c r="I36" s="149" t="s">
        <v>129</v>
      </c>
      <c r="J36" s="149"/>
      <c r="K36" s="149"/>
      <c r="L36" s="149"/>
      <c r="M36" s="149"/>
      <c r="N36" s="151"/>
      <c r="O36" s="152"/>
      <c r="P36" s="153"/>
      <c r="Q36" s="141"/>
      <c r="R36" s="141"/>
      <c r="S36" s="141"/>
      <c r="T36" s="136" t="s">
        <v>3131</v>
      </c>
      <c r="U36" s="149"/>
      <c r="V36" s="141"/>
      <c r="W36" s="141"/>
      <c r="X36" s="141"/>
    </row>
    <row r="38" spans="1:24" x14ac:dyDescent="0.25">
      <c r="B38" s="176"/>
    </row>
    <row r="39" spans="1:24" x14ac:dyDescent="0.25">
      <c r="B39" s="176"/>
    </row>
  </sheetData>
  <phoneticPr fontId="26" type="noConversion"/>
  <hyperlinks>
    <hyperlink ref="C3" location="'8443847047-001'!A1" display="HỘ KINH DOANH REENCY NGÔ" xr:uid="{00000000-0004-0000-0000-000000000000}"/>
    <hyperlink ref="C4" location="'8710040770-001'!A1" display="HỘ KINH DOANH HÀ BÁNH QUY" xr:uid="{00000000-0004-0000-0000-000001000000}"/>
    <hyperlink ref="C5" location="'8836978269-001'!A1" display="HỘ KINH DOANH ĐỖ TRỊNH LƯƠNG OFFICIAL" xr:uid="{00000000-0004-0000-0000-000002000000}"/>
    <hyperlink ref="C6" location="'8785516231-001'!A1" display="HỘ KINH DOANH KIỀU NGỌC LAN" xr:uid="{00000000-0004-0000-0000-000003000000}"/>
    <hyperlink ref="C7" location="'8417307084-001'!A1" display="HỘ KINH DOANH TÂM TÀI TRÍ" xr:uid="{00000000-0004-0000-0000-000004000000}"/>
    <hyperlink ref="C8" location="'8339629042-001'!A1" display="HỘ KINH DOANH LƯƠNG LEE OFFICIAL" xr:uid="{00000000-0004-0000-0000-000005000000}"/>
    <hyperlink ref="C9" location="'8077953218-001'!A1" display="HỘ KINH DOANH HUỲNH THUYÊN" xr:uid="{00000000-0004-0000-0000-000006000000}"/>
    <hyperlink ref="C10" location="'8307704000-002'!A1" display="HỘ KINH DOANH PU MÉT BẢY" xr:uid="{00000000-0004-0000-0000-000007000000}"/>
    <hyperlink ref="C11" location="'8568979698-001'!A1" display="HỘ KINH DOANH ĐĂNG VI OFFICIAL" xr:uid="{00000000-0004-0000-0000-000008000000}"/>
    <hyperlink ref="C12" location="'8456794480-001'!A1" display="HỘ KINH DOANH NGUYỄN HUỆ MAKEUP" xr:uid="{00000000-0004-0000-0000-000009000000}"/>
    <hyperlink ref="C13" location="'8427727031-001'!A1" display="HỘ KINH DOANH CỔ NGÂN OFFICIAL" xr:uid="{00000000-0004-0000-0000-00000A000000}"/>
    <hyperlink ref="C14" location="'8423525669-001'!A1" display="HỘ KINH DOANH TRƯƠNG NHÃ DINH" xr:uid="{00000000-0004-0000-0000-00000B000000}"/>
    <hyperlink ref="C15" location="'8336384757-001'!A1" display="HỘ KINH DOANH NGỌC TÚ ANH" xr:uid="{00000000-0004-0000-0000-00000C000000}"/>
    <hyperlink ref="C16" location="'8783523554-001'!A1" display="HỘ KINH DOANH HỌC NHÂN SKINCARE" xr:uid="{00000000-0004-0000-0000-00000D000000}"/>
    <hyperlink ref="C17" location="'8537932805-001'!A1" display="HỘ KINH DOANH HOÀNG THẠCH" xr:uid="{00000000-0004-0000-0000-00000E000000}"/>
    <hyperlink ref="C18" location="'8548655046-002'!A1" display="HỘ KINH DOANH TRANG TRẦN OFFICIAL" xr:uid="{00000000-0004-0000-0000-00000F000000}"/>
    <hyperlink ref="C19" location="'070095006110'!A1" display="HỘ KINH DOANH VŨ THÁI BÌNH OFFICIAL" xr:uid="{00000000-0004-0000-0000-000010000000}"/>
    <hyperlink ref="C20" location="'079200020738'!A1" display="HỘ KINH DOANH ÔNG THỈ BÀ LONG" xr:uid="{00000000-0004-0000-0000-000011000000}"/>
    <hyperlink ref="C21" location="'072098001948'!A1" display="HỘ KINH DOANH TRẦN HỒNG PHÚC" xr:uid="{00000000-0004-0000-0000-000012000000}"/>
    <hyperlink ref="C22" location="'079302004855'!A1" display="HỘ KINH DOANH NGỌC XUÂN NHI" xr:uid="{00000000-0004-0000-0000-000013000000}"/>
    <hyperlink ref="C23" location="'079098009021'!A1" display="HỘ KINH DOANH HẢI ĐĂNG OFFICIAL" xr:uid="{00000000-0004-0000-0000-000014000000}"/>
    <hyperlink ref="C24" location="'014198000033'!A1" display="HỘ KINH DOANH ĐOÀN VÂN ANH" xr:uid="{00000000-0004-0000-0000-000015000000}"/>
    <hyperlink ref="C25" location="'052300008705'!A1" display="HỘ KINH DOANH THÚY NGA OFFICIAL" xr:uid="{00000000-0004-0000-0000-000016000000}"/>
    <hyperlink ref="C26" location="'068199000053'!A1" display="HỘ KINH DOANH THIÊN KIM MINH CHÂU" xr:uid="{00000000-0004-0000-0000-000017000000}"/>
    <hyperlink ref="C27" location="'092097002234'!A1" display="HỘ KINH DOANH VŨ DUY OFFICIAL" xr:uid="{00000000-0004-0000-0000-000018000000}"/>
    <hyperlink ref="C28" location="'082198013719'!A1" display="HỘ KINH DOANH AN VY OFFICIAL" xr:uid="{00000000-0004-0000-0000-000019000000}"/>
    <hyperlink ref="C29" location="'031196005568'!A1" display="HỘ KINH DOANH VÂN PHẠM" xr:uid="{00000000-0004-0000-0000-00001A000000}"/>
    <hyperlink ref="C31" location="'079195008785'!A1" display="HỘ KINH DOANH THÚY VI" xr:uid="{00000000-0004-0000-0000-00001B000000}"/>
    <hyperlink ref="C30" location="'089200016993'!A1" display="HỘ KINH DOANH MINH NGHĨA OFFICIAL" xr:uid="{00000000-0004-0000-0000-00001C000000}"/>
    <hyperlink ref="C32" location="'001095012873'!A1" display="HỘ KINH DOANH NGUYỄN VĂN ĐÔNG" xr:uid="{00000000-0004-0000-0000-00001D000000}"/>
    <hyperlink ref="C35" location="'079302025196'!A1" display="HỘ KINH DOANH TRẦN BÍCH UYÊN" xr:uid="{00000000-0004-0000-0000-00001E000000}"/>
    <hyperlink ref="C34" location="'089202017472'!A1" display="HỘ KINH DOANH KHA THANH DUY" xr:uid="{00000000-0004-0000-0000-00001F000000}"/>
    <hyperlink ref="C33" location="'019303002169'!A1" display="HỘ KINH DOANH HÀ GIANG OFFICIAL" xr:uid="{00000000-0004-0000-0000-000020000000}"/>
    <hyperlink ref="C36" location="'051198010997'!A1" display="HỘ KINH DOANH PHẠM HUỆ OFFICIAL" xr:uid="{A30842C8-8C1F-438F-B951-7436649275EB}"/>
  </hyperlink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V46"/>
  <sheetViews>
    <sheetView workbookViewId="0">
      <selection activeCell="I3" sqref="I3"/>
    </sheetView>
  </sheetViews>
  <sheetFormatPr defaultRowHeight="15" customHeight="1" x14ac:dyDescent="0.2"/>
  <cols>
    <col min="1" max="1" width="10.7109375" style="20" bestFit="1" customWidth="1"/>
    <col min="2" max="2" width="10.7109375" style="68" bestFit="1" customWidth="1"/>
    <col min="3" max="3" width="9.28515625" style="20" bestFit="1" customWidth="1"/>
    <col min="4" max="6" width="9.140625" style="20"/>
    <col min="7" max="7" width="14.85546875" style="32" bestFit="1" customWidth="1"/>
    <col min="8" max="8" width="32.140625" style="20" customWidth="1"/>
    <col min="9" max="10" width="9.28515625" style="20" bestFit="1" customWidth="1"/>
    <col min="11" max="11" width="9.140625" style="20"/>
    <col min="12" max="12" width="9.28515625" style="20" bestFit="1" customWidth="1"/>
    <col min="13" max="14" width="13.42578125" style="34" bestFit="1" customWidth="1"/>
    <col min="15" max="16384" width="9.140625" style="20"/>
  </cols>
  <sheetData>
    <row r="1" spans="1:22" ht="15" customHeight="1" thickBot="1" x14ac:dyDescent="0.25">
      <c r="A1" s="194" t="s">
        <v>0</v>
      </c>
      <c r="B1" s="196" t="s">
        <v>1</v>
      </c>
      <c r="C1" s="194" t="s">
        <v>2</v>
      </c>
      <c r="D1" s="192" t="s">
        <v>3</v>
      </c>
      <c r="E1" s="192" t="s">
        <v>4</v>
      </c>
      <c r="F1" s="192" t="s">
        <v>257</v>
      </c>
      <c r="G1" s="201" t="s">
        <v>6</v>
      </c>
      <c r="H1" s="203" t="s">
        <v>7</v>
      </c>
      <c r="I1" s="205" t="s">
        <v>8</v>
      </c>
      <c r="J1" s="206"/>
      <c r="K1" s="194" t="s">
        <v>9</v>
      </c>
      <c r="L1" s="194" t="s">
        <v>10</v>
      </c>
      <c r="M1" s="199" t="s">
        <v>76</v>
      </c>
      <c r="N1" s="199" t="s">
        <v>77</v>
      </c>
      <c r="O1" s="39" t="s">
        <v>78</v>
      </c>
      <c r="P1" s="146" t="s">
        <v>356</v>
      </c>
    </row>
    <row r="2" spans="1:22" ht="15" customHeight="1" thickBot="1" x14ac:dyDescent="0.25">
      <c r="A2" s="195"/>
      <c r="B2" s="197"/>
      <c r="C2" s="195"/>
      <c r="D2" s="198"/>
      <c r="E2" s="198"/>
      <c r="F2" s="193"/>
      <c r="G2" s="202"/>
      <c r="H2" s="204"/>
      <c r="I2" s="40" t="s">
        <v>13</v>
      </c>
      <c r="J2" s="41" t="s">
        <v>14</v>
      </c>
      <c r="K2" s="195"/>
      <c r="L2" s="195"/>
      <c r="M2" s="200"/>
      <c r="N2" s="200"/>
      <c r="O2" s="37" t="s">
        <v>78</v>
      </c>
      <c r="P2" s="37"/>
    </row>
    <row r="3" spans="1:22" ht="15" customHeight="1" x14ac:dyDescent="0.2">
      <c r="A3" s="42"/>
      <c r="B3" s="66"/>
      <c r="C3" s="42">
        <v>227</v>
      </c>
      <c r="D3" s="43"/>
      <c r="E3" s="43"/>
      <c r="F3" s="43"/>
      <c r="G3" s="58" t="s">
        <v>15</v>
      </c>
      <c r="H3" s="44"/>
      <c r="I3" s="44"/>
      <c r="J3" s="44"/>
      <c r="K3" s="42"/>
      <c r="L3" s="42"/>
      <c r="M3" s="64"/>
      <c r="N3" s="64"/>
      <c r="O3" s="37" t="s">
        <v>16</v>
      </c>
      <c r="P3" s="37" t="s">
        <v>17</v>
      </c>
    </row>
    <row r="4" spans="1:22" ht="15" customHeight="1" x14ac:dyDescent="0.25">
      <c r="A4" s="20" t="s">
        <v>309</v>
      </c>
      <c r="B4" s="69">
        <v>46022.066666666666</v>
      </c>
      <c r="C4" s="120">
        <f t="shared" ref="C4:C46" si="0">C3+D4</f>
        <v>228</v>
      </c>
      <c r="D4" s="87">
        <f t="shared" ref="D4:D46" si="1">IF(H4=H3,0,1)</f>
        <v>1</v>
      </c>
      <c r="G4" s="32" t="s">
        <v>108</v>
      </c>
      <c r="H4" s="20" t="s">
        <v>3561</v>
      </c>
      <c r="I4" s="20">
        <v>112121</v>
      </c>
      <c r="J4" s="20">
        <v>5154</v>
      </c>
      <c r="K4" s="20" t="s">
        <v>20</v>
      </c>
      <c r="L4" s="20">
        <v>1</v>
      </c>
      <c r="M4" s="34">
        <v>16</v>
      </c>
      <c r="N4" s="34">
        <f t="shared" ref="N4:N46" si="2">L4*M4</f>
        <v>16</v>
      </c>
      <c r="P4" s="20">
        <v>36</v>
      </c>
      <c r="S4"/>
      <c r="T4"/>
      <c r="U4"/>
      <c r="V4"/>
    </row>
    <row r="5" spans="1:22" ht="15" customHeight="1" x14ac:dyDescent="0.25">
      <c r="A5" s="20" t="s">
        <v>309</v>
      </c>
      <c r="B5" s="69">
        <v>46053.063194444447</v>
      </c>
      <c r="C5" s="120">
        <f t="shared" si="0"/>
        <v>228</v>
      </c>
      <c r="D5" s="87">
        <f t="shared" si="1"/>
        <v>0</v>
      </c>
      <c r="G5" s="32" t="s">
        <v>108</v>
      </c>
      <c r="H5" s="20" t="s">
        <v>3561</v>
      </c>
      <c r="I5" s="20">
        <v>112121</v>
      </c>
      <c r="J5" s="20">
        <v>5154</v>
      </c>
      <c r="K5" s="20" t="s">
        <v>20</v>
      </c>
      <c r="L5" s="20">
        <v>1</v>
      </c>
      <c r="M5" s="34">
        <v>13</v>
      </c>
      <c r="N5" s="34">
        <f t="shared" si="2"/>
        <v>13</v>
      </c>
      <c r="P5" s="20">
        <v>36</v>
      </c>
      <c r="S5"/>
      <c r="T5"/>
      <c r="U5"/>
      <c r="V5"/>
    </row>
    <row r="6" spans="1:22" ht="15" customHeight="1" x14ac:dyDescent="0.25">
      <c r="A6" s="20" t="s">
        <v>308</v>
      </c>
      <c r="B6" s="69">
        <v>46048.629166666666</v>
      </c>
      <c r="C6" s="120">
        <f t="shared" si="0"/>
        <v>229</v>
      </c>
      <c r="D6" s="87">
        <f t="shared" si="1"/>
        <v>1</v>
      </c>
      <c r="G6" s="32" t="s">
        <v>108</v>
      </c>
      <c r="H6" s="20" t="s">
        <v>3032</v>
      </c>
      <c r="I6" s="20">
        <v>1111</v>
      </c>
      <c r="J6" s="20">
        <v>112121</v>
      </c>
      <c r="K6" s="20" t="s">
        <v>20</v>
      </c>
      <c r="L6" s="20">
        <v>1</v>
      </c>
      <c r="M6" s="34">
        <v>183000</v>
      </c>
      <c r="N6" s="34">
        <f t="shared" si="2"/>
        <v>183000</v>
      </c>
      <c r="P6" s="20">
        <v>36</v>
      </c>
      <c r="S6"/>
      <c r="T6"/>
      <c r="U6"/>
      <c r="V6"/>
    </row>
    <row r="7" spans="1:22" ht="15" customHeight="1" x14ac:dyDescent="0.25">
      <c r="A7" s="20" t="s">
        <v>309</v>
      </c>
      <c r="B7" s="69">
        <v>46080.69027777778</v>
      </c>
      <c r="C7" s="120">
        <f t="shared" si="0"/>
        <v>230</v>
      </c>
      <c r="D7" s="87">
        <f t="shared" si="1"/>
        <v>1</v>
      </c>
      <c r="G7" s="32" t="s">
        <v>108</v>
      </c>
      <c r="H7" s="20" t="s">
        <v>2660</v>
      </c>
      <c r="I7" s="20">
        <v>112121</v>
      </c>
      <c r="J7" s="20">
        <v>1111</v>
      </c>
      <c r="K7" s="20" t="s">
        <v>20</v>
      </c>
      <c r="L7" s="20">
        <v>1</v>
      </c>
      <c r="M7" s="34">
        <v>690300</v>
      </c>
      <c r="N7" s="34">
        <f t="shared" si="2"/>
        <v>690300</v>
      </c>
      <c r="P7" s="20">
        <v>36</v>
      </c>
      <c r="S7"/>
      <c r="T7"/>
      <c r="U7"/>
      <c r="V7"/>
    </row>
    <row r="8" spans="1:22" ht="15" customHeight="1" x14ac:dyDescent="0.25">
      <c r="A8" s="20" t="s">
        <v>308</v>
      </c>
      <c r="B8" s="69">
        <v>46080.690972222219</v>
      </c>
      <c r="C8" s="120">
        <f t="shared" si="0"/>
        <v>231</v>
      </c>
      <c r="D8" s="87">
        <f t="shared" si="1"/>
        <v>1</v>
      </c>
      <c r="G8" s="32" t="s">
        <v>34</v>
      </c>
      <c r="H8" s="20" t="s">
        <v>455</v>
      </c>
      <c r="I8" s="20">
        <v>3383</v>
      </c>
      <c r="J8" s="20">
        <v>112121</v>
      </c>
      <c r="K8" s="20" t="s">
        <v>20</v>
      </c>
      <c r="L8" s="20">
        <v>1</v>
      </c>
      <c r="M8" s="34">
        <v>690300</v>
      </c>
      <c r="N8" s="34">
        <f t="shared" si="2"/>
        <v>690300</v>
      </c>
      <c r="P8" s="20">
        <v>36</v>
      </c>
      <c r="S8"/>
      <c r="T8"/>
      <c r="U8"/>
      <c r="V8"/>
    </row>
    <row r="9" spans="1:22" ht="15" customHeight="1" x14ac:dyDescent="0.25">
      <c r="A9" s="20" t="s">
        <v>309</v>
      </c>
      <c r="B9" s="69">
        <v>46112.98541666667</v>
      </c>
      <c r="C9" s="120">
        <f t="shared" si="0"/>
        <v>232</v>
      </c>
      <c r="D9" s="87">
        <f t="shared" si="1"/>
        <v>1</v>
      </c>
      <c r="G9" s="32" t="s">
        <v>108</v>
      </c>
      <c r="H9" s="20" t="s">
        <v>2660</v>
      </c>
      <c r="I9" s="20">
        <v>112121</v>
      </c>
      <c r="J9" s="20">
        <v>1111</v>
      </c>
      <c r="K9" s="20" t="s">
        <v>20</v>
      </c>
      <c r="L9" s="20">
        <v>1</v>
      </c>
      <c r="M9" s="34">
        <v>690300</v>
      </c>
      <c r="N9" s="34">
        <f t="shared" si="2"/>
        <v>690300</v>
      </c>
      <c r="P9" s="20">
        <v>36</v>
      </c>
      <c r="S9"/>
      <c r="T9"/>
      <c r="U9"/>
      <c r="V9"/>
    </row>
    <row r="10" spans="1:22" ht="15" customHeight="1" x14ac:dyDescent="0.25">
      <c r="A10" s="20" t="s">
        <v>308</v>
      </c>
      <c r="B10" s="69">
        <v>46112.986805555556</v>
      </c>
      <c r="C10" s="120">
        <f t="shared" si="0"/>
        <v>233</v>
      </c>
      <c r="D10" s="87">
        <f t="shared" si="1"/>
        <v>1</v>
      </c>
      <c r="G10" s="32" t="s">
        <v>34</v>
      </c>
      <c r="H10" s="20" t="s">
        <v>457</v>
      </c>
      <c r="I10" s="20">
        <v>3383</v>
      </c>
      <c r="J10" s="20">
        <v>112121</v>
      </c>
      <c r="K10" s="20" t="s">
        <v>20</v>
      </c>
      <c r="L10" s="20">
        <v>1</v>
      </c>
      <c r="M10" s="34">
        <v>690300</v>
      </c>
      <c r="N10" s="34">
        <f t="shared" si="2"/>
        <v>690300</v>
      </c>
      <c r="P10" s="20">
        <v>36</v>
      </c>
      <c r="S10"/>
      <c r="T10"/>
      <c r="U10"/>
      <c r="V10"/>
    </row>
    <row r="11" spans="1:22" ht="15" customHeight="1" x14ac:dyDescent="0.25">
      <c r="A11" s="20" t="s">
        <v>310</v>
      </c>
      <c r="B11" s="69" t="s">
        <v>432</v>
      </c>
      <c r="C11" s="120">
        <f t="shared" si="0"/>
        <v>234</v>
      </c>
      <c r="D11" s="87">
        <f t="shared" si="1"/>
        <v>1</v>
      </c>
      <c r="G11" s="32" t="s">
        <v>44</v>
      </c>
      <c r="H11" s="20" t="s">
        <v>458</v>
      </c>
      <c r="I11" s="20">
        <v>331</v>
      </c>
      <c r="J11" s="20">
        <v>1111</v>
      </c>
      <c r="K11" s="20" t="s">
        <v>20</v>
      </c>
      <c r="L11" s="20">
        <v>1</v>
      </c>
      <c r="M11" s="34">
        <v>19659</v>
      </c>
      <c r="N11" s="34">
        <f t="shared" si="2"/>
        <v>19659</v>
      </c>
      <c r="P11" s="20">
        <v>26</v>
      </c>
      <c r="S11"/>
      <c r="T11"/>
      <c r="U11"/>
      <c r="V11"/>
    </row>
    <row r="12" spans="1:22" ht="15" customHeight="1" x14ac:dyDescent="0.25">
      <c r="A12" s="20" t="s">
        <v>310</v>
      </c>
      <c r="B12" s="69" t="s">
        <v>433</v>
      </c>
      <c r="C12" s="120">
        <f t="shared" si="0"/>
        <v>235</v>
      </c>
      <c r="D12" s="87">
        <f t="shared" si="1"/>
        <v>1</v>
      </c>
      <c r="G12" s="32" t="s">
        <v>442</v>
      </c>
      <c r="H12" s="20" t="s">
        <v>459</v>
      </c>
      <c r="I12" s="20">
        <v>331</v>
      </c>
      <c r="J12" s="20">
        <v>1111</v>
      </c>
      <c r="K12" s="20" t="s">
        <v>20</v>
      </c>
      <c r="L12" s="20">
        <v>1</v>
      </c>
      <c r="M12" s="34">
        <v>500000</v>
      </c>
      <c r="N12" s="34">
        <f t="shared" si="2"/>
        <v>500000</v>
      </c>
      <c r="P12" s="20">
        <v>27</v>
      </c>
      <c r="S12"/>
      <c r="T12"/>
      <c r="U12"/>
      <c r="V12"/>
    </row>
    <row r="13" spans="1:22" ht="15" customHeight="1" x14ac:dyDescent="0.25">
      <c r="A13" s="20" t="s">
        <v>310</v>
      </c>
      <c r="B13" s="69" t="s">
        <v>434</v>
      </c>
      <c r="C13" s="120">
        <f t="shared" si="0"/>
        <v>236</v>
      </c>
      <c r="D13" s="87">
        <f t="shared" si="1"/>
        <v>1</v>
      </c>
      <c r="G13" s="32" t="s">
        <v>19</v>
      </c>
      <c r="H13" s="20" t="s">
        <v>460</v>
      </c>
      <c r="I13" s="20">
        <v>331</v>
      </c>
      <c r="J13" s="20">
        <v>1111</v>
      </c>
      <c r="K13" s="20" t="s">
        <v>20</v>
      </c>
      <c r="L13" s="20">
        <v>1</v>
      </c>
      <c r="M13" s="34">
        <v>109000</v>
      </c>
      <c r="N13" s="34">
        <f t="shared" si="2"/>
        <v>109000</v>
      </c>
      <c r="P13" s="20">
        <v>28</v>
      </c>
      <c r="S13"/>
      <c r="T13"/>
      <c r="U13"/>
      <c r="V13"/>
    </row>
    <row r="14" spans="1:22" ht="15" customHeight="1" x14ac:dyDescent="0.25">
      <c r="A14" s="20" t="s">
        <v>310</v>
      </c>
      <c r="B14" s="69" t="s">
        <v>435</v>
      </c>
      <c r="C14" s="120">
        <f t="shared" si="0"/>
        <v>237</v>
      </c>
      <c r="D14" s="87">
        <f t="shared" si="1"/>
        <v>1</v>
      </c>
      <c r="G14" s="32" t="s">
        <v>19</v>
      </c>
      <c r="H14" s="20" t="s">
        <v>461</v>
      </c>
      <c r="I14" s="20">
        <v>331</v>
      </c>
      <c r="J14" s="20">
        <v>1111</v>
      </c>
      <c r="K14" s="20" t="s">
        <v>20</v>
      </c>
      <c r="L14" s="20">
        <v>1</v>
      </c>
      <c r="M14" s="34">
        <v>158000</v>
      </c>
      <c r="N14" s="34">
        <f t="shared" si="2"/>
        <v>158000</v>
      </c>
      <c r="P14" s="20">
        <v>29</v>
      </c>
      <c r="S14"/>
      <c r="T14"/>
      <c r="U14"/>
      <c r="V14"/>
    </row>
    <row r="15" spans="1:22" ht="15" customHeight="1" x14ac:dyDescent="0.25">
      <c r="A15" s="20" t="s">
        <v>310</v>
      </c>
      <c r="B15" s="69" t="s">
        <v>436</v>
      </c>
      <c r="C15" s="120">
        <f t="shared" si="0"/>
        <v>238</v>
      </c>
      <c r="D15" s="87">
        <f t="shared" si="1"/>
        <v>1</v>
      </c>
      <c r="G15" s="32" t="s">
        <v>44</v>
      </c>
      <c r="H15" s="20" t="s">
        <v>462</v>
      </c>
      <c r="I15" s="20">
        <v>331</v>
      </c>
      <c r="J15" s="20">
        <v>1111</v>
      </c>
      <c r="K15" s="20" t="s">
        <v>20</v>
      </c>
      <c r="L15" s="20">
        <v>1</v>
      </c>
      <c r="M15" s="34">
        <v>23361</v>
      </c>
      <c r="N15" s="34">
        <f t="shared" si="2"/>
        <v>23361</v>
      </c>
      <c r="P15" s="20">
        <v>30</v>
      </c>
      <c r="S15"/>
      <c r="T15"/>
      <c r="U15"/>
      <c r="V15"/>
    </row>
    <row r="16" spans="1:22" ht="15" customHeight="1" x14ac:dyDescent="0.25">
      <c r="A16" s="20" t="s">
        <v>310</v>
      </c>
      <c r="B16" s="69" t="s">
        <v>437</v>
      </c>
      <c r="C16" s="120">
        <f t="shared" si="0"/>
        <v>239</v>
      </c>
      <c r="D16" s="87">
        <f t="shared" si="1"/>
        <v>1</v>
      </c>
      <c r="G16" s="32" t="s">
        <v>443</v>
      </c>
      <c r="H16" s="20" t="s">
        <v>463</v>
      </c>
      <c r="I16" s="20">
        <v>331</v>
      </c>
      <c r="J16" s="20">
        <v>1111</v>
      </c>
      <c r="K16" s="20" t="s">
        <v>20</v>
      </c>
      <c r="L16" s="20">
        <v>1</v>
      </c>
      <c r="M16" s="34">
        <v>43000</v>
      </c>
      <c r="N16" s="34">
        <f t="shared" si="2"/>
        <v>43000</v>
      </c>
      <c r="P16" s="20">
        <v>31</v>
      </c>
      <c r="S16"/>
      <c r="T16"/>
      <c r="U16"/>
      <c r="V16"/>
    </row>
    <row r="17" spans="1:22" ht="15" customHeight="1" x14ac:dyDescent="0.25">
      <c r="A17" s="20" t="s">
        <v>310</v>
      </c>
      <c r="B17" s="69" t="s">
        <v>438</v>
      </c>
      <c r="C17" s="120">
        <f t="shared" si="0"/>
        <v>240</v>
      </c>
      <c r="D17" s="87">
        <f t="shared" si="1"/>
        <v>1</v>
      </c>
      <c r="G17" s="32" t="s">
        <v>19</v>
      </c>
      <c r="H17" s="20" t="s">
        <v>464</v>
      </c>
      <c r="I17" s="20">
        <v>331</v>
      </c>
      <c r="J17" s="20">
        <v>1111</v>
      </c>
      <c r="K17" s="20" t="s">
        <v>20</v>
      </c>
      <c r="L17" s="20">
        <v>1</v>
      </c>
      <c r="M17" s="34">
        <v>51000</v>
      </c>
      <c r="N17" s="34">
        <f t="shared" si="2"/>
        <v>51000</v>
      </c>
      <c r="P17" s="20">
        <v>32</v>
      </c>
      <c r="S17"/>
      <c r="T17"/>
      <c r="U17"/>
      <c r="V17"/>
    </row>
    <row r="18" spans="1:22" ht="15" customHeight="1" x14ac:dyDescent="0.25">
      <c r="A18" s="20" t="s">
        <v>310</v>
      </c>
      <c r="B18" s="69" t="s">
        <v>439</v>
      </c>
      <c r="C18" s="120">
        <f t="shared" si="0"/>
        <v>241</v>
      </c>
      <c r="D18" s="87">
        <f t="shared" si="1"/>
        <v>1</v>
      </c>
      <c r="G18" s="32" t="s">
        <v>19</v>
      </c>
      <c r="H18" s="20" t="s">
        <v>465</v>
      </c>
      <c r="I18" s="20">
        <v>331</v>
      </c>
      <c r="J18" s="20">
        <v>1111</v>
      </c>
      <c r="K18" s="20" t="s">
        <v>20</v>
      </c>
      <c r="L18" s="20">
        <v>1</v>
      </c>
      <c r="M18" s="34">
        <v>120000</v>
      </c>
      <c r="N18" s="34">
        <f t="shared" si="2"/>
        <v>120000</v>
      </c>
      <c r="P18" s="20">
        <v>33</v>
      </c>
      <c r="S18"/>
      <c r="T18"/>
      <c r="U18"/>
      <c r="V18"/>
    </row>
    <row r="19" spans="1:22" ht="15" customHeight="1" x14ac:dyDescent="0.25">
      <c r="A19" s="20" t="s">
        <v>310</v>
      </c>
      <c r="B19" s="69" t="s">
        <v>439</v>
      </c>
      <c r="C19" s="120">
        <f t="shared" si="0"/>
        <v>242</v>
      </c>
      <c r="D19" s="87">
        <f t="shared" si="1"/>
        <v>1</v>
      </c>
      <c r="G19" s="32" t="s">
        <v>19</v>
      </c>
      <c r="H19" s="20" t="s">
        <v>466</v>
      </c>
      <c r="I19" s="20">
        <v>331</v>
      </c>
      <c r="J19" s="20">
        <v>1111</v>
      </c>
      <c r="K19" s="20" t="s">
        <v>20</v>
      </c>
      <c r="L19" s="20">
        <v>1</v>
      </c>
      <c r="M19" s="34">
        <v>131000</v>
      </c>
      <c r="N19" s="34">
        <f t="shared" si="2"/>
        <v>131000</v>
      </c>
      <c r="P19" s="20">
        <v>34</v>
      </c>
      <c r="S19"/>
      <c r="T19"/>
      <c r="U19"/>
      <c r="V19"/>
    </row>
    <row r="20" spans="1:22" ht="15" customHeight="1" x14ac:dyDescent="0.25">
      <c r="A20" s="20" t="s">
        <v>310</v>
      </c>
      <c r="B20" s="69" t="s">
        <v>440</v>
      </c>
      <c r="C20" s="120">
        <f t="shared" si="0"/>
        <v>243</v>
      </c>
      <c r="D20" s="87">
        <f t="shared" si="1"/>
        <v>1</v>
      </c>
      <c r="G20" s="32" t="s">
        <v>19</v>
      </c>
      <c r="H20" s="20" t="s">
        <v>467</v>
      </c>
      <c r="I20" s="20">
        <v>331</v>
      </c>
      <c r="J20" s="20">
        <v>1111</v>
      </c>
      <c r="K20" s="20" t="s">
        <v>20</v>
      </c>
      <c r="L20" s="20">
        <v>1</v>
      </c>
      <c r="M20" s="34">
        <v>44000</v>
      </c>
      <c r="N20" s="34">
        <f t="shared" si="2"/>
        <v>44000</v>
      </c>
      <c r="P20" s="20">
        <v>35</v>
      </c>
      <c r="S20"/>
      <c r="T20"/>
      <c r="U20"/>
      <c r="V20"/>
    </row>
    <row r="21" spans="1:22" ht="15" customHeight="1" x14ac:dyDescent="0.25">
      <c r="A21" s="20" t="s">
        <v>310</v>
      </c>
      <c r="B21" s="69" t="s">
        <v>441</v>
      </c>
      <c r="C21" s="120">
        <f t="shared" si="0"/>
        <v>244</v>
      </c>
      <c r="D21" s="87">
        <f t="shared" si="1"/>
        <v>1</v>
      </c>
      <c r="G21" s="32" t="s">
        <v>44</v>
      </c>
      <c r="H21" s="20" t="s">
        <v>468</v>
      </c>
      <c r="I21" s="20">
        <v>331</v>
      </c>
      <c r="J21" s="20">
        <v>1111</v>
      </c>
      <c r="K21" s="20" t="s">
        <v>20</v>
      </c>
      <c r="L21" s="20">
        <v>1</v>
      </c>
      <c r="M21" s="34">
        <v>35242</v>
      </c>
      <c r="N21" s="34">
        <f t="shared" si="2"/>
        <v>35242</v>
      </c>
      <c r="P21" s="20">
        <v>36</v>
      </c>
      <c r="S21"/>
      <c r="T21"/>
      <c r="U21"/>
      <c r="V21"/>
    </row>
    <row r="22" spans="1:22" ht="15" customHeight="1" x14ac:dyDescent="0.25">
      <c r="A22" s="20" t="s">
        <v>18</v>
      </c>
      <c r="B22" s="69" t="s">
        <v>432</v>
      </c>
      <c r="C22" s="120">
        <f t="shared" si="0"/>
        <v>245</v>
      </c>
      <c r="D22" s="87">
        <f t="shared" si="1"/>
        <v>1</v>
      </c>
      <c r="G22" s="32" t="s">
        <v>44</v>
      </c>
      <c r="H22" s="20" t="s">
        <v>444</v>
      </c>
      <c r="I22" s="20">
        <v>64277</v>
      </c>
      <c r="J22" s="20">
        <v>331</v>
      </c>
      <c r="K22" s="20" t="s">
        <v>20</v>
      </c>
      <c r="L22" s="20">
        <v>1</v>
      </c>
      <c r="M22" s="34">
        <v>18203</v>
      </c>
      <c r="N22" s="34">
        <f t="shared" si="2"/>
        <v>18203</v>
      </c>
      <c r="P22" s="20">
        <v>1</v>
      </c>
      <c r="S22"/>
      <c r="T22"/>
      <c r="U22"/>
      <c r="V22"/>
    </row>
    <row r="23" spans="1:22" ht="15" customHeight="1" x14ac:dyDescent="0.25">
      <c r="A23" s="20" t="s">
        <v>18</v>
      </c>
      <c r="B23" s="69" t="s">
        <v>432</v>
      </c>
      <c r="C23" s="120">
        <f t="shared" si="0"/>
        <v>245</v>
      </c>
      <c r="D23" s="87">
        <f t="shared" si="1"/>
        <v>0</v>
      </c>
      <c r="G23" s="32" t="s">
        <v>44</v>
      </c>
      <c r="H23" s="20" t="s">
        <v>444</v>
      </c>
      <c r="I23" s="20">
        <v>1331</v>
      </c>
      <c r="J23" s="20">
        <v>331</v>
      </c>
      <c r="K23" s="20" t="s">
        <v>20</v>
      </c>
      <c r="L23" s="20">
        <v>1</v>
      </c>
      <c r="M23" s="34">
        <v>1456</v>
      </c>
      <c r="N23" s="34">
        <f t="shared" si="2"/>
        <v>1456</v>
      </c>
      <c r="P23" s="20">
        <v>12</v>
      </c>
      <c r="S23"/>
      <c r="T23"/>
      <c r="U23"/>
      <c r="V23"/>
    </row>
    <row r="24" spans="1:22" ht="15" customHeight="1" x14ac:dyDescent="0.25">
      <c r="A24" s="20" t="s">
        <v>18</v>
      </c>
      <c r="B24" s="69" t="s">
        <v>433</v>
      </c>
      <c r="C24" s="120">
        <f t="shared" si="0"/>
        <v>246</v>
      </c>
      <c r="D24" s="87">
        <f t="shared" si="1"/>
        <v>1</v>
      </c>
      <c r="G24" s="32" t="s">
        <v>442</v>
      </c>
      <c r="H24" s="20" t="s">
        <v>445</v>
      </c>
      <c r="I24" s="20">
        <v>64277</v>
      </c>
      <c r="J24" s="20">
        <v>331</v>
      </c>
      <c r="K24" s="20" t="s">
        <v>20</v>
      </c>
      <c r="L24" s="20">
        <v>1</v>
      </c>
      <c r="M24" s="34">
        <v>462963</v>
      </c>
      <c r="N24" s="34">
        <f t="shared" si="2"/>
        <v>462963</v>
      </c>
      <c r="P24" s="20">
        <v>2</v>
      </c>
      <c r="S24"/>
      <c r="T24"/>
      <c r="U24"/>
      <c r="V24"/>
    </row>
    <row r="25" spans="1:22" ht="15" customHeight="1" x14ac:dyDescent="0.25">
      <c r="A25" s="20" t="s">
        <v>18</v>
      </c>
      <c r="B25" s="69" t="s">
        <v>433</v>
      </c>
      <c r="C25" s="120">
        <f t="shared" si="0"/>
        <v>246</v>
      </c>
      <c r="D25" s="87">
        <f t="shared" si="1"/>
        <v>0</v>
      </c>
      <c r="G25" s="32" t="s">
        <v>442</v>
      </c>
      <c r="H25" s="20" t="s">
        <v>445</v>
      </c>
      <c r="I25" s="20">
        <v>1331</v>
      </c>
      <c r="J25" s="20">
        <v>331</v>
      </c>
      <c r="K25" s="20" t="s">
        <v>20</v>
      </c>
      <c r="L25" s="20">
        <v>1</v>
      </c>
      <c r="M25" s="34">
        <v>37037</v>
      </c>
      <c r="N25" s="34">
        <f t="shared" si="2"/>
        <v>37037</v>
      </c>
      <c r="P25" s="20">
        <v>13</v>
      </c>
      <c r="S25"/>
      <c r="T25"/>
      <c r="U25"/>
      <c r="V25"/>
    </row>
    <row r="26" spans="1:22" ht="15" customHeight="1" x14ac:dyDescent="0.25">
      <c r="A26" s="20" t="s">
        <v>18</v>
      </c>
      <c r="B26" s="69" t="s">
        <v>434</v>
      </c>
      <c r="C26" s="120">
        <f t="shared" si="0"/>
        <v>247</v>
      </c>
      <c r="D26" s="87">
        <f t="shared" si="1"/>
        <v>1</v>
      </c>
      <c r="G26" s="32" t="s">
        <v>19</v>
      </c>
      <c r="H26" s="20" t="s">
        <v>446</v>
      </c>
      <c r="I26" s="20">
        <v>64277</v>
      </c>
      <c r="J26" s="20">
        <v>331</v>
      </c>
      <c r="K26" s="20" t="s">
        <v>20</v>
      </c>
      <c r="L26" s="20">
        <v>1</v>
      </c>
      <c r="M26" s="34">
        <v>109000</v>
      </c>
      <c r="N26" s="34">
        <f t="shared" si="2"/>
        <v>109000</v>
      </c>
      <c r="P26" s="20">
        <v>3</v>
      </c>
      <c r="S26"/>
      <c r="T26"/>
      <c r="U26"/>
      <c r="V26"/>
    </row>
    <row r="27" spans="1:22" ht="15" customHeight="1" x14ac:dyDescent="0.25">
      <c r="A27" s="20" t="s">
        <v>18</v>
      </c>
      <c r="B27" s="69" t="s">
        <v>434</v>
      </c>
      <c r="C27" s="120">
        <f t="shared" si="0"/>
        <v>247</v>
      </c>
      <c r="D27" s="87">
        <f t="shared" si="1"/>
        <v>0</v>
      </c>
      <c r="G27" s="32" t="s">
        <v>19</v>
      </c>
      <c r="H27" s="20" t="s">
        <v>446</v>
      </c>
      <c r="I27" s="20">
        <v>1331</v>
      </c>
      <c r="J27" s="20">
        <v>331</v>
      </c>
      <c r="K27" s="20" t="s">
        <v>20</v>
      </c>
      <c r="L27" s="20">
        <v>1</v>
      </c>
      <c r="M27" s="34">
        <v>7509</v>
      </c>
      <c r="N27" s="34">
        <f t="shared" si="2"/>
        <v>7509</v>
      </c>
      <c r="P27" s="20">
        <v>14</v>
      </c>
      <c r="S27"/>
      <c r="T27"/>
      <c r="U27"/>
      <c r="V27"/>
    </row>
    <row r="28" spans="1:22" ht="15" customHeight="1" x14ac:dyDescent="0.25">
      <c r="A28" s="20" t="s">
        <v>18</v>
      </c>
      <c r="B28" s="69" t="s">
        <v>435</v>
      </c>
      <c r="C28" s="120">
        <f t="shared" si="0"/>
        <v>248</v>
      </c>
      <c r="D28" s="87">
        <f t="shared" si="1"/>
        <v>1</v>
      </c>
      <c r="G28" s="32" t="s">
        <v>19</v>
      </c>
      <c r="H28" s="20" t="s">
        <v>447</v>
      </c>
      <c r="I28" s="20">
        <v>64277</v>
      </c>
      <c r="J28" s="20">
        <v>331</v>
      </c>
      <c r="K28" s="20" t="s">
        <v>20</v>
      </c>
      <c r="L28" s="20">
        <v>1</v>
      </c>
      <c r="M28" s="34">
        <v>158000</v>
      </c>
      <c r="N28" s="34">
        <f t="shared" si="2"/>
        <v>158000</v>
      </c>
      <c r="P28" s="20">
        <v>4</v>
      </c>
      <c r="S28"/>
      <c r="T28"/>
      <c r="U28"/>
      <c r="V28"/>
    </row>
    <row r="29" spans="1:22" ht="15" customHeight="1" x14ac:dyDescent="0.25">
      <c r="A29" s="20" t="s">
        <v>18</v>
      </c>
      <c r="B29" s="69" t="s">
        <v>435</v>
      </c>
      <c r="C29" s="120">
        <f t="shared" si="0"/>
        <v>248</v>
      </c>
      <c r="D29" s="87">
        <f t="shared" si="1"/>
        <v>0</v>
      </c>
      <c r="G29" s="32" t="s">
        <v>19</v>
      </c>
      <c r="H29" s="20" t="s">
        <v>447</v>
      </c>
      <c r="I29" s="20">
        <v>1331</v>
      </c>
      <c r="J29" s="20">
        <v>331</v>
      </c>
      <c r="K29" s="20" t="s">
        <v>20</v>
      </c>
      <c r="L29" s="20">
        <v>1</v>
      </c>
      <c r="M29" s="34">
        <v>10879</v>
      </c>
      <c r="N29" s="34">
        <f t="shared" si="2"/>
        <v>10879</v>
      </c>
      <c r="P29" s="20">
        <v>15</v>
      </c>
      <c r="S29"/>
      <c r="T29"/>
      <c r="U29"/>
      <c r="V29"/>
    </row>
    <row r="30" spans="1:22" ht="15" customHeight="1" x14ac:dyDescent="0.25">
      <c r="A30" s="20" t="s">
        <v>18</v>
      </c>
      <c r="B30" s="69">
        <v>46053</v>
      </c>
      <c r="C30" s="120">
        <f t="shared" si="0"/>
        <v>249</v>
      </c>
      <c r="D30" s="87">
        <f t="shared" si="1"/>
        <v>1</v>
      </c>
      <c r="G30" s="32" t="s">
        <v>34</v>
      </c>
      <c r="H30" s="20" t="s">
        <v>455</v>
      </c>
      <c r="I30" s="20">
        <v>64271</v>
      </c>
      <c r="J30" s="20">
        <v>3383</v>
      </c>
      <c r="K30" s="20" t="s">
        <v>20</v>
      </c>
      <c r="L30" s="20">
        <v>1</v>
      </c>
      <c r="M30" s="34">
        <v>690300</v>
      </c>
      <c r="N30" s="34">
        <f t="shared" si="2"/>
        <v>690300</v>
      </c>
      <c r="P30" s="20">
        <v>23</v>
      </c>
      <c r="S30"/>
      <c r="T30"/>
      <c r="U30"/>
      <c r="V30"/>
    </row>
    <row r="31" spans="1:22" ht="15" customHeight="1" x14ac:dyDescent="0.25">
      <c r="A31" s="20" t="s">
        <v>18</v>
      </c>
      <c r="B31" s="69" t="s">
        <v>436</v>
      </c>
      <c r="C31" s="120">
        <f t="shared" si="0"/>
        <v>250</v>
      </c>
      <c r="D31" s="87">
        <f t="shared" si="1"/>
        <v>1</v>
      </c>
      <c r="G31" s="32" t="s">
        <v>44</v>
      </c>
      <c r="H31" s="20" t="s">
        <v>448</v>
      </c>
      <c r="I31" s="20">
        <v>64277</v>
      </c>
      <c r="J31" s="20">
        <v>331</v>
      </c>
      <c r="K31" s="20" t="s">
        <v>20</v>
      </c>
      <c r="L31" s="20">
        <v>1</v>
      </c>
      <c r="M31" s="34">
        <v>21628</v>
      </c>
      <c r="N31" s="34">
        <f t="shared" si="2"/>
        <v>21628</v>
      </c>
      <c r="P31" s="20">
        <v>5</v>
      </c>
      <c r="S31"/>
      <c r="T31"/>
      <c r="U31"/>
      <c r="V31"/>
    </row>
    <row r="32" spans="1:22" ht="15" customHeight="1" x14ac:dyDescent="0.25">
      <c r="A32" s="20" t="s">
        <v>18</v>
      </c>
      <c r="B32" s="69" t="s">
        <v>436</v>
      </c>
      <c r="C32" s="120">
        <f t="shared" si="0"/>
        <v>250</v>
      </c>
      <c r="D32" s="87">
        <f t="shared" si="1"/>
        <v>0</v>
      </c>
      <c r="G32" s="32" t="s">
        <v>44</v>
      </c>
      <c r="H32" s="20" t="s">
        <v>448</v>
      </c>
      <c r="I32" s="20">
        <v>1331</v>
      </c>
      <c r="J32" s="20">
        <v>331</v>
      </c>
      <c r="K32" s="20" t="s">
        <v>20</v>
      </c>
      <c r="L32" s="20">
        <v>1</v>
      </c>
      <c r="M32" s="34">
        <v>1733</v>
      </c>
      <c r="N32" s="34">
        <f t="shared" si="2"/>
        <v>1733</v>
      </c>
      <c r="P32" s="20">
        <v>16</v>
      </c>
      <c r="S32"/>
      <c r="T32"/>
      <c r="U32"/>
      <c r="V32"/>
    </row>
    <row r="33" spans="1:22" ht="15" customHeight="1" x14ac:dyDescent="0.25">
      <c r="A33" s="20" t="s">
        <v>18</v>
      </c>
      <c r="B33" s="69" t="s">
        <v>437</v>
      </c>
      <c r="C33" s="120">
        <f t="shared" si="0"/>
        <v>251</v>
      </c>
      <c r="D33" s="87">
        <f t="shared" si="1"/>
        <v>1</v>
      </c>
      <c r="G33" s="32" t="s">
        <v>443</v>
      </c>
      <c r="H33" s="20" t="s">
        <v>449</v>
      </c>
      <c r="I33" s="20">
        <v>64277</v>
      </c>
      <c r="J33" s="20">
        <v>331</v>
      </c>
      <c r="K33" s="20" t="s">
        <v>20</v>
      </c>
      <c r="L33" s="20">
        <v>1</v>
      </c>
      <c r="M33" s="34">
        <v>43000</v>
      </c>
      <c r="N33" s="34">
        <f t="shared" si="2"/>
        <v>43000</v>
      </c>
      <c r="P33" s="20">
        <v>6</v>
      </c>
      <c r="S33"/>
      <c r="T33"/>
      <c r="U33"/>
      <c r="V33"/>
    </row>
    <row r="34" spans="1:22" ht="15" customHeight="1" x14ac:dyDescent="0.25">
      <c r="A34" s="20" t="s">
        <v>18</v>
      </c>
      <c r="B34" s="69" t="s">
        <v>437</v>
      </c>
      <c r="C34" s="120">
        <f t="shared" si="0"/>
        <v>251</v>
      </c>
      <c r="D34" s="87">
        <f t="shared" si="1"/>
        <v>0</v>
      </c>
      <c r="G34" s="32" t="s">
        <v>443</v>
      </c>
      <c r="H34" s="20" t="s">
        <v>449</v>
      </c>
      <c r="I34" s="20">
        <v>1331</v>
      </c>
      <c r="J34" s="20">
        <v>331</v>
      </c>
      <c r="K34" s="20" t="s">
        <v>20</v>
      </c>
      <c r="L34" s="20">
        <v>1</v>
      </c>
      <c r="M34" s="34">
        <v>3186</v>
      </c>
      <c r="N34" s="34">
        <f t="shared" si="2"/>
        <v>3186</v>
      </c>
      <c r="P34" s="20">
        <v>17</v>
      </c>
      <c r="S34"/>
      <c r="T34"/>
      <c r="U34"/>
      <c r="V34"/>
    </row>
    <row r="35" spans="1:22" ht="15" customHeight="1" x14ac:dyDescent="0.25">
      <c r="A35" s="20" t="s">
        <v>18</v>
      </c>
      <c r="B35" s="69" t="s">
        <v>438</v>
      </c>
      <c r="C35" s="120">
        <f t="shared" si="0"/>
        <v>252</v>
      </c>
      <c r="D35" s="87">
        <f t="shared" si="1"/>
        <v>1</v>
      </c>
      <c r="G35" s="32" t="s">
        <v>19</v>
      </c>
      <c r="H35" s="20" t="s">
        <v>450</v>
      </c>
      <c r="I35" s="20">
        <v>64277</v>
      </c>
      <c r="J35" s="20">
        <v>331</v>
      </c>
      <c r="K35" s="20" t="s">
        <v>20</v>
      </c>
      <c r="L35" s="20">
        <v>1</v>
      </c>
      <c r="M35" s="34">
        <v>51000</v>
      </c>
      <c r="N35" s="34">
        <f t="shared" si="2"/>
        <v>51000</v>
      </c>
      <c r="P35" s="20">
        <v>7</v>
      </c>
      <c r="S35"/>
      <c r="T35"/>
      <c r="U35"/>
      <c r="V35"/>
    </row>
    <row r="36" spans="1:22" ht="15" customHeight="1" x14ac:dyDescent="0.25">
      <c r="A36" s="20" t="s">
        <v>18</v>
      </c>
      <c r="B36" s="69" t="s">
        <v>438</v>
      </c>
      <c r="C36" s="120">
        <f t="shared" si="0"/>
        <v>252</v>
      </c>
      <c r="D36" s="87">
        <f t="shared" si="1"/>
        <v>0</v>
      </c>
      <c r="G36" s="32" t="s">
        <v>19</v>
      </c>
      <c r="H36" s="20" t="s">
        <v>450</v>
      </c>
      <c r="I36" s="20">
        <v>1331</v>
      </c>
      <c r="J36" s="20">
        <v>331</v>
      </c>
      <c r="K36" s="20" t="s">
        <v>20</v>
      </c>
      <c r="L36" s="20">
        <v>1</v>
      </c>
      <c r="M36" s="34">
        <v>3465</v>
      </c>
      <c r="N36" s="34">
        <f t="shared" si="2"/>
        <v>3465</v>
      </c>
      <c r="P36" s="20">
        <v>18</v>
      </c>
      <c r="S36"/>
      <c r="T36"/>
      <c r="U36"/>
      <c r="V36"/>
    </row>
    <row r="37" spans="1:22" ht="15" customHeight="1" x14ac:dyDescent="0.25">
      <c r="A37" s="20" t="s">
        <v>18</v>
      </c>
      <c r="B37" s="69" t="s">
        <v>439</v>
      </c>
      <c r="C37" s="120">
        <f t="shared" si="0"/>
        <v>253</v>
      </c>
      <c r="D37" s="87">
        <f t="shared" si="1"/>
        <v>1</v>
      </c>
      <c r="G37" s="32" t="s">
        <v>19</v>
      </c>
      <c r="H37" s="20" t="s">
        <v>452</v>
      </c>
      <c r="I37" s="20">
        <v>64277</v>
      </c>
      <c r="J37" s="20">
        <v>331</v>
      </c>
      <c r="K37" s="20" t="s">
        <v>20</v>
      </c>
      <c r="L37" s="20">
        <v>1</v>
      </c>
      <c r="M37" s="34">
        <v>131000</v>
      </c>
      <c r="N37" s="34">
        <f t="shared" si="2"/>
        <v>131000</v>
      </c>
      <c r="P37" s="20">
        <v>9</v>
      </c>
      <c r="S37"/>
      <c r="T37"/>
      <c r="U37"/>
      <c r="V37"/>
    </row>
    <row r="38" spans="1:22" ht="15" customHeight="1" x14ac:dyDescent="0.25">
      <c r="A38" s="20" t="s">
        <v>18</v>
      </c>
      <c r="B38" s="69" t="s">
        <v>439</v>
      </c>
      <c r="C38" s="120">
        <f t="shared" si="0"/>
        <v>253</v>
      </c>
      <c r="D38" s="87">
        <f t="shared" si="1"/>
        <v>0</v>
      </c>
      <c r="G38" s="32" t="s">
        <v>19</v>
      </c>
      <c r="H38" s="20" t="s">
        <v>452</v>
      </c>
      <c r="I38" s="20">
        <v>1331</v>
      </c>
      <c r="J38" s="20">
        <v>331</v>
      </c>
      <c r="K38" s="20" t="s">
        <v>20</v>
      </c>
      <c r="L38" s="20">
        <v>1</v>
      </c>
      <c r="M38" s="34">
        <v>9703</v>
      </c>
      <c r="N38" s="34">
        <f t="shared" si="2"/>
        <v>9703</v>
      </c>
      <c r="P38" s="20">
        <v>20</v>
      </c>
      <c r="S38"/>
      <c r="T38"/>
      <c r="U38"/>
      <c r="V38"/>
    </row>
    <row r="39" spans="1:22" ht="15" customHeight="1" x14ac:dyDescent="0.25">
      <c r="A39" s="20" t="s">
        <v>18</v>
      </c>
      <c r="B39" s="69" t="s">
        <v>439</v>
      </c>
      <c r="C39" s="120">
        <f t="shared" si="0"/>
        <v>254</v>
      </c>
      <c r="D39" s="87">
        <f t="shared" si="1"/>
        <v>1</v>
      </c>
      <c r="G39" s="32" t="s">
        <v>19</v>
      </c>
      <c r="H39" s="20" t="s">
        <v>451</v>
      </c>
      <c r="I39" s="20">
        <v>64277</v>
      </c>
      <c r="J39" s="20">
        <v>331</v>
      </c>
      <c r="K39" s="20" t="s">
        <v>20</v>
      </c>
      <c r="L39" s="20">
        <v>1</v>
      </c>
      <c r="M39" s="34">
        <v>120000</v>
      </c>
      <c r="N39" s="34">
        <f t="shared" si="2"/>
        <v>120000</v>
      </c>
      <c r="P39" s="20">
        <v>8</v>
      </c>
      <c r="S39"/>
      <c r="T39"/>
      <c r="U39"/>
      <c r="V39"/>
    </row>
    <row r="40" spans="1:22" ht="15" customHeight="1" x14ac:dyDescent="0.25">
      <c r="A40" s="20" t="s">
        <v>18</v>
      </c>
      <c r="B40" s="69" t="s">
        <v>439</v>
      </c>
      <c r="C40" s="120">
        <f t="shared" si="0"/>
        <v>254</v>
      </c>
      <c r="D40" s="87">
        <f t="shared" si="1"/>
        <v>0</v>
      </c>
      <c r="G40" s="32" t="s">
        <v>19</v>
      </c>
      <c r="H40" s="20" t="s">
        <v>451</v>
      </c>
      <c r="I40" s="20">
        <v>1331</v>
      </c>
      <c r="J40" s="20">
        <v>331</v>
      </c>
      <c r="K40" s="20" t="s">
        <v>20</v>
      </c>
      <c r="L40" s="20">
        <v>1</v>
      </c>
      <c r="M40" s="34">
        <v>8889</v>
      </c>
      <c r="N40" s="34">
        <f t="shared" si="2"/>
        <v>8889</v>
      </c>
      <c r="P40" s="20">
        <v>19</v>
      </c>
      <c r="S40"/>
      <c r="T40"/>
      <c r="U40"/>
      <c r="V40"/>
    </row>
    <row r="41" spans="1:22" ht="15" customHeight="1" x14ac:dyDescent="0.25">
      <c r="A41" s="20" t="s">
        <v>18</v>
      </c>
      <c r="B41" s="69" t="s">
        <v>440</v>
      </c>
      <c r="C41" s="120">
        <f t="shared" si="0"/>
        <v>255</v>
      </c>
      <c r="D41" s="87">
        <f t="shared" si="1"/>
        <v>1</v>
      </c>
      <c r="G41" s="32" t="s">
        <v>19</v>
      </c>
      <c r="H41" s="20" t="s">
        <v>453</v>
      </c>
      <c r="I41" s="20">
        <v>64277</v>
      </c>
      <c r="J41" s="20">
        <v>331</v>
      </c>
      <c r="K41" s="20" t="s">
        <v>20</v>
      </c>
      <c r="L41" s="20">
        <v>1</v>
      </c>
      <c r="M41" s="34">
        <v>40959</v>
      </c>
      <c r="N41" s="34">
        <f t="shared" si="2"/>
        <v>40959</v>
      </c>
      <c r="P41" s="20">
        <v>10</v>
      </c>
      <c r="S41"/>
      <c r="T41"/>
      <c r="U41"/>
      <c r="V41"/>
    </row>
    <row r="42" spans="1:22" ht="15" customHeight="1" x14ac:dyDescent="0.25">
      <c r="A42" s="20" t="s">
        <v>18</v>
      </c>
      <c r="B42" s="69" t="s">
        <v>440</v>
      </c>
      <c r="C42" s="120">
        <f t="shared" si="0"/>
        <v>255</v>
      </c>
      <c r="D42" s="87">
        <f t="shared" si="1"/>
        <v>0</v>
      </c>
      <c r="G42" s="32" t="s">
        <v>19</v>
      </c>
      <c r="H42" s="20" t="s">
        <v>453</v>
      </c>
      <c r="I42" s="20">
        <v>1331</v>
      </c>
      <c r="J42" s="20">
        <v>331</v>
      </c>
      <c r="K42" s="20" t="s">
        <v>20</v>
      </c>
      <c r="L42" s="20">
        <v>1</v>
      </c>
      <c r="M42" s="34">
        <v>3041</v>
      </c>
      <c r="N42" s="34">
        <f t="shared" si="2"/>
        <v>3041</v>
      </c>
      <c r="P42" s="20">
        <v>21</v>
      </c>
      <c r="S42"/>
      <c r="T42"/>
      <c r="U42"/>
      <c r="V42"/>
    </row>
    <row r="43" spans="1:22" ht="15" customHeight="1" x14ac:dyDescent="0.25">
      <c r="A43" s="20" t="s">
        <v>18</v>
      </c>
      <c r="B43" s="69">
        <v>46081</v>
      </c>
      <c r="C43" s="120">
        <f t="shared" si="0"/>
        <v>256</v>
      </c>
      <c r="D43" s="87">
        <f t="shared" si="1"/>
        <v>1</v>
      </c>
      <c r="G43" s="32" t="s">
        <v>34</v>
      </c>
      <c r="H43" s="20" t="s">
        <v>456</v>
      </c>
      <c r="I43" s="20">
        <v>64271</v>
      </c>
      <c r="J43" s="20">
        <v>3383</v>
      </c>
      <c r="K43" s="20" t="s">
        <v>20</v>
      </c>
      <c r="L43" s="20">
        <v>1</v>
      </c>
      <c r="M43" s="34">
        <v>690300</v>
      </c>
      <c r="N43" s="34">
        <f t="shared" si="2"/>
        <v>690300</v>
      </c>
      <c r="P43" s="20">
        <v>24</v>
      </c>
      <c r="S43"/>
      <c r="T43"/>
      <c r="U43"/>
      <c r="V43"/>
    </row>
    <row r="44" spans="1:22" ht="15" customHeight="1" x14ac:dyDescent="0.25">
      <c r="A44" s="20" t="s">
        <v>18</v>
      </c>
      <c r="B44" s="69" t="s">
        <v>441</v>
      </c>
      <c r="C44" s="120">
        <f t="shared" si="0"/>
        <v>257</v>
      </c>
      <c r="D44" s="87">
        <f t="shared" si="1"/>
        <v>1</v>
      </c>
      <c r="G44" s="32" t="s">
        <v>44</v>
      </c>
      <c r="H44" s="20" t="s">
        <v>454</v>
      </c>
      <c r="I44" s="20">
        <v>64277</v>
      </c>
      <c r="J44" s="20">
        <v>331</v>
      </c>
      <c r="K44" s="20" t="s">
        <v>20</v>
      </c>
      <c r="L44" s="20">
        <v>1</v>
      </c>
      <c r="M44" s="34">
        <v>32630</v>
      </c>
      <c r="N44" s="34">
        <f t="shared" si="2"/>
        <v>32630</v>
      </c>
      <c r="P44" s="20">
        <v>11</v>
      </c>
      <c r="S44"/>
      <c r="T44"/>
      <c r="U44"/>
      <c r="V44"/>
    </row>
    <row r="45" spans="1:22" ht="15" customHeight="1" x14ac:dyDescent="0.25">
      <c r="A45" s="20" t="s">
        <v>18</v>
      </c>
      <c r="B45" s="69" t="s">
        <v>441</v>
      </c>
      <c r="C45" s="120">
        <f t="shared" si="0"/>
        <v>257</v>
      </c>
      <c r="D45" s="87">
        <f t="shared" si="1"/>
        <v>0</v>
      </c>
      <c r="G45" s="32" t="s">
        <v>44</v>
      </c>
      <c r="H45" s="20" t="s">
        <v>454</v>
      </c>
      <c r="I45" s="20">
        <v>1331</v>
      </c>
      <c r="J45" s="20">
        <v>331</v>
      </c>
      <c r="K45" s="20" t="s">
        <v>20</v>
      </c>
      <c r="L45" s="20">
        <v>1</v>
      </c>
      <c r="M45" s="34">
        <v>2612</v>
      </c>
      <c r="N45" s="34">
        <f t="shared" si="2"/>
        <v>2612</v>
      </c>
      <c r="P45" s="20">
        <v>22</v>
      </c>
      <c r="S45"/>
      <c r="T45"/>
      <c r="U45"/>
      <c r="V45"/>
    </row>
    <row r="46" spans="1:22" ht="15" customHeight="1" x14ac:dyDescent="0.25">
      <c r="A46" s="20" t="s">
        <v>18</v>
      </c>
      <c r="B46" s="69">
        <v>46112</v>
      </c>
      <c r="C46" s="120">
        <f t="shared" si="0"/>
        <v>258</v>
      </c>
      <c r="D46" s="87">
        <f t="shared" si="1"/>
        <v>1</v>
      </c>
      <c r="G46" s="32" t="s">
        <v>34</v>
      </c>
      <c r="H46" s="20" t="s">
        <v>457</v>
      </c>
      <c r="I46" s="20">
        <v>64271</v>
      </c>
      <c r="J46" s="20">
        <v>3383</v>
      </c>
      <c r="K46" s="20" t="s">
        <v>20</v>
      </c>
      <c r="L46" s="20">
        <v>1</v>
      </c>
      <c r="M46" s="34">
        <v>690300</v>
      </c>
      <c r="N46" s="34">
        <f t="shared" si="2"/>
        <v>690300</v>
      </c>
      <c r="P46" s="20">
        <v>25</v>
      </c>
      <c r="S46"/>
      <c r="T46"/>
      <c r="U46"/>
      <c r="V46"/>
    </row>
  </sheetData>
  <autoFilter ref="A3:P39" xr:uid="{00000000-0009-0000-0000-000001000000}">
    <sortState xmlns:xlrd2="http://schemas.microsoft.com/office/spreadsheetml/2017/richdata2" ref="A4:P46">
      <sortCondition ref="A4:A46"/>
      <sortCondition ref="B4:B46"/>
      <sortCondition ref="H4:H46"/>
    </sortState>
  </autoFilter>
  <mergeCells count="13">
    <mergeCell ref="N1:N2"/>
    <mergeCell ref="G1:G2"/>
    <mergeCell ref="H1:H2"/>
    <mergeCell ref="I1:J1"/>
    <mergeCell ref="K1:K2"/>
    <mergeCell ref="L1:L2"/>
    <mergeCell ref="M1:M2"/>
    <mergeCell ref="F1:F2"/>
    <mergeCell ref="A1:A2"/>
    <mergeCell ref="B1:B2"/>
    <mergeCell ref="C1:C2"/>
    <mergeCell ref="D1:D2"/>
    <mergeCell ref="E1:E2"/>
  </mergeCells>
  <hyperlinks>
    <hyperlink ref="P1" location="Summary!A1" display="Back to summary"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rgb="FF92D050"/>
  </sheetPr>
  <dimension ref="A1:Q142"/>
  <sheetViews>
    <sheetView zoomScaleNormal="100" workbookViewId="0">
      <selection activeCell="M39" sqref="M39:M79"/>
    </sheetView>
  </sheetViews>
  <sheetFormatPr defaultRowHeight="15" customHeight="1" x14ac:dyDescent="0.2"/>
  <cols>
    <col min="1" max="1" width="9.140625" style="12"/>
    <col min="2" max="2" width="10.7109375" style="36" bestFit="1" customWidth="1"/>
    <col min="3" max="3" width="10.7109375" style="12" bestFit="1" customWidth="1"/>
    <col min="4" max="5" width="9.140625" style="12"/>
    <col min="6" max="6" width="9.140625" style="14"/>
    <col min="7" max="7" width="14.85546875" style="14" bestFit="1" customWidth="1"/>
    <col min="8" max="8" width="48" style="14" customWidth="1"/>
    <col min="9" max="12" width="9.140625" style="12"/>
    <col min="13" max="14" width="11.5703125" style="17" bestFit="1" customWidth="1"/>
    <col min="15" max="16384" width="9.140625" style="12"/>
  </cols>
  <sheetData>
    <row r="1" spans="1:17" ht="15" customHeight="1" thickBot="1" x14ac:dyDescent="0.25">
      <c r="A1" s="215" t="s">
        <v>0</v>
      </c>
      <c r="B1" s="219" t="s">
        <v>1</v>
      </c>
      <c r="C1" s="215" t="s">
        <v>2</v>
      </c>
      <c r="D1" s="221" t="s">
        <v>3</v>
      </c>
      <c r="E1" s="217" t="s">
        <v>4</v>
      </c>
      <c r="F1" s="217" t="s">
        <v>257</v>
      </c>
      <c r="G1" s="209" t="s">
        <v>6</v>
      </c>
      <c r="H1" s="211" t="s">
        <v>7</v>
      </c>
      <c r="I1" s="213" t="s">
        <v>8</v>
      </c>
      <c r="J1" s="214"/>
      <c r="K1" s="215" t="s">
        <v>9</v>
      </c>
      <c r="L1" s="215" t="s">
        <v>10</v>
      </c>
      <c r="M1" s="207" t="s">
        <v>11</v>
      </c>
      <c r="N1" s="207" t="s">
        <v>12</v>
      </c>
      <c r="O1" s="1"/>
      <c r="P1" s="146" t="s">
        <v>356</v>
      </c>
    </row>
    <row r="2" spans="1:17" ht="15" customHeight="1" thickBot="1" x14ac:dyDescent="0.25">
      <c r="A2" s="216"/>
      <c r="B2" s="220"/>
      <c r="C2" s="216"/>
      <c r="D2" s="222"/>
      <c r="E2" s="223"/>
      <c r="F2" s="218"/>
      <c r="G2" s="210"/>
      <c r="H2" s="212"/>
      <c r="I2" s="15" t="s">
        <v>13</v>
      </c>
      <c r="J2" s="2" t="s">
        <v>14</v>
      </c>
      <c r="K2" s="216"/>
      <c r="L2" s="216"/>
      <c r="M2" s="208"/>
      <c r="N2" s="208"/>
      <c r="O2" s="3"/>
    </row>
    <row r="3" spans="1:17" ht="15" customHeight="1" x14ac:dyDescent="0.2">
      <c r="A3" s="4"/>
      <c r="B3" s="5"/>
      <c r="C3" s="4" t="s">
        <v>2534</v>
      </c>
      <c r="D3" s="6"/>
      <c r="E3" s="6"/>
      <c r="F3" s="6"/>
      <c r="G3" s="4" t="s">
        <v>15</v>
      </c>
      <c r="H3" s="7"/>
      <c r="I3" s="8"/>
      <c r="J3" s="8"/>
      <c r="K3" s="9"/>
      <c r="L3" s="10"/>
      <c r="M3" s="16"/>
      <c r="N3" s="16"/>
      <c r="O3" s="12" t="s">
        <v>16</v>
      </c>
      <c r="P3" s="12" t="s">
        <v>17</v>
      </c>
    </row>
    <row r="4" spans="1:17" ht="15" hidden="1" customHeight="1" x14ac:dyDescent="0.2">
      <c r="A4" s="12" t="s">
        <v>18</v>
      </c>
      <c r="B4" s="36">
        <v>46025</v>
      </c>
      <c r="C4" s="14">
        <f>C3+D4</f>
        <v>416</v>
      </c>
      <c r="D4" s="12">
        <f>IF(H4=H3,0,1)</f>
        <v>1</v>
      </c>
      <c r="G4" s="14" t="s">
        <v>242</v>
      </c>
      <c r="H4" s="14" t="s">
        <v>2500</v>
      </c>
      <c r="I4" s="12">
        <v>64277</v>
      </c>
      <c r="J4" s="12">
        <v>331</v>
      </c>
      <c r="K4" s="12" t="s">
        <v>20</v>
      </c>
      <c r="L4" s="12">
        <v>1</v>
      </c>
      <c r="M4" s="17">
        <v>501795</v>
      </c>
      <c r="N4" s="17">
        <f t="shared" ref="N4:N35" si="0">L4*M4</f>
        <v>501795</v>
      </c>
      <c r="Q4" s="12">
        <f t="shared" ref="Q4:Q35" si="1">LEN(H4)</f>
        <v>122</v>
      </c>
    </row>
    <row r="5" spans="1:17" ht="15" hidden="1" customHeight="1" x14ac:dyDescent="0.2">
      <c r="A5" s="12" t="s">
        <v>18</v>
      </c>
      <c r="B5" s="36">
        <v>46025</v>
      </c>
      <c r="C5" s="14">
        <f t="shared" ref="C5:C68" si="2">C4+D5</f>
        <v>416</v>
      </c>
      <c r="D5" s="12">
        <f t="shared" ref="D5:D68" si="3">IF(H5=H4,0,1)</f>
        <v>0</v>
      </c>
      <c r="G5" s="14" t="s">
        <v>242</v>
      </c>
      <c r="H5" s="14" t="s">
        <v>2500</v>
      </c>
      <c r="I5" s="12">
        <v>1331</v>
      </c>
      <c r="J5" s="12">
        <v>331</v>
      </c>
      <c r="K5" s="12" t="s">
        <v>20</v>
      </c>
      <c r="L5" s="12">
        <v>1</v>
      </c>
      <c r="M5" s="17">
        <v>37170</v>
      </c>
      <c r="N5" s="17">
        <f t="shared" si="0"/>
        <v>37170</v>
      </c>
      <c r="Q5" s="12">
        <f t="shared" si="1"/>
        <v>122</v>
      </c>
    </row>
    <row r="6" spans="1:17" ht="15" hidden="1" customHeight="1" x14ac:dyDescent="0.2">
      <c r="A6" s="12" t="s">
        <v>18</v>
      </c>
      <c r="B6" s="36">
        <v>46026</v>
      </c>
      <c r="C6" s="14">
        <f t="shared" si="2"/>
        <v>417</v>
      </c>
      <c r="D6" s="12">
        <f t="shared" si="3"/>
        <v>1</v>
      </c>
      <c r="G6" s="14" t="s">
        <v>35</v>
      </c>
      <c r="H6" s="14" t="s">
        <v>488</v>
      </c>
      <c r="I6" s="12">
        <v>64277</v>
      </c>
      <c r="J6" s="12">
        <v>331</v>
      </c>
      <c r="K6" s="12" t="s">
        <v>20</v>
      </c>
      <c r="L6" s="12">
        <v>1</v>
      </c>
      <c r="M6" s="17">
        <v>4000000</v>
      </c>
      <c r="N6" s="17">
        <f t="shared" si="0"/>
        <v>4000000</v>
      </c>
      <c r="Q6" s="12">
        <f t="shared" si="1"/>
        <v>40</v>
      </c>
    </row>
    <row r="7" spans="1:17" ht="15" hidden="1" customHeight="1" x14ac:dyDescent="0.2">
      <c r="A7" s="12" t="s">
        <v>18</v>
      </c>
      <c r="B7" s="36">
        <v>46026</v>
      </c>
      <c r="C7" s="14">
        <f t="shared" si="2"/>
        <v>417</v>
      </c>
      <c r="D7" s="12">
        <f t="shared" si="3"/>
        <v>0</v>
      </c>
      <c r="G7" s="14" t="s">
        <v>35</v>
      </c>
      <c r="H7" s="12" t="s">
        <v>488</v>
      </c>
      <c r="I7" s="12">
        <v>1331</v>
      </c>
      <c r="J7" s="12">
        <v>331</v>
      </c>
      <c r="K7" s="12" t="s">
        <v>20</v>
      </c>
      <c r="L7" s="12">
        <v>1</v>
      </c>
      <c r="M7" s="17">
        <v>320000</v>
      </c>
      <c r="N7" s="17">
        <f t="shared" si="0"/>
        <v>320000</v>
      </c>
      <c r="Q7" s="12">
        <f t="shared" si="1"/>
        <v>40</v>
      </c>
    </row>
    <row r="8" spans="1:17" ht="15" hidden="1" customHeight="1" x14ac:dyDescent="0.2">
      <c r="A8" s="12" t="s">
        <v>18</v>
      </c>
      <c r="B8" s="36">
        <v>46027</v>
      </c>
      <c r="C8" s="14">
        <f t="shared" si="2"/>
        <v>418</v>
      </c>
      <c r="D8" s="12">
        <f t="shared" si="3"/>
        <v>1</v>
      </c>
      <c r="G8" s="14" t="s">
        <v>242</v>
      </c>
      <c r="H8" s="14" t="s">
        <v>2501</v>
      </c>
      <c r="I8" s="12">
        <v>64277</v>
      </c>
      <c r="J8" s="12">
        <v>331</v>
      </c>
      <c r="K8" s="12" t="s">
        <v>20</v>
      </c>
      <c r="L8" s="12">
        <v>1</v>
      </c>
      <c r="M8" s="17">
        <v>306180</v>
      </c>
      <c r="N8" s="17">
        <f t="shared" si="0"/>
        <v>306180</v>
      </c>
      <c r="Q8" s="12">
        <f t="shared" si="1"/>
        <v>127</v>
      </c>
    </row>
    <row r="9" spans="1:17" ht="15" hidden="1" customHeight="1" x14ac:dyDescent="0.2">
      <c r="A9" s="12" t="s">
        <v>18</v>
      </c>
      <c r="B9" s="36">
        <v>46027</v>
      </c>
      <c r="C9" s="14">
        <f t="shared" si="2"/>
        <v>418</v>
      </c>
      <c r="D9" s="12">
        <f t="shared" si="3"/>
        <v>0</v>
      </c>
      <c r="G9" s="14" t="s">
        <v>242</v>
      </c>
      <c r="H9" s="12" t="s">
        <v>2501</v>
      </c>
      <c r="I9" s="12">
        <v>1331</v>
      </c>
      <c r="J9" s="12">
        <v>331</v>
      </c>
      <c r="K9" s="12" t="s">
        <v>20</v>
      </c>
      <c r="L9" s="12">
        <v>1</v>
      </c>
      <c r="M9" s="17">
        <v>22680</v>
      </c>
      <c r="N9" s="17">
        <f t="shared" si="0"/>
        <v>22680</v>
      </c>
      <c r="Q9" s="12">
        <f t="shared" si="1"/>
        <v>127</v>
      </c>
    </row>
    <row r="10" spans="1:17" ht="15" hidden="1" customHeight="1" x14ac:dyDescent="0.2">
      <c r="A10" s="12" t="s">
        <v>18</v>
      </c>
      <c r="B10" s="36">
        <v>46031</v>
      </c>
      <c r="C10" s="14">
        <f t="shared" si="2"/>
        <v>419</v>
      </c>
      <c r="D10" s="12">
        <f t="shared" si="3"/>
        <v>1</v>
      </c>
      <c r="G10" s="14" t="s">
        <v>242</v>
      </c>
      <c r="H10" s="14" t="s">
        <v>2502</v>
      </c>
      <c r="I10" s="12">
        <v>64277</v>
      </c>
      <c r="J10" s="12">
        <v>331</v>
      </c>
      <c r="K10" s="12" t="s">
        <v>20</v>
      </c>
      <c r="L10" s="12">
        <v>1</v>
      </c>
      <c r="M10" s="17">
        <v>1326780</v>
      </c>
      <c r="N10" s="17">
        <f t="shared" si="0"/>
        <v>1326780</v>
      </c>
      <c r="Q10" s="12">
        <f t="shared" si="1"/>
        <v>98</v>
      </c>
    </row>
    <row r="11" spans="1:17" ht="15" hidden="1" customHeight="1" x14ac:dyDescent="0.2">
      <c r="A11" s="12" t="s">
        <v>18</v>
      </c>
      <c r="B11" s="36">
        <v>46031</v>
      </c>
      <c r="C11" s="14">
        <f t="shared" si="2"/>
        <v>419</v>
      </c>
      <c r="D11" s="12">
        <f t="shared" si="3"/>
        <v>0</v>
      </c>
      <c r="G11" s="14" t="s">
        <v>242</v>
      </c>
      <c r="H11" s="12" t="s">
        <v>2502</v>
      </c>
      <c r="I11" s="12">
        <v>1331</v>
      </c>
      <c r="J11" s="12">
        <v>331</v>
      </c>
      <c r="K11" s="12" t="s">
        <v>20</v>
      </c>
      <c r="L11" s="12">
        <v>1</v>
      </c>
      <c r="M11" s="17">
        <v>98280</v>
      </c>
      <c r="N11" s="17">
        <f t="shared" si="0"/>
        <v>98280</v>
      </c>
      <c r="Q11" s="12">
        <f t="shared" si="1"/>
        <v>98</v>
      </c>
    </row>
    <row r="12" spans="1:17" ht="15" hidden="1" customHeight="1" x14ac:dyDescent="0.2">
      <c r="A12" s="12" t="s">
        <v>18</v>
      </c>
      <c r="B12" s="36">
        <v>46051</v>
      </c>
      <c r="C12" s="14">
        <f t="shared" si="2"/>
        <v>420</v>
      </c>
      <c r="D12" s="12">
        <f t="shared" si="3"/>
        <v>1</v>
      </c>
      <c r="G12" s="14" t="s">
        <v>242</v>
      </c>
      <c r="H12" s="14" t="s">
        <v>2503</v>
      </c>
      <c r="I12" s="12">
        <v>64277</v>
      </c>
      <c r="J12" s="12">
        <v>331</v>
      </c>
      <c r="K12" s="12" t="s">
        <v>20</v>
      </c>
      <c r="L12" s="12">
        <v>1</v>
      </c>
      <c r="M12" s="17">
        <v>654885</v>
      </c>
      <c r="N12" s="17">
        <f t="shared" si="0"/>
        <v>654885</v>
      </c>
      <c r="Q12" s="12">
        <f t="shared" si="1"/>
        <v>161</v>
      </c>
    </row>
    <row r="13" spans="1:17" ht="15" hidden="1" customHeight="1" x14ac:dyDescent="0.2">
      <c r="A13" s="12" t="s">
        <v>18</v>
      </c>
      <c r="B13" s="36">
        <v>46051</v>
      </c>
      <c r="C13" s="14">
        <f t="shared" si="2"/>
        <v>420</v>
      </c>
      <c r="D13" s="12">
        <f t="shared" si="3"/>
        <v>0</v>
      </c>
      <c r="G13" s="14" t="s">
        <v>242</v>
      </c>
      <c r="H13" s="12" t="s">
        <v>2503</v>
      </c>
      <c r="I13" s="12">
        <v>1331</v>
      </c>
      <c r="J13" s="12">
        <v>331</v>
      </c>
      <c r="K13" s="12" t="s">
        <v>20</v>
      </c>
      <c r="L13" s="12">
        <v>1</v>
      </c>
      <c r="M13" s="17">
        <v>48510</v>
      </c>
      <c r="N13" s="17">
        <f t="shared" si="0"/>
        <v>48510</v>
      </c>
      <c r="Q13" s="12">
        <f t="shared" si="1"/>
        <v>161</v>
      </c>
    </row>
    <row r="14" spans="1:17" ht="15" hidden="1" customHeight="1" x14ac:dyDescent="0.2">
      <c r="A14" s="12" t="s">
        <v>18</v>
      </c>
      <c r="B14" s="36">
        <v>46053</v>
      </c>
      <c r="C14" s="14">
        <f t="shared" si="2"/>
        <v>421</v>
      </c>
      <c r="D14" s="12">
        <f t="shared" si="3"/>
        <v>1</v>
      </c>
      <c r="G14" s="14" t="s">
        <v>35</v>
      </c>
      <c r="H14" s="14" t="s">
        <v>489</v>
      </c>
      <c r="I14" s="12">
        <v>64277</v>
      </c>
      <c r="J14" s="12">
        <v>331</v>
      </c>
      <c r="K14" s="12" t="s">
        <v>20</v>
      </c>
      <c r="L14" s="12">
        <v>1</v>
      </c>
      <c r="M14" s="17">
        <v>4000000</v>
      </c>
      <c r="N14" s="17">
        <f t="shared" si="0"/>
        <v>4000000</v>
      </c>
      <c r="Q14" s="12">
        <f t="shared" si="1"/>
        <v>41</v>
      </c>
    </row>
    <row r="15" spans="1:17" ht="15" hidden="1" customHeight="1" x14ac:dyDescent="0.2">
      <c r="A15" s="12" t="s">
        <v>18</v>
      </c>
      <c r="B15" s="36">
        <v>46053</v>
      </c>
      <c r="C15" s="14">
        <f t="shared" si="2"/>
        <v>421</v>
      </c>
      <c r="D15" s="12">
        <f t="shared" si="3"/>
        <v>0</v>
      </c>
      <c r="G15" s="14" t="s">
        <v>35</v>
      </c>
      <c r="H15" s="14" t="s">
        <v>489</v>
      </c>
      <c r="I15" s="12">
        <v>1331</v>
      </c>
      <c r="J15" s="12">
        <v>331</v>
      </c>
      <c r="K15" s="12" t="s">
        <v>20</v>
      </c>
      <c r="L15" s="12">
        <v>1</v>
      </c>
      <c r="M15" s="17">
        <v>320000</v>
      </c>
      <c r="N15" s="17">
        <f t="shared" si="0"/>
        <v>320000</v>
      </c>
      <c r="Q15" s="12">
        <f t="shared" si="1"/>
        <v>41</v>
      </c>
    </row>
    <row r="16" spans="1:17" ht="15" hidden="1" customHeight="1" x14ac:dyDescent="0.2">
      <c r="A16" s="12" t="s">
        <v>18</v>
      </c>
      <c r="B16" s="36">
        <v>46053</v>
      </c>
      <c r="C16" s="14">
        <f t="shared" si="2"/>
        <v>422</v>
      </c>
      <c r="D16" s="12">
        <f t="shared" si="3"/>
        <v>1</v>
      </c>
      <c r="G16" s="14" t="s">
        <v>482</v>
      </c>
      <c r="H16" s="14" t="s">
        <v>2504</v>
      </c>
      <c r="I16" s="12">
        <v>64277</v>
      </c>
      <c r="J16" s="12">
        <v>331</v>
      </c>
      <c r="K16" s="12" t="s">
        <v>20</v>
      </c>
      <c r="L16" s="12">
        <v>1</v>
      </c>
      <c r="M16" s="17">
        <v>717000</v>
      </c>
      <c r="N16" s="17">
        <f t="shared" si="0"/>
        <v>717000</v>
      </c>
      <c r="Q16" s="12">
        <f t="shared" si="1"/>
        <v>121</v>
      </c>
    </row>
    <row r="17" spans="1:17" ht="15" hidden="1" customHeight="1" x14ac:dyDescent="0.2">
      <c r="A17" s="12" t="s">
        <v>18</v>
      </c>
      <c r="B17" s="36">
        <v>46053</v>
      </c>
      <c r="C17" s="14">
        <f t="shared" si="2"/>
        <v>422</v>
      </c>
      <c r="D17" s="12">
        <f t="shared" si="3"/>
        <v>0</v>
      </c>
      <c r="G17" s="14" t="s">
        <v>482</v>
      </c>
      <c r="H17" s="14" t="s">
        <v>2504</v>
      </c>
      <c r="I17" s="12">
        <v>1331</v>
      </c>
      <c r="J17" s="12">
        <v>331</v>
      </c>
      <c r="K17" s="12" t="s">
        <v>20</v>
      </c>
      <c r="L17" s="12">
        <v>1</v>
      </c>
      <c r="M17" s="17">
        <v>57360</v>
      </c>
      <c r="N17" s="17">
        <f t="shared" si="0"/>
        <v>57360</v>
      </c>
      <c r="Q17" s="12">
        <f t="shared" si="1"/>
        <v>121</v>
      </c>
    </row>
    <row r="18" spans="1:17" ht="15" hidden="1" customHeight="1" x14ac:dyDescent="0.2">
      <c r="A18" s="12" t="s">
        <v>18</v>
      </c>
      <c r="B18" s="36">
        <v>46058</v>
      </c>
      <c r="C18" s="14">
        <f t="shared" si="2"/>
        <v>423</v>
      </c>
      <c r="D18" s="12">
        <f t="shared" si="3"/>
        <v>1</v>
      </c>
      <c r="G18" s="14" t="s">
        <v>242</v>
      </c>
      <c r="H18" s="14" t="s">
        <v>2505</v>
      </c>
      <c r="I18" s="12">
        <v>64277</v>
      </c>
      <c r="J18" s="12">
        <v>331</v>
      </c>
      <c r="K18" s="12" t="s">
        <v>20</v>
      </c>
      <c r="L18" s="12">
        <v>1</v>
      </c>
      <c r="M18" s="17">
        <v>501795</v>
      </c>
      <c r="N18" s="17">
        <f t="shared" si="0"/>
        <v>501795</v>
      </c>
      <c r="Q18" s="12">
        <f t="shared" si="1"/>
        <v>123</v>
      </c>
    </row>
    <row r="19" spans="1:17" ht="15" hidden="1" customHeight="1" x14ac:dyDescent="0.2">
      <c r="A19" s="12" t="s">
        <v>18</v>
      </c>
      <c r="B19" s="36">
        <v>46058</v>
      </c>
      <c r="C19" s="14">
        <f t="shared" si="2"/>
        <v>423</v>
      </c>
      <c r="D19" s="12">
        <f t="shared" si="3"/>
        <v>0</v>
      </c>
      <c r="G19" s="14" t="s">
        <v>242</v>
      </c>
      <c r="H19" s="12" t="s">
        <v>2505</v>
      </c>
      <c r="I19" s="12">
        <v>1331</v>
      </c>
      <c r="J19" s="12">
        <v>331</v>
      </c>
      <c r="K19" s="12" t="s">
        <v>20</v>
      </c>
      <c r="L19" s="12">
        <v>1</v>
      </c>
      <c r="M19" s="17">
        <v>37170</v>
      </c>
      <c r="N19" s="17">
        <f t="shared" si="0"/>
        <v>37170</v>
      </c>
      <c r="Q19" s="12">
        <f t="shared" si="1"/>
        <v>123</v>
      </c>
    </row>
    <row r="20" spans="1:17" ht="15" hidden="1" customHeight="1" x14ac:dyDescent="0.2">
      <c r="A20" s="12" t="s">
        <v>18</v>
      </c>
      <c r="B20" s="36">
        <v>46060</v>
      </c>
      <c r="C20" s="14">
        <f t="shared" si="2"/>
        <v>424</v>
      </c>
      <c r="D20" s="12">
        <f t="shared" si="3"/>
        <v>1</v>
      </c>
      <c r="G20" s="14" t="s">
        <v>483</v>
      </c>
      <c r="H20" s="14" t="s">
        <v>490</v>
      </c>
      <c r="I20" s="12">
        <v>64277</v>
      </c>
      <c r="J20" s="12">
        <v>331</v>
      </c>
      <c r="K20" s="12" t="s">
        <v>20</v>
      </c>
      <c r="L20" s="12">
        <v>1</v>
      </c>
      <c r="M20" s="17">
        <v>5880000</v>
      </c>
      <c r="N20" s="17">
        <f t="shared" si="0"/>
        <v>5880000</v>
      </c>
      <c r="Q20" s="12">
        <f t="shared" si="1"/>
        <v>184</v>
      </c>
    </row>
    <row r="21" spans="1:17" ht="15" hidden="1" customHeight="1" x14ac:dyDescent="0.2">
      <c r="A21" s="12" t="s">
        <v>18</v>
      </c>
      <c r="B21" s="36">
        <v>46060</v>
      </c>
      <c r="C21" s="14">
        <f t="shared" si="2"/>
        <v>424</v>
      </c>
      <c r="D21" s="12">
        <f t="shared" si="3"/>
        <v>0</v>
      </c>
      <c r="G21" s="14" t="s">
        <v>483</v>
      </c>
      <c r="H21" s="12" t="s">
        <v>490</v>
      </c>
      <c r="I21" s="18">
        <v>1331</v>
      </c>
      <c r="J21" s="12">
        <v>331</v>
      </c>
      <c r="K21" s="12" t="s">
        <v>20</v>
      </c>
      <c r="L21" s="12">
        <v>1</v>
      </c>
      <c r="M21" s="17">
        <v>588000</v>
      </c>
      <c r="N21" s="17">
        <f t="shared" si="0"/>
        <v>588000</v>
      </c>
      <c r="Q21" s="12">
        <f t="shared" si="1"/>
        <v>184</v>
      </c>
    </row>
    <row r="22" spans="1:17" ht="15" hidden="1" customHeight="1" x14ac:dyDescent="0.2">
      <c r="A22" s="12" t="s">
        <v>18</v>
      </c>
      <c r="B22" s="36">
        <v>46064</v>
      </c>
      <c r="C22" s="14">
        <f t="shared" si="2"/>
        <v>425</v>
      </c>
      <c r="D22" s="12">
        <f t="shared" si="3"/>
        <v>1</v>
      </c>
      <c r="G22" s="14" t="s">
        <v>241</v>
      </c>
      <c r="H22" s="12" t="s">
        <v>2506</v>
      </c>
      <c r="I22" s="18">
        <v>64277</v>
      </c>
      <c r="J22" s="12">
        <v>331</v>
      </c>
      <c r="K22" s="12" t="s">
        <v>20</v>
      </c>
      <c r="L22" s="12">
        <v>1</v>
      </c>
      <c r="M22" s="17">
        <v>4543072</v>
      </c>
      <c r="N22" s="17">
        <f t="shared" si="0"/>
        <v>4543072</v>
      </c>
      <c r="Q22" s="12">
        <f t="shared" si="1"/>
        <v>98</v>
      </c>
    </row>
    <row r="23" spans="1:17" ht="15" hidden="1" customHeight="1" x14ac:dyDescent="0.2">
      <c r="A23" s="12" t="s">
        <v>18</v>
      </c>
      <c r="B23" s="36">
        <v>46064</v>
      </c>
      <c r="C23" s="14">
        <f t="shared" si="2"/>
        <v>425</v>
      </c>
      <c r="D23" s="12">
        <f t="shared" si="3"/>
        <v>0</v>
      </c>
      <c r="G23" s="14" t="s">
        <v>241</v>
      </c>
      <c r="H23" s="12" t="s">
        <v>2506</v>
      </c>
      <c r="I23" s="18">
        <v>1331</v>
      </c>
      <c r="J23" s="12">
        <v>331</v>
      </c>
      <c r="K23" s="12" t="s">
        <v>20</v>
      </c>
      <c r="L23" s="12">
        <v>1</v>
      </c>
      <c r="M23" s="17">
        <v>363446</v>
      </c>
      <c r="N23" s="17">
        <f t="shared" si="0"/>
        <v>363446</v>
      </c>
      <c r="Q23" s="12">
        <f t="shared" si="1"/>
        <v>98</v>
      </c>
    </row>
    <row r="24" spans="1:17" ht="15" hidden="1" customHeight="1" x14ac:dyDescent="0.2">
      <c r="A24" s="12" t="s">
        <v>18</v>
      </c>
      <c r="B24" s="36">
        <v>46064</v>
      </c>
      <c r="C24" s="14">
        <f t="shared" si="2"/>
        <v>426</v>
      </c>
      <c r="D24" s="12">
        <f t="shared" si="3"/>
        <v>1</v>
      </c>
      <c r="G24" s="14" t="s">
        <v>484</v>
      </c>
      <c r="H24" s="12" t="s">
        <v>2507</v>
      </c>
      <c r="I24" s="18">
        <v>64277</v>
      </c>
      <c r="J24" s="12">
        <v>331</v>
      </c>
      <c r="K24" s="12" t="s">
        <v>20</v>
      </c>
      <c r="L24" s="12">
        <v>1</v>
      </c>
      <c r="M24" s="17">
        <v>1248936</v>
      </c>
      <c r="N24" s="17">
        <f t="shared" si="0"/>
        <v>1248936</v>
      </c>
      <c r="Q24" s="12">
        <f t="shared" si="1"/>
        <v>127</v>
      </c>
    </row>
    <row r="25" spans="1:17" ht="15" hidden="1" customHeight="1" x14ac:dyDescent="0.2">
      <c r="A25" s="12" t="s">
        <v>18</v>
      </c>
      <c r="B25" s="36">
        <v>46064</v>
      </c>
      <c r="C25" s="14">
        <f t="shared" si="2"/>
        <v>426</v>
      </c>
      <c r="D25" s="12">
        <f t="shared" si="3"/>
        <v>0</v>
      </c>
      <c r="G25" s="14" t="s">
        <v>484</v>
      </c>
      <c r="H25" s="12" t="s">
        <v>2507</v>
      </c>
      <c r="I25" s="18">
        <v>1331</v>
      </c>
      <c r="J25" s="12">
        <v>331</v>
      </c>
      <c r="K25" s="12" t="s">
        <v>20</v>
      </c>
      <c r="L25" s="12">
        <v>1</v>
      </c>
      <c r="M25" s="17">
        <v>102388</v>
      </c>
      <c r="N25" s="17">
        <f t="shared" si="0"/>
        <v>102388</v>
      </c>
      <c r="Q25" s="12">
        <f t="shared" si="1"/>
        <v>127</v>
      </c>
    </row>
    <row r="26" spans="1:17" ht="15" hidden="1" customHeight="1" x14ac:dyDescent="0.2">
      <c r="A26" s="12" t="s">
        <v>18</v>
      </c>
      <c r="B26" s="36">
        <v>46065</v>
      </c>
      <c r="C26" s="14">
        <f t="shared" si="2"/>
        <v>427</v>
      </c>
      <c r="D26" s="12">
        <f t="shared" si="3"/>
        <v>1</v>
      </c>
      <c r="G26" s="14" t="s">
        <v>242</v>
      </c>
      <c r="H26" s="12" t="s">
        <v>2508</v>
      </c>
      <c r="I26" s="18">
        <v>64277</v>
      </c>
      <c r="J26" s="12">
        <v>331</v>
      </c>
      <c r="K26" s="12" t="s">
        <v>20</v>
      </c>
      <c r="L26" s="12">
        <v>1</v>
      </c>
      <c r="M26" s="17">
        <v>255150</v>
      </c>
      <c r="N26" s="17">
        <f t="shared" si="0"/>
        <v>255150</v>
      </c>
      <c r="Q26" s="12">
        <f t="shared" si="1"/>
        <v>106</v>
      </c>
    </row>
    <row r="27" spans="1:17" ht="15" hidden="1" customHeight="1" x14ac:dyDescent="0.2">
      <c r="A27" s="12" t="s">
        <v>18</v>
      </c>
      <c r="B27" s="36">
        <v>46065</v>
      </c>
      <c r="C27" s="14">
        <f t="shared" si="2"/>
        <v>427</v>
      </c>
      <c r="D27" s="12">
        <f t="shared" si="3"/>
        <v>0</v>
      </c>
      <c r="G27" s="14" t="s">
        <v>242</v>
      </c>
      <c r="H27" s="12" t="s">
        <v>2508</v>
      </c>
      <c r="I27" s="18">
        <v>1331</v>
      </c>
      <c r="J27" s="12">
        <v>331</v>
      </c>
      <c r="K27" s="12" t="s">
        <v>20</v>
      </c>
      <c r="L27" s="12">
        <v>1</v>
      </c>
      <c r="M27" s="17">
        <v>18900</v>
      </c>
      <c r="N27" s="17">
        <f t="shared" si="0"/>
        <v>18900</v>
      </c>
      <c r="Q27" s="12">
        <f t="shared" si="1"/>
        <v>106</v>
      </c>
    </row>
    <row r="28" spans="1:17" ht="15" hidden="1" customHeight="1" x14ac:dyDescent="0.2">
      <c r="A28" s="12" t="s">
        <v>18</v>
      </c>
      <c r="B28" s="36">
        <v>46067</v>
      </c>
      <c r="C28" s="14">
        <f t="shared" si="2"/>
        <v>428</v>
      </c>
      <c r="D28" s="12">
        <f t="shared" si="3"/>
        <v>1</v>
      </c>
      <c r="F28" s="12"/>
      <c r="G28" s="14" t="s">
        <v>485</v>
      </c>
      <c r="H28" s="12" t="s">
        <v>491</v>
      </c>
      <c r="I28" s="18">
        <v>64277</v>
      </c>
      <c r="J28" s="12">
        <v>331</v>
      </c>
      <c r="K28" s="12" t="s">
        <v>20</v>
      </c>
      <c r="L28" s="12">
        <v>1</v>
      </c>
      <c r="M28" s="17">
        <v>3000000</v>
      </c>
      <c r="N28" s="17">
        <f t="shared" si="0"/>
        <v>3000000</v>
      </c>
      <c r="Q28" s="12">
        <f t="shared" si="1"/>
        <v>147</v>
      </c>
    </row>
    <row r="29" spans="1:17" ht="15" hidden="1" customHeight="1" x14ac:dyDescent="0.2">
      <c r="A29" s="12" t="s">
        <v>18</v>
      </c>
      <c r="B29" s="36">
        <v>46067</v>
      </c>
      <c r="C29" s="14">
        <f t="shared" si="2"/>
        <v>428</v>
      </c>
      <c r="D29" s="12">
        <f t="shared" si="3"/>
        <v>0</v>
      </c>
      <c r="G29" s="14" t="s">
        <v>485</v>
      </c>
      <c r="H29" s="12" t="s">
        <v>491</v>
      </c>
      <c r="I29" s="18">
        <v>1331</v>
      </c>
      <c r="J29" s="12">
        <v>331</v>
      </c>
      <c r="K29" s="12" t="s">
        <v>20</v>
      </c>
      <c r="L29" s="12">
        <v>1</v>
      </c>
      <c r="M29" s="17">
        <v>240000</v>
      </c>
      <c r="N29" s="17">
        <f t="shared" si="0"/>
        <v>240000</v>
      </c>
      <c r="Q29" s="12">
        <f t="shared" si="1"/>
        <v>147</v>
      </c>
    </row>
    <row r="30" spans="1:17" ht="15" hidden="1" customHeight="1" x14ac:dyDescent="0.2">
      <c r="A30" s="12" t="s">
        <v>18</v>
      </c>
      <c r="B30" s="36">
        <v>46085</v>
      </c>
      <c r="C30" s="14">
        <f t="shared" si="2"/>
        <v>429</v>
      </c>
      <c r="D30" s="12">
        <f t="shared" si="3"/>
        <v>1</v>
      </c>
      <c r="F30" s="12"/>
      <c r="G30" s="14" t="s">
        <v>35</v>
      </c>
      <c r="H30" s="12" t="s">
        <v>492</v>
      </c>
      <c r="I30" s="18">
        <v>64277</v>
      </c>
      <c r="J30" s="12">
        <v>331</v>
      </c>
      <c r="K30" s="12" t="s">
        <v>20</v>
      </c>
      <c r="L30" s="12">
        <v>1</v>
      </c>
      <c r="M30" s="17">
        <v>3000000</v>
      </c>
      <c r="N30" s="17">
        <f t="shared" si="0"/>
        <v>3000000</v>
      </c>
      <c r="Q30" s="12">
        <f t="shared" si="1"/>
        <v>41</v>
      </c>
    </row>
    <row r="31" spans="1:17" ht="15" hidden="1" customHeight="1" x14ac:dyDescent="0.2">
      <c r="A31" s="12" t="s">
        <v>18</v>
      </c>
      <c r="B31" s="36">
        <v>46085</v>
      </c>
      <c r="C31" s="14">
        <f t="shared" si="2"/>
        <v>429</v>
      </c>
      <c r="D31" s="12">
        <f t="shared" si="3"/>
        <v>0</v>
      </c>
      <c r="G31" s="14" t="s">
        <v>35</v>
      </c>
      <c r="H31" s="12" t="s">
        <v>492</v>
      </c>
      <c r="I31" s="18">
        <v>1331</v>
      </c>
      <c r="J31" s="12">
        <v>331</v>
      </c>
      <c r="K31" s="12" t="s">
        <v>20</v>
      </c>
      <c r="L31" s="12">
        <v>1</v>
      </c>
      <c r="M31" s="17">
        <v>240000</v>
      </c>
      <c r="N31" s="17">
        <f t="shared" si="0"/>
        <v>240000</v>
      </c>
      <c r="Q31" s="12">
        <f t="shared" si="1"/>
        <v>41</v>
      </c>
    </row>
    <row r="32" spans="1:17" ht="15" hidden="1" customHeight="1" x14ac:dyDescent="0.2">
      <c r="A32" s="12" t="s">
        <v>18</v>
      </c>
      <c r="B32" s="36">
        <v>46089</v>
      </c>
      <c r="C32" s="14">
        <f t="shared" si="2"/>
        <v>430</v>
      </c>
      <c r="D32" s="12">
        <f t="shared" si="3"/>
        <v>1</v>
      </c>
      <c r="F32" s="12"/>
      <c r="G32" s="14" t="s">
        <v>486</v>
      </c>
      <c r="H32" s="12" t="s">
        <v>2585</v>
      </c>
      <c r="I32" s="18">
        <v>64277</v>
      </c>
      <c r="J32" s="12">
        <v>331</v>
      </c>
      <c r="K32" s="12" t="s">
        <v>20</v>
      </c>
      <c r="L32" s="12">
        <v>1</v>
      </c>
      <c r="M32" s="17">
        <v>1550000</v>
      </c>
      <c r="N32" s="17">
        <f t="shared" si="0"/>
        <v>1550000</v>
      </c>
      <c r="Q32" s="12">
        <f t="shared" si="1"/>
        <v>40</v>
      </c>
    </row>
    <row r="33" spans="1:17" ht="15" hidden="1" customHeight="1" x14ac:dyDescent="0.2">
      <c r="A33" s="12" t="s">
        <v>18</v>
      </c>
      <c r="B33" s="36">
        <v>46089</v>
      </c>
      <c r="C33" s="14">
        <f t="shared" si="2"/>
        <v>430</v>
      </c>
      <c r="D33" s="12">
        <f t="shared" si="3"/>
        <v>0</v>
      </c>
      <c r="G33" s="14" t="s">
        <v>486</v>
      </c>
      <c r="H33" s="159" t="s">
        <v>2585</v>
      </c>
      <c r="I33" s="18">
        <v>1331</v>
      </c>
      <c r="J33" s="12">
        <v>331</v>
      </c>
      <c r="K33" s="12" t="s">
        <v>20</v>
      </c>
      <c r="L33" s="12">
        <v>1</v>
      </c>
      <c r="M33" s="17">
        <v>124000</v>
      </c>
      <c r="N33" s="17">
        <f t="shared" si="0"/>
        <v>124000</v>
      </c>
      <c r="Q33" s="12">
        <f t="shared" si="1"/>
        <v>40</v>
      </c>
    </row>
    <row r="34" spans="1:17" ht="15" hidden="1" customHeight="1" x14ac:dyDescent="0.2">
      <c r="A34" s="12" t="s">
        <v>18</v>
      </c>
      <c r="B34" s="36">
        <v>46101</v>
      </c>
      <c r="C34" s="14">
        <f t="shared" si="2"/>
        <v>431</v>
      </c>
      <c r="D34" s="12">
        <f t="shared" si="3"/>
        <v>1</v>
      </c>
      <c r="G34" s="14" t="s">
        <v>487</v>
      </c>
      <c r="H34" s="12" t="s">
        <v>2586</v>
      </c>
      <c r="I34" s="18">
        <v>64277</v>
      </c>
      <c r="J34" s="12">
        <v>331</v>
      </c>
      <c r="K34" s="12" t="s">
        <v>20</v>
      </c>
      <c r="L34" s="12">
        <v>1</v>
      </c>
      <c r="M34" s="17">
        <v>1845000</v>
      </c>
      <c r="N34" s="17">
        <f t="shared" si="0"/>
        <v>1845000</v>
      </c>
      <c r="Q34" s="12">
        <f t="shared" si="1"/>
        <v>40</v>
      </c>
    </row>
    <row r="35" spans="1:17" ht="15" hidden="1" customHeight="1" x14ac:dyDescent="0.2">
      <c r="A35" s="12" t="s">
        <v>18</v>
      </c>
      <c r="B35" s="36">
        <v>46101</v>
      </c>
      <c r="C35" s="14">
        <f t="shared" si="2"/>
        <v>431</v>
      </c>
      <c r="D35" s="12">
        <f t="shared" si="3"/>
        <v>0</v>
      </c>
      <c r="G35" s="14" t="s">
        <v>487</v>
      </c>
      <c r="H35" s="12" t="s">
        <v>2586</v>
      </c>
      <c r="I35" s="18">
        <v>1331</v>
      </c>
      <c r="J35" s="12">
        <v>331</v>
      </c>
      <c r="K35" s="12" t="s">
        <v>20</v>
      </c>
      <c r="L35" s="12">
        <v>1</v>
      </c>
      <c r="M35" s="17">
        <v>147600</v>
      </c>
      <c r="N35" s="17">
        <f t="shared" si="0"/>
        <v>147600</v>
      </c>
      <c r="Q35" s="12">
        <f t="shared" si="1"/>
        <v>40</v>
      </c>
    </row>
    <row r="36" spans="1:17" ht="15" hidden="1" customHeight="1" x14ac:dyDescent="0.2">
      <c r="A36" s="12" t="s">
        <v>18</v>
      </c>
      <c r="B36" s="36">
        <v>46109</v>
      </c>
      <c r="C36" s="14">
        <f t="shared" si="2"/>
        <v>432</v>
      </c>
      <c r="D36" s="12">
        <f t="shared" si="3"/>
        <v>1</v>
      </c>
      <c r="F36" s="12"/>
      <c r="G36" s="14" t="s">
        <v>242</v>
      </c>
      <c r="H36" s="12" t="s">
        <v>2509</v>
      </c>
      <c r="I36" s="18">
        <v>64277</v>
      </c>
      <c r="J36" s="12">
        <v>331</v>
      </c>
      <c r="K36" s="12" t="s">
        <v>20</v>
      </c>
      <c r="L36" s="12">
        <v>1</v>
      </c>
      <c r="M36" s="17">
        <v>391230</v>
      </c>
      <c r="N36" s="17">
        <f t="shared" ref="N36:N67" si="4">L36*M36</f>
        <v>391230</v>
      </c>
      <c r="Q36" s="12">
        <f t="shared" ref="Q36:Q67" si="5">LEN(H36)</f>
        <v>127</v>
      </c>
    </row>
    <row r="37" spans="1:17" ht="15" hidden="1" customHeight="1" x14ac:dyDescent="0.2">
      <c r="A37" s="12" t="s">
        <v>18</v>
      </c>
      <c r="B37" s="36">
        <v>46109</v>
      </c>
      <c r="C37" s="14">
        <f t="shared" si="2"/>
        <v>432</v>
      </c>
      <c r="D37" s="12">
        <f t="shared" si="3"/>
        <v>0</v>
      </c>
      <c r="G37" s="14" t="s">
        <v>242</v>
      </c>
      <c r="H37" s="12" t="s">
        <v>2509</v>
      </c>
      <c r="I37" s="18">
        <v>1331</v>
      </c>
      <c r="J37" s="12">
        <v>331</v>
      </c>
      <c r="K37" s="12" t="s">
        <v>20</v>
      </c>
      <c r="L37" s="12">
        <v>1</v>
      </c>
      <c r="M37" s="17">
        <v>28980</v>
      </c>
      <c r="N37" s="17">
        <f t="shared" si="4"/>
        <v>28980</v>
      </c>
      <c r="Q37" s="12">
        <f t="shared" si="5"/>
        <v>127</v>
      </c>
    </row>
    <row r="38" spans="1:17" ht="15" hidden="1" customHeight="1" x14ac:dyDescent="0.2">
      <c r="A38" s="12" t="s">
        <v>18</v>
      </c>
      <c r="B38" s="36">
        <v>46029</v>
      </c>
      <c r="C38" s="14">
        <f t="shared" si="2"/>
        <v>433</v>
      </c>
      <c r="D38" s="12">
        <f t="shared" si="3"/>
        <v>1</v>
      </c>
      <c r="F38" s="12"/>
      <c r="G38" s="14" t="s">
        <v>508</v>
      </c>
      <c r="H38" s="12" t="s">
        <v>512</v>
      </c>
      <c r="I38" s="18">
        <v>131</v>
      </c>
      <c r="J38" s="12">
        <v>5113</v>
      </c>
      <c r="K38" s="12" t="s">
        <v>20</v>
      </c>
      <c r="L38" s="12">
        <v>1</v>
      </c>
      <c r="M38" s="17">
        <v>4444444</v>
      </c>
      <c r="N38" s="17">
        <f t="shared" si="4"/>
        <v>4444444</v>
      </c>
      <c r="Q38" s="12">
        <f t="shared" si="5"/>
        <v>101</v>
      </c>
    </row>
    <row r="39" spans="1:17" ht="15" customHeight="1" x14ac:dyDescent="0.2">
      <c r="A39" s="12" t="s">
        <v>18</v>
      </c>
      <c r="B39" s="36">
        <v>46029</v>
      </c>
      <c r="C39" s="14">
        <f t="shared" si="2"/>
        <v>434</v>
      </c>
      <c r="D39" s="12">
        <f t="shared" si="3"/>
        <v>1</v>
      </c>
      <c r="G39" s="14" t="s">
        <v>508</v>
      </c>
      <c r="H39" s="12" t="s">
        <v>2510</v>
      </c>
      <c r="I39" s="18">
        <v>333821</v>
      </c>
      <c r="J39" s="12">
        <v>131</v>
      </c>
      <c r="K39" s="12" t="s">
        <v>20</v>
      </c>
      <c r="L39" s="12">
        <v>1</v>
      </c>
      <c r="M39" s="17">
        <v>44444</v>
      </c>
      <c r="N39" s="17">
        <f t="shared" si="4"/>
        <v>44444</v>
      </c>
      <c r="Q39" s="12">
        <f t="shared" si="5"/>
        <v>117</v>
      </c>
    </row>
    <row r="40" spans="1:17" ht="15" hidden="1" customHeight="1" x14ac:dyDescent="0.2">
      <c r="A40" s="12" t="s">
        <v>18</v>
      </c>
      <c r="B40" s="36">
        <v>46029</v>
      </c>
      <c r="C40" s="14">
        <f t="shared" si="2"/>
        <v>435</v>
      </c>
      <c r="D40" s="12">
        <f t="shared" si="3"/>
        <v>1</v>
      </c>
      <c r="F40" s="12"/>
      <c r="G40" s="14" t="s">
        <v>304</v>
      </c>
      <c r="H40" s="12" t="s">
        <v>513</v>
      </c>
      <c r="I40" s="18">
        <v>131</v>
      </c>
      <c r="J40" s="12">
        <v>5113</v>
      </c>
      <c r="K40" s="12" t="s">
        <v>20</v>
      </c>
      <c r="L40" s="12">
        <v>1</v>
      </c>
      <c r="M40" s="17">
        <v>9677419</v>
      </c>
      <c r="N40" s="17">
        <f t="shared" si="4"/>
        <v>9677419</v>
      </c>
      <c r="Q40" s="12">
        <f t="shared" si="5"/>
        <v>148</v>
      </c>
    </row>
    <row r="41" spans="1:17" ht="15" customHeight="1" x14ac:dyDescent="0.2">
      <c r="A41" s="12" t="s">
        <v>18</v>
      </c>
      <c r="B41" s="36">
        <v>46029</v>
      </c>
      <c r="C41" s="14">
        <f t="shared" si="2"/>
        <v>436</v>
      </c>
      <c r="D41" s="12">
        <f t="shared" si="3"/>
        <v>1</v>
      </c>
      <c r="G41" s="14" t="s">
        <v>304</v>
      </c>
      <c r="H41" s="12" t="s">
        <v>2511</v>
      </c>
      <c r="I41" s="18">
        <v>333821</v>
      </c>
      <c r="J41" s="12">
        <v>131</v>
      </c>
      <c r="K41" s="12" t="s">
        <v>20</v>
      </c>
      <c r="L41" s="12">
        <v>1</v>
      </c>
      <c r="M41" s="17">
        <v>96774</v>
      </c>
      <c r="N41" s="17">
        <f t="shared" si="4"/>
        <v>96774</v>
      </c>
      <c r="Q41" s="12">
        <f t="shared" si="5"/>
        <v>164</v>
      </c>
    </row>
    <row r="42" spans="1:17" ht="15" hidden="1" customHeight="1" x14ac:dyDescent="0.2">
      <c r="A42" s="12" t="s">
        <v>18</v>
      </c>
      <c r="B42" s="36">
        <v>46031</v>
      </c>
      <c r="C42" s="14">
        <f t="shared" si="2"/>
        <v>437</v>
      </c>
      <c r="D42" s="12">
        <f t="shared" si="3"/>
        <v>1</v>
      </c>
      <c r="F42" s="12"/>
      <c r="G42" s="14" t="s">
        <v>68</v>
      </c>
      <c r="H42" s="12" t="s">
        <v>514</v>
      </c>
      <c r="I42" s="18">
        <v>131</v>
      </c>
      <c r="J42" s="12">
        <v>5113</v>
      </c>
      <c r="K42" s="12" t="s">
        <v>20</v>
      </c>
      <c r="L42" s="12">
        <v>1</v>
      </c>
      <c r="M42" s="17">
        <v>10000000</v>
      </c>
      <c r="N42" s="17">
        <f t="shared" si="4"/>
        <v>10000000</v>
      </c>
      <c r="Q42" s="12">
        <f t="shared" si="5"/>
        <v>144</v>
      </c>
    </row>
    <row r="43" spans="1:17" ht="15" customHeight="1" x14ac:dyDescent="0.2">
      <c r="A43" s="12" t="s">
        <v>18</v>
      </c>
      <c r="B43" s="36">
        <v>46031</v>
      </c>
      <c r="C43" s="14">
        <f t="shared" si="2"/>
        <v>438</v>
      </c>
      <c r="D43" s="12">
        <f t="shared" si="3"/>
        <v>1</v>
      </c>
      <c r="G43" s="14" t="s">
        <v>68</v>
      </c>
      <c r="H43" s="12" t="s">
        <v>2512</v>
      </c>
      <c r="I43" s="18">
        <v>333821</v>
      </c>
      <c r="J43" s="12">
        <v>131</v>
      </c>
      <c r="K43" s="12" t="s">
        <v>20</v>
      </c>
      <c r="L43" s="12">
        <v>1</v>
      </c>
      <c r="M43" s="17">
        <v>100000</v>
      </c>
      <c r="N43" s="17">
        <f t="shared" si="4"/>
        <v>100000</v>
      </c>
      <c r="Q43" s="12">
        <f t="shared" si="5"/>
        <v>160</v>
      </c>
    </row>
    <row r="44" spans="1:17" ht="15" hidden="1" customHeight="1" x14ac:dyDescent="0.2">
      <c r="A44" s="12" t="s">
        <v>18</v>
      </c>
      <c r="B44" s="36">
        <v>46036</v>
      </c>
      <c r="C44" s="14">
        <f t="shared" si="2"/>
        <v>439</v>
      </c>
      <c r="D44" s="12">
        <f t="shared" si="3"/>
        <v>1</v>
      </c>
      <c r="G44" s="14" t="s">
        <v>508</v>
      </c>
      <c r="H44" s="12" t="s">
        <v>515</v>
      </c>
      <c r="I44" s="18">
        <v>131</v>
      </c>
      <c r="J44" s="12">
        <v>5113</v>
      </c>
      <c r="K44" s="12" t="s">
        <v>20</v>
      </c>
      <c r="L44" s="12">
        <v>1</v>
      </c>
      <c r="M44" s="17">
        <v>4444444</v>
      </c>
      <c r="N44" s="17">
        <f t="shared" si="4"/>
        <v>4444444</v>
      </c>
      <c r="Q44" s="12">
        <f t="shared" si="5"/>
        <v>106</v>
      </c>
    </row>
    <row r="45" spans="1:17" ht="15" customHeight="1" x14ac:dyDescent="0.2">
      <c r="A45" s="12" t="s">
        <v>18</v>
      </c>
      <c r="B45" s="36">
        <v>46036</v>
      </c>
      <c r="C45" s="14">
        <f t="shared" si="2"/>
        <v>440</v>
      </c>
      <c r="D45" s="12">
        <f t="shared" si="3"/>
        <v>1</v>
      </c>
      <c r="G45" s="14" t="s">
        <v>508</v>
      </c>
      <c r="H45" s="12" t="s">
        <v>2513</v>
      </c>
      <c r="I45" s="18">
        <v>333821</v>
      </c>
      <c r="J45" s="12">
        <v>131</v>
      </c>
      <c r="K45" s="12" t="s">
        <v>20</v>
      </c>
      <c r="L45" s="12">
        <v>1</v>
      </c>
      <c r="M45" s="17">
        <v>44444</v>
      </c>
      <c r="N45" s="17">
        <f t="shared" si="4"/>
        <v>44444</v>
      </c>
      <c r="Q45" s="12">
        <f t="shared" si="5"/>
        <v>122</v>
      </c>
    </row>
    <row r="46" spans="1:17" ht="15" hidden="1" customHeight="1" x14ac:dyDescent="0.2">
      <c r="A46" s="12" t="s">
        <v>18</v>
      </c>
      <c r="B46" s="36">
        <v>46041</v>
      </c>
      <c r="C46" s="14">
        <f t="shared" si="2"/>
        <v>441</v>
      </c>
      <c r="D46" s="12">
        <f t="shared" si="3"/>
        <v>1</v>
      </c>
      <c r="F46" s="12"/>
      <c r="G46" s="14" t="s">
        <v>508</v>
      </c>
      <c r="H46" s="12" t="s">
        <v>516</v>
      </c>
      <c r="I46" s="18">
        <v>131</v>
      </c>
      <c r="J46" s="12">
        <v>5113</v>
      </c>
      <c r="K46" s="12" t="s">
        <v>20</v>
      </c>
      <c r="L46" s="12">
        <v>1</v>
      </c>
      <c r="M46" s="17">
        <v>4444444</v>
      </c>
      <c r="N46" s="17">
        <f t="shared" si="4"/>
        <v>4444444</v>
      </c>
      <c r="Q46" s="12">
        <f t="shared" si="5"/>
        <v>101</v>
      </c>
    </row>
    <row r="47" spans="1:17" ht="15" customHeight="1" x14ac:dyDescent="0.2">
      <c r="A47" s="12" t="s">
        <v>18</v>
      </c>
      <c r="B47" s="36">
        <v>46041</v>
      </c>
      <c r="C47" s="14">
        <f t="shared" si="2"/>
        <v>442</v>
      </c>
      <c r="D47" s="12">
        <f t="shared" si="3"/>
        <v>1</v>
      </c>
      <c r="G47" s="14" t="s">
        <v>508</v>
      </c>
      <c r="H47" s="14" t="s">
        <v>2514</v>
      </c>
      <c r="I47" s="12">
        <v>333821</v>
      </c>
      <c r="J47" s="12">
        <v>131</v>
      </c>
      <c r="K47" s="12" t="s">
        <v>20</v>
      </c>
      <c r="L47" s="12">
        <v>1</v>
      </c>
      <c r="M47" s="17">
        <v>44444</v>
      </c>
      <c r="N47" s="17">
        <f t="shared" si="4"/>
        <v>44444</v>
      </c>
      <c r="Q47" s="12">
        <f t="shared" si="5"/>
        <v>117</v>
      </c>
    </row>
    <row r="48" spans="1:17" ht="15" hidden="1" customHeight="1" x14ac:dyDescent="0.2">
      <c r="A48" s="12" t="s">
        <v>18</v>
      </c>
      <c r="B48" s="36">
        <v>46049</v>
      </c>
      <c r="C48" s="14">
        <f t="shared" si="2"/>
        <v>443</v>
      </c>
      <c r="D48" s="12">
        <f t="shared" si="3"/>
        <v>1</v>
      </c>
      <c r="G48" s="14" t="s">
        <v>246</v>
      </c>
      <c r="H48" s="12" t="s">
        <v>517</v>
      </c>
      <c r="I48" s="18">
        <v>131</v>
      </c>
      <c r="J48" s="12">
        <v>5113</v>
      </c>
      <c r="K48" s="12" t="s">
        <v>20</v>
      </c>
      <c r="L48" s="12">
        <v>1</v>
      </c>
      <c r="M48" s="17">
        <v>2444444</v>
      </c>
      <c r="N48" s="17">
        <f t="shared" si="4"/>
        <v>2444444</v>
      </c>
      <c r="Q48" s="12">
        <f t="shared" si="5"/>
        <v>107</v>
      </c>
    </row>
    <row r="49" spans="1:17" ht="15" customHeight="1" x14ac:dyDescent="0.2">
      <c r="A49" s="12" t="s">
        <v>18</v>
      </c>
      <c r="B49" s="36">
        <v>46049</v>
      </c>
      <c r="C49" s="14">
        <f t="shared" si="2"/>
        <v>444</v>
      </c>
      <c r="D49" s="12">
        <f t="shared" si="3"/>
        <v>1</v>
      </c>
      <c r="G49" s="14" t="s">
        <v>246</v>
      </c>
      <c r="H49" s="12" t="s">
        <v>2515</v>
      </c>
      <c r="I49" s="18">
        <v>333821</v>
      </c>
      <c r="J49" s="12">
        <v>131</v>
      </c>
      <c r="K49" s="12" t="s">
        <v>20</v>
      </c>
      <c r="L49" s="12">
        <v>1</v>
      </c>
      <c r="M49" s="17">
        <v>24444</v>
      </c>
      <c r="N49" s="17">
        <f t="shared" si="4"/>
        <v>24444</v>
      </c>
      <c r="Q49" s="12">
        <f t="shared" si="5"/>
        <v>123</v>
      </c>
    </row>
    <row r="50" spans="1:17" ht="15" hidden="1" customHeight="1" x14ac:dyDescent="0.2">
      <c r="A50" s="12" t="s">
        <v>18</v>
      </c>
      <c r="B50" s="36">
        <v>46050</v>
      </c>
      <c r="C50" s="14">
        <f t="shared" si="2"/>
        <v>445</v>
      </c>
      <c r="D50" s="12">
        <f t="shared" si="3"/>
        <v>1</v>
      </c>
      <c r="G50" s="14" t="s">
        <v>509</v>
      </c>
      <c r="H50" s="12" t="s">
        <v>518</v>
      </c>
      <c r="I50" s="18">
        <v>131</v>
      </c>
      <c r="J50" s="12">
        <v>5113</v>
      </c>
      <c r="K50" s="12" t="s">
        <v>20</v>
      </c>
      <c r="L50" s="12">
        <v>1</v>
      </c>
      <c r="M50" s="17">
        <v>6666667</v>
      </c>
      <c r="N50" s="17">
        <f t="shared" si="4"/>
        <v>6666667</v>
      </c>
      <c r="Q50" s="12">
        <f t="shared" si="5"/>
        <v>108</v>
      </c>
    </row>
    <row r="51" spans="1:17" ht="15" customHeight="1" x14ac:dyDescent="0.2">
      <c r="A51" s="12" t="s">
        <v>18</v>
      </c>
      <c r="B51" s="36">
        <v>46050</v>
      </c>
      <c r="C51" s="14">
        <f t="shared" si="2"/>
        <v>446</v>
      </c>
      <c r="D51" s="12">
        <f t="shared" si="3"/>
        <v>1</v>
      </c>
      <c r="G51" s="14" t="s">
        <v>509</v>
      </c>
      <c r="H51" s="12" t="s">
        <v>2516</v>
      </c>
      <c r="I51" s="18">
        <v>333821</v>
      </c>
      <c r="J51" s="12">
        <v>131</v>
      </c>
      <c r="K51" s="12" t="s">
        <v>20</v>
      </c>
      <c r="L51" s="12">
        <v>1</v>
      </c>
      <c r="M51" s="17">
        <v>66667</v>
      </c>
      <c r="N51" s="17">
        <f t="shared" si="4"/>
        <v>66667</v>
      </c>
      <c r="Q51" s="12">
        <f t="shared" si="5"/>
        <v>124</v>
      </c>
    </row>
    <row r="52" spans="1:17" ht="15" hidden="1" customHeight="1" x14ac:dyDescent="0.2">
      <c r="A52" s="12" t="s">
        <v>18</v>
      </c>
      <c r="B52" s="36">
        <v>46052</v>
      </c>
      <c r="C52" s="14">
        <f t="shared" si="2"/>
        <v>447</v>
      </c>
      <c r="D52" s="12">
        <f t="shared" si="3"/>
        <v>1</v>
      </c>
      <c r="G52" s="14" t="s">
        <v>49</v>
      </c>
      <c r="H52" s="12" t="s">
        <v>519</v>
      </c>
      <c r="I52" s="18">
        <v>131</v>
      </c>
      <c r="J52" s="12">
        <v>5113</v>
      </c>
      <c r="K52" s="12" t="s">
        <v>20</v>
      </c>
      <c r="L52" s="12">
        <v>1</v>
      </c>
      <c r="M52" s="17">
        <v>10000000</v>
      </c>
      <c r="N52" s="17">
        <f t="shared" si="4"/>
        <v>10000000</v>
      </c>
      <c r="Q52" s="12">
        <f t="shared" si="5"/>
        <v>150</v>
      </c>
    </row>
    <row r="53" spans="1:17" ht="15" customHeight="1" x14ac:dyDescent="0.2">
      <c r="A53" s="12" t="s">
        <v>18</v>
      </c>
      <c r="B53" s="36">
        <v>46052</v>
      </c>
      <c r="C53" s="14">
        <f t="shared" si="2"/>
        <v>448</v>
      </c>
      <c r="D53" s="12">
        <f t="shared" si="3"/>
        <v>1</v>
      </c>
      <c r="G53" s="14" t="s">
        <v>49</v>
      </c>
      <c r="H53" s="12" t="s">
        <v>2517</v>
      </c>
      <c r="I53" s="18">
        <v>333821</v>
      </c>
      <c r="J53" s="12">
        <v>131</v>
      </c>
      <c r="K53" s="12" t="s">
        <v>20</v>
      </c>
      <c r="L53" s="12">
        <v>1</v>
      </c>
      <c r="M53" s="17">
        <v>100000</v>
      </c>
      <c r="N53" s="17">
        <f t="shared" si="4"/>
        <v>100000</v>
      </c>
      <c r="Q53" s="12">
        <f t="shared" si="5"/>
        <v>166</v>
      </c>
    </row>
    <row r="54" spans="1:17" ht="15" hidden="1" customHeight="1" x14ac:dyDescent="0.2">
      <c r="A54" s="12" t="s">
        <v>18</v>
      </c>
      <c r="B54" s="36">
        <v>46065</v>
      </c>
      <c r="C54" s="14">
        <f t="shared" si="2"/>
        <v>449</v>
      </c>
      <c r="D54" s="12">
        <f t="shared" si="3"/>
        <v>1</v>
      </c>
      <c r="G54" s="14" t="s">
        <v>26</v>
      </c>
      <c r="H54" s="12" t="s">
        <v>520</v>
      </c>
      <c r="I54" s="18">
        <v>131</v>
      </c>
      <c r="J54" s="12">
        <v>5113</v>
      </c>
      <c r="K54" s="12" t="s">
        <v>20</v>
      </c>
      <c r="L54" s="12">
        <v>1</v>
      </c>
      <c r="M54" s="17">
        <v>10000000</v>
      </c>
      <c r="N54" s="17">
        <f t="shared" si="4"/>
        <v>10000000</v>
      </c>
      <c r="Q54" s="12">
        <f t="shared" si="5"/>
        <v>152</v>
      </c>
    </row>
    <row r="55" spans="1:17" ht="15" customHeight="1" x14ac:dyDescent="0.2">
      <c r="A55" s="12" t="s">
        <v>18</v>
      </c>
      <c r="B55" s="36">
        <v>46065</v>
      </c>
      <c r="C55" s="14">
        <f t="shared" si="2"/>
        <v>450</v>
      </c>
      <c r="D55" s="12">
        <f t="shared" si="3"/>
        <v>1</v>
      </c>
      <c r="G55" s="14" t="s">
        <v>26</v>
      </c>
      <c r="H55" s="12" t="s">
        <v>2518</v>
      </c>
      <c r="I55" s="18">
        <v>333821</v>
      </c>
      <c r="J55" s="12">
        <v>131</v>
      </c>
      <c r="K55" s="12" t="s">
        <v>20</v>
      </c>
      <c r="L55" s="12">
        <v>1</v>
      </c>
      <c r="M55" s="17">
        <v>100000</v>
      </c>
      <c r="N55" s="17">
        <f t="shared" si="4"/>
        <v>100000</v>
      </c>
      <c r="Q55" s="12">
        <f t="shared" si="5"/>
        <v>168</v>
      </c>
    </row>
    <row r="56" spans="1:17" ht="15" hidden="1" customHeight="1" x14ac:dyDescent="0.2">
      <c r="A56" s="12" t="s">
        <v>18</v>
      </c>
      <c r="B56" s="36">
        <v>46078</v>
      </c>
      <c r="C56" s="14">
        <f t="shared" si="2"/>
        <v>451</v>
      </c>
      <c r="D56" s="12">
        <f t="shared" si="3"/>
        <v>1</v>
      </c>
      <c r="G56" s="14" t="s">
        <v>247</v>
      </c>
      <c r="H56" s="12" t="s">
        <v>521</v>
      </c>
      <c r="I56" s="18">
        <v>131</v>
      </c>
      <c r="J56" s="12">
        <v>5113</v>
      </c>
      <c r="K56" s="12" t="s">
        <v>20</v>
      </c>
      <c r="L56" s="12">
        <v>1</v>
      </c>
      <c r="M56" s="17">
        <v>7777778</v>
      </c>
      <c r="N56" s="17">
        <f t="shared" si="4"/>
        <v>7777778</v>
      </c>
      <c r="Q56" s="12">
        <f t="shared" si="5"/>
        <v>180</v>
      </c>
    </row>
    <row r="57" spans="1:17" ht="15" customHeight="1" x14ac:dyDescent="0.2">
      <c r="A57" s="12" t="s">
        <v>18</v>
      </c>
      <c r="B57" s="36">
        <v>46078</v>
      </c>
      <c r="C57" s="14">
        <f t="shared" si="2"/>
        <v>452</v>
      </c>
      <c r="D57" s="12">
        <f t="shared" si="3"/>
        <v>1</v>
      </c>
      <c r="G57" s="14" t="s">
        <v>247</v>
      </c>
      <c r="H57" s="12" t="s">
        <v>2519</v>
      </c>
      <c r="I57" s="18">
        <v>333821</v>
      </c>
      <c r="J57" s="12">
        <v>131</v>
      </c>
      <c r="K57" s="12" t="s">
        <v>20</v>
      </c>
      <c r="L57" s="12">
        <v>1</v>
      </c>
      <c r="M57" s="17">
        <v>77778</v>
      </c>
      <c r="N57" s="17">
        <f t="shared" si="4"/>
        <v>77778</v>
      </c>
      <c r="Q57" s="12">
        <f t="shared" si="5"/>
        <v>196</v>
      </c>
    </row>
    <row r="58" spans="1:17" ht="15" hidden="1" customHeight="1" x14ac:dyDescent="0.2">
      <c r="A58" s="12" t="s">
        <v>18</v>
      </c>
      <c r="B58" s="36">
        <v>46078</v>
      </c>
      <c r="C58" s="14">
        <f t="shared" si="2"/>
        <v>453</v>
      </c>
      <c r="D58" s="12">
        <f t="shared" si="3"/>
        <v>1</v>
      </c>
      <c r="G58" s="14" t="s">
        <v>56</v>
      </c>
      <c r="H58" s="12" t="s">
        <v>522</v>
      </c>
      <c r="I58" s="18">
        <v>131</v>
      </c>
      <c r="J58" s="12">
        <v>5113</v>
      </c>
      <c r="K58" s="12" t="s">
        <v>20</v>
      </c>
      <c r="L58" s="12">
        <v>1</v>
      </c>
      <c r="M58" s="17">
        <v>9677419</v>
      </c>
      <c r="N58" s="17">
        <f t="shared" si="4"/>
        <v>9677419</v>
      </c>
      <c r="Q58" s="12">
        <f t="shared" si="5"/>
        <v>122</v>
      </c>
    </row>
    <row r="59" spans="1:17" ht="15" customHeight="1" x14ac:dyDescent="0.2">
      <c r="A59" s="12" t="s">
        <v>18</v>
      </c>
      <c r="B59" s="36">
        <v>46078</v>
      </c>
      <c r="C59" s="14">
        <f t="shared" si="2"/>
        <v>454</v>
      </c>
      <c r="D59" s="12">
        <f t="shared" si="3"/>
        <v>1</v>
      </c>
      <c r="G59" s="14" t="s">
        <v>56</v>
      </c>
      <c r="H59" s="12" t="s">
        <v>2520</v>
      </c>
      <c r="I59" s="18">
        <v>333821</v>
      </c>
      <c r="J59" s="12">
        <v>131</v>
      </c>
      <c r="K59" s="12" t="s">
        <v>20</v>
      </c>
      <c r="L59" s="12">
        <v>1</v>
      </c>
      <c r="M59" s="17">
        <v>96774</v>
      </c>
      <c r="N59" s="17">
        <f t="shared" si="4"/>
        <v>96774</v>
      </c>
      <c r="Q59" s="12">
        <f t="shared" si="5"/>
        <v>138</v>
      </c>
    </row>
    <row r="60" spans="1:17" ht="15" hidden="1" customHeight="1" x14ac:dyDescent="0.2">
      <c r="A60" s="12" t="s">
        <v>18</v>
      </c>
      <c r="B60" s="36">
        <v>46079</v>
      </c>
      <c r="C60" s="14">
        <f t="shared" si="2"/>
        <v>455</v>
      </c>
      <c r="D60" s="12">
        <f t="shared" si="3"/>
        <v>1</v>
      </c>
      <c r="G60" s="14" t="s">
        <v>49</v>
      </c>
      <c r="H60" s="12" t="s">
        <v>523</v>
      </c>
      <c r="I60" s="18">
        <v>131</v>
      </c>
      <c r="J60" s="12">
        <v>5113</v>
      </c>
      <c r="K60" s="12" t="s">
        <v>20</v>
      </c>
      <c r="L60" s="12">
        <v>1</v>
      </c>
      <c r="M60" s="17">
        <v>5000000</v>
      </c>
      <c r="N60" s="17">
        <f t="shared" si="4"/>
        <v>5000000</v>
      </c>
      <c r="Q60" s="12">
        <f t="shared" si="5"/>
        <v>109</v>
      </c>
    </row>
    <row r="61" spans="1:17" ht="15" customHeight="1" x14ac:dyDescent="0.2">
      <c r="A61" s="12" t="s">
        <v>18</v>
      </c>
      <c r="B61" s="36">
        <v>46079</v>
      </c>
      <c r="C61" s="14">
        <f t="shared" si="2"/>
        <v>456</v>
      </c>
      <c r="D61" s="12">
        <f t="shared" si="3"/>
        <v>1</v>
      </c>
      <c r="F61" s="12"/>
      <c r="G61" s="14" t="s">
        <v>49</v>
      </c>
      <c r="H61" s="12" t="s">
        <v>2521</v>
      </c>
      <c r="I61" s="18">
        <v>333821</v>
      </c>
      <c r="J61" s="12">
        <v>131</v>
      </c>
      <c r="K61" s="12" t="s">
        <v>20</v>
      </c>
      <c r="L61" s="12">
        <v>1</v>
      </c>
      <c r="M61" s="17">
        <v>50000</v>
      </c>
      <c r="N61" s="17">
        <f t="shared" si="4"/>
        <v>50000</v>
      </c>
      <c r="Q61" s="12">
        <f t="shared" si="5"/>
        <v>125</v>
      </c>
    </row>
    <row r="62" spans="1:17" ht="15" hidden="1" customHeight="1" x14ac:dyDescent="0.2">
      <c r="A62" s="12" t="s">
        <v>18</v>
      </c>
      <c r="B62" s="36">
        <v>46080</v>
      </c>
      <c r="C62" s="14">
        <f t="shared" si="2"/>
        <v>457</v>
      </c>
      <c r="D62" s="12">
        <f t="shared" si="3"/>
        <v>1</v>
      </c>
      <c r="G62" s="14" t="s">
        <v>510</v>
      </c>
      <c r="H62" s="12" t="s">
        <v>524</v>
      </c>
      <c r="I62" s="18">
        <v>131</v>
      </c>
      <c r="J62" s="12">
        <v>5113</v>
      </c>
      <c r="K62" s="12" t="s">
        <v>20</v>
      </c>
      <c r="L62" s="12">
        <v>1</v>
      </c>
      <c r="M62" s="17">
        <v>12222222</v>
      </c>
      <c r="N62" s="17">
        <f t="shared" si="4"/>
        <v>12222222</v>
      </c>
      <c r="Q62" s="12">
        <f t="shared" si="5"/>
        <v>95</v>
      </c>
    </row>
    <row r="63" spans="1:17" ht="15" customHeight="1" x14ac:dyDescent="0.2">
      <c r="A63" s="12" t="s">
        <v>18</v>
      </c>
      <c r="B63" s="36">
        <v>46080</v>
      </c>
      <c r="C63" s="14">
        <f t="shared" si="2"/>
        <v>458</v>
      </c>
      <c r="D63" s="12">
        <f t="shared" si="3"/>
        <v>1</v>
      </c>
      <c r="G63" s="14" t="s">
        <v>510</v>
      </c>
      <c r="H63" s="12" t="s">
        <v>2522</v>
      </c>
      <c r="I63" s="18">
        <v>333821</v>
      </c>
      <c r="J63" s="12">
        <v>131</v>
      </c>
      <c r="K63" s="12" t="s">
        <v>20</v>
      </c>
      <c r="L63" s="12">
        <v>1</v>
      </c>
      <c r="M63" s="17">
        <v>122222</v>
      </c>
      <c r="N63" s="17">
        <f t="shared" si="4"/>
        <v>122222</v>
      </c>
      <c r="Q63" s="12">
        <f t="shared" si="5"/>
        <v>111</v>
      </c>
    </row>
    <row r="64" spans="1:17" ht="15" hidden="1" customHeight="1" x14ac:dyDescent="0.2">
      <c r="A64" s="12" t="s">
        <v>18</v>
      </c>
      <c r="B64" s="36">
        <v>46084</v>
      </c>
      <c r="C64" s="14">
        <f t="shared" si="2"/>
        <v>459</v>
      </c>
      <c r="D64" s="12">
        <f t="shared" si="3"/>
        <v>1</v>
      </c>
      <c r="G64" s="14" t="s">
        <v>49</v>
      </c>
      <c r="H64" s="12" t="s">
        <v>525</v>
      </c>
      <c r="I64" s="18">
        <v>131</v>
      </c>
      <c r="J64" s="12">
        <v>5113</v>
      </c>
      <c r="K64" s="12" t="s">
        <v>20</v>
      </c>
      <c r="L64" s="12">
        <v>1</v>
      </c>
      <c r="M64" s="17">
        <v>5000000</v>
      </c>
      <c r="N64" s="17">
        <f t="shared" si="4"/>
        <v>5000000</v>
      </c>
      <c r="Q64" s="12">
        <f t="shared" si="5"/>
        <v>109</v>
      </c>
    </row>
    <row r="65" spans="1:17" ht="15" customHeight="1" x14ac:dyDescent="0.2">
      <c r="A65" s="12" t="s">
        <v>18</v>
      </c>
      <c r="B65" s="36">
        <v>46084</v>
      </c>
      <c r="C65" s="14">
        <f t="shared" si="2"/>
        <v>460</v>
      </c>
      <c r="D65" s="12">
        <f t="shared" si="3"/>
        <v>1</v>
      </c>
      <c r="G65" s="14" t="s">
        <v>49</v>
      </c>
      <c r="H65" s="12" t="s">
        <v>2523</v>
      </c>
      <c r="I65" s="18">
        <v>333821</v>
      </c>
      <c r="J65" s="12">
        <v>131</v>
      </c>
      <c r="K65" s="12" t="s">
        <v>20</v>
      </c>
      <c r="L65" s="12">
        <v>1</v>
      </c>
      <c r="M65" s="17">
        <v>50000</v>
      </c>
      <c r="N65" s="17">
        <f t="shared" si="4"/>
        <v>50000</v>
      </c>
      <c r="Q65" s="12">
        <f t="shared" si="5"/>
        <v>125</v>
      </c>
    </row>
    <row r="66" spans="1:17" ht="15" hidden="1" customHeight="1" x14ac:dyDescent="0.2">
      <c r="A66" s="12" t="s">
        <v>18</v>
      </c>
      <c r="B66" s="36">
        <v>46084</v>
      </c>
      <c r="C66" s="14">
        <f t="shared" si="2"/>
        <v>461</v>
      </c>
      <c r="D66" s="12">
        <f t="shared" si="3"/>
        <v>1</v>
      </c>
      <c r="G66" s="14" t="s">
        <v>511</v>
      </c>
      <c r="H66" s="12" t="s">
        <v>526</v>
      </c>
      <c r="I66" s="18">
        <v>131</v>
      </c>
      <c r="J66" s="12">
        <v>5113</v>
      </c>
      <c r="K66" s="12" t="s">
        <v>20</v>
      </c>
      <c r="L66" s="12">
        <v>1</v>
      </c>
      <c r="M66" s="17">
        <v>3333333</v>
      </c>
      <c r="N66" s="17">
        <f t="shared" si="4"/>
        <v>3333333</v>
      </c>
      <c r="Q66" s="12">
        <f t="shared" si="5"/>
        <v>109</v>
      </c>
    </row>
    <row r="67" spans="1:17" ht="15" customHeight="1" x14ac:dyDescent="0.2">
      <c r="A67" s="12" t="s">
        <v>18</v>
      </c>
      <c r="B67" s="36">
        <v>46084</v>
      </c>
      <c r="C67" s="14">
        <f t="shared" si="2"/>
        <v>462</v>
      </c>
      <c r="D67" s="12">
        <f t="shared" si="3"/>
        <v>1</v>
      </c>
      <c r="F67" s="12"/>
      <c r="G67" s="14" t="s">
        <v>511</v>
      </c>
      <c r="H67" s="12" t="s">
        <v>2524</v>
      </c>
      <c r="I67" s="18">
        <v>333821</v>
      </c>
      <c r="J67" s="12">
        <v>131</v>
      </c>
      <c r="K67" s="12" t="s">
        <v>20</v>
      </c>
      <c r="L67" s="12">
        <v>1</v>
      </c>
      <c r="M67" s="17">
        <v>33333</v>
      </c>
      <c r="N67" s="17">
        <f t="shared" si="4"/>
        <v>33333</v>
      </c>
      <c r="Q67" s="12">
        <f t="shared" si="5"/>
        <v>125</v>
      </c>
    </row>
    <row r="68" spans="1:17" ht="15" hidden="1" customHeight="1" x14ac:dyDescent="0.2">
      <c r="A68" s="12" t="s">
        <v>18</v>
      </c>
      <c r="B68" s="36">
        <v>46086</v>
      </c>
      <c r="C68" s="14">
        <f t="shared" si="2"/>
        <v>463</v>
      </c>
      <c r="D68" s="12">
        <f t="shared" si="3"/>
        <v>1</v>
      </c>
      <c r="G68" s="14" t="s">
        <v>43</v>
      </c>
      <c r="H68" s="12" t="s">
        <v>527</v>
      </c>
      <c r="I68" s="18">
        <v>131</v>
      </c>
      <c r="J68" s="12">
        <v>5113</v>
      </c>
      <c r="K68" s="12" t="s">
        <v>20</v>
      </c>
      <c r="L68" s="12">
        <v>1</v>
      </c>
      <c r="M68" s="17">
        <v>15555556</v>
      </c>
      <c r="N68" s="17">
        <f t="shared" ref="N68:N131" si="6">L68*M68</f>
        <v>15555556</v>
      </c>
      <c r="Q68" s="12">
        <f t="shared" ref="Q68:Q131" si="7">LEN(H68)</f>
        <v>175</v>
      </c>
    </row>
    <row r="69" spans="1:17" ht="15" customHeight="1" x14ac:dyDescent="0.2">
      <c r="A69" s="12" t="s">
        <v>18</v>
      </c>
      <c r="B69" s="36">
        <v>46086</v>
      </c>
      <c r="C69" s="14">
        <f t="shared" ref="C69:C99" si="8">C68+D69</f>
        <v>464</v>
      </c>
      <c r="D69" s="12">
        <f t="shared" ref="D69:D99" si="9">IF(H69=H68,0,1)</f>
        <v>1</v>
      </c>
      <c r="F69" s="12"/>
      <c r="G69" s="14" t="s">
        <v>43</v>
      </c>
      <c r="H69" s="12" t="s">
        <v>2525</v>
      </c>
      <c r="I69" s="18">
        <v>333821</v>
      </c>
      <c r="J69" s="12">
        <v>131</v>
      </c>
      <c r="K69" s="12" t="s">
        <v>20</v>
      </c>
      <c r="L69" s="12">
        <v>1</v>
      </c>
      <c r="M69" s="17">
        <v>155556</v>
      </c>
      <c r="N69" s="17">
        <f t="shared" si="6"/>
        <v>155556</v>
      </c>
      <c r="Q69" s="12">
        <f t="shared" si="7"/>
        <v>191</v>
      </c>
    </row>
    <row r="70" spans="1:17" ht="15" hidden="1" customHeight="1" x14ac:dyDescent="0.2">
      <c r="A70" s="12" t="s">
        <v>18</v>
      </c>
      <c r="B70" s="36">
        <v>46091</v>
      </c>
      <c r="C70" s="14">
        <f t="shared" si="8"/>
        <v>465</v>
      </c>
      <c r="D70" s="12">
        <f t="shared" si="9"/>
        <v>1</v>
      </c>
      <c r="G70" s="14" t="s">
        <v>56</v>
      </c>
      <c r="H70" s="12" t="s">
        <v>528</v>
      </c>
      <c r="I70" s="18">
        <v>131</v>
      </c>
      <c r="J70" s="12">
        <v>5113</v>
      </c>
      <c r="K70" s="12" t="s">
        <v>20</v>
      </c>
      <c r="L70" s="12">
        <v>1</v>
      </c>
      <c r="M70" s="17">
        <v>8612440</v>
      </c>
      <c r="N70" s="17">
        <f t="shared" si="6"/>
        <v>8612440</v>
      </c>
      <c r="Q70" s="12">
        <f t="shared" si="7"/>
        <v>175</v>
      </c>
    </row>
    <row r="71" spans="1:17" ht="15" customHeight="1" x14ac:dyDescent="0.2">
      <c r="A71" s="12" t="s">
        <v>18</v>
      </c>
      <c r="B71" s="36">
        <v>46091</v>
      </c>
      <c r="C71" s="14">
        <f t="shared" si="8"/>
        <v>466</v>
      </c>
      <c r="D71" s="12">
        <f t="shared" si="9"/>
        <v>1</v>
      </c>
      <c r="F71" s="12"/>
      <c r="G71" s="14" t="s">
        <v>56</v>
      </c>
      <c r="H71" s="12" t="s">
        <v>2526</v>
      </c>
      <c r="I71" s="18">
        <v>333821</v>
      </c>
      <c r="J71" s="12">
        <v>131</v>
      </c>
      <c r="K71" s="12" t="s">
        <v>20</v>
      </c>
      <c r="L71" s="12">
        <v>1</v>
      </c>
      <c r="M71" s="17">
        <v>86124</v>
      </c>
      <c r="N71" s="17">
        <f t="shared" si="6"/>
        <v>86124</v>
      </c>
      <c r="Q71" s="12">
        <f t="shared" si="7"/>
        <v>191</v>
      </c>
    </row>
    <row r="72" spans="1:17" ht="15" hidden="1" customHeight="1" x14ac:dyDescent="0.2">
      <c r="A72" s="12" t="s">
        <v>18</v>
      </c>
      <c r="B72" s="36">
        <v>46100</v>
      </c>
      <c r="C72" s="14">
        <f t="shared" si="8"/>
        <v>467</v>
      </c>
      <c r="D72" s="12">
        <f t="shared" si="9"/>
        <v>1</v>
      </c>
      <c r="G72" s="14" t="s">
        <v>38</v>
      </c>
      <c r="H72" s="12" t="s">
        <v>2527</v>
      </c>
      <c r="I72" s="18">
        <v>131</v>
      </c>
      <c r="J72" s="12">
        <v>5113</v>
      </c>
      <c r="K72" s="12" t="s">
        <v>20</v>
      </c>
      <c r="L72" s="12">
        <v>1</v>
      </c>
      <c r="M72" s="17">
        <v>10000000</v>
      </c>
      <c r="N72" s="17">
        <f t="shared" si="6"/>
        <v>10000000</v>
      </c>
      <c r="Q72" s="12">
        <f t="shared" si="7"/>
        <v>140</v>
      </c>
    </row>
    <row r="73" spans="1:17" ht="15" customHeight="1" x14ac:dyDescent="0.2">
      <c r="A73" s="12" t="s">
        <v>18</v>
      </c>
      <c r="B73" s="36">
        <v>46100</v>
      </c>
      <c r="C73" s="14">
        <f t="shared" si="8"/>
        <v>468</v>
      </c>
      <c r="D73" s="12">
        <f t="shared" si="9"/>
        <v>1</v>
      </c>
      <c r="F73" s="12"/>
      <c r="G73" s="14" t="s">
        <v>38</v>
      </c>
      <c r="H73" s="12" t="s">
        <v>2528</v>
      </c>
      <c r="I73" s="18">
        <v>333821</v>
      </c>
      <c r="J73" s="12">
        <v>131</v>
      </c>
      <c r="K73" s="12" t="s">
        <v>20</v>
      </c>
      <c r="L73" s="12">
        <v>1</v>
      </c>
      <c r="M73" s="17">
        <v>100000</v>
      </c>
      <c r="N73" s="17">
        <f t="shared" si="6"/>
        <v>100000</v>
      </c>
      <c r="Q73" s="12">
        <f t="shared" si="7"/>
        <v>156</v>
      </c>
    </row>
    <row r="74" spans="1:17" ht="15" hidden="1" customHeight="1" x14ac:dyDescent="0.2">
      <c r="A74" s="12" t="s">
        <v>18</v>
      </c>
      <c r="B74" s="36">
        <v>46101</v>
      </c>
      <c r="C74" s="14">
        <f t="shared" si="8"/>
        <v>469</v>
      </c>
      <c r="D74" s="12">
        <f t="shared" si="9"/>
        <v>1</v>
      </c>
      <c r="G74" s="14" t="s">
        <v>243</v>
      </c>
      <c r="H74" s="14" t="s">
        <v>2529</v>
      </c>
      <c r="I74" s="12">
        <v>131</v>
      </c>
      <c r="J74" s="12">
        <v>5113</v>
      </c>
      <c r="K74" s="12" t="s">
        <v>20</v>
      </c>
      <c r="L74" s="12">
        <v>1</v>
      </c>
      <c r="M74" s="17">
        <v>10000000</v>
      </c>
      <c r="N74" s="17">
        <f t="shared" si="6"/>
        <v>10000000</v>
      </c>
      <c r="Q74" s="12">
        <f t="shared" si="7"/>
        <v>113</v>
      </c>
    </row>
    <row r="75" spans="1:17" ht="15" customHeight="1" x14ac:dyDescent="0.2">
      <c r="A75" s="12" t="s">
        <v>18</v>
      </c>
      <c r="B75" s="36">
        <v>46101</v>
      </c>
      <c r="C75" s="14">
        <f t="shared" si="8"/>
        <v>470</v>
      </c>
      <c r="D75" s="12">
        <f t="shared" si="9"/>
        <v>1</v>
      </c>
      <c r="G75" s="14" t="s">
        <v>243</v>
      </c>
      <c r="H75" s="12" t="s">
        <v>2530</v>
      </c>
      <c r="I75" s="18">
        <v>333821</v>
      </c>
      <c r="J75" s="12">
        <v>131</v>
      </c>
      <c r="K75" s="12" t="s">
        <v>20</v>
      </c>
      <c r="L75" s="12">
        <v>1</v>
      </c>
      <c r="M75" s="17">
        <v>100000</v>
      </c>
      <c r="N75" s="17">
        <f t="shared" si="6"/>
        <v>100000</v>
      </c>
      <c r="Q75" s="12">
        <f t="shared" si="7"/>
        <v>129</v>
      </c>
    </row>
    <row r="76" spans="1:17" ht="15" hidden="1" customHeight="1" x14ac:dyDescent="0.2">
      <c r="A76" s="12" t="s">
        <v>18</v>
      </c>
      <c r="B76" s="36">
        <v>46107</v>
      </c>
      <c r="C76" s="14">
        <f t="shared" si="8"/>
        <v>471</v>
      </c>
      <c r="D76" s="12">
        <f t="shared" si="9"/>
        <v>1</v>
      </c>
      <c r="F76" s="12"/>
      <c r="G76" s="14" t="s">
        <v>508</v>
      </c>
      <c r="H76" s="12" t="s">
        <v>529</v>
      </c>
      <c r="I76" s="18">
        <v>131</v>
      </c>
      <c r="J76" s="12">
        <v>5113</v>
      </c>
      <c r="K76" s="12" t="s">
        <v>20</v>
      </c>
      <c r="L76" s="12">
        <v>1</v>
      </c>
      <c r="M76" s="17">
        <v>6666667</v>
      </c>
      <c r="N76" s="17">
        <f t="shared" si="6"/>
        <v>6666667</v>
      </c>
      <c r="Q76" s="12">
        <f t="shared" si="7"/>
        <v>102</v>
      </c>
    </row>
    <row r="77" spans="1:17" ht="15" customHeight="1" x14ac:dyDescent="0.2">
      <c r="A77" s="12" t="s">
        <v>18</v>
      </c>
      <c r="B77" s="36">
        <v>46107</v>
      </c>
      <c r="C77" s="14">
        <f t="shared" si="8"/>
        <v>472</v>
      </c>
      <c r="D77" s="12">
        <f t="shared" si="9"/>
        <v>1</v>
      </c>
      <c r="G77" s="14" t="s">
        <v>508</v>
      </c>
      <c r="H77" s="12" t="s">
        <v>2531</v>
      </c>
      <c r="I77" s="18">
        <v>333821</v>
      </c>
      <c r="J77" s="12">
        <v>131</v>
      </c>
      <c r="K77" s="12" t="s">
        <v>20</v>
      </c>
      <c r="L77" s="12">
        <v>1</v>
      </c>
      <c r="M77" s="17">
        <v>66667</v>
      </c>
      <c r="N77" s="17">
        <f t="shared" si="6"/>
        <v>66667</v>
      </c>
      <c r="Q77" s="12">
        <f t="shared" si="7"/>
        <v>118</v>
      </c>
    </row>
    <row r="78" spans="1:17" ht="15" hidden="1" customHeight="1" x14ac:dyDescent="0.2">
      <c r="A78" s="12" t="s">
        <v>18</v>
      </c>
      <c r="B78" s="36">
        <v>46112</v>
      </c>
      <c r="C78" s="14">
        <f t="shared" si="8"/>
        <v>473</v>
      </c>
      <c r="D78" s="12">
        <f t="shared" si="9"/>
        <v>1</v>
      </c>
      <c r="F78" s="12"/>
      <c r="G78" s="14" t="s">
        <v>43</v>
      </c>
      <c r="H78" s="12" t="s">
        <v>530</v>
      </c>
      <c r="I78" s="18">
        <v>131</v>
      </c>
      <c r="J78" s="12">
        <v>5113</v>
      </c>
      <c r="K78" s="12" t="s">
        <v>20</v>
      </c>
      <c r="L78" s="12">
        <v>1</v>
      </c>
      <c r="M78" s="17">
        <v>7777778</v>
      </c>
      <c r="N78" s="17">
        <f t="shared" si="6"/>
        <v>7777778</v>
      </c>
      <c r="Q78" s="12">
        <f t="shared" si="7"/>
        <v>175</v>
      </c>
    </row>
    <row r="79" spans="1:17" ht="15" customHeight="1" x14ac:dyDescent="0.2">
      <c r="A79" s="12" t="s">
        <v>18</v>
      </c>
      <c r="B79" s="36">
        <v>46112</v>
      </c>
      <c r="C79" s="14">
        <f t="shared" si="8"/>
        <v>474</v>
      </c>
      <c r="D79" s="12">
        <f t="shared" si="9"/>
        <v>1</v>
      </c>
      <c r="G79" s="14" t="s">
        <v>43</v>
      </c>
      <c r="H79" s="12" t="s">
        <v>2532</v>
      </c>
      <c r="I79" s="18">
        <v>333821</v>
      </c>
      <c r="J79" s="12">
        <v>131</v>
      </c>
      <c r="K79" s="12" t="s">
        <v>20</v>
      </c>
      <c r="L79" s="12">
        <v>1</v>
      </c>
      <c r="M79" s="17">
        <v>77778</v>
      </c>
      <c r="N79" s="17">
        <f t="shared" si="6"/>
        <v>77778</v>
      </c>
      <c r="Q79" s="12">
        <f t="shared" si="7"/>
        <v>191</v>
      </c>
    </row>
    <row r="80" spans="1:17" ht="15" hidden="1" customHeight="1" x14ac:dyDescent="0.2">
      <c r="A80" s="12" t="s">
        <v>309</v>
      </c>
      <c r="B80" s="36">
        <v>46044</v>
      </c>
      <c r="C80" s="14">
        <f t="shared" si="8"/>
        <v>475</v>
      </c>
      <c r="D80" s="12">
        <f t="shared" si="9"/>
        <v>1</v>
      </c>
      <c r="G80" s="14" t="s">
        <v>508</v>
      </c>
      <c r="H80" s="12" t="s">
        <v>2533</v>
      </c>
      <c r="I80" s="18">
        <v>112111</v>
      </c>
      <c r="J80" s="12">
        <v>131</v>
      </c>
      <c r="K80" s="12" t="s">
        <v>20</v>
      </c>
      <c r="L80" s="12">
        <v>1</v>
      </c>
      <c r="M80" s="17">
        <v>7451613</v>
      </c>
      <c r="N80" s="17">
        <f t="shared" si="6"/>
        <v>7451613</v>
      </c>
      <c r="Q80" s="12">
        <f t="shared" si="7"/>
        <v>111</v>
      </c>
    </row>
    <row r="81" spans="1:17" ht="15" hidden="1" customHeight="1" x14ac:dyDescent="0.2">
      <c r="A81" s="12" t="s">
        <v>308</v>
      </c>
      <c r="B81" s="36">
        <v>46041</v>
      </c>
      <c r="C81" s="14">
        <f t="shared" si="8"/>
        <v>476</v>
      </c>
      <c r="D81" s="12">
        <f t="shared" si="9"/>
        <v>1</v>
      </c>
      <c r="G81" s="14" t="s">
        <v>60</v>
      </c>
      <c r="H81" s="12" t="s">
        <v>2535</v>
      </c>
      <c r="I81" s="18">
        <v>1111</v>
      </c>
      <c r="J81" s="12">
        <v>112111</v>
      </c>
      <c r="K81" s="12" t="s">
        <v>20</v>
      </c>
      <c r="L81" s="12">
        <v>1</v>
      </c>
      <c r="M81" s="17">
        <v>22500000</v>
      </c>
      <c r="N81" s="17">
        <f t="shared" si="6"/>
        <v>22500000</v>
      </c>
      <c r="Q81" s="12">
        <f t="shared" si="7"/>
        <v>31</v>
      </c>
    </row>
    <row r="82" spans="1:17" ht="15" hidden="1" customHeight="1" x14ac:dyDescent="0.2">
      <c r="A82" s="12" t="s">
        <v>308</v>
      </c>
      <c r="B82" s="36">
        <v>46039</v>
      </c>
      <c r="C82" s="14">
        <f t="shared" si="8"/>
        <v>477</v>
      </c>
      <c r="D82" s="12">
        <f t="shared" si="9"/>
        <v>1</v>
      </c>
      <c r="F82" s="12"/>
      <c r="G82" s="14" t="s">
        <v>60</v>
      </c>
      <c r="H82" s="12" t="s">
        <v>2536</v>
      </c>
      <c r="I82" s="18">
        <v>1111</v>
      </c>
      <c r="J82" s="12">
        <v>112111</v>
      </c>
      <c r="K82" s="12" t="s">
        <v>20</v>
      </c>
      <c r="L82" s="12">
        <v>1</v>
      </c>
      <c r="M82" s="17">
        <v>1000000</v>
      </c>
      <c r="N82" s="17">
        <f t="shared" si="6"/>
        <v>1000000</v>
      </c>
      <c r="Q82" s="12">
        <f t="shared" si="7"/>
        <v>35</v>
      </c>
    </row>
    <row r="83" spans="1:17" ht="15" hidden="1" customHeight="1" x14ac:dyDescent="0.2">
      <c r="A83" s="12" t="s">
        <v>309</v>
      </c>
      <c r="B83" s="36">
        <v>46037</v>
      </c>
      <c r="C83" s="14">
        <f t="shared" si="8"/>
        <v>478</v>
      </c>
      <c r="D83" s="12">
        <f t="shared" si="9"/>
        <v>1</v>
      </c>
      <c r="G83" s="14" t="s">
        <v>56</v>
      </c>
      <c r="H83" s="12" t="s">
        <v>2537</v>
      </c>
      <c r="I83" s="18">
        <v>112111</v>
      </c>
      <c r="J83" s="12">
        <v>131</v>
      </c>
      <c r="K83" s="12" t="s">
        <v>20</v>
      </c>
      <c r="L83" s="12">
        <v>1</v>
      </c>
      <c r="M83" s="17">
        <v>9580645</v>
      </c>
      <c r="N83" s="17">
        <f t="shared" si="6"/>
        <v>9580645</v>
      </c>
      <c r="Q83" s="12">
        <f t="shared" si="7"/>
        <v>127</v>
      </c>
    </row>
    <row r="84" spans="1:17" ht="15" hidden="1" customHeight="1" x14ac:dyDescent="0.2">
      <c r="A84" s="12" t="s">
        <v>309</v>
      </c>
      <c r="B84" s="36">
        <v>46037</v>
      </c>
      <c r="C84" s="14">
        <f t="shared" si="8"/>
        <v>479</v>
      </c>
      <c r="D84" s="12">
        <f t="shared" si="9"/>
        <v>1</v>
      </c>
      <c r="G84" s="14" t="s">
        <v>508</v>
      </c>
      <c r="H84" s="12" t="s">
        <v>2538</v>
      </c>
      <c r="I84" s="18">
        <v>112111</v>
      </c>
      <c r="J84" s="12">
        <v>131</v>
      </c>
      <c r="K84" s="12" t="s">
        <v>20</v>
      </c>
      <c r="L84" s="12">
        <v>1</v>
      </c>
      <c r="M84" s="17">
        <v>4400000</v>
      </c>
      <c r="N84" s="17">
        <f t="shared" si="6"/>
        <v>4400000</v>
      </c>
      <c r="Q84" s="12">
        <f t="shared" si="7"/>
        <v>106</v>
      </c>
    </row>
    <row r="85" spans="1:17" ht="15" hidden="1" customHeight="1" x14ac:dyDescent="0.2">
      <c r="A85" s="12" t="s">
        <v>309</v>
      </c>
      <c r="B85" s="36">
        <v>46037</v>
      </c>
      <c r="C85" s="14">
        <f t="shared" si="8"/>
        <v>480</v>
      </c>
      <c r="D85" s="12">
        <f t="shared" si="9"/>
        <v>1</v>
      </c>
      <c r="G85" s="14" t="s">
        <v>68</v>
      </c>
      <c r="H85" s="14" t="s">
        <v>2539</v>
      </c>
      <c r="I85" s="18">
        <v>112111</v>
      </c>
      <c r="J85" s="12">
        <v>131</v>
      </c>
      <c r="K85" s="12" t="s">
        <v>20</v>
      </c>
      <c r="L85" s="12">
        <v>1</v>
      </c>
      <c r="M85" s="17">
        <v>9900000</v>
      </c>
      <c r="N85" s="17">
        <f t="shared" si="6"/>
        <v>9900000</v>
      </c>
      <c r="Q85" s="12">
        <f t="shared" si="7"/>
        <v>149</v>
      </c>
    </row>
    <row r="86" spans="1:17" ht="15" hidden="1" customHeight="1" x14ac:dyDescent="0.2">
      <c r="A86" s="12" t="s">
        <v>308</v>
      </c>
      <c r="B86" s="36">
        <v>46033</v>
      </c>
      <c r="C86" s="14">
        <f t="shared" si="8"/>
        <v>481</v>
      </c>
      <c r="D86" s="12">
        <f t="shared" si="9"/>
        <v>1</v>
      </c>
      <c r="F86" s="12"/>
      <c r="G86" s="14" t="s">
        <v>60</v>
      </c>
      <c r="H86" s="14" t="s">
        <v>2540</v>
      </c>
      <c r="I86" s="18">
        <v>1111</v>
      </c>
      <c r="J86" s="12">
        <v>112111</v>
      </c>
      <c r="K86" s="12" t="s">
        <v>20</v>
      </c>
      <c r="L86" s="12">
        <v>1</v>
      </c>
      <c r="M86" s="17">
        <v>5000000</v>
      </c>
      <c r="N86" s="17">
        <f t="shared" si="6"/>
        <v>5000000</v>
      </c>
      <c r="Q86" s="12">
        <f t="shared" si="7"/>
        <v>35</v>
      </c>
    </row>
    <row r="87" spans="1:17" ht="15" hidden="1" customHeight="1" x14ac:dyDescent="0.2">
      <c r="A87" s="12" t="s">
        <v>309</v>
      </c>
      <c r="B87" s="36">
        <v>46030</v>
      </c>
      <c r="C87" s="14">
        <f t="shared" si="8"/>
        <v>482</v>
      </c>
      <c r="D87" s="12">
        <f t="shared" si="9"/>
        <v>1</v>
      </c>
      <c r="G87" s="14" t="s">
        <v>508</v>
      </c>
      <c r="H87" s="14" t="s">
        <v>2538</v>
      </c>
      <c r="I87" s="18">
        <v>112111</v>
      </c>
      <c r="J87" s="12">
        <v>131</v>
      </c>
      <c r="K87" s="12" t="s">
        <v>20</v>
      </c>
      <c r="L87" s="12">
        <v>1</v>
      </c>
      <c r="M87" s="17">
        <v>4400000</v>
      </c>
      <c r="N87" s="17">
        <f t="shared" si="6"/>
        <v>4400000</v>
      </c>
      <c r="Q87" s="12">
        <f t="shared" si="7"/>
        <v>106</v>
      </c>
    </row>
    <row r="88" spans="1:17" ht="15" hidden="1" customHeight="1" x14ac:dyDescent="0.2">
      <c r="A88" s="12" t="s">
        <v>308</v>
      </c>
      <c r="B88" s="36">
        <v>46053</v>
      </c>
      <c r="C88" s="14">
        <f t="shared" si="8"/>
        <v>483</v>
      </c>
      <c r="D88" s="12">
        <f t="shared" si="9"/>
        <v>1</v>
      </c>
      <c r="F88" s="12"/>
      <c r="G88" s="14" t="s">
        <v>60</v>
      </c>
      <c r="H88" s="14" t="s">
        <v>2541</v>
      </c>
      <c r="I88" s="18">
        <v>3383</v>
      </c>
      <c r="J88" s="12">
        <v>112111</v>
      </c>
      <c r="K88" s="12" t="s">
        <v>20</v>
      </c>
      <c r="L88" s="12">
        <v>1</v>
      </c>
      <c r="M88" s="17">
        <v>690300</v>
      </c>
      <c r="N88" s="17">
        <f t="shared" si="6"/>
        <v>690300</v>
      </c>
      <c r="Q88" s="12">
        <f t="shared" si="7"/>
        <v>33</v>
      </c>
    </row>
    <row r="89" spans="1:17" ht="15" hidden="1" customHeight="1" x14ac:dyDescent="0.2">
      <c r="A89" s="12" t="s">
        <v>309</v>
      </c>
      <c r="B89" s="36">
        <v>46053</v>
      </c>
      <c r="C89" s="14">
        <f t="shared" si="8"/>
        <v>484</v>
      </c>
      <c r="D89" s="12">
        <f t="shared" si="9"/>
        <v>1</v>
      </c>
      <c r="G89" s="14" t="s">
        <v>246</v>
      </c>
      <c r="H89" s="14" t="s">
        <v>2542</v>
      </c>
      <c r="I89" s="18">
        <v>112111</v>
      </c>
      <c r="J89" s="12">
        <v>131</v>
      </c>
      <c r="K89" s="12" t="s">
        <v>20</v>
      </c>
      <c r="L89" s="12">
        <v>1</v>
      </c>
      <c r="M89" s="17">
        <v>2420000</v>
      </c>
      <c r="N89" s="17">
        <f t="shared" si="6"/>
        <v>2420000</v>
      </c>
      <c r="Q89" s="12">
        <f t="shared" si="7"/>
        <v>112</v>
      </c>
    </row>
    <row r="90" spans="1:17" ht="15" hidden="1" customHeight="1" x14ac:dyDescent="0.2">
      <c r="A90" s="12" t="s">
        <v>309</v>
      </c>
      <c r="B90" s="36">
        <v>46053</v>
      </c>
      <c r="C90" s="14">
        <f t="shared" si="8"/>
        <v>485</v>
      </c>
      <c r="D90" s="12">
        <f t="shared" si="9"/>
        <v>1</v>
      </c>
      <c r="F90" s="12"/>
      <c r="G90" s="14" t="s">
        <v>60</v>
      </c>
      <c r="H90" s="14" t="s">
        <v>2543</v>
      </c>
      <c r="I90" s="18">
        <v>112111</v>
      </c>
      <c r="J90" s="12">
        <v>5154</v>
      </c>
      <c r="K90" s="12" t="s">
        <v>20</v>
      </c>
      <c r="L90" s="12">
        <v>1</v>
      </c>
      <c r="M90" s="17">
        <v>5770</v>
      </c>
      <c r="N90" s="17">
        <f t="shared" si="6"/>
        <v>5770</v>
      </c>
      <c r="Q90" s="12">
        <f t="shared" si="7"/>
        <v>12</v>
      </c>
    </row>
    <row r="91" spans="1:17" ht="15" hidden="1" customHeight="1" x14ac:dyDescent="0.2">
      <c r="A91" s="12" t="s">
        <v>308</v>
      </c>
      <c r="B91" s="36">
        <v>46050</v>
      </c>
      <c r="C91" s="14">
        <f t="shared" si="8"/>
        <v>486</v>
      </c>
      <c r="D91" s="12">
        <f t="shared" si="9"/>
        <v>1</v>
      </c>
      <c r="G91" s="14" t="s">
        <v>60</v>
      </c>
      <c r="H91" s="12" t="s">
        <v>2544</v>
      </c>
      <c r="I91" s="18">
        <v>1111</v>
      </c>
      <c r="J91" s="12">
        <v>112111</v>
      </c>
      <c r="K91" s="12" t="s">
        <v>20</v>
      </c>
      <c r="L91" s="12">
        <v>1</v>
      </c>
      <c r="M91" s="17">
        <v>10000000</v>
      </c>
      <c r="N91" s="17">
        <f t="shared" si="6"/>
        <v>10000000</v>
      </c>
      <c r="Q91" s="12">
        <f t="shared" si="7"/>
        <v>35</v>
      </c>
    </row>
    <row r="92" spans="1:17" ht="15" hidden="1" customHeight="1" x14ac:dyDescent="0.2">
      <c r="A92" s="12" t="s">
        <v>309</v>
      </c>
      <c r="B92" s="36">
        <v>46050</v>
      </c>
      <c r="C92" s="14">
        <f t="shared" si="8"/>
        <v>487</v>
      </c>
      <c r="D92" s="12">
        <f t="shared" si="9"/>
        <v>1</v>
      </c>
      <c r="G92" s="14" t="s">
        <v>56</v>
      </c>
      <c r="H92" s="12" t="s">
        <v>2537</v>
      </c>
      <c r="I92" s="18">
        <v>112111</v>
      </c>
      <c r="J92" s="12">
        <v>131</v>
      </c>
      <c r="K92" s="12" t="s">
        <v>20</v>
      </c>
      <c r="L92" s="12">
        <v>1</v>
      </c>
      <c r="M92" s="17">
        <v>9580645</v>
      </c>
      <c r="N92" s="17">
        <f t="shared" si="6"/>
        <v>9580645</v>
      </c>
      <c r="Q92" s="12">
        <f t="shared" si="7"/>
        <v>127</v>
      </c>
    </row>
    <row r="93" spans="1:17" ht="15" hidden="1" customHeight="1" x14ac:dyDescent="0.2">
      <c r="A93" s="12" t="s">
        <v>308</v>
      </c>
      <c r="B93" s="36">
        <v>46045</v>
      </c>
      <c r="C93" s="14">
        <f t="shared" si="8"/>
        <v>488</v>
      </c>
      <c r="D93" s="12">
        <f t="shared" si="9"/>
        <v>1</v>
      </c>
      <c r="G93" s="14" t="s">
        <v>60</v>
      </c>
      <c r="H93" s="14" t="s">
        <v>2545</v>
      </c>
      <c r="I93" s="18">
        <v>1111</v>
      </c>
      <c r="J93" s="12">
        <v>112111</v>
      </c>
      <c r="K93" s="12" t="s">
        <v>20</v>
      </c>
      <c r="L93" s="12">
        <v>1</v>
      </c>
      <c r="M93" s="17">
        <v>4000000</v>
      </c>
      <c r="N93" s="17">
        <f t="shared" si="6"/>
        <v>4000000</v>
      </c>
      <c r="Q93" s="12">
        <f t="shared" si="7"/>
        <v>31</v>
      </c>
    </row>
    <row r="94" spans="1:17" ht="15" hidden="1" customHeight="1" x14ac:dyDescent="0.2">
      <c r="A94" s="12" t="s">
        <v>309</v>
      </c>
      <c r="B94" s="36">
        <v>46045</v>
      </c>
      <c r="C94" s="14">
        <f t="shared" si="8"/>
        <v>489</v>
      </c>
      <c r="D94" s="12">
        <f t="shared" si="9"/>
        <v>1</v>
      </c>
      <c r="F94" s="12"/>
      <c r="G94" s="14" t="s">
        <v>508</v>
      </c>
      <c r="H94" s="14" t="s">
        <v>2546</v>
      </c>
      <c r="I94" s="18">
        <v>112111</v>
      </c>
      <c r="J94" s="12">
        <v>131</v>
      </c>
      <c r="K94" s="12" t="s">
        <v>20</v>
      </c>
      <c r="L94" s="12">
        <v>1</v>
      </c>
      <c r="M94" s="17">
        <v>4400000</v>
      </c>
      <c r="N94" s="17">
        <f t="shared" si="6"/>
        <v>4400000</v>
      </c>
      <c r="Q94" s="12">
        <f t="shared" si="7"/>
        <v>106</v>
      </c>
    </row>
    <row r="95" spans="1:17" ht="15" hidden="1" customHeight="1" x14ac:dyDescent="0.2">
      <c r="A95" s="12" t="s">
        <v>308</v>
      </c>
      <c r="B95" s="36">
        <v>46045</v>
      </c>
      <c r="C95" s="14">
        <f t="shared" si="8"/>
        <v>490</v>
      </c>
      <c r="D95" s="12">
        <f t="shared" si="9"/>
        <v>1</v>
      </c>
      <c r="H95" s="12" t="s">
        <v>2547</v>
      </c>
      <c r="I95" s="18">
        <v>333</v>
      </c>
      <c r="J95" s="12">
        <v>112111</v>
      </c>
      <c r="K95" s="12" t="s">
        <v>20</v>
      </c>
      <c r="L95" s="12">
        <v>1</v>
      </c>
      <c r="M95" s="17">
        <v>12487389</v>
      </c>
      <c r="N95" s="17">
        <f t="shared" si="6"/>
        <v>12487389</v>
      </c>
      <c r="Q95" s="12">
        <f t="shared" si="7"/>
        <v>28</v>
      </c>
    </row>
    <row r="96" spans="1:17" ht="15" hidden="1" customHeight="1" x14ac:dyDescent="0.2">
      <c r="A96" s="12" t="s">
        <v>308</v>
      </c>
      <c r="B96" s="36">
        <v>46045</v>
      </c>
      <c r="C96" s="14">
        <f t="shared" si="8"/>
        <v>491</v>
      </c>
      <c r="D96" s="12">
        <f t="shared" si="9"/>
        <v>1</v>
      </c>
      <c r="G96" s="14" t="s">
        <v>60</v>
      </c>
      <c r="H96" s="12" t="s">
        <v>2548</v>
      </c>
      <c r="I96" s="18">
        <v>1111</v>
      </c>
      <c r="J96" s="12">
        <v>112111</v>
      </c>
      <c r="K96" s="12" t="s">
        <v>20</v>
      </c>
      <c r="L96" s="12">
        <v>1</v>
      </c>
      <c r="M96" s="17">
        <v>8000000</v>
      </c>
      <c r="N96" s="17">
        <f t="shared" si="6"/>
        <v>8000000</v>
      </c>
      <c r="Q96" s="12">
        <f t="shared" si="7"/>
        <v>31</v>
      </c>
    </row>
    <row r="97" spans="1:17" ht="15" hidden="1" customHeight="1" x14ac:dyDescent="0.2">
      <c r="A97" s="12" t="s">
        <v>309</v>
      </c>
      <c r="B97" s="36">
        <v>46091</v>
      </c>
      <c r="C97" s="14">
        <f t="shared" si="8"/>
        <v>492</v>
      </c>
      <c r="D97" s="12">
        <f t="shared" si="9"/>
        <v>1</v>
      </c>
      <c r="G97" s="14" t="s">
        <v>511</v>
      </c>
      <c r="H97" s="14" t="s">
        <v>2549</v>
      </c>
      <c r="I97" s="12">
        <v>112111</v>
      </c>
      <c r="J97" s="12">
        <v>131</v>
      </c>
      <c r="K97" s="12" t="s">
        <v>20</v>
      </c>
      <c r="L97" s="12">
        <v>1</v>
      </c>
      <c r="M97" s="17">
        <v>3300000</v>
      </c>
      <c r="N97" s="17">
        <f t="shared" si="6"/>
        <v>3300000</v>
      </c>
      <c r="Q97" s="12">
        <f t="shared" si="7"/>
        <v>114</v>
      </c>
    </row>
    <row r="98" spans="1:17" ht="15" hidden="1" customHeight="1" x14ac:dyDescent="0.2">
      <c r="A98" s="12" t="s">
        <v>308</v>
      </c>
      <c r="B98" s="36">
        <v>46087</v>
      </c>
      <c r="C98" s="14">
        <f t="shared" si="8"/>
        <v>493</v>
      </c>
      <c r="D98" s="12">
        <f t="shared" si="9"/>
        <v>1</v>
      </c>
      <c r="G98" s="14" t="s">
        <v>60</v>
      </c>
      <c r="H98" s="14" t="s">
        <v>2550</v>
      </c>
      <c r="I98" s="18">
        <v>1111</v>
      </c>
      <c r="J98" s="12">
        <v>112111</v>
      </c>
      <c r="K98" s="12" t="s">
        <v>20</v>
      </c>
      <c r="L98" s="12">
        <v>1</v>
      </c>
      <c r="M98" s="17">
        <v>22000000</v>
      </c>
      <c r="N98" s="17">
        <f t="shared" si="6"/>
        <v>22000000</v>
      </c>
      <c r="Q98" s="12">
        <f t="shared" si="7"/>
        <v>31</v>
      </c>
    </row>
    <row r="99" spans="1:17" ht="15" hidden="1" customHeight="1" x14ac:dyDescent="0.2">
      <c r="A99" s="12" t="s">
        <v>309</v>
      </c>
      <c r="B99" s="36">
        <v>46087</v>
      </c>
      <c r="C99" s="14">
        <f t="shared" si="8"/>
        <v>494</v>
      </c>
      <c r="D99" s="12">
        <f t="shared" si="9"/>
        <v>1</v>
      </c>
      <c r="F99" s="12"/>
      <c r="G99" s="14" t="s">
        <v>49</v>
      </c>
      <c r="H99" s="14" t="s">
        <v>2551</v>
      </c>
      <c r="I99" s="18">
        <v>112111</v>
      </c>
      <c r="J99" s="12">
        <v>131</v>
      </c>
      <c r="K99" s="12" t="s">
        <v>20</v>
      </c>
      <c r="L99" s="12">
        <v>1</v>
      </c>
      <c r="M99" s="17">
        <v>4950000</v>
      </c>
      <c r="N99" s="17">
        <f t="shared" si="6"/>
        <v>4950000</v>
      </c>
      <c r="Q99" s="12">
        <f t="shared" si="7"/>
        <v>114</v>
      </c>
    </row>
    <row r="100" spans="1:17" ht="15" hidden="1" customHeight="1" x14ac:dyDescent="0.2">
      <c r="A100" s="12" t="s">
        <v>309</v>
      </c>
      <c r="B100" s="36">
        <v>46087</v>
      </c>
      <c r="C100" s="14">
        <f t="shared" ref="C100:C142" si="10">C99+D100</f>
        <v>495</v>
      </c>
      <c r="D100" s="12">
        <f t="shared" ref="D100:D142" si="11">IF(H100=H99,0,1)</f>
        <v>1</v>
      </c>
      <c r="G100" s="14" t="s">
        <v>510</v>
      </c>
      <c r="H100" s="14" t="s">
        <v>2552</v>
      </c>
      <c r="I100" s="12">
        <v>112111</v>
      </c>
      <c r="J100" s="12">
        <v>131</v>
      </c>
      <c r="K100" s="12" t="s">
        <v>20</v>
      </c>
      <c r="L100" s="12">
        <v>1</v>
      </c>
      <c r="M100" s="17">
        <v>12100000</v>
      </c>
      <c r="N100" s="17">
        <f t="shared" si="6"/>
        <v>12100000</v>
      </c>
      <c r="Q100" s="12">
        <f t="shared" si="7"/>
        <v>100</v>
      </c>
    </row>
    <row r="101" spans="1:17" ht="15" hidden="1" customHeight="1" x14ac:dyDescent="0.2">
      <c r="A101" s="12" t="s">
        <v>309</v>
      </c>
      <c r="B101" s="36">
        <v>46081</v>
      </c>
      <c r="C101" s="14">
        <f t="shared" si="10"/>
        <v>496</v>
      </c>
      <c r="D101" s="12">
        <f t="shared" si="11"/>
        <v>1</v>
      </c>
      <c r="G101" s="14" t="s">
        <v>60</v>
      </c>
      <c r="H101" s="14" t="s">
        <v>2543</v>
      </c>
      <c r="I101" s="12">
        <v>112111</v>
      </c>
      <c r="J101" s="12">
        <v>5154</v>
      </c>
      <c r="K101" s="12" t="s">
        <v>20</v>
      </c>
      <c r="L101" s="12">
        <v>1</v>
      </c>
      <c r="M101" s="17">
        <v>426</v>
      </c>
      <c r="N101" s="17">
        <f t="shared" si="6"/>
        <v>426</v>
      </c>
      <c r="Q101" s="12">
        <f t="shared" si="7"/>
        <v>12</v>
      </c>
    </row>
    <row r="102" spans="1:17" ht="15" hidden="1" customHeight="1" x14ac:dyDescent="0.2">
      <c r="A102" s="12" t="s">
        <v>309</v>
      </c>
      <c r="B102" s="36">
        <v>46079</v>
      </c>
      <c r="C102" s="14">
        <f t="shared" si="10"/>
        <v>497</v>
      </c>
      <c r="D102" s="12">
        <f t="shared" si="11"/>
        <v>1</v>
      </c>
      <c r="G102" s="14" t="s">
        <v>49</v>
      </c>
      <c r="H102" s="14" t="s">
        <v>2553</v>
      </c>
      <c r="I102" s="12">
        <v>112111</v>
      </c>
      <c r="J102" s="12">
        <v>131</v>
      </c>
      <c r="K102" s="12" t="s">
        <v>20</v>
      </c>
      <c r="L102" s="12">
        <v>1</v>
      </c>
      <c r="M102" s="17">
        <v>4950000</v>
      </c>
      <c r="N102" s="17">
        <f t="shared" si="6"/>
        <v>4950000</v>
      </c>
      <c r="Q102" s="12">
        <f t="shared" si="7"/>
        <v>155</v>
      </c>
    </row>
    <row r="103" spans="1:17" ht="15" hidden="1" customHeight="1" x14ac:dyDescent="0.2">
      <c r="A103" s="12" t="s">
        <v>308</v>
      </c>
      <c r="B103" s="36">
        <v>46078</v>
      </c>
      <c r="C103" s="14">
        <f t="shared" si="10"/>
        <v>498</v>
      </c>
      <c r="D103" s="12">
        <f t="shared" si="11"/>
        <v>1</v>
      </c>
      <c r="G103" s="14" t="s">
        <v>60</v>
      </c>
      <c r="H103" s="14" t="s">
        <v>2554</v>
      </c>
      <c r="I103" s="18">
        <v>3383</v>
      </c>
      <c r="J103" s="12">
        <v>112111</v>
      </c>
      <c r="K103" s="12" t="s">
        <v>20</v>
      </c>
      <c r="L103" s="12">
        <v>1</v>
      </c>
      <c r="M103" s="17">
        <v>690300</v>
      </c>
      <c r="N103" s="17">
        <f t="shared" si="6"/>
        <v>690300</v>
      </c>
      <c r="Q103" s="12">
        <f t="shared" si="7"/>
        <v>31</v>
      </c>
    </row>
    <row r="104" spans="1:17" ht="15" hidden="1" customHeight="1" x14ac:dyDescent="0.2">
      <c r="A104" s="12" t="s">
        <v>308</v>
      </c>
      <c r="B104" s="36">
        <v>46059</v>
      </c>
      <c r="C104" s="14">
        <f t="shared" si="10"/>
        <v>499</v>
      </c>
      <c r="D104" s="12">
        <f t="shared" si="11"/>
        <v>1</v>
      </c>
      <c r="G104" s="14" t="s">
        <v>60</v>
      </c>
      <c r="H104" s="14" t="s">
        <v>2555</v>
      </c>
      <c r="I104" s="12">
        <v>1111</v>
      </c>
      <c r="J104" s="12">
        <v>112111</v>
      </c>
      <c r="K104" s="12" t="s">
        <v>20</v>
      </c>
      <c r="L104" s="12">
        <v>1</v>
      </c>
      <c r="M104" s="17">
        <v>11000000</v>
      </c>
      <c r="N104" s="17">
        <f t="shared" si="6"/>
        <v>11000000</v>
      </c>
      <c r="Q104" s="12">
        <f t="shared" si="7"/>
        <v>31</v>
      </c>
    </row>
    <row r="105" spans="1:17" ht="15" hidden="1" customHeight="1" x14ac:dyDescent="0.2">
      <c r="A105" s="12" t="s">
        <v>309</v>
      </c>
      <c r="B105" s="36">
        <v>46057</v>
      </c>
      <c r="C105" s="14">
        <f t="shared" si="10"/>
        <v>500</v>
      </c>
      <c r="D105" s="12">
        <f t="shared" si="11"/>
        <v>1</v>
      </c>
      <c r="G105" s="14" t="s">
        <v>49</v>
      </c>
      <c r="H105" s="14" t="s">
        <v>2553</v>
      </c>
      <c r="I105" s="12">
        <v>112111</v>
      </c>
      <c r="J105" s="12">
        <v>131</v>
      </c>
      <c r="K105" s="12" t="s">
        <v>20</v>
      </c>
      <c r="L105" s="12">
        <v>1</v>
      </c>
      <c r="M105" s="17">
        <v>9900000</v>
      </c>
      <c r="N105" s="17">
        <f t="shared" si="6"/>
        <v>9900000</v>
      </c>
      <c r="Q105" s="12">
        <f t="shared" si="7"/>
        <v>155</v>
      </c>
    </row>
    <row r="106" spans="1:17" ht="15" hidden="1" customHeight="1" x14ac:dyDescent="0.2">
      <c r="A106" s="12" t="s">
        <v>309</v>
      </c>
      <c r="B106" s="36">
        <v>46106</v>
      </c>
      <c r="C106" s="14">
        <f t="shared" si="10"/>
        <v>501</v>
      </c>
      <c r="D106" s="12">
        <f t="shared" si="11"/>
        <v>1</v>
      </c>
      <c r="G106" s="14" t="s">
        <v>509</v>
      </c>
      <c r="H106" s="14" t="s">
        <v>2556</v>
      </c>
      <c r="I106" s="12">
        <v>112111</v>
      </c>
      <c r="J106" s="12">
        <v>131</v>
      </c>
      <c r="K106" s="12" t="s">
        <v>20</v>
      </c>
      <c r="L106" s="12">
        <v>1</v>
      </c>
      <c r="M106" s="17">
        <v>6600000</v>
      </c>
      <c r="N106" s="17">
        <f t="shared" si="6"/>
        <v>6600000</v>
      </c>
      <c r="Q106" s="12">
        <f t="shared" si="7"/>
        <v>113</v>
      </c>
    </row>
    <row r="107" spans="1:17" ht="15" hidden="1" customHeight="1" x14ac:dyDescent="0.2">
      <c r="A107" s="12" t="s">
        <v>308</v>
      </c>
      <c r="B107" s="36">
        <v>46105</v>
      </c>
      <c r="C107" s="14">
        <f t="shared" si="10"/>
        <v>502</v>
      </c>
      <c r="D107" s="12">
        <f t="shared" si="11"/>
        <v>1</v>
      </c>
      <c r="G107" s="14" t="s">
        <v>60</v>
      </c>
      <c r="H107" s="14" t="s">
        <v>2557</v>
      </c>
      <c r="I107" s="12">
        <v>1111</v>
      </c>
      <c r="J107" s="12">
        <v>112111</v>
      </c>
      <c r="K107" s="12" t="s">
        <v>20</v>
      </c>
      <c r="L107" s="12">
        <v>1</v>
      </c>
      <c r="M107" s="17">
        <v>10000000</v>
      </c>
      <c r="N107" s="17">
        <f t="shared" si="6"/>
        <v>10000000</v>
      </c>
      <c r="Q107" s="12">
        <f t="shared" si="7"/>
        <v>31</v>
      </c>
    </row>
    <row r="108" spans="1:17" ht="15" hidden="1" customHeight="1" x14ac:dyDescent="0.2">
      <c r="A108" s="12" t="s">
        <v>309</v>
      </c>
      <c r="B108" s="36">
        <v>46105</v>
      </c>
      <c r="C108" s="14">
        <f t="shared" si="10"/>
        <v>503</v>
      </c>
      <c r="D108" s="12">
        <f t="shared" si="11"/>
        <v>1</v>
      </c>
      <c r="G108" s="14" t="s">
        <v>26</v>
      </c>
      <c r="H108" s="14" t="s">
        <v>2558</v>
      </c>
      <c r="I108" s="12">
        <v>112111</v>
      </c>
      <c r="J108" s="12">
        <v>131</v>
      </c>
      <c r="K108" s="12" t="s">
        <v>20</v>
      </c>
      <c r="L108" s="12">
        <v>1</v>
      </c>
      <c r="M108" s="17">
        <v>9900000</v>
      </c>
      <c r="N108" s="17">
        <f t="shared" si="6"/>
        <v>9900000</v>
      </c>
      <c r="Q108" s="12">
        <f t="shared" si="7"/>
        <v>157</v>
      </c>
    </row>
    <row r="109" spans="1:17" ht="15" hidden="1" customHeight="1" x14ac:dyDescent="0.2">
      <c r="A109" s="12" t="s">
        <v>308</v>
      </c>
      <c r="B109" s="36">
        <v>46093</v>
      </c>
      <c r="C109" s="14">
        <f t="shared" si="10"/>
        <v>504</v>
      </c>
      <c r="D109" s="12">
        <f t="shared" si="11"/>
        <v>1</v>
      </c>
      <c r="G109" s="14" t="s">
        <v>60</v>
      </c>
      <c r="H109" s="14" t="s">
        <v>2559</v>
      </c>
      <c r="I109" s="12">
        <v>1111</v>
      </c>
      <c r="J109" s="12">
        <v>112111</v>
      </c>
      <c r="K109" s="12" t="s">
        <v>20</v>
      </c>
      <c r="L109" s="12">
        <v>1</v>
      </c>
      <c r="M109" s="17">
        <v>23000000</v>
      </c>
      <c r="N109" s="17">
        <f t="shared" si="6"/>
        <v>23000000</v>
      </c>
      <c r="Q109" s="12">
        <f t="shared" si="7"/>
        <v>31</v>
      </c>
    </row>
    <row r="110" spans="1:17" ht="15" hidden="1" customHeight="1" x14ac:dyDescent="0.2">
      <c r="A110" s="12" t="s">
        <v>309</v>
      </c>
      <c r="B110" s="36">
        <v>46093</v>
      </c>
      <c r="C110" s="14">
        <f t="shared" si="10"/>
        <v>505</v>
      </c>
      <c r="D110" s="12">
        <f t="shared" si="11"/>
        <v>1</v>
      </c>
      <c r="G110" s="14" t="s">
        <v>43</v>
      </c>
      <c r="H110" s="14" t="s">
        <v>2560</v>
      </c>
      <c r="I110" s="12">
        <v>112111</v>
      </c>
      <c r="J110" s="12">
        <v>131</v>
      </c>
      <c r="K110" s="12" t="s">
        <v>20</v>
      </c>
      <c r="L110" s="12">
        <v>1</v>
      </c>
      <c r="M110" s="17">
        <v>7700000</v>
      </c>
      <c r="N110" s="17">
        <f t="shared" si="6"/>
        <v>7700000</v>
      </c>
      <c r="Q110" s="12">
        <f t="shared" si="7"/>
        <v>180</v>
      </c>
    </row>
    <row r="111" spans="1:17" ht="15" hidden="1" customHeight="1" x14ac:dyDescent="0.2">
      <c r="A111" s="12" t="s">
        <v>309</v>
      </c>
      <c r="B111" s="36">
        <v>46092</v>
      </c>
      <c r="C111" s="14">
        <f t="shared" si="10"/>
        <v>505</v>
      </c>
      <c r="D111" s="12">
        <f t="shared" si="11"/>
        <v>0</v>
      </c>
      <c r="G111" s="14" t="s">
        <v>43</v>
      </c>
      <c r="H111" s="14" t="s">
        <v>2560</v>
      </c>
      <c r="I111" s="12">
        <v>112111</v>
      </c>
      <c r="J111" s="12">
        <v>131</v>
      </c>
      <c r="K111" s="12" t="s">
        <v>20</v>
      </c>
      <c r="L111" s="12">
        <v>1</v>
      </c>
      <c r="M111" s="17">
        <v>15400000</v>
      </c>
      <c r="N111" s="17">
        <f t="shared" si="6"/>
        <v>15400000</v>
      </c>
      <c r="Q111" s="12">
        <f t="shared" si="7"/>
        <v>180</v>
      </c>
    </row>
    <row r="112" spans="1:17" ht="15" hidden="1" customHeight="1" x14ac:dyDescent="0.2">
      <c r="A112" s="12" t="s">
        <v>308</v>
      </c>
      <c r="B112" s="36">
        <v>46091</v>
      </c>
      <c r="C112" s="14">
        <f t="shared" si="10"/>
        <v>506</v>
      </c>
      <c r="D112" s="12">
        <f t="shared" si="11"/>
        <v>1</v>
      </c>
      <c r="G112" s="14" t="s">
        <v>60</v>
      </c>
      <c r="H112" s="14" t="s">
        <v>2561</v>
      </c>
      <c r="I112" s="12">
        <v>1111</v>
      </c>
      <c r="J112" s="12">
        <v>112111</v>
      </c>
      <c r="K112" s="12" t="s">
        <v>20</v>
      </c>
      <c r="L112" s="12">
        <v>1</v>
      </c>
      <c r="M112" s="17">
        <v>1500000</v>
      </c>
      <c r="N112" s="17">
        <f t="shared" si="6"/>
        <v>1500000</v>
      </c>
      <c r="Q112" s="12">
        <f t="shared" si="7"/>
        <v>34</v>
      </c>
    </row>
    <row r="113" spans="1:17" ht="15" hidden="1" customHeight="1" x14ac:dyDescent="0.2">
      <c r="A113" s="12" t="s">
        <v>309</v>
      </c>
      <c r="B113" s="36">
        <v>46039</v>
      </c>
      <c r="C113" s="14">
        <f t="shared" si="10"/>
        <v>507</v>
      </c>
      <c r="D113" s="12">
        <f t="shared" si="11"/>
        <v>1</v>
      </c>
      <c r="G113" s="14" t="s">
        <v>60</v>
      </c>
      <c r="H113" s="14" t="s">
        <v>2562</v>
      </c>
      <c r="I113" s="12">
        <v>112111</v>
      </c>
      <c r="J113" s="12">
        <v>5154</v>
      </c>
      <c r="K113" s="12" t="s">
        <v>20</v>
      </c>
      <c r="L113" s="12">
        <v>1</v>
      </c>
      <c r="M113" s="17">
        <v>26</v>
      </c>
      <c r="N113" s="17">
        <f t="shared" si="6"/>
        <v>26</v>
      </c>
      <c r="Q113" s="12">
        <f t="shared" si="7"/>
        <v>42</v>
      </c>
    </row>
    <row r="114" spans="1:17" ht="15" hidden="1" customHeight="1" x14ac:dyDescent="0.2">
      <c r="A114" s="12" t="s">
        <v>308</v>
      </c>
      <c r="B114" s="36">
        <v>46038</v>
      </c>
      <c r="C114" s="14">
        <f t="shared" si="10"/>
        <v>508</v>
      </c>
      <c r="D114" s="12">
        <f t="shared" si="11"/>
        <v>1</v>
      </c>
      <c r="G114" s="14" t="s">
        <v>60</v>
      </c>
      <c r="H114" s="14" t="s">
        <v>2563</v>
      </c>
      <c r="I114" s="12">
        <v>1111</v>
      </c>
      <c r="J114" s="12">
        <v>112111</v>
      </c>
      <c r="K114" s="12" t="s">
        <v>20</v>
      </c>
      <c r="L114" s="12">
        <v>1</v>
      </c>
      <c r="M114" s="17">
        <v>8516796</v>
      </c>
      <c r="N114" s="17">
        <f t="shared" si="6"/>
        <v>8516796</v>
      </c>
      <c r="Q114" s="12">
        <f t="shared" si="7"/>
        <v>43</v>
      </c>
    </row>
    <row r="115" spans="1:17" ht="15" hidden="1" customHeight="1" x14ac:dyDescent="0.2">
      <c r="A115" s="12" t="s">
        <v>309</v>
      </c>
      <c r="B115" s="36">
        <v>46038</v>
      </c>
      <c r="C115" s="14">
        <f t="shared" si="10"/>
        <v>509</v>
      </c>
      <c r="D115" s="12">
        <f t="shared" si="11"/>
        <v>1</v>
      </c>
      <c r="H115" s="14" t="s">
        <v>2564</v>
      </c>
      <c r="I115" s="12">
        <v>112111</v>
      </c>
      <c r="J115" s="12">
        <v>711</v>
      </c>
      <c r="K115" s="12" t="s">
        <v>20</v>
      </c>
      <c r="L115" s="12">
        <v>1</v>
      </c>
      <c r="M115" s="17">
        <v>8516129</v>
      </c>
      <c r="N115" s="17">
        <f t="shared" si="6"/>
        <v>8516129</v>
      </c>
      <c r="Q115" s="12">
        <f t="shared" si="7"/>
        <v>55</v>
      </c>
    </row>
    <row r="116" spans="1:17" ht="15" hidden="1" customHeight="1" x14ac:dyDescent="0.2">
      <c r="A116" s="12" t="s">
        <v>308</v>
      </c>
      <c r="B116" s="36">
        <v>46029</v>
      </c>
      <c r="C116" s="14">
        <f t="shared" si="10"/>
        <v>510</v>
      </c>
      <c r="D116" s="12">
        <f t="shared" si="11"/>
        <v>1</v>
      </c>
      <c r="G116" s="14" t="s">
        <v>60</v>
      </c>
      <c r="H116" s="14" t="s">
        <v>2565</v>
      </c>
      <c r="I116" s="12">
        <v>1111</v>
      </c>
      <c r="J116" s="12">
        <v>112111</v>
      </c>
      <c r="K116" s="12" t="s">
        <v>20</v>
      </c>
      <c r="L116" s="12">
        <v>1</v>
      </c>
      <c r="M116" s="17">
        <v>9588000</v>
      </c>
      <c r="N116" s="17">
        <f t="shared" si="6"/>
        <v>9588000</v>
      </c>
      <c r="Q116" s="12">
        <f t="shared" si="7"/>
        <v>43</v>
      </c>
    </row>
    <row r="117" spans="1:17" ht="15" hidden="1" customHeight="1" x14ac:dyDescent="0.2">
      <c r="A117" s="12" t="s">
        <v>309</v>
      </c>
      <c r="B117" s="36">
        <v>46027</v>
      </c>
      <c r="C117" s="14">
        <f t="shared" si="10"/>
        <v>511</v>
      </c>
      <c r="D117" s="12">
        <f t="shared" si="11"/>
        <v>1</v>
      </c>
      <c r="G117" s="14" t="s">
        <v>304</v>
      </c>
      <c r="H117" s="14" t="s">
        <v>2566</v>
      </c>
      <c r="I117" s="12">
        <v>112111</v>
      </c>
      <c r="J117" s="12">
        <v>131</v>
      </c>
      <c r="K117" s="12" t="s">
        <v>20</v>
      </c>
      <c r="L117" s="12">
        <v>1</v>
      </c>
      <c r="M117" s="17">
        <v>9580645</v>
      </c>
      <c r="N117" s="17">
        <f t="shared" si="6"/>
        <v>9580645</v>
      </c>
      <c r="Q117" s="12">
        <f t="shared" si="7"/>
        <v>153</v>
      </c>
    </row>
    <row r="118" spans="1:17" ht="15" hidden="1" customHeight="1" x14ac:dyDescent="0.2">
      <c r="A118" s="12" t="s">
        <v>309</v>
      </c>
      <c r="B118" s="36">
        <v>46102</v>
      </c>
      <c r="C118" s="14">
        <f t="shared" si="10"/>
        <v>512</v>
      </c>
      <c r="D118" s="12">
        <f t="shared" si="11"/>
        <v>1</v>
      </c>
      <c r="G118" s="14" t="s">
        <v>60</v>
      </c>
      <c r="H118" s="14" t="s">
        <v>2567</v>
      </c>
      <c r="I118" s="12">
        <v>112111</v>
      </c>
      <c r="J118" s="12">
        <v>5154</v>
      </c>
      <c r="K118" s="12" t="s">
        <v>20</v>
      </c>
      <c r="L118" s="12">
        <v>1</v>
      </c>
      <c r="M118" s="17">
        <v>3</v>
      </c>
      <c r="N118" s="17">
        <f t="shared" si="6"/>
        <v>3</v>
      </c>
      <c r="Q118" s="12">
        <f t="shared" si="7"/>
        <v>42</v>
      </c>
    </row>
    <row r="119" spans="1:17" ht="15" hidden="1" customHeight="1" x14ac:dyDescent="0.2">
      <c r="A119" s="12" t="s">
        <v>308</v>
      </c>
      <c r="B119" s="36">
        <v>46087</v>
      </c>
      <c r="C119" s="14">
        <f t="shared" si="10"/>
        <v>513</v>
      </c>
      <c r="D119" s="12">
        <f t="shared" si="11"/>
        <v>1</v>
      </c>
      <c r="G119" s="14" t="s">
        <v>60</v>
      </c>
      <c r="H119" s="14" t="s">
        <v>2568</v>
      </c>
      <c r="I119" s="12">
        <v>1111</v>
      </c>
      <c r="J119" s="12">
        <v>112111</v>
      </c>
      <c r="K119" s="12" t="s">
        <v>20</v>
      </c>
      <c r="L119" s="12">
        <v>1</v>
      </c>
      <c r="M119" s="17">
        <v>2000000</v>
      </c>
      <c r="N119" s="17">
        <f t="shared" si="6"/>
        <v>2000000</v>
      </c>
      <c r="Q119" s="12">
        <f t="shared" si="7"/>
        <v>44</v>
      </c>
    </row>
    <row r="120" spans="1:17" ht="15" hidden="1" customHeight="1" x14ac:dyDescent="0.2">
      <c r="A120" s="12" t="s">
        <v>309</v>
      </c>
      <c r="B120" s="36">
        <v>46086</v>
      </c>
      <c r="C120" s="14">
        <f t="shared" si="10"/>
        <v>514</v>
      </c>
      <c r="D120" s="12">
        <f t="shared" si="11"/>
        <v>1</v>
      </c>
      <c r="G120" s="14" t="s">
        <v>509</v>
      </c>
      <c r="H120" s="14" t="s">
        <v>2556</v>
      </c>
      <c r="I120" s="12">
        <v>112111</v>
      </c>
      <c r="J120" s="12">
        <v>131</v>
      </c>
      <c r="K120" s="12" t="s">
        <v>20</v>
      </c>
      <c r="L120" s="12">
        <v>1</v>
      </c>
      <c r="M120" s="17">
        <v>1980000</v>
      </c>
      <c r="N120" s="17">
        <f t="shared" si="6"/>
        <v>1980000</v>
      </c>
      <c r="Q120" s="12">
        <f t="shared" si="7"/>
        <v>113</v>
      </c>
    </row>
    <row r="121" spans="1:17" ht="15" hidden="1" customHeight="1" x14ac:dyDescent="0.2">
      <c r="A121" s="12" t="s">
        <v>308</v>
      </c>
      <c r="B121" s="36">
        <v>46063</v>
      </c>
      <c r="C121" s="14">
        <f t="shared" si="10"/>
        <v>515</v>
      </c>
      <c r="D121" s="12">
        <f t="shared" si="11"/>
        <v>1</v>
      </c>
      <c r="G121" s="14" t="s">
        <v>60</v>
      </c>
      <c r="H121" s="14" t="s">
        <v>2569</v>
      </c>
      <c r="I121" s="12">
        <v>1111</v>
      </c>
      <c r="J121" s="12">
        <v>112111</v>
      </c>
      <c r="K121" s="12" t="s">
        <v>20</v>
      </c>
      <c r="L121" s="12">
        <v>1</v>
      </c>
      <c r="M121" s="17">
        <v>4600000</v>
      </c>
      <c r="N121" s="17">
        <f t="shared" si="6"/>
        <v>4600000</v>
      </c>
      <c r="Q121" s="12">
        <f t="shared" si="7"/>
        <v>43</v>
      </c>
    </row>
    <row r="122" spans="1:17" ht="15" hidden="1" customHeight="1" x14ac:dyDescent="0.2">
      <c r="A122" s="12" t="s">
        <v>309</v>
      </c>
      <c r="B122" s="36">
        <v>46063</v>
      </c>
      <c r="C122" s="14">
        <f t="shared" si="10"/>
        <v>516</v>
      </c>
      <c r="D122" s="12">
        <f t="shared" si="11"/>
        <v>1</v>
      </c>
      <c r="G122" s="14" t="s">
        <v>509</v>
      </c>
      <c r="H122" s="14" t="s">
        <v>2556</v>
      </c>
      <c r="I122" s="12">
        <v>112111</v>
      </c>
      <c r="J122" s="12">
        <v>131</v>
      </c>
      <c r="K122" s="12" t="s">
        <v>20</v>
      </c>
      <c r="L122" s="12">
        <v>1</v>
      </c>
      <c r="M122" s="17">
        <v>4620000</v>
      </c>
      <c r="N122" s="17">
        <f t="shared" si="6"/>
        <v>4620000</v>
      </c>
      <c r="Q122" s="12">
        <f t="shared" si="7"/>
        <v>113</v>
      </c>
    </row>
    <row r="123" spans="1:17" ht="15" hidden="1" customHeight="1" x14ac:dyDescent="0.2">
      <c r="A123" s="12" t="s">
        <v>310</v>
      </c>
      <c r="B123" s="36">
        <v>46025</v>
      </c>
      <c r="C123" s="14">
        <f t="shared" si="10"/>
        <v>517</v>
      </c>
      <c r="D123" s="12">
        <f t="shared" si="11"/>
        <v>1</v>
      </c>
      <c r="G123" s="14" t="s">
        <v>242</v>
      </c>
      <c r="H123" s="14" t="s">
        <v>2570</v>
      </c>
      <c r="I123" s="12">
        <v>331</v>
      </c>
      <c r="J123" s="12">
        <v>1111</v>
      </c>
      <c r="K123" s="12" t="s">
        <v>20</v>
      </c>
      <c r="L123" s="12">
        <v>1</v>
      </c>
      <c r="M123" s="17">
        <v>501795</v>
      </c>
      <c r="N123" s="17">
        <f t="shared" si="6"/>
        <v>501795</v>
      </c>
      <c r="Q123" s="12">
        <f t="shared" si="7"/>
        <v>133</v>
      </c>
    </row>
    <row r="124" spans="1:17" ht="15" hidden="1" customHeight="1" x14ac:dyDescent="0.2">
      <c r="A124" s="12" t="s">
        <v>310</v>
      </c>
      <c r="B124" s="36">
        <v>46026</v>
      </c>
      <c r="C124" s="14">
        <f t="shared" si="10"/>
        <v>518</v>
      </c>
      <c r="D124" s="12">
        <f t="shared" si="11"/>
        <v>1</v>
      </c>
      <c r="G124" s="14" t="s">
        <v>35</v>
      </c>
      <c r="H124" s="14" t="s">
        <v>2571</v>
      </c>
      <c r="I124" s="12">
        <v>331</v>
      </c>
      <c r="J124" s="12">
        <v>1111</v>
      </c>
      <c r="K124" s="12" t="s">
        <v>20</v>
      </c>
      <c r="L124" s="12">
        <v>1</v>
      </c>
      <c r="M124" s="17">
        <v>4320000</v>
      </c>
      <c r="N124" s="17">
        <f t="shared" si="6"/>
        <v>4320000</v>
      </c>
      <c r="Q124" s="12">
        <f t="shared" si="7"/>
        <v>51</v>
      </c>
    </row>
    <row r="125" spans="1:17" ht="15" hidden="1" customHeight="1" x14ac:dyDescent="0.2">
      <c r="A125" s="12" t="s">
        <v>310</v>
      </c>
      <c r="B125" s="36">
        <v>46027</v>
      </c>
      <c r="C125" s="14">
        <f t="shared" si="10"/>
        <v>519</v>
      </c>
      <c r="D125" s="12">
        <f t="shared" si="11"/>
        <v>1</v>
      </c>
      <c r="G125" s="14" t="s">
        <v>242</v>
      </c>
      <c r="H125" s="14" t="s">
        <v>2572</v>
      </c>
      <c r="I125" s="12">
        <v>331</v>
      </c>
      <c r="J125" s="12">
        <v>1111</v>
      </c>
      <c r="K125" s="12" t="s">
        <v>20</v>
      </c>
      <c r="L125" s="12">
        <v>1</v>
      </c>
      <c r="M125" s="17">
        <v>306180</v>
      </c>
      <c r="N125" s="17">
        <f t="shared" si="6"/>
        <v>306180</v>
      </c>
      <c r="Q125" s="12">
        <f t="shared" si="7"/>
        <v>138</v>
      </c>
    </row>
    <row r="126" spans="1:17" ht="15" hidden="1" customHeight="1" x14ac:dyDescent="0.2">
      <c r="A126" s="12" t="s">
        <v>310</v>
      </c>
      <c r="B126" s="36">
        <v>46031</v>
      </c>
      <c r="C126" s="14">
        <f t="shared" si="10"/>
        <v>520</v>
      </c>
      <c r="D126" s="12">
        <f t="shared" si="11"/>
        <v>1</v>
      </c>
      <c r="G126" s="14" t="s">
        <v>242</v>
      </c>
      <c r="H126" s="14" t="s">
        <v>2573</v>
      </c>
      <c r="I126" s="12">
        <v>331</v>
      </c>
      <c r="J126" s="12">
        <v>1111</v>
      </c>
      <c r="K126" s="12" t="s">
        <v>20</v>
      </c>
      <c r="L126" s="12">
        <v>1</v>
      </c>
      <c r="M126" s="17">
        <v>1326780</v>
      </c>
      <c r="N126" s="17">
        <f t="shared" si="6"/>
        <v>1326780</v>
      </c>
      <c r="Q126" s="12">
        <f t="shared" si="7"/>
        <v>109</v>
      </c>
    </row>
    <row r="127" spans="1:17" ht="15" hidden="1" customHeight="1" x14ac:dyDescent="0.2">
      <c r="A127" s="12" t="s">
        <v>310</v>
      </c>
      <c r="B127" s="36">
        <v>46051</v>
      </c>
      <c r="C127" s="14">
        <f t="shared" si="10"/>
        <v>521</v>
      </c>
      <c r="D127" s="12">
        <f t="shared" si="11"/>
        <v>1</v>
      </c>
      <c r="G127" s="14" t="s">
        <v>242</v>
      </c>
      <c r="H127" s="14" t="s">
        <v>2574</v>
      </c>
      <c r="I127" s="12">
        <v>331</v>
      </c>
      <c r="J127" s="12">
        <v>1111</v>
      </c>
      <c r="K127" s="12" t="s">
        <v>20</v>
      </c>
      <c r="L127" s="12">
        <v>1</v>
      </c>
      <c r="M127" s="17">
        <v>654885</v>
      </c>
      <c r="N127" s="17">
        <f t="shared" si="6"/>
        <v>654885</v>
      </c>
      <c r="Q127" s="12">
        <f t="shared" si="7"/>
        <v>172</v>
      </c>
    </row>
    <row r="128" spans="1:17" ht="15" hidden="1" customHeight="1" x14ac:dyDescent="0.2">
      <c r="A128" s="12" t="s">
        <v>310</v>
      </c>
      <c r="B128" s="36">
        <v>46053</v>
      </c>
      <c r="C128" s="14">
        <f t="shared" si="10"/>
        <v>522</v>
      </c>
      <c r="D128" s="12">
        <f t="shared" si="11"/>
        <v>1</v>
      </c>
      <c r="G128" s="14" t="s">
        <v>35</v>
      </c>
      <c r="H128" s="14" t="s">
        <v>2575</v>
      </c>
      <c r="I128" s="12">
        <v>331</v>
      </c>
      <c r="J128" s="12">
        <v>1111</v>
      </c>
      <c r="K128" s="12" t="s">
        <v>20</v>
      </c>
      <c r="L128" s="12">
        <v>1</v>
      </c>
      <c r="M128" s="17">
        <v>4320000</v>
      </c>
      <c r="N128" s="17">
        <f t="shared" si="6"/>
        <v>4320000</v>
      </c>
      <c r="Q128" s="12">
        <f t="shared" si="7"/>
        <v>52</v>
      </c>
    </row>
    <row r="129" spans="1:17" ht="15" hidden="1" customHeight="1" x14ac:dyDescent="0.2">
      <c r="A129" s="12" t="s">
        <v>310</v>
      </c>
      <c r="B129" s="36">
        <v>46053</v>
      </c>
      <c r="C129" s="14">
        <f t="shared" si="10"/>
        <v>523</v>
      </c>
      <c r="D129" s="12">
        <f t="shared" si="11"/>
        <v>1</v>
      </c>
      <c r="G129" s="14" t="s">
        <v>482</v>
      </c>
      <c r="H129" s="14" t="s">
        <v>2576</v>
      </c>
      <c r="I129" s="12">
        <v>331</v>
      </c>
      <c r="J129" s="12">
        <v>1111</v>
      </c>
      <c r="K129" s="12" t="s">
        <v>20</v>
      </c>
      <c r="L129" s="12">
        <v>1</v>
      </c>
      <c r="M129" s="17">
        <v>774360</v>
      </c>
      <c r="N129" s="17">
        <f t="shared" si="6"/>
        <v>774360</v>
      </c>
      <c r="Q129" s="12">
        <f t="shared" si="7"/>
        <v>132</v>
      </c>
    </row>
    <row r="130" spans="1:17" ht="15" hidden="1" customHeight="1" x14ac:dyDescent="0.2">
      <c r="A130" s="12" t="s">
        <v>310</v>
      </c>
      <c r="B130" s="36">
        <v>46058</v>
      </c>
      <c r="C130" s="14">
        <f t="shared" si="10"/>
        <v>524</v>
      </c>
      <c r="D130" s="12">
        <f t="shared" si="11"/>
        <v>1</v>
      </c>
      <c r="G130" s="14" t="s">
        <v>242</v>
      </c>
      <c r="H130" s="14" t="s">
        <v>2577</v>
      </c>
      <c r="I130" s="12">
        <v>331</v>
      </c>
      <c r="J130" s="12">
        <v>1111</v>
      </c>
      <c r="K130" s="12" t="s">
        <v>20</v>
      </c>
      <c r="L130" s="12">
        <v>1</v>
      </c>
      <c r="M130" s="17">
        <v>501795</v>
      </c>
      <c r="N130" s="17">
        <f t="shared" si="6"/>
        <v>501795</v>
      </c>
      <c r="Q130" s="12">
        <f t="shared" si="7"/>
        <v>134</v>
      </c>
    </row>
    <row r="131" spans="1:17" ht="15" hidden="1" customHeight="1" x14ac:dyDescent="0.2">
      <c r="A131" s="12" t="s">
        <v>310</v>
      </c>
      <c r="B131" s="36">
        <v>46060</v>
      </c>
      <c r="C131" s="14">
        <f t="shared" si="10"/>
        <v>525</v>
      </c>
      <c r="D131" s="12">
        <f t="shared" si="11"/>
        <v>1</v>
      </c>
      <c r="G131" s="14" t="s">
        <v>483</v>
      </c>
      <c r="H131" s="14" t="s">
        <v>2578</v>
      </c>
      <c r="I131" s="12">
        <v>331</v>
      </c>
      <c r="J131" s="12">
        <v>1111</v>
      </c>
      <c r="K131" s="12" t="s">
        <v>20</v>
      </c>
      <c r="L131" s="12">
        <v>1</v>
      </c>
      <c r="M131" s="17">
        <v>6468000</v>
      </c>
      <c r="N131" s="17">
        <f t="shared" si="6"/>
        <v>6468000</v>
      </c>
      <c r="Q131" s="12">
        <f t="shared" si="7"/>
        <v>195</v>
      </c>
    </row>
    <row r="132" spans="1:17" ht="15" hidden="1" customHeight="1" x14ac:dyDescent="0.2">
      <c r="A132" s="12" t="s">
        <v>310</v>
      </c>
      <c r="B132" s="36">
        <v>46064</v>
      </c>
      <c r="C132" s="14">
        <f t="shared" si="10"/>
        <v>526</v>
      </c>
      <c r="D132" s="12">
        <f t="shared" si="11"/>
        <v>1</v>
      </c>
      <c r="G132" s="14" t="s">
        <v>241</v>
      </c>
      <c r="H132" s="14" t="s">
        <v>2579</v>
      </c>
      <c r="I132" s="12">
        <v>331</v>
      </c>
      <c r="J132" s="12">
        <v>1111</v>
      </c>
      <c r="K132" s="12" t="s">
        <v>20</v>
      </c>
      <c r="L132" s="12">
        <v>1</v>
      </c>
      <c r="M132" s="17">
        <v>4906519</v>
      </c>
      <c r="N132" s="17">
        <f t="shared" ref="N132:N142" si="12">L132*M132</f>
        <v>4906519</v>
      </c>
      <c r="Q132" s="12">
        <f t="shared" ref="Q132:Q142" si="13">LEN(H132)</f>
        <v>109</v>
      </c>
    </row>
    <row r="133" spans="1:17" ht="15" hidden="1" customHeight="1" x14ac:dyDescent="0.2">
      <c r="A133" s="12" t="s">
        <v>310</v>
      </c>
      <c r="B133" s="36">
        <v>46064</v>
      </c>
      <c r="C133" s="14">
        <f t="shared" si="10"/>
        <v>527</v>
      </c>
      <c r="D133" s="12">
        <f t="shared" si="11"/>
        <v>1</v>
      </c>
      <c r="G133" s="14" t="s">
        <v>484</v>
      </c>
      <c r="H133" s="14" t="s">
        <v>2580</v>
      </c>
      <c r="I133" s="12">
        <v>331</v>
      </c>
      <c r="J133" s="12">
        <v>1111</v>
      </c>
      <c r="K133" s="12" t="s">
        <v>20</v>
      </c>
      <c r="L133" s="12">
        <v>1</v>
      </c>
      <c r="M133" s="17">
        <v>1351324</v>
      </c>
      <c r="N133" s="17">
        <f t="shared" si="12"/>
        <v>1351324</v>
      </c>
      <c r="Q133" s="12">
        <f t="shared" si="13"/>
        <v>138</v>
      </c>
    </row>
    <row r="134" spans="1:17" ht="15" hidden="1" customHeight="1" x14ac:dyDescent="0.2">
      <c r="A134" s="12" t="s">
        <v>310</v>
      </c>
      <c r="B134" s="36">
        <v>46065</v>
      </c>
      <c r="C134" s="14">
        <f t="shared" si="10"/>
        <v>528</v>
      </c>
      <c r="D134" s="12">
        <f t="shared" si="11"/>
        <v>1</v>
      </c>
      <c r="G134" s="14" t="s">
        <v>242</v>
      </c>
      <c r="H134" s="14" t="s">
        <v>2581</v>
      </c>
      <c r="I134" s="12">
        <v>331</v>
      </c>
      <c r="J134" s="12">
        <v>1111</v>
      </c>
      <c r="K134" s="12" t="s">
        <v>20</v>
      </c>
      <c r="L134" s="12">
        <v>1</v>
      </c>
      <c r="M134" s="17">
        <v>255150</v>
      </c>
      <c r="N134" s="17">
        <f t="shared" si="12"/>
        <v>255150</v>
      </c>
      <c r="Q134" s="12">
        <f t="shared" si="13"/>
        <v>117</v>
      </c>
    </row>
    <row r="135" spans="1:17" ht="15" hidden="1" customHeight="1" x14ac:dyDescent="0.2">
      <c r="A135" s="12" t="s">
        <v>310</v>
      </c>
      <c r="B135" s="36">
        <v>46067</v>
      </c>
      <c r="C135" s="14">
        <f t="shared" si="10"/>
        <v>529</v>
      </c>
      <c r="D135" s="12">
        <f t="shared" si="11"/>
        <v>1</v>
      </c>
      <c r="G135" s="14" t="s">
        <v>485</v>
      </c>
      <c r="H135" s="14" t="s">
        <v>2582</v>
      </c>
      <c r="I135" s="12">
        <v>331</v>
      </c>
      <c r="J135" s="12">
        <v>1111</v>
      </c>
      <c r="K135" s="12" t="s">
        <v>20</v>
      </c>
      <c r="L135" s="12">
        <v>1</v>
      </c>
      <c r="M135" s="17">
        <v>3240000</v>
      </c>
      <c r="N135" s="17">
        <f t="shared" si="12"/>
        <v>3240000</v>
      </c>
      <c r="Q135" s="12">
        <f t="shared" si="13"/>
        <v>158</v>
      </c>
    </row>
    <row r="136" spans="1:17" ht="15" hidden="1" customHeight="1" x14ac:dyDescent="0.2">
      <c r="A136" s="12" t="s">
        <v>310</v>
      </c>
      <c r="B136" s="36">
        <v>46085</v>
      </c>
      <c r="C136" s="14">
        <f t="shared" si="10"/>
        <v>530</v>
      </c>
      <c r="D136" s="12">
        <f t="shared" si="11"/>
        <v>1</v>
      </c>
      <c r="G136" s="14" t="s">
        <v>35</v>
      </c>
      <c r="H136" s="14" t="s">
        <v>2583</v>
      </c>
      <c r="I136" s="12">
        <v>331</v>
      </c>
      <c r="J136" s="12">
        <v>1111</v>
      </c>
      <c r="K136" s="12" t="s">
        <v>20</v>
      </c>
      <c r="L136" s="12">
        <v>1</v>
      </c>
      <c r="M136" s="17">
        <v>3240000</v>
      </c>
      <c r="N136" s="17">
        <f t="shared" si="12"/>
        <v>3240000</v>
      </c>
      <c r="Q136" s="12">
        <f t="shared" si="13"/>
        <v>52</v>
      </c>
    </row>
    <row r="137" spans="1:17" ht="15" hidden="1" customHeight="1" x14ac:dyDescent="0.2">
      <c r="A137" s="12" t="s">
        <v>310</v>
      </c>
      <c r="B137" s="36">
        <v>46089</v>
      </c>
      <c r="C137" s="14">
        <f t="shared" si="10"/>
        <v>531</v>
      </c>
      <c r="D137" s="12">
        <f t="shared" si="11"/>
        <v>1</v>
      </c>
      <c r="G137" s="14" t="s">
        <v>486</v>
      </c>
      <c r="H137" s="160" t="s">
        <v>2585</v>
      </c>
      <c r="I137" s="12">
        <v>331</v>
      </c>
      <c r="J137" s="12">
        <v>1111</v>
      </c>
      <c r="K137" s="12" t="s">
        <v>20</v>
      </c>
      <c r="L137" s="12">
        <v>1</v>
      </c>
      <c r="M137" s="17">
        <v>1674000</v>
      </c>
      <c r="N137" s="17">
        <f t="shared" si="12"/>
        <v>1674000</v>
      </c>
      <c r="Q137" s="12">
        <f t="shared" si="13"/>
        <v>40</v>
      </c>
    </row>
    <row r="138" spans="1:17" ht="15" hidden="1" customHeight="1" x14ac:dyDescent="0.2">
      <c r="A138" s="12" t="s">
        <v>310</v>
      </c>
      <c r="B138" s="36">
        <v>46101</v>
      </c>
      <c r="C138" s="14">
        <f t="shared" si="10"/>
        <v>532</v>
      </c>
      <c r="D138" s="12">
        <f t="shared" si="11"/>
        <v>1</v>
      </c>
      <c r="G138" s="14" t="s">
        <v>487</v>
      </c>
      <c r="H138" s="14" t="s">
        <v>2586</v>
      </c>
      <c r="I138" s="12">
        <v>331</v>
      </c>
      <c r="J138" s="12">
        <v>1111</v>
      </c>
      <c r="K138" s="12" t="s">
        <v>20</v>
      </c>
      <c r="L138" s="12">
        <v>1</v>
      </c>
      <c r="M138" s="17">
        <v>1992600</v>
      </c>
      <c r="N138" s="17">
        <f t="shared" si="12"/>
        <v>1992600</v>
      </c>
      <c r="Q138" s="12">
        <f t="shared" si="13"/>
        <v>40</v>
      </c>
    </row>
    <row r="139" spans="1:17" ht="15" hidden="1" customHeight="1" x14ac:dyDescent="0.2">
      <c r="A139" s="12" t="s">
        <v>310</v>
      </c>
      <c r="B139" s="36">
        <v>46109</v>
      </c>
      <c r="C139" s="14">
        <f t="shared" si="10"/>
        <v>533</v>
      </c>
      <c r="D139" s="12">
        <f t="shared" si="11"/>
        <v>1</v>
      </c>
      <c r="G139" s="14" t="s">
        <v>242</v>
      </c>
      <c r="H139" s="14" t="s">
        <v>2584</v>
      </c>
      <c r="I139" s="12">
        <v>331</v>
      </c>
      <c r="J139" s="12">
        <v>1111</v>
      </c>
      <c r="K139" s="12" t="s">
        <v>20</v>
      </c>
      <c r="L139" s="12">
        <v>1</v>
      </c>
      <c r="M139" s="17">
        <v>391230</v>
      </c>
      <c r="N139" s="17">
        <f t="shared" si="12"/>
        <v>391230</v>
      </c>
      <c r="Q139" s="12">
        <f t="shared" si="13"/>
        <v>138</v>
      </c>
    </row>
    <row r="140" spans="1:17" ht="15" hidden="1" customHeight="1" x14ac:dyDescent="0.2">
      <c r="A140" s="12" t="s">
        <v>18</v>
      </c>
      <c r="B140" s="36">
        <v>46053</v>
      </c>
      <c r="C140" s="14">
        <f t="shared" si="10"/>
        <v>534</v>
      </c>
      <c r="D140" s="12">
        <f t="shared" si="11"/>
        <v>1</v>
      </c>
      <c r="G140" s="14" t="s">
        <v>312</v>
      </c>
      <c r="H140" s="14" t="s">
        <v>455</v>
      </c>
      <c r="I140" s="12">
        <v>64271</v>
      </c>
      <c r="J140" s="12">
        <v>3383</v>
      </c>
      <c r="K140" s="12" t="s">
        <v>20</v>
      </c>
      <c r="L140" s="12">
        <v>1</v>
      </c>
      <c r="M140" s="17">
        <v>690300</v>
      </c>
      <c r="N140" s="17">
        <f t="shared" si="12"/>
        <v>690300</v>
      </c>
      <c r="Q140" s="12">
        <f t="shared" si="13"/>
        <v>30</v>
      </c>
    </row>
    <row r="141" spans="1:17" ht="15" hidden="1" customHeight="1" x14ac:dyDescent="0.2">
      <c r="A141" s="12" t="s">
        <v>18</v>
      </c>
      <c r="B141" s="36">
        <v>46081</v>
      </c>
      <c r="C141" s="14">
        <f t="shared" si="10"/>
        <v>535</v>
      </c>
      <c r="D141" s="12">
        <f t="shared" si="11"/>
        <v>1</v>
      </c>
      <c r="G141" s="14" t="s">
        <v>312</v>
      </c>
      <c r="H141" s="14" t="s">
        <v>456</v>
      </c>
      <c r="I141" s="12">
        <v>64271</v>
      </c>
      <c r="J141" s="12">
        <v>3383</v>
      </c>
      <c r="K141" s="12" t="s">
        <v>20</v>
      </c>
      <c r="L141" s="12">
        <v>1</v>
      </c>
      <c r="M141" s="17">
        <v>690300</v>
      </c>
      <c r="N141" s="17">
        <f t="shared" si="12"/>
        <v>690300</v>
      </c>
      <c r="Q141" s="12">
        <f t="shared" si="13"/>
        <v>30</v>
      </c>
    </row>
    <row r="142" spans="1:17" ht="15" hidden="1" customHeight="1" x14ac:dyDescent="0.2">
      <c r="A142" s="12" t="s">
        <v>18</v>
      </c>
      <c r="B142" s="36">
        <v>46112</v>
      </c>
      <c r="C142" s="14">
        <f t="shared" si="10"/>
        <v>536</v>
      </c>
      <c r="D142" s="12">
        <f t="shared" si="11"/>
        <v>1</v>
      </c>
      <c r="G142" s="14" t="s">
        <v>312</v>
      </c>
      <c r="H142" s="14" t="s">
        <v>457</v>
      </c>
      <c r="I142" s="12">
        <v>64271</v>
      </c>
      <c r="J142" s="12">
        <v>3383</v>
      </c>
      <c r="K142" s="12" t="s">
        <v>20</v>
      </c>
      <c r="L142" s="12">
        <v>1</v>
      </c>
      <c r="M142" s="17">
        <v>690300</v>
      </c>
      <c r="N142" s="17">
        <f t="shared" si="12"/>
        <v>690300</v>
      </c>
      <c r="Q142" s="12">
        <f t="shared" si="13"/>
        <v>30</v>
      </c>
    </row>
  </sheetData>
  <autoFilter ref="A3:Q142" xr:uid="{00000000-0009-0000-0000-000002000000}">
    <filterColumn colId="8">
      <filters>
        <filter val="333821"/>
      </filters>
    </filterColumn>
    <filterColumn colId="9">
      <filters>
        <filter val="131"/>
      </filters>
    </filterColumn>
    <sortState xmlns:xlrd2="http://schemas.microsoft.com/office/spreadsheetml/2017/richdata2" ref="A4:Q99">
      <sortCondition ref="A4:A99"/>
      <sortCondition ref="B4:B99"/>
      <sortCondition ref="H4:H99"/>
    </sortState>
  </autoFilter>
  <mergeCells count="13">
    <mergeCell ref="F1:F2"/>
    <mergeCell ref="A1:A2"/>
    <mergeCell ref="B1:B2"/>
    <mergeCell ref="C1:C2"/>
    <mergeCell ref="D1:D2"/>
    <mergeCell ref="E1:E2"/>
    <mergeCell ref="N1:N2"/>
    <mergeCell ref="G1:G2"/>
    <mergeCell ref="H1:H2"/>
    <mergeCell ref="I1:J1"/>
    <mergeCell ref="K1:K2"/>
    <mergeCell ref="L1:L2"/>
    <mergeCell ref="M1:M2"/>
  </mergeCells>
  <hyperlinks>
    <hyperlink ref="P1" location="Summary!A1" display="Back to summary" xr:uid="{00000000-0004-0000-0200-000000000000}"/>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tabColor rgb="FF92D050"/>
  </sheetPr>
  <dimension ref="A1:X338"/>
  <sheetViews>
    <sheetView workbookViewId="0">
      <selection activeCell="M140" sqref="M140:M254"/>
    </sheetView>
  </sheetViews>
  <sheetFormatPr defaultRowHeight="15" customHeight="1" x14ac:dyDescent="0.25"/>
  <cols>
    <col min="1" max="1" width="9.140625" style="90"/>
    <col min="2" max="2" width="9.140625" style="69"/>
    <col min="3" max="6" width="9.140625" style="90"/>
    <col min="7" max="7" width="12.7109375" style="91" bestFit="1" customWidth="1"/>
    <col min="8" max="8" width="40.7109375" style="90" customWidth="1"/>
    <col min="9" max="12" width="9.140625" style="90"/>
    <col min="13" max="14" width="11.28515625" style="100" bestFit="1" customWidth="1"/>
    <col min="15" max="15" width="11.28515625" style="90" bestFit="1" customWidth="1"/>
    <col min="16" max="17" width="9.140625" style="90"/>
    <col min="18" max="18" width="11.28515625" style="91" bestFit="1" customWidth="1"/>
    <col min="19" max="19" width="9.85546875" style="92" bestFit="1" customWidth="1"/>
    <col min="20" max="20" width="10" style="91" bestFit="1" customWidth="1"/>
    <col min="21" max="21" width="9.85546875" style="91" bestFit="1" customWidth="1"/>
    <col min="22" max="22" width="9.28515625" style="91" bestFit="1" customWidth="1"/>
    <col min="23" max="24" width="9.140625" style="91"/>
    <col min="25" max="16384" width="9.140625" style="90"/>
  </cols>
  <sheetData>
    <row r="1" spans="1:22" ht="15" customHeight="1" thickBot="1" x14ac:dyDescent="0.25">
      <c r="A1" s="232" t="s">
        <v>0</v>
      </c>
      <c r="B1" s="196" t="s">
        <v>1</v>
      </c>
      <c r="C1" s="232" t="s">
        <v>2</v>
      </c>
      <c r="D1" s="234" t="s">
        <v>3</v>
      </c>
      <c r="E1" s="234" t="s">
        <v>4</v>
      </c>
      <c r="F1" s="234" t="s">
        <v>257</v>
      </c>
      <c r="G1" s="226" t="s">
        <v>6</v>
      </c>
      <c r="H1" s="228" t="s">
        <v>7</v>
      </c>
      <c r="I1" s="230" t="s">
        <v>8</v>
      </c>
      <c r="J1" s="231"/>
      <c r="K1" s="232" t="s">
        <v>9</v>
      </c>
      <c r="L1" s="232" t="s">
        <v>10</v>
      </c>
      <c r="M1" s="224" t="s">
        <v>76</v>
      </c>
      <c r="N1" s="224" t="s">
        <v>77</v>
      </c>
      <c r="O1" s="88" t="s">
        <v>78</v>
      </c>
      <c r="P1" s="146" t="s">
        <v>356</v>
      </c>
    </row>
    <row r="2" spans="1:22" ht="15" customHeight="1" thickBot="1" x14ac:dyDescent="0.3">
      <c r="A2" s="233"/>
      <c r="B2" s="197"/>
      <c r="C2" s="233"/>
      <c r="D2" s="236"/>
      <c r="E2" s="236"/>
      <c r="F2" s="235"/>
      <c r="G2" s="227"/>
      <c r="H2" s="229"/>
      <c r="I2" s="93" t="s">
        <v>13</v>
      </c>
      <c r="J2" s="94" t="s">
        <v>14</v>
      </c>
      <c r="K2" s="233"/>
      <c r="L2" s="233"/>
      <c r="M2" s="225"/>
      <c r="N2" s="225"/>
      <c r="O2" s="89" t="s">
        <v>78</v>
      </c>
      <c r="P2" s="89"/>
    </row>
    <row r="3" spans="1:22" ht="15" customHeight="1" x14ac:dyDescent="0.25">
      <c r="A3" s="95"/>
      <c r="B3" s="66"/>
      <c r="C3" s="95">
        <v>811</v>
      </c>
      <c r="D3" s="96"/>
      <c r="E3" s="96"/>
      <c r="F3" s="96"/>
      <c r="G3" s="97" t="s">
        <v>15</v>
      </c>
      <c r="H3" s="98"/>
      <c r="I3" s="98"/>
      <c r="J3" s="98"/>
      <c r="K3" s="95"/>
      <c r="L3" s="95"/>
      <c r="M3" s="99"/>
      <c r="N3" s="99"/>
      <c r="O3" s="89" t="s">
        <v>16</v>
      </c>
      <c r="P3" s="89" t="s">
        <v>17</v>
      </c>
      <c r="T3" s="92"/>
    </row>
    <row r="4" spans="1:22" ht="15" hidden="1" customHeight="1" x14ac:dyDescent="0.2">
      <c r="A4" s="90" t="s">
        <v>309</v>
      </c>
      <c r="B4" s="69">
        <v>46036.706400462965</v>
      </c>
      <c r="C4" s="90">
        <f t="shared" ref="C4:C67" si="0">C3+D4</f>
        <v>812</v>
      </c>
      <c r="D4" s="12">
        <f t="shared" ref="D4:D67" si="1">IF(H4=H3,0,1)</f>
        <v>1</v>
      </c>
      <c r="G4" s="91" t="s">
        <v>29</v>
      </c>
      <c r="H4" s="90" t="s">
        <v>4490</v>
      </c>
      <c r="I4" s="90">
        <v>112121</v>
      </c>
      <c r="J4" s="90">
        <v>131</v>
      </c>
      <c r="K4" s="90" t="s">
        <v>20</v>
      </c>
      <c r="L4" s="90">
        <v>1</v>
      </c>
      <c r="M4" s="100">
        <v>31935484</v>
      </c>
      <c r="N4" s="100">
        <f t="shared" ref="N4:N67" si="2">L4*M4</f>
        <v>31935484</v>
      </c>
      <c r="P4" s="90">
        <f t="shared" ref="P4:P67" si="3">LEN(H4)</f>
        <v>168</v>
      </c>
      <c r="T4" s="92"/>
      <c r="U4" s="92"/>
      <c r="V4" s="92"/>
    </row>
    <row r="5" spans="1:22" ht="15" hidden="1" customHeight="1" x14ac:dyDescent="0.2">
      <c r="A5" s="90" t="s">
        <v>309</v>
      </c>
      <c r="B5" s="69">
        <v>46037.564652777779</v>
      </c>
      <c r="C5" s="90">
        <f t="shared" si="0"/>
        <v>813</v>
      </c>
      <c r="D5" s="12">
        <f t="shared" si="1"/>
        <v>1</v>
      </c>
      <c r="G5" s="91" t="s">
        <v>39</v>
      </c>
      <c r="H5" s="90" t="s">
        <v>4491</v>
      </c>
      <c r="I5" s="90">
        <v>112121</v>
      </c>
      <c r="J5" s="90">
        <v>131</v>
      </c>
      <c r="K5" s="90" t="s">
        <v>20</v>
      </c>
      <c r="L5" s="90">
        <v>1</v>
      </c>
      <c r="M5" s="100">
        <v>15554903</v>
      </c>
      <c r="N5" s="100">
        <f t="shared" si="2"/>
        <v>15554903</v>
      </c>
      <c r="P5" s="90">
        <f t="shared" si="3"/>
        <v>41</v>
      </c>
    </row>
    <row r="6" spans="1:22" ht="15" hidden="1" customHeight="1" x14ac:dyDescent="0.2">
      <c r="A6" s="90" t="s">
        <v>309</v>
      </c>
      <c r="B6" s="69">
        <v>46037.565208333333</v>
      </c>
      <c r="C6" s="90">
        <f t="shared" si="0"/>
        <v>813</v>
      </c>
      <c r="D6" s="12">
        <f t="shared" si="1"/>
        <v>0</v>
      </c>
      <c r="G6" s="91" t="s">
        <v>39</v>
      </c>
      <c r="H6" s="90" t="s">
        <v>4491</v>
      </c>
      <c r="I6" s="90">
        <v>112121</v>
      </c>
      <c r="J6" s="90">
        <v>131</v>
      </c>
      <c r="K6" s="90" t="s">
        <v>20</v>
      </c>
      <c r="L6" s="90">
        <v>1</v>
      </c>
      <c r="M6" s="100">
        <v>20581801</v>
      </c>
      <c r="N6" s="100">
        <f t="shared" si="2"/>
        <v>20581801</v>
      </c>
      <c r="P6" s="90">
        <f t="shared" si="3"/>
        <v>41</v>
      </c>
    </row>
    <row r="7" spans="1:22" ht="15" hidden="1" customHeight="1" x14ac:dyDescent="0.2">
      <c r="A7" s="90" t="s">
        <v>309</v>
      </c>
      <c r="B7" s="69">
        <v>46037.692129629628</v>
      </c>
      <c r="C7" s="90">
        <f t="shared" si="0"/>
        <v>814</v>
      </c>
      <c r="D7" s="12">
        <f t="shared" si="1"/>
        <v>1</v>
      </c>
      <c r="G7" s="91" t="s">
        <v>306</v>
      </c>
      <c r="H7" s="90" t="s">
        <v>4492</v>
      </c>
      <c r="I7" s="90">
        <v>112121</v>
      </c>
      <c r="J7" s="90">
        <v>131</v>
      </c>
      <c r="K7" s="90" t="s">
        <v>20</v>
      </c>
      <c r="L7" s="90">
        <v>1</v>
      </c>
      <c r="M7" s="100">
        <v>53225806</v>
      </c>
      <c r="N7" s="100">
        <f t="shared" si="2"/>
        <v>53225806</v>
      </c>
      <c r="P7" s="90">
        <f t="shared" si="3"/>
        <v>158</v>
      </c>
    </row>
    <row r="8" spans="1:22" ht="15" hidden="1" customHeight="1" x14ac:dyDescent="0.2">
      <c r="A8" s="90" t="s">
        <v>309</v>
      </c>
      <c r="B8" s="69">
        <v>46045</v>
      </c>
      <c r="C8" s="90">
        <f t="shared" si="0"/>
        <v>815</v>
      </c>
      <c r="D8" s="12">
        <f t="shared" si="1"/>
        <v>1</v>
      </c>
      <c r="G8" s="91" t="s">
        <v>50</v>
      </c>
      <c r="H8" s="90" t="s">
        <v>4485</v>
      </c>
      <c r="I8" s="90">
        <v>112111</v>
      </c>
      <c r="J8" s="90">
        <v>131</v>
      </c>
      <c r="K8" s="90" t="s">
        <v>20</v>
      </c>
      <c r="L8" s="90">
        <v>1</v>
      </c>
      <c r="M8" s="100">
        <v>63870968</v>
      </c>
      <c r="N8" s="100">
        <f t="shared" si="2"/>
        <v>63870968</v>
      </c>
      <c r="P8" s="90">
        <f t="shared" si="3"/>
        <v>158</v>
      </c>
    </row>
    <row r="9" spans="1:22" ht="15" hidden="1" customHeight="1" x14ac:dyDescent="0.2">
      <c r="A9" s="90" t="s">
        <v>309</v>
      </c>
      <c r="B9" s="69">
        <v>46046.578819444447</v>
      </c>
      <c r="C9" s="90">
        <f t="shared" si="0"/>
        <v>816</v>
      </c>
      <c r="D9" s="12">
        <f t="shared" si="1"/>
        <v>1</v>
      </c>
      <c r="G9" s="91" t="s">
        <v>39</v>
      </c>
      <c r="H9" s="90" t="s">
        <v>4491</v>
      </c>
      <c r="I9" s="90">
        <v>112121</v>
      </c>
      <c r="J9" s="90">
        <v>131</v>
      </c>
      <c r="K9" s="90" t="s">
        <v>20</v>
      </c>
      <c r="L9" s="90">
        <v>1</v>
      </c>
      <c r="M9" s="100">
        <v>34625476</v>
      </c>
      <c r="N9" s="100">
        <f t="shared" si="2"/>
        <v>34625476</v>
      </c>
      <c r="P9" s="90">
        <f t="shared" si="3"/>
        <v>41</v>
      </c>
    </row>
    <row r="10" spans="1:22" ht="15" hidden="1" customHeight="1" x14ac:dyDescent="0.2">
      <c r="A10" s="90" t="s">
        <v>309</v>
      </c>
      <c r="B10" s="69">
        <v>46048.725682870368</v>
      </c>
      <c r="C10" s="90">
        <f t="shared" si="0"/>
        <v>816</v>
      </c>
      <c r="D10" s="12">
        <f t="shared" si="1"/>
        <v>0</v>
      </c>
      <c r="G10" s="91" t="s">
        <v>39</v>
      </c>
      <c r="H10" s="90" t="s">
        <v>4491</v>
      </c>
      <c r="I10" s="90">
        <v>112121</v>
      </c>
      <c r="J10" s="90">
        <v>131</v>
      </c>
      <c r="K10" s="90" t="s">
        <v>20</v>
      </c>
      <c r="L10" s="90">
        <v>1</v>
      </c>
      <c r="M10" s="100">
        <v>10490530</v>
      </c>
      <c r="N10" s="100">
        <f t="shared" si="2"/>
        <v>10490530</v>
      </c>
      <c r="P10" s="90">
        <f t="shared" si="3"/>
        <v>41</v>
      </c>
    </row>
    <row r="11" spans="1:22" ht="15" hidden="1" customHeight="1" x14ac:dyDescent="0.2">
      <c r="A11" s="90" t="s">
        <v>309</v>
      </c>
      <c r="B11" s="69">
        <v>46051.678831018522</v>
      </c>
      <c r="C11" s="90">
        <f t="shared" si="0"/>
        <v>817</v>
      </c>
      <c r="D11" s="12">
        <f t="shared" si="1"/>
        <v>1</v>
      </c>
      <c r="G11" s="91" t="s">
        <v>646</v>
      </c>
      <c r="H11" s="90" t="s">
        <v>4493</v>
      </c>
      <c r="I11" s="90">
        <v>112121</v>
      </c>
      <c r="J11" s="90">
        <v>131</v>
      </c>
      <c r="K11" s="90" t="s">
        <v>20</v>
      </c>
      <c r="L11" s="90">
        <v>1</v>
      </c>
      <c r="M11" s="100">
        <v>44000000</v>
      </c>
      <c r="N11" s="100">
        <f t="shared" si="2"/>
        <v>44000000</v>
      </c>
      <c r="P11" s="90">
        <f t="shared" si="3"/>
        <v>138</v>
      </c>
    </row>
    <row r="12" spans="1:22" ht="15" hidden="1" customHeight="1" x14ac:dyDescent="0.2">
      <c r="A12" s="90" t="s">
        <v>309</v>
      </c>
      <c r="B12" s="69">
        <v>46052.859386574077</v>
      </c>
      <c r="C12" s="90">
        <f t="shared" si="0"/>
        <v>818</v>
      </c>
      <c r="D12" s="12">
        <f t="shared" si="1"/>
        <v>1</v>
      </c>
      <c r="G12" s="91" t="s">
        <v>74</v>
      </c>
      <c r="H12" s="90" t="s">
        <v>4494</v>
      </c>
      <c r="I12" s="90">
        <v>112121</v>
      </c>
      <c r="J12" s="90">
        <v>131</v>
      </c>
      <c r="K12" s="90" t="s">
        <v>20</v>
      </c>
      <c r="L12" s="90">
        <v>1</v>
      </c>
      <c r="M12" s="100">
        <v>43010753</v>
      </c>
      <c r="N12" s="100">
        <f t="shared" si="2"/>
        <v>43010753</v>
      </c>
      <c r="P12" s="90">
        <f t="shared" si="3"/>
        <v>169</v>
      </c>
    </row>
    <row r="13" spans="1:22" ht="15" hidden="1" customHeight="1" x14ac:dyDescent="0.2">
      <c r="A13" s="90" t="s">
        <v>309</v>
      </c>
      <c r="B13" s="69">
        <v>46053</v>
      </c>
      <c r="C13" s="90">
        <f t="shared" si="0"/>
        <v>819</v>
      </c>
      <c r="D13" s="12">
        <f t="shared" si="1"/>
        <v>1</v>
      </c>
      <c r="G13" s="91" t="s">
        <v>140</v>
      </c>
      <c r="H13" s="90" t="s">
        <v>3561</v>
      </c>
      <c r="I13" s="90">
        <v>112111</v>
      </c>
      <c r="J13" s="90">
        <v>5154</v>
      </c>
      <c r="K13" s="90" t="s">
        <v>20</v>
      </c>
      <c r="L13" s="90">
        <v>1</v>
      </c>
      <c r="M13" s="100">
        <v>2625</v>
      </c>
      <c r="N13" s="100">
        <f t="shared" si="2"/>
        <v>2625</v>
      </c>
      <c r="P13" s="90">
        <f t="shared" si="3"/>
        <v>22</v>
      </c>
    </row>
    <row r="14" spans="1:22" ht="15" hidden="1" customHeight="1" x14ac:dyDescent="0.2">
      <c r="A14" s="90" t="s">
        <v>309</v>
      </c>
      <c r="B14" s="69">
        <v>46053.08085648148</v>
      </c>
      <c r="C14" s="90">
        <f t="shared" si="0"/>
        <v>819</v>
      </c>
      <c r="D14" s="12">
        <f t="shared" si="1"/>
        <v>0</v>
      </c>
      <c r="G14" s="91" t="s">
        <v>140</v>
      </c>
      <c r="H14" s="90" t="s">
        <v>3561</v>
      </c>
      <c r="I14" s="90">
        <v>112121</v>
      </c>
      <c r="J14" s="90">
        <v>5154</v>
      </c>
      <c r="K14" s="90" t="s">
        <v>20</v>
      </c>
      <c r="L14" s="90">
        <v>1</v>
      </c>
      <c r="M14" s="100">
        <v>16545</v>
      </c>
      <c r="N14" s="100">
        <f t="shared" si="2"/>
        <v>16545</v>
      </c>
      <c r="P14" s="90">
        <f t="shared" si="3"/>
        <v>22</v>
      </c>
    </row>
    <row r="15" spans="1:22" ht="15" hidden="1" customHeight="1" x14ac:dyDescent="0.2">
      <c r="A15" s="90" t="s">
        <v>309</v>
      </c>
      <c r="B15" s="69">
        <v>46054.109618055554</v>
      </c>
      <c r="C15" s="90">
        <f t="shared" si="0"/>
        <v>820</v>
      </c>
      <c r="D15" s="12">
        <f t="shared" si="1"/>
        <v>1</v>
      </c>
      <c r="G15" s="91" t="s">
        <v>39</v>
      </c>
      <c r="H15" s="90" t="s">
        <v>4491</v>
      </c>
      <c r="I15" s="90">
        <v>112121</v>
      </c>
      <c r="J15" s="90">
        <v>131</v>
      </c>
      <c r="K15" s="90" t="s">
        <v>20</v>
      </c>
      <c r="L15" s="90">
        <v>1</v>
      </c>
      <c r="M15" s="100">
        <v>31490400</v>
      </c>
      <c r="N15" s="100">
        <f t="shared" si="2"/>
        <v>31490400</v>
      </c>
      <c r="P15" s="90">
        <f t="shared" si="3"/>
        <v>41</v>
      </c>
    </row>
    <row r="16" spans="1:22" ht="15" hidden="1" customHeight="1" x14ac:dyDescent="0.2">
      <c r="A16" s="90" t="s">
        <v>309</v>
      </c>
      <c r="B16" s="69">
        <v>46061.518252314818</v>
      </c>
      <c r="C16" s="90">
        <f t="shared" si="0"/>
        <v>820</v>
      </c>
      <c r="D16" s="12">
        <f t="shared" si="1"/>
        <v>0</v>
      </c>
      <c r="G16" s="91" t="s">
        <v>39</v>
      </c>
      <c r="H16" s="90" t="s">
        <v>4491</v>
      </c>
      <c r="I16" s="90">
        <v>112121</v>
      </c>
      <c r="J16" s="90">
        <v>131</v>
      </c>
      <c r="K16" s="90" t="s">
        <v>20</v>
      </c>
      <c r="L16" s="90">
        <v>1</v>
      </c>
      <c r="M16" s="100">
        <v>9860672</v>
      </c>
      <c r="N16" s="100">
        <f t="shared" si="2"/>
        <v>9860672</v>
      </c>
      <c r="P16" s="90">
        <f t="shared" si="3"/>
        <v>41</v>
      </c>
    </row>
    <row r="17" spans="1:19" ht="15" hidden="1" customHeight="1" x14ac:dyDescent="0.2">
      <c r="A17" s="90" t="s">
        <v>309</v>
      </c>
      <c r="B17" s="69">
        <v>46061.697048611109</v>
      </c>
      <c r="C17" s="90">
        <f t="shared" si="0"/>
        <v>820</v>
      </c>
      <c r="D17" s="12">
        <f t="shared" si="1"/>
        <v>0</v>
      </c>
      <c r="G17" s="91" t="s">
        <v>39</v>
      </c>
      <c r="H17" s="90" t="s">
        <v>4491</v>
      </c>
      <c r="I17" s="90">
        <v>112121</v>
      </c>
      <c r="J17" s="90">
        <v>131</v>
      </c>
      <c r="K17" s="90" t="s">
        <v>20</v>
      </c>
      <c r="L17" s="90">
        <v>1</v>
      </c>
      <c r="M17" s="100">
        <v>42658602</v>
      </c>
      <c r="N17" s="100">
        <f t="shared" si="2"/>
        <v>42658602</v>
      </c>
      <c r="P17" s="90">
        <f t="shared" si="3"/>
        <v>41</v>
      </c>
    </row>
    <row r="18" spans="1:19" ht="15" hidden="1" customHeight="1" x14ac:dyDescent="0.2">
      <c r="A18" s="90" t="s">
        <v>309</v>
      </c>
      <c r="B18" s="69">
        <v>46062.728842592594</v>
      </c>
      <c r="C18" s="90">
        <f t="shared" si="0"/>
        <v>821</v>
      </c>
      <c r="D18" s="12">
        <f t="shared" si="1"/>
        <v>1</v>
      </c>
      <c r="G18" s="91" t="s">
        <v>4495</v>
      </c>
      <c r="H18" s="90" t="s">
        <v>4496</v>
      </c>
      <c r="I18" s="90">
        <v>112121</v>
      </c>
      <c r="J18" s="90">
        <v>131</v>
      </c>
      <c r="K18" s="90" t="s">
        <v>20</v>
      </c>
      <c r="L18" s="90">
        <v>1</v>
      </c>
      <c r="M18" s="100">
        <v>95806452</v>
      </c>
      <c r="N18" s="100">
        <f t="shared" si="2"/>
        <v>95806452</v>
      </c>
      <c r="P18" s="90">
        <f t="shared" si="3"/>
        <v>116</v>
      </c>
    </row>
    <row r="19" spans="1:19" ht="15" hidden="1" customHeight="1" x14ac:dyDescent="0.2">
      <c r="A19" s="90" t="s">
        <v>309</v>
      </c>
      <c r="B19" s="69">
        <v>46064.89644675926</v>
      </c>
      <c r="C19" s="90">
        <f t="shared" si="0"/>
        <v>822</v>
      </c>
      <c r="D19" s="12">
        <f t="shared" si="1"/>
        <v>1</v>
      </c>
      <c r="G19" s="91" t="s">
        <v>39</v>
      </c>
      <c r="H19" s="90" t="s">
        <v>4491</v>
      </c>
      <c r="I19" s="90">
        <v>112121</v>
      </c>
      <c r="J19" s="90">
        <v>131</v>
      </c>
      <c r="K19" s="90" t="s">
        <v>20</v>
      </c>
      <c r="L19" s="90">
        <v>1</v>
      </c>
      <c r="M19" s="100">
        <v>18667515</v>
      </c>
      <c r="N19" s="100">
        <f t="shared" si="2"/>
        <v>18667515</v>
      </c>
      <c r="P19" s="90">
        <f t="shared" si="3"/>
        <v>41</v>
      </c>
    </row>
    <row r="20" spans="1:19" ht="15" hidden="1" customHeight="1" x14ac:dyDescent="0.2">
      <c r="A20" s="90" t="s">
        <v>309</v>
      </c>
      <c r="B20" s="69">
        <v>46065</v>
      </c>
      <c r="C20" s="90">
        <f t="shared" si="0"/>
        <v>823</v>
      </c>
      <c r="D20" s="12">
        <f t="shared" si="1"/>
        <v>1</v>
      </c>
      <c r="G20" s="91" t="s">
        <v>303</v>
      </c>
      <c r="H20" s="90" t="s">
        <v>4489</v>
      </c>
      <c r="I20" s="90">
        <v>112111</v>
      </c>
      <c r="J20" s="90">
        <v>131</v>
      </c>
      <c r="K20" s="90" t="s">
        <v>20</v>
      </c>
      <c r="L20" s="90">
        <v>1</v>
      </c>
      <c r="M20" s="100">
        <v>44000000</v>
      </c>
      <c r="N20" s="100">
        <f t="shared" si="2"/>
        <v>44000000</v>
      </c>
      <c r="P20" s="90">
        <f t="shared" si="3"/>
        <v>181</v>
      </c>
    </row>
    <row r="21" spans="1:19" ht="15" hidden="1" customHeight="1" x14ac:dyDescent="0.2">
      <c r="A21" s="90" t="s">
        <v>309</v>
      </c>
      <c r="B21" s="69">
        <v>46078.640555555554</v>
      </c>
      <c r="C21" s="90">
        <f t="shared" si="0"/>
        <v>824</v>
      </c>
      <c r="D21" s="12">
        <f t="shared" si="1"/>
        <v>1</v>
      </c>
      <c r="G21" s="91" t="s">
        <v>83</v>
      </c>
      <c r="H21" s="90" t="s">
        <v>4497</v>
      </c>
      <c r="I21" s="90">
        <v>112121</v>
      </c>
      <c r="J21" s="90">
        <v>131</v>
      </c>
      <c r="K21" s="90" t="s">
        <v>20</v>
      </c>
      <c r="L21" s="90">
        <v>1</v>
      </c>
      <c r="M21" s="100">
        <v>91803871</v>
      </c>
      <c r="N21" s="100">
        <f t="shared" si="2"/>
        <v>91803871</v>
      </c>
      <c r="P21" s="90">
        <f t="shared" si="3"/>
        <v>158</v>
      </c>
    </row>
    <row r="22" spans="1:19" ht="15" hidden="1" customHeight="1" x14ac:dyDescent="0.2">
      <c r="A22" s="90" t="s">
        <v>309</v>
      </c>
      <c r="B22" s="69">
        <v>46078.824456018519</v>
      </c>
      <c r="C22" s="90">
        <f t="shared" si="0"/>
        <v>825</v>
      </c>
      <c r="D22" s="12">
        <f t="shared" si="1"/>
        <v>1</v>
      </c>
      <c r="G22" s="91" t="s">
        <v>39</v>
      </c>
      <c r="H22" s="90" t="s">
        <v>4491</v>
      </c>
      <c r="I22" s="90">
        <v>112121</v>
      </c>
      <c r="J22" s="90">
        <v>131</v>
      </c>
      <c r="K22" s="90" t="s">
        <v>20</v>
      </c>
      <c r="L22" s="90">
        <v>1</v>
      </c>
      <c r="M22" s="100">
        <v>19327300</v>
      </c>
      <c r="N22" s="100">
        <f t="shared" si="2"/>
        <v>19327300</v>
      </c>
      <c r="P22" s="90">
        <f t="shared" si="3"/>
        <v>41</v>
      </c>
    </row>
    <row r="23" spans="1:19" ht="15" hidden="1" customHeight="1" x14ac:dyDescent="0.2">
      <c r="A23" s="90" t="s">
        <v>309</v>
      </c>
      <c r="B23" s="69">
        <v>46079.599085648151</v>
      </c>
      <c r="C23" s="90">
        <f t="shared" si="0"/>
        <v>825</v>
      </c>
      <c r="D23" s="12">
        <f t="shared" si="1"/>
        <v>0</v>
      </c>
      <c r="G23" s="91" t="s">
        <v>39</v>
      </c>
      <c r="H23" s="90" t="s">
        <v>4491</v>
      </c>
      <c r="I23" s="90">
        <v>112121</v>
      </c>
      <c r="J23" s="90">
        <v>131</v>
      </c>
      <c r="K23" s="90" t="s">
        <v>20</v>
      </c>
      <c r="L23" s="90">
        <v>1</v>
      </c>
      <c r="M23" s="100">
        <v>33948375</v>
      </c>
      <c r="N23" s="100">
        <f t="shared" si="2"/>
        <v>33948375</v>
      </c>
      <c r="P23" s="90">
        <f t="shared" si="3"/>
        <v>41</v>
      </c>
    </row>
    <row r="24" spans="1:19" ht="15" hidden="1" customHeight="1" x14ac:dyDescent="0.2">
      <c r="A24" s="90" t="s">
        <v>309</v>
      </c>
      <c r="B24" s="69">
        <v>46080.510428240741</v>
      </c>
      <c r="C24" s="90">
        <f t="shared" si="0"/>
        <v>825</v>
      </c>
      <c r="D24" s="12">
        <f t="shared" si="1"/>
        <v>0</v>
      </c>
      <c r="G24" s="91" t="s">
        <v>39</v>
      </c>
      <c r="H24" s="90" t="s">
        <v>4491</v>
      </c>
      <c r="I24" s="90">
        <v>112121</v>
      </c>
      <c r="J24" s="90">
        <v>131</v>
      </c>
      <c r="K24" s="90" t="s">
        <v>20</v>
      </c>
      <c r="L24" s="90">
        <v>1</v>
      </c>
      <c r="M24" s="100">
        <v>11200390</v>
      </c>
      <c r="N24" s="100">
        <f t="shared" si="2"/>
        <v>11200390</v>
      </c>
      <c r="P24" s="90">
        <f t="shared" si="3"/>
        <v>41</v>
      </c>
    </row>
    <row r="25" spans="1:19" ht="15" hidden="1" customHeight="1" x14ac:dyDescent="0.2">
      <c r="A25" s="90" t="s">
        <v>309</v>
      </c>
      <c r="B25" s="69">
        <v>46080.512094907404</v>
      </c>
      <c r="C25" s="90">
        <f t="shared" si="0"/>
        <v>825</v>
      </c>
      <c r="D25" s="12">
        <f t="shared" si="1"/>
        <v>0</v>
      </c>
      <c r="G25" s="91" t="s">
        <v>39</v>
      </c>
      <c r="H25" s="90" t="s">
        <v>4491</v>
      </c>
      <c r="I25" s="90">
        <v>112121</v>
      </c>
      <c r="J25" s="90">
        <v>131</v>
      </c>
      <c r="K25" s="90" t="s">
        <v>20</v>
      </c>
      <c r="L25" s="90">
        <v>1</v>
      </c>
      <c r="M25" s="100">
        <v>31823744</v>
      </c>
      <c r="N25" s="100">
        <f t="shared" si="2"/>
        <v>31823744</v>
      </c>
      <c r="P25" s="90">
        <f t="shared" si="3"/>
        <v>41</v>
      </c>
    </row>
    <row r="26" spans="1:19" ht="15" hidden="1" customHeight="1" x14ac:dyDescent="0.2">
      <c r="A26" s="90" t="s">
        <v>309</v>
      </c>
      <c r="B26" s="69">
        <v>46081</v>
      </c>
      <c r="C26" s="90">
        <f t="shared" si="0"/>
        <v>826</v>
      </c>
      <c r="D26" s="12">
        <f t="shared" si="1"/>
        <v>1</v>
      </c>
      <c r="G26" s="91" t="s">
        <v>140</v>
      </c>
      <c r="H26" s="90" t="s">
        <v>3561</v>
      </c>
      <c r="I26" s="90">
        <v>112111</v>
      </c>
      <c r="J26" s="90">
        <v>5154</v>
      </c>
      <c r="K26" s="90" t="s">
        <v>20</v>
      </c>
      <c r="L26" s="90">
        <v>1</v>
      </c>
      <c r="M26" s="100">
        <v>2217</v>
      </c>
      <c r="N26" s="100">
        <f t="shared" si="2"/>
        <v>2217</v>
      </c>
      <c r="P26" s="90">
        <f t="shared" si="3"/>
        <v>22</v>
      </c>
    </row>
    <row r="27" spans="1:19" ht="15" hidden="1" customHeight="1" x14ac:dyDescent="0.2">
      <c r="A27" s="90" t="s">
        <v>309</v>
      </c>
      <c r="B27" s="69">
        <v>46081.095347222225</v>
      </c>
      <c r="C27" s="90">
        <f t="shared" si="0"/>
        <v>827</v>
      </c>
      <c r="D27" s="12">
        <f t="shared" si="1"/>
        <v>1</v>
      </c>
      <c r="G27" s="91" t="s">
        <v>39</v>
      </c>
      <c r="H27" s="90" t="s">
        <v>4491</v>
      </c>
      <c r="I27" s="90">
        <v>112121</v>
      </c>
      <c r="J27" s="90">
        <v>131</v>
      </c>
      <c r="K27" s="90" t="s">
        <v>20</v>
      </c>
      <c r="L27" s="90">
        <v>1</v>
      </c>
      <c r="M27" s="100">
        <v>11057</v>
      </c>
      <c r="N27" s="100">
        <f t="shared" si="2"/>
        <v>11057</v>
      </c>
      <c r="P27" s="90">
        <f t="shared" si="3"/>
        <v>41</v>
      </c>
    </row>
    <row r="28" spans="1:19" ht="15" hidden="1" customHeight="1" x14ac:dyDescent="0.2">
      <c r="A28" s="90" t="s">
        <v>309</v>
      </c>
      <c r="B28" s="69">
        <v>46084.428715277776</v>
      </c>
      <c r="C28" s="90">
        <f t="shared" si="0"/>
        <v>827</v>
      </c>
      <c r="D28" s="12">
        <f t="shared" si="1"/>
        <v>0</v>
      </c>
      <c r="G28" s="91" t="s">
        <v>39</v>
      </c>
      <c r="H28" s="90" t="s">
        <v>4491</v>
      </c>
      <c r="I28" s="90">
        <v>112121</v>
      </c>
      <c r="J28" s="90">
        <v>131</v>
      </c>
      <c r="K28" s="90" t="s">
        <v>20</v>
      </c>
      <c r="L28" s="90">
        <v>1</v>
      </c>
      <c r="M28" s="100">
        <v>17344357</v>
      </c>
      <c r="N28" s="100">
        <f t="shared" si="2"/>
        <v>17344357</v>
      </c>
      <c r="P28" s="90">
        <f t="shared" si="3"/>
        <v>41</v>
      </c>
      <c r="S28" s="91"/>
    </row>
    <row r="29" spans="1:19" ht="15" hidden="1" customHeight="1" x14ac:dyDescent="0.2">
      <c r="A29" s="183" t="s">
        <v>309</v>
      </c>
      <c r="B29" s="184">
        <v>46088.584641203706</v>
      </c>
      <c r="C29" s="183">
        <f t="shared" si="0"/>
        <v>828</v>
      </c>
      <c r="D29" s="165">
        <f t="shared" si="1"/>
        <v>1</v>
      </c>
      <c r="E29" s="183"/>
      <c r="F29" s="183"/>
      <c r="G29" s="188" t="s">
        <v>647</v>
      </c>
      <c r="H29" s="183" t="s">
        <v>4501</v>
      </c>
      <c r="I29" s="183">
        <v>112121</v>
      </c>
      <c r="J29" s="183">
        <v>131</v>
      </c>
      <c r="K29" s="183" t="s">
        <v>20</v>
      </c>
      <c r="L29" s="183">
        <v>1</v>
      </c>
      <c r="M29" s="186">
        <v>17032258</v>
      </c>
      <c r="N29" s="186">
        <f t="shared" si="2"/>
        <v>17032258</v>
      </c>
      <c r="O29" s="183"/>
      <c r="P29" s="183">
        <f t="shared" si="3"/>
        <v>139</v>
      </c>
      <c r="S29" s="91"/>
    </row>
    <row r="30" spans="1:19" ht="15" hidden="1" customHeight="1" x14ac:dyDescent="0.2">
      <c r="A30" s="90" t="s">
        <v>309</v>
      </c>
      <c r="B30" s="69">
        <v>46094.733090277776</v>
      </c>
      <c r="C30" s="90">
        <f t="shared" si="0"/>
        <v>829</v>
      </c>
      <c r="D30" s="12">
        <f t="shared" si="1"/>
        <v>1</v>
      </c>
      <c r="G30" s="91" t="s">
        <v>29</v>
      </c>
      <c r="H30" s="90" t="s">
        <v>4498</v>
      </c>
      <c r="I30" s="90">
        <v>112121</v>
      </c>
      <c r="J30" s="90">
        <v>131</v>
      </c>
      <c r="K30" s="90" t="s">
        <v>20</v>
      </c>
      <c r="L30" s="90">
        <v>1</v>
      </c>
      <c r="M30" s="100">
        <v>44000000</v>
      </c>
      <c r="N30" s="100">
        <f t="shared" si="2"/>
        <v>44000000</v>
      </c>
      <c r="P30" s="90">
        <f t="shared" si="3"/>
        <v>136</v>
      </c>
      <c r="S30" s="91"/>
    </row>
    <row r="31" spans="1:19" ht="15" hidden="1" customHeight="1" x14ac:dyDescent="0.2">
      <c r="A31" s="90" t="s">
        <v>309</v>
      </c>
      <c r="B31" s="69">
        <v>46094.734351851854</v>
      </c>
      <c r="C31" s="90">
        <f t="shared" si="0"/>
        <v>830</v>
      </c>
      <c r="D31" s="12">
        <f t="shared" si="1"/>
        <v>1</v>
      </c>
      <c r="G31" s="91" t="s">
        <v>29</v>
      </c>
      <c r="H31" s="90" t="s">
        <v>4499</v>
      </c>
      <c r="I31" s="90">
        <v>112121</v>
      </c>
      <c r="J31" s="90">
        <v>131</v>
      </c>
      <c r="K31" s="90" t="s">
        <v>20</v>
      </c>
      <c r="L31" s="90">
        <v>1</v>
      </c>
      <c r="M31" s="100">
        <v>44000000</v>
      </c>
      <c r="N31" s="100">
        <f t="shared" si="2"/>
        <v>44000000</v>
      </c>
      <c r="P31" s="90">
        <f t="shared" si="3"/>
        <v>145</v>
      </c>
      <c r="S31" s="91"/>
    </row>
    <row r="32" spans="1:19" ht="15" hidden="1" customHeight="1" x14ac:dyDescent="0.2">
      <c r="A32" s="90" t="s">
        <v>309</v>
      </c>
      <c r="B32" s="69">
        <v>46109</v>
      </c>
      <c r="C32" s="90">
        <f t="shared" si="0"/>
        <v>831</v>
      </c>
      <c r="D32" s="12">
        <f t="shared" si="1"/>
        <v>1</v>
      </c>
      <c r="G32" s="91" t="s">
        <v>140</v>
      </c>
      <c r="H32" s="90" t="s">
        <v>3561</v>
      </c>
      <c r="I32" s="90">
        <v>112111</v>
      </c>
      <c r="J32" s="90">
        <v>5154</v>
      </c>
      <c r="K32" s="90" t="s">
        <v>20</v>
      </c>
      <c r="L32" s="90">
        <v>1</v>
      </c>
      <c r="M32" s="100">
        <v>250</v>
      </c>
      <c r="N32" s="100">
        <f t="shared" si="2"/>
        <v>250</v>
      </c>
      <c r="P32" s="90">
        <f t="shared" si="3"/>
        <v>22</v>
      </c>
      <c r="S32" s="91"/>
    </row>
    <row r="33" spans="1:19" ht="15" hidden="1" customHeight="1" x14ac:dyDescent="0.2">
      <c r="A33" s="90" t="s">
        <v>309</v>
      </c>
      <c r="B33" s="69">
        <v>46112.073229166665</v>
      </c>
      <c r="C33" s="90">
        <f t="shared" si="0"/>
        <v>831</v>
      </c>
      <c r="D33" s="12">
        <f t="shared" si="1"/>
        <v>0</v>
      </c>
      <c r="G33" s="91" t="s">
        <v>140</v>
      </c>
      <c r="H33" s="90" t="s">
        <v>3561</v>
      </c>
      <c r="I33" s="90">
        <v>112121</v>
      </c>
      <c r="J33" s="90">
        <v>5154</v>
      </c>
      <c r="K33" s="90" t="s">
        <v>20</v>
      </c>
      <c r="L33" s="90">
        <v>1</v>
      </c>
      <c r="M33" s="100">
        <v>18337</v>
      </c>
      <c r="N33" s="100">
        <f t="shared" si="2"/>
        <v>18337</v>
      </c>
      <c r="P33" s="90">
        <f t="shared" si="3"/>
        <v>22</v>
      </c>
      <c r="S33" s="91"/>
    </row>
    <row r="34" spans="1:19" ht="15" hidden="1" customHeight="1" x14ac:dyDescent="0.2">
      <c r="A34" s="183" t="s">
        <v>309</v>
      </c>
      <c r="B34" s="184">
        <v>46122.78020833333</v>
      </c>
      <c r="C34" s="183">
        <f t="shared" si="0"/>
        <v>832</v>
      </c>
      <c r="D34" s="165">
        <f t="shared" si="1"/>
        <v>1</v>
      </c>
      <c r="E34" s="183"/>
      <c r="F34" s="183"/>
      <c r="G34" s="188" t="s">
        <v>41</v>
      </c>
      <c r="H34" s="183" t="s">
        <v>4502</v>
      </c>
      <c r="I34" s="183">
        <v>112121</v>
      </c>
      <c r="J34" s="183">
        <v>131</v>
      </c>
      <c r="K34" s="183" t="s">
        <v>20</v>
      </c>
      <c r="L34" s="183">
        <v>1</v>
      </c>
      <c r="M34" s="186">
        <v>15967742</v>
      </c>
      <c r="N34" s="186">
        <f t="shared" si="2"/>
        <v>15967742</v>
      </c>
      <c r="O34" s="183"/>
      <c r="P34" s="183">
        <f t="shared" si="3"/>
        <v>23</v>
      </c>
      <c r="S34" s="91"/>
    </row>
    <row r="35" spans="1:19" ht="15" hidden="1" customHeight="1" x14ac:dyDescent="0.2">
      <c r="A35" s="90" t="s">
        <v>308</v>
      </c>
      <c r="B35" s="69">
        <v>46041</v>
      </c>
      <c r="C35" s="90">
        <f t="shared" si="0"/>
        <v>833</v>
      </c>
      <c r="D35" s="12">
        <f t="shared" si="1"/>
        <v>1</v>
      </c>
      <c r="G35" s="91" t="s">
        <v>140</v>
      </c>
      <c r="H35" s="90" t="s">
        <v>3032</v>
      </c>
      <c r="I35" s="90">
        <v>1111</v>
      </c>
      <c r="J35" s="90">
        <v>112111</v>
      </c>
      <c r="K35" s="90" t="s">
        <v>20</v>
      </c>
      <c r="L35" s="90">
        <v>1</v>
      </c>
      <c r="M35" s="100">
        <v>50000000</v>
      </c>
      <c r="N35" s="100">
        <f t="shared" si="2"/>
        <v>50000000</v>
      </c>
      <c r="P35" s="90">
        <f t="shared" si="3"/>
        <v>40</v>
      </c>
      <c r="S35" s="91"/>
    </row>
    <row r="36" spans="1:19" ht="15" hidden="1" customHeight="1" x14ac:dyDescent="0.2">
      <c r="A36" s="90" t="s">
        <v>308</v>
      </c>
      <c r="B36" s="69">
        <v>46045</v>
      </c>
      <c r="C36" s="90">
        <f t="shared" si="0"/>
        <v>834</v>
      </c>
      <c r="D36" s="12">
        <f t="shared" si="1"/>
        <v>1</v>
      </c>
      <c r="G36" s="91" t="s">
        <v>140</v>
      </c>
      <c r="H36" s="90" t="s">
        <v>4487</v>
      </c>
      <c r="I36" s="90">
        <v>8118</v>
      </c>
      <c r="J36" s="90">
        <v>112111</v>
      </c>
      <c r="K36" s="90" t="s">
        <v>20</v>
      </c>
      <c r="L36" s="90">
        <v>1</v>
      </c>
      <c r="M36" s="100">
        <v>1809</v>
      </c>
      <c r="N36" s="100">
        <f t="shared" si="2"/>
        <v>1809</v>
      </c>
      <c r="P36" s="90">
        <f t="shared" si="3"/>
        <v>16</v>
      </c>
      <c r="S36" s="91"/>
    </row>
    <row r="37" spans="1:19" ht="15" hidden="1" customHeight="1" x14ac:dyDescent="0.2">
      <c r="A37" s="90" t="s">
        <v>308</v>
      </c>
      <c r="B37" s="69">
        <v>46045</v>
      </c>
      <c r="C37" s="90">
        <f t="shared" si="0"/>
        <v>834</v>
      </c>
      <c r="D37" s="12">
        <f t="shared" si="1"/>
        <v>0</v>
      </c>
      <c r="G37" s="91" t="s">
        <v>140</v>
      </c>
      <c r="H37" s="90" t="s">
        <v>4487</v>
      </c>
      <c r="I37" s="90">
        <v>8118</v>
      </c>
      <c r="J37" s="90">
        <v>112111</v>
      </c>
      <c r="K37" s="90" t="s">
        <v>20</v>
      </c>
      <c r="L37" s="90">
        <v>1</v>
      </c>
      <c r="M37" s="100">
        <v>3618</v>
      </c>
      <c r="N37" s="100">
        <f t="shared" si="2"/>
        <v>3618</v>
      </c>
      <c r="P37" s="90">
        <f t="shared" si="3"/>
        <v>16</v>
      </c>
      <c r="S37" s="91"/>
    </row>
    <row r="38" spans="1:19" ht="15" hidden="1" customHeight="1" x14ac:dyDescent="0.2">
      <c r="A38" s="90" t="s">
        <v>308</v>
      </c>
      <c r="B38" s="69">
        <v>46045</v>
      </c>
      <c r="C38" s="90">
        <f t="shared" si="0"/>
        <v>835</v>
      </c>
      <c r="D38" s="12">
        <f t="shared" si="1"/>
        <v>1</v>
      </c>
      <c r="G38" s="91" t="s">
        <v>4486</v>
      </c>
      <c r="H38" s="90" t="s">
        <v>3368</v>
      </c>
      <c r="I38" s="90">
        <v>333821</v>
      </c>
      <c r="J38" s="90">
        <v>112111</v>
      </c>
      <c r="K38" s="90" t="s">
        <v>20</v>
      </c>
      <c r="L38" s="90">
        <v>1</v>
      </c>
      <c r="M38" s="100">
        <v>52913979</v>
      </c>
      <c r="N38" s="100">
        <f t="shared" si="2"/>
        <v>52913979</v>
      </c>
      <c r="P38" s="90">
        <f t="shared" si="3"/>
        <v>27</v>
      </c>
      <c r="S38" s="91"/>
    </row>
    <row r="39" spans="1:19" ht="15" hidden="1" customHeight="1" x14ac:dyDescent="0.2">
      <c r="A39" s="90" t="s">
        <v>308</v>
      </c>
      <c r="B39" s="69">
        <v>46045</v>
      </c>
      <c r="C39" s="90">
        <f t="shared" si="0"/>
        <v>836</v>
      </c>
      <c r="D39" s="12">
        <f t="shared" si="1"/>
        <v>1</v>
      </c>
      <c r="G39" s="91" t="s">
        <v>4486</v>
      </c>
      <c r="H39" s="90" t="s">
        <v>4488</v>
      </c>
      <c r="I39" s="90">
        <v>333822</v>
      </c>
      <c r="J39" s="90">
        <v>112111</v>
      </c>
      <c r="K39" s="90" t="s">
        <v>20</v>
      </c>
      <c r="L39" s="90">
        <v>1</v>
      </c>
      <c r="M39" s="100">
        <v>9051972</v>
      </c>
      <c r="N39" s="100">
        <f t="shared" si="2"/>
        <v>9051972</v>
      </c>
      <c r="P39" s="90">
        <f t="shared" si="3"/>
        <v>36</v>
      </c>
      <c r="S39" s="91"/>
    </row>
    <row r="40" spans="1:19" ht="15" hidden="1" customHeight="1" x14ac:dyDescent="0.2">
      <c r="A40" s="90" t="s">
        <v>308</v>
      </c>
      <c r="B40" s="69">
        <v>46046.573437500003</v>
      </c>
      <c r="C40" s="90">
        <f t="shared" si="0"/>
        <v>837</v>
      </c>
      <c r="D40" s="12">
        <f t="shared" si="1"/>
        <v>1</v>
      </c>
      <c r="G40" s="91" t="s">
        <v>140</v>
      </c>
      <c r="H40" s="90" t="s">
        <v>3032</v>
      </c>
      <c r="I40" s="90">
        <v>1111</v>
      </c>
      <c r="J40" s="90">
        <v>112121</v>
      </c>
      <c r="K40" s="90" t="s">
        <v>20</v>
      </c>
      <c r="L40" s="90">
        <v>1</v>
      </c>
      <c r="M40" s="100">
        <v>100000000</v>
      </c>
      <c r="N40" s="100">
        <f t="shared" si="2"/>
        <v>100000000</v>
      </c>
      <c r="P40" s="90">
        <f t="shared" si="3"/>
        <v>40</v>
      </c>
      <c r="S40" s="91"/>
    </row>
    <row r="41" spans="1:19" ht="15" hidden="1" customHeight="1" x14ac:dyDescent="0.2">
      <c r="A41" s="90" t="s">
        <v>308</v>
      </c>
      <c r="B41" s="69">
        <v>46046.574502314812</v>
      </c>
      <c r="C41" s="90">
        <f t="shared" si="0"/>
        <v>837</v>
      </c>
      <c r="D41" s="12">
        <f t="shared" si="1"/>
        <v>0</v>
      </c>
      <c r="G41" s="91" t="s">
        <v>140</v>
      </c>
      <c r="H41" s="90" t="s">
        <v>3032</v>
      </c>
      <c r="I41" s="90">
        <v>1111</v>
      </c>
      <c r="J41" s="90">
        <v>112121</v>
      </c>
      <c r="K41" s="90" t="s">
        <v>20</v>
      </c>
      <c r="L41" s="90">
        <v>1</v>
      </c>
      <c r="M41" s="100">
        <v>100000000</v>
      </c>
      <c r="N41" s="100">
        <f t="shared" si="2"/>
        <v>100000000</v>
      </c>
      <c r="P41" s="90">
        <f t="shared" si="3"/>
        <v>40</v>
      </c>
      <c r="S41" s="91"/>
    </row>
    <row r="42" spans="1:19" ht="15" hidden="1" customHeight="1" x14ac:dyDescent="0.2">
      <c r="A42" s="90" t="s">
        <v>308</v>
      </c>
      <c r="B42" s="69">
        <v>46059</v>
      </c>
      <c r="C42" s="90">
        <f t="shared" si="0"/>
        <v>838</v>
      </c>
      <c r="D42" s="12">
        <f t="shared" si="1"/>
        <v>1</v>
      </c>
      <c r="G42" s="91" t="s">
        <v>140</v>
      </c>
      <c r="H42" s="90" t="s">
        <v>4487</v>
      </c>
      <c r="I42" s="90">
        <v>8118</v>
      </c>
      <c r="J42" s="90">
        <v>112111</v>
      </c>
      <c r="K42" s="90" t="s">
        <v>20</v>
      </c>
      <c r="L42" s="90">
        <v>1</v>
      </c>
      <c r="M42" s="100">
        <v>1810</v>
      </c>
      <c r="N42" s="100">
        <f t="shared" si="2"/>
        <v>1810</v>
      </c>
      <c r="P42" s="90">
        <f t="shared" si="3"/>
        <v>16</v>
      </c>
      <c r="S42" s="91"/>
    </row>
    <row r="43" spans="1:19" ht="15" hidden="1" customHeight="1" x14ac:dyDescent="0.2">
      <c r="A43" s="90" t="s">
        <v>308</v>
      </c>
      <c r="B43" s="69">
        <v>46059</v>
      </c>
      <c r="C43" s="90">
        <f t="shared" si="0"/>
        <v>838</v>
      </c>
      <c r="D43" s="12">
        <f t="shared" si="1"/>
        <v>0</v>
      </c>
      <c r="G43" s="91" t="s">
        <v>140</v>
      </c>
      <c r="H43" s="90" t="s">
        <v>4487</v>
      </c>
      <c r="I43" s="90">
        <v>8118</v>
      </c>
      <c r="J43" s="90">
        <v>112111</v>
      </c>
      <c r="K43" s="90" t="s">
        <v>20</v>
      </c>
      <c r="L43" s="90">
        <v>1</v>
      </c>
      <c r="M43" s="100">
        <v>3621</v>
      </c>
      <c r="N43" s="100">
        <f t="shared" si="2"/>
        <v>3621</v>
      </c>
      <c r="P43" s="90">
        <f t="shared" si="3"/>
        <v>16</v>
      </c>
      <c r="S43" s="91"/>
    </row>
    <row r="44" spans="1:19" ht="15" hidden="1" customHeight="1" x14ac:dyDescent="0.2">
      <c r="A44" s="90" t="s">
        <v>308</v>
      </c>
      <c r="B44" s="69">
        <v>46065.510844907411</v>
      </c>
      <c r="C44" s="90">
        <f t="shared" si="0"/>
        <v>839</v>
      </c>
      <c r="D44" s="12">
        <f t="shared" si="1"/>
        <v>1</v>
      </c>
      <c r="G44" s="91" t="s">
        <v>140</v>
      </c>
      <c r="H44" s="90" t="s">
        <v>3032</v>
      </c>
      <c r="I44" s="90">
        <v>1111</v>
      </c>
      <c r="J44" s="90">
        <v>112121</v>
      </c>
      <c r="K44" s="90" t="s">
        <v>20</v>
      </c>
      <c r="L44" s="90">
        <v>1</v>
      </c>
      <c r="M44" s="100">
        <v>300000000</v>
      </c>
      <c r="N44" s="100">
        <f t="shared" si="2"/>
        <v>300000000</v>
      </c>
      <c r="P44" s="90">
        <f t="shared" si="3"/>
        <v>40</v>
      </c>
      <c r="S44" s="91"/>
    </row>
    <row r="45" spans="1:19" ht="15" hidden="1" customHeight="1" x14ac:dyDescent="0.2">
      <c r="A45" s="90" t="s">
        <v>308</v>
      </c>
      <c r="B45" s="69">
        <v>46065.512002314812</v>
      </c>
      <c r="C45" s="90">
        <f t="shared" si="0"/>
        <v>839</v>
      </c>
      <c r="D45" s="12">
        <f t="shared" si="1"/>
        <v>0</v>
      </c>
      <c r="G45" s="91" t="s">
        <v>140</v>
      </c>
      <c r="H45" s="90" t="s">
        <v>3032</v>
      </c>
      <c r="I45" s="90">
        <v>1111</v>
      </c>
      <c r="J45" s="90">
        <v>112121</v>
      </c>
      <c r="K45" s="90" t="s">
        <v>20</v>
      </c>
      <c r="L45" s="90">
        <v>1</v>
      </c>
      <c r="M45" s="100">
        <v>100000000</v>
      </c>
      <c r="N45" s="100">
        <f t="shared" si="2"/>
        <v>100000000</v>
      </c>
      <c r="P45" s="90">
        <f t="shared" si="3"/>
        <v>40</v>
      </c>
      <c r="S45" s="91"/>
    </row>
    <row r="46" spans="1:19" ht="15" hidden="1" customHeight="1" x14ac:dyDescent="0.2">
      <c r="A46" s="90" t="s">
        <v>308</v>
      </c>
      <c r="B46" s="69">
        <v>46067.848009259258</v>
      </c>
      <c r="C46" s="90">
        <f t="shared" si="0"/>
        <v>839</v>
      </c>
      <c r="D46" s="12">
        <f t="shared" si="1"/>
        <v>0</v>
      </c>
      <c r="G46" s="91" t="s">
        <v>140</v>
      </c>
      <c r="H46" s="90" t="s">
        <v>3032</v>
      </c>
      <c r="I46" s="90">
        <v>1111</v>
      </c>
      <c r="J46" s="90">
        <v>112121</v>
      </c>
      <c r="K46" s="90" t="s">
        <v>20</v>
      </c>
      <c r="L46" s="90">
        <v>1</v>
      </c>
      <c r="M46" s="100">
        <v>6840906</v>
      </c>
      <c r="N46" s="100">
        <f t="shared" si="2"/>
        <v>6840906</v>
      </c>
      <c r="P46" s="90">
        <f t="shared" si="3"/>
        <v>40</v>
      </c>
      <c r="S46" s="91"/>
    </row>
    <row r="47" spans="1:19" ht="15" hidden="1" customHeight="1" x14ac:dyDescent="0.2">
      <c r="A47" s="90" t="s">
        <v>308</v>
      </c>
      <c r="B47" s="69">
        <v>46078</v>
      </c>
      <c r="C47" s="90">
        <f t="shared" si="0"/>
        <v>839</v>
      </c>
      <c r="D47" s="12">
        <f t="shared" si="1"/>
        <v>0</v>
      </c>
      <c r="G47" s="91" t="s">
        <v>140</v>
      </c>
      <c r="H47" s="90" t="s">
        <v>3032</v>
      </c>
      <c r="I47" s="90">
        <v>1111</v>
      </c>
      <c r="J47" s="90">
        <v>112111</v>
      </c>
      <c r="K47" s="90" t="s">
        <v>20</v>
      </c>
      <c r="L47" s="90">
        <v>1</v>
      </c>
      <c r="M47" s="100">
        <v>70000000</v>
      </c>
      <c r="N47" s="100">
        <f t="shared" si="2"/>
        <v>70000000</v>
      </c>
      <c r="P47" s="90">
        <f t="shared" si="3"/>
        <v>40</v>
      </c>
      <c r="S47" s="91"/>
    </row>
    <row r="48" spans="1:19" ht="15" hidden="1" customHeight="1" x14ac:dyDescent="0.2">
      <c r="A48" s="90" t="s">
        <v>308</v>
      </c>
      <c r="B48" s="69">
        <v>46094</v>
      </c>
      <c r="C48" s="90">
        <f t="shared" si="0"/>
        <v>839</v>
      </c>
      <c r="D48" s="12">
        <f t="shared" si="1"/>
        <v>0</v>
      </c>
      <c r="G48" s="91" t="s">
        <v>140</v>
      </c>
      <c r="H48" s="90" t="s">
        <v>3032</v>
      </c>
      <c r="I48" s="90">
        <v>1111</v>
      </c>
      <c r="J48" s="90">
        <v>112111</v>
      </c>
      <c r="K48" s="90" t="s">
        <v>20</v>
      </c>
      <c r="L48" s="90">
        <v>1</v>
      </c>
      <c r="M48" s="100">
        <v>15000000</v>
      </c>
      <c r="N48" s="100">
        <f t="shared" si="2"/>
        <v>15000000</v>
      </c>
      <c r="P48" s="90">
        <f t="shared" si="3"/>
        <v>40</v>
      </c>
      <c r="S48" s="91"/>
    </row>
    <row r="49" spans="1:19" ht="15" hidden="1" customHeight="1" x14ac:dyDescent="0.2">
      <c r="A49" s="90" t="s">
        <v>308</v>
      </c>
      <c r="B49" s="69">
        <v>46094.51734953704</v>
      </c>
      <c r="C49" s="90">
        <f t="shared" si="0"/>
        <v>839</v>
      </c>
      <c r="D49" s="12">
        <f t="shared" si="1"/>
        <v>0</v>
      </c>
      <c r="G49" s="91" t="s">
        <v>140</v>
      </c>
      <c r="H49" s="90" t="s">
        <v>3032</v>
      </c>
      <c r="I49" s="90">
        <v>1111</v>
      </c>
      <c r="J49" s="90">
        <v>112121</v>
      </c>
      <c r="K49" s="90" t="s">
        <v>20</v>
      </c>
      <c r="L49" s="90">
        <v>1</v>
      </c>
      <c r="M49" s="100">
        <v>100000000</v>
      </c>
      <c r="N49" s="100">
        <f t="shared" si="2"/>
        <v>100000000</v>
      </c>
      <c r="P49" s="90">
        <f t="shared" si="3"/>
        <v>40</v>
      </c>
      <c r="S49" s="91"/>
    </row>
    <row r="50" spans="1:19" ht="15" hidden="1" customHeight="1" x14ac:dyDescent="0.2">
      <c r="A50" s="90" t="s">
        <v>308</v>
      </c>
      <c r="B50" s="69">
        <v>46104.42292824074</v>
      </c>
      <c r="C50" s="90">
        <f t="shared" si="0"/>
        <v>839</v>
      </c>
      <c r="D50" s="12">
        <f t="shared" si="1"/>
        <v>0</v>
      </c>
      <c r="G50" s="91" t="s">
        <v>140</v>
      </c>
      <c r="H50" s="90" t="s">
        <v>3032</v>
      </c>
      <c r="I50" s="90">
        <v>1111</v>
      </c>
      <c r="J50" s="90">
        <v>112121</v>
      </c>
      <c r="K50" s="90" t="s">
        <v>20</v>
      </c>
      <c r="L50" s="90">
        <v>1</v>
      </c>
      <c r="M50" s="100">
        <v>2070900</v>
      </c>
      <c r="N50" s="100">
        <f t="shared" si="2"/>
        <v>2070900</v>
      </c>
      <c r="P50" s="90">
        <f t="shared" si="3"/>
        <v>40</v>
      </c>
      <c r="S50" s="91"/>
    </row>
    <row r="51" spans="1:19" ht="15" hidden="1" customHeight="1" x14ac:dyDescent="0.2">
      <c r="A51" s="90" t="s">
        <v>308</v>
      </c>
      <c r="B51" s="69">
        <v>46104.423541666663</v>
      </c>
      <c r="C51" s="90">
        <f t="shared" si="0"/>
        <v>839</v>
      </c>
      <c r="D51" s="12">
        <f t="shared" si="1"/>
        <v>0</v>
      </c>
      <c r="G51" s="91" t="s">
        <v>140</v>
      </c>
      <c r="H51" s="90" t="s">
        <v>3032</v>
      </c>
      <c r="I51" s="90">
        <v>1111</v>
      </c>
      <c r="J51" s="90">
        <v>112121</v>
      </c>
      <c r="K51" s="90" t="s">
        <v>20</v>
      </c>
      <c r="L51" s="90">
        <v>1</v>
      </c>
      <c r="M51" s="100">
        <v>4800000</v>
      </c>
      <c r="N51" s="100">
        <f t="shared" si="2"/>
        <v>4800000</v>
      </c>
      <c r="P51" s="90">
        <f t="shared" si="3"/>
        <v>40</v>
      </c>
      <c r="S51" s="91"/>
    </row>
    <row r="52" spans="1:19" ht="15" hidden="1" customHeight="1" x14ac:dyDescent="0.2">
      <c r="A52" s="90" t="s">
        <v>308</v>
      </c>
      <c r="B52" s="69">
        <v>46113.856273148151</v>
      </c>
      <c r="C52" s="90">
        <f t="shared" si="0"/>
        <v>839</v>
      </c>
      <c r="D52" s="12">
        <f t="shared" si="1"/>
        <v>0</v>
      </c>
      <c r="G52" s="91" t="s">
        <v>140</v>
      </c>
      <c r="H52" s="90" t="s">
        <v>3032</v>
      </c>
      <c r="I52" s="90">
        <v>1111</v>
      </c>
      <c r="J52" s="90">
        <v>112121</v>
      </c>
      <c r="K52" s="90" t="s">
        <v>20</v>
      </c>
      <c r="L52" s="90">
        <v>1</v>
      </c>
      <c r="M52" s="100">
        <v>100000000</v>
      </c>
      <c r="N52" s="100">
        <f t="shared" si="2"/>
        <v>100000000</v>
      </c>
      <c r="P52" s="90">
        <f t="shared" si="3"/>
        <v>40</v>
      </c>
      <c r="S52" s="91"/>
    </row>
    <row r="53" spans="1:19" ht="15" hidden="1" customHeight="1" x14ac:dyDescent="0.2">
      <c r="A53" s="90" t="s">
        <v>310</v>
      </c>
      <c r="B53" s="69" t="s">
        <v>432</v>
      </c>
      <c r="C53" s="90">
        <f t="shared" si="0"/>
        <v>840</v>
      </c>
      <c r="D53" s="12">
        <f t="shared" si="1"/>
        <v>1</v>
      </c>
      <c r="G53" s="91" t="s">
        <v>562</v>
      </c>
      <c r="H53" s="90" t="s">
        <v>4475</v>
      </c>
      <c r="I53" s="90">
        <v>331</v>
      </c>
      <c r="J53" s="90">
        <v>1111</v>
      </c>
      <c r="K53" s="90" t="s">
        <v>20</v>
      </c>
      <c r="L53" s="90">
        <v>1</v>
      </c>
      <c r="M53" s="100">
        <v>2222640</v>
      </c>
      <c r="N53" s="100">
        <f t="shared" si="2"/>
        <v>2222640</v>
      </c>
      <c r="P53" s="90">
        <f t="shared" si="3"/>
        <v>51</v>
      </c>
      <c r="S53" s="91"/>
    </row>
    <row r="54" spans="1:19" ht="15" hidden="1" customHeight="1" x14ac:dyDescent="0.2">
      <c r="A54" s="90" t="s">
        <v>310</v>
      </c>
      <c r="B54" s="69" t="s">
        <v>534</v>
      </c>
      <c r="C54" s="90">
        <f t="shared" si="0"/>
        <v>841</v>
      </c>
      <c r="D54" s="12">
        <f t="shared" si="1"/>
        <v>1</v>
      </c>
      <c r="G54" s="91" t="s">
        <v>258</v>
      </c>
      <c r="H54" s="90" t="s">
        <v>4389</v>
      </c>
      <c r="I54" s="90">
        <v>331</v>
      </c>
      <c r="J54" s="90">
        <v>1111</v>
      </c>
      <c r="K54" s="90" t="s">
        <v>20</v>
      </c>
      <c r="L54" s="90">
        <v>1</v>
      </c>
      <c r="M54" s="100">
        <v>815400</v>
      </c>
      <c r="N54" s="100">
        <f t="shared" si="2"/>
        <v>815400</v>
      </c>
      <c r="P54" s="90">
        <f t="shared" si="3"/>
        <v>120</v>
      </c>
      <c r="S54" s="91"/>
    </row>
    <row r="55" spans="1:19" ht="15" hidden="1" customHeight="1" x14ac:dyDescent="0.2">
      <c r="A55" s="90" t="s">
        <v>310</v>
      </c>
      <c r="B55" s="69" t="s">
        <v>535</v>
      </c>
      <c r="C55" s="90">
        <f t="shared" si="0"/>
        <v>842</v>
      </c>
      <c r="D55" s="12">
        <f t="shared" si="1"/>
        <v>1</v>
      </c>
      <c r="G55" s="91" t="s">
        <v>89</v>
      </c>
      <c r="H55" s="90" t="s">
        <v>4390</v>
      </c>
      <c r="I55" s="90">
        <v>331</v>
      </c>
      <c r="J55" s="90">
        <v>1111</v>
      </c>
      <c r="K55" s="90" t="s">
        <v>20</v>
      </c>
      <c r="L55" s="90">
        <v>1</v>
      </c>
      <c r="M55" s="100">
        <v>128000</v>
      </c>
      <c r="N55" s="100">
        <f t="shared" si="2"/>
        <v>128000</v>
      </c>
      <c r="P55" s="90">
        <f t="shared" si="3"/>
        <v>83</v>
      </c>
      <c r="S55" s="91"/>
    </row>
    <row r="56" spans="1:19" ht="15" hidden="1" customHeight="1" x14ac:dyDescent="0.2">
      <c r="A56" s="90" t="s">
        <v>310</v>
      </c>
      <c r="B56" s="69" t="s">
        <v>536</v>
      </c>
      <c r="C56" s="90">
        <f t="shared" si="0"/>
        <v>843</v>
      </c>
      <c r="D56" s="12">
        <f t="shared" si="1"/>
        <v>1</v>
      </c>
      <c r="G56" s="91" t="s">
        <v>35</v>
      </c>
      <c r="H56" s="90" t="s">
        <v>4391</v>
      </c>
      <c r="I56" s="90">
        <v>331</v>
      </c>
      <c r="J56" s="90">
        <v>1111</v>
      </c>
      <c r="K56" s="90" t="s">
        <v>20</v>
      </c>
      <c r="L56" s="90">
        <v>1</v>
      </c>
      <c r="M56" s="100">
        <v>3240000</v>
      </c>
      <c r="N56" s="100">
        <f t="shared" si="2"/>
        <v>3240000</v>
      </c>
      <c r="P56" s="90">
        <f t="shared" si="3"/>
        <v>52</v>
      </c>
      <c r="S56" s="91"/>
    </row>
    <row r="57" spans="1:19" ht="15" hidden="1" customHeight="1" x14ac:dyDescent="0.2">
      <c r="A57" s="90" t="s">
        <v>310</v>
      </c>
      <c r="B57" s="69" t="s">
        <v>494</v>
      </c>
      <c r="C57" s="90">
        <f t="shared" si="0"/>
        <v>844</v>
      </c>
      <c r="D57" s="12">
        <f t="shared" si="1"/>
        <v>1</v>
      </c>
      <c r="G57" s="91" t="s">
        <v>52</v>
      </c>
      <c r="H57" s="90" t="s">
        <v>4392</v>
      </c>
      <c r="I57" s="90">
        <v>331</v>
      </c>
      <c r="J57" s="90">
        <v>1111</v>
      </c>
      <c r="K57" s="90" t="s">
        <v>20</v>
      </c>
      <c r="L57" s="90">
        <v>1</v>
      </c>
      <c r="M57" s="100">
        <v>881280</v>
      </c>
      <c r="N57" s="100">
        <f t="shared" si="2"/>
        <v>881280</v>
      </c>
      <c r="P57" s="90">
        <f t="shared" si="3"/>
        <v>138</v>
      </c>
      <c r="S57" s="91"/>
    </row>
    <row r="58" spans="1:19" ht="15" hidden="1" customHeight="1" x14ac:dyDescent="0.2">
      <c r="A58" s="90" t="s">
        <v>310</v>
      </c>
      <c r="B58" s="69" t="s">
        <v>537</v>
      </c>
      <c r="C58" s="90">
        <f t="shared" si="0"/>
        <v>845</v>
      </c>
      <c r="D58" s="12">
        <f t="shared" si="1"/>
        <v>1</v>
      </c>
      <c r="G58" s="91" t="s">
        <v>89</v>
      </c>
      <c r="H58" s="90" t="s">
        <v>4393</v>
      </c>
      <c r="I58" s="90">
        <v>331</v>
      </c>
      <c r="J58" s="90">
        <v>1111</v>
      </c>
      <c r="K58" s="90" t="s">
        <v>20</v>
      </c>
      <c r="L58" s="90">
        <v>1</v>
      </c>
      <c r="M58" s="100">
        <v>89000</v>
      </c>
      <c r="N58" s="100">
        <f t="shared" si="2"/>
        <v>89000</v>
      </c>
      <c r="P58" s="90">
        <f t="shared" si="3"/>
        <v>125</v>
      </c>
      <c r="S58" s="91"/>
    </row>
    <row r="59" spans="1:19" ht="15" hidden="1" customHeight="1" x14ac:dyDescent="0.2">
      <c r="A59" s="90" t="s">
        <v>310</v>
      </c>
      <c r="B59" s="69" t="s">
        <v>538</v>
      </c>
      <c r="C59" s="90">
        <f t="shared" si="0"/>
        <v>846</v>
      </c>
      <c r="D59" s="12">
        <f t="shared" si="1"/>
        <v>1</v>
      </c>
      <c r="G59" s="91" t="s">
        <v>89</v>
      </c>
      <c r="H59" s="90" t="s">
        <v>4394</v>
      </c>
      <c r="I59" s="90">
        <v>331</v>
      </c>
      <c r="J59" s="90">
        <v>1111</v>
      </c>
      <c r="K59" s="90" t="s">
        <v>20</v>
      </c>
      <c r="L59" s="90">
        <v>1</v>
      </c>
      <c r="M59" s="100">
        <v>47000</v>
      </c>
      <c r="N59" s="100">
        <f t="shared" si="2"/>
        <v>47000</v>
      </c>
      <c r="P59" s="90">
        <f t="shared" si="3"/>
        <v>83</v>
      </c>
      <c r="S59" s="91"/>
    </row>
    <row r="60" spans="1:19" ht="15" hidden="1" customHeight="1" x14ac:dyDescent="0.2">
      <c r="A60" s="90" t="s">
        <v>310</v>
      </c>
      <c r="B60" s="69" t="s">
        <v>538</v>
      </c>
      <c r="C60" s="90">
        <f t="shared" si="0"/>
        <v>847</v>
      </c>
      <c r="D60" s="12">
        <f t="shared" si="1"/>
        <v>1</v>
      </c>
      <c r="G60" s="91" t="s">
        <v>89</v>
      </c>
      <c r="H60" s="90" t="s">
        <v>4395</v>
      </c>
      <c r="I60" s="90">
        <v>331</v>
      </c>
      <c r="J60" s="90">
        <v>1111</v>
      </c>
      <c r="K60" s="90" t="s">
        <v>20</v>
      </c>
      <c r="L60" s="90">
        <v>1</v>
      </c>
      <c r="M60" s="100">
        <v>21000</v>
      </c>
      <c r="N60" s="100">
        <f t="shared" si="2"/>
        <v>21000</v>
      </c>
      <c r="P60" s="90">
        <f t="shared" si="3"/>
        <v>83</v>
      </c>
      <c r="S60" s="91"/>
    </row>
    <row r="61" spans="1:19" ht="15" hidden="1" customHeight="1" x14ac:dyDescent="0.2">
      <c r="A61" s="90" t="s">
        <v>310</v>
      </c>
      <c r="B61" s="69" t="s">
        <v>538</v>
      </c>
      <c r="C61" s="90">
        <f t="shared" si="0"/>
        <v>848</v>
      </c>
      <c r="D61" s="12">
        <f t="shared" si="1"/>
        <v>1</v>
      </c>
      <c r="G61" s="91" t="s">
        <v>89</v>
      </c>
      <c r="H61" s="90" t="s">
        <v>4396</v>
      </c>
      <c r="I61" s="90">
        <v>331</v>
      </c>
      <c r="J61" s="90">
        <v>1111</v>
      </c>
      <c r="K61" s="90" t="s">
        <v>20</v>
      </c>
      <c r="L61" s="90">
        <v>1</v>
      </c>
      <c r="M61" s="100">
        <v>13000</v>
      </c>
      <c r="N61" s="100">
        <f t="shared" si="2"/>
        <v>13000</v>
      </c>
      <c r="P61" s="90">
        <f t="shared" si="3"/>
        <v>83</v>
      </c>
      <c r="S61" s="91"/>
    </row>
    <row r="62" spans="1:19" ht="15" hidden="1" customHeight="1" x14ac:dyDescent="0.2">
      <c r="A62" s="90" t="s">
        <v>310</v>
      </c>
      <c r="B62" s="69" t="s">
        <v>539</v>
      </c>
      <c r="C62" s="90">
        <f t="shared" si="0"/>
        <v>849</v>
      </c>
      <c r="D62" s="12">
        <f t="shared" si="1"/>
        <v>1</v>
      </c>
      <c r="G62" s="91" t="s">
        <v>89</v>
      </c>
      <c r="H62" s="90" t="s">
        <v>4397</v>
      </c>
      <c r="I62" s="90">
        <v>331</v>
      </c>
      <c r="J62" s="90">
        <v>1111</v>
      </c>
      <c r="K62" s="90" t="s">
        <v>20</v>
      </c>
      <c r="L62" s="90">
        <v>1</v>
      </c>
      <c r="M62" s="100">
        <v>16000</v>
      </c>
      <c r="N62" s="100">
        <f t="shared" si="2"/>
        <v>16000</v>
      </c>
      <c r="P62" s="90">
        <f t="shared" si="3"/>
        <v>83</v>
      </c>
      <c r="S62" s="91"/>
    </row>
    <row r="63" spans="1:19" ht="15" hidden="1" customHeight="1" x14ac:dyDescent="0.2">
      <c r="A63" s="90" t="s">
        <v>310</v>
      </c>
      <c r="B63" s="69" t="s">
        <v>435</v>
      </c>
      <c r="C63" s="90">
        <f t="shared" si="0"/>
        <v>850</v>
      </c>
      <c r="D63" s="12">
        <f t="shared" si="1"/>
        <v>1</v>
      </c>
      <c r="G63" s="91" t="s">
        <v>89</v>
      </c>
      <c r="H63" s="90" t="s">
        <v>4398</v>
      </c>
      <c r="I63" s="90">
        <v>331</v>
      </c>
      <c r="J63" s="90">
        <v>1111</v>
      </c>
      <c r="K63" s="90" t="s">
        <v>20</v>
      </c>
      <c r="L63" s="90">
        <v>1</v>
      </c>
      <c r="M63" s="100">
        <v>80000</v>
      </c>
      <c r="N63" s="100">
        <f t="shared" si="2"/>
        <v>80000</v>
      </c>
      <c r="P63" s="90">
        <f t="shared" si="3"/>
        <v>83</v>
      </c>
      <c r="S63" s="91"/>
    </row>
    <row r="64" spans="1:19" ht="15" hidden="1" customHeight="1" x14ac:dyDescent="0.2">
      <c r="A64" s="90" t="s">
        <v>310</v>
      </c>
      <c r="B64" s="69" t="s">
        <v>435</v>
      </c>
      <c r="C64" s="90">
        <f t="shared" si="0"/>
        <v>851</v>
      </c>
      <c r="D64" s="12">
        <f t="shared" si="1"/>
        <v>1</v>
      </c>
      <c r="G64" s="91" t="s">
        <v>89</v>
      </c>
      <c r="H64" s="90" t="s">
        <v>4399</v>
      </c>
      <c r="I64" s="90">
        <v>331</v>
      </c>
      <c r="J64" s="90">
        <v>1111</v>
      </c>
      <c r="K64" s="90" t="s">
        <v>20</v>
      </c>
      <c r="L64" s="90">
        <v>1</v>
      </c>
      <c r="M64" s="100">
        <v>59000</v>
      </c>
      <c r="N64" s="100">
        <f t="shared" si="2"/>
        <v>59000</v>
      </c>
      <c r="P64" s="90">
        <f t="shared" si="3"/>
        <v>83</v>
      </c>
      <c r="S64" s="91"/>
    </row>
    <row r="65" spans="1:19" ht="15" hidden="1" customHeight="1" x14ac:dyDescent="0.2">
      <c r="A65" s="90" t="s">
        <v>310</v>
      </c>
      <c r="B65" s="69" t="s">
        <v>472</v>
      </c>
      <c r="C65" s="90">
        <f t="shared" si="0"/>
        <v>852</v>
      </c>
      <c r="D65" s="12">
        <f t="shared" si="1"/>
        <v>1</v>
      </c>
      <c r="G65" s="91" t="s">
        <v>89</v>
      </c>
      <c r="H65" s="90" t="s">
        <v>4400</v>
      </c>
      <c r="I65" s="90">
        <v>331</v>
      </c>
      <c r="J65" s="90">
        <v>1111</v>
      </c>
      <c r="K65" s="90" t="s">
        <v>20</v>
      </c>
      <c r="L65" s="90">
        <v>1</v>
      </c>
      <c r="M65" s="100">
        <v>22000</v>
      </c>
      <c r="N65" s="100">
        <f t="shared" si="2"/>
        <v>22000</v>
      </c>
      <c r="P65" s="90">
        <f t="shared" si="3"/>
        <v>83</v>
      </c>
      <c r="S65" s="91"/>
    </row>
    <row r="66" spans="1:19" ht="15" hidden="1" customHeight="1" x14ac:dyDescent="0.2">
      <c r="A66" s="90" t="s">
        <v>310</v>
      </c>
      <c r="B66" s="69" t="s">
        <v>498</v>
      </c>
      <c r="C66" s="90">
        <f t="shared" si="0"/>
        <v>853</v>
      </c>
      <c r="D66" s="12">
        <f t="shared" si="1"/>
        <v>1</v>
      </c>
      <c r="G66" s="91" t="s">
        <v>234</v>
      </c>
      <c r="H66" s="90" t="s">
        <v>4401</v>
      </c>
      <c r="I66" s="90">
        <v>331</v>
      </c>
      <c r="J66" s="90">
        <v>1111</v>
      </c>
      <c r="K66" s="90" t="s">
        <v>20</v>
      </c>
      <c r="L66" s="90">
        <v>1</v>
      </c>
      <c r="M66" s="100">
        <v>62</v>
      </c>
      <c r="N66" s="100">
        <f t="shared" si="2"/>
        <v>62</v>
      </c>
      <c r="P66" s="90">
        <f t="shared" si="3"/>
        <v>24</v>
      </c>
      <c r="S66" s="91"/>
    </row>
    <row r="67" spans="1:19" ht="15" hidden="1" customHeight="1" x14ac:dyDescent="0.2">
      <c r="A67" s="90" t="s">
        <v>310</v>
      </c>
      <c r="B67" s="69" t="s">
        <v>473</v>
      </c>
      <c r="C67" s="90">
        <f t="shared" si="0"/>
        <v>854</v>
      </c>
      <c r="D67" s="12">
        <f t="shared" si="1"/>
        <v>1</v>
      </c>
      <c r="G67" s="91" t="s">
        <v>89</v>
      </c>
      <c r="H67" s="90" t="s">
        <v>4402</v>
      </c>
      <c r="I67" s="90">
        <v>331</v>
      </c>
      <c r="J67" s="90">
        <v>1111</v>
      </c>
      <c r="K67" s="90" t="s">
        <v>20</v>
      </c>
      <c r="L67" s="90">
        <v>1</v>
      </c>
      <c r="M67" s="100">
        <v>96000</v>
      </c>
      <c r="N67" s="100">
        <f t="shared" si="2"/>
        <v>96000</v>
      </c>
      <c r="P67" s="90">
        <f t="shared" si="3"/>
        <v>83</v>
      </c>
      <c r="S67" s="91"/>
    </row>
    <row r="68" spans="1:19" ht="15" hidden="1" customHeight="1" x14ac:dyDescent="0.2">
      <c r="A68" s="90" t="s">
        <v>310</v>
      </c>
      <c r="B68" s="69" t="s">
        <v>540</v>
      </c>
      <c r="C68" s="90">
        <f t="shared" ref="C68:C131" si="4">C67+D68</f>
        <v>855</v>
      </c>
      <c r="D68" s="12">
        <f t="shared" ref="D68:D131" si="5">IF(H68=H67,0,1)</f>
        <v>1</v>
      </c>
      <c r="G68" s="91" t="s">
        <v>89</v>
      </c>
      <c r="H68" s="90" t="s">
        <v>4403</v>
      </c>
      <c r="I68" s="90">
        <v>331</v>
      </c>
      <c r="J68" s="90">
        <v>1111</v>
      </c>
      <c r="K68" s="90" t="s">
        <v>20</v>
      </c>
      <c r="L68" s="90">
        <v>1</v>
      </c>
      <c r="M68" s="100">
        <v>142000</v>
      </c>
      <c r="N68" s="100">
        <f t="shared" ref="N68:N131" si="6">L68*M68</f>
        <v>142000</v>
      </c>
      <c r="P68" s="90">
        <f t="shared" ref="P68:P131" si="7">LEN(H68)</f>
        <v>83</v>
      </c>
      <c r="S68" s="91"/>
    </row>
    <row r="69" spans="1:19" ht="15" hidden="1" customHeight="1" x14ac:dyDescent="0.2">
      <c r="A69" s="90" t="s">
        <v>310</v>
      </c>
      <c r="B69" s="69" t="s">
        <v>540</v>
      </c>
      <c r="C69" s="90">
        <f t="shared" si="4"/>
        <v>856</v>
      </c>
      <c r="D69" s="12">
        <f t="shared" si="5"/>
        <v>1</v>
      </c>
      <c r="G69" s="91" t="s">
        <v>35</v>
      </c>
      <c r="H69" s="90" t="s">
        <v>4404</v>
      </c>
      <c r="I69" s="90">
        <v>331</v>
      </c>
      <c r="J69" s="90">
        <v>1111</v>
      </c>
      <c r="K69" s="90" t="s">
        <v>20</v>
      </c>
      <c r="L69" s="90">
        <v>1</v>
      </c>
      <c r="M69" s="100">
        <v>3240000</v>
      </c>
      <c r="N69" s="100">
        <f t="shared" si="6"/>
        <v>3240000</v>
      </c>
      <c r="P69" s="90">
        <f t="shared" si="7"/>
        <v>52</v>
      </c>
      <c r="S69" s="91"/>
    </row>
    <row r="70" spans="1:19" ht="15" hidden="1" customHeight="1" x14ac:dyDescent="0.2">
      <c r="A70" s="90" t="s">
        <v>310</v>
      </c>
      <c r="B70" s="69" t="s">
        <v>436</v>
      </c>
      <c r="C70" s="90">
        <f t="shared" si="4"/>
        <v>857</v>
      </c>
      <c r="D70" s="12">
        <f t="shared" si="5"/>
        <v>1</v>
      </c>
      <c r="G70" s="91" t="s">
        <v>44</v>
      </c>
      <c r="H70" s="90" t="s">
        <v>4405</v>
      </c>
      <c r="I70" s="90">
        <v>331</v>
      </c>
      <c r="J70" s="90">
        <v>1111</v>
      </c>
      <c r="K70" s="90" t="s">
        <v>20</v>
      </c>
      <c r="L70" s="90">
        <v>1</v>
      </c>
      <c r="M70" s="100">
        <v>541677</v>
      </c>
      <c r="N70" s="100">
        <f t="shared" si="6"/>
        <v>541677</v>
      </c>
      <c r="P70" s="90">
        <f t="shared" si="7"/>
        <v>109</v>
      </c>
      <c r="S70" s="91"/>
    </row>
    <row r="71" spans="1:19" ht="15" hidden="1" customHeight="1" x14ac:dyDescent="0.2">
      <c r="A71" s="90" t="s">
        <v>310</v>
      </c>
      <c r="B71" s="69" t="s">
        <v>541</v>
      </c>
      <c r="C71" s="90">
        <f t="shared" si="4"/>
        <v>858</v>
      </c>
      <c r="D71" s="12">
        <f t="shared" si="5"/>
        <v>1</v>
      </c>
      <c r="G71" s="91" t="s">
        <v>37</v>
      </c>
      <c r="H71" s="90" t="s">
        <v>4476</v>
      </c>
      <c r="I71" s="90">
        <v>331</v>
      </c>
      <c r="J71" s="90">
        <v>1111</v>
      </c>
      <c r="K71" s="90" t="s">
        <v>20</v>
      </c>
      <c r="L71" s="90">
        <v>1</v>
      </c>
      <c r="M71" s="100">
        <v>3991400</v>
      </c>
      <c r="N71" s="100">
        <f t="shared" si="6"/>
        <v>3991400</v>
      </c>
      <c r="P71" s="90">
        <f t="shared" si="7"/>
        <v>54</v>
      </c>
      <c r="S71" s="91"/>
    </row>
    <row r="72" spans="1:19" ht="15" hidden="1" customHeight="1" x14ac:dyDescent="0.2">
      <c r="A72" s="90" t="s">
        <v>310</v>
      </c>
      <c r="B72" s="69" t="s">
        <v>542</v>
      </c>
      <c r="C72" s="90">
        <f t="shared" si="4"/>
        <v>859</v>
      </c>
      <c r="D72" s="12">
        <f t="shared" si="5"/>
        <v>1</v>
      </c>
      <c r="G72" s="91" t="s">
        <v>89</v>
      </c>
      <c r="H72" s="90" t="s">
        <v>4406</v>
      </c>
      <c r="I72" s="90">
        <v>331</v>
      </c>
      <c r="J72" s="90">
        <v>1111</v>
      </c>
      <c r="K72" s="90" t="s">
        <v>20</v>
      </c>
      <c r="L72" s="90">
        <v>1</v>
      </c>
      <c r="M72" s="100">
        <v>213000</v>
      </c>
      <c r="N72" s="100">
        <f t="shared" si="6"/>
        <v>213000</v>
      </c>
      <c r="P72" s="90">
        <f t="shared" si="7"/>
        <v>83</v>
      </c>
      <c r="S72" s="91"/>
    </row>
    <row r="73" spans="1:19" ht="15" hidden="1" customHeight="1" x14ac:dyDescent="0.2">
      <c r="A73" s="90" t="s">
        <v>310</v>
      </c>
      <c r="B73" s="69" t="s">
        <v>542</v>
      </c>
      <c r="C73" s="90">
        <f t="shared" si="4"/>
        <v>860</v>
      </c>
      <c r="D73" s="12">
        <f t="shared" si="5"/>
        <v>1</v>
      </c>
      <c r="G73" s="91" t="s">
        <v>89</v>
      </c>
      <c r="H73" s="90" t="s">
        <v>4407</v>
      </c>
      <c r="I73" s="90">
        <v>331</v>
      </c>
      <c r="J73" s="90">
        <v>1111</v>
      </c>
      <c r="K73" s="90" t="s">
        <v>20</v>
      </c>
      <c r="L73" s="90">
        <v>1</v>
      </c>
      <c r="M73" s="100">
        <v>36000</v>
      </c>
      <c r="N73" s="100">
        <f t="shared" si="6"/>
        <v>36000</v>
      </c>
      <c r="P73" s="90">
        <f t="shared" si="7"/>
        <v>83</v>
      </c>
      <c r="S73" s="91"/>
    </row>
    <row r="74" spans="1:19" ht="15" hidden="1" customHeight="1" x14ac:dyDescent="0.2">
      <c r="A74" s="90" t="s">
        <v>310</v>
      </c>
      <c r="B74" s="69" t="s">
        <v>543</v>
      </c>
      <c r="C74" s="90">
        <f t="shared" si="4"/>
        <v>861</v>
      </c>
      <c r="D74" s="12">
        <f t="shared" si="5"/>
        <v>1</v>
      </c>
      <c r="G74" s="91" t="s">
        <v>89</v>
      </c>
      <c r="H74" s="90" t="s">
        <v>4408</v>
      </c>
      <c r="I74" s="90">
        <v>331</v>
      </c>
      <c r="J74" s="90">
        <v>1111</v>
      </c>
      <c r="K74" s="90" t="s">
        <v>20</v>
      </c>
      <c r="L74" s="90">
        <v>1</v>
      </c>
      <c r="M74" s="100">
        <v>21000</v>
      </c>
      <c r="N74" s="100">
        <f t="shared" si="6"/>
        <v>21000</v>
      </c>
      <c r="P74" s="90">
        <f t="shared" si="7"/>
        <v>83</v>
      </c>
      <c r="S74" s="91"/>
    </row>
    <row r="75" spans="1:19" ht="15" hidden="1" customHeight="1" x14ac:dyDescent="0.2">
      <c r="A75" s="90" t="s">
        <v>310</v>
      </c>
      <c r="B75" s="69" t="s">
        <v>475</v>
      </c>
      <c r="C75" s="90">
        <f t="shared" si="4"/>
        <v>862</v>
      </c>
      <c r="D75" s="12">
        <f t="shared" si="5"/>
        <v>1</v>
      </c>
      <c r="G75" s="91" t="s">
        <v>22</v>
      </c>
      <c r="H75" s="90" t="s">
        <v>4477</v>
      </c>
      <c r="I75" s="90">
        <v>331</v>
      </c>
      <c r="J75" s="90">
        <v>1111</v>
      </c>
      <c r="K75" s="90" t="s">
        <v>20</v>
      </c>
      <c r="L75" s="90">
        <v>1</v>
      </c>
      <c r="M75" s="100">
        <v>706320</v>
      </c>
      <c r="N75" s="100">
        <f t="shared" si="6"/>
        <v>706320</v>
      </c>
      <c r="P75" s="90">
        <f t="shared" si="7"/>
        <v>52</v>
      </c>
      <c r="S75" s="91"/>
    </row>
    <row r="76" spans="1:19" ht="15" hidden="1" customHeight="1" x14ac:dyDescent="0.2">
      <c r="A76" s="90" t="s">
        <v>310</v>
      </c>
      <c r="B76" s="69" t="s">
        <v>475</v>
      </c>
      <c r="C76" s="90">
        <f t="shared" si="4"/>
        <v>863</v>
      </c>
      <c r="D76" s="12">
        <f t="shared" si="5"/>
        <v>1</v>
      </c>
      <c r="G76" s="91" t="s">
        <v>563</v>
      </c>
      <c r="H76" s="90" t="s">
        <v>4409</v>
      </c>
      <c r="I76" s="90">
        <v>331</v>
      </c>
      <c r="J76" s="90">
        <v>1111</v>
      </c>
      <c r="K76" s="90" t="s">
        <v>20</v>
      </c>
      <c r="L76" s="90">
        <v>1</v>
      </c>
      <c r="M76" s="100">
        <v>1364727</v>
      </c>
      <c r="N76" s="100">
        <f t="shared" si="6"/>
        <v>1364727</v>
      </c>
      <c r="P76" s="90">
        <f t="shared" si="7"/>
        <v>64</v>
      </c>
      <c r="S76" s="91"/>
    </row>
    <row r="77" spans="1:19" ht="15" hidden="1" customHeight="1" x14ac:dyDescent="0.2">
      <c r="A77" s="90" t="s">
        <v>310</v>
      </c>
      <c r="B77" s="69" t="s">
        <v>544</v>
      </c>
      <c r="C77" s="90">
        <f t="shared" si="4"/>
        <v>864</v>
      </c>
      <c r="D77" s="12">
        <f t="shared" si="5"/>
        <v>1</v>
      </c>
      <c r="G77" s="91" t="s">
        <v>89</v>
      </c>
      <c r="H77" s="90" t="s">
        <v>4410</v>
      </c>
      <c r="I77" s="90">
        <v>331</v>
      </c>
      <c r="J77" s="90">
        <v>1111</v>
      </c>
      <c r="K77" s="90" t="s">
        <v>20</v>
      </c>
      <c r="L77" s="90">
        <v>1</v>
      </c>
      <c r="M77" s="100">
        <v>74000</v>
      </c>
      <c r="N77" s="100">
        <f t="shared" si="6"/>
        <v>74000</v>
      </c>
      <c r="P77" s="90">
        <f t="shared" si="7"/>
        <v>83</v>
      </c>
      <c r="S77" s="91"/>
    </row>
    <row r="78" spans="1:19" ht="15" hidden="1" customHeight="1" x14ac:dyDescent="0.2">
      <c r="A78" s="90" t="s">
        <v>310</v>
      </c>
      <c r="B78" s="69" t="s">
        <v>437</v>
      </c>
      <c r="C78" s="90">
        <f t="shared" si="4"/>
        <v>865</v>
      </c>
      <c r="D78" s="12">
        <f t="shared" si="5"/>
        <v>1</v>
      </c>
      <c r="G78" s="91" t="s">
        <v>40</v>
      </c>
      <c r="H78" s="90" t="s">
        <v>4411</v>
      </c>
      <c r="I78" s="90">
        <v>331</v>
      </c>
      <c r="J78" s="90">
        <v>1111</v>
      </c>
      <c r="K78" s="90" t="s">
        <v>20</v>
      </c>
      <c r="L78" s="90">
        <v>1</v>
      </c>
      <c r="M78" s="100">
        <v>9802000</v>
      </c>
      <c r="N78" s="100">
        <f t="shared" si="6"/>
        <v>9802000</v>
      </c>
      <c r="P78" s="90">
        <f t="shared" si="7"/>
        <v>63</v>
      </c>
      <c r="S78" s="91"/>
    </row>
    <row r="79" spans="1:19" ht="15" hidden="1" customHeight="1" x14ac:dyDescent="0.2">
      <c r="A79" s="90" t="s">
        <v>310</v>
      </c>
      <c r="B79" s="69" t="s">
        <v>545</v>
      </c>
      <c r="C79" s="90">
        <f t="shared" si="4"/>
        <v>866</v>
      </c>
      <c r="D79" s="12">
        <f t="shared" si="5"/>
        <v>1</v>
      </c>
      <c r="G79" s="91" t="s">
        <v>89</v>
      </c>
      <c r="H79" s="90" t="s">
        <v>4412</v>
      </c>
      <c r="I79" s="90">
        <v>331</v>
      </c>
      <c r="J79" s="90">
        <v>1111</v>
      </c>
      <c r="K79" s="90" t="s">
        <v>20</v>
      </c>
      <c r="L79" s="90">
        <v>1</v>
      </c>
      <c r="M79" s="100">
        <v>135000</v>
      </c>
      <c r="N79" s="100">
        <f t="shared" si="6"/>
        <v>135000</v>
      </c>
      <c r="P79" s="90">
        <f t="shared" si="7"/>
        <v>84</v>
      </c>
      <c r="S79" s="91"/>
    </row>
    <row r="80" spans="1:19" ht="15" hidden="1" customHeight="1" x14ac:dyDescent="0.2">
      <c r="A80" s="90" t="s">
        <v>310</v>
      </c>
      <c r="B80" s="69" t="s">
        <v>546</v>
      </c>
      <c r="C80" s="90">
        <f t="shared" si="4"/>
        <v>867</v>
      </c>
      <c r="D80" s="12">
        <f t="shared" si="5"/>
        <v>1</v>
      </c>
      <c r="G80" s="91" t="s">
        <v>89</v>
      </c>
      <c r="H80" s="90" t="s">
        <v>4413</v>
      </c>
      <c r="I80" s="90">
        <v>331</v>
      </c>
      <c r="J80" s="90">
        <v>1111</v>
      </c>
      <c r="K80" s="90" t="s">
        <v>20</v>
      </c>
      <c r="L80" s="90">
        <v>1</v>
      </c>
      <c r="M80" s="100">
        <v>193000</v>
      </c>
      <c r="N80" s="100">
        <f t="shared" si="6"/>
        <v>193000</v>
      </c>
      <c r="P80" s="90">
        <f t="shared" si="7"/>
        <v>84</v>
      </c>
      <c r="S80" s="91"/>
    </row>
    <row r="81" spans="1:19" ht="15" hidden="1" customHeight="1" x14ac:dyDescent="0.2">
      <c r="A81" s="90" t="s">
        <v>310</v>
      </c>
      <c r="B81" s="69" t="s">
        <v>547</v>
      </c>
      <c r="C81" s="90">
        <f t="shared" si="4"/>
        <v>868</v>
      </c>
      <c r="D81" s="12">
        <f t="shared" si="5"/>
        <v>1</v>
      </c>
      <c r="G81" s="91" t="s">
        <v>89</v>
      </c>
      <c r="H81" s="90" t="s">
        <v>4414</v>
      </c>
      <c r="I81" s="90">
        <v>331</v>
      </c>
      <c r="J81" s="90">
        <v>1111</v>
      </c>
      <c r="K81" s="90" t="s">
        <v>20</v>
      </c>
      <c r="L81" s="90">
        <v>1</v>
      </c>
      <c r="M81" s="100">
        <v>165000</v>
      </c>
      <c r="N81" s="100">
        <f t="shared" si="6"/>
        <v>165000</v>
      </c>
      <c r="P81" s="90">
        <f t="shared" si="7"/>
        <v>84</v>
      </c>
      <c r="S81" s="91"/>
    </row>
    <row r="82" spans="1:19" ht="15" hidden="1" customHeight="1" x14ac:dyDescent="0.2">
      <c r="A82" s="90" t="s">
        <v>310</v>
      </c>
      <c r="B82" s="69" t="s">
        <v>547</v>
      </c>
      <c r="C82" s="90">
        <f t="shared" si="4"/>
        <v>869</v>
      </c>
      <c r="D82" s="12">
        <f t="shared" si="5"/>
        <v>1</v>
      </c>
      <c r="G82" s="91" t="s">
        <v>89</v>
      </c>
      <c r="H82" s="90" t="s">
        <v>4415</v>
      </c>
      <c r="I82" s="90">
        <v>331</v>
      </c>
      <c r="J82" s="90">
        <v>1111</v>
      </c>
      <c r="K82" s="90" t="s">
        <v>20</v>
      </c>
      <c r="L82" s="90">
        <v>1</v>
      </c>
      <c r="M82" s="100">
        <v>63000</v>
      </c>
      <c r="N82" s="100">
        <f t="shared" si="6"/>
        <v>63000</v>
      </c>
      <c r="P82" s="90">
        <f t="shared" si="7"/>
        <v>84</v>
      </c>
      <c r="S82" s="91"/>
    </row>
    <row r="83" spans="1:19" ht="15" hidden="1" customHeight="1" x14ac:dyDescent="0.2">
      <c r="A83" s="90" t="s">
        <v>310</v>
      </c>
      <c r="B83" s="69" t="s">
        <v>547</v>
      </c>
      <c r="C83" s="90">
        <f t="shared" si="4"/>
        <v>870</v>
      </c>
      <c r="D83" s="12">
        <f t="shared" si="5"/>
        <v>1</v>
      </c>
      <c r="G83" s="91" t="s">
        <v>89</v>
      </c>
      <c r="H83" s="90" t="s">
        <v>4416</v>
      </c>
      <c r="I83" s="90">
        <v>331</v>
      </c>
      <c r="J83" s="90">
        <v>1111</v>
      </c>
      <c r="K83" s="90" t="s">
        <v>20</v>
      </c>
      <c r="L83" s="90">
        <v>1</v>
      </c>
      <c r="M83" s="100">
        <v>13000</v>
      </c>
      <c r="N83" s="100">
        <f t="shared" si="6"/>
        <v>13000</v>
      </c>
      <c r="P83" s="90">
        <f t="shared" si="7"/>
        <v>84</v>
      </c>
      <c r="S83" s="91"/>
    </row>
    <row r="84" spans="1:19" ht="15" hidden="1" customHeight="1" x14ac:dyDescent="0.2">
      <c r="A84" s="90" t="s">
        <v>310</v>
      </c>
      <c r="B84" s="69" t="s">
        <v>499</v>
      </c>
      <c r="C84" s="90">
        <f t="shared" si="4"/>
        <v>871</v>
      </c>
      <c r="D84" s="12">
        <f t="shared" si="5"/>
        <v>1</v>
      </c>
      <c r="G84" s="91" t="s">
        <v>89</v>
      </c>
      <c r="H84" s="90" t="s">
        <v>4417</v>
      </c>
      <c r="I84" s="90">
        <v>331</v>
      </c>
      <c r="J84" s="90">
        <v>1111</v>
      </c>
      <c r="K84" s="90" t="s">
        <v>20</v>
      </c>
      <c r="L84" s="90">
        <v>1</v>
      </c>
      <c r="M84" s="100">
        <v>59000</v>
      </c>
      <c r="N84" s="100">
        <f t="shared" si="6"/>
        <v>59000</v>
      </c>
      <c r="P84" s="90">
        <f t="shared" si="7"/>
        <v>84</v>
      </c>
      <c r="S84" s="91"/>
    </row>
    <row r="85" spans="1:19" ht="15" hidden="1" customHeight="1" x14ac:dyDescent="0.2">
      <c r="A85" s="90" t="s">
        <v>310</v>
      </c>
      <c r="B85" s="69" t="s">
        <v>499</v>
      </c>
      <c r="C85" s="90">
        <f t="shared" si="4"/>
        <v>872</v>
      </c>
      <c r="D85" s="12">
        <f t="shared" si="5"/>
        <v>1</v>
      </c>
      <c r="G85" s="91" t="s">
        <v>89</v>
      </c>
      <c r="H85" s="90" t="s">
        <v>4418</v>
      </c>
      <c r="I85" s="90">
        <v>331</v>
      </c>
      <c r="J85" s="90">
        <v>1111</v>
      </c>
      <c r="K85" s="90" t="s">
        <v>20</v>
      </c>
      <c r="L85" s="90">
        <v>1</v>
      </c>
      <c r="M85" s="100">
        <v>40000</v>
      </c>
      <c r="N85" s="100">
        <f t="shared" si="6"/>
        <v>40000</v>
      </c>
      <c r="P85" s="90">
        <f t="shared" si="7"/>
        <v>84</v>
      </c>
      <c r="S85" s="91"/>
    </row>
    <row r="86" spans="1:19" ht="15" hidden="1" customHeight="1" x14ac:dyDescent="0.2">
      <c r="A86" s="90" t="s">
        <v>310</v>
      </c>
      <c r="B86" s="69" t="s">
        <v>500</v>
      </c>
      <c r="C86" s="90">
        <f t="shared" si="4"/>
        <v>873</v>
      </c>
      <c r="D86" s="12">
        <f t="shared" si="5"/>
        <v>1</v>
      </c>
      <c r="G86" s="91" t="s">
        <v>89</v>
      </c>
      <c r="H86" s="90" t="s">
        <v>4419</v>
      </c>
      <c r="I86" s="90">
        <v>331</v>
      </c>
      <c r="J86" s="90">
        <v>1111</v>
      </c>
      <c r="K86" s="90" t="s">
        <v>20</v>
      </c>
      <c r="L86" s="90">
        <v>1</v>
      </c>
      <c r="M86" s="100">
        <v>77000</v>
      </c>
      <c r="N86" s="100">
        <f t="shared" si="6"/>
        <v>77000</v>
      </c>
      <c r="P86" s="90">
        <f t="shared" si="7"/>
        <v>83</v>
      </c>
      <c r="S86" s="91"/>
    </row>
    <row r="87" spans="1:19" ht="15" hidden="1" customHeight="1" x14ac:dyDescent="0.2">
      <c r="A87" s="90" t="s">
        <v>310</v>
      </c>
      <c r="B87" s="69" t="s">
        <v>500</v>
      </c>
      <c r="C87" s="90">
        <f t="shared" si="4"/>
        <v>874</v>
      </c>
      <c r="D87" s="12">
        <f t="shared" si="5"/>
        <v>1</v>
      </c>
      <c r="G87" s="91" t="s">
        <v>89</v>
      </c>
      <c r="H87" s="90" t="s">
        <v>4420</v>
      </c>
      <c r="I87" s="90">
        <v>331</v>
      </c>
      <c r="J87" s="90">
        <v>1111</v>
      </c>
      <c r="K87" s="90" t="s">
        <v>20</v>
      </c>
      <c r="L87" s="90">
        <v>1</v>
      </c>
      <c r="M87" s="100">
        <v>55000</v>
      </c>
      <c r="N87" s="100">
        <f t="shared" si="6"/>
        <v>55000</v>
      </c>
      <c r="P87" s="90">
        <f t="shared" si="7"/>
        <v>84</v>
      </c>
      <c r="S87" s="91"/>
    </row>
    <row r="88" spans="1:19" ht="15" hidden="1" customHeight="1" x14ac:dyDescent="0.2">
      <c r="A88" s="90" t="s">
        <v>310</v>
      </c>
      <c r="B88" s="69" t="s">
        <v>500</v>
      </c>
      <c r="C88" s="90">
        <f t="shared" si="4"/>
        <v>875</v>
      </c>
      <c r="D88" s="12">
        <f t="shared" si="5"/>
        <v>1</v>
      </c>
      <c r="G88" s="91" t="s">
        <v>89</v>
      </c>
      <c r="H88" s="90" t="s">
        <v>4421</v>
      </c>
      <c r="I88" s="90">
        <v>331</v>
      </c>
      <c r="J88" s="90">
        <v>1111</v>
      </c>
      <c r="K88" s="90" t="s">
        <v>20</v>
      </c>
      <c r="L88" s="90">
        <v>1</v>
      </c>
      <c r="M88" s="100">
        <v>101000</v>
      </c>
      <c r="N88" s="100">
        <f t="shared" si="6"/>
        <v>101000</v>
      </c>
      <c r="P88" s="90">
        <f t="shared" si="7"/>
        <v>84</v>
      </c>
      <c r="S88" s="91"/>
    </row>
    <row r="89" spans="1:19" ht="15" hidden="1" customHeight="1" x14ac:dyDescent="0.2">
      <c r="A89" s="90" t="s">
        <v>310</v>
      </c>
      <c r="B89" s="69" t="s">
        <v>501</v>
      </c>
      <c r="C89" s="90">
        <f t="shared" si="4"/>
        <v>876</v>
      </c>
      <c r="D89" s="12">
        <f t="shared" si="5"/>
        <v>1</v>
      </c>
      <c r="G89" s="91" t="s">
        <v>234</v>
      </c>
      <c r="H89" s="90" t="s">
        <v>4422</v>
      </c>
      <c r="I89" s="90">
        <v>331</v>
      </c>
      <c r="J89" s="90">
        <v>1111</v>
      </c>
      <c r="K89" s="90" t="s">
        <v>20</v>
      </c>
      <c r="L89" s="90">
        <v>1</v>
      </c>
      <c r="M89" s="100">
        <v>56</v>
      </c>
      <c r="N89" s="100">
        <f t="shared" si="6"/>
        <v>56</v>
      </c>
      <c r="P89" s="90">
        <f t="shared" si="7"/>
        <v>24</v>
      </c>
      <c r="S89" s="91"/>
    </row>
    <row r="90" spans="1:19" ht="15" hidden="1" customHeight="1" x14ac:dyDescent="0.2">
      <c r="A90" s="90" t="s">
        <v>310</v>
      </c>
      <c r="B90" s="69" t="s">
        <v>501</v>
      </c>
      <c r="C90" s="90">
        <f t="shared" si="4"/>
        <v>877</v>
      </c>
      <c r="D90" s="12">
        <f t="shared" si="5"/>
        <v>1</v>
      </c>
      <c r="G90" s="91" t="s">
        <v>89</v>
      </c>
      <c r="H90" s="90" t="s">
        <v>4423</v>
      </c>
      <c r="I90" s="90">
        <v>331</v>
      </c>
      <c r="J90" s="90">
        <v>1111</v>
      </c>
      <c r="K90" s="90" t="s">
        <v>20</v>
      </c>
      <c r="L90" s="90">
        <v>1</v>
      </c>
      <c r="M90" s="100">
        <v>35000</v>
      </c>
      <c r="N90" s="100">
        <f t="shared" si="6"/>
        <v>35000</v>
      </c>
      <c r="P90" s="90">
        <f t="shared" si="7"/>
        <v>83</v>
      </c>
      <c r="S90" s="91"/>
    </row>
    <row r="91" spans="1:19" ht="15" hidden="1" customHeight="1" x14ac:dyDescent="0.2">
      <c r="A91" s="90" t="s">
        <v>310</v>
      </c>
      <c r="B91" s="69" t="s">
        <v>501</v>
      </c>
      <c r="C91" s="90">
        <f t="shared" si="4"/>
        <v>878</v>
      </c>
      <c r="D91" s="12">
        <f t="shared" si="5"/>
        <v>1</v>
      </c>
      <c r="G91" s="91" t="s">
        <v>89</v>
      </c>
      <c r="H91" s="90" t="s">
        <v>4424</v>
      </c>
      <c r="I91" s="90">
        <v>331</v>
      </c>
      <c r="J91" s="90">
        <v>1111</v>
      </c>
      <c r="K91" s="90" t="s">
        <v>20</v>
      </c>
      <c r="L91" s="90">
        <v>1</v>
      </c>
      <c r="M91" s="100">
        <v>22000</v>
      </c>
      <c r="N91" s="100">
        <f t="shared" si="6"/>
        <v>22000</v>
      </c>
      <c r="P91" s="90">
        <f t="shared" si="7"/>
        <v>84</v>
      </c>
      <c r="S91" s="91"/>
    </row>
    <row r="92" spans="1:19" ht="15" hidden="1" customHeight="1" x14ac:dyDescent="0.2">
      <c r="A92" s="90" t="s">
        <v>310</v>
      </c>
      <c r="B92" s="69" t="s">
        <v>501</v>
      </c>
      <c r="C92" s="90">
        <f t="shared" si="4"/>
        <v>879</v>
      </c>
      <c r="D92" s="12">
        <f t="shared" si="5"/>
        <v>1</v>
      </c>
      <c r="G92" s="91" t="s">
        <v>89</v>
      </c>
      <c r="H92" s="90" t="s">
        <v>4425</v>
      </c>
      <c r="I92" s="90">
        <v>331</v>
      </c>
      <c r="J92" s="90">
        <v>1111</v>
      </c>
      <c r="K92" s="90" t="s">
        <v>20</v>
      </c>
      <c r="L92" s="90">
        <v>1</v>
      </c>
      <c r="M92" s="100">
        <v>62000</v>
      </c>
      <c r="N92" s="100">
        <f t="shared" si="6"/>
        <v>62000</v>
      </c>
      <c r="P92" s="90">
        <f t="shared" si="7"/>
        <v>84</v>
      </c>
      <c r="S92" s="91"/>
    </row>
    <row r="93" spans="1:19" ht="15" hidden="1" customHeight="1" x14ac:dyDescent="0.2">
      <c r="A93" s="90" t="s">
        <v>310</v>
      </c>
      <c r="B93" s="69" t="s">
        <v>501</v>
      </c>
      <c r="C93" s="90">
        <f t="shared" si="4"/>
        <v>880</v>
      </c>
      <c r="D93" s="12">
        <f t="shared" si="5"/>
        <v>1</v>
      </c>
      <c r="G93" s="91" t="s">
        <v>248</v>
      </c>
      <c r="H93" s="90" t="s">
        <v>4426</v>
      </c>
      <c r="I93" s="90">
        <v>331</v>
      </c>
      <c r="J93" s="90">
        <v>1111</v>
      </c>
      <c r="K93" s="90" t="s">
        <v>20</v>
      </c>
      <c r="L93" s="90">
        <v>1</v>
      </c>
      <c r="M93" s="100">
        <v>883440</v>
      </c>
      <c r="N93" s="100">
        <f t="shared" si="6"/>
        <v>883440</v>
      </c>
      <c r="P93" s="90">
        <f t="shared" si="7"/>
        <v>128</v>
      </c>
    </row>
    <row r="94" spans="1:19" ht="15" hidden="1" customHeight="1" x14ac:dyDescent="0.2">
      <c r="A94" s="90" t="s">
        <v>310</v>
      </c>
      <c r="B94" s="69" t="s">
        <v>548</v>
      </c>
      <c r="C94" s="90">
        <f t="shared" si="4"/>
        <v>881</v>
      </c>
      <c r="D94" s="12">
        <f t="shared" si="5"/>
        <v>1</v>
      </c>
      <c r="G94" s="91" t="s">
        <v>89</v>
      </c>
      <c r="H94" s="90" t="s">
        <v>4427</v>
      </c>
      <c r="I94" s="90">
        <v>331</v>
      </c>
      <c r="J94" s="90">
        <v>1111</v>
      </c>
      <c r="K94" s="90" t="s">
        <v>20</v>
      </c>
      <c r="L94" s="90">
        <v>1</v>
      </c>
      <c r="M94" s="100">
        <v>56000</v>
      </c>
      <c r="N94" s="100">
        <f t="shared" si="6"/>
        <v>56000</v>
      </c>
      <c r="P94" s="90">
        <f t="shared" si="7"/>
        <v>84</v>
      </c>
    </row>
    <row r="95" spans="1:19" ht="15" hidden="1" customHeight="1" x14ac:dyDescent="0.2">
      <c r="A95" s="90" t="s">
        <v>310</v>
      </c>
      <c r="B95" s="69" t="s">
        <v>548</v>
      </c>
      <c r="C95" s="90">
        <f t="shared" si="4"/>
        <v>882</v>
      </c>
      <c r="D95" s="12">
        <f t="shared" si="5"/>
        <v>1</v>
      </c>
      <c r="G95" s="91" t="s">
        <v>89</v>
      </c>
      <c r="H95" s="90" t="s">
        <v>4428</v>
      </c>
      <c r="I95" s="90">
        <v>331</v>
      </c>
      <c r="J95" s="90">
        <v>1111</v>
      </c>
      <c r="K95" s="90" t="s">
        <v>20</v>
      </c>
      <c r="L95" s="90">
        <v>1</v>
      </c>
      <c r="M95" s="100">
        <v>93000</v>
      </c>
      <c r="N95" s="100">
        <f t="shared" si="6"/>
        <v>93000</v>
      </c>
      <c r="P95" s="90">
        <f t="shared" si="7"/>
        <v>84</v>
      </c>
    </row>
    <row r="96" spans="1:19" ht="15" hidden="1" customHeight="1" x14ac:dyDescent="0.2">
      <c r="A96" s="90" t="s">
        <v>310</v>
      </c>
      <c r="B96" s="69" t="s">
        <v>441</v>
      </c>
      <c r="C96" s="90">
        <f t="shared" si="4"/>
        <v>883</v>
      </c>
      <c r="D96" s="12">
        <f t="shared" si="5"/>
        <v>1</v>
      </c>
      <c r="G96" s="91" t="s">
        <v>89</v>
      </c>
      <c r="H96" s="90" t="s">
        <v>4429</v>
      </c>
      <c r="I96" s="90">
        <v>331</v>
      </c>
      <c r="J96" s="90">
        <v>1111</v>
      </c>
      <c r="K96" s="90" t="s">
        <v>20</v>
      </c>
      <c r="L96" s="90">
        <v>1</v>
      </c>
      <c r="M96" s="100">
        <v>66000</v>
      </c>
      <c r="N96" s="100">
        <f t="shared" si="6"/>
        <v>66000</v>
      </c>
      <c r="P96" s="90">
        <f t="shared" si="7"/>
        <v>84</v>
      </c>
    </row>
    <row r="97" spans="1:16" ht="15" hidden="1" customHeight="1" x14ac:dyDescent="0.2">
      <c r="A97" s="90" t="s">
        <v>310</v>
      </c>
      <c r="B97" s="69" t="s">
        <v>441</v>
      </c>
      <c r="C97" s="90">
        <f t="shared" si="4"/>
        <v>884</v>
      </c>
      <c r="D97" s="12">
        <f t="shared" si="5"/>
        <v>1</v>
      </c>
      <c r="G97" s="91" t="s">
        <v>44</v>
      </c>
      <c r="H97" s="90" t="s">
        <v>4430</v>
      </c>
      <c r="I97" s="90">
        <v>331</v>
      </c>
      <c r="J97" s="90">
        <v>1111</v>
      </c>
      <c r="K97" s="90" t="s">
        <v>20</v>
      </c>
      <c r="L97" s="90">
        <v>1</v>
      </c>
      <c r="M97" s="100">
        <v>20791</v>
      </c>
      <c r="N97" s="100">
        <f t="shared" si="6"/>
        <v>20791</v>
      </c>
      <c r="P97" s="90">
        <f t="shared" si="7"/>
        <v>110</v>
      </c>
    </row>
    <row r="98" spans="1:16" ht="15" hidden="1" customHeight="1" x14ac:dyDescent="0.2">
      <c r="A98" s="90" t="s">
        <v>310</v>
      </c>
      <c r="B98" s="69" t="s">
        <v>549</v>
      </c>
      <c r="C98" s="90">
        <f t="shared" si="4"/>
        <v>885</v>
      </c>
      <c r="D98" s="12">
        <f t="shared" si="5"/>
        <v>1</v>
      </c>
      <c r="G98" s="91" t="s">
        <v>89</v>
      </c>
      <c r="H98" s="90" t="s">
        <v>4431</v>
      </c>
      <c r="I98" s="90">
        <v>331</v>
      </c>
      <c r="J98" s="90">
        <v>1111</v>
      </c>
      <c r="K98" s="90" t="s">
        <v>20</v>
      </c>
      <c r="L98" s="90">
        <v>1</v>
      </c>
      <c r="M98" s="100">
        <v>108000</v>
      </c>
      <c r="N98" s="100">
        <f t="shared" si="6"/>
        <v>108000</v>
      </c>
      <c r="P98" s="90">
        <f t="shared" si="7"/>
        <v>84</v>
      </c>
    </row>
    <row r="99" spans="1:16" ht="15" hidden="1" customHeight="1" x14ac:dyDescent="0.2">
      <c r="A99" s="90" t="s">
        <v>310</v>
      </c>
      <c r="B99" s="69" t="s">
        <v>550</v>
      </c>
      <c r="C99" s="90">
        <f t="shared" si="4"/>
        <v>886</v>
      </c>
      <c r="D99" s="12">
        <f t="shared" si="5"/>
        <v>1</v>
      </c>
      <c r="G99" s="91" t="s">
        <v>89</v>
      </c>
      <c r="H99" s="90" t="s">
        <v>4432</v>
      </c>
      <c r="I99" s="90">
        <v>331</v>
      </c>
      <c r="J99" s="90">
        <v>1111</v>
      </c>
      <c r="K99" s="90" t="s">
        <v>20</v>
      </c>
      <c r="L99" s="90">
        <v>1</v>
      </c>
      <c r="M99" s="100">
        <v>70000</v>
      </c>
      <c r="N99" s="100">
        <f t="shared" si="6"/>
        <v>70000</v>
      </c>
      <c r="P99" s="90">
        <f t="shared" si="7"/>
        <v>84</v>
      </c>
    </row>
    <row r="100" spans="1:16" ht="15" hidden="1" customHeight="1" x14ac:dyDescent="0.2">
      <c r="A100" s="90" t="s">
        <v>310</v>
      </c>
      <c r="B100" s="69" t="s">
        <v>550</v>
      </c>
      <c r="C100" s="90">
        <f t="shared" si="4"/>
        <v>887</v>
      </c>
      <c r="D100" s="12">
        <f t="shared" si="5"/>
        <v>1</v>
      </c>
      <c r="G100" s="91" t="s">
        <v>89</v>
      </c>
      <c r="H100" s="90" t="s">
        <v>4433</v>
      </c>
      <c r="I100" s="90">
        <v>331</v>
      </c>
      <c r="J100" s="90">
        <v>1111</v>
      </c>
      <c r="K100" s="90" t="s">
        <v>20</v>
      </c>
      <c r="L100" s="90">
        <v>1</v>
      </c>
      <c r="M100" s="100">
        <v>41000</v>
      </c>
      <c r="N100" s="100">
        <f t="shared" si="6"/>
        <v>41000</v>
      </c>
      <c r="P100" s="90">
        <f t="shared" si="7"/>
        <v>83</v>
      </c>
    </row>
    <row r="101" spans="1:16" ht="15" hidden="1" customHeight="1" x14ac:dyDescent="0.2">
      <c r="A101" s="90" t="s">
        <v>310</v>
      </c>
      <c r="B101" s="69" t="s">
        <v>550</v>
      </c>
      <c r="C101" s="90">
        <f t="shared" si="4"/>
        <v>888</v>
      </c>
      <c r="D101" s="12">
        <f t="shared" si="5"/>
        <v>1</v>
      </c>
      <c r="G101" s="91" t="s">
        <v>89</v>
      </c>
      <c r="H101" s="90" t="s">
        <v>4434</v>
      </c>
      <c r="I101" s="90">
        <v>331</v>
      </c>
      <c r="J101" s="90">
        <v>1111</v>
      </c>
      <c r="K101" s="90" t="s">
        <v>20</v>
      </c>
      <c r="L101" s="90">
        <v>1</v>
      </c>
      <c r="M101" s="100">
        <v>76000</v>
      </c>
      <c r="N101" s="100">
        <f t="shared" si="6"/>
        <v>76000</v>
      </c>
      <c r="P101" s="90">
        <f t="shared" si="7"/>
        <v>84</v>
      </c>
    </row>
    <row r="102" spans="1:16" ht="15" hidden="1" customHeight="1" x14ac:dyDescent="0.2">
      <c r="A102" s="90" t="s">
        <v>310</v>
      </c>
      <c r="B102" s="69" t="s">
        <v>550</v>
      </c>
      <c r="C102" s="90">
        <f t="shared" si="4"/>
        <v>889</v>
      </c>
      <c r="D102" s="12">
        <f t="shared" si="5"/>
        <v>1</v>
      </c>
      <c r="G102" s="91" t="s">
        <v>89</v>
      </c>
      <c r="H102" s="90" t="s">
        <v>4435</v>
      </c>
      <c r="I102" s="90">
        <v>331</v>
      </c>
      <c r="J102" s="90">
        <v>1111</v>
      </c>
      <c r="K102" s="90" t="s">
        <v>20</v>
      </c>
      <c r="L102" s="90">
        <v>1</v>
      </c>
      <c r="M102" s="100">
        <v>143000</v>
      </c>
      <c r="N102" s="100">
        <f t="shared" si="6"/>
        <v>143000</v>
      </c>
      <c r="P102" s="90">
        <f t="shared" si="7"/>
        <v>84</v>
      </c>
    </row>
    <row r="103" spans="1:16" ht="15" hidden="1" customHeight="1" x14ac:dyDescent="0.2">
      <c r="A103" s="90" t="s">
        <v>310</v>
      </c>
      <c r="B103" s="69" t="s">
        <v>479</v>
      </c>
      <c r="C103" s="90">
        <f t="shared" si="4"/>
        <v>890</v>
      </c>
      <c r="D103" s="12">
        <f t="shared" si="5"/>
        <v>1</v>
      </c>
      <c r="G103" s="91" t="s">
        <v>89</v>
      </c>
      <c r="H103" s="90" t="s">
        <v>4436</v>
      </c>
      <c r="I103" s="90">
        <v>331</v>
      </c>
      <c r="J103" s="90">
        <v>1111</v>
      </c>
      <c r="K103" s="90" t="s">
        <v>20</v>
      </c>
      <c r="L103" s="90">
        <v>1</v>
      </c>
      <c r="M103" s="100">
        <v>43000</v>
      </c>
      <c r="N103" s="100">
        <f t="shared" si="6"/>
        <v>43000</v>
      </c>
      <c r="P103" s="90">
        <f t="shared" si="7"/>
        <v>83</v>
      </c>
    </row>
    <row r="104" spans="1:16" ht="15" hidden="1" customHeight="1" x14ac:dyDescent="0.2">
      <c r="A104" s="90" t="s">
        <v>310</v>
      </c>
      <c r="B104" s="69" t="s">
        <v>551</v>
      </c>
      <c r="C104" s="90">
        <f t="shared" si="4"/>
        <v>891</v>
      </c>
      <c r="D104" s="12">
        <f t="shared" si="5"/>
        <v>1</v>
      </c>
      <c r="G104" s="91" t="s">
        <v>89</v>
      </c>
      <c r="H104" s="90" t="s">
        <v>4437</v>
      </c>
      <c r="I104" s="90">
        <v>331</v>
      </c>
      <c r="J104" s="90">
        <v>1111</v>
      </c>
      <c r="K104" s="90" t="s">
        <v>20</v>
      </c>
      <c r="L104" s="90">
        <v>1</v>
      </c>
      <c r="M104" s="100">
        <v>170000</v>
      </c>
      <c r="N104" s="100">
        <f t="shared" si="6"/>
        <v>170000</v>
      </c>
      <c r="P104" s="90">
        <f t="shared" si="7"/>
        <v>84</v>
      </c>
    </row>
    <row r="105" spans="1:16" ht="15" hidden="1" customHeight="1" x14ac:dyDescent="0.2">
      <c r="A105" s="90" t="s">
        <v>310</v>
      </c>
      <c r="B105" s="69" t="s">
        <v>504</v>
      </c>
      <c r="C105" s="90">
        <f t="shared" si="4"/>
        <v>892</v>
      </c>
      <c r="D105" s="12">
        <f t="shared" si="5"/>
        <v>1</v>
      </c>
      <c r="G105" s="91" t="s">
        <v>89</v>
      </c>
      <c r="H105" s="90" t="s">
        <v>4438</v>
      </c>
      <c r="I105" s="90">
        <v>331</v>
      </c>
      <c r="J105" s="90">
        <v>1111</v>
      </c>
      <c r="K105" s="90" t="s">
        <v>20</v>
      </c>
      <c r="L105" s="90">
        <v>1</v>
      </c>
      <c r="M105" s="100">
        <v>81000</v>
      </c>
      <c r="N105" s="100">
        <f t="shared" si="6"/>
        <v>81000</v>
      </c>
      <c r="P105" s="90">
        <f t="shared" si="7"/>
        <v>84</v>
      </c>
    </row>
    <row r="106" spans="1:16" ht="15" hidden="1" customHeight="1" x14ac:dyDescent="0.2">
      <c r="A106" s="90" t="s">
        <v>310</v>
      </c>
      <c r="B106" s="69" t="s">
        <v>504</v>
      </c>
      <c r="C106" s="90">
        <f t="shared" si="4"/>
        <v>893</v>
      </c>
      <c r="D106" s="12">
        <f t="shared" si="5"/>
        <v>1</v>
      </c>
      <c r="G106" s="91" t="s">
        <v>268</v>
      </c>
      <c r="H106" s="90" t="s">
        <v>4439</v>
      </c>
      <c r="I106" s="90">
        <v>331</v>
      </c>
      <c r="J106" s="90">
        <v>1111</v>
      </c>
      <c r="K106" s="90" t="s">
        <v>20</v>
      </c>
      <c r="L106" s="90">
        <v>1</v>
      </c>
      <c r="M106" s="100">
        <v>1005858</v>
      </c>
      <c r="N106" s="100">
        <f t="shared" si="6"/>
        <v>1005858</v>
      </c>
      <c r="P106" s="90">
        <f t="shared" si="7"/>
        <v>163</v>
      </c>
    </row>
    <row r="107" spans="1:16" ht="15" hidden="1" customHeight="1" x14ac:dyDescent="0.2">
      <c r="A107" s="90" t="s">
        <v>310</v>
      </c>
      <c r="B107" s="69" t="s">
        <v>552</v>
      </c>
      <c r="C107" s="90">
        <f t="shared" si="4"/>
        <v>894</v>
      </c>
      <c r="D107" s="12">
        <f t="shared" si="5"/>
        <v>1</v>
      </c>
      <c r="G107" s="91" t="s">
        <v>89</v>
      </c>
      <c r="H107" s="90" t="s">
        <v>4440</v>
      </c>
      <c r="I107" s="90">
        <v>331</v>
      </c>
      <c r="J107" s="90">
        <v>1111</v>
      </c>
      <c r="K107" s="90" t="s">
        <v>20</v>
      </c>
      <c r="L107" s="90">
        <v>1</v>
      </c>
      <c r="M107" s="100">
        <v>47000</v>
      </c>
      <c r="N107" s="100">
        <f t="shared" si="6"/>
        <v>47000</v>
      </c>
      <c r="P107" s="90">
        <f t="shared" si="7"/>
        <v>83</v>
      </c>
    </row>
    <row r="108" spans="1:16" ht="15" hidden="1" customHeight="1" x14ac:dyDescent="0.2">
      <c r="A108" s="90" t="s">
        <v>310</v>
      </c>
      <c r="B108" s="69" t="s">
        <v>552</v>
      </c>
      <c r="C108" s="90">
        <f t="shared" si="4"/>
        <v>895</v>
      </c>
      <c r="D108" s="12">
        <f t="shared" si="5"/>
        <v>1</v>
      </c>
      <c r="G108" s="91" t="s">
        <v>89</v>
      </c>
      <c r="H108" s="90" t="s">
        <v>4441</v>
      </c>
      <c r="I108" s="90">
        <v>331</v>
      </c>
      <c r="J108" s="90">
        <v>1111</v>
      </c>
      <c r="K108" s="90" t="s">
        <v>20</v>
      </c>
      <c r="L108" s="90">
        <v>1</v>
      </c>
      <c r="M108" s="100">
        <v>20000</v>
      </c>
      <c r="N108" s="100">
        <f t="shared" si="6"/>
        <v>20000</v>
      </c>
      <c r="P108" s="90">
        <f t="shared" si="7"/>
        <v>83</v>
      </c>
    </row>
    <row r="109" spans="1:16" ht="15" hidden="1" customHeight="1" x14ac:dyDescent="0.2">
      <c r="A109" s="90" t="s">
        <v>310</v>
      </c>
      <c r="B109" s="69" t="s">
        <v>552</v>
      </c>
      <c r="C109" s="90">
        <f t="shared" si="4"/>
        <v>896</v>
      </c>
      <c r="D109" s="12">
        <f t="shared" si="5"/>
        <v>1</v>
      </c>
      <c r="G109" s="91" t="s">
        <v>89</v>
      </c>
      <c r="H109" s="90" t="s">
        <v>4442</v>
      </c>
      <c r="I109" s="90">
        <v>331</v>
      </c>
      <c r="J109" s="90">
        <v>1111</v>
      </c>
      <c r="K109" s="90" t="s">
        <v>20</v>
      </c>
      <c r="L109" s="90">
        <v>1</v>
      </c>
      <c r="M109" s="100">
        <v>18000</v>
      </c>
      <c r="N109" s="100">
        <f t="shared" si="6"/>
        <v>18000</v>
      </c>
      <c r="P109" s="90">
        <f t="shared" si="7"/>
        <v>83</v>
      </c>
    </row>
    <row r="110" spans="1:16" ht="15" hidden="1" customHeight="1" x14ac:dyDescent="0.2">
      <c r="A110" s="90" t="s">
        <v>310</v>
      </c>
      <c r="B110" s="69" t="s">
        <v>553</v>
      </c>
      <c r="C110" s="90">
        <f t="shared" si="4"/>
        <v>897</v>
      </c>
      <c r="D110" s="12">
        <f t="shared" si="5"/>
        <v>1</v>
      </c>
      <c r="G110" s="91" t="s">
        <v>89</v>
      </c>
      <c r="H110" s="90" t="s">
        <v>4443</v>
      </c>
      <c r="I110" s="90">
        <v>331</v>
      </c>
      <c r="J110" s="90">
        <v>1111</v>
      </c>
      <c r="K110" s="90" t="s">
        <v>20</v>
      </c>
      <c r="L110" s="90">
        <v>1</v>
      </c>
      <c r="M110" s="100">
        <v>117000</v>
      </c>
      <c r="N110" s="100">
        <f t="shared" si="6"/>
        <v>117000</v>
      </c>
      <c r="P110" s="90">
        <f t="shared" si="7"/>
        <v>84</v>
      </c>
    </row>
    <row r="111" spans="1:16" ht="15" hidden="1" customHeight="1" x14ac:dyDescent="0.2">
      <c r="A111" s="90" t="s">
        <v>310</v>
      </c>
      <c r="B111" s="69" t="s">
        <v>553</v>
      </c>
      <c r="C111" s="90">
        <f t="shared" si="4"/>
        <v>898</v>
      </c>
      <c r="D111" s="12">
        <f t="shared" si="5"/>
        <v>1</v>
      </c>
      <c r="G111" s="91" t="s">
        <v>89</v>
      </c>
      <c r="H111" s="90" t="s">
        <v>4444</v>
      </c>
      <c r="I111" s="90">
        <v>331</v>
      </c>
      <c r="J111" s="90">
        <v>1111</v>
      </c>
      <c r="K111" s="90" t="s">
        <v>20</v>
      </c>
      <c r="L111" s="90">
        <v>1</v>
      </c>
      <c r="M111" s="100">
        <v>30000</v>
      </c>
      <c r="N111" s="100">
        <f t="shared" si="6"/>
        <v>30000</v>
      </c>
      <c r="P111" s="90">
        <f t="shared" si="7"/>
        <v>84</v>
      </c>
    </row>
    <row r="112" spans="1:16" ht="15" hidden="1" customHeight="1" x14ac:dyDescent="0.2">
      <c r="A112" s="90" t="s">
        <v>310</v>
      </c>
      <c r="B112" s="69" t="s">
        <v>553</v>
      </c>
      <c r="C112" s="90">
        <f t="shared" si="4"/>
        <v>899</v>
      </c>
      <c r="D112" s="12">
        <f t="shared" si="5"/>
        <v>1</v>
      </c>
      <c r="G112" s="91" t="s">
        <v>89</v>
      </c>
      <c r="H112" s="90" t="s">
        <v>4445</v>
      </c>
      <c r="I112" s="90">
        <v>331</v>
      </c>
      <c r="J112" s="90">
        <v>1111</v>
      </c>
      <c r="K112" s="90" t="s">
        <v>20</v>
      </c>
      <c r="L112" s="90">
        <v>1</v>
      </c>
      <c r="M112" s="100">
        <v>40000</v>
      </c>
      <c r="N112" s="100">
        <f t="shared" si="6"/>
        <v>40000</v>
      </c>
      <c r="P112" s="90">
        <f t="shared" si="7"/>
        <v>84</v>
      </c>
    </row>
    <row r="113" spans="1:16" ht="15" hidden="1" customHeight="1" x14ac:dyDescent="0.2">
      <c r="A113" s="90" t="s">
        <v>310</v>
      </c>
      <c r="B113" s="69" t="s">
        <v>553</v>
      </c>
      <c r="C113" s="90">
        <f t="shared" si="4"/>
        <v>900</v>
      </c>
      <c r="D113" s="12">
        <f t="shared" si="5"/>
        <v>1</v>
      </c>
      <c r="G113" s="91" t="s">
        <v>89</v>
      </c>
      <c r="H113" s="90" t="s">
        <v>4446</v>
      </c>
      <c r="I113" s="90">
        <v>331</v>
      </c>
      <c r="J113" s="90">
        <v>1111</v>
      </c>
      <c r="K113" s="90" t="s">
        <v>20</v>
      </c>
      <c r="L113" s="90">
        <v>1</v>
      </c>
      <c r="M113" s="100">
        <v>20000</v>
      </c>
      <c r="N113" s="100">
        <f t="shared" si="6"/>
        <v>20000</v>
      </c>
      <c r="P113" s="90">
        <f t="shared" si="7"/>
        <v>84</v>
      </c>
    </row>
    <row r="114" spans="1:16" ht="15" hidden="1" customHeight="1" x14ac:dyDescent="0.2">
      <c r="A114" s="90" t="s">
        <v>310</v>
      </c>
      <c r="B114" s="69" t="s">
        <v>554</v>
      </c>
      <c r="C114" s="90">
        <f t="shared" si="4"/>
        <v>901</v>
      </c>
      <c r="D114" s="12">
        <f t="shared" si="5"/>
        <v>1</v>
      </c>
      <c r="G114" s="91" t="s">
        <v>89</v>
      </c>
      <c r="H114" s="90" t="s">
        <v>4447</v>
      </c>
      <c r="I114" s="90">
        <v>331</v>
      </c>
      <c r="J114" s="90">
        <v>1111</v>
      </c>
      <c r="K114" s="90" t="s">
        <v>20</v>
      </c>
      <c r="L114" s="90">
        <v>1</v>
      </c>
      <c r="M114" s="100">
        <v>84000</v>
      </c>
      <c r="N114" s="100">
        <f t="shared" si="6"/>
        <v>84000</v>
      </c>
      <c r="P114" s="90">
        <f t="shared" si="7"/>
        <v>84</v>
      </c>
    </row>
    <row r="115" spans="1:16" ht="15" hidden="1" customHeight="1" x14ac:dyDescent="0.2">
      <c r="A115" s="90" t="s">
        <v>310</v>
      </c>
      <c r="B115" s="69" t="s">
        <v>555</v>
      </c>
      <c r="C115" s="90">
        <f t="shared" si="4"/>
        <v>902</v>
      </c>
      <c r="D115" s="12">
        <f t="shared" si="5"/>
        <v>1</v>
      </c>
      <c r="G115" s="91" t="s">
        <v>35</v>
      </c>
      <c r="H115" s="90" t="s">
        <v>4448</v>
      </c>
      <c r="I115" s="90">
        <v>331</v>
      </c>
      <c r="J115" s="90">
        <v>1111</v>
      </c>
      <c r="K115" s="90" t="s">
        <v>20</v>
      </c>
      <c r="L115" s="90">
        <v>1</v>
      </c>
      <c r="M115" s="100">
        <v>3240000</v>
      </c>
      <c r="N115" s="100">
        <f t="shared" si="6"/>
        <v>3240000</v>
      </c>
      <c r="P115" s="90">
        <f t="shared" si="7"/>
        <v>52</v>
      </c>
    </row>
    <row r="116" spans="1:16" ht="15" hidden="1" customHeight="1" x14ac:dyDescent="0.2">
      <c r="A116" s="90" t="s">
        <v>310</v>
      </c>
      <c r="B116" s="69" t="s">
        <v>556</v>
      </c>
      <c r="C116" s="90">
        <f t="shared" si="4"/>
        <v>903</v>
      </c>
      <c r="D116" s="12">
        <f t="shared" si="5"/>
        <v>1</v>
      </c>
      <c r="G116" s="91" t="s">
        <v>89</v>
      </c>
      <c r="H116" s="90" t="s">
        <v>4449</v>
      </c>
      <c r="I116" s="90">
        <v>331</v>
      </c>
      <c r="J116" s="90">
        <v>1111</v>
      </c>
      <c r="K116" s="90" t="s">
        <v>20</v>
      </c>
      <c r="L116" s="90">
        <v>1</v>
      </c>
      <c r="M116" s="100">
        <v>13000</v>
      </c>
      <c r="N116" s="100">
        <f t="shared" si="6"/>
        <v>13000</v>
      </c>
      <c r="P116" s="90">
        <f t="shared" si="7"/>
        <v>83</v>
      </c>
    </row>
    <row r="117" spans="1:16" ht="15" hidden="1" customHeight="1" x14ac:dyDescent="0.2">
      <c r="A117" s="90" t="s">
        <v>310</v>
      </c>
      <c r="B117" s="69" t="s">
        <v>557</v>
      </c>
      <c r="C117" s="90">
        <f t="shared" si="4"/>
        <v>904</v>
      </c>
      <c r="D117" s="12">
        <f t="shared" si="5"/>
        <v>1</v>
      </c>
      <c r="G117" s="91" t="s">
        <v>361</v>
      </c>
      <c r="H117" s="90" t="s">
        <v>4450</v>
      </c>
      <c r="I117" s="90">
        <v>331</v>
      </c>
      <c r="J117" s="90">
        <v>1111</v>
      </c>
      <c r="K117" s="90" t="s">
        <v>20</v>
      </c>
      <c r="L117" s="90">
        <v>1</v>
      </c>
      <c r="M117" s="100">
        <v>5115648</v>
      </c>
      <c r="N117" s="100">
        <f t="shared" si="6"/>
        <v>5115648</v>
      </c>
      <c r="P117" s="90">
        <f t="shared" si="7"/>
        <v>168</v>
      </c>
    </row>
    <row r="118" spans="1:16" ht="15" hidden="1" customHeight="1" x14ac:dyDescent="0.2">
      <c r="A118" s="90" t="s">
        <v>310</v>
      </c>
      <c r="B118" s="69" t="s">
        <v>505</v>
      </c>
      <c r="C118" s="90">
        <f t="shared" si="4"/>
        <v>905</v>
      </c>
      <c r="D118" s="12">
        <f t="shared" si="5"/>
        <v>1</v>
      </c>
      <c r="G118" s="91" t="s">
        <v>89</v>
      </c>
      <c r="H118" s="90" t="s">
        <v>4451</v>
      </c>
      <c r="I118" s="90">
        <v>331</v>
      </c>
      <c r="J118" s="90">
        <v>1111</v>
      </c>
      <c r="K118" s="90" t="s">
        <v>20</v>
      </c>
      <c r="L118" s="90">
        <v>1</v>
      </c>
      <c r="M118" s="100">
        <v>48000</v>
      </c>
      <c r="N118" s="100">
        <f t="shared" si="6"/>
        <v>48000</v>
      </c>
      <c r="P118" s="90">
        <f t="shared" si="7"/>
        <v>83</v>
      </c>
    </row>
    <row r="119" spans="1:16" ht="15" hidden="1" customHeight="1" x14ac:dyDescent="0.2">
      <c r="A119" s="90" t="s">
        <v>310</v>
      </c>
      <c r="B119" s="69" t="s">
        <v>480</v>
      </c>
      <c r="C119" s="90">
        <f t="shared" si="4"/>
        <v>906</v>
      </c>
      <c r="D119" s="12">
        <f t="shared" si="5"/>
        <v>1</v>
      </c>
      <c r="G119" s="91" t="s">
        <v>89</v>
      </c>
      <c r="H119" s="90" t="s">
        <v>4452</v>
      </c>
      <c r="I119" s="90">
        <v>331</v>
      </c>
      <c r="J119" s="90">
        <v>1111</v>
      </c>
      <c r="K119" s="90" t="s">
        <v>20</v>
      </c>
      <c r="L119" s="90">
        <v>1</v>
      </c>
      <c r="M119" s="100">
        <v>24000</v>
      </c>
      <c r="N119" s="100">
        <f t="shared" si="6"/>
        <v>24000</v>
      </c>
      <c r="O119" s="101"/>
      <c r="P119" s="90">
        <f t="shared" si="7"/>
        <v>84</v>
      </c>
    </row>
    <row r="120" spans="1:16" ht="15" hidden="1" customHeight="1" x14ac:dyDescent="0.2">
      <c r="A120" s="90" t="s">
        <v>310</v>
      </c>
      <c r="B120" s="69" t="s">
        <v>480</v>
      </c>
      <c r="C120" s="90">
        <f t="shared" si="4"/>
        <v>907</v>
      </c>
      <c r="D120" s="12">
        <f t="shared" si="5"/>
        <v>1</v>
      </c>
      <c r="G120" s="91" t="s">
        <v>89</v>
      </c>
      <c r="H120" s="90" t="s">
        <v>4453</v>
      </c>
      <c r="I120" s="90">
        <v>331</v>
      </c>
      <c r="J120" s="90">
        <v>1111</v>
      </c>
      <c r="K120" s="90" t="s">
        <v>20</v>
      </c>
      <c r="L120" s="90">
        <v>1</v>
      </c>
      <c r="M120" s="100">
        <v>24000</v>
      </c>
      <c r="N120" s="100">
        <f t="shared" si="6"/>
        <v>24000</v>
      </c>
      <c r="O120" s="101"/>
      <c r="P120" s="90">
        <f t="shared" si="7"/>
        <v>84</v>
      </c>
    </row>
    <row r="121" spans="1:16" ht="15" hidden="1" customHeight="1" x14ac:dyDescent="0.2">
      <c r="A121" s="90" t="s">
        <v>310</v>
      </c>
      <c r="B121" s="69" t="s">
        <v>480</v>
      </c>
      <c r="C121" s="90">
        <f t="shared" si="4"/>
        <v>908</v>
      </c>
      <c r="D121" s="12">
        <f t="shared" si="5"/>
        <v>1</v>
      </c>
      <c r="G121" s="91" t="s">
        <v>89</v>
      </c>
      <c r="H121" s="90" t="s">
        <v>4454</v>
      </c>
      <c r="I121" s="90">
        <v>331</v>
      </c>
      <c r="J121" s="90">
        <v>1111</v>
      </c>
      <c r="K121" s="90" t="s">
        <v>20</v>
      </c>
      <c r="L121" s="90">
        <v>1</v>
      </c>
      <c r="M121" s="100">
        <v>27000</v>
      </c>
      <c r="N121" s="100">
        <f t="shared" si="6"/>
        <v>27000</v>
      </c>
      <c r="O121" s="101"/>
      <c r="P121" s="90">
        <f t="shared" si="7"/>
        <v>83</v>
      </c>
    </row>
    <row r="122" spans="1:16" ht="15" hidden="1" customHeight="1" x14ac:dyDescent="0.2">
      <c r="A122" s="90" t="s">
        <v>310</v>
      </c>
      <c r="B122" s="69" t="s">
        <v>480</v>
      </c>
      <c r="C122" s="90">
        <f t="shared" si="4"/>
        <v>909</v>
      </c>
      <c r="D122" s="12">
        <f t="shared" si="5"/>
        <v>1</v>
      </c>
      <c r="G122" s="91" t="s">
        <v>89</v>
      </c>
      <c r="H122" s="90" t="s">
        <v>4455</v>
      </c>
      <c r="I122" s="90">
        <v>331</v>
      </c>
      <c r="J122" s="90">
        <v>1111</v>
      </c>
      <c r="K122" s="90" t="s">
        <v>20</v>
      </c>
      <c r="L122" s="90">
        <v>1</v>
      </c>
      <c r="M122" s="100">
        <v>19000</v>
      </c>
      <c r="N122" s="100">
        <f t="shared" si="6"/>
        <v>19000</v>
      </c>
      <c r="O122" s="101"/>
      <c r="P122" s="90">
        <f t="shared" si="7"/>
        <v>83</v>
      </c>
    </row>
    <row r="123" spans="1:16" ht="15" hidden="1" customHeight="1" x14ac:dyDescent="0.2">
      <c r="A123" s="90" t="s">
        <v>310</v>
      </c>
      <c r="B123" s="69" t="s">
        <v>480</v>
      </c>
      <c r="C123" s="90">
        <f t="shared" si="4"/>
        <v>910</v>
      </c>
      <c r="D123" s="12">
        <f t="shared" si="5"/>
        <v>1</v>
      </c>
      <c r="G123" s="91" t="s">
        <v>89</v>
      </c>
      <c r="H123" s="90" t="s">
        <v>4456</v>
      </c>
      <c r="I123" s="90">
        <v>331</v>
      </c>
      <c r="J123" s="90">
        <v>1111</v>
      </c>
      <c r="K123" s="90" t="s">
        <v>20</v>
      </c>
      <c r="L123" s="90">
        <v>1</v>
      </c>
      <c r="M123" s="100">
        <v>59000</v>
      </c>
      <c r="N123" s="100">
        <f t="shared" si="6"/>
        <v>59000</v>
      </c>
      <c r="O123" s="101"/>
      <c r="P123" s="90">
        <f t="shared" si="7"/>
        <v>84</v>
      </c>
    </row>
    <row r="124" spans="1:16" ht="15" hidden="1" customHeight="1" x14ac:dyDescent="0.2">
      <c r="A124" s="90" t="s">
        <v>310</v>
      </c>
      <c r="B124" s="69" t="s">
        <v>480</v>
      </c>
      <c r="C124" s="90">
        <f t="shared" si="4"/>
        <v>911</v>
      </c>
      <c r="D124" s="12">
        <f t="shared" si="5"/>
        <v>1</v>
      </c>
      <c r="G124" s="91" t="s">
        <v>89</v>
      </c>
      <c r="H124" s="90" t="s">
        <v>4457</v>
      </c>
      <c r="I124" s="90">
        <v>331</v>
      </c>
      <c r="J124" s="90">
        <v>1111</v>
      </c>
      <c r="K124" s="90" t="s">
        <v>20</v>
      </c>
      <c r="L124" s="90">
        <v>1</v>
      </c>
      <c r="M124" s="100">
        <v>54000</v>
      </c>
      <c r="N124" s="100">
        <f t="shared" si="6"/>
        <v>54000</v>
      </c>
      <c r="P124" s="90">
        <f t="shared" si="7"/>
        <v>84</v>
      </c>
    </row>
    <row r="125" spans="1:16" ht="15" hidden="1" customHeight="1" x14ac:dyDescent="0.2">
      <c r="A125" s="90" t="s">
        <v>310</v>
      </c>
      <c r="B125" s="69" t="s">
        <v>480</v>
      </c>
      <c r="C125" s="90">
        <f t="shared" si="4"/>
        <v>912</v>
      </c>
      <c r="D125" s="12">
        <f t="shared" si="5"/>
        <v>1</v>
      </c>
      <c r="G125" s="91" t="s">
        <v>89</v>
      </c>
      <c r="H125" s="90" t="s">
        <v>4458</v>
      </c>
      <c r="I125" s="90">
        <v>331</v>
      </c>
      <c r="J125" s="90">
        <v>1111</v>
      </c>
      <c r="K125" s="90" t="s">
        <v>20</v>
      </c>
      <c r="L125" s="90">
        <v>1</v>
      </c>
      <c r="M125" s="100">
        <v>108000</v>
      </c>
      <c r="N125" s="100">
        <f t="shared" si="6"/>
        <v>108000</v>
      </c>
      <c r="P125" s="90">
        <f t="shared" si="7"/>
        <v>84</v>
      </c>
    </row>
    <row r="126" spans="1:16" ht="15" hidden="1" customHeight="1" x14ac:dyDescent="0.2">
      <c r="A126" s="90" t="s">
        <v>310</v>
      </c>
      <c r="B126" s="69" t="s">
        <v>480</v>
      </c>
      <c r="C126" s="90">
        <f t="shared" si="4"/>
        <v>913</v>
      </c>
      <c r="D126" s="12">
        <f t="shared" si="5"/>
        <v>1</v>
      </c>
      <c r="G126" s="91" t="s">
        <v>89</v>
      </c>
      <c r="H126" s="90" t="s">
        <v>4459</v>
      </c>
      <c r="I126" s="90">
        <v>331</v>
      </c>
      <c r="J126" s="90">
        <v>1111</v>
      </c>
      <c r="K126" s="90" t="s">
        <v>20</v>
      </c>
      <c r="L126" s="90">
        <v>1</v>
      </c>
      <c r="M126" s="100">
        <v>69000</v>
      </c>
      <c r="N126" s="100">
        <f t="shared" si="6"/>
        <v>69000</v>
      </c>
      <c r="O126" s="101"/>
      <c r="P126" s="90">
        <f t="shared" si="7"/>
        <v>83</v>
      </c>
    </row>
    <row r="127" spans="1:16" ht="15" hidden="1" customHeight="1" x14ac:dyDescent="0.2">
      <c r="A127" s="90" t="s">
        <v>310</v>
      </c>
      <c r="B127" s="69" t="s">
        <v>480</v>
      </c>
      <c r="C127" s="90">
        <f t="shared" si="4"/>
        <v>914</v>
      </c>
      <c r="D127" s="12">
        <f t="shared" si="5"/>
        <v>1</v>
      </c>
      <c r="G127" s="91" t="s">
        <v>89</v>
      </c>
      <c r="H127" s="90" t="s">
        <v>4460</v>
      </c>
      <c r="I127" s="90">
        <v>331</v>
      </c>
      <c r="J127" s="90">
        <v>1111</v>
      </c>
      <c r="K127" s="90" t="s">
        <v>20</v>
      </c>
      <c r="L127" s="90">
        <v>1</v>
      </c>
      <c r="M127" s="100">
        <v>75000</v>
      </c>
      <c r="N127" s="100">
        <f t="shared" si="6"/>
        <v>75000</v>
      </c>
      <c r="P127" s="90">
        <f t="shared" si="7"/>
        <v>84</v>
      </c>
    </row>
    <row r="128" spans="1:16" ht="15" hidden="1" customHeight="1" x14ac:dyDescent="0.2">
      <c r="A128" s="90" t="s">
        <v>310</v>
      </c>
      <c r="B128" s="69" t="s">
        <v>558</v>
      </c>
      <c r="C128" s="90">
        <f t="shared" si="4"/>
        <v>915</v>
      </c>
      <c r="D128" s="12">
        <f t="shared" si="5"/>
        <v>1</v>
      </c>
      <c r="G128" s="91" t="s">
        <v>89</v>
      </c>
      <c r="H128" s="90" t="s">
        <v>4461</v>
      </c>
      <c r="I128" s="90">
        <v>331</v>
      </c>
      <c r="J128" s="90">
        <v>1111</v>
      </c>
      <c r="K128" s="90" t="s">
        <v>20</v>
      </c>
      <c r="L128" s="90">
        <v>1</v>
      </c>
      <c r="M128" s="100">
        <v>46000</v>
      </c>
      <c r="N128" s="100">
        <f t="shared" si="6"/>
        <v>46000</v>
      </c>
      <c r="O128" s="101"/>
      <c r="P128" s="90">
        <f t="shared" si="7"/>
        <v>84</v>
      </c>
    </row>
    <row r="129" spans="1:16" ht="15" hidden="1" customHeight="1" x14ac:dyDescent="0.2">
      <c r="A129" s="90" t="s">
        <v>310</v>
      </c>
      <c r="B129" s="69" t="s">
        <v>558</v>
      </c>
      <c r="C129" s="90">
        <f t="shared" si="4"/>
        <v>916</v>
      </c>
      <c r="D129" s="12">
        <f t="shared" si="5"/>
        <v>1</v>
      </c>
      <c r="G129" s="91" t="s">
        <v>89</v>
      </c>
      <c r="H129" s="90" t="s">
        <v>4462</v>
      </c>
      <c r="I129" s="90">
        <v>331</v>
      </c>
      <c r="J129" s="90">
        <v>1111</v>
      </c>
      <c r="K129" s="90" t="s">
        <v>20</v>
      </c>
      <c r="L129" s="90">
        <v>1</v>
      </c>
      <c r="M129" s="100">
        <v>30000</v>
      </c>
      <c r="N129" s="100">
        <f t="shared" si="6"/>
        <v>30000</v>
      </c>
      <c r="O129" s="101"/>
      <c r="P129" s="90">
        <f t="shared" si="7"/>
        <v>84</v>
      </c>
    </row>
    <row r="130" spans="1:16" ht="15" hidden="1" customHeight="1" x14ac:dyDescent="0.2">
      <c r="A130" s="90" t="s">
        <v>310</v>
      </c>
      <c r="B130" s="69" t="s">
        <v>558</v>
      </c>
      <c r="C130" s="90">
        <f t="shared" si="4"/>
        <v>917</v>
      </c>
      <c r="D130" s="12">
        <f t="shared" si="5"/>
        <v>1</v>
      </c>
      <c r="G130" s="91" t="s">
        <v>89</v>
      </c>
      <c r="H130" s="90" t="s">
        <v>4463</v>
      </c>
      <c r="I130" s="90">
        <v>331</v>
      </c>
      <c r="J130" s="90">
        <v>1111</v>
      </c>
      <c r="K130" s="90" t="s">
        <v>20</v>
      </c>
      <c r="L130" s="90">
        <v>1</v>
      </c>
      <c r="M130" s="100">
        <v>42000</v>
      </c>
      <c r="N130" s="100">
        <f t="shared" si="6"/>
        <v>42000</v>
      </c>
      <c r="O130" s="101"/>
      <c r="P130" s="90">
        <f t="shared" si="7"/>
        <v>83</v>
      </c>
    </row>
    <row r="131" spans="1:16" ht="15" hidden="1" customHeight="1" x14ac:dyDescent="0.2">
      <c r="A131" s="90" t="s">
        <v>310</v>
      </c>
      <c r="B131" s="69" t="s">
        <v>559</v>
      </c>
      <c r="C131" s="90">
        <f t="shared" si="4"/>
        <v>918</v>
      </c>
      <c r="D131" s="12">
        <f t="shared" si="5"/>
        <v>1</v>
      </c>
      <c r="G131" s="91" t="s">
        <v>52</v>
      </c>
      <c r="H131" s="90" t="s">
        <v>4478</v>
      </c>
      <c r="I131" s="90">
        <v>331</v>
      </c>
      <c r="J131" s="90">
        <v>1111</v>
      </c>
      <c r="K131" s="90" t="s">
        <v>20</v>
      </c>
      <c r="L131" s="90">
        <v>1</v>
      </c>
      <c r="M131" s="100">
        <v>1899720</v>
      </c>
      <c r="N131" s="100">
        <f t="shared" si="6"/>
        <v>1899720</v>
      </c>
      <c r="O131" s="101"/>
      <c r="P131" s="90">
        <f t="shared" si="7"/>
        <v>52</v>
      </c>
    </row>
    <row r="132" spans="1:16" ht="15" hidden="1" customHeight="1" x14ac:dyDescent="0.2">
      <c r="A132" s="90" t="s">
        <v>310</v>
      </c>
      <c r="B132" s="69" t="s">
        <v>560</v>
      </c>
      <c r="C132" s="90">
        <f t="shared" ref="C132:C195" si="8">C131+D132</f>
        <v>919</v>
      </c>
      <c r="D132" s="12">
        <f t="shared" ref="D132:D195" si="9">IF(H132=H131,0,1)</f>
        <v>1</v>
      </c>
      <c r="G132" s="91" t="s">
        <v>22</v>
      </c>
      <c r="H132" s="90" t="s">
        <v>4479</v>
      </c>
      <c r="I132" s="90">
        <v>331</v>
      </c>
      <c r="J132" s="90">
        <v>1111</v>
      </c>
      <c r="K132" s="90" t="s">
        <v>20</v>
      </c>
      <c r="L132" s="90">
        <v>1</v>
      </c>
      <c r="M132" s="100">
        <v>657720</v>
      </c>
      <c r="N132" s="100">
        <f t="shared" ref="N132:N195" si="10">L132*M132</f>
        <v>657720</v>
      </c>
      <c r="O132" s="101"/>
      <c r="P132" s="90">
        <f t="shared" ref="P132:P195" si="11">LEN(H132)</f>
        <v>53</v>
      </c>
    </row>
    <row r="133" spans="1:16" ht="15" hidden="1" customHeight="1" x14ac:dyDescent="0.2">
      <c r="A133" s="90" t="s">
        <v>310</v>
      </c>
      <c r="B133" s="69" t="s">
        <v>481</v>
      </c>
      <c r="C133" s="90">
        <f t="shared" si="8"/>
        <v>920</v>
      </c>
      <c r="D133" s="12">
        <f t="shared" si="9"/>
        <v>1</v>
      </c>
      <c r="G133" s="91" t="s">
        <v>89</v>
      </c>
      <c r="H133" s="90" t="s">
        <v>4464</v>
      </c>
      <c r="I133" s="90">
        <v>331</v>
      </c>
      <c r="J133" s="90">
        <v>1111</v>
      </c>
      <c r="K133" s="90" t="s">
        <v>20</v>
      </c>
      <c r="L133" s="90">
        <v>1</v>
      </c>
      <c r="M133" s="100">
        <v>34000</v>
      </c>
      <c r="N133" s="100">
        <f t="shared" si="10"/>
        <v>34000</v>
      </c>
      <c r="P133" s="90">
        <f t="shared" si="11"/>
        <v>83</v>
      </c>
    </row>
    <row r="134" spans="1:16" ht="15" hidden="1" customHeight="1" x14ac:dyDescent="0.2">
      <c r="A134" s="90" t="s">
        <v>310</v>
      </c>
      <c r="B134" s="69" t="s">
        <v>481</v>
      </c>
      <c r="C134" s="90">
        <f t="shared" si="8"/>
        <v>921</v>
      </c>
      <c r="D134" s="12">
        <f t="shared" si="9"/>
        <v>1</v>
      </c>
      <c r="G134" s="91" t="s">
        <v>89</v>
      </c>
      <c r="H134" s="90" t="s">
        <v>4465</v>
      </c>
      <c r="I134" s="90">
        <v>331</v>
      </c>
      <c r="J134" s="90">
        <v>1111</v>
      </c>
      <c r="K134" s="90" t="s">
        <v>20</v>
      </c>
      <c r="L134" s="90">
        <v>1</v>
      </c>
      <c r="M134" s="100">
        <v>73000</v>
      </c>
      <c r="N134" s="100">
        <f t="shared" si="10"/>
        <v>73000</v>
      </c>
      <c r="P134" s="90">
        <f t="shared" si="11"/>
        <v>84</v>
      </c>
    </row>
    <row r="135" spans="1:16" ht="15" hidden="1" customHeight="1" x14ac:dyDescent="0.2">
      <c r="A135" s="90" t="s">
        <v>310</v>
      </c>
      <c r="B135" s="69" t="s">
        <v>481</v>
      </c>
      <c r="C135" s="90">
        <f t="shared" si="8"/>
        <v>922</v>
      </c>
      <c r="D135" s="12">
        <f t="shared" si="9"/>
        <v>1</v>
      </c>
      <c r="G135" s="91" t="s">
        <v>89</v>
      </c>
      <c r="H135" s="90" t="s">
        <v>4466</v>
      </c>
      <c r="I135" s="90">
        <v>331</v>
      </c>
      <c r="J135" s="90">
        <v>1111</v>
      </c>
      <c r="K135" s="90" t="s">
        <v>20</v>
      </c>
      <c r="L135" s="90">
        <v>1</v>
      </c>
      <c r="M135" s="100">
        <v>92000</v>
      </c>
      <c r="N135" s="100">
        <f t="shared" si="10"/>
        <v>92000</v>
      </c>
      <c r="O135" s="101"/>
      <c r="P135" s="90">
        <f t="shared" si="11"/>
        <v>84</v>
      </c>
    </row>
    <row r="136" spans="1:16" ht="15" hidden="1" customHeight="1" x14ac:dyDescent="0.2">
      <c r="A136" s="90" t="s">
        <v>310</v>
      </c>
      <c r="B136" s="69" t="s">
        <v>561</v>
      </c>
      <c r="C136" s="90">
        <f t="shared" si="8"/>
        <v>923</v>
      </c>
      <c r="D136" s="12">
        <f t="shared" si="9"/>
        <v>1</v>
      </c>
      <c r="G136" s="91" t="s">
        <v>89</v>
      </c>
      <c r="H136" s="90" t="s">
        <v>4467</v>
      </c>
      <c r="I136" s="90">
        <v>331</v>
      </c>
      <c r="J136" s="90">
        <v>1111</v>
      </c>
      <c r="K136" s="90" t="s">
        <v>20</v>
      </c>
      <c r="L136" s="90">
        <v>1</v>
      </c>
      <c r="M136" s="100">
        <v>36000</v>
      </c>
      <c r="N136" s="100">
        <f t="shared" si="10"/>
        <v>36000</v>
      </c>
      <c r="P136" s="90">
        <f t="shared" si="11"/>
        <v>83</v>
      </c>
    </row>
    <row r="137" spans="1:16" ht="15" hidden="1" customHeight="1" x14ac:dyDescent="0.2">
      <c r="A137" s="90" t="s">
        <v>18</v>
      </c>
      <c r="B137" s="69" t="s">
        <v>432</v>
      </c>
      <c r="C137" s="90">
        <f t="shared" si="8"/>
        <v>924</v>
      </c>
      <c r="D137" s="12">
        <f t="shared" si="9"/>
        <v>1</v>
      </c>
      <c r="G137" s="91" t="s">
        <v>562</v>
      </c>
      <c r="H137" s="90" t="s">
        <v>4480</v>
      </c>
      <c r="I137" s="90">
        <v>64277</v>
      </c>
      <c r="J137" s="90">
        <v>331</v>
      </c>
      <c r="K137" s="90" t="s">
        <v>20</v>
      </c>
      <c r="L137" s="90">
        <v>1</v>
      </c>
      <c r="M137" s="100">
        <v>2058000</v>
      </c>
      <c r="N137" s="100">
        <f t="shared" si="10"/>
        <v>2058000</v>
      </c>
      <c r="O137" s="101"/>
      <c r="P137" s="90">
        <f t="shared" si="11"/>
        <v>40</v>
      </c>
    </row>
    <row r="138" spans="1:16" ht="15" hidden="1" customHeight="1" x14ac:dyDescent="0.2">
      <c r="A138" s="90" t="s">
        <v>18</v>
      </c>
      <c r="B138" s="69" t="s">
        <v>432</v>
      </c>
      <c r="C138" s="90">
        <f t="shared" si="8"/>
        <v>924</v>
      </c>
      <c r="D138" s="12">
        <f t="shared" si="9"/>
        <v>0</v>
      </c>
      <c r="G138" s="91" t="s">
        <v>562</v>
      </c>
      <c r="H138" s="90" t="s">
        <v>4480</v>
      </c>
      <c r="I138" s="90">
        <v>1331</v>
      </c>
      <c r="J138" s="90">
        <v>331</v>
      </c>
      <c r="K138" s="90" t="s">
        <v>20</v>
      </c>
      <c r="L138" s="90">
        <v>1</v>
      </c>
      <c r="M138" s="100">
        <v>164640</v>
      </c>
      <c r="N138" s="100">
        <f t="shared" si="10"/>
        <v>164640</v>
      </c>
      <c r="O138" s="101"/>
      <c r="P138" s="90">
        <f t="shared" si="11"/>
        <v>40</v>
      </c>
    </row>
    <row r="139" spans="1:16" ht="15" hidden="1" customHeight="1" x14ac:dyDescent="0.2">
      <c r="A139" s="90" t="s">
        <v>18</v>
      </c>
      <c r="B139" s="69" t="s">
        <v>643</v>
      </c>
      <c r="C139" s="90">
        <f t="shared" si="8"/>
        <v>925</v>
      </c>
      <c r="D139" s="12">
        <f t="shared" si="9"/>
        <v>1</v>
      </c>
      <c r="G139" s="91" t="s">
        <v>306</v>
      </c>
      <c r="H139" s="90" t="s">
        <v>648</v>
      </c>
      <c r="I139" s="90">
        <v>131</v>
      </c>
      <c r="J139" s="90">
        <v>5113</v>
      </c>
      <c r="K139" s="90" t="s">
        <v>20</v>
      </c>
      <c r="L139" s="90">
        <v>1</v>
      </c>
      <c r="M139" s="100">
        <v>53763440</v>
      </c>
      <c r="N139" s="100">
        <f t="shared" si="10"/>
        <v>53763440</v>
      </c>
      <c r="P139" s="90">
        <f t="shared" si="11"/>
        <v>153</v>
      </c>
    </row>
    <row r="140" spans="1:16" ht="15" customHeight="1" x14ac:dyDescent="0.2">
      <c r="A140" s="90" t="s">
        <v>18</v>
      </c>
      <c r="B140" s="69" t="s">
        <v>643</v>
      </c>
      <c r="C140" s="90">
        <f t="shared" si="8"/>
        <v>926</v>
      </c>
      <c r="D140" s="12">
        <f t="shared" si="9"/>
        <v>1</v>
      </c>
      <c r="G140" s="91" t="s">
        <v>306</v>
      </c>
      <c r="H140" s="90" t="s">
        <v>4468</v>
      </c>
      <c r="I140" s="90">
        <v>333821</v>
      </c>
      <c r="J140" s="90">
        <v>131</v>
      </c>
      <c r="K140" s="90" t="s">
        <v>20</v>
      </c>
      <c r="L140" s="90">
        <v>1</v>
      </c>
      <c r="M140" s="100">
        <v>537634</v>
      </c>
      <c r="N140" s="100">
        <f t="shared" si="10"/>
        <v>537634</v>
      </c>
      <c r="P140" s="90">
        <f t="shared" si="11"/>
        <v>169</v>
      </c>
    </row>
    <row r="141" spans="1:16" ht="15" hidden="1" customHeight="1" x14ac:dyDescent="0.2">
      <c r="A141" s="90" t="s">
        <v>18</v>
      </c>
      <c r="B141" s="69" t="s">
        <v>534</v>
      </c>
      <c r="C141" s="90">
        <f t="shared" si="8"/>
        <v>927</v>
      </c>
      <c r="D141" s="12">
        <f t="shared" si="9"/>
        <v>1</v>
      </c>
      <c r="G141" s="91" t="s">
        <v>258</v>
      </c>
      <c r="H141" s="90" t="s">
        <v>564</v>
      </c>
      <c r="I141" s="90">
        <v>64277</v>
      </c>
      <c r="J141" s="90">
        <v>331</v>
      </c>
      <c r="K141" s="90" t="s">
        <v>20</v>
      </c>
      <c r="L141" s="90">
        <v>1</v>
      </c>
      <c r="M141" s="100">
        <v>755000</v>
      </c>
      <c r="N141" s="100">
        <f t="shared" si="10"/>
        <v>755000</v>
      </c>
      <c r="O141" s="101"/>
      <c r="P141" s="90">
        <f t="shared" si="11"/>
        <v>109</v>
      </c>
    </row>
    <row r="142" spans="1:16" ht="15" hidden="1" customHeight="1" x14ac:dyDescent="0.2">
      <c r="A142" s="90" t="s">
        <v>18</v>
      </c>
      <c r="B142" s="69" t="s">
        <v>534</v>
      </c>
      <c r="C142" s="90">
        <f t="shared" si="8"/>
        <v>927</v>
      </c>
      <c r="D142" s="12">
        <f t="shared" si="9"/>
        <v>0</v>
      </c>
      <c r="G142" s="91" t="s">
        <v>258</v>
      </c>
      <c r="H142" s="90" t="s">
        <v>564</v>
      </c>
      <c r="I142" s="90">
        <v>1331</v>
      </c>
      <c r="J142" s="90">
        <v>331</v>
      </c>
      <c r="K142" s="90" t="s">
        <v>20</v>
      </c>
      <c r="L142" s="90">
        <v>1</v>
      </c>
      <c r="M142" s="100">
        <v>60400</v>
      </c>
      <c r="N142" s="100">
        <f t="shared" si="10"/>
        <v>60400</v>
      </c>
      <c r="O142" s="101"/>
      <c r="P142" s="90">
        <f t="shared" si="11"/>
        <v>109</v>
      </c>
    </row>
    <row r="143" spans="1:16" ht="15" hidden="1" customHeight="1" x14ac:dyDescent="0.2">
      <c r="A143" s="90" t="s">
        <v>18</v>
      </c>
      <c r="B143" s="69" t="s">
        <v>535</v>
      </c>
      <c r="C143" s="90">
        <f t="shared" si="8"/>
        <v>928</v>
      </c>
      <c r="D143" s="12">
        <f t="shared" si="9"/>
        <v>1</v>
      </c>
      <c r="G143" s="91" t="s">
        <v>89</v>
      </c>
      <c r="H143" s="90" t="s">
        <v>565</v>
      </c>
      <c r="I143" s="90">
        <v>64277</v>
      </c>
      <c r="J143" s="90">
        <v>331</v>
      </c>
      <c r="K143" s="90" t="s">
        <v>20</v>
      </c>
      <c r="L143" s="90">
        <v>1</v>
      </c>
      <c r="M143" s="100">
        <v>118518</v>
      </c>
      <c r="N143" s="100">
        <f t="shared" si="10"/>
        <v>118518</v>
      </c>
      <c r="O143" s="101"/>
      <c r="P143" s="90">
        <f t="shared" si="11"/>
        <v>72</v>
      </c>
    </row>
    <row r="144" spans="1:16" ht="15" hidden="1" customHeight="1" x14ac:dyDescent="0.2">
      <c r="A144" s="90" t="s">
        <v>18</v>
      </c>
      <c r="B144" s="69" t="s">
        <v>535</v>
      </c>
      <c r="C144" s="90">
        <f t="shared" si="8"/>
        <v>928</v>
      </c>
      <c r="D144" s="12">
        <f t="shared" si="9"/>
        <v>0</v>
      </c>
      <c r="G144" s="91" t="s">
        <v>89</v>
      </c>
      <c r="H144" s="90" t="s">
        <v>565</v>
      </c>
      <c r="I144" s="90">
        <v>1331</v>
      </c>
      <c r="J144" s="90">
        <v>331</v>
      </c>
      <c r="K144" s="90" t="s">
        <v>20</v>
      </c>
      <c r="L144" s="90">
        <v>1</v>
      </c>
      <c r="M144" s="100">
        <v>9482</v>
      </c>
      <c r="N144" s="100">
        <f t="shared" si="10"/>
        <v>9482</v>
      </c>
      <c r="O144" s="101"/>
      <c r="P144" s="90">
        <f t="shared" si="11"/>
        <v>72</v>
      </c>
    </row>
    <row r="145" spans="1:16" ht="15" hidden="1" customHeight="1" x14ac:dyDescent="0.2">
      <c r="A145" s="90" t="s">
        <v>18</v>
      </c>
      <c r="B145" s="69" t="s">
        <v>536</v>
      </c>
      <c r="C145" s="90">
        <f t="shared" si="8"/>
        <v>929</v>
      </c>
      <c r="D145" s="12">
        <f t="shared" si="9"/>
        <v>1</v>
      </c>
      <c r="G145" s="91" t="s">
        <v>35</v>
      </c>
      <c r="H145" s="90" t="s">
        <v>566</v>
      </c>
      <c r="I145" s="90">
        <v>64277</v>
      </c>
      <c r="J145" s="90">
        <v>331</v>
      </c>
      <c r="K145" s="90" t="s">
        <v>20</v>
      </c>
      <c r="L145" s="90">
        <v>1</v>
      </c>
      <c r="M145" s="100">
        <v>3000000</v>
      </c>
      <c r="N145" s="100">
        <f t="shared" si="10"/>
        <v>3000000</v>
      </c>
      <c r="O145" s="101"/>
      <c r="P145" s="90">
        <f t="shared" si="11"/>
        <v>41</v>
      </c>
    </row>
    <row r="146" spans="1:16" ht="15" hidden="1" customHeight="1" x14ac:dyDescent="0.2">
      <c r="A146" s="90" t="s">
        <v>18</v>
      </c>
      <c r="B146" s="69" t="s">
        <v>536</v>
      </c>
      <c r="C146" s="90">
        <f t="shared" si="8"/>
        <v>929</v>
      </c>
      <c r="D146" s="12">
        <f t="shared" si="9"/>
        <v>0</v>
      </c>
      <c r="G146" s="91" t="s">
        <v>35</v>
      </c>
      <c r="H146" s="90" t="s">
        <v>566</v>
      </c>
      <c r="I146" s="90">
        <v>1331</v>
      </c>
      <c r="J146" s="90">
        <v>331</v>
      </c>
      <c r="K146" s="90" t="s">
        <v>20</v>
      </c>
      <c r="L146" s="90">
        <v>1</v>
      </c>
      <c r="M146" s="100">
        <v>240000</v>
      </c>
      <c r="N146" s="100">
        <f t="shared" si="10"/>
        <v>240000</v>
      </c>
      <c r="O146" s="101"/>
      <c r="P146" s="90">
        <f t="shared" si="11"/>
        <v>41</v>
      </c>
    </row>
    <row r="147" spans="1:16" ht="15" hidden="1" customHeight="1" x14ac:dyDescent="0.2">
      <c r="A147" s="90" t="s">
        <v>18</v>
      </c>
      <c r="B147" s="69" t="s">
        <v>644</v>
      </c>
      <c r="C147" s="90">
        <f t="shared" si="8"/>
        <v>930</v>
      </c>
      <c r="D147" s="12">
        <f t="shared" si="9"/>
        <v>1</v>
      </c>
      <c r="G147" s="91" t="s">
        <v>646</v>
      </c>
      <c r="H147" s="90" t="s">
        <v>649</v>
      </c>
      <c r="I147" s="90">
        <v>131</v>
      </c>
      <c r="J147" s="90">
        <v>5113</v>
      </c>
      <c r="K147" s="90" t="s">
        <v>20</v>
      </c>
      <c r="L147" s="90">
        <v>1</v>
      </c>
      <c r="M147" s="100">
        <v>44444444</v>
      </c>
      <c r="N147" s="100">
        <f t="shared" si="10"/>
        <v>44444444</v>
      </c>
      <c r="P147" s="90">
        <f t="shared" si="11"/>
        <v>133</v>
      </c>
    </row>
    <row r="148" spans="1:16" ht="15" customHeight="1" x14ac:dyDescent="0.2">
      <c r="A148" s="90" t="s">
        <v>18</v>
      </c>
      <c r="B148" s="69" t="s">
        <v>644</v>
      </c>
      <c r="C148" s="90">
        <f t="shared" si="8"/>
        <v>931</v>
      </c>
      <c r="D148" s="12">
        <f t="shared" si="9"/>
        <v>1</v>
      </c>
      <c r="G148" s="91" t="s">
        <v>646</v>
      </c>
      <c r="H148" s="90" t="s">
        <v>4469</v>
      </c>
      <c r="I148" s="90">
        <v>333821</v>
      </c>
      <c r="J148" s="90">
        <v>131</v>
      </c>
      <c r="K148" s="90" t="s">
        <v>20</v>
      </c>
      <c r="L148" s="90">
        <v>1</v>
      </c>
      <c r="M148" s="100">
        <v>444444</v>
      </c>
      <c r="N148" s="100">
        <f t="shared" si="10"/>
        <v>444444</v>
      </c>
      <c r="P148" s="90">
        <f t="shared" si="11"/>
        <v>149</v>
      </c>
    </row>
    <row r="149" spans="1:16" ht="15" hidden="1" customHeight="1" x14ac:dyDescent="0.2">
      <c r="A149" s="90" t="s">
        <v>18</v>
      </c>
      <c r="B149" s="69" t="s">
        <v>494</v>
      </c>
      <c r="C149" s="90">
        <f t="shared" si="8"/>
        <v>932</v>
      </c>
      <c r="D149" s="12">
        <f t="shared" si="9"/>
        <v>1</v>
      </c>
      <c r="G149" s="91" t="s">
        <v>52</v>
      </c>
      <c r="H149" s="90" t="s">
        <v>567</v>
      </c>
      <c r="I149" s="90">
        <v>64277</v>
      </c>
      <c r="J149" s="90">
        <v>331</v>
      </c>
      <c r="K149" s="90" t="s">
        <v>20</v>
      </c>
      <c r="L149" s="90">
        <v>1</v>
      </c>
      <c r="M149" s="100">
        <v>816000</v>
      </c>
      <c r="N149" s="100">
        <f t="shared" si="10"/>
        <v>816000</v>
      </c>
      <c r="O149" s="101"/>
      <c r="P149" s="90">
        <f t="shared" si="11"/>
        <v>127</v>
      </c>
    </row>
    <row r="150" spans="1:16" ht="15" hidden="1" customHeight="1" x14ac:dyDescent="0.2">
      <c r="A150" s="90" t="s">
        <v>18</v>
      </c>
      <c r="B150" s="69" t="s">
        <v>494</v>
      </c>
      <c r="C150" s="90">
        <f t="shared" si="8"/>
        <v>932</v>
      </c>
      <c r="D150" s="12">
        <f t="shared" si="9"/>
        <v>0</v>
      </c>
      <c r="G150" s="91" t="s">
        <v>52</v>
      </c>
      <c r="H150" s="90" t="s">
        <v>567</v>
      </c>
      <c r="I150" s="90">
        <v>1331</v>
      </c>
      <c r="J150" s="90">
        <v>331</v>
      </c>
      <c r="K150" s="90" t="s">
        <v>20</v>
      </c>
      <c r="L150" s="90">
        <v>1</v>
      </c>
      <c r="M150" s="100">
        <v>65280</v>
      </c>
      <c r="N150" s="100">
        <f t="shared" si="10"/>
        <v>65280</v>
      </c>
      <c r="O150" s="101"/>
      <c r="P150" s="90">
        <f t="shared" si="11"/>
        <v>127</v>
      </c>
    </row>
    <row r="151" spans="1:16" ht="15" hidden="1" customHeight="1" x14ac:dyDescent="0.2">
      <c r="A151" s="90" t="s">
        <v>18</v>
      </c>
      <c r="B151" s="69" t="s">
        <v>537</v>
      </c>
      <c r="C151" s="90">
        <f t="shared" si="8"/>
        <v>933</v>
      </c>
      <c r="D151" s="12">
        <f t="shared" si="9"/>
        <v>1</v>
      </c>
      <c r="G151" s="91" t="s">
        <v>89</v>
      </c>
      <c r="H151" s="90" t="s">
        <v>568</v>
      </c>
      <c r="I151" s="90">
        <v>64277</v>
      </c>
      <c r="J151" s="90">
        <v>331</v>
      </c>
      <c r="K151" s="90" t="s">
        <v>20</v>
      </c>
      <c r="L151" s="90">
        <v>1</v>
      </c>
      <c r="M151" s="100">
        <v>82340</v>
      </c>
      <c r="N151" s="100">
        <f t="shared" si="10"/>
        <v>82340</v>
      </c>
      <c r="O151" s="101"/>
      <c r="P151" s="90">
        <f t="shared" si="11"/>
        <v>114</v>
      </c>
    </row>
    <row r="152" spans="1:16" ht="15" hidden="1" customHeight="1" x14ac:dyDescent="0.2">
      <c r="A152" s="90" t="s">
        <v>18</v>
      </c>
      <c r="B152" s="69" t="s">
        <v>537</v>
      </c>
      <c r="C152" s="90">
        <f t="shared" si="8"/>
        <v>933</v>
      </c>
      <c r="D152" s="12">
        <f t="shared" si="9"/>
        <v>0</v>
      </c>
      <c r="G152" s="91" t="s">
        <v>89</v>
      </c>
      <c r="H152" s="90" t="s">
        <v>568</v>
      </c>
      <c r="I152" s="90">
        <v>1331</v>
      </c>
      <c r="J152" s="90">
        <v>331</v>
      </c>
      <c r="K152" s="90" t="s">
        <v>20</v>
      </c>
      <c r="L152" s="90">
        <v>1</v>
      </c>
      <c r="M152" s="100">
        <v>6660</v>
      </c>
      <c r="N152" s="100">
        <f t="shared" si="10"/>
        <v>6660</v>
      </c>
      <c r="O152" s="101"/>
      <c r="P152" s="90">
        <f t="shared" si="11"/>
        <v>114</v>
      </c>
    </row>
    <row r="153" spans="1:16" ht="15" hidden="1" customHeight="1" x14ac:dyDescent="0.2">
      <c r="A153" s="90" t="s">
        <v>18</v>
      </c>
      <c r="B153" s="69" t="s">
        <v>538</v>
      </c>
      <c r="C153" s="90">
        <f t="shared" si="8"/>
        <v>934</v>
      </c>
      <c r="D153" s="12">
        <f t="shared" si="9"/>
        <v>1</v>
      </c>
      <c r="G153" s="91" t="s">
        <v>89</v>
      </c>
      <c r="H153" s="90" t="s">
        <v>571</v>
      </c>
      <c r="I153" s="90">
        <v>64277</v>
      </c>
      <c r="J153" s="90">
        <v>331</v>
      </c>
      <c r="K153" s="90" t="s">
        <v>20</v>
      </c>
      <c r="L153" s="90">
        <v>1</v>
      </c>
      <c r="M153" s="100">
        <v>43518</v>
      </c>
      <c r="N153" s="100">
        <f t="shared" si="10"/>
        <v>43518</v>
      </c>
      <c r="O153" s="101"/>
      <c r="P153" s="90">
        <f t="shared" si="11"/>
        <v>72</v>
      </c>
    </row>
    <row r="154" spans="1:16" ht="15" hidden="1" customHeight="1" x14ac:dyDescent="0.2">
      <c r="A154" s="90" t="s">
        <v>18</v>
      </c>
      <c r="B154" s="69" t="s">
        <v>538</v>
      </c>
      <c r="C154" s="90">
        <f t="shared" si="8"/>
        <v>934</v>
      </c>
      <c r="D154" s="12">
        <f t="shared" si="9"/>
        <v>0</v>
      </c>
      <c r="G154" s="91" t="s">
        <v>89</v>
      </c>
      <c r="H154" s="90" t="s">
        <v>571</v>
      </c>
      <c r="I154" s="90">
        <v>1331</v>
      </c>
      <c r="J154" s="90">
        <v>331</v>
      </c>
      <c r="K154" s="90" t="s">
        <v>20</v>
      </c>
      <c r="L154" s="90">
        <v>1</v>
      </c>
      <c r="M154" s="100">
        <v>3482</v>
      </c>
      <c r="N154" s="100">
        <f t="shared" si="10"/>
        <v>3482</v>
      </c>
      <c r="O154" s="101"/>
      <c r="P154" s="90">
        <f t="shared" si="11"/>
        <v>72</v>
      </c>
    </row>
    <row r="155" spans="1:16" ht="15" hidden="1" customHeight="1" x14ac:dyDescent="0.2">
      <c r="A155" s="90" t="s">
        <v>18</v>
      </c>
      <c r="B155" s="69" t="s">
        <v>538</v>
      </c>
      <c r="C155" s="90">
        <f t="shared" si="8"/>
        <v>935</v>
      </c>
      <c r="D155" s="12">
        <f t="shared" si="9"/>
        <v>1</v>
      </c>
      <c r="G155" s="91" t="s">
        <v>89</v>
      </c>
      <c r="H155" s="90" t="s">
        <v>570</v>
      </c>
      <c r="I155" s="90">
        <v>64277</v>
      </c>
      <c r="J155" s="90">
        <v>331</v>
      </c>
      <c r="K155" s="90" t="s">
        <v>20</v>
      </c>
      <c r="L155" s="90">
        <v>1</v>
      </c>
      <c r="M155" s="100">
        <v>19445</v>
      </c>
      <c r="N155" s="100">
        <f t="shared" si="10"/>
        <v>19445</v>
      </c>
      <c r="O155" s="101"/>
      <c r="P155" s="90">
        <f t="shared" si="11"/>
        <v>72</v>
      </c>
    </row>
    <row r="156" spans="1:16" ht="15" hidden="1" customHeight="1" x14ac:dyDescent="0.2">
      <c r="A156" s="90" t="s">
        <v>18</v>
      </c>
      <c r="B156" s="69" t="s">
        <v>538</v>
      </c>
      <c r="C156" s="90">
        <f t="shared" si="8"/>
        <v>935</v>
      </c>
      <c r="D156" s="12">
        <f t="shared" si="9"/>
        <v>0</v>
      </c>
      <c r="G156" s="91" t="s">
        <v>89</v>
      </c>
      <c r="H156" s="90" t="s">
        <v>570</v>
      </c>
      <c r="I156" s="90">
        <v>1331</v>
      </c>
      <c r="J156" s="90">
        <v>331</v>
      </c>
      <c r="K156" s="90" t="s">
        <v>20</v>
      </c>
      <c r="L156" s="90">
        <v>1</v>
      </c>
      <c r="M156" s="100">
        <v>1555</v>
      </c>
      <c r="N156" s="100">
        <f t="shared" si="10"/>
        <v>1555</v>
      </c>
      <c r="O156" s="101"/>
      <c r="P156" s="90">
        <f t="shared" si="11"/>
        <v>72</v>
      </c>
    </row>
    <row r="157" spans="1:16" ht="15" hidden="1" customHeight="1" x14ac:dyDescent="0.2">
      <c r="A157" s="90" t="s">
        <v>18</v>
      </c>
      <c r="B157" s="69" t="s">
        <v>538</v>
      </c>
      <c r="C157" s="90">
        <f t="shared" si="8"/>
        <v>936</v>
      </c>
      <c r="D157" s="12">
        <f t="shared" si="9"/>
        <v>1</v>
      </c>
      <c r="G157" s="91" t="s">
        <v>89</v>
      </c>
      <c r="H157" s="90" t="s">
        <v>569</v>
      </c>
      <c r="I157" s="90">
        <v>64277</v>
      </c>
      <c r="J157" s="90">
        <v>331</v>
      </c>
      <c r="K157" s="90" t="s">
        <v>20</v>
      </c>
      <c r="L157" s="90">
        <v>1</v>
      </c>
      <c r="M157" s="100">
        <v>12037</v>
      </c>
      <c r="N157" s="100">
        <f t="shared" si="10"/>
        <v>12037</v>
      </c>
      <c r="O157" s="101"/>
      <c r="P157" s="90">
        <f t="shared" si="11"/>
        <v>72</v>
      </c>
    </row>
    <row r="158" spans="1:16" ht="15" hidden="1" customHeight="1" x14ac:dyDescent="0.2">
      <c r="A158" s="90" t="s">
        <v>18</v>
      </c>
      <c r="B158" s="69" t="s">
        <v>538</v>
      </c>
      <c r="C158" s="90">
        <f t="shared" si="8"/>
        <v>936</v>
      </c>
      <c r="D158" s="12">
        <f t="shared" si="9"/>
        <v>0</v>
      </c>
      <c r="G158" s="91" t="s">
        <v>89</v>
      </c>
      <c r="H158" s="90" t="s">
        <v>569</v>
      </c>
      <c r="I158" s="90">
        <v>1331</v>
      </c>
      <c r="J158" s="90">
        <v>331</v>
      </c>
      <c r="K158" s="90" t="s">
        <v>20</v>
      </c>
      <c r="L158" s="90">
        <v>1</v>
      </c>
      <c r="M158" s="100">
        <v>963</v>
      </c>
      <c r="N158" s="100">
        <f t="shared" si="10"/>
        <v>963</v>
      </c>
      <c r="O158" s="101"/>
      <c r="P158" s="90">
        <f t="shared" si="11"/>
        <v>72</v>
      </c>
    </row>
    <row r="159" spans="1:16" ht="15" hidden="1" customHeight="1" x14ac:dyDescent="0.2">
      <c r="A159" s="90" t="s">
        <v>18</v>
      </c>
      <c r="B159" s="69" t="s">
        <v>645</v>
      </c>
      <c r="C159" s="90">
        <f t="shared" si="8"/>
        <v>937</v>
      </c>
      <c r="D159" s="12">
        <f t="shared" si="9"/>
        <v>1</v>
      </c>
      <c r="G159" s="91" t="s">
        <v>303</v>
      </c>
      <c r="H159" s="90" t="s">
        <v>650</v>
      </c>
      <c r="I159" s="90">
        <v>131</v>
      </c>
      <c r="J159" s="90">
        <v>5113</v>
      </c>
      <c r="K159" s="90" t="s">
        <v>20</v>
      </c>
      <c r="L159" s="90">
        <v>1</v>
      </c>
      <c r="M159" s="100">
        <v>44444444</v>
      </c>
      <c r="N159" s="100">
        <f t="shared" si="10"/>
        <v>44444444</v>
      </c>
      <c r="P159" s="90">
        <f t="shared" si="11"/>
        <v>176</v>
      </c>
    </row>
    <row r="160" spans="1:16" ht="15" customHeight="1" x14ac:dyDescent="0.2">
      <c r="A160" s="90" t="s">
        <v>18</v>
      </c>
      <c r="B160" s="69" t="s">
        <v>645</v>
      </c>
      <c r="C160" s="90">
        <f t="shared" si="8"/>
        <v>938</v>
      </c>
      <c r="D160" s="12">
        <f t="shared" si="9"/>
        <v>1</v>
      </c>
      <c r="G160" s="91" t="s">
        <v>303</v>
      </c>
      <c r="H160" s="90" t="s">
        <v>4470</v>
      </c>
      <c r="I160" s="90">
        <v>333821</v>
      </c>
      <c r="J160" s="90">
        <v>131</v>
      </c>
      <c r="K160" s="90" t="s">
        <v>20</v>
      </c>
      <c r="L160" s="90">
        <v>1</v>
      </c>
      <c r="M160" s="100">
        <v>444444</v>
      </c>
      <c r="N160" s="100">
        <f t="shared" si="10"/>
        <v>444444</v>
      </c>
      <c r="P160" s="90">
        <f t="shared" si="11"/>
        <v>192</v>
      </c>
    </row>
    <row r="161" spans="1:18" ht="15" hidden="1" customHeight="1" x14ac:dyDescent="0.2">
      <c r="A161" s="90" t="s">
        <v>18</v>
      </c>
      <c r="B161" s="69" t="s">
        <v>539</v>
      </c>
      <c r="C161" s="90">
        <f t="shared" si="8"/>
        <v>939</v>
      </c>
      <c r="D161" s="12">
        <f t="shared" si="9"/>
        <v>1</v>
      </c>
      <c r="G161" s="91" t="s">
        <v>89</v>
      </c>
      <c r="H161" s="90" t="s">
        <v>572</v>
      </c>
      <c r="I161" s="90">
        <v>64277</v>
      </c>
      <c r="J161" s="90">
        <v>331</v>
      </c>
      <c r="K161" s="90" t="s">
        <v>20</v>
      </c>
      <c r="L161" s="90">
        <v>1</v>
      </c>
      <c r="M161" s="100">
        <v>14815</v>
      </c>
      <c r="N161" s="100">
        <f t="shared" si="10"/>
        <v>14815</v>
      </c>
      <c r="O161" s="101"/>
      <c r="P161" s="90">
        <f t="shared" si="11"/>
        <v>72</v>
      </c>
    </row>
    <row r="162" spans="1:18" ht="15" hidden="1" customHeight="1" x14ac:dyDescent="0.2">
      <c r="A162" s="90" t="s">
        <v>18</v>
      </c>
      <c r="B162" s="69" t="s">
        <v>539</v>
      </c>
      <c r="C162" s="90">
        <f t="shared" si="8"/>
        <v>939</v>
      </c>
      <c r="D162" s="12">
        <f t="shared" si="9"/>
        <v>0</v>
      </c>
      <c r="G162" s="91" t="s">
        <v>89</v>
      </c>
      <c r="H162" s="90" t="s">
        <v>572</v>
      </c>
      <c r="I162" s="90">
        <v>1331</v>
      </c>
      <c r="J162" s="90">
        <v>331</v>
      </c>
      <c r="K162" s="90" t="s">
        <v>20</v>
      </c>
      <c r="L162" s="90">
        <v>1</v>
      </c>
      <c r="M162" s="100">
        <v>1185</v>
      </c>
      <c r="N162" s="100">
        <f t="shared" si="10"/>
        <v>1185</v>
      </c>
      <c r="O162" s="101"/>
      <c r="P162" s="90">
        <f t="shared" si="11"/>
        <v>72</v>
      </c>
    </row>
    <row r="163" spans="1:18" ht="15" hidden="1" customHeight="1" x14ac:dyDescent="0.2">
      <c r="A163" s="90" t="s">
        <v>18</v>
      </c>
      <c r="B163" s="69" t="s">
        <v>435</v>
      </c>
      <c r="C163" s="90">
        <f t="shared" si="8"/>
        <v>940</v>
      </c>
      <c r="D163" s="12">
        <f t="shared" si="9"/>
        <v>1</v>
      </c>
      <c r="G163" s="91" t="s">
        <v>89</v>
      </c>
      <c r="H163" s="90" t="s">
        <v>573</v>
      </c>
      <c r="I163" s="90">
        <v>64277</v>
      </c>
      <c r="J163" s="90">
        <v>331</v>
      </c>
      <c r="K163" s="90" t="s">
        <v>20</v>
      </c>
      <c r="L163" s="90">
        <v>1</v>
      </c>
      <c r="M163" s="100">
        <v>74074</v>
      </c>
      <c r="N163" s="100">
        <f t="shared" si="10"/>
        <v>74074</v>
      </c>
      <c r="O163" s="101"/>
      <c r="P163" s="90">
        <f t="shared" si="11"/>
        <v>72</v>
      </c>
    </row>
    <row r="164" spans="1:18" ht="15" hidden="1" customHeight="1" x14ac:dyDescent="0.2">
      <c r="A164" s="90" t="s">
        <v>18</v>
      </c>
      <c r="B164" s="69" t="s">
        <v>435</v>
      </c>
      <c r="C164" s="90">
        <f t="shared" si="8"/>
        <v>940</v>
      </c>
      <c r="D164" s="12">
        <f t="shared" si="9"/>
        <v>0</v>
      </c>
      <c r="G164" s="91" t="s">
        <v>89</v>
      </c>
      <c r="H164" s="90" t="s">
        <v>573</v>
      </c>
      <c r="I164" s="90">
        <v>1331</v>
      </c>
      <c r="J164" s="90">
        <v>331</v>
      </c>
      <c r="K164" s="90" t="s">
        <v>20</v>
      </c>
      <c r="L164" s="90">
        <v>1</v>
      </c>
      <c r="M164" s="100">
        <v>5926</v>
      </c>
      <c r="N164" s="100">
        <f t="shared" si="10"/>
        <v>5926</v>
      </c>
      <c r="O164" s="101"/>
      <c r="P164" s="90">
        <f t="shared" si="11"/>
        <v>72</v>
      </c>
    </row>
    <row r="165" spans="1:18" ht="15" hidden="1" customHeight="1" x14ac:dyDescent="0.2">
      <c r="A165" s="90" t="s">
        <v>18</v>
      </c>
      <c r="B165" s="69" t="s">
        <v>435</v>
      </c>
      <c r="C165" s="90">
        <f t="shared" si="8"/>
        <v>941</v>
      </c>
      <c r="D165" s="12">
        <f t="shared" si="9"/>
        <v>1</v>
      </c>
      <c r="G165" s="91" t="s">
        <v>89</v>
      </c>
      <c r="H165" s="90" t="s">
        <v>574</v>
      </c>
      <c r="I165" s="90">
        <v>64277</v>
      </c>
      <c r="J165" s="90">
        <v>331</v>
      </c>
      <c r="K165" s="90" t="s">
        <v>20</v>
      </c>
      <c r="L165" s="90">
        <v>1</v>
      </c>
      <c r="M165" s="100">
        <v>54629</v>
      </c>
      <c r="N165" s="100">
        <f t="shared" si="10"/>
        <v>54629</v>
      </c>
      <c r="O165" s="101"/>
      <c r="P165" s="90">
        <f t="shared" si="11"/>
        <v>72</v>
      </c>
    </row>
    <row r="166" spans="1:18" ht="15" hidden="1" customHeight="1" x14ac:dyDescent="0.2">
      <c r="A166" s="90" t="s">
        <v>18</v>
      </c>
      <c r="B166" s="69" t="s">
        <v>435</v>
      </c>
      <c r="C166" s="90">
        <f t="shared" si="8"/>
        <v>941</v>
      </c>
      <c r="D166" s="12">
        <f t="shared" si="9"/>
        <v>0</v>
      </c>
      <c r="G166" s="91" t="s">
        <v>89</v>
      </c>
      <c r="H166" s="90" t="s">
        <v>574</v>
      </c>
      <c r="I166" s="90">
        <v>1331</v>
      </c>
      <c r="J166" s="90">
        <v>331</v>
      </c>
      <c r="K166" s="90" t="s">
        <v>20</v>
      </c>
      <c r="L166" s="90">
        <v>1</v>
      </c>
      <c r="M166" s="100">
        <v>4371</v>
      </c>
      <c r="N166" s="100">
        <f t="shared" si="10"/>
        <v>4371</v>
      </c>
      <c r="P166" s="90">
        <f t="shared" si="11"/>
        <v>72</v>
      </c>
    </row>
    <row r="167" spans="1:18" ht="15" hidden="1" customHeight="1" x14ac:dyDescent="0.2">
      <c r="A167" s="90" t="s">
        <v>18</v>
      </c>
      <c r="B167" s="69" t="s">
        <v>472</v>
      </c>
      <c r="C167" s="90">
        <f t="shared" si="8"/>
        <v>942</v>
      </c>
      <c r="D167" s="12">
        <f t="shared" si="9"/>
        <v>1</v>
      </c>
      <c r="G167" s="91" t="s">
        <v>89</v>
      </c>
      <c r="H167" s="90" t="s">
        <v>575</v>
      </c>
      <c r="I167" s="90">
        <v>64277</v>
      </c>
      <c r="J167" s="90">
        <v>331</v>
      </c>
      <c r="K167" s="90" t="s">
        <v>20</v>
      </c>
      <c r="L167" s="90">
        <v>1</v>
      </c>
      <c r="M167" s="100">
        <v>20370</v>
      </c>
      <c r="N167" s="100">
        <f t="shared" si="10"/>
        <v>20370</v>
      </c>
      <c r="O167" s="101"/>
      <c r="P167" s="90">
        <f t="shared" si="11"/>
        <v>72</v>
      </c>
    </row>
    <row r="168" spans="1:18" ht="15" hidden="1" customHeight="1" x14ac:dyDescent="0.2">
      <c r="A168" s="90" t="s">
        <v>18</v>
      </c>
      <c r="B168" s="69" t="s">
        <v>472</v>
      </c>
      <c r="C168" s="90">
        <f t="shared" si="8"/>
        <v>942</v>
      </c>
      <c r="D168" s="12">
        <f t="shared" si="9"/>
        <v>0</v>
      </c>
      <c r="G168" s="91" t="s">
        <v>89</v>
      </c>
      <c r="H168" s="90" t="s">
        <v>575</v>
      </c>
      <c r="I168" s="90">
        <v>1331</v>
      </c>
      <c r="J168" s="90">
        <v>331</v>
      </c>
      <c r="K168" s="90" t="s">
        <v>20</v>
      </c>
      <c r="L168" s="90">
        <v>1</v>
      </c>
      <c r="M168" s="100">
        <v>1630</v>
      </c>
      <c r="N168" s="100">
        <f t="shared" si="10"/>
        <v>1630</v>
      </c>
      <c r="P168" s="90">
        <f t="shared" si="11"/>
        <v>72</v>
      </c>
    </row>
    <row r="169" spans="1:18" ht="15" hidden="1" customHeight="1" x14ac:dyDescent="0.2">
      <c r="A169" s="90" t="s">
        <v>18</v>
      </c>
      <c r="B169" s="69" t="s">
        <v>498</v>
      </c>
      <c r="C169" s="90">
        <f t="shared" si="8"/>
        <v>943</v>
      </c>
      <c r="D169" s="12">
        <f t="shared" si="9"/>
        <v>1</v>
      </c>
      <c r="G169" s="91" t="s">
        <v>234</v>
      </c>
      <c r="H169" s="90" t="s">
        <v>576</v>
      </c>
      <c r="I169" s="90">
        <v>64277</v>
      </c>
      <c r="J169" s="90">
        <v>331</v>
      </c>
      <c r="K169" s="90" t="s">
        <v>20</v>
      </c>
      <c r="L169" s="90">
        <v>1</v>
      </c>
      <c r="M169" s="100">
        <v>62</v>
      </c>
      <c r="N169" s="100">
        <f t="shared" si="10"/>
        <v>62</v>
      </c>
      <c r="O169" s="101"/>
      <c r="P169" s="90">
        <f t="shared" si="11"/>
        <v>13</v>
      </c>
    </row>
    <row r="170" spans="1:18" ht="15" hidden="1" customHeight="1" x14ac:dyDescent="0.2">
      <c r="A170" s="90" t="s">
        <v>18</v>
      </c>
      <c r="B170" s="69" t="s">
        <v>498</v>
      </c>
      <c r="C170" s="90">
        <f t="shared" si="8"/>
        <v>943</v>
      </c>
      <c r="D170" s="12">
        <f t="shared" si="9"/>
        <v>0</v>
      </c>
      <c r="G170" s="91" t="s">
        <v>234</v>
      </c>
      <c r="H170" s="90" t="s">
        <v>576</v>
      </c>
      <c r="I170" s="90">
        <v>1331</v>
      </c>
      <c r="J170" s="90">
        <v>331</v>
      </c>
      <c r="K170" s="90" t="s">
        <v>20</v>
      </c>
      <c r="L170" s="90">
        <v>1</v>
      </c>
      <c r="M170" s="100">
        <v>0</v>
      </c>
      <c r="N170" s="100">
        <f t="shared" si="10"/>
        <v>0</v>
      </c>
      <c r="P170" s="90">
        <f t="shared" si="11"/>
        <v>13</v>
      </c>
    </row>
    <row r="171" spans="1:18" ht="15" hidden="1" customHeight="1" x14ac:dyDescent="0.2">
      <c r="A171" s="90" t="s">
        <v>18</v>
      </c>
      <c r="B171" s="69">
        <v>46053</v>
      </c>
      <c r="C171" s="90">
        <f t="shared" si="8"/>
        <v>944</v>
      </c>
      <c r="D171" s="12">
        <f t="shared" si="9"/>
        <v>1</v>
      </c>
      <c r="G171" s="91" t="s">
        <v>71</v>
      </c>
      <c r="H171" s="90" t="s">
        <v>531</v>
      </c>
      <c r="I171" s="90">
        <v>64271</v>
      </c>
      <c r="J171" s="90">
        <v>3383</v>
      </c>
      <c r="K171" s="90" t="s">
        <v>20</v>
      </c>
      <c r="L171" s="90">
        <v>1</v>
      </c>
      <c r="M171" s="100">
        <v>690300</v>
      </c>
      <c r="N171" s="100">
        <f t="shared" si="10"/>
        <v>690300</v>
      </c>
      <c r="O171" s="101"/>
      <c r="P171" s="90">
        <f t="shared" si="11"/>
        <v>38</v>
      </c>
    </row>
    <row r="172" spans="1:18" ht="15" hidden="1" customHeight="1" x14ac:dyDescent="0.2">
      <c r="A172" s="90" t="s">
        <v>18</v>
      </c>
      <c r="B172" s="69">
        <v>46053</v>
      </c>
      <c r="C172" s="90">
        <f t="shared" si="8"/>
        <v>945</v>
      </c>
      <c r="D172" s="12">
        <f t="shared" si="9"/>
        <v>1</v>
      </c>
      <c r="G172" s="91" t="s">
        <v>71</v>
      </c>
      <c r="H172" s="90" t="s">
        <v>655</v>
      </c>
      <c r="I172" s="90">
        <v>64271</v>
      </c>
      <c r="J172" s="90">
        <v>3383</v>
      </c>
      <c r="K172" s="90" t="s">
        <v>20</v>
      </c>
      <c r="L172" s="90">
        <v>1</v>
      </c>
      <c r="M172" s="100">
        <v>1600000</v>
      </c>
      <c r="N172" s="100">
        <f t="shared" si="10"/>
        <v>1600000</v>
      </c>
      <c r="P172" s="90">
        <f t="shared" si="11"/>
        <v>40</v>
      </c>
      <c r="R172" s="101"/>
    </row>
    <row r="173" spans="1:18" ht="15" hidden="1" customHeight="1" x14ac:dyDescent="0.2">
      <c r="A173" s="90" t="s">
        <v>18</v>
      </c>
      <c r="B173" s="69" t="s">
        <v>473</v>
      </c>
      <c r="C173" s="90">
        <f t="shared" si="8"/>
        <v>946</v>
      </c>
      <c r="D173" s="12">
        <f t="shared" si="9"/>
        <v>1</v>
      </c>
      <c r="G173" s="91" t="s">
        <v>89</v>
      </c>
      <c r="H173" s="90" t="s">
        <v>577</v>
      </c>
      <c r="I173" s="90">
        <v>64277</v>
      </c>
      <c r="J173" s="90">
        <v>331</v>
      </c>
      <c r="K173" s="90" t="s">
        <v>20</v>
      </c>
      <c r="L173" s="90">
        <v>1</v>
      </c>
      <c r="M173" s="100">
        <v>88889</v>
      </c>
      <c r="N173" s="100">
        <f t="shared" si="10"/>
        <v>88889</v>
      </c>
      <c r="O173" s="101"/>
      <c r="P173" s="90">
        <f t="shared" si="11"/>
        <v>72</v>
      </c>
    </row>
    <row r="174" spans="1:18" ht="15" hidden="1" customHeight="1" x14ac:dyDescent="0.2">
      <c r="A174" s="90" t="s">
        <v>18</v>
      </c>
      <c r="B174" s="69" t="s">
        <v>473</v>
      </c>
      <c r="C174" s="90">
        <f t="shared" si="8"/>
        <v>946</v>
      </c>
      <c r="D174" s="12">
        <f t="shared" si="9"/>
        <v>0</v>
      </c>
      <c r="G174" s="91" t="s">
        <v>89</v>
      </c>
      <c r="H174" s="90" t="s">
        <v>577</v>
      </c>
      <c r="I174" s="90">
        <v>1331</v>
      </c>
      <c r="J174" s="90">
        <v>331</v>
      </c>
      <c r="K174" s="90" t="s">
        <v>20</v>
      </c>
      <c r="L174" s="90">
        <v>1</v>
      </c>
      <c r="M174" s="100">
        <v>7111</v>
      </c>
      <c r="N174" s="100">
        <f t="shared" si="10"/>
        <v>7111</v>
      </c>
      <c r="P174" s="90">
        <f t="shared" si="11"/>
        <v>72</v>
      </c>
    </row>
    <row r="175" spans="1:18" ht="15" hidden="1" customHeight="1" x14ac:dyDescent="0.2">
      <c r="A175" s="90" t="s">
        <v>18</v>
      </c>
      <c r="B175" s="69" t="s">
        <v>540</v>
      </c>
      <c r="C175" s="90">
        <f t="shared" si="8"/>
        <v>947</v>
      </c>
      <c r="D175" s="12">
        <f t="shared" si="9"/>
        <v>1</v>
      </c>
      <c r="G175" s="91" t="s">
        <v>89</v>
      </c>
      <c r="H175" s="90" t="s">
        <v>579</v>
      </c>
      <c r="I175" s="90">
        <v>64277</v>
      </c>
      <c r="J175" s="90">
        <v>331</v>
      </c>
      <c r="K175" s="90" t="s">
        <v>20</v>
      </c>
      <c r="L175" s="90">
        <v>1</v>
      </c>
      <c r="M175" s="100">
        <v>131482</v>
      </c>
      <c r="N175" s="100">
        <f t="shared" si="10"/>
        <v>131482</v>
      </c>
      <c r="O175" s="101"/>
      <c r="P175" s="90">
        <f t="shared" si="11"/>
        <v>72</v>
      </c>
    </row>
    <row r="176" spans="1:18" ht="15" hidden="1" customHeight="1" x14ac:dyDescent="0.2">
      <c r="A176" s="90" t="s">
        <v>18</v>
      </c>
      <c r="B176" s="69" t="s">
        <v>540</v>
      </c>
      <c r="C176" s="90">
        <f t="shared" si="8"/>
        <v>947</v>
      </c>
      <c r="D176" s="12">
        <f t="shared" si="9"/>
        <v>0</v>
      </c>
      <c r="G176" s="91" t="s">
        <v>89</v>
      </c>
      <c r="H176" s="90" t="s">
        <v>579</v>
      </c>
      <c r="I176" s="90">
        <v>1331</v>
      </c>
      <c r="J176" s="90">
        <v>331</v>
      </c>
      <c r="K176" s="90" t="s">
        <v>20</v>
      </c>
      <c r="L176" s="90">
        <v>1</v>
      </c>
      <c r="M176" s="100">
        <v>10518</v>
      </c>
      <c r="N176" s="100">
        <f t="shared" si="10"/>
        <v>10518</v>
      </c>
      <c r="P176" s="90">
        <f t="shared" si="11"/>
        <v>72</v>
      </c>
    </row>
    <row r="177" spans="1:16" ht="15" hidden="1" customHeight="1" x14ac:dyDescent="0.2">
      <c r="A177" s="90" t="s">
        <v>18</v>
      </c>
      <c r="B177" s="69" t="s">
        <v>540</v>
      </c>
      <c r="C177" s="90">
        <f t="shared" si="8"/>
        <v>948</v>
      </c>
      <c r="D177" s="12">
        <f t="shared" si="9"/>
        <v>1</v>
      </c>
      <c r="G177" s="91" t="s">
        <v>35</v>
      </c>
      <c r="H177" s="90" t="s">
        <v>578</v>
      </c>
      <c r="I177" s="90">
        <v>64277</v>
      </c>
      <c r="J177" s="90">
        <v>331</v>
      </c>
      <c r="K177" s="90" t="s">
        <v>20</v>
      </c>
      <c r="L177" s="90">
        <v>1</v>
      </c>
      <c r="M177" s="100">
        <v>3000000</v>
      </c>
      <c r="N177" s="100">
        <f t="shared" si="10"/>
        <v>3000000</v>
      </c>
      <c r="O177" s="101"/>
      <c r="P177" s="90">
        <f t="shared" si="11"/>
        <v>41</v>
      </c>
    </row>
    <row r="178" spans="1:16" ht="15" hidden="1" customHeight="1" x14ac:dyDescent="0.2">
      <c r="A178" s="90" t="s">
        <v>18</v>
      </c>
      <c r="B178" s="69" t="s">
        <v>540</v>
      </c>
      <c r="C178" s="90">
        <f t="shared" si="8"/>
        <v>948</v>
      </c>
      <c r="D178" s="12">
        <f t="shared" si="9"/>
        <v>0</v>
      </c>
      <c r="G178" s="91" t="s">
        <v>35</v>
      </c>
      <c r="H178" s="90" t="s">
        <v>578</v>
      </c>
      <c r="I178" s="90">
        <v>1331</v>
      </c>
      <c r="J178" s="90">
        <v>331</v>
      </c>
      <c r="K178" s="90" t="s">
        <v>20</v>
      </c>
      <c r="L178" s="90">
        <v>1</v>
      </c>
      <c r="M178" s="100">
        <v>240000</v>
      </c>
      <c r="N178" s="100">
        <f t="shared" si="10"/>
        <v>240000</v>
      </c>
      <c r="P178" s="90">
        <f t="shared" si="11"/>
        <v>41</v>
      </c>
    </row>
    <row r="179" spans="1:16" ht="15" hidden="1" customHeight="1" x14ac:dyDescent="0.2">
      <c r="A179" s="90" t="s">
        <v>18</v>
      </c>
      <c r="B179" s="69" t="s">
        <v>436</v>
      </c>
      <c r="C179" s="90">
        <f t="shared" si="8"/>
        <v>949</v>
      </c>
      <c r="D179" s="12">
        <f t="shared" si="9"/>
        <v>1</v>
      </c>
      <c r="G179" s="91" t="s">
        <v>44</v>
      </c>
      <c r="H179" s="90" t="s">
        <v>580</v>
      </c>
      <c r="I179" s="90">
        <v>64277</v>
      </c>
      <c r="J179" s="90">
        <v>331</v>
      </c>
      <c r="K179" s="90" t="s">
        <v>20</v>
      </c>
      <c r="L179" s="90">
        <v>1</v>
      </c>
      <c r="M179" s="100">
        <v>501551</v>
      </c>
      <c r="N179" s="100">
        <f t="shared" si="10"/>
        <v>501551</v>
      </c>
      <c r="O179" s="101"/>
      <c r="P179" s="90">
        <f t="shared" si="11"/>
        <v>98</v>
      </c>
    </row>
    <row r="180" spans="1:16" ht="15" hidden="1" customHeight="1" x14ac:dyDescent="0.2">
      <c r="A180" s="90" t="s">
        <v>18</v>
      </c>
      <c r="B180" s="69" t="s">
        <v>436</v>
      </c>
      <c r="C180" s="90">
        <f t="shared" si="8"/>
        <v>949</v>
      </c>
      <c r="D180" s="12">
        <f t="shared" si="9"/>
        <v>0</v>
      </c>
      <c r="G180" s="91" t="s">
        <v>44</v>
      </c>
      <c r="H180" s="90" t="s">
        <v>580</v>
      </c>
      <c r="I180" s="90">
        <v>1331</v>
      </c>
      <c r="J180" s="90">
        <v>331</v>
      </c>
      <c r="K180" s="90" t="s">
        <v>20</v>
      </c>
      <c r="L180" s="90">
        <v>1</v>
      </c>
      <c r="M180" s="100">
        <v>40126</v>
      </c>
      <c r="N180" s="100">
        <f t="shared" si="10"/>
        <v>40126</v>
      </c>
      <c r="P180" s="90">
        <f t="shared" si="11"/>
        <v>98</v>
      </c>
    </row>
    <row r="181" spans="1:16" ht="15" hidden="1" customHeight="1" x14ac:dyDescent="0.2">
      <c r="A181" s="90" t="s">
        <v>18</v>
      </c>
      <c r="B181" s="69" t="s">
        <v>541</v>
      </c>
      <c r="C181" s="90">
        <f t="shared" si="8"/>
        <v>950</v>
      </c>
      <c r="D181" s="12">
        <f t="shared" si="9"/>
        <v>1</v>
      </c>
      <c r="G181" s="91" t="s">
        <v>37</v>
      </c>
      <c r="H181" s="90" t="s">
        <v>4481</v>
      </c>
      <c r="I181" s="90">
        <v>64277</v>
      </c>
      <c r="J181" s="90">
        <v>331</v>
      </c>
      <c r="K181" s="90" t="s">
        <v>20</v>
      </c>
      <c r="L181" s="90">
        <v>1</v>
      </c>
      <c r="M181" s="100">
        <v>3695000</v>
      </c>
      <c r="N181" s="100">
        <f t="shared" si="10"/>
        <v>3695000</v>
      </c>
      <c r="O181" s="101"/>
      <c r="P181" s="90">
        <f t="shared" si="11"/>
        <v>43</v>
      </c>
    </row>
    <row r="182" spans="1:16" ht="15" hidden="1" customHeight="1" x14ac:dyDescent="0.2">
      <c r="A182" s="90" t="s">
        <v>18</v>
      </c>
      <c r="B182" s="69" t="s">
        <v>541</v>
      </c>
      <c r="C182" s="90">
        <f t="shared" si="8"/>
        <v>950</v>
      </c>
      <c r="D182" s="12">
        <f t="shared" si="9"/>
        <v>0</v>
      </c>
      <c r="G182" s="91" t="s">
        <v>37</v>
      </c>
      <c r="H182" s="90" t="s">
        <v>4481</v>
      </c>
      <c r="I182" s="90">
        <v>1331</v>
      </c>
      <c r="J182" s="90">
        <v>331</v>
      </c>
      <c r="K182" s="90" t="s">
        <v>20</v>
      </c>
      <c r="L182" s="90">
        <v>1</v>
      </c>
      <c r="M182" s="100">
        <v>296400</v>
      </c>
      <c r="N182" s="100">
        <f t="shared" si="10"/>
        <v>296400</v>
      </c>
      <c r="P182" s="90">
        <f t="shared" si="11"/>
        <v>43</v>
      </c>
    </row>
    <row r="183" spans="1:16" ht="15" hidden="1" customHeight="1" x14ac:dyDescent="0.2">
      <c r="A183" s="90" t="s">
        <v>18</v>
      </c>
      <c r="B183" s="69" t="s">
        <v>542</v>
      </c>
      <c r="C183" s="90">
        <f t="shared" si="8"/>
        <v>951</v>
      </c>
      <c r="D183" s="12">
        <f t="shared" si="9"/>
        <v>1</v>
      </c>
      <c r="G183" s="91" t="s">
        <v>89</v>
      </c>
      <c r="H183" s="90" t="s">
        <v>581</v>
      </c>
      <c r="I183" s="90">
        <v>64277</v>
      </c>
      <c r="J183" s="90">
        <v>331</v>
      </c>
      <c r="K183" s="90" t="s">
        <v>20</v>
      </c>
      <c r="L183" s="90">
        <v>1</v>
      </c>
      <c r="M183" s="100">
        <v>197222</v>
      </c>
      <c r="N183" s="100">
        <f t="shared" si="10"/>
        <v>197222</v>
      </c>
      <c r="O183" s="101"/>
      <c r="P183" s="90">
        <f t="shared" si="11"/>
        <v>72</v>
      </c>
    </row>
    <row r="184" spans="1:16" ht="15" hidden="1" customHeight="1" x14ac:dyDescent="0.2">
      <c r="A184" s="90" t="s">
        <v>18</v>
      </c>
      <c r="B184" s="69" t="s">
        <v>542</v>
      </c>
      <c r="C184" s="90">
        <f t="shared" si="8"/>
        <v>951</v>
      </c>
      <c r="D184" s="12">
        <f t="shared" si="9"/>
        <v>0</v>
      </c>
      <c r="G184" s="91" t="s">
        <v>89</v>
      </c>
      <c r="H184" s="90" t="s">
        <v>581</v>
      </c>
      <c r="I184" s="90">
        <v>1331</v>
      </c>
      <c r="J184" s="90">
        <v>331</v>
      </c>
      <c r="K184" s="90" t="s">
        <v>20</v>
      </c>
      <c r="L184" s="90">
        <v>1</v>
      </c>
      <c r="M184" s="100">
        <v>15778</v>
      </c>
      <c r="N184" s="100">
        <f t="shared" si="10"/>
        <v>15778</v>
      </c>
      <c r="P184" s="90">
        <f t="shared" si="11"/>
        <v>72</v>
      </c>
    </row>
    <row r="185" spans="1:16" ht="15" hidden="1" customHeight="1" x14ac:dyDescent="0.2">
      <c r="A185" s="90" t="s">
        <v>18</v>
      </c>
      <c r="B185" s="69" t="s">
        <v>542</v>
      </c>
      <c r="C185" s="90">
        <f t="shared" si="8"/>
        <v>952</v>
      </c>
      <c r="D185" s="12">
        <f t="shared" si="9"/>
        <v>1</v>
      </c>
      <c r="G185" s="91" t="s">
        <v>89</v>
      </c>
      <c r="H185" s="90" t="s">
        <v>582</v>
      </c>
      <c r="I185" s="90">
        <v>64277</v>
      </c>
      <c r="J185" s="90">
        <v>331</v>
      </c>
      <c r="K185" s="90" t="s">
        <v>20</v>
      </c>
      <c r="L185" s="90">
        <v>1</v>
      </c>
      <c r="M185" s="100">
        <v>33333</v>
      </c>
      <c r="N185" s="100">
        <f t="shared" si="10"/>
        <v>33333</v>
      </c>
      <c r="O185" s="101"/>
      <c r="P185" s="90">
        <f t="shared" si="11"/>
        <v>72</v>
      </c>
    </row>
    <row r="186" spans="1:16" ht="15" hidden="1" customHeight="1" x14ac:dyDescent="0.2">
      <c r="A186" s="90" t="s">
        <v>18</v>
      </c>
      <c r="B186" s="69" t="s">
        <v>542</v>
      </c>
      <c r="C186" s="90">
        <f t="shared" si="8"/>
        <v>952</v>
      </c>
      <c r="D186" s="12">
        <f t="shared" si="9"/>
        <v>0</v>
      </c>
      <c r="G186" s="91" t="s">
        <v>89</v>
      </c>
      <c r="H186" s="90" t="s">
        <v>582</v>
      </c>
      <c r="I186" s="90">
        <v>1331</v>
      </c>
      <c r="J186" s="90">
        <v>331</v>
      </c>
      <c r="K186" s="90" t="s">
        <v>20</v>
      </c>
      <c r="L186" s="90">
        <v>1</v>
      </c>
      <c r="M186" s="100">
        <v>2667</v>
      </c>
      <c r="N186" s="100">
        <f t="shared" si="10"/>
        <v>2667</v>
      </c>
      <c r="P186" s="90">
        <f t="shared" si="11"/>
        <v>72</v>
      </c>
    </row>
    <row r="187" spans="1:16" ht="15" customHeight="1" x14ac:dyDescent="0.2">
      <c r="A187" s="90" t="s">
        <v>18</v>
      </c>
      <c r="B187" s="69" t="s">
        <v>474</v>
      </c>
      <c r="C187" s="90">
        <f t="shared" si="8"/>
        <v>953</v>
      </c>
      <c r="D187" s="12">
        <f t="shared" si="9"/>
        <v>1</v>
      </c>
      <c r="G187" s="91" t="s">
        <v>29</v>
      </c>
      <c r="H187" s="90" t="s">
        <v>4471</v>
      </c>
      <c r="I187" s="90">
        <v>333821</v>
      </c>
      <c r="J187" s="90">
        <v>131</v>
      </c>
      <c r="K187" s="90" t="s">
        <v>20</v>
      </c>
      <c r="L187" s="90">
        <v>1</v>
      </c>
      <c r="M187" s="100">
        <v>444444</v>
      </c>
      <c r="N187" s="100">
        <f t="shared" si="10"/>
        <v>444444</v>
      </c>
      <c r="P187" s="90">
        <f t="shared" si="11"/>
        <v>147</v>
      </c>
    </row>
    <row r="188" spans="1:16" ht="15" hidden="1" customHeight="1" x14ac:dyDescent="0.2">
      <c r="A188" s="90" t="s">
        <v>18</v>
      </c>
      <c r="B188" s="69" t="s">
        <v>474</v>
      </c>
      <c r="C188" s="90">
        <f t="shared" si="8"/>
        <v>954</v>
      </c>
      <c r="D188" s="12">
        <f t="shared" si="9"/>
        <v>1</v>
      </c>
      <c r="G188" s="91" t="s">
        <v>29</v>
      </c>
      <c r="H188" s="90" t="s">
        <v>651</v>
      </c>
      <c r="I188" s="90">
        <v>131</v>
      </c>
      <c r="J188" s="90">
        <v>5113</v>
      </c>
      <c r="K188" s="90" t="s">
        <v>20</v>
      </c>
      <c r="L188" s="90">
        <v>1</v>
      </c>
      <c r="M188" s="100">
        <v>44444444</v>
      </c>
      <c r="N188" s="100">
        <f t="shared" si="10"/>
        <v>44444444</v>
      </c>
      <c r="P188" s="90">
        <f t="shared" si="11"/>
        <v>131</v>
      </c>
    </row>
    <row r="189" spans="1:16" ht="15" hidden="1" customHeight="1" x14ac:dyDescent="0.2">
      <c r="A189" s="90" t="s">
        <v>18</v>
      </c>
      <c r="B189" s="69" t="s">
        <v>543</v>
      </c>
      <c r="C189" s="90">
        <f t="shared" si="8"/>
        <v>955</v>
      </c>
      <c r="D189" s="12">
        <f t="shared" si="9"/>
        <v>1</v>
      </c>
      <c r="G189" s="91" t="s">
        <v>89</v>
      </c>
      <c r="H189" s="90" t="s">
        <v>583</v>
      </c>
      <c r="I189" s="90">
        <v>64277</v>
      </c>
      <c r="J189" s="90">
        <v>331</v>
      </c>
      <c r="K189" s="90" t="s">
        <v>20</v>
      </c>
      <c r="L189" s="90">
        <v>1</v>
      </c>
      <c r="M189" s="100">
        <v>19444</v>
      </c>
      <c r="N189" s="100">
        <f t="shared" si="10"/>
        <v>19444</v>
      </c>
      <c r="O189" s="101"/>
      <c r="P189" s="90">
        <f t="shared" si="11"/>
        <v>72</v>
      </c>
    </row>
    <row r="190" spans="1:16" ht="15" hidden="1" customHeight="1" x14ac:dyDescent="0.2">
      <c r="A190" s="90" t="s">
        <v>18</v>
      </c>
      <c r="B190" s="69" t="s">
        <v>543</v>
      </c>
      <c r="C190" s="90">
        <f t="shared" si="8"/>
        <v>955</v>
      </c>
      <c r="D190" s="12">
        <f t="shared" si="9"/>
        <v>0</v>
      </c>
      <c r="G190" s="91" t="s">
        <v>89</v>
      </c>
      <c r="H190" s="90" t="s">
        <v>583</v>
      </c>
      <c r="I190" s="90">
        <v>1331</v>
      </c>
      <c r="J190" s="90">
        <v>331</v>
      </c>
      <c r="K190" s="90" t="s">
        <v>20</v>
      </c>
      <c r="L190" s="90">
        <v>1</v>
      </c>
      <c r="M190" s="100">
        <v>1556</v>
      </c>
      <c r="N190" s="100">
        <f t="shared" si="10"/>
        <v>1556</v>
      </c>
      <c r="P190" s="90">
        <f t="shared" si="11"/>
        <v>72</v>
      </c>
    </row>
    <row r="191" spans="1:16" ht="15" hidden="1" customHeight="1" x14ac:dyDescent="0.2">
      <c r="A191" s="90" t="s">
        <v>18</v>
      </c>
      <c r="B191" s="69" t="s">
        <v>475</v>
      </c>
      <c r="C191" s="90">
        <f t="shared" si="8"/>
        <v>956</v>
      </c>
      <c r="D191" s="12">
        <f t="shared" si="9"/>
        <v>1</v>
      </c>
      <c r="G191" s="91" t="s">
        <v>22</v>
      </c>
      <c r="H191" s="90" t="s">
        <v>4482</v>
      </c>
      <c r="I191" s="90">
        <v>64277</v>
      </c>
      <c r="J191" s="90">
        <v>331</v>
      </c>
      <c r="K191" s="90" t="s">
        <v>20</v>
      </c>
      <c r="L191" s="90">
        <v>1</v>
      </c>
      <c r="M191" s="100">
        <v>654000</v>
      </c>
      <c r="N191" s="100">
        <f t="shared" si="10"/>
        <v>654000</v>
      </c>
      <c r="O191" s="101"/>
      <c r="P191" s="90">
        <f t="shared" si="11"/>
        <v>41</v>
      </c>
    </row>
    <row r="192" spans="1:16" ht="15" hidden="1" customHeight="1" x14ac:dyDescent="0.2">
      <c r="A192" s="90" t="s">
        <v>18</v>
      </c>
      <c r="B192" s="69" t="s">
        <v>475</v>
      </c>
      <c r="C192" s="90">
        <f t="shared" si="8"/>
        <v>956</v>
      </c>
      <c r="D192" s="12">
        <f t="shared" si="9"/>
        <v>0</v>
      </c>
      <c r="G192" s="91" t="s">
        <v>22</v>
      </c>
      <c r="H192" s="90" t="s">
        <v>4482</v>
      </c>
      <c r="I192" s="90">
        <v>1331</v>
      </c>
      <c r="J192" s="90">
        <v>331</v>
      </c>
      <c r="K192" s="90" t="s">
        <v>20</v>
      </c>
      <c r="L192" s="90">
        <v>1</v>
      </c>
      <c r="M192" s="100">
        <v>52320</v>
      </c>
      <c r="N192" s="100">
        <f t="shared" si="10"/>
        <v>52320</v>
      </c>
      <c r="P192" s="90">
        <f t="shared" si="11"/>
        <v>41</v>
      </c>
    </row>
    <row r="193" spans="1:16" ht="15" hidden="1" customHeight="1" x14ac:dyDescent="0.2">
      <c r="A193" s="90" t="s">
        <v>18</v>
      </c>
      <c r="B193" s="69" t="s">
        <v>475</v>
      </c>
      <c r="C193" s="90">
        <f t="shared" si="8"/>
        <v>957</v>
      </c>
      <c r="D193" s="12">
        <f t="shared" si="9"/>
        <v>1</v>
      </c>
      <c r="G193" s="91" t="s">
        <v>563</v>
      </c>
      <c r="H193" s="90" t="s">
        <v>584</v>
      </c>
      <c r="I193" s="90">
        <v>64277</v>
      </c>
      <c r="J193" s="90">
        <v>331</v>
      </c>
      <c r="K193" s="90" t="s">
        <v>20</v>
      </c>
      <c r="L193" s="90">
        <v>1</v>
      </c>
      <c r="M193" s="100">
        <v>1263636</v>
      </c>
      <c r="N193" s="100">
        <f t="shared" si="10"/>
        <v>1263636</v>
      </c>
      <c r="O193" s="101"/>
      <c r="P193" s="90">
        <f t="shared" si="11"/>
        <v>53</v>
      </c>
    </row>
    <row r="194" spans="1:16" ht="15" hidden="1" customHeight="1" x14ac:dyDescent="0.2">
      <c r="A194" s="90" t="s">
        <v>18</v>
      </c>
      <c r="B194" s="69" t="s">
        <v>475</v>
      </c>
      <c r="C194" s="90">
        <f t="shared" si="8"/>
        <v>957</v>
      </c>
      <c r="D194" s="12">
        <f t="shared" si="9"/>
        <v>0</v>
      </c>
      <c r="G194" s="91" t="s">
        <v>563</v>
      </c>
      <c r="H194" s="90" t="s">
        <v>584</v>
      </c>
      <c r="I194" s="90">
        <v>1331</v>
      </c>
      <c r="J194" s="90">
        <v>331</v>
      </c>
      <c r="K194" s="90" t="s">
        <v>20</v>
      </c>
      <c r="L194" s="90">
        <v>1</v>
      </c>
      <c r="M194" s="100">
        <v>101091</v>
      </c>
      <c r="N194" s="100">
        <f t="shared" si="10"/>
        <v>101091</v>
      </c>
      <c r="P194" s="90">
        <f t="shared" si="11"/>
        <v>53</v>
      </c>
    </row>
    <row r="195" spans="1:16" ht="15" hidden="1" customHeight="1" x14ac:dyDescent="0.2">
      <c r="A195" s="90" t="s">
        <v>18</v>
      </c>
      <c r="B195" s="69" t="s">
        <v>544</v>
      </c>
      <c r="C195" s="90">
        <f t="shared" si="8"/>
        <v>958</v>
      </c>
      <c r="D195" s="12">
        <f t="shared" si="9"/>
        <v>1</v>
      </c>
      <c r="G195" s="91" t="s">
        <v>89</v>
      </c>
      <c r="H195" s="90" t="s">
        <v>585</v>
      </c>
      <c r="I195" s="90">
        <v>64277</v>
      </c>
      <c r="J195" s="90">
        <v>331</v>
      </c>
      <c r="K195" s="90" t="s">
        <v>20</v>
      </c>
      <c r="L195" s="90">
        <v>1</v>
      </c>
      <c r="M195" s="100">
        <v>68518</v>
      </c>
      <c r="N195" s="100">
        <f t="shared" si="10"/>
        <v>68518</v>
      </c>
      <c r="O195" s="101"/>
      <c r="P195" s="90">
        <f t="shared" si="11"/>
        <v>72</v>
      </c>
    </row>
    <row r="196" spans="1:16" ht="15" hidden="1" customHeight="1" x14ac:dyDescent="0.2">
      <c r="A196" s="90" t="s">
        <v>18</v>
      </c>
      <c r="B196" s="69" t="s">
        <v>544</v>
      </c>
      <c r="C196" s="90">
        <f t="shared" ref="C196:C259" si="12">C195+D196</f>
        <v>958</v>
      </c>
      <c r="D196" s="12">
        <f t="shared" ref="D196:D259" si="13">IF(H196=H195,0,1)</f>
        <v>0</v>
      </c>
      <c r="G196" s="91" t="s">
        <v>89</v>
      </c>
      <c r="H196" s="90" t="s">
        <v>585</v>
      </c>
      <c r="I196" s="90">
        <v>1331</v>
      </c>
      <c r="J196" s="90">
        <v>331</v>
      </c>
      <c r="K196" s="90" t="s">
        <v>20</v>
      </c>
      <c r="L196" s="90">
        <v>1</v>
      </c>
      <c r="M196" s="100">
        <v>5482</v>
      </c>
      <c r="N196" s="100">
        <f t="shared" ref="N196:N259" si="14">L196*M196</f>
        <v>5482</v>
      </c>
      <c r="P196" s="90">
        <f t="shared" ref="P196:P259" si="15">LEN(H196)</f>
        <v>72</v>
      </c>
    </row>
    <row r="197" spans="1:16" ht="15" hidden="1" customHeight="1" x14ac:dyDescent="0.2">
      <c r="A197" s="90" t="s">
        <v>18</v>
      </c>
      <c r="B197" s="69" t="s">
        <v>437</v>
      </c>
      <c r="C197" s="90">
        <f t="shared" si="12"/>
        <v>959</v>
      </c>
      <c r="D197" s="12">
        <f t="shared" si="13"/>
        <v>1</v>
      </c>
      <c r="G197" s="91" t="s">
        <v>40</v>
      </c>
      <c r="H197" s="90" t="s">
        <v>586</v>
      </c>
      <c r="I197" s="90">
        <v>64277</v>
      </c>
      <c r="J197" s="90">
        <v>331</v>
      </c>
      <c r="K197" s="90" t="s">
        <v>20</v>
      </c>
      <c r="L197" s="90">
        <v>1</v>
      </c>
      <c r="M197" s="100">
        <v>8964815</v>
      </c>
      <c r="N197" s="100">
        <f t="shared" si="14"/>
        <v>8964815</v>
      </c>
      <c r="O197" s="101"/>
      <c r="P197" s="90">
        <f t="shared" si="15"/>
        <v>52</v>
      </c>
    </row>
    <row r="198" spans="1:16" ht="15" hidden="1" customHeight="1" x14ac:dyDescent="0.2">
      <c r="A198" s="90" t="s">
        <v>18</v>
      </c>
      <c r="B198" s="69" t="s">
        <v>437</v>
      </c>
      <c r="C198" s="90">
        <f t="shared" si="12"/>
        <v>959</v>
      </c>
      <c r="D198" s="12">
        <f t="shared" si="13"/>
        <v>0</v>
      </c>
      <c r="G198" s="91" t="s">
        <v>40</v>
      </c>
      <c r="H198" s="90" t="s">
        <v>586</v>
      </c>
      <c r="I198" s="90">
        <v>1331</v>
      </c>
      <c r="J198" s="90">
        <v>331</v>
      </c>
      <c r="K198" s="90" t="s">
        <v>20</v>
      </c>
      <c r="L198" s="90">
        <v>1</v>
      </c>
      <c r="M198" s="100">
        <v>717185</v>
      </c>
      <c r="N198" s="100">
        <f t="shared" si="14"/>
        <v>717185</v>
      </c>
      <c r="P198" s="90">
        <f t="shared" si="15"/>
        <v>52</v>
      </c>
    </row>
    <row r="199" spans="1:16" ht="15" hidden="1" customHeight="1" x14ac:dyDescent="0.2">
      <c r="A199" s="90" t="s">
        <v>18</v>
      </c>
      <c r="B199" s="69" t="s">
        <v>545</v>
      </c>
      <c r="C199" s="90">
        <f t="shared" si="12"/>
        <v>960</v>
      </c>
      <c r="D199" s="12">
        <f t="shared" si="13"/>
        <v>1</v>
      </c>
      <c r="G199" s="91" t="s">
        <v>89</v>
      </c>
      <c r="H199" s="90" t="s">
        <v>587</v>
      </c>
      <c r="I199" s="90">
        <v>64277</v>
      </c>
      <c r="J199" s="90">
        <v>331</v>
      </c>
      <c r="K199" s="90" t="s">
        <v>20</v>
      </c>
      <c r="L199" s="90">
        <v>1</v>
      </c>
      <c r="M199" s="100">
        <v>125000</v>
      </c>
      <c r="N199" s="100">
        <f t="shared" si="14"/>
        <v>125000</v>
      </c>
      <c r="O199" s="101"/>
      <c r="P199" s="90">
        <f t="shared" si="15"/>
        <v>73</v>
      </c>
    </row>
    <row r="200" spans="1:16" ht="15" hidden="1" customHeight="1" x14ac:dyDescent="0.2">
      <c r="A200" s="90" t="s">
        <v>18</v>
      </c>
      <c r="B200" s="69" t="s">
        <v>545</v>
      </c>
      <c r="C200" s="90">
        <f t="shared" si="12"/>
        <v>960</v>
      </c>
      <c r="D200" s="12">
        <f t="shared" si="13"/>
        <v>0</v>
      </c>
      <c r="G200" s="91" t="s">
        <v>89</v>
      </c>
      <c r="H200" s="90" t="s">
        <v>587</v>
      </c>
      <c r="I200" s="90">
        <v>1331</v>
      </c>
      <c r="J200" s="90">
        <v>331</v>
      </c>
      <c r="K200" s="90" t="s">
        <v>20</v>
      </c>
      <c r="L200" s="90">
        <v>1</v>
      </c>
      <c r="M200" s="100">
        <v>10000</v>
      </c>
      <c r="N200" s="100">
        <f t="shared" si="14"/>
        <v>10000</v>
      </c>
      <c r="P200" s="90">
        <f t="shared" si="15"/>
        <v>73</v>
      </c>
    </row>
    <row r="201" spans="1:16" ht="15" hidden="1" customHeight="1" x14ac:dyDescent="0.2">
      <c r="A201" s="90" t="s">
        <v>18</v>
      </c>
      <c r="B201" s="69" t="s">
        <v>546</v>
      </c>
      <c r="C201" s="90">
        <f t="shared" si="12"/>
        <v>961</v>
      </c>
      <c r="D201" s="12">
        <f t="shared" si="13"/>
        <v>1</v>
      </c>
      <c r="G201" s="91" t="s">
        <v>89</v>
      </c>
      <c r="H201" s="90" t="s">
        <v>588</v>
      </c>
      <c r="I201" s="90">
        <v>64277</v>
      </c>
      <c r="J201" s="90">
        <v>331</v>
      </c>
      <c r="K201" s="90" t="s">
        <v>20</v>
      </c>
      <c r="L201" s="90">
        <v>1</v>
      </c>
      <c r="M201" s="100">
        <v>178704</v>
      </c>
      <c r="N201" s="100">
        <f t="shared" si="14"/>
        <v>178704</v>
      </c>
      <c r="O201" s="101"/>
      <c r="P201" s="90">
        <f t="shared" si="15"/>
        <v>73</v>
      </c>
    </row>
    <row r="202" spans="1:16" ht="15" hidden="1" customHeight="1" x14ac:dyDescent="0.2">
      <c r="A202" s="90" t="s">
        <v>18</v>
      </c>
      <c r="B202" s="69" t="s">
        <v>546</v>
      </c>
      <c r="C202" s="90">
        <f t="shared" si="12"/>
        <v>961</v>
      </c>
      <c r="D202" s="12">
        <f t="shared" si="13"/>
        <v>0</v>
      </c>
      <c r="G202" s="91" t="s">
        <v>89</v>
      </c>
      <c r="H202" s="90" t="s">
        <v>588</v>
      </c>
      <c r="I202" s="90">
        <v>1331</v>
      </c>
      <c r="J202" s="90">
        <v>331</v>
      </c>
      <c r="K202" s="90" t="s">
        <v>20</v>
      </c>
      <c r="L202" s="90">
        <v>1</v>
      </c>
      <c r="M202" s="100">
        <v>14296</v>
      </c>
      <c r="N202" s="100">
        <f t="shared" si="14"/>
        <v>14296</v>
      </c>
      <c r="P202" s="90">
        <f t="shared" si="15"/>
        <v>73</v>
      </c>
    </row>
    <row r="203" spans="1:16" ht="15" hidden="1" customHeight="1" x14ac:dyDescent="0.2">
      <c r="A203" s="90" t="s">
        <v>18</v>
      </c>
      <c r="B203" s="69" t="s">
        <v>547</v>
      </c>
      <c r="C203" s="90">
        <f t="shared" si="12"/>
        <v>962</v>
      </c>
      <c r="D203" s="12">
        <f t="shared" si="13"/>
        <v>1</v>
      </c>
      <c r="G203" s="91" t="s">
        <v>89</v>
      </c>
      <c r="H203" s="90" t="s">
        <v>591</v>
      </c>
      <c r="I203" s="90">
        <v>64277</v>
      </c>
      <c r="J203" s="90">
        <v>331</v>
      </c>
      <c r="K203" s="90" t="s">
        <v>20</v>
      </c>
      <c r="L203" s="90">
        <v>1</v>
      </c>
      <c r="M203" s="100">
        <v>152778</v>
      </c>
      <c r="N203" s="100">
        <f t="shared" si="14"/>
        <v>152778</v>
      </c>
      <c r="O203" s="101"/>
      <c r="P203" s="90">
        <f t="shared" si="15"/>
        <v>73</v>
      </c>
    </row>
    <row r="204" spans="1:16" ht="15" hidden="1" customHeight="1" x14ac:dyDescent="0.2">
      <c r="A204" s="90" t="s">
        <v>18</v>
      </c>
      <c r="B204" s="69" t="s">
        <v>547</v>
      </c>
      <c r="C204" s="90">
        <f t="shared" si="12"/>
        <v>962</v>
      </c>
      <c r="D204" s="12">
        <f t="shared" si="13"/>
        <v>0</v>
      </c>
      <c r="G204" s="91" t="s">
        <v>89</v>
      </c>
      <c r="H204" s="90" t="s">
        <v>591</v>
      </c>
      <c r="I204" s="90">
        <v>1331</v>
      </c>
      <c r="J204" s="90">
        <v>331</v>
      </c>
      <c r="K204" s="90" t="s">
        <v>20</v>
      </c>
      <c r="L204" s="90">
        <v>1</v>
      </c>
      <c r="M204" s="100">
        <v>12222</v>
      </c>
      <c r="N204" s="100">
        <f t="shared" si="14"/>
        <v>12222</v>
      </c>
      <c r="P204" s="90">
        <f t="shared" si="15"/>
        <v>73</v>
      </c>
    </row>
    <row r="205" spans="1:16" ht="15" hidden="1" customHeight="1" x14ac:dyDescent="0.2">
      <c r="A205" s="90" t="s">
        <v>18</v>
      </c>
      <c r="B205" s="69" t="s">
        <v>547</v>
      </c>
      <c r="C205" s="90">
        <f t="shared" si="12"/>
        <v>963</v>
      </c>
      <c r="D205" s="12">
        <f t="shared" si="13"/>
        <v>1</v>
      </c>
      <c r="G205" s="91" t="s">
        <v>89</v>
      </c>
      <c r="H205" s="90" t="s">
        <v>590</v>
      </c>
      <c r="I205" s="90">
        <v>64277</v>
      </c>
      <c r="J205" s="90">
        <v>331</v>
      </c>
      <c r="K205" s="90" t="s">
        <v>20</v>
      </c>
      <c r="L205" s="90">
        <v>1</v>
      </c>
      <c r="M205" s="100">
        <v>58334</v>
      </c>
      <c r="N205" s="100">
        <f t="shared" si="14"/>
        <v>58334</v>
      </c>
      <c r="O205" s="101"/>
      <c r="P205" s="90">
        <f t="shared" si="15"/>
        <v>73</v>
      </c>
    </row>
    <row r="206" spans="1:16" ht="15" hidden="1" customHeight="1" x14ac:dyDescent="0.2">
      <c r="A206" s="90" t="s">
        <v>18</v>
      </c>
      <c r="B206" s="69" t="s">
        <v>547</v>
      </c>
      <c r="C206" s="90">
        <f t="shared" si="12"/>
        <v>963</v>
      </c>
      <c r="D206" s="12">
        <f t="shared" si="13"/>
        <v>0</v>
      </c>
      <c r="G206" s="91" t="s">
        <v>89</v>
      </c>
      <c r="H206" s="90" t="s">
        <v>590</v>
      </c>
      <c r="I206" s="90">
        <v>1331</v>
      </c>
      <c r="J206" s="90">
        <v>331</v>
      </c>
      <c r="K206" s="90" t="s">
        <v>20</v>
      </c>
      <c r="L206" s="90">
        <v>1</v>
      </c>
      <c r="M206" s="100">
        <v>4666</v>
      </c>
      <c r="N206" s="100">
        <f t="shared" si="14"/>
        <v>4666</v>
      </c>
      <c r="P206" s="90">
        <f t="shared" si="15"/>
        <v>73</v>
      </c>
    </row>
    <row r="207" spans="1:16" ht="15" hidden="1" customHeight="1" x14ac:dyDescent="0.2">
      <c r="A207" s="90" t="s">
        <v>18</v>
      </c>
      <c r="B207" s="69" t="s">
        <v>547</v>
      </c>
      <c r="C207" s="90">
        <f t="shared" si="12"/>
        <v>964</v>
      </c>
      <c r="D207" s="12">
        <f t="shared" si="13"/>
        <v>1</v>
      </c>
      <c r="G207" s="91" t="s">
        <v>89</v>
      </c>
      <c r="H207" s="90" t="s">
        <v>589</v>
      </c>
      <c r="I207" s="90">
        <v>64277</v>
      </c>
      <c r="J207" s="90">
        <v>331</v>
      </c>
      <c r="K207" s="90" t="s">
        <v>20</v>
      </c>
      <c r="L207" s="90">
        <v>1</v>
      </c>
      <c r="M207" s="100">
        <v>12037</v>
      </c>
      <c r="N207" s="100">
        <f t="shared" si="14"/>
        <v>12037</v>
      </c>
      <c r="O207" s="101"/>
      <c r="P207" s="90">
        <f t="shared" si="15"/>
        <v>73</v>
      </c>
    </row>
    <row r="208" spans="1:16" ht="15" hidden="1" customHeight="1" x14ac:dyDescent="0.2">
      <c r="A208" s="90" t="s">
        <v>18</v>
      </c>
      <c r="B208" s="69" t="s">
        <v>547</v>
      </c>
      <c r="C208" s="90">
        <f t="shared" si="12"/>
        <v>964</v>
      </c>
      <c r="D208" s="12">
        <f t="shared" si="13"/>
        <v>0</v>
      </c>
      <c r="G208" s="91" t="s">
        <v>89</v>
      </c>
      <c r="H208" s="90" t="s">
        <v>589</v>
      </c>
      <c r="I208" s="90">
        <v>1331</v>
      </c>
      <c r="J208" s="90">
        <v>331</v>
      </c>
      <c r="K208" s="90" t="s">
        <v>20</v>
      </c>
      <c r="L208" s="90">
        <v>1</v>
      </c>
      <c r="M208" s="100">
        <v>963</v>
      </c>
      <c r="N208" s="100">
        <f t="shared" si="14"/>
        <v>963</v>
      </c>
      <c r="P208" s="90">
        <f t="shared" si="15"/>
        <v>73</v>
      </c>
    </row>
    <row r="209" spans="1:16" ht="15" hidden="1" customHeight="1" x14ac:dyDescent="0.2">
      <c r="A209" s="90" t="s">
        <v>18</v>
      </c>
      <c r="B209" s="69" t="s">
        <v>547</v>
      </c>
      <c r="C209" s="90">
        <f t="shared" si="12"/>
        <v>965</v>
      </c>
      <c r="D209" s="12">
        <f t="shared" si="13"/>
        <v>1</v>
      </c>
      <c r="G209" s="91" t="s">
        <v>83</v>
      </c>
      <c r="H209" s="90" t="s">
        <v>652</v>
      </c>
      <c r="I209" s="90">
        <v>131</v>
      </c>
      <c r="J209" s="90">
        <v>5113</v>
      </c>
      <c r="K209" s="90" t="s">
        <v>20</v>
      </c>
      <c r="L209" s="90">
        <v>1</v>
      </c>
      <c r="M209" s="100">
        <v>92731183</v>
      </c>
      <c r="N209" s="100">
        <f t="shared" si="14"/>
        <v>92731183</v>
      </c>
      <c r="P209" s="90">
        <f t="shared" si="15"/>
        <v>153</v>
      </c>
    </row>
    <row r="210" spans="1:16" ht="15" customHeight="1" x14ac:dyDescent="0.2">
      <c r="A210" s="90" t="s">
        <v>18</v>
      </c>
      <c r="B210" s="69" t="s">
        <v>547</v>
      </c>
      <c r="C210" s="90">
        <f t="shared" si="12"/>
        <v>966</v>
      </c>
      <c r="D210" s="12">
        <f t="shared" si="13"/>
        <v>1</v>
      </c>
      <c r="G210" s="91" t="s">
        <v>83</v>
      </c>
      <c r="H210" s="90" t="s">
        <v>4472</v>
      </c>
      <c r="I210" s="90">
        <v>333821</v>
      </c>
      <c r="J210" s="90">
        <v>131</v>
      </c>
      <c r="K210" s="90" t="s">
        <v>20</v>
      </c>
      <c r="L210" s="90">
        <v>1</v>
      </c>
      <c r="M210" s="100">
        <v>927312</v>
      </c>
      <c r="N210" s="100">
        <f t="shared" si="14"/>
        <v>927312</v>
      </c>
      <c r="P210" s="90">
        <f t="shared" si="15"/>
        <v>169</v>
      </c>
    </row>
    <row r="211" spans="1:16" ht="15" hidden="1" customHeight="1" x14ac:dyDescent="0.2">
      <c r="A211" s="90" t="s">
        <v>18</v>
      </c>
      <c r="B211" s="69" t="s">
        <v>499</v>
      </c>
      <c r="C211" s="90">
        <f t="shared" si="12"/>
        <v>967</v>
      </c>
      <c r="D211" s="12">
        <f t="shared" si="13"/>
        <v>1</v>
      </c>
      <c r="G211" s="91" t="s">
        <v>89</v>
      </c>
      <c r="H211" s="90" t="s">
        <v>593</v>
      </c>
      <c r="I211" s="90">
        <v>64277</v>
      </c>
      <c r="J211" s="90">
        <v>331</v>
      </c>
      <c r="K211" s="90" t="s">
        <v>20</v>
      </c>
      <c r="L211" s="90">
        <v>1</v>
      </c>
      <c r="M211" s="100">
        <v>54629</v>
      </c>
      <c r="N211" s="100">
        <f t="shared" si="14"/>
        <v>54629</v>
      </c>
      <c r="O211" s="101"/>
      <c r="P211" s="90">
        <f t="shared" si="15"/>
        <v>73</v>
      </c>
    </row>
    <row r="212" spans="1:16" ht="15" hidden="1" customHeight="1" x14ac:dyDescent="0.2">
      <c r="A212" s="90" t="s">
        <v>18</v>
      </c>
      <c r="B212" s="69" t="s">
        <v>499</v>
      </c>
      <c r="C212" s="90">
        <f t="shared" si="12"/>
        <v>967</v>
      </c>
      <c r="D212" s="12">
        <f t="shared" si="13"/>
        <v>0</v>
      </c>
      <c r="G212" s="91" t="s">
        <v>89</v>
      </c>
      <c r="H212" s="90" t="s">
        <v>593</v>
      </c>
      <c r="I212" s="90">
        <v>1331</v>
      </c>
      <c r="J212" s="90">
        <v>331</v>
      </c>
      <c r="K212" s="90" t="s">
        <v>20</v>
      </c>
      <c r="L212" s="90">
        <v>1</v>
      </c>
      <c r="M212" s="100">
        <v>4371</v>
      </c>
      <c r="N212" s="100">
        <f t="shared" si="14"/>
        <v>4371</v>
      </c>
      <c r="P212" s="90">
        <f t="shared" si="15"/>
        <v>73</v>
      </c>
    </row>
    <row r="213" spans="1:16" ht="15" hidden="1" customHeight="1" x14ac:dyDescent="0.2">
      <c r="A213" s="90" t="s">
        <v>18</v>
      </c>
      <c r="B213" s="69" t="s">
        <v>499</v>
      </c>
      <c r="C213" s="90">
        <f t="shared" si="12"/>
        <v>968</v>
      </c>
      <c r="D213" s="12">
        <f t="shared" si="13"/>
        <v>1</v>
      </c>
      <c r="G213" s="91" t="s">
        <v>89</v>
      </c>
      <c r="H213" s="90" t="s">
        <v>592</v>
      </c>
      <c r="I213" s="90">
        <v>64277</v>
      </c>
      <c r="J213" s="90">
        <v>331</v>
      </c>
      <c r="K213" s="90" t="s">
        <v>20</v>
      </c>
      <c r="L213" s="90">
        <v>1</v>
      </c>
      <c r="M213" s="100">
        <v>37037</v>
      </c>
      <c r="N213" s="100">
        <f t="shared" si="14"/>
        <v>37037</v>
      </c>
      <c r="O213" s="101"/>
      <c r="P213" s="90">
        <f t="shared" si="15"/>
        <v>73</v>
      </c>
    </row>
    <row r="214" spans="1:16" ht="15" hidden="1" customHeight="1" x14ac:dyDescent="0.2">
      <c r="A214" s="90" t="s">
        <v>18</v>
      </c>
      <c r="B214" s="69" t="s">
        <v>499</v>
      </c>
      <c r="C214" s="90">
        <f t="shared" si="12"/>
        <v>968</v>
      </c>
      <c r="D214" s="12">
        <f t="shared" si="13"/>
        <v>0</v>
      </c>
      <c r="G214" s="91" t="s">
        <v>89</v>
      </c>
      <c r="H214" s="90" t="s">
        <v>592</v>
      </c>
      <c r="I214" s="90">
        <v>1331</v>
      </c>
      <c r="J214" s="90">
        <v>331</v>
      </c>
      <c r="K214" s="90" t="s">
        <v>20</v>
      </c>
      <c r="L214" s="90">
        <v>1</v>
      </c>
      <c r="M214" s="100">
        <v>2963</v>
      </c>
      <c r="N214" s="100">
        <f t="shared" si="14"/>
        <v>2963</v>
      </c>
      <c r="P214" s="90">
        <f t="shared" si="15"/>
        <v>73</v>
      </c>
    </row>
    <row r="215" spans="1:16" ht="15" hidden="1" customHeight="1" x14ac:dyDescent="0.2">
      <c r="A215" s="90" t="s">
        <v>18</v>
      </c>
      <c r="B215" s="69" t="s">
        <v>500</v>
      </c>
      <c r="C215" s="90">
        <f t="shared" si="12"/>
        <v>969</v>
      </c>
      <c r="D215" s="12">
        <f t="shared" si="13"/>
        <v>1</v>
      </c>
      <c r="G215" s="91" t="s">
        <v>89</v>
      </c>
      <c r="H215" s="90" t="s">
        <v>596</v>
      </c>
      <c r="I215" s="90">
        <v>64277</v>
      </c>
      <c r="J215" s="90">
        <v>331</v>
      </c>
      <c r="K215" s="90" t="s">
        <v>20</v>
      </c>
      <c r="L215" s="90">
        <v>1</v>
      </c>
      <c r="M215" s="100">
        <v>71297</v>
      </c>
      <c r="N215" s="100">
        <f t="shared" si="14"/>
        <v>71297</v>
      </c>
      <c r="O215" s="101"/>
      <c r="P215" s="90">
        <f t="shared" si="15"/>
        <v>72</v>
      </c>
    </row>
    <row r="216" spans="1:16" ht="15" hidden="1" customHeight="1" x14ac:dyDescent="0.2">
      <c r="A216" s="90" t="s">
        <v>18</v>
      </c>
      <c r="B216" s="69" t="s">
        <v>500</v>
      </c>
      <c r="C216" s="90">
        <f t="shared" si="12"/>
        <v>969</v>
      </c>
      <c r="D216" s="12">
        <f t="shared" si="13"/>
        <v>0</v>
      </c>
      <c r="G216" s="91" t="s">
        <v>89</v>
      </c>
      <c r="H216" s="90" t="s">
        <v>596</v>
      </c>
      <c r="I216" s="90">
        <v>1331</v>
      </c>
      <c r="J216" s="90">
        <v>331</v>
      </c>
      <c r="K216" s="90" t="s">
        <v>20</v>
      </c>
      <c r="L216" s="90">
        <v>1</v>
      </c>
      <c r="M216" s="100">
        <v>5703</v>
      </c>
      <c r="N216" s="100">
        <f t="shared" si="14"/>
        <v>5703</v>
      </c>
      <c r="P216" s="90">
        <f t="shared" si="15"/>
        <v>72</v>
      </c>
    </row>
    <row r="217" spans="1:16" ht="15" hidden="1" customHeight="1" x14ac:dyDescent="0.2">
      <c r="A217" s="90" t="s">
        <v>18</v>
      </c>
      <c r="B217" s="69" t="s">
        <v>500</v>
      </c>
      <c r="C217" s="90">
        <f t="shared" si="12"/>
        <v>970</v>
      </c>
      <c r="D217" s="12">
        <f t="shared" si="13"/>
        <v>1</v>
      </c>
      <c r="G217" s="91" t="s">
        <v>89</v>
      </c>
      <c r="H217" s="90" t="s">
        <v>595</v>
      </c>
      <c r="I217" s="90">
        <v>64277</v>
      </c>
      <c r="J217" s="90">
        <v>331</v>
      </c>
      <c r="K217" s="90" t="s">
        <v>20</v>
      </c>
      <c r="L217" s="90">
        <v>1</v>
      </c>
      <c r="M217" s="100">
        <v>50926</v>
      </c>
      <c r="N217" s="100">
        <f t="shared" si="14"/>
        <v>50926</v>
      </c>
      <c r="O217" s="101"/>
      <c r="P217" s="90">
        <f t="shared" si="15"/>
        <v>73</v>
      </c>
    </row>
    <row r="218" spans="1:16" ht="15" hidden="1" customHeight="1" x14ac:dyDescent="0.2">
      <c r="A218" s="90" t="s">
        <v>18</v>
      </c>
      <c r="B218" s="69" t="s">
        <v>500</v>
      </c>
      <c r="C218" s="90">
        <f t="shared" si="12"/>
        <v>970</v>
      </c>
      <c r="D218" s="12">
        <f t="shared" si="13"/>
        <v>0</v>
      </c>
      <c r="G218" s="91" t="s">
        <v>89</v>
      </c>
      <c r="H218" s="90" t="s">
        <v>595</v>
      </c>
      <c r="I218" s="90">
        <v>1331</v>
      </c>
      <c r="J218" s="90">
        <v>331</v>
      </c>
      <c r="K218" s="90" t="s">
        <v>20</v>
      </c>
      <c r="L218" s="90">
        <v>1</v>
      </c>
      <c r="M218" s="100">
        <v>4074</v>
      </c>
      <c r="N218" s="100">
        <f t="shared" si="14"/>
        <v>4074</v>
      </c>
      <c r="P218" s="90">
        <f t="shared" si="15"/>
        <v>73</v>
      </c>
    </row>
    <row r="219" spans="1:16" ht="15" hidden="1" customHeight="1" x14ac:dyDescent="0.2">
      <c r="A219" s="90" t="s">
        <v>18</v>
      </c>
      <c r="B219" s="69" t="s">
        <v>500</v>
      </c>
      <c r="C219" s="90">
        <f t="shared" si="12"/>
        <v>971</v>
      </c>
      <c r="D219" s="12">
        <f t="shared" si="13"/>
        <v>1</v>
      </c>
      <c r="G219" s="91" t="s">
        <v>89</v>
      </c>
      <c r="H219" s="90" t="s">
        <v>594</v>
      </c>
      <c r="I219" s="90">
        <v>64277</v>
      </c>
      <c r="J219" s="90">
        <v>331</v>
      </c>
      <c r="K219" s="90" t="s">
        <v>20</v>
      </c>
      <c r="L219" s="90">
        <v>1</v>
      </c>
      <c r="M219" s="100">
        <v>93519</v>
      </c>
      <c r="N219" s="100">
        <f t="shared" si="14"/>
        <v>93519</v>
      </c>
      <c r="O219" s="101"/>
      <c r="P219" s="90">
        <f t="shared" si="15"/>
        <v>73</v>
      </c>
    </row>
    <row r="220" spans="1:16" ht="15" hidden="1" customHeight="1" x14ac:dyDescent="0.2">
      <c r="A220" s="90" t="s">
        <v>18</v>
      </c>
      <c r="B220" s="69" t="s">
        <v>500</v>
      </c>
      <c r="C220" s="90">
        <f t="shared" si="12"/>
        <v>971</v>
      </c>
      <c r="D220" s="12">
        <f t="shared" si="13"/>
        <v>0</v>
      </c>
      <c r="G220" s="91" t="s">
        <v>89</v>
      </c>
      <c r="H220" s="90" t="s">
        <v>594</v>
      </c>
      <c r="I220" s="90">
        <v>1331</v>
      </c>
      <c r="J220" s="90">
        <v>331</v>
      </c>
      <c r="K220" s="90" t="s">
        <v>20</v>
      </c>
      <c r="L220" s="90">
        <v>1</v>
      </c>
      <c r="M220" s="100">
        <v>7481</v>
      </c>
      <c r="N220" s="100">
        <f t="shared" si="14"/>
        <v>7481</v>
      </c>
      <c r="P220" s="90">
        <f t="shared" si="15"/>
        <v>73</v>
      </c>
    </row>
    <row r="221" spans="1:16" ht="15" customHeight="1" x14ac:dyDescent="0.2">
      <c r="A221" s="90" t="s">
        <v>18</v>
      </c>
      <c r="B221" s="69" t="s">
        <v>500</v>
      </c>
      <c r="C221" s="90">
        <f t="shared" si="12"/>
        <v>972</v>
      </c>
      <c r="D221" s="12">
        <f t="shared" si="13"/>
        <v>1</v>
      </c>
      <c r="G221" s="91" t="s">
        <v>29</v>
      </c>
      <c r="H221" s="90" t="s">
        <v>4473</v>
      </c>
      <c r="I221" s="90">
        <v>333821</v>
      </c>
      <c r="J221" s="90">
        <v>131</v>
      </c>
      <c r="K221" s="90" t="s">
        <v>20</v>
      </c>
      <c r="L221" s="90">
        <v>1</v>
      </c>
      <c r="M221" s="100">
        <v>444444</v>
      </c>
      <c r="N221" s="100">
        <f t="shared" si="14"/>
        <v>444444</v>
      </c>
      <c r="P221" s="90">
        <f t="shared" si="15"/>
        <v>156</v>
      </c>
    </row>
    <row r="222" spans="1:16" ht="15" hidden="1" customHeight="1" x14ac:dyDescent="0.2">
      <c r="A222" s="90" t="s">
        <v>18</v>
      </c>
      <c r="B222" s="69" t="s">
        <v>500</v>
      </c>
      <c r="C222" s="90">
        <f t="shared" si="12"/>
        <v>973</v>
      </c>
      <c r="D222" s="12">
        <f t="shared" si="13"/>
        <v>1</v>
      </c>
      <c r="G222" s="91" t="s">
        <v>29</v>
      </c>
      <c r="H222" s="90" t="s">
        <v>653</v>
      </c>
      <c r="I222" s="90">
        <v>131</v>
      </c>
      <c r="J222" s="90">
        <v>5113</v>
      </c>
      <c r="K222" s="90" t="s">
        <v>20</v>
      </c>
      <c r="L222" s="90">
        <v>1</v>
      </c>
      <c r="M222" s="100">
        <v>44444444</v>
      </c>
      <c r="N222" s="100">
        <f t="shared" si="14"/>
        <v>44444444</v>
      </c>
      <c r="P222" s="90">
        <f t="shared" si="15"/>
        <v>140</v>
      </c>
    </row>
    <row r="223" spans="1:16" ht="15" hidden="1" customHeight="1" x14ac:dyDescent="0.2">
      <c r="A223" s="90" t="s">
        <v>18</v>
      </c>
      <c r="B223" s="69" t="s">
        <v>501</v>
      </c>
      <c r="C223" s="90">
        <f t="shared" si="12"/>
        <v>974</v>
      </c>
      <c r="D223" s="12">
        <f t="shared" si="13"/>
        <v>1</v>
      </c>
      <c r="G223" s="91" t="s">
        <v>234</v>
      </c>
      <c r="H223" s="90" t="s">
        <v>600</v>
      </c>
      <c r="I223" s="90">
        <v>64277</v>
      </c>
      <c r="J223" s="90">
        <v>331</v>
      </c>
      <c r="K223" s="90" t="s">
        <v>20</v>
      </c>
      <c r="L223" s="90">
        <v>1</v>
      </c>
      <c r="M223" s="100">
        <v>56</v>
      </c>
      <c r="N223" s="100">
        <f t="shared" si="14"/>
        <v>56</v>
      </c>
      <c r="O223" s="101"/>
      <c r="P223" s="90">
        <f t="shared" si="15"/>
        <v>13</v>
      </c>
    </row>
    <row r="224" spans="1:16" ht="15" hidden="1" customHeight="1" x14ac:dyDescent="0.2">
      <c r="A224" s="90" t="s">
        <v>18</v>
      </c>
      <c r="B224" s="69" t="s">
        <v>501</v>
      </c>
      <c r="C224" s="90">
        <f t="shared" si="12"/>
        <v>974</v>
      </c>
      <c r="D224" s="12">
        <f t="shared" si="13"/>
        <v>0</v>
      </c>
      <c r="G224" s="91" t="s">
        <v>234</v>
      </c>
      <c r="H224" s="90" t="s">
        <v>600</v>
      </c>
      <c r="I224" s="90">
        <v>1331</v>
      </c>
      <c r="J224" s="90">
        <v>331</v>
      </c>
      <c r="K224" s="90" t="s">
        <v>20</v>
      </c>
      <c r="L224" s="90">
        <v>1</v>
      </c>
      <c r="M224" s="100">
        <v>0</v>
      </c>
      <c r="N224" s="100">
        <f t="shared" si="14"/>
        <v>0</v>
      </c>
      <c r="P224" s="90">
        <f t="shared" si="15"/>
        <v>13</v>
      </c>
    </row>
    <row r="225" spans="1:16" ht="15" hidden="1" customHeight="1" x14ac:dyDescent="0.2">
      <c r="A225" s="90" t="s">
        <v>18</v>
      </c>
      <c r="B225" s="69" t="s">
        <v>501</v>
      </c>
      <c r="C225" s="90">
        <f t="shared" si="12"/>
        <v>975</v>
      </c>
      <c r="D225" s="12">
        <f t="shared" si="13"/>
        <v>1</v>
      </c>
      <c r="G225" s="91" t="s">
        <v>89</v>
      </c>
      <c r="H225" s="90" t="s">
        <v>599</v>
      </c>
      <c r="I225" s="90">
        <v>64277</v>
      </c>
      <c r="J225" s="90">
        <v>331</v>
      </c>
      <c r="K225" s="90" t="s">
        <v>20</v>
      </c>
      <c r="L225" s="90">
        <v>1</v>
      </c>
      <c r="M225" s="100">
        <v>32408</v>
      </c>
      <c r="N225" s="100">
        <f t="shared" si="14"/>
        <v>32408</v>
      </c>
      <c r="O225" s="101"/>
      <c r="P225" s="90">
        <f t="shared" si="15"/>
        <v>72</v>
      </c>
    </row>
    <row r="226" spans="1:16" ht="15" hidden="1" customHeight="1" x14ac:dyDescent="0.2">
      <c r="A226" s="90" t="s">
        <v>18</v>
      </c>
      <c r="B226" s="69" t="s">
        <v>501</v>
      </c>
      <c r="C226" s="90">
        <f t="shared" si="12"/>
        <v>975</v>
      </c>
      <c r="D226" s="12">
        <f t="shared" si="13"/>
        <v>0</v>
      </c>
      <c r="G226" s="91" t="s">
        <v>89</v>
      </c>
      <c r="H226" s="90" t="s">
        <v>599</v>
      </c>
      <c r="I226" s="90">
        <v>1331</v>
      </c>
      <c r="J226" s="90">
        <v>331</v>
      </c>
      <c r="K226" s="90" t="s">
        <v>20</v>
      </c>
      <c r="L226" s="90">
        <v>1</v>
      </c>
      <c r="M226" s="100">
        <v>2592</v>
      </c>
      <c r="N226" s="100">
        <f t="shared" si="14"/>
        <v>2592</v>
      </c>
      <c r="P226" s="90">
        <f t="shared" si="15"/>
        <v>72</v>
      </c>
    </row>
    <row r="227" spans="1:16" ht="15" hidden="1" customHeight="1" x14ac:dyDescent="0.2">
      <c r="A227" s="90" t="s">
        <v>18</v>
      </c>
      <c r="B227" s="69" t="s">
        <v>501</v>
      </c>
      <c r="C227" s="90">
        <f t="shared" si="12"/>
        <v>976</v>
      </c>
      <c r="D227" s="12">
        <f t="shared" si="13"/>
        <v>1</v>
      </c>
      <c r="G227" s="91" t="s">
        <v>89</v>
      </c>
      <c r="H227" s="90" t="s">
        <v>598</v>
      </c>
      <c r="I227" s="90">
        <v>64277</v>
      </c>
      <c r="J227" s="90">
        <v>331</v>
      </c>
      <c r="K227" s="90" t="s">
        <v>20</v>
      </c>
      <c r="L227" s="90">
        <v>1</v>
      </c>
      <c r="M227" s="100">
        <v>20370</v>
      </c>
      <c r="N227" s="100">
        <f t="shared" si="14"/>
        <v>20370</v>
      </c>
      <c r="O227" s="101"/>
      <c r="P227" s="90">
        <f t="shared" si="15"/>
        <v>73</v>
      </c>
    </row>
    <row r="228" spans="1:16" ht="15" hidden="1" customHeight="1" x14ac:dyDescent="0.2">
      <c r="A228" s="90" t="s">
        <v>18</v>
      </c>
      <c r="B228" s="69" t="s">
        <v>501</v>
      </c>
      <c r="C228" s="90">
        <f t="shared" si="12"/>
        <v>976</v>
      </c>
      <c r="D228" s="12">
        <f t="shared" si="13"/>
        <v>0</v>
      </c>
      <c r="G228" s="91" t="s">
        <v>89</v>
      </c>
      <c r="H228" s="90" t="s">
        <v>598</v>
      </c>
      <c r="I228" s="90">
        <v>1331</v>
      </c>
      <c r="J228" s="90">
        <v>331</v>
      </c>
      <c r="K228" s="90" t="s">
        <v>20</v>
      </c>
      <c r="L228" s="90">
        <v>1</v>
      </c>
      <c r="M228" s="100">
        <v>1630</v>
      </c>
      <c r="N228" s="100">
        <f t="shared" si="14"/>
        <v>1630</v>
      </c>
      <c r="P228" s="90">
        <f t="shared" si="15"/>
        <v>73</v>
      </c>
    </row>
    <row r="229" spans="1:16" ht="15" hidden="1" customHeight="1" x14ac:dyDescent="0.2">
      <c r="A229" s="90" t="s">
        <v>18</v>
      </c>
      <c r="B229" s="69" t="s">
        <v>501</v>
      </c>
      <c r="C229" s="90">
        <f t="shared" si="12"/>
        <v>977</v>
      </c>
      <c r="D229" s="12">
        <f t="shared" si="13"/>
        <v>1</v>
      </c>
      <c r="G229" s="91" t="s">
        <v>89</v>
      </c>
      <c r="H229" s="90" t="s">
        <v>597</v>
      </c>
      <c r="I229" s="90">
        <v>64277</v>
      </c>
      <c r="J229" s="90">
        <v>331</v>
      </c>
      <c r="K229" s="90" t="s">
        <v>20</v>
      </c>
      <c r="L229" s="90">
        <v>1</v>
      </c>
      <c r="M229" s="100">
        <v>57408</v>
      </c>
      <c r="N229" s="100">
        <f t="shared" si="14"/>
        <v>57408</v>
      </c>
      <c r="O229" s="101"/>
      <c r="P229" s="90">
        <f t="shared" si="15"/>
        <v>73</v>
      </c>
    </row>
    <row r="230" spans="1:16" ht="15" hidden="1" customHeight="1" x14ac:dyDescent="0.2">
      <c r="A230" s="90" t="s">
        <v>18</v>
      </c>
      <c r="B230" s="69" t="s">
        <v>501</v>
      </c>
      <c r="C230" s="90">
        <f t="shared" si="12"/>
        <v>977</v>
      </c>
      <c r="D230" s="12">
        <f t="shared" si="13"/>
        <v>0</v>
      </c>
      <c r="G230" s="91" t="s">
        <v>89</v>
      </c>
      <c r="H230" s="90" t="s">
        <v>597</v>
      </c>
      <c r="I230" s="90">
        <v>1331</v>
      </c>
      <c r="J230" s="90">
        <v>331</v>
      </c>
      <c r="K230" s="90" t="s">
        <v>20</v>
      </c>
      <c r="L230" s="90">
        <v>1</v>
      </c>
      <c r="M230" s="100">
        <v>4592</v>
      </c>
      <c r="N230" s="100">
        <f t="shared" si="14"/>
        <v>4592</v>
      </c>
      <c r="P230" s="90">
        <f t="shared" si="15"/>
        <v>73</v>
      </c>
    </row>
    <row r="231" spans="1:16" ht="15" hidden="1" customHeight="1" x14ac:dyDescent="0.2">
      <c r="A231" s="90" t="s">
        <v>18</v>
      </c>
      <c r="B231" s="69" t="s">
        <v>501</v>
      </c>
      <c r="C231" s="90">
        <f t="shared" si="12"/>
        <v>978</v>
      </c>
      <c r="D231" s="12">
        <f t="shared" si="13"/>
        <v>1</v>
      </c>
      <c r="G231" s="91" t="s">
        <v>248</v>
      </c>
      <c r="H231" s="90" t="s">
        <v>601</v>
      </c>
      <c r="I231" s="90">
        <v>64277</v>
      </c>
      <c r="J231" s="90">
        <v>331</v>
      </c>
      <c r="K231" s="90" t="s">
        <v>20</v>
      </c>
      <c r="L231" s="90">
        <v>1</v>
      </c>
      <c r="M231" s="100">
        <v>818000</v>
      </c>
      <c r="N231" s="100">
        <f t="shared" si="14"/>
        <v>818000</v>
      </c>
      <c r="O231" s="101"/>
      <c r="P231" s="90">
        <f t="shared" si="15"/>
        <v>117</v>
      </c>
    </row>
    <row r="232" spans="1:16" ht="15" hidden="1" customHeight="1" x14ac:dyDescent="0.2">
      <c r="A232" s="90" t="s">
        <v>18</v>
      </c>
      <c r="B232" s="69" t="s">
        <v>501</v>
      </c>
      <c r="C232" s="90">
        <f t="shared" si="12"/>
        <v>978</v>
      </c>
      <c r="D232" s="12">
        <f t="shared" si="13"/>
        <v>0</v>
      </c>
      <c r="G232" s="91" t="s">
        <v>248</v>
      </c>
      <c r="H232" s="90" t="s">
        <v>601</v>
      </c>
      <c r="I232" s="90">
        <v>1331</v>
      </c>
      <c r="J232" s="90">
        <v>331</v>
      </c>
      <c r="K232" s="90" t="s">
        <v>20</v>
      </c>
      <c r="L232" s="90">
        <v>1</v>
      </c>
      <c r="M232" s="100">
        <v>65440</v>
      </c>
      <c r="N232" s="100">
        <f t="shared" si="14"/>
        <v>65440</v>
      </c>
      <c r="P232" s="90">
        <f t="shared" si="15"/>
        <v>117</v>
      </c>
    </row>
    <row r="233" spans="1:16" ht="15" hidden="1" customHeight="1" x14ac:dyDescent="0.2">
      <c r="A233" s="90" t="s">
        <v>18</v>
      </c>
      <c r="B233" s="69">
        <v>46081</v>
      </c>
      <c r="C233" s="90">
        <f t="shared" si="12"/>
        <v>979</v>
      </c>
      <c r="D233" s="12">
        <f t="shared" si="13"/>
        <v>1</v>
      </c>
      <c r="G233" s="91" t="s">
        <v>71</v>
      </c>
      <c r="H233" s="90" t="s">
        <v>532</v>
      </c>
      <c r="I233" s="90">
        <v>64271</v>
      </c>
      <c r="J233" s="90">
        <v>3383</v>
      </c>
      <c r="K233" s="90" t="s">
        <v>20</v>
      </c>
      <c r="L233" s="90">
        <v>1</v>
      </c>
      <c r="M233" s="100">
        <v>690300</v>
      </c>
      <c r="N233" s="100">
        <f t="shared" si="14"/>
        <v>690300</v>
      </c>
      <c r="O233" s="101"/>
      <c r="P233" s="90">
        <f t="shared" si="15"/>
        <v>38</v>
      </c>
    </row>
    <row r="234" spans="1:16" ht="15" hidden="1" customHeight="1" x14ac:dyDescent="0.2">
      <c r="A234" s="90" t="s">
        <v>18</v>
      </c>
      <c r="B234" s="69">
        <v>46081</v>
      </c>
      <c r="C234" s="90">
        <f t="shared" si="12"/>
        <v>980</v>
      </c>
      <c r="D234" s="12">
        <f t="shared" si="13"/>
        <v>1</v>
      </c>
      <c r="G234" s="91" t="s">
        <v>71</v>
      </c>
      <c r="H234" s="90" t="s">
        <v>656</v>
      </c>
      <c r="I234" s="90">
        <v>64271</v>
      </c>
      <c r="J234" s="90">
        <v>3383</v>
      </c>
      <c r="K234" s="90" t="s">
        <v>20</v>
      </c>
      <c r="L234" s="90">
        <v>1</v>
      </c>
      <c r="M234" s="100">
        <v>1600000</v>
      </c>
      <c r="N234" s="100">
        <f t="shared" si="14"/>
        <v>1600000</v>
      </c>
      <c r="P234" s="90">
        <f t="shared" si="15"/>
        <v>40</v>
      </c>
    </row>
    <row r="235" spans="1:16" ht="15" hidden="1" customHeight="1" x14ac:dyDescent="0.2">
      <c r="A235" s="90" t="s">
        <v>18</v>
      </c>
      <c r="B235" s="69" t="s">
        <v>548</v>
      </c>
      <c r="C235" s="90">
        <f t="shared" si="12"/>
        <v>981</v>
      </c>
      <c r="D235" s="12">
        <f t="shared" si="13"/>
        <v>1</v>
      </c>
      <c r="G235" s="91" t="s">
        <v>89</v>
      </c>
      <c r="H235" s="90" t="s">
        <v>603</v>
      </c>
      <c r="I235" s="90">
        <v>64277</v>
      </c>
      <c r="J235" s="90">
        <v>331</v>
      </c>
      <c r="K235" s="90" t="s">
        <v>20</v>
      </c>
      <c r="L235" s="90">
        <v>1</v>
      </c>
      <c r="M235" s="100">
        <v>51852</v>
      </c>
      <c r="N235" s="100">
        <f t="shared" si="14"/>
        <v>51852</v>
      </c>
      <c r="O235" s="101"/>
      <c r="P235" s="90">
        <f t="shared" si="15"/>
        <v>73</v>
      </c>
    </row>
    <row r="236" spans="1:16" ht="15" hidden="1" customHeight="1" x14ac:dyDescent="0.2">
      <c r="A236" s="90" t="s">
        <v>18</v>
      </c>
      <c r="B236" s="69" t="s">
        <v>548</v>
      </c>
      <c r="C236" s="90">
        <f t="shared" si="12"/>
        <v>981</v>
      </c>
      <c r="D236" s="12">
        <f t="shared" si="13"/>
        <v>0</v>
      </c>
      <c r="G236" s="91" t="s">
        <v>89</v>
      </c>
      <c r="H236" s="90" t="s">
        <v>603</v>
      </c>
      <c r="I236" s="90">
        <v>1331</v>
      </c>
      <c r="J236" s="90">
        <v>331</v>
      </c>
      <c r="K236" s="90" t="s">
        <v>20</v>
      </c>
      <c r="L236" s="90">
        <v>1</v>
      </c>
      <c r="M236" s="100">
        <v>4148</v>
      </c>
      <c r="N236" s="100">
        <f t="shared" si="14"/>
        <v>4148</v>
      </c>
      <c r="P236" s="90">
        <f t="shared" si="15"/>
        <v>73</v>
      </c>
    </row>
    <row r="237" spans="1:16" ht="15" hidden="1" customHeight="1" x14ac:dyDescent="0.2">
      <c r="A237" s="90" t="s">
        <v>18</v>
      </c>
      <c r="B237" s="69" t="s">
        <v>548</v>
      </c>
      <c r="C237" s="90">
        <f t="shared" si="12"/>
        <v>982</v>
      </c>
      <c r="D237" s="12">
        <f t="shared" si="13"/>
        <v>1</v>
      </c>
      <c r="G237" s="91" t="s">
        <v>89</v>
      </c>
      <c r="H237" s="90" t="s">
        <v>602</v>
      </c>
      <c r="I237" s="90">
        <v>64277</v>
      </c>
      <c r="J237" s="90">
        <v>331</v>
      </c>
      <c r="K237" s="90" t="s">
        <v>20</v>
      </c>
      <c r="L237" s="90">
        <v>1</v>
      </c>
      <c r="M237" s="100">
        <v>86111</v>
      </c>
      <c r="N237" s="100">
        <f t="shared" si="14"/>
        <v>86111</v>
      </c>
      <c r="O237" s="101"/>
      <c r="P237" s="90">
        <f t="shared" si="15"/>
        <v>73</v>
      </c>
    </row>
    <row r="238" spans="1:16" ht="15" hidden="1" customHeight="1" x14ac:dyDescent="0.2">
      <c r="A238" s="90" t="s">
        <v>18</v>
      </c>
      <c r="B238" s="69" t="s">
        <v>548</v>
      </c>
      <c r="C238" s="90">
        <f t="shared" si="12"/>
        <v>982</v>
      </c>
      <c r="D238" s="12">
        <f t="shared" si="13"/>
        <v>0</v>
      </c>
      <c r="G238" s="91" t="s">
        <v>89</v>
      </c>
      <c r="H238" s="90" t="s">
        <v>602</v>
      </c>
      <c r="I238" s="90">
        <v>1331</v>
      </c>
      <c r="J238" s="90">
        <v>331</v>
      </c>
      <c r="K238" s="90" t="s">
        <v>20</v>
      </c>
      <c r="L238" s="90">
        <v>1</v>
      </c>
      <c r="M238" s="100">
        <v>6889</v>
      </c>
      <c r="N238" s="100">
        <f t="shared" si="14"/>
        <v>6889</v>
      </c>
      <c r="P238" s="90">
        <f t="shared" si="15"/>
        <v>73</v>
      </c>
    </row>
    <row r="239" spans="1:16" ht="15" hidden="1" customHeight="1" x14ac:dyDescent="0.2">
      <c r="A239" s="90" t="s">
        <v>18</v>
      </c>
      <c r="B239" s="69" t="s">
        <v>441</v>
      </c>
      <c r="C239" s="90">
        <f t="shared" si="12"/>
        <v>983</v>
      </c>
      <c r="D239" s="12">
        <f t="shared" si="13"/>
        <v>1</v>
      </c>
      <c r="G239" s="91" t="s">
        <v>89</v>
      </c>
      <c r="H239" s="90" t="s">
        <v>604</v>
      </c>
      <c r="I239" s="90">
        <v>64277</v>
      </c>
      <c r="J239" s="90">
        <v>331</v>
      </c>
      <c r="K239" s="90" t="s">
        <v>20</v>
      </c>
      <c r="L239" s="90">
        <v>1</v>
      </c>
      <c r="M239" s="100">
        <v>61111</v>
      </c>
      <c r="N239" s="100">
        <f t="shared" si="14"/>
        <v>61111</v>
      </c>
      <c r="O239" s="101"/>
      <c r="P239" s="90">
        <f t="shared" si="15"/>
        <v>73</v>
      </c>
    </row>
    <row r="240" spans="1:16" ht="15" hidden="1" customHeight="1" x14ac:dyDescent="0.2">
      <c r="A240" s="90" t="s">
        <v>18</v>
      </c>
      <c r="B240" s="69" t="s">
        <v>441</v>
      </c>
      <c r="C240" s="90">
        <f t="shared" si="12"/>
        <v>983</v>
      </c>
      <c r="D240" s="12">
        <f t="shared" si="13"/>
        <v>0</v>
      </c>
      <c r="G240" s="91" t="s">
        <v>89</v>
      </c>
      <c r="H240" s="90" t="s">
        <v>604</v>
      </c>
      <c r="I240" s="90">
        <v>1331</v>
      </c>
      <c r="J240" s="90">
        <v>331</v>
      </c>
      <c r="K240" s="90" t="s">
        <v>20</v>
      </c>
      <c r="L240" s="90">
        <v>1</v>
      </c>
      <c r="M240" s="100">
        <v>4889</v>
      </c>
      <c r="N240" s="100">
        <f t="shared" si="14"/>
        <v>4889</v>
      </c>
      <c r="P240" s="90">
        <f t="shared" si="15"/>
        <v>73</v>
      </c>
    </row>
    <row r="241" spans="1:16" ht="15" hidden="1" customHeight="1" x14ac:dyDescent="0.2">
      <c r="A241" s="90" t="s">
        <v>18</v>
      </c>
      <c r="B241" s="69" t="s">
        <v>441</v>
      </c>
      <c r="C241" s="90">
        <f t="shared" si="12"/>
        <v>984</v>
      </c>
      <c r="D241" s="12">
        <f t="shared" si="13"/>
        <v>1</v>
      </c>
      <c r="G241" s="91" t="s">
        <v>44</v>
      </c>
      <c r="H241" s="90" t="s">
        <v>605</v>
      </c>
      <c r="I241" s="90">
        <v>64277</v>
      </c>
      <c r="J241" s="90">
        <v>331</v>
      </c>
      <c r="K241" s="90" t="s">
        <v>20</v>
      </c>
      <c r="L241" s="90">
        <v>1</v>
      </c>
      <c r="M241" s="100">
        <v>19250</v>
      </c>
      <c r="N241" s="100">
        <f t="shared" si="14"/>
        <v>19250</v>
      </c>
      <c r="O241" s="101"/>
      <c r="P241" s="90">
        <f t="shared" si="15"/>
        <v>99</v>
      </c>
    </row>
    <row r="242" spans="1:16" ht="15" hidden="1" customHeight="1" x14ac:dyDescent="0.2">
      <c r="A242" s="90" t="s">
        <v>18</v>
      </c>
      <c r="B242" s="69" t="s">
        <v>441</v>
      </c>
      <c r="C242" s="90">
        <f t="shared" si="12"/>
        <v>984</v>
      </c>
      <c r="D242" s="12">
        <f t="shared" si="13"/>
        <v>0</v>
      </c>
      <c r="G242" s="91" t="s">
        <v>44</v>
      </c>
      <c r="H242" s="90" t="s">
        <v>605</v>
      </c>
      <c r="I242" s="90">
        <v>1331</v>
      </c>
      <c r="J242" s="90">
        <v>331</v>
      </c>
      <c r="K242" s="90" t="s">
        <v>20</v>
      </c>
      <c r="L242" s="90">
        <v>1</v>
      </c>
      <c r="M242" s="100">
        <v>1541</v>
      </c>
      <c r="N242" s="100">
        <f t="shared" si="14"/>
        <v>1541</v>
      </c>
      <c r="P242" s="90">
        <f t="shared" si="15"/>
        <v>99</v>
      </c>
    </row>
    <row r="243" spans="1:16" ht="15" hidden="1" customHeight="1" x14ac:dyDescent="0.2">
      <c r="A243" s="90" t="s">
        <v>18</v>
      </c>
      <c r="B243" s="69" t="s">
        <v>549</v>
      </c>
      <c r="C243" s="90">
        <f t="shared" si="12"/>
        <v>985</v>
      </c>
      <c r="D243" s="12">
        <f t="shared" si="13"/>
        <v>1</v>
      </c>
      <c r="G243" s="91" t="s">
        <v>89</v>
      </c>
      <c r="H243" s="90" t="s">
        <v>606</v>
      </c>
      <c r="I243" s="90">
        <v>64277</v>
      </c>
      <c r="J243" s="90">
        <v>331</v>
      </c>
      <c r="K243" s="90" t="s">
        <v>20</v>
      </c>
      <c r="L243" s="90">
        <v>1</v>
      </c>
      <c r="M243" s="100">
        <v>100000</v>
      </c>
      <c r="N243" s="100">
        <f t="shared" si="14"/>
        <v>100000</v>
      </c>
      <c r="O243" s="101"/>
      <c r="P243" s="90">
        <f t="shared" si="15"/>
        <v>73</v>
      </c>
    </row>
    <row r="244" spans="1:16" ht="15" hidden="1" customHeight="1" x14ac:dyDescent="0.2">
      <c r="A244" s="90" t="s">
        <v>18</v>
      </c>
      <c r="B244" s="69" t="s">
        <v>549</v>
      </c>
      <c r="C244" s="90">
        <f t="shared" si="12"/>
        <v>985</v>
      </c>
      <c r="D244" s="12">
        <f t="shared" si="13"/>
        <v>0</v>
      </c>
      <c r="G244" s="91" t="s">
        <v>89</v>
      </c>
      <c r="H244" s="90" t="s">
        <v>606</v>
      </c>
      <c r="I244" s="90">
        <v>1331</v>
      </c>
      <c r="J244" s="90">
        <v>331</v>
      </c>
      <c r="K244" s="90" t="s">
        <v>20</v>
      </c>
      <c r="L244" s="90">
        <v>1</v>
      </c>
      <c r="M244" s="100">
        <v>8000</v>
      </c>
      <c r="N244" s="100">
        <f t="shared" si="14"/>
        <v>8000</v>
      </c>
      <c r="P244" s="90">
        <f t="shared" si="15"/>
        <v>73</v>
      </c>
    </row>
    <row r="245" spans="1:16" ht="15" hidden="1" customHeight="1" x14ac:dyDescent="0.2">
      <c r="A245" s="90" t="s">
        <v>18</v>
      </c>
      <c r="B245" s="69" t="s">
        <v>550</v>
      </c>
      <c r="C245" s="90">
        <f t="shared" si="12"/>
        <v>986</v>
      </c>
      <c r="D245" s="12">
        <f t="shared" si="13"/>
        <v>1</v>
      </c>
      <c r="G245" s="91" t="s">
        <v>89</v>
      </c>
      <c r="H245" s="90" t="s">
        <v>609</v>
      </c>
      <c r="I245" s="90">
        <v>64277</v>
      </c>
      <c r="J245" s="90">
        <v>331</v>
      </c>
      <c r="K245" s="90" t="s">
        <v>20</v>
      </c>
      <c r="L245" s="90">
        <v>1</v>
      </c>
      <c r="M245" s="100">
        <v>64814</v>
      </c>
      <c r="N245" s="100">
        <f t="shared" si="14"/>
        <v>64814</v>
      </c>
      <c r="O245" s="101"/>
      <c r="P245" s="90">
        <f t="shared" si="15"/>
        <v>73</v>
      </c>
    </row>
    <row r="246" spans="1:16" ht="15" hidden="1" customHeight="1" x14ac:dyDescent="0.2">
      <c r="A246" s="90" t="s">
        <v>18</v>
      </c>
      <c r="B246" s="69" t="s">
        <v>550</v>
      </c>
      <c r="C246" s="90">
        <f t="shared" si="12"/>
        <v>986</v>
      </c>
      <c r="D246" s="12">
        <f t="shared" si="13"/>
        <v>0</v>
      </c>
      <c r="G246" s="91" t="s">
        <v>89</v>
      </c>
      <c r="H246" s="90" t="s">
        <v>609</v>
      </c>
      <c r="I246" s="90">
        <v>1331</v>
      </c>
      <c r="J246" s="90">
        <v>331</v>
      </c>
      <c r="K246" s="90" t="s">
        <v>20</v>
      </c>
      <c r="L246" s="90">
        <v>1</v>
      </c>
      <c r="M246" s="100">
        <v>5186</v>
      </c>
      <c r="N246" s="100">
        <f t="shared" si="14"/>
        <v>5186</v>
      </c>
      <c r="P246" s="90">
        <f t="shared" si="15"/>
        <v>73</v>
      </c>
    </row>
    <row r="247" spans="1:16" ht="15" hidden="1" customHeight="1" x14ac:dyDescent="0.2">
      <c r="A247" s="90" t="s">
        <v>18</v>
      </c>
      <c r="B247" s="69" t="s">
        <v>550</v>
      </c>
      <c r="C247" s="90">
        <f t="shared" si="12"/>
        <v>987</v>
      </c>
      <c r="D247" s="12">
        <f t="shared" si="13"/>
        <v>1</v>
      </c>
      <c r="G247" s="91" t="s">
        <v>89</v>
      </c>
      <c r="H247" s="90" t="s">
        <v>610</v>
      </c>
      <c r="I247" s="90">
        <v>64277</v>
      </c>
      <c r="J247" s="90">
        <v>331</v>
      </c>
      <c r="K247" s="90" t="s">
        <v>20</v>
      </c>
      <c r="L247" s="90">
        <v>1</v>
      </c>
      <c r="M247" s="100">
        <v>37963</v>
      </c>
      <c r="N247" s="100">
        <f t="shared" si="14"/>
        <v>37963</v>
      </c>
      <c r="O247" s="101"/>
      <c r="P247" s="90">
        <f t="shared" si="15"/>
        <v>72</v>
      </c>
    </row>
    <row r="248" spans="1:16" ht="15" hidden="1" customHeight="1" x14ac:dyDescent="0.2">
      <c r="A248" s="90" t="s">
        <v>18</v>
      </c>
      <c r="B248" s="69" t="s">
        <v>550</v>
      </c>
      <c r="C248" s="90">
        <f t="shared" si="12"/>
        <v>987</v>
      </c>
      <c r="D248" s="12">
        <f t="shared" si="13"/>
        <v>0</v>
      </c>
      <c r="G248" s="91" t="s">
        <v>89</v>
      </c>
      <c r="H248" s="90" t="s">
        <v>610</v>
      </c>
      <c r="I248" s="90">
        <v>1331</v>
      </c>
      <c r="J248" s="90">
        <v>331</v>
      </c>
      <c r="K248" s="90" t="s">
        <v>20</v>
      </c>
      <c r="L248" s="90">
        <v>1</v>
      </c>
      <c r="M248" s="100">
        <v>3037</v>
      </c>
      <c r="N248" s="100">
        <f t="shared" si="14"/>
        <v>3037</v>
      </c>
      <c r="P248" s="90">
        <f t="shared" si="15"/>
        <v>72</v>
      </c>
    </row>
    <row r="249" spans="1:16" ht="15" hidden="1" customHeight="1" x14ac:dyDescent="0.2">
      <c r="A249" s="90" t="s">
        <v>18</v>
      </c>
      <c r="B249" s="69" t="s">
        <v>550</v>
      </c>
      <c r="C249" s="90">
        <f t="shared" si="12"/>
        <v>988</v>
      </c>
      <c r="D249" s="12">
        <f t="shared" si="13"/>
        <v>1</v>
      </c>
      <c r="G249" s="91" t="s">
        <v>89</v>
      </c>
      <c r="H249" s="90" t="s">
        <v>608</v>
      </c>
      <c r="I249" s="90">
        <v>64277</v>
      </c>
      <c r="J249" s="90">
        <v>331</v>
      </c>
      <c r="K249" s="90" t="s">
        <v>20</v>
      </c>
      <c r="L249" s="90">
        <v>1</v>
      </c>
      <c r="M249" s="100">
        <v>70371</v>
      </c>
      <c r="N249" s="100">
        <f t="shared" si="14"/>
        <v>70371</v>
      </c>
      <c r="O249" s="101"/>
      <c r="P249" s="90">
        <f t="shared" si="15"/>
        <v>73</v>
      </c>
    </row>
    <row r="250" spans="1:16" ht="15" hidden="1" customHeight="1" x14ac:dyDescent="0.2">
      <c r="A250" s="90" t="s">
        <v>18</v>
      </c>
      <c r="B250" s="69" t="s">
        <v>550</v>
      </c>
      <c r="C250" s="90">
        <f t="shared" si="12"/>
        <v>988</v>
      </c>
      <c r="D250" s="12">
        <f t="shared" si="13"/>
        <v>0</v>
      </c>
      <c r="G250" s="91" t="s">
        <v>89</v>
      </c>
      <c r="H250" s="90" t="s">
        <v>608</v>
      </c>
      <c r="I250" s="90">
        <v>1331</v>
      </c>
      <c r="J250" s="90">
        <v>331</v>
      </c>
      <c r="K250" s="90" t="s">
        <v>20</v>
      </c>
      <c r="L250" s="90">
        <v>1</v>
      </c>
      <c r="M250" s="100">
        <v>5629</v>
      </c>
      <c r="N250" s="100">
        <f t="shared" si="14"/>
        <v>5629</v>
      </c>
      <c r="P250" s="90">
        <f t="shared" si="15"/>
        <v>73</v>
      </c>
    </row>
    <row r="251" spans="1:16" ht="15" hidden="1" customHeight="1" x14ac:dyDescent="0.2">
      <c r="A251" s="90" t="s">
        <v>18</v>
      </c>
      <c r="B251" s="69" t="s">
        <v>550</v>
      </c>
      <c r="C251" s="90">
        <f t="shared" si="12"/>
        <v>989</v>
      </c>
      <c r="D251" s="12">
        <f t="shared" si="13"/>
        <v>1</v>
      </c>
      <c r="G251" s="91" t="s">
        <v>89</v>
      </c>
      <c r="H251" s="90" t="s">
        <v>607</v>
      </c>
      <c r="I251" s="90">
        <v>64277</v>
      </c>
      <c r="J251" s="90">
        <v>331</v>
      </c>
      <c r="K251" s="90" t="s">
        <v>20</v>
      </c>
      <c r="L251" s="90">
        <v>1</v>
      </c>
      <c r="M251" s="100">
        <v>132408</v>
      </c>
      <c r="N251" s="100">
        <f t="shared" si="14"/>
        <v>132408</v>
      </c>
      <c r="O251" s="101"/>
      <c r="P251" s="90">
        <f t="shared" si="15"/>
        <v>73</v>
      </c>
    </row>
    <row r="252" spans="1:16" ht="15" hidden="1" customHeight="1" x14ac:dyDescent="0.2">
      <c r="A252" s="90" t="s">
        <v>18</v>
      </c>
      <c r="B252" s="69" t="s">
        <v>550</v>
      </c>
      <c r="C252" s="90">
        <f t="shared" si="12"/>
        <v>989</v>
      </c>
      <c r="D252" s="12">
        <f t="shared" si="13"/>
        <v>0</v>
      </c>
      <c r="G252" s="91" t="s">
        <v>89</v>
      </c>
      <c r="H252" s="90" t="s">
        <v>607</v>
      </c>
      <c r="I252" s="90">
        <v>1331</v>
      </c>
      <c r="J252" s="90">
        <v>331</v>
      </c>
      <c r="K252" s="90" t="s">
        <v>20</v>
      </c>
      <c r="L252" s="90">
        <v>1</v>
      </c>
      <c r="M252" s="100">
        <v>10592</v>
      </c>
      <c r="N252" s="100">
        <f t="shared" si="14"/>
        <v>10592</v>
      </c>
      <c r="P252" s="90">
        <f t="shared" si="15"/>
        <v>73</v>
      </c>
    </row>
    <row r="253" spans="1:16" ht="15" hidden="1" customHeight="1" x14ac:dyDescent="0.2">
      <c r="A253" s="90" t="s">
        <v>18</v>
      </c>
      <c r="B253" s="69" t="s">
        <v>550</v>
      </c>
      <c r="C253" s="90">
        <f t="shared" si="12"/>
        <v>990</v>
      </c>
      <c r="D253" s="12">
        <f t="shared" si="13"/>
        <v>1</v>
      </c>
      <c r="G253" s="91" t="s">
        <v>647</v>
      </c>
      <c r="H253" s="90" t="s">
        <v>654</v>
      </c>
      <c r="I253" s="90">
        <v>131</v>
      </c>
      <c r="J253" s="90">
        <v>5113</v>
      </c>
      <c r="K253" s="90" t="s">
        <v>20</v>
      </c>
      <c r="L253" s="90">
        <v>1</v>
      </c>
      <c r="M253" s="100">
        <v>34408602</v>
      </c>
      <c r="N253" s="100">
        <f t="shared" si="14"/>
        <v>34408602</v>
      </c>
      <c r="P253" s="90">
        <f t="shared" si="15"/>
        <v>134</v>
      </c>
    </row>
    <row r="254" spans="1:16" ht="15" customHeight="1" x14ac:dyDescent="0.2">
      <c r="A254" s="90" t="s">
        <v>18</v>
      </c>
      <c r="B254" s="69" t="s">
        <v>550</v>
      </c>
      <c r="C254" s="90">
        <f t="shared" si="12"/>
        <v>991</v>
      </c>
      <c r="D254" s="12">
        <f t="shared" si="13"/>
        <v>1</v>
      </c>
      <c r="G254" s="91" t="s">
        <v>647</v>
      </c>
      <c r="H254" s="90" t="s">
        <v>4474</v>
      </c>
      <c r="I254" s="90">
        <v>333821</v>
      </c>
      <c r="J254" s="90">
        <v>131</v>
      </c>
      <c r="K254" s="90" t="s">
        <v>20</v>
      </c>
      <c r="L254" s="90">
        <v>1</v>
      </c>
      <c r="M254" s="100">
        <v>344086</v>
      </c>
      <c r="N254" s="100">
        <f t="shared" si="14"/>
        <v>344086</v>
      </c>
      <c r="P254" s="90">
        <f t="shared" si="15"/>
        <v>150</v>
      </c>
    </row>
    <row r="255" spans="1:16" ht="15" hidden="1" customHeight="1" x14ac:dyDescent="0.2">
      <c r="A255" s="90" t="s">
        <v>18</v>
      </c>
      <c r="B255" s="69" t="s">
        <v>479</v>
      </c>
      <c r="C255" s="90">
        <f t="shared" si="12"/>
        <v>992</v>
      </c>
      <c r="D255" s="12">
        <f t="shared" si="13"/>
        <v>1</v>
      </c>
      <c r="G255" s="91" t="s">
        <v>89</v>
      </c>
      <c r="H255" s="90" t="s">
        <v>611</v>
      </c>
      <c r="I255" s="90">
        <v>64277</v>
      </c>
      <c r="J255" s="90">
        <v>331</v>
      </c>
      <c r="K255" s="90" t="s">
        <v>20</v>
      </c>
      <c r="L255" s="90">
        <v>1</v>
      </c>
      <c r="M255" s="100">
        <v>39814</v>
      </c>
      <c r="N255" s="100">
        <f t="shared" si="14"/>
        <v>39814</v>
      </c>
      <c r="O255" s="101"/>
      <c r="P255" s="90">
        <f t="shared" si="15"/>
        <v>72</v>
      </c>
    </row>
    <row r="256" spans="1:16" ht="15" hidden="1" customHeight="1" x14ac:dyDescent="0.2">
      <c r="A256" s="90" t="s">
        <v>18</v>
      </c>
      <c r="B256" s="69" t="s">
        <v>479</v>
      </c>
      <c r="C256" s="90">
        <f t="shared" si="12"/>
        <v>992</v>
      </c>
      <c r="D256" s="12">
        <f t="shared" si="13"/>
        <v>0</v>
      </c>
      <c r="G256" s="91" t="s">
        <v>89</v>
      </c>
      <c r="H256" s="90" t="s">
        <v>611</v>
      </c>
      <c r="I256" s="90">
        <v>1331</v>
      </c>
      <c r="J256" s="90">
        <v>331</v>
      </c>
      <c r="K256" s="90" t="s">
        <v>20</v>
      </c>
      <c r="L256" s="90">
        <v>1</v>
      </c>
      <c r="M256" s="100">
        <v>3186</v>
      </c>
      <c r="N256" s="100">
        <f t="shared" si="14"/>
        <v>3186</v>
      </c>
      <c r="P256" s="90">
        <f t="shared" si="15"/>
        <v>72</v>
      </c>
    </row>
    <row r="257" spans="1:16" ht="15" hidden="1" customHeight="1" x14ac:dyDescent="0.2">
      <c r="A257" s="90" t="s">
        <v>18</v>
      </c>
      <c r="B257" s="69" t="s">
        <v>551</v>
      </c>
      <c r="C257" s="90">
        <f t="shared" si="12"/>
        <v>993</v>
      </c>
      <c r="D257" s="12">
        <f t="shared" si="13"/>
        <v>1</v>
      </c>
      <c r="G257" s="91" t="s">
        <v>89</v>
      </c>
      <c r="H257" s="90" t="s">
        <v>612</v>
      </c>
      <c r="I257" s="90">
        <v>64277</v>
      </c>
      <c r="J257" s="90">
        <v>331</v>
      </c>
      <c r="K257" s="90" t="s">
        <v>20</v>
      </c>
      <c r="L257" s="90">
        <v>1</v>
      </c>
      <c r="M257" s="100">
        <v>157407</v>
      </c>
      <c r="N257" s="100">
        <f t="shared" si="14"/>
        <v>157407</v>
      </c>
      <c r="O257" s="101"/>
      <c r="P257" s="90">
        <f t="shared" si="15"/>
        <v>73</v>
      </c>
    </row>
    <row r="258" spans="1:16" ht="15" hidden="1" customHeight="1" x14ac:dyDescent="0.2">
      <c r="A258" s="90" t="s">
        <v>18</v>
      </c>
      <c r="B258" s="69" t="s">
        <v>551</v>
      </c>
      <c r="C258" s="90">
        <f t="shared" si="12"/>
        <v>993</v>
      </c>
      <c r="D258" s="12">
        <f t="shared" si="13"/>
        <v>0</v>
      </c>
      <c r="G258" s="91" t="s">
        <v>89</v>
      </c>
      <c r="H258" s="90" t="s">
        <v>612</v>
      </c>
      <c r="I258" s="90">
        <v>1331</v>
      </c>
      <c r="J258" s="90">
        <v>331</v>
      </c>
      <c r="K258" s="90" t="s">
        <v>20</v>
      </c>
      <c r="L258" s="90">
        <v>1</v>
      </c>
      <c r="M258" s="100">
        <v>12593</v>
      </c>
      <c r="N258" s="100">
        <f t="shared" si="14"/>
        <v>12593</v>
      </c>
      <c r="P258" s="90">
        <f t="shared" si="15"/>
        <v>73</v>
      </c>
    </row>
    <row r="259" spans="1:16" ht="15" hidden="1" customHeight="1" x14ac:dyDescent="0.2">
      <c r="A259" s="90" t="s">
        <v>18</v>
      </c>
      <c r="B259" s="69" t="s">
        <v>504</v>
      </c>
      <c r="C259" s="90">
        <f t="shared" si="12"/>
        <v>994</v>
      </c>
      <c r="D259" s="12">
        <f t="shared" si="13"/>
        <v>1</v>
      </c>
      <c r="G259" s="91" t="s">
        <v>89</v>
      </c>
      <c r="H259" s="90" t="s">
        <v>613</v>
      </c>
      <c r="I259" s="90">
        <v>64277</v>
      </c>
      <c r="J259" s="90">
        <v>331</v>
      </c>
      <c r="K259" s="90" t="s">
        <v>20</v>
      </c>
      <c r="L259" s="90">
        <v>1</v>
      </c>
      <c r="M259" s="100">
        <v>75000</v>
      </c>
      <c r="N259" s="100">
        <f t="shared" si="14"/>
        <v>75000</v>
      </c>
      <c r="O259" s="101"/>
      <c r="P259" s="90">
        <f t="shared" si="15"/>
        <v>73</v>
      </c>
    </row>
    <row r="260" spans="1:16" ht="15" hidden="1" customHeight="1" x14ac:dyDescent="0.2">
      <c r="A260" s="90" t="s">
        <v>18</v>
      </c>
      <c r="B260" s="69" t="s">
        <v>504</v>
      </c>
      <c r="C260" s="90">
        <f t="shared" ref="C260:C323" si="16">C259+D260</f>
        <v>994</v>
      </c>
      <c r="D260" s="12">
        <f t="shared" ref="D260:D324" si="17">IF(H260=H259,0,1)</f>
        <v>0</v>
      </c>
      <c r="G260" s="91" t="s">
        <v>89</v>
      </c>
      <c r="H260" s="90" t="s">
        <v>613</v>
      </c>
      <c r="I260" s="90">
        <v>1331</v>
      </c>
      <c r="J260" s="90">
        <v>331</v>
      </c>
      <c r="K260" s="90" t="s">
        <v>20</v>
      </c>
      <c r="L260" s="90">
        <v>1</v>
      </c>
      <c r="M260" s="100">
        <v>6000</v>
      </c>
      <c r="N260" s="100">
        <f t="shared" ref="N260:N323" si="18">L260*M260</f>
        <v>6000</v>
      </c>
      <c r="P260" s="90">
        <f t="shared" ref="P260:P324" si="19">LEN(H260)</f>
        <v>73</v>
      </c>
    </row>
    <row r="261" spans="1:16" ht="15" hidden="1" customHeight="1" x14ac:dyDescent="0.2">
      <c r="A261" s="90" t="s">
        <v>18</v>
      </c>
      <c r="B261" s="69" t="s">
        <v>504</v>
      </c>
      <c r="C261" s="90">
        <f t="shared" si="16"/>
        <v>995</v>
      </c>
      <c r="D261" s="12">
        <f t="shared" si="17"/>
        <v>1</v>
      </c>
      <c r="G261" s="91" t="s">
        <v>268</v>
      </c>
      <c r="H261" s="90" t="s">
        <v>614</v>
      </c>
      <c r="I261" s="90">
        <v>64277</v>
      </c>
      <c r="J261" s="90">
        <v>331</v>
      </c>
      <c r="K261" s="90" t="s">
        <v>20</v>
      </c>
      <c r="L261" s="90">
        <v>1</v>
      </c>
      <c r="M261" s="100">
        <v>931350</v>
      </c>
      <c r="N261" s="100">
        <f t="shared" si="18"/>
        <v>931350</v>
      </c>
      <c r="O261" s="101"/>
      <c r="P261" s="90">
        <f t="shared" si="19"/>
        <v>152</v>
      </c>
    </row>
    <row r="262" spans="1:16" ht="15" hidden="1" customHeight="1" x14ac:dyDescent="0.2">
      <c r="A262" s="90" t="s">
        <v>18</v>
      </c>
      <c r="B262" s="69" t="s">
        <v>504</v>
      </c>
      <c r="C262" s="90">
        <f t="shared" si="16"/>
        <v>995</v>
      </c>
      <c r="D262" s="12">
        <f t="shared" si="17"/>
        <v>0</v>
      </c>
      <c r="G262" s="91" t="s">
        <v>268</v>
      </c>
      <c r="H262" s="90" t="s">
        <v>614</v>
      </c>
      <c r="I262" s="90">
        <v>1331</v>
      </c>
      <c r="J262" s="90">
        <v>331</v>
      </c>
      <c r="K262" s="90" t="s">
        <v>20</v>
      </c>
      <c r="L262" s="90">
        <v>1</v>
      </c>
      <c r="M262" s="100">
        <v>74508</v>
      </c>
      <c r="N262" s="100">
        <f t="shared" si="18"/>
        <v>74508</v>
      </c>
      <c r="P262" s="90">
        <f t="shared" si="19"/>
        <v>152</v>
      </c>
    </row>
    <row r="263" spans="1:16" ht="15" hidden="1" customHeight="1" x14ac:dyDescent="0.2">
      <c r="A263" s="90" t="s">
        <v>18</v>
      </c>
      <c r="B263" s="69" t="s">
        <v>552</v>
      </c>
      <c r="C263" s="90">
        <f t="shared" si="16"/>
        <v>996</v>
      </c>
      <c r="D263" s="12">
        <f t="shared" si="17"/>
        <v>1</v>
      </c>
      <c r="G263" s="91" t="s">
        <v>89</v>
      </c>
      <c r="H263" s="90" t="s">
        <v>617</v>
      </c>
      <c r="I263" s="90">
        <v>64277</v>
      </c>
      <c r="J263" s="90">
        <v>331</v>
      </c>
      <c r="K263" s="90" t="s">
        <v>20</v>
      </c>
      <c r="L263" s="90">
        <v>1</v>
      </c>
      <c r="M263" s="100">
        <v>43519</v>
      </c>
      <c r="N263" s="100">
        <f t="shared" si="18"/>
        <v>43519</v>
      </c>
      <c r="O263" s="101"/>
      <c r="P263" s="90">
        <f t="shared" si="19"/>
        <v>72</v>
      </c>
    </row>
    <row r="264" spans="1:16" ht="15" hidden="1" customHeight="1" x14ac:dyDescent="0.2">
      <c r="A264" s="90" t="s">
        <v>18</v>
      </c>
      <c r="B264" s="69" t="s">
        <v>552</v>
      </c>
      <c r="C264" s="90">
        <f t="shared" si="16"/>
        <v>996</v>
      </c>
      <c r="D264" s="12">
        <f t="shared" si="17"/>
        <v>0</v>
      </c>
      <c r="G264" s="91" t="s">
        <v>89</v>
      </c>
      <c r="H264" s="90" t="s">
        <v>617</v>
      </c>
      <c r="I264" s="90">
        <v>1331</v>
      </c>
      <c r="J264" s="90">
        <v>331</v>
      </c>
      <c r="K264" s="90" t="s">
        <v>20</v>
      </c>
      <c r="L264" s="90">
        <v>1</v>
      </c>
      <c r="M264" s="100">
        <v>3481</v>
      </c>
      <c r="N264" s="100">
        <f t="shared" si="18"/>
        <v>3481</v>
      </c>
      <c r="P264" s="90">
        <f t="shared" si="19"/>
        <v>72</v>
      </c>
    </row>
    <row r="265" spans="1:16" ht="15" hidden="1" customHeight="1" x14ac:dyDescent="0.2">
      <c r="A265" s="90" t="s">
        <v>18</v>
      </c>
      <c r="B265" s="69" t="s">
        <v>552</v>
      </c>
      <c r="C265" s="90">
        <f t="shared" si="16"/>
        <v>997</v>
      </c>
      <c r="D265" s="12">
        <f t="shared" si="17"/>
        <v>1</v>
      </c>
      <c r="G265" s="91" t="s">
        <v>89</v>
      </c>
      <c r="H265" s="90" t="s">
        <v>616</v>
      </c>
      <c r="I265" s="90">
        <v>64277</v>
      </c>
      <c r="J265" s="90">
        <v>331</v>
      </c>
      <c r="K265" s="90" t="s">
        <v>20</v>
      </c>
      <c r="L265" s="90">
        <v>1</v>
      </c>
      <c r="M265" s="100">
        <v>18519</v>
      </c>
      <c r="N265" s="100">
        <f t="shared" si="18"/>
        <v>18519</v>
      </c>
      <c r="O265" s="101"/>
      <c r="P265" s="90">
        <f t="shared" si="19"/>
        <v>72</v>
      </c>
    </row>
    <row r="266" spans="1:16" ht="15" hidden="1" customHeight="1" x14ac:dyDescent="0.2">
      <c r="A266" s="90" t="s">
        <v>18</v>
      </c>
      <c r="B266" s="69" t="s">
        <v>552</v>
      </c>
      <c r="C266" s="90">
        <f t="shared" si="16"/>
        <v>997</v>
      </c>
      <c r="D266" s="12">
        <f t="shared" si="17"/>
        <v>0</v>
      </c>
      <c r="G266" s="91" t="s">
        <v>89</v>
      </c>
      <c r="H266" s="90" t="s">
        <v>616</v>
      </c>
      <c r="I266" s="90">
        <v>1331</v>
      </c>
      <c r="J266" s="90">
        <v>331</v>
      </c>
      <c r="K266" s="90" t="s">
        <v>20</v>
      </c>
      <c r="L266" s="90">
        <v>1</v>
      </c>
      <c r="M266" s="100">
        <v>1481</v>
      </c>
      <c r="N266" s="100">
        <f t="shared" si="18"/>
        <v>1481</v>
      </c>
      <c r="P266" s="90">
        <f t="shared" si="19"/>
        <v>72</v>
      </c>
    </row>
    <row r="267" spans="1:16" ht="15" hidden="1" customHeight="1" x14ac:dyDescent="0.2">
      <c r="A267" s="90" t="s">
        <v>18</v>
      </c>
      <c r="B267" s="69" t="s">
        <v>552</v>
      </c>
      <c r="C267" s="90">
        <f t="shared" si="16"/>
        <v>998</v>
      </c>
      <c r="D267" s="12">
        <f t="shared" si="17"/>
        <v>1</v>
      </c>
      <c r="G267" s="91" t="s">
        <v>89</v>
      </c>
      <c r="H267" s="90" t="s">
        <v>615</v>
      </c>
      <c r="I267" s="90">
        <v>64277</v>
      </c>
      <c r="J267" s="90">
        <v>331</v>
      </c>
      <c r="K267" s="90" t="s">
        <v>20</v>
      </c>
      <c r="L267" s="90">
        <v>1</v>
      </c>
      <c r="M267" s="100">
        <v>16666</v>
      </c>
      <c r="N267" s="100">
        <f t="shared" si="18"/>
        <v>16666</v>
      </c>
      <c r="O267" s="101"/>
      <c r="P267" s="90">
        <f t="shared" si="19"/>
        <v>72</v>
      </c>
    </row>
    <row r="268" spans="1:16" ht="15" hidden="1" customHeight="1" x14ac:dyDescent="0.2">
      <c r="A268" s="90" t="s">
        <v>18</v>
      </c>
      <c r="B268" s="69" t="s">
        <v>552</v>
      </c>
      <c r="C268" s="90">
        <f t="shared" si="16"/>
        <v>998</v>
      </c>
      <c r="D268" s="12">
        <f t="shared" si="17"/>
        <v>0</v>
      </c>
      <c r="G268" s="91" t="s">
        <v>89</v>
      </c>
      <c r="H268" s="90" t="s">
        <v>615</v>
      </c>
      <c r="I268" s="90">
        <v>1331</v>
      </c>
      <c r="J268" s="90">
        <v>331</v>
      </c>
      <c r="K268" s="90" t="s">
        <v>20</v>
      </c>
      <c r="L268" s="90">
        <v>1</v>
      </c>
      <c r="M268" s="100">
        <v>1334</v>
      </c>
      <c r="N268" s="100">
        <f t="shared" si="18"/>
        <v>1334</v>
      </c>
      <c r="P268" s="90">
        <f t="shared" si="19"/>
        <v>72</v>
      </c>
    </row>
    <row r="269" spans="1:16" ht="15" hidden="1" customHeight="1" x14ac:dyDescent="0.2">
      <c r="A269" s="90" t="s">
        <v>18</v>
      </c>
      <c r="B269" s="69" t="s">
        <v>553</v>
      </c>
      <c r="C269" s="90">
        <f t="shared" si="16"/>
        <v>999</v>
      </c>
      <c r="D269" s="12">
        <f t="shared" si="17"/>
        <v>1</v>
      </c>
      <c r="G269" s="91" t="s">
        <v>89</v>
      </c>
      <c r="H269" s="90" t="s">
        <v>621</v>
      </c>
      <c r="I269" s="90">
        <v>64277</v>
      </c>
      <c r="J269" s="90">
        <v>331</v>
      </c>
      <c r="K269" s="90" t="s">
        <v>20</v>
      </c>
      <c r="L269" s="90">
        <v>1</v>
      </c>
      <c r="M269" s="100">
        <v>108333</v>
      </c>
      <c r="N269" s="100">
        <f t="shared" si="18"/>
        <v>108333</v>
      </c>
      <c r="O269" s="101"/>
      <c r="P269" s="90">
        <f t="shared" si="19"/>
        <v>73</v>
      </c>
    </row>
    <row r="270" spans="1:16" ht="15" hidden="1" customHeight="1" x14ac:dyDescent="0.2">
      <c r="A270" s="90" t="s">
        <v>18</v>
      </c>
      <c r="B270" s="69" t="s">
        <v>553</v>
      </c>
      <c r="C270" s="90">
        <f t="shared" si="16"/>
        <v>999</v>
      </c>
      <c r="D270" s="12">
        <f t="shared" si="17"/>
        <v>0</v>
      </c>
      <c r="G270" s="91" t="s">
        <v>89</v>
      </c>
      <c r="H270" s="90" t="s">
        <v>621</v>
      </c>
      <c r="I270" s="90">
        <v>1331</v>
      </c>
      <c r="J270" s="90">
        <v>331</v>
      </c>
      <c r="K270" s="90" t="s">
        <v>20</v>
      </c>
      <c r="L270" s="90">
        <v>1</v>
      </c>
      <c r="M270" s="100">
        <v>8667</v>
      </c>
      <c r="N270" s="100">
        <f t="shared" si="18"/>
        <v>8667</v>
      </c>
      <c r="P270" s="90">
        <f t="shared" si="19"/>
        <v>73</v>
      </c>
    </row>
    <row r="271" spans="1:16" ht="15" hidden="1" customHeight="1" x14ac:dyDescent="0.2">
      <c r="A271" s="90" t="s">
        <v>18</v>
      </c>
      <c r="B271" s="69" t="s">
        <v>553</v>
      </c>
      <c r="C271" s="90">
        <f t="shared" si="16"/>
        <v>1000</v>
      </c>
      <c r="D271" s="12">
        <f t="shared" si="17"/>
        <v>1</v>
      </c>
      <c r="G271" s="91" t="s">
        <v>89</v>
      </c>
      <c r="H271" s="90" t="s">
        <v>620</v>
      </c>
      <c r="I271" s="90">
        <v>64277</v>
      </c>
      <c r="J271" s="90">
        <v>331</v>
      </c>
      <c r="K271" s="90" t="s">
        <v>20</v>
      </c>
      <c r="L271" s="90">
        <v>1</v>
      </c>
      <c r="M271" s="100">
        <v>27777</v>
      </c>
      <c r="N271" s="100">
        <f t="shared" si="18"/>
        <v>27777</v>
      </c>
      <c r="O271" s="101"/>
      <c r="P271" s="90">
        <f t="shared" si="19"/>
        <v>73</v>
      </c>
    </row>
    <row r="272" spans="1:16" ht="15" hidden="1" customHeight="1" x14ac:dyDescent="0.2">
      <c r="A272" s="90" t="s">
        <v>18</v>
      </c>
      <c r="B272" s="69" t="s">
        <v>553</v>
      </c>
      <c r="C272" s="90">
        <f t="shared" si="16"/>
        <v>1000</v>
      </c>
      <c r="D272" s="12">
        <f t="shared" si="17"/>
        <v>0</v>
      </c>
      <c r="G272" s="91" t="s">
        <v>89</v>
      </c>
      <c r="H272" s="90" t="s">
        <v>620</v>
      </c>
      <c r="I272" s="90">
        <v>1331</v>
      </c>
      <c r="J272" s="90">
        <v>331</v>
      </c>
      <c r="K272" s="90" t="s">
        <v>20</v>
      </c>
      <c r="L272" s="90">
        <v>1</v>
      </c>
      <c r="M272" s="100">
        <v>2223</v>
      </c>
      <c r="N272" s="100">
        <f t="shared" si="18"/>
        <v>2223</v>
      </c>
      <c r="P272" s="90">
        <f t="shared" si="19"/>
        <v>73</v>
      </c>
    </row>
    <row r="273" spans="1:16" ht="15" hidden="1" customHeight="1" x14ac:dyDescent="0.2">
      <c r="A273" s="90" t="s">
        <v>18</v>
      </c>
      <c r="B273" s="69" t="s">
        <v>553</v>
      </c>
      <c r="C273" s="90">
        <f t="shared" si="16"/>
        <v>1001</v>
      </c>
      <c r="D273" s="12">
        <f t="shared" si="17"/>
        <v>1</v>
      </c>
      <c r="G273" s="91" t="s">
        <v>89</v>
      </c>
      <c r="H273" s="90" t="s">
        <v>619</v>
      </c>
      <c r="I273" s="90">
        <v>64277</v>
      </c>
      <c r="J273" s="90">
        <v>331</v>
      </c>
      <c r="K273" s="90" t="s">
        <v>20</v>
      </c>
      <c r="L273" s="90">
        <v>1</v>
      </c>
      <c r="M273" s="100">
        <v>37037</v>
      </c>
      <c r="N273" s="100">
        <f t="shared" si="18"/>
        <v>37037</v>
      </c>
      <c r="O273" s="101"/>
      <c r="P273" s="90">
        <f t="shared" si="19"/>
        <v>73</v>
      </c>
    </row>
    <row r="274" spans="1:16" ht="15" hidden="1" customHeight="1" x14ac:dyDescent="0.2">
      <c r="A274" s="90" t="s">
        <v>18</v>
      </c>
      <c r="B274" s="69" t="s">
        <v>553</v>
      </c>
      <c r="C274" s="90">
        <f t="shared" si="16"/>
        <v>1001</v>
      </c>
      <c r="D274" s="12">
        <f t="shared" si="17"/>
        <v>0</v>
      </c>
      <c r="G274" s="91" t="s">
        <v>89</v>
      </c>
      <c r="H274" s="90" t="s">
        <v>619</v>
      </c>
      <c r="I274" s="90">
        <v>1331</v>
      </c>
      <c r="J274" s="90">
        <v>331</v>
      </c>
      <c r="K274" s="90" t="s">
        <v>20</v>
      </c>
      <c r="L274" s="90">
        <v>1</v>
      </c>
      <c r="M274" s="100">
        <v>2963</v>
      </c>
      <c r="N274" s="100">
        <f t="shared" si="18"/>
        <v>2963</v>
      </c>
      <c r="P274" s="90">
        <f t="shared" si="19"/>
        <v>73</v>
      </c>
    </row>
    <row r="275" spans="1:16" ht="15" hidden="1" customHeight="1" x14ac:dyDescent="0.2">
      <c r="A275" s="90" t="s">
        <v>18</v>
      </c>
      <c r="B275" s="69" t="s">
        <v>553</v>
      </c>
      <c r="C275" s="90">
        <f t="shared" si="16"/>
        <v>1002</v>
      </c>
      <c r="D275" s="12">
        <f t="shared" si="17"/>
        <v>1</v>
      </c>
      <c r="G275" s="91" t="s">
        <v>89</v>
      </c>
      <c r="H275" s="90" t="s">
        <v>618</v>
      </c>
      <c r="I275" s="90">
        <v>64277</v>
      </c>
      <c r="J275" s="90">
        <v>331</v>
      </c>
      <c r="K275" s="90" t="s">
        <v>20</v>
      </c>
      <c r="L275" s="90">
        <v>1</v>
      </c>
      <c r="M275" s="100">
        <v>18518</v>
      </c>
      <c r="N275" s="100">
        <f t="shared" si="18"/>
        <v>18518</v>
      </c>
      <c r="O275" s="101"/>
      <c r="P275" s="90">
        <f t="shared" si="19"/>
        <v>73</v>
      </c>
    </row>
    <row r="276" spans="1:16" ht="15" hidden="1" customHeight="1" x14ac:dyDescent="0.2">
      <c r="A276" s="90" t="s">
        <v>18</v>
      </c>
      <c r="B276" s="69" t="s">
        <v>553</v>
      </c>
      <c r="C276" s="90">
        <f t="shared" si="16"/>
        <v>1002</v>
      </c>
      <c r="D276" s="12">
        <f t="shared" si="17"/>
        <v>0</v>
      </c>
      <c r="G276" s="91" t="s">
        <v>89</v>
      </c>
      <c r="H276" s="90" t="s">
        <v>618</v>
      </c>
      <c r="I276" s="90">
        <v>1331</v>
      </c>
      <c r="J276" s="90">
        <v>331</v>
      </c>
      <c r="K276" s="90" t="s">
        <v>20</v>
      </c>
      <c r="L276" s="90">
        <v>1</v>
      </c>
      <c r="M276" s="100">
        <v>1482</v>
      </c>
      <c r="N276" s="100">
        <f t="shared" si="18"/>
        <v>1482</v>
      </c>
      <c r="P276" s="90">
        <f t="shared" si="19"/>
        <v>73</v>
      </c>
    </row>
    <row r="277" spans="1:16" ht="15" hidden="1" customHeight="1" x14ac:dyDescent="0.2">
      <c r="A277" s="90" t="s">
        <v>18</v>
      </c>
      <c r="B277" s="69" t="s">
        <v>554</v>
      </c>
      <c r="C277" s="90">
        <f t="shared" si="16"/>
        <v>1003</v>
      </c>
      <c r="D277" s="12">
        <f t="shared" si="17"/>
        <v>1</v>
      </c>
      <c r="G277" s="91" t="s">
        <v>89</v>
      </c>
      <c r="H277" s="90" t="s">
        <v>622</v>
      </c>
      <c r="I277" s="90">
        <v>64277</v>
      </c>
      <c r="J277" s="90">
        <v>331</v>
      </c>
      <c r="K277" s="90" t="s">
        <v>20</v>
      </c>
      <c r="L277" s="90">
        <v>1</v>
      </c>
      <c r="M277" s="100">
        <v>77778</v>
      </c>
      <c r="N277" s="100">
        <f t="shared" si="18"/>
        <v>77778</v>
      </c>
      <c r="O277" s="101"/>
      <c r="P277" s="90">
        <f t="shared" si="19"/>
        <v>73</v>
      </c>
    </row>
    <row r="278" spans="1:16" ht="15" hidden="1" customHeight="1" x14ac:dyDescent="0.2">
      <c r="A278" s="90" t="s">
        <v>18</v>
      </c>
      <c r="B278" s="69" t="s">
        <v>554</v>
      </c>
      <c r="C278" s="90">
        <f t="shared" si="16"/>
        <v>1003</v>
      </c>
      <c r="D278" s="12">
        <f t="shared" si="17"/>
        <v>0</v>
      </c>
      <c r="G278" s="91" t="s">
        <v>89</v>
      </c>
      <c r="H278" s="90" t="s">
        <v>622</v>
      </c>
      <c r="I278" s="90">
        <v>1331</v>
      </c>
      <c r="J278" s="90">
        <v>331</v>
      </c>
      <c r="K278" s="90" t="s">
        <v>20</v>
      </c>
      <c r="L278" s="90">
        <v>1</v>
      </c>
      <c r="M278" s="100">
        <v>6222</v>
      </c>
      <c r="N278" s="100">
        <f t="shared" si="18"/>
        <v>6222</v>
      </c>
      <c r="P278" s="90">
        <f t="shared" si="19"/>
        <v>73</v>
      </c>
    </row>
    <row r="279" spans="1:16" ht="15" hidden="1" customHeight="1" x14ac:dyDescent="0.2">
      <c r="A279" s="90" t="s">
        <v>18</v>
      </c>
      <c r="B279" s="69" t="s">
        <v>555</v>
      </c>
      <c r="C279" s="90">
        <f t="shared" si="16"/>
        <v>1004</v>
      </c>
      <c r="D279" s="12">
        <f t="shared" si="17"/>
        <v>1</v>
      </c>
      <c r="G279" s="91" t="s">
        <v>35</v>
      </c>
      <c r="H279" s="90" t="s">
        <v>623</v>
      </c>
      <c r="I279" s="90">
        <v>64277</v>
      </c>
      <c r="J279" s="90">
        <v>331</v>
      </c>
      <c r="K279" s="90" t="s">
        <v>20</v>
      </c>
      <c r="L279" s="90">
        <v>1</v>
      </c>
      <c r="M279" s="100">
        <v>3000000</v>
      </c>
      <c r="N279" s="100">
        <f t="shared" si="18"/>
        <v>3000000</v>
      </c>
      <c r="O279" s="101"/>
      <c r="P279" s="90">
        <f t="shared" si="19"/>
        <v>41</v>
      </c>
    </row>
    <row r="280" spans="1:16" ht="15" hidden="1" customHeight="1" x14ac:dyDescent="0.2">
      <c r="A280" s="90" t="s">
        <v>18</v>
      </c>
      <c r="B280" s="69" t="s">
        <v>555</v>
      </c>
      <c r="C280" s="90">
        <f t="shared" si="16"/>
        <v>1004</v>
      </c>
      <c r="D280" s="12">
        <f t="shared" si="17"/>
        <v>0</v>
      </c>
      <c r="G280" s="91" t="s">
        <v>35</v>
      </c>
      <c r="H280" s="90" t="s">
        <v>623</v>
      </c>
      <c r="I280" s="90">
        <v>1331</v>
      </c>
      <c r="J280" s="90">
        <v>331</v>
      </c>
      <c r="K280" s="90" t="s">
        <v>20</v>
      </c>
      <c r="L280" s="90">
        <v>1</v>
      </c>
      <c r="M280" s="100">
        <v>240000</v>
      </c>
      <c r="N280" s="100">
        <f t="shared" si="18"/>
        <v>240000</v>
      </c>
      <c r="P280" s="90">
        <f t="shared" si="19"/>
        <v>41</v>
      </c>
    </row>
    <row r="281" spans="1:16" ht="15" hidden="1" customHeight="1" x14ac:dyDescent="0.2">
      <c r="A281" s="90" t="s">
        <v>18</v>
      </c>
      <c r="B281" s="69" t="s">
        <v>556</v>
      </c>
      <c r="C281" s="90">
        <f t="shared" si="16"/>
        <v>1005</v>
      </c>
      <c r="D281" s="12">
        <f t="shared" si="17"/>
        <v>1</v>
      </c>
      <c r="G281" s="91" t="s">
        <v>89</v>
      </c>
      <c r="H281" s="90" t="s">
        <v>624</v>
      </c>
      <c r="I281" s="90">
        <v>64277</v>
      </c>
      <c r="J281" s="90">
        <v>331</v>
      </c>
      <c r="K281" s="90" t="s">
        <v>20</v>
      </c>
      <c r="L281" s="90">
        <v>1</v>
      </c>
      <c r="M281" s="100">
        <v>12037</v>
      </c>
      <c r="N281" s="100">
        <f t="shared" si="18"/>
        <v>12037</v>
      </c>
      <c r="O281" s="101"/>
      <c r="P281" s="90">
        <f t="shared" si="19"/>
        <v>72</v>
      </c>
    </row>
    <row r="282" spans="1:16" ht="15" hidden="1" customHeight="1" x14ac:dyDescent="0.2">
      <c r="A282" s="90" t="s">
        <v>18</v>
      </c>
      <c r="B282" s="69" t="s">
        <v>556</v>
      </c>
      <c r="C282" s="90">
        <f t="shared" si="16"/>
        <v>1005</v>
      </c>
      <c r="D282" s="12">
        <f t="shared" si="17"/>
        <v>0</v>
      </c>
      <c r="G282" s="91" t="s">
        <v>89</v>
      </c>
      <c r="H282" s="90" t="s">
        <v>624</v>
      </c>
      <c r="I282" s="90">
        <v>1331</v>
      </c>
      <c r="J282" s="90">
        <v>331</v>
      </c>
      <c r="K282" s="90" t="s">
        <v>20</v>
      </c>
      <c r="L282" s="90">
        <v>1</v>
      </c>
      <c r="M282" s="100">
        <v>963</v>
      </c>
      <c r="N282" s="100">
        <f t="shared" si="18"/>
        <v>963</v>
      </c>
      <c r="P282" s="90">
        <f t="shared" si="19"/>
        <v>72</v>
      </c>
    </row>
    <row r="283" spans="1:16" ht="15" hidden="1" customHeight="1" x14ac:dyDescent="0.2">
      <c r="A283" s="90" t="s">
        <v>18</v>
      </c>
      <c r="B283" s="69" t="s">
        <v>557</v>
      </c>
      <c r="C283" s="90">
        <f t="shared" si="16"/>
        <v>1006</v>
      </c>
      <c r="D283" s="12">
        <f t="shared" si="17"/>
        <v>1</v>
      </c>
      <c r="G283" s="91" t="s">
        <v>361</v>
      </c>
      <c r="H283" s="90" t="s">
        <v>625</v>
      </c>
      <c r="I283" s="90">
        <v>64277</v>
      </c>
      <c r="J283" s="90">
        <v>331</v>
      </c>
      <c r="K283" s="90" t="s">
        <v>20</v>
      </c>
      <c r="L283" s="90">
        <v>1</v>
      </c>
      <c r="M283" s="100">
        <v>4736711</v>
      </c>
      <c r="N283" s="100">
        <f t="shared" si="18"/>
        <v>4736711</v>
      </c>
      <c r="O283" s="101"/>
      <c r="P283" s="90">
        <f t="shared" si="19"/>
        <v>157</v>
      </c>
    </row>
    <row r="284" spans="1:16" ht="15" hidden="1" customHeight="1" x14ac:dyDescent="0.2">
      <c r="A284" s="90" t="s">
        <v>18</v>
      </c>
      <c r="B284" s="69" t="s">
        <v>557</v>
      </c>
      <c r="C284" s="90">
        <f t="shared" si="16"/>
        <v>1006</v>
      </c>
      <c r="D284" s="12">
        <f t="shared" si="17"/>
        <v>0</v>
      </c>
      <c r="G284" s="91" t="s">
        <v>361</v>
      </c>
      <c r="H284" s="90" t="s">
        <v>625</v>
      </c>
      <c r="I284" s="90">
        <v>1331</v>
      </c>
      <c r="J284" s="90">
        <v>331</v>
      </c>
      <c r="K284" s="90" t="s">
        <v>20</v>
      </c>
      <c r="L284" s="90">
        <v>1</v>
      </c>
      <c r="M284" s="100">
        <v>378937</v>
      </c>
      <c r="N284" s="100">
        <f t="shared" si="18"/>
        <v>378937</v>
      </c>
      <c r="P284" s="90">
        <f t="shared" si="19"/>
        <v>157</v>
      </c>
    </row>
    <row r="285" spans="1:16" ht="15" hidden="1" customHeight="1" x14ac:dyDescent="0.2">
      <c r="A285" s="90" t="s">
        <v>18</v>
      </c>
      <c r="B285" s="69" t="s">
        <v>505</v>
      </c>
      <c r="C285" s="90">
        <f t="shared" si="16"/>
        <v>1007</v>
      </c>
      <c r="D285" s="12">
        <f t="shared" si="17"/>
        <v>1</v>
      </c>
      <c r="G285" s="91" t="s">
        <v>89</v>
      </c>
      <c r="H285" s="90" t="s">
        <v>626</v>
      </c>
      <c r="I285" s="90">
        <v>64277</v>
      </c>
      <c r="J285" s="90">
        <v>331</v>
      </c>
      <c r="K285" s="90" t="s">
        <v>20</v>
      </c>
      <c r="L285" s="90">
        <v>1</v>
      </c>
      <c r="M285" s="100">
        <v>44444</v>
      </c>
      <c r="N285" s="100">
        <f t="shared" si="18"/>
        <v>44444</v>
      </c>
      <c r="O285" s="101"/>
      <c r="P285" s="90">
        <f t="shared" si="19"/>
        <v>72</v>
      </c>
    </row>
    <row r="286" spans="1:16" ht="15" hidden="1" customHeight="1" x14ac:dyDescent="0.2">
      <c r="A286" s="90" t="s">
        <v>18</v>
      </c>
      <c r="B286" s="69" t="s">
        <v>505</v>
      </c>
      <c r="C286" s="90">
        <f t="shared" si="16"/>
        <v>1007</v>
      </c>
      <c r="D286" s="12">
        <f t="shared" si="17"/>
        <v>0</v>
      </c>
      <c r="G286" s="91" t="s">
        <v>89</v>
      </c>
      <c r="H286" s="90" t="s">
        <v>626</v>
      </c>
      <c r="I286" s="90">
        <v>1331</v>
      </c>
      <c r="J286" s="90">
        <v>331</v>
      </c>
      <c r="K286" s="90" t="s">
        <v>20</v>
      </c>
      <c r="L286" s="90">
        <v>1</v>
      </c>
      <c r="M286" s="100">
        <v>3556</v>
      </c>
      <c r="N286" s="100">
        <f t="shared" si="18"/>
        <v>3556</v>
      </c>
      <c r="P286" s="90">
        <f t="shared" si="19"/>
        <v>72</v>
      </c>
    </row>
    <row r="287" spans="1:16" ht="15" hidden="1" customHeight="1" x14ac:dyDescent="0.2">
      <c r="A287" s="90" t="s">
        <v>18</v>
      </c>
      <c r="B287" s="69" t="s">
        <v>480</v>
      </c>
      <c r="C287" s="90">
        <f t="shared" si="16"/>
        <v>1008</v>
      </c>
      <c r="D287" s="12">
        <f t="shared" si="17"/>
        <v>1</v>
      </c>
      <c r="G287" s="91" t="s">
        <v>89</v>
      </c>
      <c r="H287" s="90" t="s">
        <v>632</v>
      </c>
      <c r="I287" s="90">
        <v>64277</v>
      </c>
      <c r="J287" s="90">
        <v>331</v>
      </c>
      <c r="K287" s="90" t="s">
        <v>20</v>
      </c>
      <c r="L287" s="90">
        <v>1</v>
      </c>
      <c r="M287" s="100">
        <v>22223</v>
      </c>
      <c r="N287" s="100">
        <f t="shared" si="18"/>
        <v>22223</v>
      </c>
      <c r="O287" s="101"/>
      <c r="P287" s="90">
        <f t="shared" si="19"/>
        <v>73</v>
      </c>
    </row>
    <row r="288" spans="1:16" ht="15" hidden="1" customHeight="1" x14ac:dyDescent="0.2">
      <c r="A288" s="90" t="s">
        <v>18</v>
      </c>
      <c r="B288" s="69" t="s">
        <v>480</v>
      </c>
      <c r="C288" s="90">
        <f t="shared" si="16"/>
        <v>1008</v>
      </c>
      <c r="D288" s="12">
        <f t="shared" si="17"/>
        <v>0</v>
      </c>
      <c r="G288" s="91" t="s">
        <v>89</v>
      </c>
      <c r="H288" s="90" t="s">
        <v>632</v>
      </c>
      <c r="I288" s="90">
        <v>1331</v>
      </c>
      <c r="J288" s="90">
        <v>331</v>
      </c>
      <c r="K288" s="90" t="s">
        <v>20</v>
      </c>
      <c r="L288" s="90">
        <v>1</v>
      </c>
      <c r="M288" s="100">
        <v>1777</v>
      </c>
      <c r="N288" s="100">
        <f t="shared" si="18"/>
        <v>1777</v>
      </c>
      <c r="P288" s="90">
        <f t="shared" si="19"/>
        <v>73</v>
      </c>
    </row>
    <row r="289" spans="1:16" ht="15" hidden="1" customHeight="1" x14ac:dyDescent="0.2">
      <c r="A289" s="90" t="s">
        <v>18</v>
      </c>
      <c r="B289" s="69" t="s">
        <v>480</v>
      </c>
      <c r="C289" s="90">
        <f t="shared" si="16"/>
        <v>1009</v>
      </c>
      <c r="D289" s="12">
        <f t="shared" si="17"/>
        <v>1</v>
      </c>
      <c r="G289" s="91" t="s">
        <v>89</v>
      </c>
      <c r="H289" s="90" t="s">
        <v>631</v>
      </c>
      <c r="I289" s="90">
        <v>64277</v>
      </c>
      <c r="J289" s="90">
        <v>331</v>
      </c>
      <c r="K289" s="90" t="s">
        <v>20</v>
      </c>
      <c r="L289" s="90">
        <v>1</v>
      </c>
      <c r="M289" s="100">
        <v>22223</v>
      </c>
      <c r="N289" s="100">
        <f t="shared" si="18"/>
        <v>22223</v>
      </c>
      <c r="O289" s="101"/>
      <c r="P289" s="90">
        <f t="shared" si="19"/>
        <v>73</v>
      </c>
    </row>
    <row r="290" spans="1:16" ht="15" hidden="1" customHeight="1" x14ac:dyDescent="0.2">
      <c r="A290" s="90" t="s">
        <v>18</v>
      </c>
      <c r="B290" s="69" t="s">
        <v>480</v>
      </c>
      <c r="C290" s="90">
        <f t="shared" si="16"/>
        <v>1009</v>
      </c>
      <c r="D290" s="12">
        <f t="shared" si="17"/>
        <v>0</v>
      </c>
      <c r="G290" s="91" t="s">
        <v>89</v>
      </c>
      <c r="H290" s="90" t="s">
        <v>631</v>
      </c>
      <c r="I290" s="90">
        <v>1331</v>
      </c>
      <c r="J290" s="90">
        <v>331</v>
      </c>
      <c r="K290" s="90" t="s">
        <v>20</v>
      </c>
      <c r="L290" s="90">
        <v>1</v>
      </c>
      <c r="M290" s="100">
        <v>1777</v>
      </c>
      <c r="N290" s="100">
        <f t="shared" si="18"/>
        <v>1777</v>
      </c>
      <c r="P290" s="90">
        <f t="shared" si="19"/>
        <v>73</v>
      </c>
    </row>
    <row r="291" spans="1:16" ht="15" hidden="1" customHeight="1" x14ac:dyDescent="0.2">
      <c r="A291" s="90" t="s">
        <v>18</v>
      </c>
      <c r="B291" s="69" t="s">
        <v>480</v>
      </c>
      <c r="C291" s="90">
        <f t="shared" si="16"/>
        <v>1010</v>
      </c>
      <c r="D291" s="12">
        <f t="shared" si="17"/>
        <v>1</v>
      </c>
      <c r="G291" s="91" t="s">
        <v>89</v>
      </c>
      <c r="H291" s="90" t="s">
        <v>634</v>
      </c>
      <c r="I291" s="90">
        <v>64277</v>
      </c>
      <c r="J291" s="90">
        <v>331</v>
      </c>
      <c r="K291" s="90" t="s">
        <v>20</v>
      </c>
      <c r="L291" s="90">
        <v>1</v>
      </c>
      <c r="M291" s="100">
        <v>25000</v>
      </c>
      <c r="N291" s="100">
        <f t="shared" si="18"/>
        <v>25000</v>
      </c>
      <c r="O291" s="101"/>
      <c r="P291" s="90">
        <f t="shared" si="19"/>
        <v>72</v>
      </c>
    </row>
    <row r="292" spans="1:16" ht="15" hidden="1" customHeight="1" x14ac:dyDescent="0.2">
      <c r="A292" s="90" t="s">
        <v>18</v>
      </c>
      <c r="B292" s="69" t="s">
        <v>480</v>
      </c>
      <c r="C292" s="90">
        <f t="shared" si="16"/>
        <v>1010</v>
      </c>
      <c r="D292" s="12">
        <f t="shared" si="17"/>
        <v>0</v>
      </c>
      <c r="G292" s="91" t="s">
        <v>89</v>
      </c>
      <c r="H292" s="90" t="s">
        <v>634</v>
      </c>
      <c r="I292" s="90">
        <v>1331</v>
      </c>
      <c r="J292" s="90">
        <v>331</v>
      </c>
      <c r="K292" s="90" t="s">
        <v>20</v>
      </c>
      <c r="L292" s="90">
        <v>1</v>
      </c>
      <c r="M292" s="100">
        <v>2000</v>
      </c>
      <c r="N292" s="100">
        <f t="shared" si="18"/>
        <v>2000</v>
      </c>
      <c r="P292" s="90">
        <f t="shared" si="19"/>
        <v>72</v>
      </c>
    </row>
    <row r="293" spans="1:16" ht="15" hidden="1" customHeight="1" x14ac:dyDescent="0.2">
      <c r="A293" s="90" t="s">
        <v>18</v>
      </c>
      <c r="B293" s="69" t="s">
        <v>480</v>
      </c>
      <c r="C293" s="90">
        <f t="shared" si="16"/>
        <v>1011</v>
      </c>
      <c r="D293" s="12">
        <f t="shared" si="17"/>
        <v>1</v>
      </c>
      <c r="G293" s="91" t="s">
        <v>89</v>
      </c>
      <c r="H293" s="90" t="s">
        <v>635</v>
      </c>
      <c r="I293" s="90">
        <v>64277</v>
      </c>
      <c r="J293" s="90">
        <v>331</v>
      </c>
      <c r="K293" s="90" t="s">
        <v>20</v>
      </c>
      <c r="L293" s="90">
        <v>1</v>
      </c>
      <c r="M293" s="100">
        <v>17593</v>
      </c>
      <c r="N293" s="100">
        <f t="shared" si="18"/>
        <v>17593</v>
      </c>
      <c r="O293" s="101"/>
      <c r="P293" s="90">
        <f t="shared" si="19"/>
        <v>72</v>
      </c>
    </row>
    <row r="294" spans="1:16" ht="15" hidden="1" customHeight="1" x14ac:dyDescent="0.2">
      <c r="A294" s="90" t="s">
        <v>18</v>
      </c>
      <c r="B294" s="69" t="s">
        <v>480</v>
      </c>
      <c r="C294" s="90">
        <f t="shared" si="16"/>
        <v>1011</v>
      </c>
      <c r="D294" s="12">
        <f t="shared" si="17"/>
        <v>0</v>
      </c>
      <c r="G294" s="91" t="s">
        <v>89</v>
      </c>
      <c r="H294" s="90" t="s">
        <v>635</v>
      </c>
      <c r="I294" s="90">
        <v>1331</v>
      </c>
      <c r="J294" s="90">
        <v>331</v>
      </c>
      <c r="K294" s="90" t="s">
        <v>20</v>
      </c>
      <c r="L294" s="90">
        <v>1</v>
      </c>
      <c r="M294" s="100">
        <v>1407</v>
      </c>
      <c r="N294" s="100">
        <f t="shared" si="18"/>
        <v>1407</v>
      </c>
      <c r="P294" s="90">
        <f t="shared" si="19"/>
        <v>72</v>
      </c>
    </row>
    <row r="295" spans="1:16" ht="15" hidden="1" customHeight="1" x14ac:dyDescent="0.2">
      <c r="A295" s="90" t="s">
        <v>18</v>
      </c>
      <c r="B295" s="69" t="s">
        <v>480</v>
      </c>
      <c r="C295" s="90">
        <f t="shared" si="16"/>
        <v>1012</v>
      </c>
      <c r="D295" s="12">
        <f t="shared" si="17"/>
        <v>1</v>
      </c>
      <c r="G295" s="91" t="s">
        <v>89</v>
      </c>
      <c r="H295" s="90" t="s">
        <v>630</v>
      </c>
      <c r="I295" s="90">
        <v>64277</v>
      </c>
      <c r="J295" s="90">
        <v>331</v>
      </c>
      <c r="K295" s="90" t="s">
        <v>20</v>
      </c>
      <c r="L295" s="90">
        <v>1</v>
      </c>
      <c r="M295" s="100">
        <v>54630</v>
      </c>
      <c r="N295" s="100">
        <f t="shared" si="18"/>
        <v>54630</v>
      </c>
      <c r="O295" s="101"/>
      <c r="P295" s="90">
        <f t="shared" si="19"/>
        <v>73</v>
      </c>
    </row>
    <row r="296" spans="1:16" ht="15" hidden="1" customHeight="1" x14ac:dyDescent="0.2">
      <c r="A296" s="90" t="s">
        <v>18</v>
      </c>
      <c r="B296" s="69" t="s">
        <v>480</v>
      </c>
      <c r="C296" s="90">
        <f t="shared" si="16"/>
        <v>1012</v>
      </c>
      <c r="D296" s="12">
        <f t="shared" si="17"/>
        <v>0</v>
      </c>
      <c r="G296" s="91" t="s">
        <v>89</v>
      </c>
      <c r="H296" s="90" t="s">
        <v>630</v>
      </c>
      <c r="I296" s="90">
        <v>1331</v>
      </c>
      <c r="J296" s="90">
        <v>331</v>
      </c>
      <c r="K296" s="90" t="s">
        <v>20</v>
      </c>
      <c r="L296" s="90">
        <v>1</v>
      </c>
      <c r="M296" s="100">
        <v>4370</v>
      </c>
      <c r="N296" s="100">
        <f t="shared" si="18"/>
        <v>4370</v>
      </c>
      <c r="P296" s="90">
        <f t="shared" si="19"/>
        <v>73</v>
      </c>
    </row>
    <row r="297" spans="1:16" ht="15" hidden="1" customHeight="1" x14ac:dyDescent="0.2">
      <c r="A297" s="90" t="s">
        <v>18</v>
      </c>
      <c r="B297" s="69" t="s">
        <v>480</v>
      </c>
      <c r="C297" s="90">
        <f t="shared" si="16"/>
        <v>1013</v>
      </c>
      <c r="D297" s="12">
        <f t="shared" si="17"/>
        <v>1</v>
      </c>
      <c r="G297" s="91" t="s">
        <v>89</v>
      </c>
      <c r="H297" s="90" t="s">
        <v>629</v>
      </c>
      <c r="I297" s="90">
        <v>64277</v>
      </c>
      <c r="J297" s="90">
        <v>331</v>
      </c>
      <c r="K297" s="90" t="s">
        <v>20</v>
      </c>
      <c r="L297" s="90">
        <v>1</v>
      </c>
      <c r="M297" s="100">
        <v>50000</v>
      </c>
      <c r="N297" s="100">
        <f t="shared" si="18"/>
        <v>50000</v>
      </c>
      <c r="O297" s="101"/>
      <c r="P297" s="90">
        <f t="shared" si="19"/>
        <v>73</v>
      </c>
    </row>
    <row r="298" spans="1:16" ht="15" hidden="1" customHeight="1" x14ac:dyDescent="0.2">
      <c r="A298" s="90" t="s">
        <v>18</v>
      </c>
      <c r="B298" s="69" t="s">
        <v>480</v>
      </c>
      <c r="C298" s="90">
        <f t="shared" si="16"/>
        <v>1013</v>
      </c>
      <c r="D298" s="12">
        <f t="shared" si="17"/>
        <v>0</v>
      </c>
      <c r="G298" s="91" t="s">
        <v>89</v>
      </c>
      <c r="H298" s="90" t="s">
        <v>629</v>
      </c>
      <c r="I298" s="90">
        <v>1331</v>
      </c>
      <c r="J298" s="90">
        <v>331</v>
      </c>
      <c r="K298" s="90" t="s">
        <v>20</v>
      </c>
      <c r="L298" s="90">
        <v>1</v>
      </c>
      <c r="M298" s="100">
        <v>4000</v>
      </c>
      <c r="N298" s="100">
        <f t="shared" si="18"/>
        <v>4000</v>
      </c>
      <c r="P298" s="90">
        <f t="shared" si="19"/>
        <v>73</v>
      </c>
    </row>
    <row r="299" spans="1:16" ht="15" hidden="1" customHeight="1" x14ac:dyDescent="0.2">
      <c r="A299" s="90" t="s">
        <v>18</v>
      </c>
      <c r="B299" s="69" t="s">
        <v>480</v>
      </c>
      <c r="C299" s="90">
        <f t="shared" si="16"/>
        <v>1014</v>
      </c>
      <c r="D299" s="12">
        <f t="shared" si="17"/>
        <v>1</v>
      </c>
      <c r="G299" s="91" t="s">
        <v>89</v>
      </c>
      <c r="H299" s="90" t="s">
        <v>628</v>
      </c>
      <c r="I299" s="90">
        <v>64277</v>
      </c>
      <c r="J299" s="90">
        <v>331</v>
      </c>
      <c r="K299" s="90" t="s">
        <v>20</v>
      </c>
      <c r="L299" s="90">
        <v>1</v>
      </c>
      <c r="M299" s="100">
        <v>100000</v>
      </c>
      <c r="N299" s="100">
        <f t="shared" si="18"/>
        <v>100000</v>
      </c>
      <c r="O299" s="101"/>
      <c r="P299" s="90">
        <f t="shared" si="19"/>
        <v>73</v>
      </c>
    </row>
    <row r="300" spans="1:16" ht="15" hidden="1" customHeight="1" x14ac:dyDescent="0.2">
      <c r="A300" s="90" t="s">
        <v>18</v>
      </c>
      <c r="B300" s="69" t="s">
        <v>480</v>
      </c>
      <c r="C300" s="90">
        <f t="shared" si="16"/>
        <v>1014</v>
      </c>
      <c r="D300" s="12">
        <f t="shared" si="17"/>
        <v>0</v>
      </c>
      <c r="G300" s="91" t="s">
        <v>89</v>
      </c>
      <c r="H300" s="90" t="s">
        <v>628</v>
      </c>
      <c r="I300" s="90">
        <v>1331</v>
      </c>
      <c r="J300" s="90">
        <v>331</v>
      </c>
      <c r="K300" s="90" t="s">
        <v>20</v>
      </c>
      <c r="L300" s="90">
        <v>1</v>
      </c>
      <c r="M300" s="100">
        <v>8000</v>
      </c>
      <c r="N300" s="100">
        <f t="shared" si="18"/>
        <v>8000</v>
      </c>
      <c r="P300" s="90">
        <f t="shared" si="19"/>
        <v>73</v>
      </c>
    </row>
    <row r="301" spans="1:16" ht="15" hidden="1" customHeight="1" x14ac:dyDescent="0.2">
      <c r="A301" s="90" t="s">
        <v>18</v>
      </c>
      <c r="B301" s="69" t="s">
        <v>480</v>
      </c>
      <c r="C301" s="90">
        <f t="shared" si="16"/>
        <v>1015</v>
      </c>
      <c r="D301" s="12">
        <f t="shared" si="17"/>
        <v>1</v>
      </c>
      <c r="G301" s="91" t="s">
        <v>89</v>
      </c>
      <c r="H301" s="90" t="s">
        <v>633</v>
      </c>
      <c r="I301" s="90">
        <v>64277</v>
      </c>
      <c r="J301" s="90">
        <v>331</v>
      </c>
      <c r="K301" s="90" t="s">
        <v>20</v>
      </c>
      <c r="L301" s="90">
        <v>1</v>
      </c>
      <c r="M301" s="100">
        <v>63889</v>
      </c>
      <c r="N301" s="100">
        <f t="shared" si="18"/>
        <v>63889</v>
      </c>
      <c r="O301" s="101"/>
      <c r="P301" s="90">
        <f t="shared" si="19"/>
        <v>72</v>
      </c>
    </row>
    <row r="302" spans="1:16" ht="15" hidden="1" customHeight="1" x14ac:dyDescent="0.2">
      <c r="A302" s="90" t="s">
        <v>18</v>
      </c>
      <c r="B302" s="69" t="s">
        <v>480</v>
      </c>
      <c r="C302" s="90">
        <f t="shared" si="16"/>
        <v>1015</v>
      </c>
      <c r="D302" s="12">
        <f t="shared" si="17"/>
        <v>0</v>
      </c>
      <c r="G302" s="91" t="s">
        <v>89</v>
      </c>
      <c r="H302" s="90" t="s">
        <v>633</v>
      </c>
      <c r="I302" s="90">
        <v>1331</v>
      </c>
      <c r="J302" s="90">
        <v>331</v>
      </c>
      <c r="K302" s="90" t="s">
        <v>20</v>
      </c>
      <c r="L302" s="90">
        <v>1</v>
      </c>
      <c r="M302" s="100">
        <v>5111</v>
      </c>
      <c r="N302" s="100">
        <f t="shared" si="18"/>
        <v>5111</v>
      </c>
      <c r="P302" s="90">
        <f t="shared" si="19"/>
        <v>72</v>
      </c>
    </row>
    <row r="303" spans="1:16" ht="15" hidden="1" customHeight="1" x14ac:dyDescent="0.2">
      <c r="A303" s="90" t="s">
        <v>18</v>
      </c>
      <c r="B303" s="69" t="s">
        <v>480</v>
      </c>
      <c r="C303" s="90">
        <f t="shared" si="16"/>
        <v>1016</v>
      </c>
      <c r="D303" s="12">
        <f t="shared" si="17"/>
        <v>1</v>
      </c>
      <c r="G303" s="91" t="s">
        <v>89</v>
      </c>
      <c r="H303" s="90" t="s">
        <v>627</v>
      </c>
      <c r="I303" s="90">
        <v>64277</v>
      </c>
      <c r="J303" s="90">
        <v>331</v>
      </c>
      <c r="K303" s="90" t="s">
        <v>20</v>
      </c>
      <c r="L303" s="90">
        <v>1</v>
      </c>
      <c r="M303" s="100">
        <v>69445</v>
      </c>
      <c r="N303" s="100">
        <f t="shared" si="18"/>
        <v>69445</v>
      </c>
      <c r="O303" s="101"/>
      <c r="P303" s="90">
        <f t="shared" si="19"/>
        <v>73</v>
      </c>
    </row>
    <row r="304" spans="1:16" ht="15" hidden="1" customHeight="1" x14ac:dyDescent="0.2">
      <c r="A304" s="90" t="s">
        <v>18</v>
      </c>
      <c r="B304" s="69" t="s">
        <v>480</v>
      </c>
      <c r="C304" s="90">
        <f t="shared" si="16"/>
        <v>1016</v>
      </c>
      <c r="D304" s="12">
        <f t="shared" si="17"/>
        <v>0</v>
      </c>
      <c r="G304" s="91" t="s">
        <v>89</v>
      </c>
      <c r="H304" s="90" t="s">
        <v>627</v>
      </c>
      <c r="I304" s="90">
        <v>1331</v>
      </c>
      <c r="J304" s="90">
        <v>331</v>
      </c>
      <c r="K304" s="90" t="s">
        <v>20</v>
      </c>
      <c r="L304" s="90">
        <v>1</v>
      </c>
      <c r="M304" s="100">
        <v>5555</v>
      </c>
      <c r="N304" s="100">
        <f t="shared" si="18"/>
        <v>5555</v>
      </c>
      <c r="P304" s="90">
        <f t="shared" si="19"/>
        <v>73</v>
      </c>
    </row>
    <row r="305" spans="1:24" ht="15" hidden="1" customHeight="1" x14ac:dyDescent="0.2">
      <c r="A305" s="90" t="s">
        <v>18</v>
      </c>
      <c r="B305" s="69" t="s">
        <v>558</v>
      </c>
      <c r="C305" s="90">
        <f t="shared" si="16"/>
        <v>1017</v>
      </c>
      <c r="D305" s="12">
        <f t="shared" si="17"/>
        <v>1</v>
      </c>
      <c r="G305" s="91" t="s">
        <v>89</v>
      </c>
      <c r="H305" s="90" t="s">
        <v>637</v>
      </c>
      <c r="I305" s="90">
        <v>64277</v>
      </c>
      <c r="J305" s="90">
        <v>331</v>
      </c>
      <c r="K305" s="90" t="s">
        <v>20</v>
      </c>
      <c r="L305" s="90">
        <v>1</v>
      </c>
      <c r="M305" s="100">
        <v>42592</v>
      </c>
      <c r="N305" s="100">
        <f t="shared" si="18"/>
        <v>42592</v>
      </c>
      <c r="O305" s="101"/>
      <c r="P305" s="90">
        <f t="shared" si="19"/>
        <v>73</v>
      </c>
    </row>
    <row r="306" spans="1:24" ht="15" hidden="1" customHeight="1" x14ac:dyDescent="0.2">
      <c r="A306" s="90" t="s">
        <v>18</v>
      </c>
      <c r="B306" s="69" t="s">
        <v>558</v>
      </c>
      <c r="C306" s="90">
        <f t="shared" si="16"/>
        <v>1017</v>
      </c>
      <c r="D306" s="12">
        <f t="shared" si="17"/>
        <v>0</v>
      </c>
      <c r="G306" s="91" t="s">
        <v>89</v>
      </c>
      <c r="H306" s="90" t="s">
        <v>637</v>
      </c>
      <c r="I306" s="90">
        <v>1331</v>
      </c>
      <c r="J306" s="90">
        <v>331</v>
      </c>
      <c r="K306" s="90" t="s">
        <v>20</v>
      </c>
      <c r="L306" s="90">
        <v>1</v>
      </c>
      <c r="M306" s="100">
        <v>3408</v>
      </c>
      <c r="N306" s="100">
        <f t="shared" si="18"/>
        <v>3408</v>
      </c>
      <c r="P306" s="90">
        <f t="shared" si="19"/>
        <v>73</v>
      </c>
    </row>
    <row r="307" spans="1:24" ht="15" hidden="1" customHeight="1" x14ac:dyDescent="0.2">
      <c r="A307" s="90" t="s">
        <v>18</v>
      </c>
      <c r="B307" s="69" t="s">
        <v>558</v>
      </c>
      <c r="C307" s="90">
        <f t="shared" si="16"/>
        <v>1018</v>
      </c>
      <c r="D307" s="12">
        <f t="shared" si="17"/>
        <v>1</v>
      </c>
      <c r="G307" s="91" t="s">
        <v>89</v>
      </c>
      <c r="H307" s="90" t="s">
        <v>636</v>
      </c>
      <c r="I307" s="90">
        <v>64277</v>
      </c>
      <c r="J307" s="90">
        <v>331</v>
      </c>
      <c r="K307" s="90" t="s">
        <v>20</v>
      </c>
      <c r="L307" s="90">
        <v>1</v>
      </c>
      <c r="M307" s="100">
        <v>27778</v>
      </c>
      <c r="N307" s="100">
        <f t="shared" si="18"/>
        <v>27778</v>
      </c>
      <c r="O307" s="101"/>
      <c r="P307" s="90">
        <f t="shared" si="19"/>
        <v>73</v>
      </c>
    </row>
    <row r="308" spans="1:24" ht="15" hidden="1" customHeight="1" x14ac:dyDescent="0.2">
      <c r="A308" s="90" t="s">
        <v>18</v>
      </c>
      <c r="B308" s="69" t="s">
        <v>558</v>
      </c>
      <c r="C308" s="90">
        <f t="shared" si="16"/>
        <v>1018</v>
      </c>
      <c r="D308" s="12">
        <f t="shared" si="17"/>
        <v>0</v>
      </c>
      <c r="G308" s="91" t="s">
        <v>89</v>
      </c>
      <c r="H308" s="90" t="s">
        <v>636</v>
      </c>
      <c r="I308" s="90">
        <v>1331</v>
      </c>
      <c r="J308" s="90">
        <v>331</v>
      </c>
      <c r="K308" s="90" t="s">
        <v>20</v>
      </c>
      <c r="L308" s="90">
        <v>1</v>
      </c>
      <c r="M308" s="100">
        <v>2222</v>
      </c>
      <c r="N308" s="100">
        <f t="shared" si="18"/>
        <v>2222</v>
      </c>
      <c r="P308" s="90">
        <f t="shared" si="19"/>
        <v>73</v>
      </c>
    </row>
    <row r="309" spans="1:24" ht="15" hidden="1" customHeight="1" x14ac:dyDescent="0.2">
      <c r="A309" s="90" t="s">
        <v>18</v>
      </c>
      <c r="B309" s="69" t="s">
        <v>558</v>
      </c>
      <c r="C309" s="90">
        <f t="shared" si="16"/>
        <v>1019</v>
      </c>
      <c r="D309" s="12">
        <f t="shared" si="17"/>
        <v>1</v>
      </c>
      <c r="G309" s="91" t="s">
        <v>89</v>
      </c>
      <c r="H309" s="90" t="s">
        <v>638</v>
      </c>
      <c r="I309" s="90">
        <v>64277</v>
      </c>
      <c r="J309" s="90">
        <v>331</v>
      </c>
      <c r="K309" s="90" t="s">
        <v>20</v>
      </c>
      <c r="L309" s="90">
        <v>1</v>
      </c>
      <c r="M309" s="100">
        <v>38889</v>
      </c>
      <c r="N309" s="100">
        <f t="shared" si="18"/>
        <v>38889</v>
      </c>
      <c r="O309" s="101"/>
      <c r="P309" s="90">
        <f t="shared" si="19"/>
        <v>72</v>
      </c>
    </row>
    <row r="310" spans="1:24" ht="15" hidden="1" customHeight="1" x14ac:dyDescent="0.2">
      <c r="A310" s="90" t="s">
        <v>18</v>
      </c>
      <c r="B310" s="69" t="s">
        <v>558</v>
      </c>
      <c r="C310" s="90">
        <f t="shared" si="16"/>
        <v>1019</v>
      </c>
      <c r="D310" s="12">
        <f t="shared" si="17"/>
        <v>0</v>
      </c>
      <c r="G310" s="91" t="s">
        <v>89</v>
      </c>
      <c r="H310" s="90" t="s">
        <v>638</v>
      </c>
      <c r="I310" s="90">
        <v>1331</v>
      </c>
      <c r="J310" s="90">
        <v>331</v>
      </c>
      <c r="K310" s="90" t="s">
        <v>20</v>
      </c>
      <c r="L310" s="90">
        <v>1</v>
      </c>
      <c r="M310" s="100">
        <v>3111</v>
      </c>
      <c r="N310" s="100">
        <f t="shared" si="18"/>
        <v>3111</v>
      </c>
      <c r="P310" s="90">
        <f t="shared" si="19"/>
        <v>72</v>
      </c>
    </row>
    <row r="311" spans="1:24" ht="15" hidden="1" customHeight="1" x14ac:dyDescent="0.2">
      <c r="A311" s="90" t="s">
        <v>18</v>
      </c>
      <c r="B311" s="69" t="s">
        <v>559</v>
      </c>
      <c r="C311" s="90">
        <f t="shared" si="16"/>
        <v>1020</v>
      </c>
      <c r="D311" s="12">
        <f t="shared" si="17"/>
        <v>1</v>
      </c>
      <c r="G311" s="91" t="s">
        <v>52</v>
      </c>
      <c r="H311" s="90" t="s">
        <v>4483</v>
      </c>
      <c r="I311" s="90">
        <v>64277</v>
      </c>
      <c r="J311" s="90">
        <v>331</v>
      </c>
      <c r="K311" s="90" t="s">
        <v>20</v>
      </c>
      <c r="L311" s="90">
        <v>1</v>
      </c>
      <c r="M311" s="100">
        <v>1759000</v>
      </c>
      <c r="N311" s="100">
        <f t="shared" si="18"/>
        <v>1759000</v>
      </c>
      <c r="O311" s="101"/>
      <c r="P311" s="90">
        <f t="shared" si="19"/>
        <v>41</v>
      </c>
    </row>
    <row r="312" spans="1:24" ht="15" hidden="1" customHeight="1" x14ac:dyDescent="0.2">
      <c r="A312" s="90" t="s">
        <v>18</v>
      </c>
      <c r="B312" s="69" t="s">
        <v>559</v>
      </c>
      <c r="C312" s="90">
        <f t="shared" si="16"/>
        <v>1020</v>
      </c>
      <c r="D312" s="12">
        <f t="shared" si="17"/>
        <v>0</v>
      </c>
      <c r="G312" s="91" t="s">
        <v>52</v>
      </c>
      <c r="H312" s="90" t="s">
        <v>4483</v>
      </c>
      <c r="I312" s="90">
        <v>1331</v>
      </c>
      <c r="J312" s="90">
        <v>331</v>
      </c>
      <c r="K312" s="90" t="s">
        <v>20</v>
      </c>
      <c r="L312" s="90">
        <v>1</v>
      </c>
      <c r="M312" s="100">
        <v>140720</v>
      </c>
      <c r="N312" s="100">
        <f t="shared" si="18"/>
        <v>140720</v>
      </c>
      <c r="P312" s="90">
        <f t="shared" si="19"/>
        <v>41</v>
      </c>
    </row>
    <row r="313" spans="1:24" ht="15" hidden="1" customHeight="1" x14ac:dyDescent="0.2">
      <c r="A313" s="90" t="s">
        <v>18</v>
      </c>
      <c r="B313" s="69" t="s">
        <v>560</v>
      </c>
      <c r="C313" s="90">
        <f t="shared" si="16"/>
        <v>1021</v>
      </c>
      <c r="D313" s="12">
        <f t="shared" si="17"/>
        <v>1</v>
      </c>
      <c r="G313" s="91" t="s">
        <v>22</v>
      </c>
      <c r="H313" s="90" t="s">
        <v>4484</v>
      </c>
      <c r="I313" s="90">
        <v>64277</v>
      </c>
      <c r="J313" s="90">
        <v>331</v>
      </c>
      <c r="K313" s="90" t="s">
        <v>20</v>
      </c>
      <c r="L313" s="90">
        <v>1</v>
      </c>
      <c r="M313" s="100">
        <v>657720</v>
      </c>
      <c r="N313" s="100">
        <f t="shared" si="18"/>
        <v>657720</v>
      </c>
      <c r="O313" s="101"/>
      <c r="P313" s="90">
        <f t="shared" si="19"/>
        <v>42</v>
      </c>
    </row>
    <row r="314" spans="1:24" ht="15" hidden="1" customHeight="1" x14ac:dyDescent="0.2">
      <c r="A314" s="90" t="s">
        <v>18</v>
      </c>
      <c r="B314" s="69" t="s">
        <v>560</v>
      </c>
      <c r="C314" s="90">
        <f t="shared" si="16"/>
        <v>1021</v>
      </c>
      <c r="D314" s="12">
        <f t="shared" si="17"/>
        <v>0</v>
      </c>
      <c r="G314" s="91" t="s">
        <v>22</v>
      </c>
      <c r="H314" s="90" t="s">
        <v>4484</v>
      </c>
      <c r="I314" s="90">
        <v>1331</v>
      </c>
      <c r="J314" s="90">
        <v>331</v>
      </c>
      <c r="K314" s="90" t="s">
        <v>20</v>
      </c>
      <c r="L314" s="90">
        <v>1</v>
      </c>
      <c r="M314" s="100">
        <v>48720</v>
      </c>
      <c r="N314" s="100">
        <f t="shared" si="18"/>
        <v>48720</v>
      </c>
      <c r="P314" s="90">
        <f t="shared" si="19"/>
        <v>42</v>
      </c>
    </row>
    <row r="315" spans="1:24" ht="15" hidden="1" customHeight="1" x14ac:dyDescent="0.2">
      <c r="A315" s="90" t="s">
        <v>18</v>
      </c>
      <c r="B315" s="69" t="s">
        <v>481</v>
      </c>
      <c r="C315" s="90">
        <f t="shared" si="16"/>
        <v>1022</v>
      </c>
      <c r="D315" s="12">
        <f t="shared" si="17"/>
        <v>1</v>
      </c>
      <c r="G315" s="91" t="s">
        <v>89</v>
      </c>
      <c r="H315" s="90" t="s">
        <v>641</v>
      </c>
      <c r="I315" s="90">
        <v>64277</v>
      </c>
      <c r="J315" s="90">
        <v>331</v>
      </c>
      <c r="K315" s="90" t="s">
        <v>20</v>
      </c>
      <c r="L315" s="90">
        <v>1</v>
      </c>
      <c r="M315" s="100">
        <v>31481</v>
      </c>
      <c r="N315" s="100">
        <f t="shared" si="18"/>
        <v>31481</v>
      </c>
      <c r="O315" s="101"/>
      <c r="P315" s="90">
        <f t="shared" si="19"/>
        <v>72</v>
      </c>
    </row>
    <row r="316" spans="1:24" s="183" customFormat="1" ht="15" hidden="1" customHeight="1" x14ac:dyDescent="0.2">
      <c r="A316" s="90" t="s">
        <v>18</v>
      </c>
      <c r="B316" s="69" t="s">
        <v>481</v>
      </c>
      <c r="C316" s="90">
        <f t="shared" si="16"/>
        <v>1022</v>
      </c>
      <c r="D316" s="12">
        <f t="shared" si="17"/>
        <v>0</v>
      </c>
      <c r="E316" s="90"/>
      <c r="F316" s="90"/>
      <c r="G316" s="91" t="s">
        <v>89</v>
      </c>
      <c r="H316" s="90" t="s">
        <v>641</v>
      </c>
      <c r="I316" s="90">
        <v>1331</v>
      </c>
      <c r="J316" s="90">
        <v>331</v>
      </c>
      <c r="K316" s="90" t="s">
        <v>20</v>
      </c>
      <c r="L316" s="90">
        <v>1</v>
      </c>
      <c r="M316" s="100">
        <v>2519</v>
      </c>
      <c r="N316" s="100">
        <f t="shared" si="18"/>
        <v>2519</v>
      </c>
      <c r="O316" s="90"/>
      <c r="P316" s="90">
        <f t="shared" si="19"/>
        <v>72</v>
      </c>
      <c r="R316" s="185"/>
      <c r="S316" s="187"/>
      <c r="T316" s="185"/>
      <c r="U316" s="185"/>
      <c r="V316" s="185"/>
      <c r="W316" s="185"/>
      <c r="X316" s="185"/>
    </row>
    <row r="317" spans="1:24" ht="15" hidden="1" customHeight="1" x14ac:dyDescent="0.2">
      <c r="A317" s="90" t="s">
        <v>18</v>
      </c>
      <c r="B317" s="69" t="s">
        <v>481</v>
      </c>
      <c r="C317" s="90">
        <f t="shared" si="16"/>
        <v>1023</v>
      </c>
      <c r="D317" s="12">
        <f t="shared" si="17"/>
        <v>1</v>
      </c>
      <c r="G317" s="91" t="s">
        <v>89</v>
      </c>
      <c r="H317" s="90" t="s">
        <v>640</v>
      </c>
      <c r="I317" s="90">
        <v>64277</v>
      </c>
      <c r="J317" s="90">
        <v>331</v>
      </c>
      <c r="K317" s="90" t="s">
        <v>20</v>
      </c>
      <c r="L317" s="90">
        <v>1</v>
      </c>
      <c r="M317" s="100">
        <v>67593</v>
      </c>
      <c r="N317" s="100">
        <f t="shared" si="18"/>
        <v>67593</v>
      </c>
      <c r="O317" s="101"/>
      <c r="P317" s="90">
        <f t="shared" si="19"/>
        <v>73</v>
      </c>
    </row>
    <row r="318" spans="1:24" ht="15" hidden="1" customHeight="1" x14ac:dyDescent="0.2">
      <c r="A318" s="90" t="s">
        <v>18</v>
      </c>
      <c r="B318" s="69" t="s">
        <v>481</v>
      </c>
      <c r="C318" s="90">
        <f t="shared" si="16"/>
        <v>1023</v>
      </c>
      <c r="D318" s="12">
        <f t="shared" si="17"/>
        <v>0</v>
      </c>
      <c r="G318" s="91" t="s">
        <v>89</v>
      </c>
      <c r="H318" s="90" t="s">
        <v>640</v>
      </c>
      <c r="I318" s="90">
        <v>1331</v>
      </c>
      <c r="J318" s="90">
        <v>331</v>
      </c>
      <c r="K318" s="90" t="s">
        <v>20</v>
      </c>
      <c r="L318" s="90">
        <v>1</v>
      </c>
      <c r="M318" s="100">
        <v>5407</v>
      </c>
      <c r="N318" s="100">
        <f t="shared" si="18"/>
        <v>5407</v>
      </c>
      <c r="P318" s="90">
        <f t="shared" si="19"/>
        <v>73</v>
      </c>
    </row>
    <row r="319" spans="1:24" ht="15" hidden="1" customHeight="1" x14ac:dyDescent="0.2">
      <c r="A319" s="90" t="s">
        <v>18</v>
      </c>
      <c r="B319" s="69" t="s">
        <v>481</v>
      </c>
      <c r="C319" s="90">
        <f t="shared" si="16"/>
        <v>1024</v>
      </c>
      <c r="D319" s="12">
        <f t="shared" si="17"/>
        <v>1</v>
      </c>
      <c r="G319" s="91" t="s">
        <v>89</v>
      </c>
      <c r="H319" s="90" t="s">
        <v>639</v>
      </c>
      <c r="I319" s="90">
        <v>64277</v>
      </c>
      <c r="J319" s="90">
        <v>331</v>
      </c>
      <c r="K319" s="90" t="s">
        <v>20</v>
      </c>
      <c r="L319" s="90">
        <v>1</v>
      </c>
      <c r="M319" s="100">
        <v>85185</v>
      </c>
      <c r="N319" s="100">
        <f t="shared" si="18"/>
        <v>85185</v>
      </c>
      <c r="O319" s="101"/>
      <c r="P319" s="90">
        <f t="shared" si="19"/>
        <v>73</v>
      </c>
    </row>
    <row r="320" spans="1:24" ht="15" hidden="1" customHeight="1" x14ac:dyDescent="0.2">
      <c r="A320" s="90" t="s">
        <v>18</v>
      </c>
      <c r="B320" s="69" t="s">
        <v>481</v>
      </c>
      <c r="C320" s="90">
        <f t="shared" si="16"/>
        <v>1024</v>
      </c>
      <c r="D320" s="12">
        <f t="shared" si="17"/>
        <v>0</v>
      </c>
      <c r="G320" s="91" t="s">
        <v>89</v>
      </c>
      <c r="H320" s="90" t="s">
        <v>639</v>
      </c>
      <c r="I320" s="90">
        <v>1331</v>
      </c>
      <c r="J320" s="90">
        <v>331</v>
      </c>
      <c r="K320" s="90" t="s">
        <v>20</v>
      </c>
      <c r="L320" s="90">
        <v>1</v>
      </c>
      <c r="M320" s="100">
        <v>6815</v>
      </c>
      <c r="N320" s="100">
        <f t="shared" si="18"/>
        <v>6815</v>
      </c>
      <c r="P320" s="90">
        <f t="shared" si="19"/>
        <v>73</v>
      </c>
    </row>
    <row r="321" spans="1:24" ht="15" hidden="1" customHeight="1" x14ac:dyDescent="0.2">
      <c r="A321" s="90" t="s">
        <v>18</v>
      </c>
      <c r="B321" s="69" t="s">
        <v>561</v>
      </c>
      <c r="C321" s="90">
        <f t="shared" si="16"/>
        <v>1025</v>
      </c>
      <c r="D321" s="12">
        <f t="shared" si="17"/>
        <v>1</v>
      </c>
      <c r="G321" s="91" t="s">
        <v>89</v>
      </c>
      <c r="H321" s="90" t="s">
        <v>642</v>
      </c>
      <c r="I321" s="90">
        <v>64277</v>
      </c>
      <c r="J321" s="90">
        <v>331</v>
      </c>
      <c r="K321" s="90" t="s">
        <v>20</v>
      </c>
      <c r="L321" s="90">
        <v>1</v>
      </c>
      <c r="M321" s="100">
        <v>33334</v>
      </c>
      <c r="N321" s="100">
        <f t="shared" si="18"/>
        <v>33334</v>
      </c>
      <c r="O321" s="101"/>
      <c r="P321" s="90">
        <f t="shared" si="19"/>
        <v>72</v>
      </c>
    </row>
    <row r="322" spans="1:24" ht="15" hidden="1" customHeight="1" x14ac:dyDescent="0.2">
      <c r="A322" s="90" t="s">
        <v>18</v>
      </c>
      <c r="B322" s="69" t="s">
        <v>561</v>
      </c>
      <c r="C322" s="90">
        <f t="shared" si="16"/>
        <v>1025</v>
      </c>
      <c r="D322" s="12">
        <f t="shared" si="17"/>
        <v>0</v>
      </c>
      <c r="G322" s="91" t="s">
        <v>89</v>
      </c>
      <c r="H322" s="90" t="s">
        <v>642</v>
      </c>
      <c r="I322" s="90">
        <v>1331</v>
      </c>
      <c r="J322" s="90">
        <v>331</v>
      </c>
      <c r="K322" s="90" t="s">
        <v>20</v>
      </c>
      <c r="L322" s="90">
        <v>1</v>
      </c>
      <c r="M322" s="100">
        <v>2666</v>
      </c>
      <c r="N322" s="100">
        <f t="shared" si="18"/>
        <v>2666</v>
      </c>
      <c r="P322" s="90">
        <f t="shared" si="19"/>
        <v>72</v>
      </c>
    </row>
    <row r="323" spans="1:24" ht="15" hidden="1" customHeight="1" x14ac:dyDescent="0.2">
      <c r="A323" s="90" t="s">
        <v>18</v>
      </c>
      <c r="B323" s="69">
        <v>46112</v>
      </c>
      <c r="C323" s="90">
        <f t="shared" si="16"/>
        <v>1026</v>
      </c>
      <c r="D323" s="12">
        <f t="shared" si="17"/>
        <v>1</v>
      </c>
      <c r="G323" s="91" t="s">
        <v>71</v>
      </c>
      <c r="H323" s="90" t="s">
        <v>533</v>
      </c>
      <c r="I323" s="90">
        <v>64271</v>
      </c>
      <c r="J323" s="90">
        <v>3383</v>
      </c>
      <c r="K323" s="90" t="s">
        <v>20</v>
      </c>
      <c r="L323" s="90">
        <v>1</v>
      </c>
      <c r="M323" s="100">
        <v>690300</v>
      </c>
      <c r="N323" s="100">
        <f t="shared" si="18"/>
        <v>690300</v>
      </c>
      <c r="O323" s="101"/>
      <c r="P323" s="90">
        <f t="shared" si="19"/>
        <v>38</v>
      </c>
    </row>
    <row r="324" spans="1:24" s="183" customFormat="1" ht="15" hidden="1" customHeight="1" x14ac:dyDescent="0.2">
      <c r="A324" s="90" t="s">
        <v>18</v>
      </c>
      <c r="B324" s="69">
        <v>46112</v>
      </c>
      <c r="C324" s="90">
        <f t="shared" ref="C324" si="20">C323+D324</f>
        <v>1027</v>
      </c>
      <c r="D324" s="12">
        <f t="shared" si="17"/>
        <v>1</v>
      </c>
      <c r="E324" s="90"/>
      <c r="F324" s="90"/>
      <c r="G324" s="91" t="s">
        <v>71</v>
      </c>
      <c r="H324" s="90" t="s">
        <v>657</v>
      </c>
      <c r="I324" s="90">
        <v>64271</v>
      </c>
      <c r="J324" s="90">
        <v>3383</v>
      </c>
      <c r="K324" s="90" t="s">
        <v>20</v>
      </c>
      <c r="L324" s="90">
        <v>1</v>
      </c>
      <c r="M324" s="100">
        <v>1600000</v>
      </c>
      <c r="N324" s="100">
        <f t="shared" ref="N324" si="21">L324*M324</f>
        <v>1600000</v>
      </c>
      <c r="O324" s="90"/>
      <c r="P324" s="90">
        <f t="shared" si="19"/>
        <v>40</v>
      </c>
      <c r="R324" s="185"/>
      <c r="S324" s="187"/>
      <c r="T324" s="185"/>
      <c r="U324" s="185"/>
      <c r="V324" s="185"/>
      <c r="W324" s="185"/>
      <c r="X324" s="185"/>
    </row>
    <row r="325" spans="1:24" s="183" customFormat="1" ht="15" hidden="1" customHeight="1" x14ac:dyDescent="0.2">
      <c r="A325" s="183" t="s">
        <v>18</v>
      </c>
      <c r="B325" s="184">
        <v>46037.564652777779</v>
      </c>
      <c r="C325" s="183">
        <f t="shared" ref="C325:C338" si="22">C324+D325</f>
        <v>1028</v>
      </c>
      <c r="D325" s="165">
        <f t="shared" ref="D325" si="23">IF(H325=H324,0,1)</f>
        <v>1</v>
      </c>
      <c r="G325" s="185" t="s">
        <v>39</v>
      </c>
      <c r="H325" s="183" t="s">
        <v>4500</v>
      </c>
      <c r="I325" s="183">
        <v>131</v>
      </c>
      <c r="J325" s="183">
        <v>5118</v>
      </c>
      <c r="K325" s="183" t="s">
        <v>20</v>
      </c>
      <c r="L325" s="183">
        <v>1</v>
      </c>
      <c r="M325" s="186">
        <v>15554903</v>
      </c>
      <c r="N325" s="186">
        <f t="shared" ref="N325:N338" si="24">L325*M325</f>
        <v>15554903</v>
      </c>
      <c r="P325" s="183">
        <f t="shared" ref="P325:P338" si="25">LEN(H325)</f>
        <v>36</v>
      </c>
      <c r="R325" s="185"/>
      <c r="S325" s="187"/>
      <c r="T325" s="185"/>
      <c r="U325" s="185"/>
      <c r="V325" s="185"/>
      <c r="W325" s="185"/>
      <c r="X325" s="185"/>
    </row>
    <row r="326" spans="1:24" s="183" customFormat="1" ht="15" hidden="1" customHeight="1" x14ac:dyDescent="0.2">
      <c r="A326" s="183" t="s">
        <v>18</v>
      </c>
      <c r="B326" s="184">
        <v>46037.565208333333</v>
      </c>
      <c r="C326" s="183">
        <f t="shared" si="22"/>
        <v>1029</v>
      </c>
      <c r="D326" s="165">
        <v>1</v>
      </c>
      <c r="G326" s="185" t="s">
        <v>39</v>
      </c>
      <c r="H326" s="183" t="s">
        <v>4500</v>
      </c>
      <c r="I326" s="183">
        <v>131</v>
      </c>
      <c r="J326" s="183">
        <v>5118</v>
      </c>
      <c r="K326" s="183" t="s">
        <v>20</v>
      </c>
      <c r="L326" s="183">
        <v>1</v>
      </c>
      <c r="M326" s="186">
        <v>20581801</v>
      </c>
      <c r="N326" s="186">
        <f t="shared" si="24"/>
        <v>20581801</v>
      </c>
      <c r="P326" s="183">
        <f t="shared" si="25"/>
        <v>36</v>
      </c>
      <c r="R326" s="185"/>
      <c r="S326" s="187"/>
      <c r="T326" s="185"/>
      <c r="U326" s="185"/>
      <c r="V326" s="185"/>
      <c r="W326" s="185"/>
      <c r="X326" s="185"/>
    </row>
    <row r="327" spans="1:24" s="183" customFormat="1" ht="15" hidden="1" customHeight="1" x14ac:dyDescent="0.2">
      <c r="A327" s="183" t="s">
        <v>18</v>
      </c>
      <c r="B327" s="184">
        <v>46046.578819444447</v>
      </c>
      <c r="C327" s="183">
        <f t="shared" si="22"/>
        <v>1030</v>
      </c>
      <c r="D327" s="165">
        <v>1</v>
      </c>
      <c r="G327" s="185" t="s">
        <v>39</v>
      </c>
      <c r="H327" s="183" t="s">
        <v>4500</v>
      </c>
      <c r="I327" s="183">
        <v>131</v>
      </c>
      <c r="J327" s="183">
        <v>5118</v>
      </c>
      <c r="K327" s="183" t="s">
        <v>20</v>
      </c>
      <c r="L327" s="183">
        <v>1</v>
      </c>
      <c r="M327" s="186">
        <v>34625476</v>
      </c>
      <c r="N327" s="186">
        <f t="shared" si="24"/>
        <v>34625476</v>
      </c>
      <c r="P327" s="183">
        <f t="shared" si="25"/>
        <v>36</v>
      </c>
      <c r="R327" s="185"/>
      <c r="S327" s="187"/>
      <c r="T327" s="185"/>
      <c r="U327" s="185"/>
      <c r="V327" s="185"/>
      <c r="W327" s="185"/>
      <c r="X327" s="185"/>
    </row>
    <row r="328" spans="1:24" s="183" customFormat="1" ht="15" hidden="1" customHeight="1" x14ac:dyDescent="0.2">
      <c r="A328" s="183" t="s">
        <v>18</v>
      </c>
      <c r="B328" s="184">
        <v>46048.725682870368</v>
      </c>
      <c r="C328" s="183">
        <f t="shared" si="22"/>
        <v>1031</v>
      </c>
      <c r="D328" s="165">
        <v>1</v>
      </c>
      <c r="G328" s="185" t="s">
        <v>39</v>
      </c>
      <c r="H328" s="183" t="s">
        <v>4500</v>
      </c>
      <c r="I328" s="183">
        <v>131</v>
      </c>
      <c r="J328" s="183">
        <v>5118</v>
      </c>
      <c r="K328" s="183" t="s">
        <v>20</v>
      </c>
      <c r="L328" s="183">
        <v>1</v>
      </c>
      <c r="M328" s="186">
        <v>10490530</v>
      </c>
      <c r="N328" s="186">
        <f t="shared" si="24"/>
        <v>10490530</v>
      </c>
      <c r="P328" s="183">
        <f t="shared" si="25"/>
        <v>36</v>
      </c>
      <c r="R328" s="185"/>
      <c r="S328" s="187"/>
      <c r="T328" s="185"/>
      <c r="U328" s="185"/>
      <c r="V328" s="185"/>
      <c r="W328" s="185"/>
      <c r="X328" s="185"/>
    </row>
    <row r="329" spans="1:24" s="183" customFormat="1" ht="15" hidden="1" customHeight="1" x14ac:dyDescent="0.2">
      <c r="A329" s="183" t="s">
        <v>18</v>
      </c>
      <c r="B329" s="184">
        <v>46054.109618055554</v>
      </c>
      <c r="C329" s="183">
        <f t="shared" si="22"/>
        <v>1032</v>
      </c>
      <c r="D329" s="165">
        <v>1</v>
      </c>
      <c r="G329" s="185" t="s">
        <v>39</v>
      </c>
      <c r="H329" s="183" t="s">
        <v>4500</v>
      </c>
      <c r="I329" s="183">
        <v>131</v>
      </c>
      <c r="J329" s="183">
        <v>5118</v>
      </c>
      <c r="K329" s="183" t="s">
        <v>20</v>
      </c>
      <c r="L329" s="183">
        <v>1</v>
      </c>
      <c r="M329" s="186">
        <v>31490400</v>
      </c>
      <c r="N329" s="186">
        <f t="shared" si="24"/>
        <v>31490400</v>
      </c>
      <c r="P329" s="183">
        <f t="shared" si="25"/>
        <v>36</v>
      </c>
      <c r="R329" s="185"/>
      <c r="S329" s="187"/>
      <c r="T329" s="185"/>
      <c r="U329" s="185"/>
      <c r="V329" s="185"/>
      <c r="W329" s="185"/>
      <c r="X329" s="185"/>
    </row>
    <row r="330" spans="1:24" s="183" customFormat="1" ht="15" hidden="1" customHeight="1" x14ac:dyDescent="0.2">
      <c r="A330" s="183" t="s">
        <v>18</v>
      </c>
      <c r="B330" s="184">
        <v>46061.518252314818</v>
      </c>
      <c r="C330" s="183">
        <f t="shared" si="22"/>
        <v>1033</v>
      </c>
      <c r="D330" s="165">
        <v>1</v>
      </c>
      <c r="G330" s="185" t="s">
        <v>39</v>
      </c>
      <c r="H330" s="183" t="s">
        <v>4500</v>
      </c>
      <c r="I330" s="183">
        <v>131</v>
      </c>
      <c r="J330" s="183">
        <v>5118</v>
      </c>
      <c r="K330" s="183" t="s">
        <v>20</v>
      </c>
      <c r="L330" s="183">
        <v>1</v>
      </c>
      <c r="M330" s="186">
        <v>9860672</v>
      </c>
      <c r="N330" s="186">
        <f t="shared" si="24"/>
        <v>9860672</v>
      </c>
      <c r="P330" s="183">
        <f t="shared" si="25"/>
        <v>36</v>
      </c>
      <c r="R330" s="185"/>
      <c r="S330" s="187"/>
      <c r="T330" s="185"/>
      <c r="U330" s="185"/>
      <c r="V330" s="185"/>
      <c r="W330" s="185"/>
      <c r="X330" s="185"/>
    </row>
    <row r="331" spans="1:24" s="183" customFormat="1" ht="15" hidden="1" customHeight="1" x14ac:dyDescent="0.2">
      <c r="A331" s="183" t="s">
        <v>18</v>
      </c>
      <c r="B331" s="184">
        <v>46061.697048611109</v>
      </c>
      <c r="C331" s="183">
        <f t="shared" si="22"/>
        <v>1034</v>
      </c>
      <c r="D331" s="165">
        <v>1</v>
      </c>
      <c r="G331" s="185" t="s">
        <v>39</v>
      </c>
      <c r="H331" s="183" t="s">
        <v>4500</v>
      </c>
      <c r="I331" s="183">
        <v>131</v>
      </c>
      <c r="J331" s="183">
        <v>5118</v>
      </c>
      <c r="K331" s="183" t="s">
        <v>20</v>
      </c>
      <c r="L331" s="183">
        <v>1</v>
      </c>
      <c r="M331" s="186">
        <v>42658602</v>
      </c>
      <c r="N331" s="186">
        <f t="shared" si="24"/>
        <v>42658602</v>
      </c>
      <c r="P331" s="183">
        <f t="shared" si="25"/>
        <v>36</v>
      </c>
      <c r="R331" s="185"/>
      <c r="S331" s="187"/>
      <c r="T331" s="185"/>
      <c r="U331" s="185"/>
      <c r="V331" s="185"/>
      <c r="W331" s="185"/>
      <c r="X331" s="185"/>
    </row>
    <row r="332" spans="1:24" s="183" customFormat="1" ht="15" hidden="1" customHeight="1" x14ac:dyDescent="0.2">
      <c r="A332" s="183" t="s">
        <v>18</v>
      </c>
      <c r="B332" s="184">
        <v>46064.89644675926</v>
      </c>
      <c r="C332" s="183">
        <f t="shared" si="22"/>
        <v>1035</v>
      </c>
      <c r="D332" s="165">
        <v>1</v>
      </c>
      <c r="G332" s="185" t="s">
        <v>39</v>
      </c>
      <c r="H332" s="183" t="s">
        <v>4500</v>
      </c>
      <c r="I332" s="183">
        <v>131</v>
      </c>
      <c r="J332" s="183">
        <v>5118</v>
      </c>
      <c r="K332" s="183" t="s">
        <v>20</v>
      </c>
      <c r="L332" s="183">
        <v>1</v>
      </c>
      <c r="M332" s="186">
        <v>18667515</v>
      </c>
      <c r="N332" s="186">
        <f t="shared" si="24"/>
        <v>18667515</v>
      </c>
      <c r="P332" s="183">
        <f t="shared" si="25"/>
        <v>36</v>
      </c>
      <c r="R332" s="185"/>
      <c r="S332" s="187"/>
      <c r="T332" s="185"/>
      <c r="U332" s="185"/>
      <c r="V332" s="185"/>
      <c r="W332" s="185"/>
      <c r="X332" s="185"/>
    </row>
    <row r="333" spans="1:24" s="183" customFormat="1" ht="15" hidden="1" customHeight="1" x14ac:dyDescent="0.2">
      <c r="A333" s="183" t="s">
        <v>18</v>
      </c>
      <c r="B333" s="184">
        <v>46078.824456018519</v>
      </c>
      <c r="C333" s="183">
        <f t="shared" si="22"/>
        <v>1036</v>
      </c>
      <c r="D333" s="165">
        <v>1</v>
      </c>
      <c r="G333" s="185" t="s">
        <v>39</v>
      </c>
      <c r="H333" s="183" t="s">
        <v>4500</v>
      </c>
      <c r="I333" s="183">
        <v>131</v>
      </c>
      <c r="J333" s="183">
        <v>5118</v>
      </c>
      <c r="K333" s="183" t="s">
        <v>20</v>
      </c>
      <c r="L333" s="183">
        <v>1</v>
      </c>
      <c r="M333" s="186">
        <v>19327300</v>
      </c>
      <c r="N333" s="186">
        <f t="shared" si="24"/>
        <v>19327300</v>
      </c>
      <c r="P333" s="183">
        <f t="shared" si="25"/>
        <v>36</v>
      </c>
      <c r="R333" s="185"/>
      <c r="S333" s="187"/>
      <c r="T333" s="185"/>
      <c r="U333" s="185"/>
      <c r="V333" s="185"/>
      <c r="W333" s="185"/>
      <c r="X333" s="185"/>
    </row>
    <row r="334" spans="1:24" s="183" customFormat="1" ht="15" hidden="1" customHeight="1" x14ac:dyDescent="0.2">
      <c r="A334" s="183" t="s">
        <v>18</v>
      </c>
      <c r="B334" s="184">
        <v>46079.599085648151</v>
      </c>
      <c r="C334" s="183">
        <f t="shared" si="22"/>
        <v>1037</v>
      </c>
      <c r="D334" s="165">
        <v>1</v>
      </c>
      <c r="G334" s="185" t="s">
        <v>39</v>
      </c>
      <c r="H334" s="183" t="s">
        <v>4500</v>
      </c>
      <c r="I334" s="183">
        <v>131</v>
      </c>
      <c r="J334" s="183">
        <v>5118</v>
      </c>
      <c r="K334" s="183" t="s">
        <v>20</v>
      </c>
      <c r="L334" s="183">
        <v>1</v>
      </c>
      <c r="M334" s="186">
        <v>33948375</v>
      </c>
      <c r="N334" s="186">
        <f t="shared" si="24"/>
        <v>33948375</v>
      </c>
      <c r="P334" s="183">
        <f t="shared" si="25"/>
        <v>36</v>
      </c>
      <c r="R334" s="185"/>
      <c r="S334" s="187"/>
      <c r="T334" s="185"/>
      <c r="U334" s="185"/>
      <c r="V334" s="185"/>
      <c r="W334" s="185"/>
      <c r="X334" s="185"/>
    </row>
    <row r="335" spans="1:24" s="183" customFormat="1" ht="15" hidden="1" customHeight="1" x14ac:dyDescent="0.2">
      <c r="A335" s="183" t="s">
        <v>18</v>
      </c>
      <c r="B335" s="184">
        <v>46080.510428240741</v>
      </c>
      <c r="C335" s="183">
        <f t="shared" si="22"/>
        <v>1038</v>
      </c>
      <c r="D335" s="165">
        <v>1</v>
      </c>
      <c r="G335" s="185" t="s">
        <v>39</v>
      </c>
      <c r="H335" s="183" t="s">
        <v>4500</v>
      </c>
      <c r="I335" s="183">
        <v>131</v>
      </c>
      <c r="J335" s="183">
        <v>5118</v>
      </c>
      <c r="K335" s="183" t="s">
        <v>20</v>
      </c>
      <c r="L335" s="183">
        <v>1</v>
      </c>
      <c r="M335" s="186">
        <v>11200390</v>
      </c>
      <c r="N335" s="186">
        <f t="shared" si="24"/>
        <v>11200390</v>
      </c>
      <c r="P335" s="183">
        <f t="shared" si="25"/>
        <v>36</v>
      </c>
      <c r="R335" s="185"/>
      <c r="S335" s="187"/>
      <c r="T335" s="185"/>
      <c r="U335" s="185"/>
      <c r="V335" s="185"/>
      <c r="W335" s="185"/>
      <c r="X335" s="185"/>
    </row>
    <row r="336" spans="1:24" s="183" customFormat="1" ht="15" hidden="1" customHeight="1" x14ac:dyDescent="0.2">
      <c r="A336" s="183" t="s">
        <v>18</v>
      </c>
      <c r="B336" s="184">
        <v>46080.512094907404</v>
      </c>
      <c r="C336" s="183">
        <f t="shared" si="22"/>
        <v>1039</v>
      </c>
      <c r="D336" s="165">
        <v>1</v>
      </c>
      <c r="G336" s="185" t="s">
        <v>39</v>
      </c>
      <c r="H336" s="183" t="s">
        <v>4500</v>
      </c>
      <c r="I336" s="183">
        <v>131</v>
      </c>
      <c r="J336" s="183">
        <v>5118</v>
      </c>
      <c r="K336" s="183" t="s">
        <v>20</v>
      </c>
      <c r="L336" s="183">
        <v>1</v>
      </c>
      <c r="M336" s="186">
        <v>31823744</v>
      </c>
      <c r="N336" s="186">
        <f t="shared" si="24"/>
        <v>31823744</v>
      </c>
      <c r="P336" s="183">
        <f t="shared" si="25"/>
        <v>36</v>
      </c>
      <c r="R336" s="185"/>
      <c r="S336" s="187"/>
      <c r="T336" s="185"/>
      <c r="U336" s="185"/>
      <c r="V336" s="185"/>
      <c r="W336" s="185"/>
      <c r="X336" s="185"/>
    </row>
    <row r="337" spans="1:24" s="183" customFormat="1" ht="15" hidden="1" customHeight="1" x14ac:dyDescent="0.2">
      <c r="A337" s="183" t="s">
        <v>18</v>
      </c>
      <c r="B337" s="184">
        <v>46081.095347222225</v>
      </c>
      <c r="C337" s="183">
        <f t="shared" si="22"/>
        <v>1040</v>
      </c>
      <c r="D337" s="165">
        <v>1</v>
      </c>
      <c r="G337" s="185" t="s">
        <v>39</v>
      </c>
      <c r="H337" s="183" t="s">
        <v>4500</v>
      </c>
      <c r="I337" s="183">
        <v>131</v>
      </c>
      <c r="J337" s="183">
        <v>5118</v>
      </c>
      <c r="K337" s="183" t="s">
        <v>20</v>
      </c>
      <c r="L337" s="183">
        <v>1</v>
      </c>
      <c r="M337" s="186">
        <v>11057</v>
      </c>
      <c r="N337" s="186">
        <f t="shared" si="24"/>
        <v>11057</v>
      </c>
      <c r="P337" s="183">
        <f t="shared" si="25"/>
        <v>36</v>
      </c>
      <c r="R337" s="185"/>
      <c r="S337" s="187"/>
      <c r="T337" s="185"/>
      <c r="U337" s="185"/>
      <c r="V337" s="185"/>
      <c r="W337" s="185"/>
      <c r="X337" s="185"/>
    </row>
    <row r="338" spans="1:24" s="183" customFormat="1" ht="15" hidden="1" customHeight="1" x14ac:dyDescent="0.2">
      <c r="A338" s="183" t="s">
        <v>18</v>
      </c>
      <c r="B338" s="184">
        <v>46084.428715277776</v>
      </c>
      <c r="C338" s="183">
        <f t="shared" si="22"/>
        <v>1041</v>
      </c>
      <c r="D338" s="165">
        <v>1</v>
      </c>
      <c r="G338" s="185" t="s">
        <v>39</v>
      </c>
      <c r="H338" s="183" t="s">
        <v>4500</v>
      </c>
      <c r="I338" s="183">
        <v>131</v>
      </c>
      <c r="J338" s="183">
        <v>5118</v>
      </c>
      <c r="K338" s="183" t="s">
        <v>20</v>
      </c>
      <c r="L338" s="183">
        <v>1</v>
      </c>
      <c r="M338" s="186">
        <v>17344357</v>
      </c>
      <c r="N338" s="186">
        <f t="shared" si="24"/>
        <v>17344357</v>
      </c>
      <c r="P338" s="183">
        <f t="shared" si="25"/>
        <v>36</v>
      </c>
      <c r="R338" s="185"/>
      <c r="S338" s="187"/>
      <c r="T338" s="185"/>
      <c r="U338" s="185"/>
      <c r="V338" s="185"/>
      <c r="W338" s="185"/>
      <c r="X338" s="185"/>
    </row>
  </sheetData>
  <autoFilter ref="A3:P338" xr:uid="{00000000-0009-0000-0000-000003000000}">
    <filterColumn colId="8">
      <filters>
        <filter val="333821"/>
      </filters>
    </filterColumn>
    <filterColumn colId="9">
      <filters>
        <filter val="131"/>
      </filters>
    </filterColumn>
    <sortState xmlns:xlrd2="http://schemas.microsoft.com/office/spreadsheetml/2017/richdata2" ref="A4:P324">
      <sortCondition ref="A4:A324"/>
      <sortCondition ref="B4:B324"/>
      <sortCondition ref="H4:H324"/>
    </sortState>
  </autoFilter>
  <mergeCells count="13">
    <mergeCell ref="F1:F2"/>
    <mergeCell ref="A1:A2"/>
    <mergeCell ref="B1:B2"/>
    <mergeCell ref="C1:C2"/>
    <mergeCell ref="D1:D2"/>
    <mergeCell ref="E1:E2"/>
    <mergeCell ref="N1:N2"/>
    <mergeCell ref="G1:G2"/>
    <mergeCell ref="H1:H2"/>
    <mergeCell ref="I1:J1"/>
    <mergeCell ref="K1:K2"/>
    <mergeCell ref="L1:L2"/>
    <mergeCell ref="M1:M2"/>
  </mergeCells>
  <hyperlinks>
    <hyperlink ref="P1" location="Summary!A1" display="Back to summary" xr:uid="{00000000-0004-0000-0300-000000000000}"/>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tabColor rgb="FF92D050"/>
  </sheetPr>
  <dimension ref="A1:P271"/>
  <sheetViews>
    <sheetView topLeftCell="A3" workbookViewId="0">
      <selection activeCell="M11" sqref="M11:M168"/>
    </sheetView>
  </sheetViews>
  <sheetFormatPr defaultRowHeight="15" x14ac:dyDescent="0.25"/>
  <cols>
    <col min="2" max="2" width="9.140625" style="105"/>
    <col min="7" max="7" width="13" style="60" customWidth="1"/>
    <col min="8" max="8" width="42.7109375" customWidth="1"/>
    <col min="13" max="14" width="10.42578125" bestFit="1" customWidth="1"/>
  </cols>
  <sheetData>
    <row r="1" spans="1:16" ht="15.75" thickBot="1" x14ac:dyDescent="0.3">
      <c r="A1" s="194" t="s">
        <v>0</v>
      </c>
      <c r="B1" s="237" t="s">
        <v>1</v>
      </c>
      <c r="C1" s="194" t="s">
        <v>2</v>
      </c>
      <c r="D1" s="192" t="s">
        <v>3</v>
      </c>
      <c r="E1" s="192" t="s">
        <v>4</v>
      </c>
      <c r="F1" s="192" t="s">
        <v>257</v>
      </c>
      <c r="G1" s="201" t="s">
        <v>6</v>
      </c>
      <c r="H1" s="203" t="s">
        <v>7</v>
      </c>
      <c r="I1" s="205" t="s">
        <v>8</v>
      </c>
      <c r="J1" s="206"/>
      <c r="K1" s="194" t="s">
        <v>9</v>
      </c>
      <c r="L1" s="194" t="s">
        <v>10</v>
      </c>
      <c r="M1" s="194" t="s">
        <v>76</v>
      </c>
      <c r="N1" s="194" t="s">
        <v>77</v>
      </c>
      <c r="O1" s="39" t="s">
        <v>78</v>
      </c>
      <c r="P1" s="146" t="s">
        <v>356</v>
      </c>
    </row>
    <row r="2" spans="1:16" ht="15.75" thickBot="1" x14ac:dyDescent="0.3">
      <c r="A2" s="195"/>
      <c r="B2" s="238"/>
      <c r="C2" s="195"/>
      <c r="D2" s="198"/>
      <c r="E2" s="198"/>
      <c r="F2" s="193"/>
      <c r="G2" s="202"/>
      <c r="H2" s="204"/>
      <c r="I2" s="40" t="s">
        <v>13</v>
      </c>
      <c r="J2" s="41" t="s">
        <v>14</v>
      </c>
      <c r="K2" s="195"/>
      <c r="L2" s="195"/>
      <c r="M2" s="195"/>
      <c r="N2" s="195"/>
      <c r="O2" s="37" t="s">
        <v>78</v>
      </c>
      <c r="P2" s="37"/>
    </row>
    <row r="3" spans="1:16" x14ac:dyDescent="0.25">
      <c r="A3" s="42"/>
      <c r="B3" s="103"/>
      <c r="C3" s="42">
        <v>310</v>
      </c>
      <c r="D3" s="43"/>
      <c r="E3" s="43"/>
      <c r="F3" s="43"/>
      <c r="G3" s="58" t="s">
        <v>15</v>
      </c>
      <c r="H3" s="44"/>
      <c r="I3" s="44"/>
      <c r="J3" s="44"/>
      <c r="K3" s="42"/>
      <c r="L3" s="42"/>
      <c r="M3" s="42"/>
      <c r="N3" s="42"/>
      <c r="O3" s="37" t="s">
        <v>16</v>
      </c>
      <c r="P3" s="37" t="s">
        <v>17</v>
      </c>
    </row>
    <row r="4" spans="1:16" hidden="1" x14ac:dyDescent="0.25">
      <c r="A4" s="37" t="s">
        <v>18</v>
      </c>
      <c r="B4" s="104" t="s">
        <v>643</v>
      </c>
      <c r="C4" s="37">
        <f t="shared" ref="C4:C67" si="0">C3+D4</f>
        <v>311</v>
      </c>
      <c r="D4" s="37">
        <f t="shared" ref="D4:D67" si="1">IF(H4=H3,0,1)</f>
        <v>1</v>
      </c>
      <c r="E4" s="37"/>
      <c r="F4" s="37"/>
      <c r="G4" s="59" t="s">
        <v>35</v>
      </c>
      <c r="H4" s="37" t="s">
        <v>668</v>
      </c>
      <c r="I4" s="37">
        <v>64277</v>
      </c>
      <c r="J4" s="37">
        <v>331</v>
      </c>
      <c r="K4" s="37" t="s">
        <v>20</v>
      </c>
      <c r="L4" s="37">
        <v>1</v>
      </c>
      <c r="M4" s="102">
        <v>2700000</v>
      </c>
      <c r="N4" s="102">
        <f t="shared" ref="N4:N35" si="2">L4*M4</f>
        <v>2700000</v>
      </c>
      <c r="O4" s="38"/>
      <c r="P4" s="37">
        <f>LEN(H4)</f>
        <v>41</v>
      </c>
    </row>
    <row r="5" spans="1:16" hidden="1" x14ac:dyDescent="0.25">
      <c r="A5" s="37" t="s">
        <v>18</v>
      </c>
      <c r="B5" s="104" t="s">
        <v>643</v>
      </c>
      <c r="C5" s="37">
        <f t="shared" si="0"/>
        <v>311</v>
      </c>
      <c r="D5" s="37">
        <f t="shared" si="1"/>
        <v>0</v>
      </c>
      <c r="E5" s="37"/>
      <c r="F5" s="37"/>
      <c r="G5" s="59" t="s">
        <v>35</v>
      </c>
      <c r="H5" s="37" t="s">
        <v>668</v>
      </c>
      <c r="I5" s="37">
        <v>1331</v>
      </c>
      <c r="J5" s="37">
        <v>331</v>
      </c>
      <c r="K5" s="37" t="s">
        <v>20</v>
      </c>
      <c r="L5" s="37">
        <v>1</v>
      </c>
      <c r="M5" s="102">
        <v>216000</v>
      </c>
      <c r="N5" s="102">
        <f t="shared" si="2"/>
        <v>216000</v>
      </c>
      <c r="O5" s="38"/>
      <c r="P5" s="37">
        <f t="shared" ref="P5:P68" si="3">LEN(H5)</f>
        <v>41</v>
      </c>
    </row>
    <row r="6" spans="1:16" hidden="1" x14ac:dyDescent="0.25">
      <c r="A6" s="37" t="s">
        <v>18</v>
      </c>
      <c r="B6" s="104" t="s">
        <v>471</v>
      </c>
      <c r="C6" s="37">
        <f t="shared" si="0"/>
        <v>312</v>
      </c>
      <c r="D6" s="37">
        <f t="shared" si="1"/>
        <v>1</v>
      </c>
      <c r="E6" s="37"/>
      <c r="F6" s="37"/>
      <c r="G6" s="59" t="s">
        <v>24</v>
      </c>
      <c r="H6" s="37" t="s">
        <v>669</v>
      </c>
      <c r="I6" s="37">
        <v>64277</v>
      </c>
      <c r="J6" s="37">
        <v>331</v>
      </c>
      <c r="K6" s="37" t="s">
        <v>20</v>
      </c>
      <c r="L6" s="37">
        <v>1</v>
      </c>
      <c r="M6" s="102">
        <v>50926</v>
      </c>
      <c r="N6" s="102">
        <f t="shared" si="2"/>
        <v>50926</v>
      </c>
      <c r="O6" s="38"/>
      <c r="P6" s="37">
        <f t="shared" si="3"/>
        <v>63</v>
      </c>
    </row>
    <row r="7" spans="1:16" hidden="1" x14ac:dyDescent="0.25">
      <c r="A7" s="37" t="s">
        <v>18</v>
      </c>
      <c r="B7" s="104" t="s">
        <v>471</v>
      </c>
      <c r="C7" s="37">
        <f t="shared" si="0"/>
        <v>312</v>
      </c>
      <c r="D7" s="37">
        <f t="shared" si="1"/>
        <v>0</v>
      </c>
      <c r="E7" s="37"/>
      <c r="F7" s="37"/>
      <c r="G7" s="59" t="s">
        <v>24</v>
      </c>
      <c r="H7" s="37" t="s">
        <v>669</v>
      </c>
      <c r="I7" s="37">
        <v>1331</v>
      </c>
      <c r="J7" s="37">
        <v>331</v>
      </c>
      <c r="K7" s="37" t="s">
        <v>20</v>
      </c>
      <c r="L7" s="37">
        <v>1</v>
      </c>
      <c r="M7" s="102">
        <v>4074</v>
      </c>
      <c r="N7" s="102">
        <f t="shared" si="2"/>
        <v>4074</v>
      </c>
      <c r="O7" s="38"/>
      <c r="P7" s="37">
        <f t="shared" si="3"/>
        <v>63</v>
      </c>
    </row>
    <row r="8" spans="1:16" hidden="1" x14ac:dyDescent="0.25">
      <c r="A8" s="37" t="s">
        <v>18</v>
      </c>
      <c r="B8" s="104" t="s">
        <v>658</v>
      </c>
      <c r="C8" s="37">
        <f t="shared" si="0"/>
        <v>313</v>
      </c>
      <c r="D8" s="37">
        <f t="shared" si="1"/>
        <v>1</v>
      </c>
      <c r="E8" s="37"/>
      <c r="F8" s="37"/>
      <c r="G8" s="59" t="s">
        <v>24</v>
      </c>
      <c r="H8" s="37" t="s">
        <v>670</v>
      </c>
      <c r="I8" s="37">
        <v>64277</v>
      </c>
      <c r="J8" s="37">
        <v>331</v>
      </c>
      <c r="K8" s="37" t="s">
        <v>20</v>
      </c>
      <c r="L8" s="37">
        <v>1</v>
      </c>
      <c r="M8" s="102">
        <v>161000</v>
      </c>
      <c r="N8" s="102">
        <f t="shared" si="2"/>
        <v>161000</v>
      </c>
      <c r="O8" s="38"/>
      <c r="P8" s="37">
        <f t="shared" si="3"/>
        <v>168</v>
      </c>
    </row>
    <row r="9" spans="1:16" hidden="1" x14ac:dyDescent="0.25">
      <c r="A9" s="37" t="s">
        <v>18</v>
      </c>
      <c r="B9" s="104" t="s">
        <v>658</v>
      </c>
      <c r="C9" s="37">
        <f t="shared" si="0"/>
        <v>313</v>
      </c>
      <c r="D9" s="37">
        <f t="shared" si="1"/>
        <v>0</v>
      </c>
      <c r="E9" s="37"/>
      <c r="F9" s="37"/>
      <c r="G9" s="59" t="s">
        <v>24</v>
      </c>
      <c r="H9" s="37" t="s">
        <v>670</v>
      </c>
      <c r="I9" s="37">
        <v>1331</v>
      </c>
      <c r="J9" s="37">
        <v>331</v>
      </c>
      <c r="K9" s="37" t="s">
        <v>20</v>
      </c>
      <c r="L9" s="37">
        <v>1</v>
      </c>
      <c r="M9" s="102">
        <v>11135</v>
      </c>
      <c r="N9" s="102">
        <f t="shared" si="2"/>
        <v>11135</v>
      </c>
      <c r="O9" s="38"/>
      <c r="P9" s="37">
        <f t="shared" si="3"/>
        <v>168</v>
      </c>
    </row>
    <row r="10" spans="1:16" hidden="1" x14ac:dyDescent="0.25">
      <c r="A10" s="37" t="s">
        <v>18</v>
      </c>
      <c r="B10" s="104" t="s">
        <v>710</v>
      </c>
      <c r="C10" s="37">
        <f t="shared" si="0"/>
        <v>314</v>
      </c>
      <c r="D10" s="37">
        <f t="shared" si="1"/>
        <v>1</v>
      </c>
      <c r="E10" s="37"/>
      <c r="F10" s="37"/>
      <c r="G10" s="59" t="s">
        <v>56</v>
      </c>
      <c r="H10" s="37" t="s">
        <v>718</v>
      </c>
      <c r="I10" s="37">
        <v>131</v>
      </c>
      <c r="J10" s="37">
        <v>5113</v>
      </c>
      <c r="K10" s="37" t="s">
        <v>20</v>
      </c>
      <c r="L10" s="37">
        <v>1</v>
      </c>
      <c r="M10" s="102">
        <v>10752688</v>
      </c>
      <c r="N10" s="102">
        <f t="shared" si="2"/>
        <v>10752688</v>
      </c>
      <c r="O10" s="38"/>
      <c r="P10" s="37">
        <f t="shared" si="3"/>
        <v>105</v>
      </c>
    </row>
    <row r="11" spans="1:16" x14ac:dyDescent="0.25">
      <c r="A11" s="37" t="s">
        <v>18</v>
      </c>
      <c r="B11" s="104" t="s">
        <v>710</v>
      </c>
      <c r="C11" s="37">
        <f t="shared" si="0"/>
        <v>315</v>
      </c>
      <c r="D11" s="37">
        <f t="shared" si="1"/>
        <v>1</v>
      </c>
      <c r="E11" s="37"/>
      <c r="F11" s="37"/>
      <c r="G11" s="59" t="s">
        <v>56</v>
      </c>
      <c r="H11" s="37" t="s">
        <v>3372</v>
      </c>
      <c r="I11" s="37">
        <v>333821</v>
      </c>
      <c r="J11" s="37">
        <v>131</v>
      </c>
      <c r="K11" s="37" t="s">
        <v>20</v>
      </c>
      <c r="L11" s="37">
        <v>1</v>
      </c>
      <c r="M11" s="102">
        <v>107527</v>
      </c>
      <c r="N11" s="102">
        <f t="shared" si="2"/>
        <v>107527</v>
      </c>
      <c r="O11" s="38"/>
      <c r="P11" s="37">
        <f t="shared" si="3"/>
        <v>121</v>
      </c>
    </row>
    <row r="12" spans="1:16" hidden="1" x14ac:dyDescent="0.25">
      <c r="A12" s="37" t="s">
        <v>18</v>
      </c>
      <c r="B12" s="104" t="s">
        <v>645</v>
      </c>
      <c r="C12" s="37">
        <f t="shared" si="0"/>
        <v>316</v>
      </c>
      <c r="D12" s="37">
        <f t="shared" si="1"/>
        <v>1</v>
      </c>
      <c r="E12" s="37"/>
      <c r="F12" s="37"/>
      <c r="G12" s="59" t="s">
        <v>713</v>
      </c>
      <c r="H12" s="37" t="s">
        <v>721</v>
      </c>
      <c r="I12" s="37">
        <v>131</v>
      </c>
      <c r="J12" s="37">
        <v>5113</v>
      </c>
      <c r="K12" s="37" t="s">
        <v>20</v>
      </c>
      <c r="L12" s="37">
        <v>1</v>
      </c>
      <c r="M12" s="102">
        <v>10752688</v>
      </c>
      <c r="N12" s="102">
        <f t="shared" si="2"/>
        <v>10752688</v>
      </c>
      <c r="O12" s="38"/>
      <c r="P12" s="37">
        <f t="shared" si="3"/>
        <v>143</v>
      </c>
    </row>
    <row r="13" spans="1:16" x14ac:dyDescent="0.25">
      <c r="A13" s="37" t="s">
        <v>18</v>
      </c>
      <c r="B13" s="104" t="s">
        <v>645</v>
      </c>
      <c r="C13" s="37">
        <f t="shared" si="0"/>
        <v>317</v>
      </c>
      <c r="D13" s="37">
        <f t="shared" si="1"/>
        <v>1</v>
      </c>
      <c r="E13" s="37"/>
      <c r="F13" s="37"/>
      <c r="G13" s="59" t="s">
        <v>713</v>
      </c>
      <c r="H13" s="37" t="s">
        <v>3373</v>
      </c>
      <c r="I13" s="37">
        <v>333821</v>
      </c>
      <c r="J13" s="37">
        <v>131</v>
      </c>
      <c r="K13" s="37" t="s">
        <v>20</v>
      </c>
      <c r="L13" s="37">
        <v>1</v>
      </c>
      <c r="M13" s="102">
        <v>107527</v>
      </c>
      <c r="N13" s="102">
        <f t="shared" si="2"/>
        <v>107527</v>
      </c>
      <c r="O13" s="38"/>
      <c r="P13" s="37">
        <f t="shared" si="3"/>
        <v>159</v>
      </c>
    </row>
    <row r="14" spans="1:16" hidden="1" x14ac:dyDescent="0.25">
      <c r="A14" s="37" t="s">
        <v>18</v>
      </c>
      <c r="B14" s="104" t="s">
        <v>645</v>
      </c>
      <c r="C14" s="37">
        <f t="shared" si="0"/>
        <v>318</v>
      </c>
      <c r="D14" s="37">
        <f t="shared" si="1"/>
        <v>1</v>
      </c>
      <c r="E14" s="37"/>
      <c r="F14" s="37"/>
      <c r="G14" s="59" t="s">
        <v>67</v>
      </c>
      <c r="H14" s="37" t="s">
        <v>719</v>
      </c>
      <c r="I14" s="37">
        <v>131</v>
      </c>
      <c r="J14" s="37">
        <v>5113</v>
      </c>
      <c r="K14" s="37" t="s">
        <v>20</v>
      </c>
      <c r="L14" s="37">
        <v>1</v>
      </c>
      <c r="M14" s="102">
        <v>10752688</v>
      </c>
      <c r="N14" s="102">
        <f t="shared" si="2"/>
        <v>10752688</v>
      </c>
      <c r="O14" s="38"/>
      <c r="P14" s="37">
        <f t="shared" si="3"/>
        <v>124</v>
      </c>
    </row>
    <row r="15" spans="1:16" x14ac:dyDescent="0.25">
      <c r="A15" s="37" t="s">
        <v>18</v>
      </c>
      <c r="B15" s="104" t="s">
        <v>645</v>
      </c>
      <c r="C15" s="37">
        <f t="shared" si="0"/>
        <v>319</v>
      </c>
      <c r="D15" s="37">
        <f t="shared" si="1"/>
        <v>1</v>
      </c>
      <c r="E15" s="37"/>
      <c r="F15" s="37"/>
      <c r="G15" s="59" t="s">
        <v>67</v>
      </c>
      <c r="H15" s="37" t="s">
        <v>3374</v>
      </c>
      <c r="I15" s="37">
        <v>333821</v>
      </c>
      <c r="J15" s="37">
        <v>131</v>
      </c>
      <c r="K15" s="37" t="s">
        <v>20</v>
      </c>
      <c r="L15" s="37">
        <v>1</v>
      </c>
      <c r="M15" s="102">
        <v>107527</v>
      </c>
      <c r="N15" s="102">
        <f t="shared" si="2"/>
        <v>107527</v>
      </c>
      <c r="O15" s="38"/>
      <c r="P15" s="37">
        <f t="shared" si="3"/>
        <v>140</v>
      </c>
    </row>
    <row r="16" spans="1:16" hidden="1" x14ac:dyDescent="0.25">
      <c r="A16" s="37" t="s">
        <v>18</v>
      </c>
      <c r="B16" s="104" t="s">
        <v>645</v>
      </c>
      <c r="C16" s="37">
        <f t="shared" si="0"/>
        <v>320</v>
      </c>
      <c r="D16" s="37">
        <f t="shared" si="1"/>
        <v>1</v>
      </c>
      <c r="E16" s="37"/>
      <c r="F16" s="37"/>
      <c r="G16" s="59" t="s">
        <v>286</v>
      </c>
      <c r="H16" s="37" t="s">
        <v>720</v>
      </c>
      <c r="I16" s="37">
        <v>131</v>
      </c>
      <c r="J16" s="37">
        <v>5113</v>
      </c>
      <c r="K16" s="37" t="s">
        <v>20</v>
      </c>
      <c r="L16" s="37">
        <v>1</v>
      </c>
      <c r="M16" s="102">
        <v>10752688</v>
      </c>
      <c r="N16" s="102">
        <f t="shared" si="2"/>
        <v>10752688</v>
      </c>
      <c r="O16" s="38"/>
      <c r="P16" s="37">
        <f t="shared" si="3"/>
        <v>135</v>
      </c>
    </row>
    <row r="17" spans="1:16" x14ac:dyDescent="0.25">
      <c r="A17" s="37" t="s">
        <v>18</v>
      </c>
      <c r="B17" s="104" t="s">
        <v>645</v>
      </c>
      <c r="C17" s="37">
        <f t="shared" si="0"/>
        <v>321</v>
      </c>
      <c r="D17" s="37">
        <f t="shared" si="1"/>
        <v>1</v>
      </c>
      <c r="E17" s="37"/>
      <c r="F17" s="37"/>
      <c r="G17" s="59" t="s">
        <v>286</v>
      </c>
      <c r="H17" s="37" t="s">
        <v>3375</v>
      </c>
      <c r="I17" s="37">
        <v>333821</v>
      </c>
      <c r="J17" s="37">
        <v>131</v>
      </c>
      <c r="K17" s="37" t="s">
        <v>20</v>
      </c>
      <c r="L17" s="37">
        <v>1</v>
      </c>
      <c r="M17" s="102">
        <v>107527</v>
      </c>
      <c r="N17" s="102">
        <f t="shared" si="2"/>
        <v>107527</v>
      </c>
      <c r="O17" s="38"/>
      <c r="P17" s="37">
        <f t="shared" si="3"/>
        <v>151</v>
      </c>
    </row>
    <row r="18" spans="1:16" hidden="1" x14ac:dyDescent="0.25">
      <c r="A18" s="37" t="s">
        <v>18</v>
      </c>
      <c r="B18" s="104" t="s">
        <v>711</v>
      </c>
      <c r="C18" s="37">
        <f t="shared" si="0"/>
        <v>322</v>
      </c>
      <c r="D18" s="37">
        <f t="shared" si="1"/>
        <v>1</v>
      </c>
      <c r="E18" s="37"/>
      <c r="F18" s="37"/>
      <c r="G18" s="59" t="s">
        <v>68</v>
      </c>
      <c r="H18" s="37" t="s">
        <v>723</v>
      </c>
      <c r="I18" s="37">
        <v>131</v>
      </c>
      <c r="J18" s="37">
        <v>5113</v>
      </c>
      <c r="K18" s="37" t="s">
        <v>20</v>
      </c>
      <c r="L18" s="37">
        <v>1</v>
      </c>
      <c r="M18" s="102">
        <v>10752688</v>
      </c>
      <c r="N18" s="102">
        <f t="shared" si="2"/>
        <v>10752688</v>
      </c>
      <c r="O18" s="38"/>
      <c r="P18" s="37">
        <f t="shared" si="3"/>
        <v>144</v>
      </c>
    </row>
    <row r="19" spans="1:16" x14ac:dyDescent="0.25">
      <c r="A19" s="37" t="s">
        <v>18</v>
      </c>
      <c r="B19" s="104" t="s">
        <v>711</v>
      </c>
      <c r="C19" s="37">
        <f t="shared" si="0"/>
        <v>323</v>
      </c>
      <c r="D19" s="37">
        <f t="shared" si="1"/>
        <v>1</v>
      </c>
      <c r="E19" s="37"/>
      <c r="F19" s="37"/>
      <c r="G19" s="59" t="s">
        <v>68</v>
      </c>
      <c r="H19" s="37" t="s">
        <v>3376</v>
      </c>
      <c r="I19" s="37">
        <v>333821</v>
      </c>
      <c r="J19" s="37">
        <v>131</v>
      </c>
      <c r="K19" s="37" t="s">
        <v>20</v>
      </c>
      <c r="L19" s="37">
        <v>1</v>
      </c>
      <c r="M19" s="102">
        <v>107527</v>
      </c>
      <c r="N19" s="102">
        <f t="shared" si="2"/>
        <v>107527</v>
      </c>
      <c r="O19" s="38"/>
      <c r="P19" s="37">
        <f t="shared" si="3"/>
        <v>160</v>
      </c>
    </row>
    <row r="20" spans="1:16" hidden="1" x14ac:dyDescent="0.25">
      <c r="A20" s="37" t="s">
        <v>18</v>
      </c>
      <c r="B20" s="104" t="s">
        <v>711</v>
      </c>
      <c r="C20" s="37">
        <f t="shared" si="0"/>
        <v>324</v>
      </c>
      <c r="D20" s="37">
        <f t="shared" si="1"/>
        <v>1</v>
      </c>
      <c r="E20" s="37"/>
      <c r="F20" s="37"/>
      <c r="G20" s="59" t="s">
        <v>714</v>
      </c>
      <c r="H20" s="37" t="s">
        <v>724</v>
      </c>
      <c r="I20" s="37">
        <v>131</v>
      </c>
      <c r="J20" s="37">
        <v>5113</v>
      </c>
      <c r="K20" s="37" t="s">
        <v>20</v>
      </c>
      <c r="L20" s="37">
        <v>1</v>
      </c>
      <c r="M20" s="102">
        <v>11111111</v>
      </c>
      <c r="N20" s="102">
        <f t="shared" si="2"/>
        <v>11111111</v>
      </c>
      <c r="O20" s="38"/>
      <c r="P20" s="37">
        <f t="shared" si="3"/>
        <v>148</v>
      </c>
    </row>
    <row r="21" spans="1:16" x14ac:dyDescent="0.25">
      <c r="A21" s="37" t="s">
        <v>18</v>
      </c>
      <c r="B21" s="104" t="s">
        <v>711</v>
      </c>
      <c r="C21" s="37">
        <f t="shared" si="0"/>
        <v>325</v>
      </c>
      <c r="D21" s="37">
        <f t="shared" si="1"/>
        <v>1</v>
      </c>
      <c r="E21" s="37"/>
      <c r="F21" s="37"/>
      <c r="G21" s="59" t="s">
        <v>714</v>
      </c>
      <c r="H21" s="37" t="s">
        <v>3377</v>
      </c>
      <c r="I21" s="37">
        <v>333821</v>
      </c>
      <c r="J21" s="37">
        <v>131</v>
      </c>
      <c r="K21" s="37" t="s">
        <v>20</v>
      </c>
      <c r="L21" s="37">
        <v>1</v>
      </c>
      <c r="M21" s="102">
        <v>111111</v>
      </c>
      <c r="N21" s="102">
        <f t="shared" si="2"/>
        <v>111111</v>
      </c>
      <c r="O21" s="38"/>
      <c r="P21" s="37">
        <f t="shared" si="3"/>
        <v>164</v>
      </c>
    </row>
    <row r="22" spans="1:16" hidden="1" x14ac:dyDescent="0.25">
      <c r="A22" s="37" t="s">
        <v>18</v>
      </c>
      <c r="B22" s="104" t="s">
        <v>711</v>
      </c>
      <c r="C22" s="37">
        <f t="shared" si="0"/>
        <v>326</v>
      </c>
      <c r="D22" s="37">
        <f t="shared" si="1"/>
        <v>1</v>
      </c>
      <c r="E22" s="37"/>
      <c r="F22" s="37"/>
      <c r="G22" s="59" t="s">
        <v>53</v>
      </c>
      <c r="H22" s="37" t="s">
        <v>722</v>
      </c>
      <c r="I22" s="37">
        <v>131</v>
      </c>
      <c r="J22" s="37">
        <v>5113</v>
      </c>
      <c r="K22" s="37" t="s">
        <v>20</v>
      </c>
      <c r="L22" s="37">
        <v>1</v>
      </c>
      <c r="M22" s="102">
        <v>12903226</v>
      </c>
      <c r="N22" s="102">
        <f t="shared" si="2"/>
        <v>12903226</v>
      </c>
      <c r="O22" s="38"/>
      <c r="P22" s="37">
        <f t="shared" si="3"/>
        <v>162</v>
      </c>
    </row>
    <row r="23" spans="1:16" x14ac:dyDescent="0.25">
      <c r="A23" s="37" t="s">
        <v>18</v>
      </c>
      <c r="B23" s="104" t="s">
        <v>711</v>
      </c>
      <c r="C23" s="37">
        <f t="shared" si="0"/>
        <v>327</v>
      </c>
      <c r="D23" s="37">
        <f t="shared" si="1"/>
        <v>1</v>
      </c>
      <c r="E23" s="37"/>
      <c r="F23" s="37"/>
      <c r="G23" s="59" t="s">
        <v>53</v>
      </c>
      <c r="H23" s="37" t="s">
        <v>3378</v>
      </c>
      <c r="I23" s="37">
        <v>333821</v>
      </c>
      <c r="J23" s="37">
        <v>131</v>
      </c>
      <c r="K23" s="37" t="s">
        <v>20</v>
      </c>
      <c r="L23" s="37">
        <v>1</v>
      </c>
      <c r="M23" s="102">
        <v>129032</v>
      </c>
      <c r="N23" s="102">
        <f t="shared" si="2"/>
        <v>129032</v>
      </c>
      <c r="O23" s="38"/>
      <c r="P23" s="37">
        <f t="shared" si="3"/>
        <v>178</v>
      </c>
    </row>
    <row r="24" spans="1:16" hidden="1" x14ac:dyDescent="0.25">
      <c r="A24" s="37" t="s">
        <v>18</v>
      </c>
      <c r="B24" s="104" t="s">
        <v>659</v>
      </c>
      <c r="C24" s="37">
        <f t="shared" si="0"/>
        <v>328</v>
      </c>
      <c r="D24" s="37">
        <f t="shared" si="1"/>
        <v>1</v>
      </c>
      <c r="E24" s="37"/>
      <c r="F24" s="37"/>
      <c r="G24" s="59" t="s">
        <v>24</v>
      </c>
      <c r="H24" s="37" t="s">
        <v>671</v>
      </c>
      <c r="I24" s="37">
        <v>64277</v>
      </c>
      <c r="J24" s="37">
        <v>331</v>
      </c>
      <c r="K24" s="37" t="s">
        <v>20</v>
      </c>
      <c r="L24" s="37">
        <v>1</v>
      </c>
      <c r="M24" s="102">
        <v>189000</v>
      </c>
      <c r="N24" s="102">
        <f t="shared" si="2"/>
        <v>189000</v>
      </c>
      <c r="O24" s="38"/>
      <c r="P24" s="37">
        <f t="shared" si="3"/>
        <v>169</v>
      </c>
    </row>
    <row r="25" spans="1:16" hidden="1" x14ac:dyDescent="0.25">
      <c r="A25" s="37" t="s">
        <v>18</v>
      </c>
      <c r="B25" s="104" t="s">
        <v>659</v>
      </c>
      <c r="C25" s="37">
        <f t="shared" si="0"/>
        <v>328</v>
      </c>
      <c r="D25" s="37">
        <f t="shared" si="1"/>
        <v>0</v>
      </c>
      <c r="E25" s="37"/>
      <c r="F25" s="37"/>
      <c r="G25" s="59" t="s">
        <v>24</v>
      </c>
      <c r="H25" s="37" t="s">
        <v>671</v>
      </c>
      <c r="I25" s="37">
        <v>1331</v>
      </c>
      <c r="J25" s="37">
        <v>331</v>
      </c>
      <c r="K25" s="37" t="s">
        <v>20</v>
      </c>
      <c r="L25" s="37">
        <v>1</v>
      </c>
      <c r="M25" s="102">
        <v>13072</v>
      </c>
      <c r="N25" s="102">
        <f t="shared" si="2"/>
        <v>13072</v>
      </c>
      <c r="O25" s="38"/>
      <c r="P25" s="37">
        <f t="shared" si="3"/>
        <v>169</v>
      </c>
    </row>
    <row r="26" spans="1:16" hidden="1" x14ac:dyDescent="0.25">
      <c r="A26" s="37" t="s">
        <v>18</v>
      </c>
      <c r="B26" s="104" t="s">
        <v>496</v>
      </c>
      <c r="C26" s="37">
        <f t="shared" si="0"/>
        <v>329</v>
      </c>
      <c r="D26" s="37">
        <f t="shared" si="1"/>
        <v>1</v>
      </c>
      <c r="E26" s="37"/>
      <c r="F26" s="37"/>
      <c r="G26" s="59" t="s">
        <v>24</v>
      </c>
      <c r="H26" s="37" t="s">
        <v>672</v>
      </c>
      <c r="I26" s="37">
        <v>64277</v>
      </c>
      <c r="J26" s="37">
        <v>331</v>
      </c>
      <c r="K26" s="37" t="s">
        <v>20</v>
      </c>
      <c r="L26" s="37">
        <v>1</v>
      </c>
      <c r="M26" s="102">
        <v>77000</v>
      </c>
      <c r="N26" s="102">
        <f t="shared" si="2"/>
        <v>77000</v>
      </c>
      <c r="O26" s="38"/>
      <c r="P26" s="37">
        <f t="shared" si="3"/>
        <v>126</v>
      </c>
    </row>
    <row r="27" spans="1:16" hidden="1" x14ac:dyDescent="0.25">
      <c r="A27" s="37" t="s">
        <v>18</v>
      </c>
      <c r="B27" s="104" t="s">
        <v>496</v>
      </c>
      <c r="C27" s="37">
        <f t="shared" si="0"/>
        <v>329</v>
      </c>
      <c r="D27" s="37">
        <f t="shared" si="1"/>
        <v>0</v>
      </c>
      <c r="E27" s="37"/>
      <c r="F27" s="37"/>
      <c r="G27" s="59" t="s">
        <v>24</v>
      </c>
      <c r="H27" s="37" t="s">
        <v>672</v>
      </c>
      <c r="I27" s="37">
        <v>1331</v>
      </c>
      <c r="J27" s="37">
        <v>331</v>
      </c>
      <c r="K27" s="37" t="s">
        <v>20</v>
      </c>
      <c r="L27" s="37">
        <v>1</v>
      </c>
      <c r="M27" s="102">
        <v>5704</v>
      </c>
      <c r="N27" s="102">
        <f t="shared" si="2"/>
        <v>5704</v>
      </c>
      <c r="O27" s="38"/>
      <c r="P27" s="37">
        <f t="shared" si="3"/>
        <v>126</v>
      </c>
    </row>
    <row r="28" spans="1:16" hidden="1" x14ac:dyDescent="0.25">
      <c r="A28" s="37" t="s">
        <v>18</v>
      </c>
      <c r="B28" s="104" t="s">
        <v>497</v>
      </c>
      <c r="C28" s="37">
        <f t="shared" si="0"/>
        <v>330</v>
      </c>
      <c r="D28" s="37">
        <f t="shared" si="1"/>
        <v>1</v>
      </c>
      <c r="E28" s="37"/>
      <c r="F28" s="37"/>
      <c r="G28" s="59" t="s">
        <v>87</v>
      </c>
      <c r="H28" s="37" t="s">
        <v>725</v>
      </c>
      <c r="I28" s="37">
        <v>131</v>
      </c>
      <c r="J28" s="37">
        <v>5113</v>
      </c>
      <c r="K28" s="37" t="s">
        <v>20</v>
      </c>
      <c r="L28" s="37">
        <v>1</v>
      </c>
      <c r="M28" s="102">
        <v>10752688</v>
      </c>
      <c r="N28" s="102">
        <f t="shared" si="2"/>
        <v>10752688</v>
      </c>
      <c r="O28" s="38"/>
      <c r="P28" s="37">
        <f t="shared" si="3"/>
        <v>153</v>
      </c>
    </row>
    <row r="29" spans="1:16" x14ac:dyDescent="0.25">
      <c r="A29" s="37" t="s">
        <v>18</v>
      </c>
      <c r="B29" s="104" t="s">
        <v>497</v>
      </c>
      <c r="C29" s="37">
        <f t="shared" si="0"/>
        <v>331</v>
      </c>
      <c r="D29" s="37">
        <f t="shared" si="1"/>
        <v>1</v>
      </c>
      <c r="E29" s="37"/>
      <c r="F29" s="37"/>
      <c r="G29" s="59" t="s">
        <v>87</v>
      </c>
      <c r="H29" s="37" t="s">
        <v>3379</v>
      </c>
      <c r="I29" s="37">
        <v>333821</v>
      </c>
      <c r="J29" s="37">
        <v>131</v>
      </c>
      <c r="K29" s="37" t="s">
        <v>20</v>
      </c>
      <c r="L29" s="37">
        <v>1</v>
      </c>
      <c r="M29" s="102">
        <v>107527</v>
      </c>
      <c r="N29" s="102">
        <f t="shared" si="2"/>
        <v>107527</v>
      </c>
      <c r="O29" s="38"/>
      <c r="P29" s="37">
        <f t="shared" si="3"/>
        <v>169</v>
      </c>
    </row>
    <row r="30" spans="1:16" hidden="1" x14ac:dyDescent="0.25">
      <c r="A30" s="37" t="s">
        <v>18</v>
      </c>
      <c r="B30" s="104" t="s">
        <v>472</v>
      </c>
      <c r="C30" s="37">
        <f t="shared" si="0"/>
        <v>332</v>
      </c>
      <c r="D30" s="37">
        <f t="shared" si="1"/>
        <v>1</v>
      </c>
      <c r="E30" s="37"/>
      <c r="F30" s="37"/>
      <c r="G30" s="59" t="s">
        <v>24</v>
      </c>
      <c r="H30" s="37" t="s">
        <v>673</v>
      </c>
      <c r="I30" s="37">
        <v>64277</v>
      </c>
      <c r="J30" s="37">
        <v>331</v>
      </c>
      <c r="K30" s="37" t="s">
        <v>20</v>
      </c>
      <c r="L30" s="37">
        <v>1</v>
      </c>
      <c r="M30" s="102">
        <v>13963</v>
      </c>
      <c r="N30" s="102">
        <f t="shared" si="2"/>
        <v>13963</v>
      </c>
      <c r="O30" s="38"/>
      <c r="P30" s="37">
        <f t="shared" si="3"/>
        <v>107</v>
      </c>
    </row>
    <row r="31" spans="1:16" hidden="1" x14ac:dyDescent="0.25">
      <c r="A31" s="37" t="s">
        <v>18</v>
      </c>
      <c r="B31" s="104" t="s">
        <v>472</v>
      </c>
      <c r="C31" s="37">
        <f t="shared" si="0"/>
        <v>332</v>
      </c>
      <c r="D31" s="37">
        <f t="shared" si="1"/>
        <v>0</v>
      </c>
      <c r="E31" s="37"/>
      <c r="F31" s="37"/>
      <c r="G31" s="59" t="s">
        <v>24</v>
      </c>
      <c r="H31" s="37" t="s">
        <v>673</v>
      </c>
      <c r="I31" s="37">
        <v>1331</v>
      </c>
      <c r="J31" s="37">
        <v>331</v>
      </c>
      <c r="K31" s="37" t="s">
        <v>20</v>
      </c>
      <c r="L31" s="37">
        <v>1</v>
      </c>
      <c r="M31" s="102">
        <v>1037</v>
      </c>
      <c r="N31" s="102">
        <f t="shared" si="2"/>
        <v>1037</v>
      </c>
      <c r="O31" s="38"/>
      <c r="P31" s="37">
        <f t="shared" si="3"/>
        <v>107</v>
      </c>
    </row>
    <row r="32" spans="1:16" hidden="1" x14ac:dyDescent="0.25">
      <c r="A32" s="37" t="s">
        <v>18</v>
      </c>
      <c r="B32" s="104" t="s">
        <v>498</v>
      </c>
      <c r="C32" s="37">
        <f t="shared" si="0"/>
        <v>333</v>
      </c>
      <c r="D32" s="37">
        <f t="shared" si="1"/>
        <v>1</v>
      </c>
      <c r="E32" s="37"/>
      <c r="F32" s="37"/>
      <c r="G32" s="59" t="s">
        <v>35</v>
      </c>
      <c r="H32" s="37" t="s">
        <v>674</v>
      </c>
      <c r="I32" s="37">
        <v>64277</v>
      </c>
      <c r="J32" s="37">
        <v>331</v>
      </c>
      <c r="K32" s="37" t="s">
        <v>20</v>
      </c>
      <c r="L32" s="37">
        <v>1</v>
      </c>
      <c r="M32" s="102">
        <v>2700000</v>
      </c>
      <c r="N32" s="102">
        <f t="shared" si="2"/>
        <v>2700000</v>
      </c>
      <c r="O32" s="38"/>
      <c r="P32" s="37">
        <f t="shared" si="3"/>
        <v>41</v>
      </c>
    </row>
    <row r="33" spans="1:16" hidden="1" x14ac:dyDescent="0.25">
      <c r="A33" s="37" t="s">
        <v>18</v>
      </c>
      <c r="B33" s="104" t="s">
        <v>498</v>
      </c>
      <c r="C33" s="37">
        <f t="shared" si="0"/>
        <v>333</v>
      </c>
      <c r="D33" s="37">
        <f t="shared" si="1"/>
        <v>0</v>
      </c>
      <c r="E33" s="37"/>
      <c r="F33" s="37"/>
      <c r="G33" s="59" t="s">
        <v>35</v>
      </c>
      <c r="H33" s="37" t="s">
        <v>674</v>
      </c>
      <c r="I33" s="37">
        <v>1331</v>
      </c>
      <c r="J33" s="37">
        <v>331</v>
      </c>
      <c r="K33" s="37" t="s">
        <v>20</v>
      </c>
      <c r="L33" s="37">
        <v>1</v>
      </c>
      <c r="M33" s="102">
        <v>216000</v>
      </c>
      <c r="N33" s="102">
        <f t="shared" si="2"/>
        <v>216000</v>
      </c>
      <c r="O33" s="38"/>
      <c r="P33" s="37">
        <f t="shared" si="3"/>
        <v>41</v>
      </c>
    </row>
    <row r="34" spans="1:16" hidden="1" x14ac:dyDescent="0.25">
      <c r="A34" s="37" t="s">
        <v>18</v>
      </c>
      <c r="B34" s="104">
        <v>46053</v>
      </c>
      <c r="C34" s="37">
        <f t="shared" si="0"/>
        <v>334</v>
      </c>
      <c r="D34" s="37">
        <f t="shared" si="1"/>
        <v>1</v>
      </c>
      <c r="E34" s="37"/>
      <c r="F34" s="37"/>
      <c r="G34" s="59" t="s">
        <v>39</v>
      </c>
      <c r="H34" s="37" t="s">
        <v>455</v>
      </c>
      <c r="I34" s="37">
        <v>64271</v>
      </c>
      <c r="J34" s="37">
        <v>3383</v>
      </c>
      <c r="K34" s="37" t="s">
        <v>20</v>
      </c>
      <c r="L34" s="37">
        <v>1</v>
      </c>
      <c r="M34" s="102">
        <v>690300</v>
      </c>
      <c r="N34" s="102">
        <f t="shared" si="2"/>
        <v>690300</v>
      </c>
      <c r="O34" s="38"/>
      <c r="P34" s="37">
        <f t="shared" si="3"/>
        <v>30</v>
      </c>
    </row>
    <row r="35" spans="1:16" hidden="1" x14ac:dyDescent="0.25">
      <c r="A35" s="37" t="s">
        <v>18</v>
      </c>
      <c r="B35" s="104" t="s">
        <v>436</v>
      </c>
      <c r="C35" s="37">
        <f t="shared" si="0"/>
        <v>335</v>
      </c>
      <c r="D35" s="37">
        <f t="shared" si="1"/>
        <v>1</v>
      </c>
      <c r="E35" s="37"/>
      <c r="F35" s="37"/>
      <c r="G35" s="59" t="s">
        <v>666</v>
      </c>
      <c r="H35" s="37" t="s">
        <v>675</v>
      </c>
      <c r="I35" s="37">
        <v>64277</v>
      </c>
      <c r="J35" s="37">
        <v>331</v>
      </c>
      <c r="K35" s="37" t="s">
        <v>20</v>
      </c>
      <c r="L35" s="37">
        <v>1</v>
      </c>
      <c r="M35" s="102">
        <v>341000</v>
      </c>
      <c r="N35" s="102">
        <f t="shared" si="2"/>
        <v>341000</v>
      </c>
      <c r="O35" s="38"/>
      <c r="P35" s="37">
        <f t="shared" si="3"/>
        <v>124</v>
      </c>
    </row>
    <row r="36" spans="1:16" hidden="1" x14ac:dyDescent="0.25">
      <c r="A36" s="37" t="s">
        <v>18</v>
      </c>
      <c r="B36" s="104" t="s">
        <v>436</v>
      </c>
      <c r="C36" s="37">
        <f t="shared" si="0"/>
        <v>335</v>
      </c>
      <c r="D36" s="37">
        <f t="shared" si="1"/>
        <v>0</v>
      </c>
      <c r="E36" s="37"/>
      <c r="F36" s="37"/>
      <c r="G36" s="59" t="s">
        <v>666</v>
      </c>
      <c r="H36" s="37" t="s">
        <v>675</v>
      </c>
      <c r="I36" s="37">
        <v>1331</v>
      </c>
      <c r="J36" s="37">
        <v>331</v>
      </c>
      <c r="K36" s="37" t="s">
        <v>20</v>
      </c>
      <c r="L36" s="37">
        <v>1</v>
      </c>
      <c r="M36" s="102">
        <v>25259</v>
      </c>
      <c r="N36" s="102">
        <f t="shared" ref="N36:N67" si="4">L36*M36</f>
        <v>25259</v>
      </c>
      <c r="O36" s="38"/>
      <c r="P36" s="37">
        <f t="shared" si="3"/>
        <v>124</v>
      </c>
    </row>
    <row r="37" spans="1:16" hidden="1" x14ac:dyDescent="0.25">
      <c r="A37" s="37" t="s">
        <v>18</v>
      </c>
      <c r="B37" s="104" t="s">
        <v>541</v>
      </c>
      <c r="C37" s="37">
        <f t="shared" si="0"/>
        <v>336</v>
      </c>
      <c r="D37" s="37">
        <f t="shared" si="1"/>
        <v>1</v>
      </c>
      <c r="E37" s="37"/>
      <c r="F37" s="37"/>
      <c r="G37" s="59" t="s">
        <v>84</v>
      </c>
      <c r="H37" s="37" t="s">
        <v>727</v>
      </c>
      <c r="I37" s="37">
        <v>131</v>
      </c>
      <c r="J37" s="37">
        <v>5113</v>
      </c>
      <c r="K37" s="37" t="s">
        <v>20</v>
      </c>
      <c r="L37" s="37">
        <v>1</v>
      </c>
      <c r="M37" s="102">
        <v>10752688</v>
      </c>
      <c r="N37" s="102">
        <f t="shared" si="4"/>
        <v>10752688</v>
      </c>
      <c r="O37" s="38"/>
      <c r="P37" s="37">
        <f t="shared" si="3"/>
        <v>161</v>
      </c>
    </row>
    <row r="38" spans="1:16" x14ac:dyDescent="0.25">
      <c r="A38" s="37" t="s">
        <v>18</v>
      </c>
      <c r="B38" s="104" t="s">
        <v>541</v>
      </c>
      <c r="C38" s="37">
        <f t="shared" si="0"/>
        <v>337</v>
      </c>
      <c r="D38" s="37">
        <f t="shared" si="1"/>
        <v>1</v>
      </c>
      <c r="E38" s="37"/>
      <c r="F38" s="37"/>
      <c r="G38" s="59" t="s">
        <v>84</v>
      </c>
      <c r="H38" s="37" t="s">
        <v>3380</v>
      </c>
      <c r="I38" s="37">
        <v>333821</v>
      </c>
      <c r="J38" s="37">
        <v>131</v>
      </c>
      <c r="K38" s="37" t="s">
        <v>20</v>
      </c>
      <c r="L38" s="37">
        <v>1</v>
      </c>
      <c r="M38" s="102">
        <v>107527</v>
      </c>
      <c r="N38" s="102">
        <f t="shared" si="4"/>
        <v>107527</v>
      </c>
      <c r="O38" s="38"/>
      <c r="P38" s="37">
        <f t="shared" si="3"/>
        <v>177</v>
      </c>
    </row>
    <row r="39" spans="1:16" hidden="1" x14ac:dyDescent="0.25">
      <c r="A39" s="37" t="s">
        <v>18</v>
      </c>
      <c r="B39" s="104" t="s">
        <v>541</v>
      </c>
      <c r="C39" s="37">
        <f t="shared" si="0"/>
        <v>338</v>
      </c>
      <c r="D39" s="37">
        <f t="shared" si="1"/>
        <v>1</v>
      </c>
      <c r="E39" s="37"/>
      <c r="F39" s="37"/>
      <c r="G39" s="59" t="s">
        <v>84</v>
      </c>
      <c r="H39" s="37" t="s">
        <v>726</v>
      </c>
      <c r="I39" s="37">
        <v>131</v>
      </c>
      <c r="J39" s="37">
        <v>5113</v>
      </c>
      <c r="K39" s="37" t="s">
        <v>20</v>
      </c>
      <c r="L39" s="37">
        <v>1</v>
      </c>
      <c r="M39" s="102">
        <v>10752688</v>
      </c>
      <c r="N39" s="102">
        <f t="shared" si="4"/>
        <v>10752688</v>
      </c>
      <c r="O39" s="38"/>
      <c r="P39" s="37">
        <f t="shared" si="3"/>
        <v>160</v>
      </c>
    </row>
    <row r="40" spans="1:16" x14ac:dyDescent="0.25">
      <c r="A40" s="37" t="s">
        <v>18</v>
      </c>
      <c r="B40" s="104" t="s">
        <v>541</v>
      </c>
      <c r="C40" s="37">
        <f t="shared" si="0"/>
        <v>339</v>
      </c>
      <c r="D40" s="37">
        <f t="shared" si="1"/>
        <v>1</v>
      </c>
      <c r="E40" s="37"/>
      <c r="F40" s="37"/>
      <c r="G40" s="59" t="s">
        <v>84</v>
      </c>
      <c r="H40" s="37" t="s">
        <v>3381</v>
      </c>
      <c r="I40" s="37">
        <v>333821</v>
      </c>
      <c r="J40" s="37">
        <v>131</v>
      </c>
      <c r="K40" s="37" t="s">
        <v>20</v>
      </c>
      <c r="L40" s="37">
        <v>1</v>
      </c>
      <c r="M40" s="102">
        <v>107527</v>
      </c>
      <c r="N40" s="102">
        <f t="shared" si="4"/>
        <v>107527</v>
      </c>
      <c r="O40" s="38"/>
      <c r="P40" s="37">
        <f t="shared" si="3"/>
        <v>176</v>
      </c>
    </row>
    <row r="41" spans="1:16" hidden="1" x14ac:dyDescent="0.25">
      <c r="A41" s="37" t="s">
        <v>18</v>
      </c>
      <c r="B41" s="104" t="s">
        <v>542</v>
      </c>
      <c r="C41" s="37">
        <f t="shared" si="0"/>
        <v>340</v>
      </c>
      <c r="D41" s="37">
        <f t="shared" si="1"/>
        <v>1</v>
      </c>
      <c r="E41" s="37"/>
      <c r="F41" s="37"/>
      <c r="G41" s="59" t="s">
        <v>24</v>
      </c>
      <c r="H41" s="37" t="s">
        <v>677</v>
      </c>
      <c r="I41" s="37">
        <v>64277</v>
      </c>
      <c r="J41" s="37">
        <v>331</v>
      </c>
      <c r="K41" s="37" t="s">
        <v>20</v>
      </c>
      <c r="L41" s="37">
        <v>1</v>
      </c>
      <c r="M41" s="102">
        <v>31481</v>
      </c>
      <c r="N41" s="102">
        <f t="shared" si="4"/>
        <v>31481</v>
      </c>
      <c r="O41" s="38"/>
      <c r="P41" s="37">
        <f t="shared" si="3"/>
        <v>64</v>
      </c>
    </row>
    <row r="42" spans="1:16" hidden="1" x14ac:dyDescent="0.25">
      <c r="A42" s="37" t="s">
        <v>18</v>
      </c>
      <c r="B42" s="104" t="s">
        <v>542</v>
      </c>
      <c r="C42" s="37">
        <f t="shared" si="0"/>
        <v>340</v>
      </c>
      <c r="D42" s="37">
        <f t="shared" si="1"/>
        <v>0</v>
      </c>
      <c r="E42" s="37"/>
      <c r="F42" s="37"/>
      <c r="G42" s="59" t="s">
        <v>24</v>
      </c>
      <c r="H42" s="37" t="s">
        <v>677</v>
      </c>
      <c r="I42" s="37">
        <v>1331</v>
      </c>
      <c r="J42" s="37">
        <v>331</v>
      </c>
      <c r="K42" s="37" t="s">
        <v>20</v>
      </c>
      <c r="L42" s="37">
        <v>1</v>
      </c>
      <c r="M42" s="102">
        <v>2519</v>
      </c>
      <c r="N42" s="102">
        <f t="shared" si="4"/>
        <v>2519</v>
      </c>
      <c r="O42" s="38"/>
      <c r="P42" s="37">
        <f t="shared" si="3"/>
        <v>64</v>
      </c>
    </row>
    <row r="43" spans="1:16" hidden="1" x14ac:dyDescent="0.25">
      <c r="A43" s="37" t="s">
        <v>18</v>
      </c>
      <c r="B43" s="104" t="s">
        <v>542</v>
      </c>
      <c r="C43" s="37">
        <f t="shared" si="0"/>
        <v>341</v>
      </c>
      <c r="D43" s="37">
        <f t="shared" si="1"/>
        <v>1</v>
      </c>
      <c r="E43" s="37"/>
      <c r="F43" s="37"/>
      <c r="G43" s="59" t="s">
        <v>24</v>
      </c>
      <c r="H43" s="37" t="s">
        <v>676</v>
      </c>
      <c r="I43" s="37">
        <v>64277</v>
      </c>
      <c r="J43" s="37">
        <v>331</v>
      </c>
      <c r="K43" s="37" t="s">
        <v>20</v>
      </c>
      <c r="L43" s="37">
        <v>1</v>
      </c>
      <c r="M43" s="102">
        <v>183283</v>
      </c>
      <c r="N43" s="102">
        <f t="shared" si="4"/>
        <v>183283</v>
      </c>
      <c r="O43" s="38"/>
      <c r="P43" s="37">
        <f t="shared" si="3"/>
        <v>107</v>
      </c>
    </row>
    <row r="44" spans="1:16" hidden="1" x14ac:dyDescent="0.25">
      <c r="A44" s="37" t="s">
        <v>18</v>
      </c>
      <c r="B44" s="104" t="s">
        <v>542</v>
      </c>
      <c r="C44" s="37">
        <f t="shared" si="0"/>
        <v>341</v>
      </c>
      <c r="D44" s="37">
        <f t="shared" si="1"/>
        <v>0</v>
      </c>
      <c r="E44" s="37"/>
      <c r="F44" s="37"/>
      <c r="G44" s="59" t="s">
        <v>24</v>
      </c>
      <c r="H44" s="37" t="s">
        <v>676</v>
      </c>
      <c r="I44" s="37">
        <v>1331</v>
      </c>
      <c r="J44" s="37">
        <v>331</v>
      </c>
      <c r="K44" s="37" t="s">
        <v>20</v>
      </c>
      <c r="L44" s="37">
        <v>1</v>
      </c>
      <c r="M44" s="102">
        <v>13717</v>
      </c>
      <c r="N44" s="102">
        <f t="shared" si="4"/>
        <v>13717</v>
      </c>
      <c r="O44" s="38"/>
      <c r="P44" s="37">
        <f t="shared" si="3"/>
        <v>107</v>
      </c>
    </row>
    <row r="45" spans="1:16" hidden="1" x14ac:dyDescent="0.25">
      <c r="A45" s="37" t="s">
        <v>18</v>
      </c>
      <c r="B45" s="104" t="s">
        <v>542</v>
      </c>
      <c r="C45" s="37">
        <f t="shared" si="0"/>
        <v>342</v>
      </c>
      <c r="D45" s="37">
        <f t="shared" si="1"/>
        <v>1</v>
      </c>
      <c r="E45" s="37"/>
      <c r="F45" s="37"/>
      <c r="G45" s="59" t="s">
        <v>56</v>
      </c>
      <c r="H45" s="37" t="s">
        <v>728</v>
      </c>
      <c r="I45" s="37">
        <v>131</v>
      </c>
      <c r="J45" s="37">
        <v>5113</v>
      </c>
      <c r="K45" s="37" t="s">
        <v>20</v>
      </c>
      <c r="L45" s="37">
        <v>1</v>
      </c>
      <c r="M45" s="102">
        <v>11111111</v>
      </c>
      <c r="N45" s="102">
        <f t="shared" si="4"/>
        <v>11111111</v>
      </c>
      <c r="O45" s="38"/>
      <c r="P45" s="37">
        <f t="shared" si="3"/>
        <v>180</v>
      </c>
    </row>
    <row r="46" spans="1:16" x14ac:dyDescent="0.25">
      <c r="A46" s="37" t="s">
        <v>18</v>
      </c>
      <c r="B46" s="104" t="s">
        <v>542</v>
      </c>
      <c r="C46" s="37">
        <f t="shared" si="0"/>
        <v>343</v>
      </c>
      <c r="D46" s="37">
        <f t="shared" si="1"/>
        <v>1</v>
      </c>
      <c r="E46" s="37"/>
      <c r="F46" s="37"/>
      <c r="G46" s="59" t="s">
        <v>56</v>
      </c>
      <c r="H46" s="37" t="s">
        <v>3382</v>
      </c>
      <c r="I46" s="37">
        <v>333821</v>
      </c>
      <c r="J46" s="37">
        <v>131</v>
      </c>
      <c r="K46" s="37" t="s">
        <v>20</v>
      </c>
      <c r="L46" s="37">
        <v>1</v>
      </c>
      <c r="M46" s="102">
        <v>111111</v>
      </c>
      <c r="N46" s="102">
        <f t="shared" si="4"/>
        <v>111111</v>
      </c>
      <c r="O46" s="38"/>
      <c r="P46" s="37">
        <f t="shared" si="3"/>
        <v>196</v>
      </c>
    </row>
    <row r="47" spans="1:16" hidden="1" x14ac:dyDescent="0.25">
      <c r="A47" s="37" t="s">
        <v>18</v>
      </c>
      <c r="B47" s="104" t="s">
        <v>474</v>
      </c>
      <c r="C47" s="37">
        <f t="shared" si="0"/>
        <v>344</v>
      </c>
      <c r="D47" s="37">
        <f t="shared" si="1"/>
        <v>1</v>
      </c>
      <c r="E47" s="37"/>
      <c r="F47" s="37"/>
      <c r="G47" s="59" t="s">
        <v>64</v>
      </c>
      <c r="H47" s="37" t="s">
        <v>730</v>
      </c>
      <c r="I47" s="37">
        <v>131</v>
      </c>
      <c r="J47" s="37">
        <v>5113</v>
      </c>
      <c r="K47" s="37" t="s">
        <v>20</v>
      </c>
      <c r="L47" s="37">
        <v>1</v>
      </c>
      <c r="M47" s="102">
        <v>10000000</v>
      </c>
      <c r="N47" s="102">
        <f t="shared" si="4"/>
        <v>10000000</v>
      </c>
      <c r="O47" s="38"/>
      <c r="P47" s="37">
        <f t="shared" si="3"/>
        <v>195</v>
      </c>
    </row>
    <row r="48" spans="1:16" x14ac:dyDescent="0.25">
      <c r="A48" s="37" t="s">
        <v>18</v>
      </c>
      <c r="B48" s="104" t="s">
        <v>474</v>
      </c>
      <c r="C48" s="37">
        <f t="shared" si="0"/>
        <v>345</v>
      </c>
      <c r="D48" s="37">
        <f t="shared" si="1"/>
        <v>1</v>
      </c>
      <c r="E48" s="37"/>
      <c r="F48" s="37"/>
      <c r="G48" s="59" t="s">
        <v>64</v>
      </c>
      <c r="H48" s="37" t="s">
        <v>3450</v>
      </c>
      <c r="I48" s="37">
        <v>333821</v>
      </c>
      <c r="J48" s="37">
        <v>131</v>
      </c>
      <c r="K48" s="37" t="s">
        <v>20</v>
      </c>
      <c r="L48" s="37">
        <v>1</v>
      </c>
      <c r="M48" s="102">
        <v>100000</v>
      </c>
      <c r="N48" s="102">
        <f t="shared" si="4"/>
        <v>100000</v>
      </c>
      <c r="O48" s="38"/>
      <c r="P48" s="37">
        <f t="shared" si="3"/>
        <v>156</v>
      </c>
    </row>
    <row r="49" spans="1:16" hidden="1" x14ac:dyDescent="0.25">
      <c r="A49" s="37" t="s">
        <v>18</v>
      </c>
      <c r="B49" s="104" t="s">
        <v>474</v>
      </c>
      <c r="C49" s="37">
        <f t="shared" si="0"/>
        <v>346</v>
      </c>
      <c r="D49" s="37">
        <f t="shared" si="1"/>
        <v>1</v>
      </c>
      <c r="E49" s="37"/>
      <c r="F49" s="37"/>
      <c r="G49" s="59" t="s">
        <v>715</v>
      </c>
      <c r="H49" s="37" t="s">
        <v>729</v>
      </c>
      <c r="I49" s="37">
        <v>131</v>
      </c>
      <c r="J49" s="37">
        <v>5113</v>
      </c>
      <c r="K49" s="37" t="s">
        <v>20</v>
      </c>
      <c r="L49" s="37">
        <v>1</v>
      </c>
      <c r="M49" s="102">
        <v>11111111</v>
      </c>
      <c r="N49" s="102">
        <f t="shared" si="4"/>
        <v>11111111</v>
      </c>
      <c r="O49" s="38"/>
      <c r="P49" s="37">
        <f t="shared" si="3"/>
        <v>166</v>
      </c>
    </row>
    <row r="50" spans="1:16" x14ac:dyDescent="0.25">
      <c r="A50" s="37" t="s">
        <v>18</v>
      </c>
      <c r="B50" s="104" t="s">
        <v>474</v>
      </c>
      <c r="C50" s="37">
        <f t="shared" si="0"/>
        <v>347</v>
      </c>
      <c r="D50" s="37">
        <f t="shared" si="1"/>
        <v>1</v>
      </c>
      <c r="E50" s="37"/>
      <c r="F50" s="37"/>
      <c r="G50" s="59" t="s">
        <v>715</v>
      </c>
      <c r="H50" s="37" t="s">
        <v>3383</v>
      </c>
      <c r="I50" s="37">
        <v>333821</v>
      </c>
      <c r="J50" s="37">
        <v>131</v>
      </c>
      <c r="K50" s="37" t="s">
        <v>20</v>
      </c>
      <c r="L50" s="37">
        <v>1</v>
      </c>
      <c r="M50" s="102">
        <v>111111</v>
      </c>
      <c r="N50" s="102">
        <f t="shared" si="4"/>
        <v>111111</v>
      </c>
      <c r="O50" s="38"/>
      <c r="P50" s="37">
        <f t="shared" si="3"/>
        <v>182</v>
      </c>
    </row>
    <row r="51" spans="1:16" hidden="1" x14ac:dyDescent="0.25">
      <c r="A51" s="37" t="s">
        <v>18</v>
      </c>
      <c r="B51" s="104" t="s">
        <v>543</v>
      </c>
      <c r="C51" s="37">
        <f t="shared" si="0"/>
        <v>348</v>
      </c>
      <c r="D51" s="37">
        <f t="shared" si="1"/>
        <v>1</v>
      </c>
      <c r="E51" s="37"/>
      <c r="F51" s="37"/>
      <c r="G51" s="59" t="s">
        <v>252</v>
      </c>
      <c r="H51" s="37" t="s">
        <v>731</v>
      </c>
      <c r="I51" s="37">
        <v>131</v>
      </c>
      <c r="J51" s="37">
        <v>5113</v>
      </c>
      <c r="K51" s="37" t="s">
        <v>20</v>
      </c>
      <c r="L51" s="37">
        <v>1</v>
      </c>
      <c r="M51" s="102">
        <v>33333333</v>
      </c>
      <c r="N51" s="102">
        <f t="shared" si="4"/>
        <v>33333333</v>
      </c>
      <c r="O51" s="38"/>
      <c r="P51" s="37">
        <f t="shared" si="3"/>
        <v>182</v>
      </c>
    </row>
    <row r="52" spans="1:16" x14ac:dyDescent="0.25">
      <c r="A52" s="37" t="s">
        <v>18</v>
      </c>
      <c r="B52" s="104" t="s">
        <v>543</v>
      </c>
      <c r="C52" s="37">
        <f t="shared" si="0"/>
        <v>349</v>
      </c>
      <c r="D52" s="37">
        <f t="shared" si="1"/>
        <v>1</v>
      </c>
      <c r="E52" s="37"/>
      <c r="F52" s="37"/>
      <c r="G52" s="59" t="s">
        <v>252</v>
      </c>
      <c r="H52" s="37" t="s">
        <v>3384</v>
      </c>
      <c r="I52" s="37">
        <v>333821</v>
      </c>
      <c r="J52" s="37">
        <v>131</v>
      </c>
      <c r="K52" s="37" t="s">
        <v>20</v>
      </c>
      <c r="L52" s="37">
        <v>1</v>
      </c>
      <c r="M52" s="102">
        <v>333333</v>
      </c>
      <c r="N52" s="102">
        <f t="shared" si="4"/>
        <v>333333</v>
      </c>
      <c r="O52" s="38"/>
      <c r="P52" s="37">
        <f t="shared" si="3"/>
        <v>198</v>
      </c>
    </row>
    <row r="53" spans="1:16" hidden="1" x14ac:dyDescent="0.25">
      <c r="A53" s="37" t="s">
        <v>18</v>
      </c>
      <c r="B53" s="104" t="s">
        <v>475</v>
      </c>
      <c r="C53" s="37">
        <f t="shared" si="0"/>
        <v>350</v>
      </c>
      <c r="D53" s="37">
        <f t="shared" si="1"/>
        <v>1</v>
      </c>
      <c r="E53" s="37"/>
      <c r="F53" s="37"/>
      <c r="G53" s="59" t="s">
        <v>24</v>
      </c>
      <c r="H53" s="37" t="s">
        <v>678</v>
      </c>
      <c r="I53" s="37">
        <v>64277</v>
      </c>
      <c r="J53" s="37">
        <v>331</v>
      </c>
      <c r="K53" s="37" t="s">
        <v>20</v>
      </c>
      <c r="L53" s="37">
        <v>1</v>
      </c>
      <c r="M53" s="102">
        <v>93089</v>
      </c>
      <c r="N53" s="102">
        <f t="shared" si="4"/>
        <v>93089</v>
      </c>
      <c r="O53" s="38"/>
      <c r="P53" s="37">
        <f t="shared" si="3"/>
        <v>107</v>
      </c>
    </row>
    <row r="54" spans="1:16" hidden="1" x14ac:dyDescent="0.25">
      <c r="A54" s="37" t="s">
        <v>18</v>
      </c>
      <c r="B54" s="104" t="s">
        <v>475</v>
      </c>
      <c r="C54" s="37">
        <f t="shared" si="0"/>
        <v>350</v>
      </c>
      <c r="D54" s="37">
        <f t="shared" si="1"/>
        <v>0</v>
      </c>
      <c r="E54" s="37"/>
      <c r="F54" s="37"/>
      <c r="G54" s="59" t="s">
        <v>24</v>
      </c>
      <c r="H54" s="37" t="s">
        <v>678</v>
      </c>
      <c r="I54" s="37">
        <v>1331</v>
      </c>
      <c r="J54" s="37">
        <v>331</v>
      </c>
      <c r="K54" s="37" t="s">
        <v>20</v>
      </c>
      <c r="L54" s="37">
        <v>1</v>
      </c>
      <c r="M54" s="102">
        <v>6911</v>
      </c>
      <c r="N54" s="102">
        <f t="shared" si="4"/>
        <v>6911</v>
      </c>
      <c r="O54" s="38"/>
      <c r="P54" s="37">
        <f t="shared" si="3"/>
        <v>107</v>
      </c>
    </row>
    <row r="55" spans="1:16" hidden="1" x14ac:dyDescent="0.25">
      <c r="A55" s="37" t="s">
        <v>18</v>
      </c>
      <c r="B55" s="104" t="s">
        <v>544</v>
      </c>
      <c r="C55" s="37">
        <f t="shared" si="0"/>
        <v>351</v>
      </c>
      <c r="D55" s="37">
        <f t="shared" si="1"/>
        <v>1</v>
      </c>
      <c r="E55" s="37"/>
      <c r="F55" s="37"/>
      <c r="G55" s="59" t="s">
        <v>24</v>
      </c>
      <c r="H55" s="37" t="s">
        <v>680</v>
      </c>
      <c r="I55" s="37">
        <v>64277</v>
      </c>
      <c r="J55" s="37">
        <v>331</v>
      </c>
      <c r="K55" s="37" t="s">
        <v>20</v>
      </c>
      <c r="L55" s="37">
        <v>1</v>
      </c>
      <c r="M55" s="102">
        <v>192000</v>
      </c>
      <c r="N55" s="102">
        <f t="shared" si="4"/>
        <v>192000</v>
      </c>
      <c r="O55" s="38"/>
      <c r="P55" s="37">
        <f t="shared" si="3"/>
        <v>169</v>
      </c>
    </row>
    <row r="56" spans="1:16" hidden="1" x14ac:dyDescent="0.25">
      <c r="A56" s="37" t="s">
        <v>18</v>
      </c>
      <c r="B56" s="104" t="s">
        <v>544</v>
      </c>
      <c r="C56" s="37">
        <f t="shared" si="0"/>
        <v>351</v>
      </c>
      <c r="D56" s="37">
        <f t="shared" si="1"/>
        <v>0</v>
      </c>
      <c r="E56" s="37"/>
      <c r="F56" s="37"/>
      <c r="G56" s="59" t="s">
        <v>24</v>
      </c>
      <c r="H56" s="37" t="s">
        <v>680</v>
      </c>
      <c r="I56" s="37">
        <v>1331</v>
      </c>
      <c r="J56" s="37">
        <v>331</v>
      </c>
      <c r="K56" s="37" t="s">
        <v>20</v>
      </c>
      <c r="L56" s="37">
        <v>1</v>
      </c>
      <c r="M56" s="102">
        <v>13315</v>
      </c>
      <c r="N56" s="102">
        <f t="shared" si="4"/>
        <v>13315</v>
      </c>
      <c r="O56" s="38"/>
      <c r="P56" s="37">
        <f t="shared" si="3"/>
        <v>169</v>
      </c>
    </row>
    <row r="57" spans="1:16" hidden="1" x14ac:dyDescent="0.25">
      <c r="A57" s="37" t="s">
        <v>18</v>
      </c>
      <c r="B57" s="104" t="s">
        <v>544</v>
      </c>
      <c r="C57" s="37">
        <f t="shared" si="0"/>
        <v>352</v>
      </c>
      <c r="D57" s="37">
        <f t="shared" si="1"/>
        <v>1</v>
      </c>
      <c r="E57" s="37"/>
      <c r="F57" s="37"/>
      <c r="G57" s="59" t="s">
        <v>24</v>
      </c>
      <c r="H57" s="37" t="s">
        <v>679</v>
      </c>
      <c r="I57" s="37">
        <v>64277</v>
      </c>
      <c r="J57" s="37">
        <v>331</v>
      </c>
      <c r="K57" s="37" t="s">
        <v>20</v>
      </c>
      <c r="L57" s="37">
        <v>1</v>
      </c>
      <c r="M57" s="102">
        <v>273529</v>
      </c>
      <c r="N57" s="102">
        <f t="shared" si="4"/>
        <v>273529</v>
      </c>
      <c r="O57" s="38"/>
      <c r="P57" s="37">
        <f t="shared" si="3"/>
        <v>107</v>
      </c>
    </row>
    <row r="58" spans="1:16" hidden="1" x14ac:dyDescent="0.25">
      <c r="A58" s="37" t="s">
        <v>18</v>
      </c>
      <c r="B58" s="104" t="s">
        <v>544</v>
      </c>
      <c r="C58" s="37">
        <f t="shared" si="0"/>
        <v>352</v>
      </c>
      <c r="D58" s="37">
        <f t="shared" si="1"/>
        <v>0</v>
      </c>
      <c r="E58" s="37"/>
      <c r="F58" s="37"/>
      <c r="G58" s="59" t="s">
        <v>24</v>
      </c>
      <c r="H58" s="37" t="s">
        <v>679</v>
      </c>
      <c r="I58" s="37">
        <v>1331</v>
      </c>
      <c r="J58" s="37">
        <v>331</v>
      </c>
      <c r="K58" s="37" t="s">
        <v>20</v>
      </c>
      <c r="L58" s="37">
        <v>1</v>
      </c>
      <c r="M58" s="102">
        <v>20471</v>
      </c>
      <c r="N58" s="102">
        <f t="shared" si="4"/>
        <v>20471</v>
      </c>
      <c r="O58" s="38"/>
      <c r="P58" s="37">
        <f t="shared" si="3"/>
        <v>107</v>
      </c>
    </row>
    <row r="59" spans="1:16" hidden="1" x14ac:dyDescent="0.25">
      <c r="A59" s="37" t="s">
        <v>18</v>
      </c>
      <c r="B59" s="104" t="s">
        <v>437</v>
      </c>
      <c r="C59" s="37">
        <f t="shared" si="0"/>
        <v>353</v>
      </c>
      <c r="D59" s="37">
        <f t="shared" si="1"/>
        <v>1</v>
      </c>
      <c r="E59" s="37"/>
      <c r="F59" s="37"/>
      <c r="G59" s="59" t="s">
        <v>24</v>
      </c>
      <c r="H59" s="37" t="s">
        <v>683</v>
      </c>
      <c r="I59" s="37">
        <v>64277</v>
      </c>
      <c r="J59" s="37">
        <v>331</v>
      </c>
      <c r="K59" s="37" t="s">
        <v>20</v>
      </c>
      <c r="L59" s="37">
        <v>1</v>
      </c>
      <c r="M59" s="102">
        <v>176000</v>
      </c>
      <c r="N59" s="102">
        <f t="shared" si="4"/>
        <v>176000</v>
      </c>
      <c r="O59" s="38"/>
      <c r="P59" s="37">
        <f t="shared" si="3"/>
        <v>126</v>
      </c>
    </row>
    <row r="60" spans="1:16" hidden="1" x14ac:dyDescent="0.25">
      <c r="A60" s="37" t="s">
        <v>18</v>
      </c>
      <c r="B60" s="104" t="s">
        <v>437</v>
      </c>
      <c r="C60" s="37">
        <f t="shared" si="0"/>
        <v>353</v>
      </c>
      <c r="D60" s="37">
        <f t="shared" si="1"/>
        <v>0</v>
      </c>
      <c r="E60" s="37"/>
      <c r="F60" s="37"/>
      <c r="G60" s="59" t="s">
        <v>24</v>
      </c>
      <c r="H60" s="37" t="s">
        <v>683</v>
      </c>
      <c r="I60" s="37">
        <v>1331</v>
      </c>
      <c r="J60" s="37">
        <v>331</v>
      </c>
      <c r="K60" s="37" t="s">
        <v>20</v>
      </c>
      <c r="L60" s="37">
        <v>1</v>
      </c>
      <c r="M60" s="102">
        <v>13037</v>
      </c>
      <c r="N60" s="102">
        <f t="shared" si="4"/>
        <v>13037</v>
      </c>
      <c r="O60" s="38"/>
      <c r="P60" s="37">
        <f t="shared" si="3"/>
        <v>126</v>
      </c>
    </row>
    <row r="61" spans="1:16" hidden="1" x14ac:dyDescent="0.25">
      <c r="A61" s="37" t="s">
        <v>18</v>
      </c>
      <c r="B61" s="104" t="s">
        <v>437</v>
      </c>
      <c r="C61" s="37">
        <f t="shared" si="0"/>
        <v>354</v>
      </c>
      <c r="D61" s="37">
        <f t="shared" si="1"/>
        <v>1</v>
      </c>
      <c r="E61" s="37"/>
      <c r="F61" s="37"/>
      <c r="G61" s="59" t="s">
        <v>24</v>
      </c>
      <c r="H61" s="37" t="s">
        <v>682</v>
      </c>
      <c r="I61" s="37">
        <v>64277</v>
      </c>
      <c r="J61" s="37">
        <v>331</v>
      </c>
      <c r="K61" s="37" t="s">
        <v>20</v>
      </c>
      <c r="L61" s="37">
        <v>1</v>
      </c>
      <c r="M61" s="102">
        <v>57000</v>
      </c>
      <c r="N61" s="102">
        <f t="shared" si="4"/>
        <v>57000</v>
      </c>
      <c r="O61" s="38"/>
      <c r="P61" s="37">
        <f t="shared" si="3"/>
        <v>169</v>
      </c>
    </row>
    <row r="62" spans="1:16" hidden="1" x14ac:dyDescent="0.25">
      <c r="A62" s="37" t="s">
        <v>18</v>
      </c>
      <c r="B62" s="104" t="s">
        <v>437</v>
      </c>
      <c r="C62" s="37">
        <f t="shared" si="0"/>
        <v>354</v>
      </c>
      <c r="D62" s="37">
        <f t="shared" si="1"/>
        <v>0</v>
      </c>
      <c r="E62" s="37"/>
      <c r="F62" s="37"/>
      <c r="G62" s="59" t="s">
        <v>24</v>
      </c>
      <c r="H62" s="37" t="s">
        <v>682</v>
      </c>
      <c r="I62" s="37">
        <v>1331</v>
      </c>
      <c r="J62" s="37">
        <v>331</v>
      </c>
      <c r="K62" s="37" t="s">
        <v>20</v>
      </c>
      <c r="L62" s="37">
        <v>1</v>
      </c>
      <c r="M62" s="102">
        <v>3956</v>
      </c>
      <c r="N62" s="102">
        <f t="shared" si="4"/>
        <v>3956</v>
      </c>
      <c r="O62" s="38"/>
      <c r="P62" s="37">
        <f t="shared" si="3"/>
        <v>169</v>
      </c>
    </row>
    <row r="63" spans="1:16" hidden="1" x14ac:dyDescent="0.25">
      <c r="A63" s="37" t="s">
        <v>18</v>
      </c>
      <c r="B63" s="104" t="s">
        <v>437</v>
      </c>
      <c r="C63" s="37">
        <f t="shared" si="0"/>
        <v>355</v>
      </c>
      <c r="D63" s="37">
        <f t="shared" si="1"/>
        <v>1</v>
      </c>
      <c r="E63" s="37"/>
      <c r="F63" s="37"/>
      <c r="G63" s="59" t="s">
        <v>24</v>
      </c>
      <c r="H63" s="37" t="s">
        <v>681</v>
      </c>
      <c r="I63" s="37">
        <v>64277</v>
      </c>
      <c r="J63" s="37">
        <v>331</v>
      </c>
      <c r="K63" s="37" t="s">
        <v>20</v>
      </c>
      <c r="L63" s="37">
        <v>1</v>
      </c>
      <c r="M63" s="102">
        <v>76333</v>
      </c>
      <c r="N63" s="102">
        <f t="shared" si="4"/>
        <v>76333</v>
      </c>
      <c r="O63" s="38"/>
      <c r="P63" s="37">
        <f t="shared" si="3"/>
        <v>107</v>
      </c>
    </row>
    <row r="64" spans="1:16" hidden="1" x14ac:dyDescent="0.25">
      <c r="A64" s="37" t="s">
        <v>18</v>
      </c>
      <c r="B64" s="104" t="s">
        <v>437</v>
      </c>
      <c r="C64" s="37">
        <f t="shared" si="0"/>
        <v>355</v>
      </c>
      <c r="D64" s="37">
        <f t="shared" si="1"/>
        <v>0</v>
      </c>
      <c r="E64" s="37"/>
      <c r="F64" s="37"/>
      <c r="G64" s="59" t="s">
        <v>24</v>
      </c>
      <c r="H64" s="37" t="s">
        <v>681</v>
      </c>
      <c r="I64" s="37">
        <v>1331</v>
      </c>
      <c r="J64" s="37">
        <v>331</v>
      </c>
      <c r="K64" s="37" t="s">
        <v>20</v>
      </c>
      <c r="L64" s="37">
        <v>1</v>
      </c>
      <c r="M64" s="102">
        <v>5667</v>
      </c>
      <c r="N64" s="102">
        <f t="shared" si="4"/>
        <v>5667</v>
      </c>
      <c r="O64" s="38"/>
      <c r="P64" s="37">
        <f t="shared" si="3"/>
        <v>107</v>
      </c>
    </row>
    <row r="65" spans="1:16" hidden="1" x14ac:dyDescent="0.25">
      <c r="A65" s="37" t="s">
        <v>18</v>
      </c>
      <c r="B65" s="104" t="s">
        <v>438</v>
      </c>
      <c r="C65" s="37">
        <f t="shared" si="0"/>
        <v>356</v>
      </c>
      <c r="D65" s="37">
        <f t="shared" si="1"/>
        <v>1</v>
      </c>
      <c r="E65" s="37"/>
      <c r="F65" s="37"/>
      <c r="G65" s="59" t="s">
        <v>716</v>
      </c>
      <c r="H65" s="37" t="s">
        <v>732</v>
      </c>
      <c r="I65" s="37">
        <v>131</v>
      </c>
      <c r="J65" s="37">
        <v>5113</v>
      </c>
      <c r="K65" s="37" t="s">
        <v>20</v>
      </c>
      <c r="L65" s="37">
        <v>1</v>
      </c>
      <c r="M65" s="102">
        <v>11111111</v>
      </c>
      <c r="N65" s="102">
        <f t="shared" si="4"/>
        <v>11111111</v>
      </c>
      <c r="O65" s="38"/>
      <c r="P65" s="37">
        <f t="shared" si="3"/>
        <v>170</v>
      </c>
    </row>
    <row r="66" spans="1:16" x14ac:dyDescent="0.25">
      <c r="A66" s="37" t="s">
        <v>18</v>
      </c>
      <c r="B66" s="104" t="s">
        <v>438</v>
      </c>
      <c r="C66" s="37">
        <f t="shared" si="0"/>
        <v>357</v>
      </c>
      <c r="D66" s="37">
        <f t="shared" si="1"/>
        <v>1</v>
      </c>
      <c r="E66" s="37"/>
      <c r="F66" s="37"/>
      <c r="G66" s="59" t="s">
        <v>716</v>
      </c>
      <c r="H66" s="37" t="s">
        <v>3385</v>
      </c>
      <c r="I66" s="37">
        <v>333821</v>
      </c>
      <c r="J66" s="37">
        <v>131</v>
      </c>
      <c r="K66" s="37" t="s">
        <v>20</v>
      </c>
      <c r="L66" s="37">
        <v>1</v>
      </c>
      <c r="M66" s="102">
        <v>111111</v>
      </c>
      <c r="N66" s="102">
        <f t="shared" si="4"/>
        <v>111111</v>
      </c>
      <c r="O66" s="38"/>
      <c r="P66" s="37">
        <f t="shared" si="3"/>
        <v>186</v>
      </c>
    </row>
    <row r="67" spans="1:16" hidden="1" x14ac:dyDescent="0.25">
      <c r="A67" s="37" t="s">
        <v>18</v>
      </c>
      <c r="B67" s="104" t="s">
        <v>712</v>
      </c>
      <c r="C67" s="37">
        <f t="shared" si="0"/>
        <v>358</v>
      </c>
      <c r="D67" s="37">
        <f t="shared" si="1"/>
        <v>1</v>
      </c>
      <c r="E67" s="37"/>
      <c r="F67" s="37"/>
      <c r="G67" s="59" t="s">
        <v>29</v>
      </c>
      <c r="H67" s="37" t="s">
        <v>733</v>
      </c>
      <c r="I67" s="37">
        <v>131</v>
      </c>
      <c r="J67" s="37">
        <v>5113</v>
      </c>
      <c r="K67" s="37" t="s">
        <v>20</v>
      </c>
      <c r="L67" s="37">
        <v>1</v>
      </c>
      <c r="M67" s="102">
        <v>2222222</v>
      </c>
      <c r="N67" s="102">
        <f t="shared" si="4"/>
        <v>2222222</v>
      </c>
      <c r="O67" s="38"/>
      <c r="P67" s="37">
        <f t="shared" si="3"/>
        <v>134</v>
      </c>
    </row>
    <row r="68" spans="1:16" x14ac:dyDescent="0.25">
      <c r="A68" s="37" t="s">
        <v>18</v>
      </c>
      <c r="B68" s="104" t="s">
        <v>712</v>
      </c>
      <c r="C68" s="37">
        <f t="shared" ref="C68:C131" si="5">C67+D68</f>
        <v>359</v>
      </c>
      <c r="D68" s="37">
        <f t="shared" ref="D68:D131" si="6">IF(H68=H67,0,1)</f>
        <v>1</v>
      </c>
      <c r="E68" s="37"/>
      <c r="F68" s="37"/>
      <c r="G68" s="59" t="s">
        <v>29</v>
      </c>
      <c r="H68" s="37" t="s">
        <v>3386</v>
      </c>
      <c r="I68" s="37">
        <v>333821</v>
      </c>
      <c r="J68" s="37">
        <v>131</v>
      </c>
      <c r="K68" s="37" t="s">
        <v>20</v>
      </c>
      <c r="L68" s="37">
        <v>1</v>
      </c>
      <c r="M68" s="102">
        <v>22222</v>
      </c>
      <c r="N68" s="102">
        <f t="shared" ref="N68:N99" si="7">L68*M68</f>
        <v>22222</v>
      </c>
      <c r="O68" s="38"/>
      <c r="P68" s="37">
        <f t="shared" si="3"/>
        <v>150</v>
      </c>
    </row>
    <row r="69" spans="1:16" hidden="1" x14ac:dyDescent="0.25">
      <c r="A69" s="37" t="s">
        <v>18</v>
      </c>
      <c r="B69" s="104" t="s">
        <v>660</v>
      </c>
      <c r="C69" s="37">
        <f t="shared" si="5"/>
        <v>360</v>
      </c>
      <c r="D69" s="37">
        <f t="shared" si="6"/>
        <v>1</v>
      </c>
      <c r="E69" s="37"/>
      <c r="F69" s="37"/>
      <c r="G69" s="59" t="s">
        <v>24</v>
      </c>
      <c r="H69" s="37" t="s">
        <v>684</v>
      </c>
      <c r="I69" s="37">
        <v>64277</v>
      </c>
      <c r="J69" s="37">
        <v>331</v>
      </c>
      <c r="K69" s="37" t="s">
        <v>20</v>
      </c>
      <c r="L69" s="37">
        <v>1</v>
      </c>
      <c r="M69" s="102">
        <v>186000</v>
      </c>
      <c r="N69" s="102">
        <f t="shared" si="7"/>
        <v>186000</v>
      </c>
      <c r="O69" s="38"/>
      <c r="P69" s="37">
        <f t="shared" ref="P69:P132" si="8">LEN(H69)</f>
        <v>126</v>
      </c>
    </row>
    <row r="70" spans="1:16" hidden="1" x14ac:dyDescent="0.25">
      <c r="A70" s="37" t="s">
        <v>18</v>
      </c>
      <c r="B70" s="104" t="s">
        <v>660</v>
      </c>
      <c r="C70" s="37">
        <f t="shared" si="5"/>
        <v>360</v>
      </c>
      <c r="D70" s="37">
        <f t="shared" si="6"/>
        <v>0</v>
      </c>
      <c r="E70" s="37"/>
      <c r="F70" s="37"/>
      <c r="G70" s="59" t="s">
        <v>24</v>
      </c>
      <c r="H70" s="37" t="s">
        <v>684</v>
      </c>
      <c r="I70" s="37">
        <v>1331</v>
      </c>
      <c r="J70" s="37">
        <v>331</v>
      </c>
      <c r="K70" s="37" t="s">
        <v>20</v>
      </c>
      <c r="L70" s="37">
        <v>1</v>
      </c>
      <c r="M70" s="102">
        <v>13778</v>
      </c>
      <c r="N70" s="102">
        <f t="shared" si="7"/>
        <v>13778</v>
      </c>
      <c r="O70" s="38"/>
      <c r="P70" s="37">
        <f t="shared" si="8"/>
        <v>126</v>
      </c>
    </row>
    <row r="71" spans="1:16" hidden="1" x14ac:dyDescent="0.25">
      <c r="A71" s="37" t="s">
        <v>18</v>
      </c>
      <c r="B71" s="104" t="s">
        <v>547</v>
      </c>
      <c r="C71" s="37">
        <f t="shared" si="5"/>
        <v>361</v>
      </c>
      <c r="D71" s="37">
        <f t="shared" si="6"/>
        <v>1</v>
      </c>
      <c r="E71" s="37"/>
      <c r="F71" s="37"/>
      <c r="G71" s="59" t="s">
        <v>24</v>
      </c>
      <c r="H71" s="37" t="s">
        <v>686</v>
      </c>
      <c r="I71" s="37">
        <v>64277</v>
      </c>
      <c r="J71" s="37">
        <v>331</v>
      </c>
      <c r="K71" s="37" t="s">
        <v>20</v>
      </c>
      <c r="L71" s="37">
        <v>1</v>
      </c>
      <c r="M71" s="102">
        <v>100000</v>
      </c>
      <c r="N71" s="102">
        <f t="shared" si="7"/>
        <v>100000</v>
      </c>
      <c r="O71" s="38"/>
      <c r="P71" s="37">
        <f t="shared" si="8"/>
        <v>169</v>
      </c>
    </row>
    <row r="72" spans="1:16" hidden="1" x14ac:dyDescent="0.25">
      <c r="A72" s="37" t="s">
        <v>18</v>
      </c>
      <c r="B72" s="104" t="s">
        <v>547</v>
      </c>
      <c r="C72" s="37">
        <f t="shared" si="5"/>
        <v>361</v>
      </c>
      <c r="D72" s="37">
        <f t="shared" si="6"/>
        <v>0</v>
      </c>
      <c r="E72" s="37"/>
      <c r="F72" s="37"/>
      <c r="G72" s="59" t="s">
        <v>24</v>
      </c>
      <c r="H72" s="37" t="s">
        <v>686</v>
      </c>
      <c r="I72" s="37">
        <v>1331</v>
      </c>
      <c r="J72" s="37">
        <v>331</v>
      </c>
      <c r="K72" s="37" t="s">
        <v>20</v>
      </c>
      <c r="L72" s="37">
        <v>1</v>
      </c>
      <c r="M72" s="102">
        <v>6879</v>
      </c>
      <c r="N72" s="102">
        <f t="shared" si="7"/>
        <v>6879</v>
      </c>
      <c r="O72" s="38"/>
      <c r="P72" s="37">
        <f t="shared" si="8"/>
        <v>169</v>
      </c>
    </row>
    <row r="73" spans="1:16" hidden="1" x14ac:dyDescent="0.25">
      <c r="A73" s="37" t="s">
        <v>18</v>
      </c>
      <c r="B73" s="104" t="s">
        <v>547</v>
      </c>
      <c r="C73" s="37">
        <f t="shared" si="5"/>
        <v>362</v>
      </c>
      <c r="D73" s="37">
        <f t="shared" si="6"/>
        <v>1</v>
      </c>
      <c r="E73" s="37"/>
      <c r="F73" s="37"/>
      <c r="G73" s="59" t="s">
        <v>24</v>
      </c>
      <c r="H73" s="37" t="s">
        <v>685</v>
      </c>
      <c r="I73" s="37">
        <v>64277</v>
      </c>
      <c r="J73" s="37">
        <v>331</v>
      </c>
      <c r="K73" s="37" t="s">
        <v>20</v>
      </c>
      <c r="L73" s="37">
        <v>1</v>
      </c>
      <c r="M73" s="102">
        <v>152000</v>
      </c>
      <c r="N73" s="102">
        <f t="shared" si="7"/>
        <v>152000</v>
      </c>
      <c r="O73" s="38"/>
      <c r="P73" s="37">
        <f t="shared" si="8"/>
        <v>169</v>
      </c>
    </row>
    <row r="74" spans="1:16" hidden="1" x14ac:dyDescent="0.25">
      <c r="A74" s="37" t="s">
        <v>18</v>
      </c>
      <c r="B74" s="104" t="s">
        <v>547</v>
      </c>
      <c r="C74" s="37">
        <f t="shared" si="5"/>
        <v>362</v>
      </c>
      <c r="D74" s="37">
        <f t="shared" si="6"/>
        <v>0</v>
      </c>
      <c r="E74" s="37"/>
      <c r="F74" s="37"/>
      <c r="G74" s="59" t="s">
        <v>24</v>
      </c>
      <c r="H74" s="37" t="s">
        <v>685</v>
      </c>
      <c r="I74" s="37">
        <v>1331</v>
      </c>
      <c r="J74" s="37">
        <v>331</v>
      </c>
      <c r="K74" s="37" t="s">
        <v>20</v>
      </c>
      <c r="L74" s="37">
        <v>1</v>
      </c>
      <c r="M74" s="102">
        <v>10495</v>
      </c>
      <c r="N74" s="102">
        <f t="shared" si="7"/>
        <v>10495</v>
      </c>
      <c r="O74" s="38"/>
      <c r="P74" s="37">
        <f t="shared" si="8"/>
        <v>169</v>
      </c>
    </row>
    <row r="75" spans="1:16" hidden="1" x14ac:dyDescent="0.25">
      <c r="A75" s="37" t="s">
        <v>18</v>
      </c>
      <c r="B75" s="104" t="s">
        <v>547</v>
      </c>
      <c r="C75" s="37">
        <f t="shared" si="5"/>
        <v>363</v>
      </c>
      <c r="D75" s="37">
        <f t="shared" si="6"/>
        <v>1</v>
      </c>
      <c r="E75" s="37"/>
      <c r="F75" s="37"/>
      <c r="G75" s="59" t="s">
        <v>249</v>
      </c>
      <c r="H75" s="37" t="s">
        <v>734</v>
      </c>
      <c r="I75" s="37">
        <v>131</v>
      </c>
      <c r="J75" s="37">
        <v>5113</v>
      </c>
      <c r="K75" s="37" t="s">
        <v>20</v>
      </c>
      <c r="L75" s="37">
        <v>1</v>
      </c>
      <c r="M75" s="102">
        <v>11111111</v>
      </c>
      <c r="N75" s="102">
        <f t="shared" si="7"/>
        <v>11111111</v>
      </c>
      <c r="O75" s="38"/>
      <c r="P75" s="37">
        <f t="shared" si="8"/>
        <v>139</v>
      </c>
    </row>
    <row r="76" spans="1:16" x14ac:dyDescent="0.25">
      <c r="A76" s="37" t="s">
        <v>18</v>
      </c>
      <c r="B76" s="104" t="s">
        <v>547</v>
      </c>
      <c r="C76" s="37">
        <f t="shared" si="5"/>
        <v>364</v>
      </c>
      <c r="D76" s="37">
        <f t="shared" si="6"/>
        <v>1</v>
      </c>
      <c r="E76" s="37"/>
      <c r="F76" s="37"/>
      <c r="G76" s="59" t="s">
        <v>249</v>
      </c>
      <c r="H76" s="37" t="s">
        <v>3387</v>
      </c>
      <c r="I76" s="37">
        <v>333821</v>
      </c>
      <c r="J76" s="37">
        <v>131</v>
      </c>
      <c r="K76" s="37" t="s">
        <v>20</v>
      </c>
      <c r="L76" s="37">
        <v>1</v>
      </c>
      <c r="M76" s="102">
        <v>111111</v>
      </c>
      <c r="N76" s="102">
        <f t="shared" si="7"/>
        <v>111111</v>
      </c>
      <c r="O76" s="38"/>
      <c r="P76" s="37">
        <f t="shared" si="8"/>
        <v>155</v>
      </c>
    </row>
    <row r="77" spans="1:16" hidden="1" x14ac:dyDescent="0.25">
      <c r="A77" s="37" t="s">
        <v>18</v>
      </c>
      <c r="B77" s="104">
        <v>46081</v>
      </c>
      <c r="C77" s="37">
        <f t="shared" si="5"/>
        <v>365</v>
      </c>
      <c r="D77" s="37">
        <f t="shared" si="6"/>
        <v>1</v>
      </c>
      <c r="E77" s="37"/>
      <c r="F77" s="37"/>
      <c r="G77" s="59" t="s">
        <v>39</v>
      </c>
      <c r="H77" s="37" t="s">
        <v>456</v>
      </c>
      <c r="I77" s="37">
        <v>64271</v>
      </c>
      <c r="J77" s="37">
        <v>3383</v>
      </c>
      <c r="K77" s="37" t="s">
        <v>20</v>
      </c>
      <c r="L77" s="37">
        <v>1</v>
      </c>
      <c r="M77" s="102">
        <v>690300</v>
      </c>
      <c r="N77" s="102">
        <f t="shared" si="7"/>
        <v>690300</v>
      </c>
      <c r="O77" s="38"/>
      <c r="P77" s="37">
        <f t="shared" si="8"/>
        <v>30</v>
      </c>
    </row>
    <row r="78" spans="1:16" hidden="1" x14ac:dyDescent="0.25">
      <c r="A78" s="37" t="s">
        <v>18</v>
      </c>
      <c r="B78" s="104" t="s">
        <v>548</v>
      </c>
      <c r="C78" s="37">
        <f t="shared" si="5"/>
        <v>366</v>
      </c>
      <c r="D78" s="37">
        <f t="shared" si="6"/>
        <v>1</v>
      </c>
      <c r="E78" s="37"/>
      <c r="F78" s="37"/>
      <c r="G78" s="59" t="s">
        <v>29</v>
      </c>
      <c r="H78" s="37" t="s">
        <v>735</v>
      </c>
      <c r="I78" s="37">
        <v>131</v>
      </c>
      <c r="J78" s="37">
        <v>5113</v>
      </c>
      <c r="K78" s="37" t="s">
        <v>20</v>
      </c>
      <c r="L78" s="37">
        <v>1</v>
      </c>
      <c r="M78" s="102">
        <v>11111111</v>
      </c>
      <c r="N78" s="102">
        <f t="shared" si="7"/>
        <v>11111111</v>
      </c>
      <c r="O78" s="38"/>
      <c r="P78" s="37">
        <f t="shared" si="8"/>
        <v>150</v>
      </c>
    </row>
    <row r="79" spans="1:16" x14ac:dyDescent="0.25">
      <c r="A79" s="37" t="s">
        <v>18</v>
      </c>
      <c r="B79" s="104" t="s">
        <v>548</v>
      </c>
      <c r="C79" s="37">
        <f t="shared" si="5"/>
        <v>367</v>
      </c>
      <c r="D79" s="37">
        <f t="shared" si="6"/>
        <v>1</v>
      </c>
      <c r="E79" s="37"/>
      <c r="F79" s="37"/>
      <c r="G79" s="59" t="s">
        <v>29</v>
      </c>
      <c r="H79" s="37" t="s">
        <v>3388</v>
      </c>
      <c r="I79" s="37">
        <v>333821</v>
      </c>
      <c r="J79" s="37">
        <v>131</v>
      </c>
      <c r="K79" s="37" t="s">
        <v>20</v>
      </c>
      <c r="L79" s="37">
        <v>1</v>
      </c>
      <c r="M79" s="102">
        <v>111111</v>
      </c>
      <c r="N79" s="102">
        <f t="shared" si="7"/>
        <v>111111</v>
      </c>
      <c r="O79" s="38"/>
      <c r="P79" s="37">
        <f t="shared" si="8"/>
        <v>166</v>
      </c>
    </row>
    <row r="80" spans="1:16" hidden="1" x14ac:dyDescent="0.25">
      <c r="A80" s="37" t="s">
        <v>18</v>
      </c>
      <c r="B80" s="104" t="s">
        <v>441</v>
      </c>
      <c r="C80" s="37">
        <f t="shared" si="5"/>
        <v>368</v>
      </c>
      <c r="D80" s="37">
        <f t="shared" si="6"/>
        <v>1</v>
      </c>
      <c r="E80" s="37"/>
      <c r="F80" s="37"/>
      <c r="G80" s="59" t="s">
        <v>24</v>
      </c>
      <c r="H80" s="37" t="s">
        <v>687</v>
      </c>
      <c r="I80" s="37">
        <v>64277</v>
      </c>
      <c r="J80" s="37">
        <v>331</v>
      </c>
      <c r="K80" s="37" t="s">
        <v>20</v>
      </c>
      <c r="L80" s="37">
        <v>1</v>
      </c>
      <c r="M80" s="102">
        <v>94000</v>
      </c>
      <c r="N80" s="102">
        <f t="shared" si="7"/>
        <v>94000</v>
      </c>
      <c r="O80" s="38"/>
      <c r="P80" s="37">
        <f t="shared" si="8"/>
        <v>169</v>
      </c>
    </row>
    <row r="81" spans="1:16" hidden="1" x14ac:dyDescent="0.25">
      <c r="A81" s="37" t="s">
        <v>18</v>
      </c>
      <c r="B81" s="104" t="s">
        <v>441</v>
      </c>
      <c r="C81" s="37">
        <f t="shared" si="5"/>
        <v>368</v>
      </c>
      <c r="D81" s="37">
        <f t="shared" si="6"/>
        <v>0</v>
      </c>
      <c r="E81" s="37"/>
      <c r="F81" s="37"/>
      <c r="G81" s="59" t="s">
        <v>24</v>
      </c>
      <c r="H81" s="37" t="s">
        <v>687</v>
      </c>
      <c r="I81" s="37">
        <v>1331</v>
      </c>
      <c r="J81" s="37">
        <v>331</v>
      </c>
      <c r="K81" s="37" t="s">
        <v>20</v>
      </c>
      <c r="L81" s="37">
        <v>1</v>
      </c>
      <c r="M81" s="102">
        <v>6467</v>
      </c>
      <c r="N81" s="102">
        <f t="shared" si="7"/>
        <v>6467</v>
      </c>
      <c r="O81" s="38"/>
      <c r="P81" s="37">
        <f t="shared" si="8"/>
        <v>169</v>
      </c>
    </row>
    <row r="82" spans="1:16" hidden="1" x14ac:dyDescent="0.25">
      <c r="A82" s="37" t="s">
        <v>18</v>
      </c>
      <c r="B82" s="104" t="s">
        <v>441</v>
      </c>
      <c r="C82" s="37">
        <f t="shared" si="5"/>
        <v>369</v>
      </c>
      <c r="D82" s="37">
        <f t="shared" si="6"/>
        <v>1</v>
      </c>
      <c r="E82" s="37"/>
      <c r="F82" s="37"/>
      <c r="G82" s="59" t="s">
        <v>56</v>
      </c>
      <c r="H82" s="37" t="s">
        <v>736</v>
      </c>
      <c r="I82" s="37">
        <v>131</v>
      </c>
      <c r="J82" s="37">
        <v>5113</v>
      </c>
      <c r="K82" s="37" t="s">
        <v>20</v>
      </c>
      <c r="L82" s="37">
        <v>1</v>
      </c>
      <c r="M82" s="102">
        <v>10632642</v>
      </c>
      <c r="N82" s="102">
        <f t="shared" si="7"/>
        <v>10632642</v>
      </c>
      <c r="O82" s="38"/>
      <c r="P82" s="37">
        <f t="shared" si="8"/>
        <v>119</v>
      </c>
    </row>
    <row r="83" spans="1:16" x14ac:dyDescent="0.25">
      <c r="A83" s="37" t="s">
        <v>18</v>
      </c>
      <c r="B83" s="104" t="s">
        <v>441</v>
      </c>
      <c r="C83" s="37">
        <f t="shared" si="5"/>
        <v>370</v>
      </c>
      <c r="D83" s="37">
        <f t="shared" si="6"/>
        <v>1</v>
      </c>
      <c r="E83" s="37"/>
      <c r="F83" s="37"/>
      <c r="G83" s="59" t="s">
        <v>56</v>
      </c>
      <c r="H83" s="37" t="s">
        <v>3389</v>
      </c>
      <c r="I83" s="37">
        <v>333821</v>
      </c>
      <c r="J83" s="37">
        <v>131</v>
      </c>
      <c r="K83" s="37" t="s">
        <v>20</v>
      </c>
      <c r="L83" s="37">
        <v>1</v>
      </c>
      <c r="M83" s="102">
        <v>106326</v>
      </c>
      <c r="N83" s="102">
        <f t="shared" si="7"/>
        <v>106326</v>
      </c>
      <c r="O83" s="38"/>
      <c r="P83" s="37">
        <f t="shared" si="8"/>
        <v>135</v>
      </c>
    </row>
    <row r="84" spans="1:16" hidden="1" x14ac:dyDescent="0.25">
      <c r="A84" s="37" t="s">
        <v>18</v>
      </c>
      <c r="B84" s="104" t="s">
        <v>502</v>
      </c>
      <c r="C84" s="37">
        <f t="shared" si="5"/>
        <v>371</v>
      </c>
      <c r="D84" s="37">
        <f t="shared" si="6"/>
        <v>1</v>
      </c>
      <c r="E84" s="37"/>
      <c r="F84" s="37"/>
      <c r="G84" s="59" t="s">
        <v>255</v>
      </c>
      <c r="H84" s="37" t="s">
        <v>737</v>
      </c>
      <c r="I84" s="37">
        <v>131</v>
      </c>
      <c r="J84" s="37">
        <v>5113</v>
      </c>
      <c r="K84" s="37" t="s">
        <v>20</v>
      </c>
      <c r="L84" s="37">
        <v>1</v>
      </c>
      <c r="M84" s="102">
        <v>10752688</v>
      </c>
      <c r="N84" s="102">
        <f t="shared" si="7"/>
        <v>10752688</v>
      </c>
      <c r="O84" s="38"/>
      <c r="P84" s="37">
        <f t="shared" si="8"/>
        <v>96</v>
      </c>
    </row>
    <row r="85" spans="1:16" x14ac:dyDescent="0.25">
      <c r="A85" s="37" t="s">
        <v>18</v>
      </c>
      <c r="B85" s="104" t="s">
        <v>502</v>
      </c>
      <c r="C85" s="37">
        <f t="shared" si="5"/>
        <v>372</v>
      </c>
      <c r="D85" s="37">
        <f t="shared" si="6"/>
        <v>1</v>
      </c>
      <c r="E85" s="37"/>
      <c r="F85" s="37"/>
      <c r="G85" s="59" t="s">
        <v>255</v>
      </c>
      <c r="H85" s="37" t="s">
        <v>3390</v>
      </c>
      <c r="I85" s="37">
        <v>333821</v>
      </c>
      <c r="J85" s="37">
        <v>131</v>
      </c>
      <c r="K85" s="37" t="s">
        <v>20</v>
      </c>
      <c r="L85" s="37">
        <v>1</v>
      </c>
      <c r="M85" s="102">
        <v>107527</v>
      </c>
      <c r="N85" s="102">
        <f t="shared" si="7"/>
        <v>107527</v>
      </c>
      <c r="O85" s="38"/>
      <c r="P85" s="37">
        <f t="shared" si="8"/>
        <v>112</v>
      </c>
    </row>
    <row r="86" spans="1:16" hidden="1" x14ac:dyDescent="0.25">
      <c r="A86" s="37" t="s">
        <v>18</v>
      </c>
      <c r="B86" s="104" t="s">
        <v>478</v>
      </c>
      <c r="C86" s="37">
        <f t="shared" si="5"/>
        <v>373</v>
      </c>
      <c r="D86" s="37">
        <f t="shared" si="6"/>
        <v>1</v>
      </c>
      <c r="E86" s="37"/>
      <c r="F86" s="37"/>
      <c r="G86" s="59" t="s">
        <v>667</v>
      </c>
      <c r="H86" s="37" t="s">
        <v>738</v>
      </c>
      <c r="I86" s="37">
        <v>131</v>
      </c>
      <c r="J86" s="37">
        <v>5113</v>
      </c>
      <c r="K86" s="37" t="s">
        <v>20</v>
      </c>
      <c r="L86" s="37">
        <v>1</v>
      </c>
      <c r="M86" s="102">
        <v>5555556</v>
      </c>
      <c r="N86" s="102">
        <f t="shared" si="7"/>
        <v>5555556</v>
      </c>
      <c r="O86" s="38"/>
      <c r="P86" s="37">
        <f t="shared" si="8"/>
        <v>92</v>
      </c>
    </row>
    <row r="87" spans="1:16" x14ac:dyDescent="0.25">
      <c r="A87" s="37" t="s">
        <v>18</v>
      </c>
      <c r="B87" s="104" t="s">
        <v>478</v>
      </c>
      <c r="C87" s="37">
        <f t="shared" si="5"/>
        <v>374</v>
      </c>
      <c r="D87" s="37">
        <f t="shared" si="6"/>
        <v>1</v>
      </c>
      <c r="E87" s="37"/>
      <c r="F87" s="37"/>
      <c r="G87" s="59" t="s">
        <v>667</v>
      </c>
      <c r="H87" s="37" t="s">
        <v>3391</v>
      </c>
      <c r="I87" s="37">
        <v>333821</v>
      </c>
      <c r="J87" s="37">
        <v>131</v>
      </c>
      <c r="K87" s="37" t="s">
        <v>20</v>
      </c>
      <c r="L87" s="37">
        <v>1</v>
      </c>
      <c r="M87" s="102">
        <v>55556</v>
      </c>
      <c r="N87" s="102">
        <f t="shared" si="7"/>
        <v>55556</v>
      </c>
      <c r="O87" s="38"/>
      <c r="P87" s="37">
        <f t="shared" si="8"/>
        <v>108</v>
      </c>
    </row>
    <row r="88" spans="1:16" hidden="1" x14ac:dyDescent="0.25">
      <c r="A88" s="37" t="s">
        <v>18</v>
      </c>
      <c r="B88" s="104" t="s">
        <v>478</v>
      </c>
      <c r="C88" s="37">
        <f t="shared" si="5"/>
        <v>375</v>
      </c>
      <c r="D88" s="37">
        <f t="shared" si="6"/>
        <v>1</v>
      </c>
      <c r="E88" s="37"/>
      <c r="F88" s="37"/>
      <c r="G88" s="59" t="s">
        <v>45</v>
      </c>
      <c r="H88" s="37" t="s">
        <v>3451</v>
      </c>
      <c r="I88" s="37">
        <v>131</v>
      </c>
      <c r="J88" s="37">
        <v>5113</v>
      </c>
      <c r="K88" s="37" t="s">
        <v>20</v>
      </c>
      <c r="L88" s="37">
        <v>1</v>
      </c>
      <c r="M88" s="102">
        <v>8888889</v>
      </c>
      <c r="N88" s="102">
        <f t="shared" si="7"/>
        <v>8888889</v>
      </c>
      <c r="O88" s="38"/>
      <c r="P88" s="37">
        <f t="shared" si="8"/>
        <v>119</v>
      </c>
    </row>
    <row r="89" spans="1:16" x14ac:dyDescent="0.25">
      <c r="A89" s="37" t="s">
        <v>18</v>
      </c>
      <c r="B89" s="104" t="s">
        <v>478</v>
      </c>
      <c r="C89" s="37">
        <f t="shared" si="5"/>
        <v>376</v>
      </c>
      <c r="D89" s="37">
        <f t="shared" si="6"/>
        <v>1</v>
      </c>
      <c r="E89" s="37"/>
      <c r="F89" s="37"/>
      <c r="G89" s="59" t="s">
        <v>45</v>
      </c>
      <c r="H89" s="37" t="s">
        <v>3452</v>
      </c>
      <c r="I89" s="37">
        <v>333821</v>
      </c>
      <c r="J89" s="37">
        <v>131</v>
      </c>
      <c r="K89" s="37" t="s">
        <v>20</v>
      </c>
      <c r="L89" s="37">
        <v>1</v>
      </c>
      <c r="M89" s="102">
        <v>88889</v>
      </c>
      <c r="N89" s="102">
        <f t="shared" si="7"/>
        <v>88889</v>
      </c>
      <c r="O89" s="38"/>
      <c r="P89" s="37">
        <f t="shared" si="8"/>
        <v>135</v>
      </c>
    </row>
    <row r="90" spans="1:16" hidden="1" x14ac:dyDescent="0.25">
      <c r="A90" s="37" t="s">
        <v>18</v>
      </c>
      <c r="B90" s="104" t="s">
        <v>503</v>
      </c>
      <c r="C90" s="37">
        <f t="shared" si="5"/>
        <v>377</v>
      </c>
      <c r="D90" s="37">
        <f t="shared" si="6"/>
        <v>1</v>
      </c>
      <c r="E90" s="37"/>
      <c r="F90" s="37"/>
      <c r="G90" s="59" t="s">
        <v>68</v>
      </c>
      <c r="H90" s="37" t="s">
        <v>739</v>
      </c>
      <c r="I90" s="37">
        <v>131</v>
      </c>
      <c r="J90" s="37">
        <v>5113</v>
      </c>
      <c r="K90" s="37" t="s">
        <v>20</v>
      </c>
      <c r="L90" s="37">
        <v>1</v>
      </c>
      <c r="M90" s="102">
        <v>11111111</v>
      </c>
      <c r="N90" s="102">
        <f t="shared" si="7"/>
        <v>11111111</v>
      </c>
      <c r="O90" s="38"/>
      <c r="P90" s="37">
        <f t="shared" si="8"/>
        <v>143</v>
      </c>
    </row>
    <row r="91" spans="1:16" x14ac:dyDescent="0.25">
      <c r="A91" s="37" t="s">
        <v>18</v>
      </c>
      <c r="B91" s="104" t="s">
        <v>503</v>
      </c>
      <c r="C91" s="37">
        <f t="shared" si="5"/>
        <v>378</v>
      </c>
      <c r="D91" s="37">
        <f t="shared" si="6"/>
        <v>1</v>
      </c>
      <c r="E91" s="37"/>
      <c r="F91" s="37"/>
      <c r="G91" s="59" t="s">
        <v>68</v>
      </c>
      <c r="H91" s="37" t="s">
        <v>3392</v>
      </c>
      <c r="I91" s="37">
        <v>333821</v>
      </c>
      <c r="J91" s="37">
        <v>131</v>
      </c>
      <c r="K91" s="37" t="s">
        <v>20</v>
      </c>
      <c r="L91" s="37">
        <v>1</v>
      </c>
      <c r="M91" s="102">
        <v>111111</v>
      </c>
      <c r="N91" s="102">
        <f t="shared" si="7"/>
        <v>111111</v>
      </c>
      <c r="O91" s="38"/>
      <c r="P91" s="37">
        <f t="shared" si="8"/>
        <v>159</v>
      </c>
    </row>
    <row r="92" spans="1:16" hidden="1" x14ac:dyDescent="0.25">
      <c r="A92" s="37" t="s">
        <v>18</v>
      </c>
      <c r="B92" s="104" t="s">
        <v>549</v>
      </c>
      <c r="C92" s="37">
        <f t="shared" si="5"/>
        <v>379</v>
      </c>
      <c r="D92" s="37">
        <f t="shared" si="6"/>
        <v>1</v>
      </c>
      <c r="E92" s="37"/>
      <c r="F92" s="37"/>
      <c r="G92" s="59" t="s">
        <v>255</v>
      </c>
      <c r="H92" s="37" t="s">
        <v>740</v>
      </c>
      <c r="I92" s="37">
        <v>131</v>
      </c>
      <c r="J92" s="37">
        <v>5113</v>
      </c>
      <c r="K92" s="37" t="s">
        <v>20</v>
      </c>
      <c r="L92" s="37">
        <v>1</v>
      </c>
      <c r="M92" s="102">
        <v>33333333</v>
      </c>
      <c r="N92" s="102">
        <f t="shared" si="7"/>
        <v>33333333</v>
      </c>
      <c r="O92" s="38"/>
      <c r="P92" s="37">
        <f t="shared" si="8"/>
        <v>96</v>
      </c>
    </row>
    <row r="93" spans="1:16" x14ac:dyDescent="0.25">
      <c r="A93" s="37" t="s">
        <v>18</v>
      </c>
      <c r="B93" s="104" t="s">
        <v>549</v>
      </c>
      <c r="C93" s="37">
        <f t="shared" si="5"/>
        <v>380</v>
      </c>
      <c r="D93" s="37">
        <f t="shared" si="6"/>
        <v>1</v>
      </c>
      <c r="E93" s="37"/>
      <c r="F93" s="37"/>
      <c r="G93" s="59" t="s">
        <v>255</v>
      </c>
      <c r="H93" s="37" t="s">
        <v>3393</v>
      </c>
      <c r="I93" s="37">
        <v>333821</v>
      </c>
      <c r="J93" s="37">
        <v>131</v>
      </c>
      <c r="K93" s="37" t="s">
        <v>20</v>
      </c>
      <c r="L93" s="37">
        <v>1</v>
      </c>
      <c r="M93" s="102">
        <v>333333</v>
      </c>
      <c r="N93" s="102">
        <f t="shared" si="7"/>
        <v>333333</v>
      </c>
      <c r="O93" s="38"/>
      <c r="P93" s="37">
        <f t="shared" si="8"/>
        <v>112</v>
      </c>
    </row>
    <row r="94" spans="1:16" hidden="1" x14ac:dyDescent="0.25">
      <c r="A94" s="37" t="s">
        <v>18</v>
      </c>
      <c r="B94" s="104" t="s">
        <v>550</v>
      </c>
      <c r="C94" s="37">
        <f t="shared" si="5"/>
        <v>381</v>
      </c>
      <c r="D94" s="37">
        <f t="shared" si="6"/>
        <v>1</v>
      </c>
      <c r="E94" s="37"/>
      <c r="F94" s="37"/>
      <c r="G94" s="59" t="s">
        <v>35</v>
      </c>
      <c r="H94" s="37" t="s">
        <v>688</v>
      </c>
      <c r="I94" s="37">
        <v>64277</v>
      </c>
      <c r="J94" s="37">
        <v>331</v>
      </c>
      <c r="K94" s="37" t="s">
        <v>20</v>
      </c>
      <c r="L94" s="37">
        <v>1</v>
      </c>
      <c r="M94" s="102">
        <v>2700000</v>
      </c>
      <c r="N94" s="102">
        <f t="shared" si="7"/>
        <v>2700000</v>
      </c>
      <c r="O94" s="38"/>
      <c r="P94" s="37">
        <f t="shared" si="8"/>
        <v>41</v>
      </c>
    </row>
    <row r="95" spans="1:16" hidden="1" x14ac:dyDescent="0.25">
      <c r="A95" s="37" t="s">
        <v>18</v>
      </c>
      <c r="B95" s="104" t="s">
        <v>550</v>
      </c>
      <c r="C95" s="37">
        <f t="shared" si="5"/>
        <v>381</v>
      </c>
      <c r="D95" s="37">
        <f t="shared" si="6"/>
        <v>0</v>
      </c>
      <c r="E95" s="37"/>
      <c r="F95" s="37"/>
      <c r="G95" s="59" t="s">
        <v>35</v>
      </c>
      <c r="H95" s="37" t="s">
        <v>688</v>
      </c>
      <c r="I95" s="37">
        <v>1331</v>
      </c>
      <c r="J95" s="37">
        <v>331</v>
      </c>
      <c r="K95" s="37" t="s">
        <v>20</v>
      </c>
      <c r="L95" s="37">
        <v>1</v>
      </c>
      <c r="M95" s="102">
        <v>216000</v>
      </c>
      <c r="N95" s="102">
        <f t="shared" si="7"/>
        <v>216000</v>
      </c>
      <c r="O95" s="38"/>
      <c r="P95" s="37">
        <f t="shared" si="8"/>
        <v>41</v>
      </c>
    </row>
    <row r="96" spans="1:16" hidden="1" x14ac:dyDescent="0.25">
      <c r="A96" s="37" t="s">
        <v>18</v>
      </c>
      <c r="B96" s="104" t="s">
        <v>479</v>
      </c>
      <c r="C96" s="37">
        <f t="shared" si="5"/>
        <v>382</v>
      </c>
      <c r="D96" s="37">
        <f t="shared" si="6"/>
        <v>1</v>
      </c>
      <c r="E96" s="37"/>
      <c r="F96" s="37"/>
      <c r="G96" s="59" t="s">
        <v>35</v>
      </c>
      <c r="H96" s="37" t="s">
        <v>689</v>
      </c>
      <c r="I96" s="37">
        <v>64277</v>
      </c>
      <c r="J96" s="37">
        <v>331</v>
      </c>
      <c r="K96" s="37" t="s">
        <v>20</v>
      </c>
      <c r="L96" s="37">
        <v>1</v>
      </c>
      <c r="M96" s="102">
        <v>2700000</v>
      </c>
      <c r="N96" s="102">
        <f t="shared" si="7"/>
        <v>2700000</v>
      </c>
      <c r="O96" s="38"/>
      <c r="P96" s="37">
        <f t="shared" si="8"/>
        <v>41</v>
      </c>
    </row>
    <row r="97" spans="1:16" hidden="1" x14ac:dyDescent="0.25">
      <c r="A97" s="37" t="s">
        <v>18</v>
      </c>
      <c r="B97" s="104" t="s">
        <v>479</v>
      </c>
      <c r="C97" s="37">
        <f t="shared" si="5"/>
        <v>382</v>
      </c>
      <c r="D97" s="37">
        <f t="shared" si="6"/>
        <v>0</v>
      </c>
      <c r="E97" s="37"/>
      <c r="F97" s="37"/>
      <c r="G97" s="59" t="s">
        <v>35</v>
      </c>
      <c r="H97" s="37" t="s">
        <v>689</v>
      </c>
      <c r="I97" s="37">
        <v>1331</v>
      </c>
      <c r="J97" s="37">
        <v>331</v>
      </c>
      <c r="K97" s="37" t="s">
        <v>20</v>
      </c>
      <c r="L97" s="37">
        <v>1</v>
      </c>
      <c r="M97" s="102">
        <v>216000</v>
      </c>
      <c r="N97" s="102">
        <f t="shared" si="7"/>
        <v>216000</v>
      </c>
      <c r="O97" s="38"/>
      <c r="P97" s="37">
        <f t="shared" si="8"/>
        <v>41</v>
      </c>
    </row>
    <row r="98" spans="1:16" hidden="1" x14ac:dyDescent="0.25">
      <c r="A98" s="37" t="s">
        <v>18</v>
      </c>
      <c r="B98" s="104" t="s">
        <v>551</v>
      </c>
      <c r="C98" s="37">
        <f t="shared" si="5"/>
        <v>383</v>
      </c>
      <c r="D98" s="37">
        <f t="shared" si="6"/>
        <v>1</v>
      </c>
      <c r="E98" s="37"/>
      <c r="F98" s="37"/>
      <c r="G98" s="59" t="s">
        <v>53</v>
      </c>
      <c r="H98" s="37" t="s">
        <v>741</v>
      </c>
      <c r="I98" s="37">
        <v>131</v>
      </c>
      <c r="J98" s="37">
        <v>5113</v>
      </c>
      <c r="K98" s="37" t="s">
        <v>20</v>
      </c>
      <c r="L98" s="37">
        <v>1</v>
      </c>
      <c r="M98" s="102">
        <v>13333333</v>
      </c>
      <c r="N98" s="102">
        <f t="shared" si="7"/>
        <v>13333333</v>
      </c>
      <c r="O98" s="38"/>
      <c r="P98" s="37">
        <f t="shared" si="8"/>
        <v>163</v>
      </c>
    </row>
    <row r="99" spans="1:16" x14ac:dyDescent="0.25">
      <c r="A99" s="37" t="s">
        <v>18</v>
      </c>
      <c r="B99" s="104" t="s">
        <v>551</v>
      </c>
      <c r="C99" s="37">
        <f t="shared" si="5"/>
        <v>384</v>
      </c>
      <c r="D99" s="37">
        <f t="shared" si="6"/>
        <v>1</v>
      </c>
      <c r="E99" s="37"/>
      <c r="F99" s="37"/>
      <c r="G99" s="59" t="s">
        <v>53</v>
      </c>
      <c r="H99" s="37" t="s">
        <v>3394</v>
      </c>
      <c r="I99" s="37">
        <v>333821</v>
      </c>
      <c r="J99" s="37">
        <v>131</v>
      </c>
      <c r="K99" s="37" t="s">
        <v>20</v>
      </c>
      <c r="L99" s="37">
        <v>1</v>
      </c>
      <c r="M99" s="102">
        <v>133333</v>
      </c>
      <c r="N99" s="102">
        <f t="shared" si="7"/>
        <v>133333</v>
      </c>
      <c r="O99" s="38"/>
      <c r="P99" s="37">
        <f t="shared" si="8"/>
        <v>179</v>
      </c>
    </row>
    <row r="100" spans="1:16" hidden="1" x14ac:dyDescent="0.25">
      <c r="A100" s="37" t="s">
        <v>18</v>
      </c>
      <c r="B100" s="104" t="s">
        <v>552</v>
      </c>
      <c r="C100" s="37">
        <f t="shared" si="5"/>
        <v>385</v>
      </c>
      <c r="D100" s="37">
        <f t="shared" si="6"/>
        <v>1</v>
      </c>
      <c r="E100" s="37"/>
      <c r="F100" s="37"/>
      <c r="G100" s="59" t="s">
        <v>24</v>
      </c>
      <c r="H100" s="37" t="s">
        <v>690</v>
      </c>
      <c r="I100" s="37">
        <v>64277</v>
      </c>
      <c r="J100" s="37">
        <v>331</v>
      </c>
      <c r="K100" s="37" t="s">
        <v>20</v>
      </c>
      <c r="L100" s="37">
        <v>1</v>
      </c>
      <c r="M100" s="102">
        <v>84000</v>
      </c>
      <c r="N100" s="102">
        <f t="shared" ref="N100:N131" si="9">L100*M100</f>
        <v>84000</v>
      </c>
      <c r="O100" s="38"/>
      <c r="P100" s="37">
        <f t="shared" si="8"/>
        <v>126</v>
      </c>
    </row>
    <row r="101" spans="1:16" hidden="1" x14ac:dyDescent="0.25">
      <c r="A101" s="37" t="s">
        <v>18</v>
      </c>
      <c r="B101" s="104" t="s">
        <v>552</v>
      </c>
      <c r="C101" s="37">
        <f t="shared" si="5"/>
        <v>385</v>
      </c>
      <c r="D101" s="37">
        <f t="shared" si="6"/>
        <v>0</v>
      </c>
      <c r="E101" s="37"/>
      <c r="F101" s="37"/>
      <c r="G101" s="59" t="s">
        <v>24</v>
      </c>
      <c r="H101" s="37" t="s">
        <v>690</v>
      </c>
      <c r="I101" s="37">
        <v>1331</v>
      </c>
      <c r="J101" s="37">
        <v>331</v>
      </c>
      <c r="K101" s="37" t="s">
        <v>20</v>
      </c>
      <c r="L101" s="37">
        <v>1</v>
      </c>
      <c r="M101" s="102">
        <v>6222</v>
      </c>
      <c r="N101" s="102">
        <f t="shared" si="9"/>
        <v>6222</v>
      </c>
      <c r="O101" s="38"/>
      <c r="P101" s="37">
        <f t="shared" si="8"/>
        <v>126</v>
      </c>
    </row>
    <row r="102" spans="1:16" hidden="1" x14ac:dyDescent="0.25">
      <c r="A102" s="37" t="s">
        <v>18</v>
      </c>
      <c r="B102" s="104" t="s">
        <v>553</v>
      </c>
      <c r="C102" s="37">
        <f t="shared" si="5"/>
        <v>386</v>
      </c>
      <c r="D102" s="37">
        <f t="shared" si="6"/>
        <v>1</v>
      </c>
      <c r="E102" s="37"/>
      <c r="F102" s="37"/>
      <c r="G102" s="59" t="s">
        <v>56</v>
      </c>
      <c r="H102" s="37" t="s">
        <v>742</v>
      </c>
      <c r="I102" s="37">
        <v>131</v>
      </c>
      <c r="J102" s="37">
        <v>5113</v>
      </c>
      <c r="K102" s="37" t="s">
        <v>20</v>
      </c>
      <c r="L102" s="37">
        <v>1</v>
      </c>
      <c r="M102" s="102">
        <v>20000000</v>
      </c>
      <c r="N102" s="102">
        <f t="shared" si="9"/>
        <v>20000000</v>
      </c>
      <c r="O102" s="38"/>
      <c r="P102" s="37">
        <f t="shared" si="8"/>
        <v>163</v>
      </c>
    </row>
    <row r="103" spans="1:16" x14ac:dyDescent="0.25">
      <c r="A103" s="37" t="s">
        <v>18</v>
      </c>
      <c r="B103" s="104" t="s">
        <v>553</v>
      </c>
      <c r="C103" s="37">
        <f t="shared" si="5"/>
        <v>387</v>
      </c>
      <c r="D103" s="37">
        <f t="shared" si="6"/>
        <v>1</v>
      </c>
      <c r="E103" s="37"/>
      <c r="F103" s="37"/>
      <c r="G103" s="59" t="s">
        <v>56</v>
      </c>
      <c r="H103" s="37" t="s">
        <v>3395</v>
      </c>
      <c r="I103" s="37">
        <v>333821</v>
      </c>
      <c r="J103" s="37">
        <v>131</v>
      </c>
      <c r="K103" s="37" t="s">
        <v>20</v>
      </c>
      <c r="L103" s="37">
        <v>1</v>
      </c>
      <c r="M103" s="102">
        <v>200000</v>
      </c>
      <c r="N103" s="102">
        <f t="shared" si="9"/>
        <v>200000</v>
      </c>
      <c r="O103" s="38"/>
      <c r="P103" s="37">
        <f t="shared" si="8"/>
        <v>179</v>
      </c>
    </row>
    <row r="104" spans="1:16" hidden="1" x14ac:dyDescent="0.25">
      <c r="A104" s="37" t="s">
        <v>18</v>
      </c>
      <c r="B104" s="104" t="s">
        <v>554</v>
      </c>
      <c r="C104" s="37">
        <f t="shared" si="5"/>
        <v>388</v>
      </c>
      <c r="D104" s="37">
        <f t="shared" si="6"/>
        <v>1</v>
      </c>
      <c r="E104" s="37"/>
      <c r="F104" s="37"/>
      <c r="G104" s="59" t="s">
        <v>667</v>
      </c>
      <c r="H104" s="37" t="s">
        <v>3453</v>
      </c>
      <c r="I104" s="37">
        <v>64277</v>
      </c>
      <c r="J104" s="37">
        <v>331</v>
      </c>
      <c r="K104" s="37" t="s">
        <v>20</v>
      </c>
      <c r="L104" s="37">
        <v>1</v>
      </c>
      <c r="M104" s="102">
        <v>0</v>
      </c>
      <c r="N104" s="102">
        <f t="shared" si="9"/>
        <v>0</v>
      </c>
      <c r="O104" s="38"/>
      <c r="P104" s="37">
        <f t="shared" si="8"/>
        <v>35</v>
      </c>
    </row>
    <row r="105" spans="1:16" hidden="1" x14ac:dyDescent="0.25">
      <c r="A105" s="37" t="s">
        <v>18</v>
      </c>
      <c r="B105" s="104" t="s">
        <v>554</v>
      </c>
      <c r="C105" s="37">
        <f t="shared" si="5"/>
        <v>388</v>
      </c>
      <c r="D105" s="37">
        <f t="shared" si="6"/>
        <v>0</v>
      </c>
      <c r="E105" s="37"/>
      <c r="F105" s="37"/>
      <c r="G105" s="59" t="s">
        <v>667</v>
      </c>
      <c r="H105" s="37" t="s">
        <v>3453</v>
      </c>
      <c r="I105" s="37">
        <v>1331</v>
      </c>
      <c r="J105" s="37">
        <v>331</v>
      </c>
      <c r="K105" s="37" t="s">
        <v>20</v>
      </c>
      <c r="L105" s="37">
        <v>1</v>
      </c>
      <c r="M105" s="102">
        <v>0</v>
      </c>
      <c r="N105" s="102">
        <f t="shared" si="9"/>
        <v>0</v>
      </c>
      <c r="O105" s="38"/>
      <c r="P105" s="37">
        <f t="shared" si="8"/>
        <v>35</v>
      </c>
    </row>
    <row r="106" spans="1:16" hidden="1" x14ac:dyDescent="0.25">
      <c r="A106" s="37" t="s">
        <v>18</v>
      </c>
      <c r="B106" s="104" t="s">
        <v>661</v>
      </c>
      <c r="C106" s="37">
        <f t="shared" si="5"/>
        <v>389</v>
      </c>
      <c r="D106" s="37">
        <f t="shared" si="6"/>
        <v>1</v>
      </c>
      <c r="E106" s="37"/>
      <c r="F106" s="37"/>
      <c r="G106" s="59" t="s">
        <v>24</v>
      </c>
      <c r="H106" s="37" t="s">
        <v>691</v>
      </c>
      <c r="I106" s="37">
        <v>64277</v>
      </c>
      <c r="J106" s="37">
        <v>331</v>
      </c>
      <c r="K106" s="37" t="s">
        <v>20</v>
      </c>
      <c r="L106" s="37">
        <v>1</v>
      </c>
      <c r="M106" s="102">
        <v>101000</v>
      </c>
      <c r="N106" s="102">
        <f t="shared" si="9"/>
        <v>101000</v>
      </c>
      <c r="O106" s="38"/>
      <c r="P106" s="37">
        <f t="shared" si="8"/>
        <v>126</v>
      </c>
    </row>
    <row r="107" spans="1:16" hidden="1" x14ac:dyDescent="0.25">
      <c r="A107" s="37" t="s">
        <v>18</v>
      </c>
      <c r="B107" s="104" t="s">
        <v>661</v>
      </c>
      <c r="C107" s="37">
        <f t="shared" si="5"/>
        <v>389</v>
      </c>
      <c r="D107" s="37">
        <f t="shared" si="6"/>
        <v>0</v>
      </c>
      <c r="E107" s="37"/>
      <c r="F107" s="37"/>
      <c r="G107" s="59" t="s">
        <v>24</v>
      </c>
      <c r="H107" s="37" t="s">
        <v>691</v>
      </c>
      <c r="I107" s="37">
        <v>1331</v>
      </c>
      <c r="J107" s="37">
        <v>331</v>
      </c>
      <c r="K107" s="37" t="s">
        <v>20</v>
      </c>
      <c r="L107" s="37">
        <v>1</v>
      </c>
      <c r="M107" s="102">
        <v>7481</v>
      </c>
      <c r="N107" s="102">
        <f t="shared" si="9"/>
        <v>7481</v>
      </c>
      <c r="O107" s="38"/>
      <c r="P107" s="37">
        <f t="shared" si="8"/>
        <v>126</v>
      </c>
    </row>
    <row r="108" spans="1:16" hidden="1" x14ac:dyDescent="0.25">
      <c r="A108" s="37" t="s">
        <v>18</v>
      </c>
      <c r="B108" s="104" t="s">
        <v>661</v>
      </c>
      <c r="C108" s="37">
        <f t="shared" si="5"/>
        <v>390</v>
      </c>
      <c r="D108" s="37">
        <f t="shared" si="6"/>
        <v>1</v>
      </c>
      <c r="E108" s="37"/>
      <c r="F108" s="37"/>
      <c r="G108" s="59" t="s">
        <v>667</v>
      </c>
      <c r="H108" s="37" t="s">
        <v>3454</v>
      </c>
      <c r="I108" s="37">
        <v>64277</v>
      </c>
      <c r="J108" s="37">
        <v>331</v>
      </c>
      <c r="K108" s="37" t="s">
        <v>20</v>
      </c>
      <c r="L108" s="37">
        <v>1</v>
      </c>
      <c r="M108" s="102">
        <v>5472221</v>
      </c>
      <c r="N108" s="102">
        <f t="shared" si="9"/>
        <v>5472221</v>
      </c>
      <c r="O108" s="38"/>
      <c r="P108" s="37">
        <f t="shared" si="8"/>
        <v>35</v>
      </c>
    </row>
    <row r="109" spans="1:16" hidden="1" x14ac:dyDescent="0.25">
      <c r="A109" s="37" t="s">
        <v>18</v>
      </c>
      <c r="B109" s="104" t="s">
        <v>661</v>
      </c>
      <c r="C109" s="37">
        <f t="shared" si="5"/>
        <v>390</v>
      </c>
      <c r="D109" s="37">
        <f t="shared" si="6"/>
        <v>0</v>
      </c>
      <c r="E109" s="37"/>
      <c r="F109" s="37"/>
      <c r="G109" s="59" t="s">
        <v>667</v>
      </c>
      <c r="H109" s="37" t="s">
        <v>3454</v>
      </c>
      <c r="I109" s="37">
        <v>1331</v>
      </c>
      <c r="J109" s="37">
        <v>331</v>
      </c>
      <c r="K109" s="37" t="s">
        <v>20</v>
      </c>
      <c r="L109" s="37">
        <v>1</v>
      </c>
      <c r="M109" s="102">
        <v>437779</v>
      </c>
      <c r="N109" s="102">
        <f t="shared" si="9"/>
        <v>437779</v>
      </c>
      <c r="O109" s="38"/>
      <c r="P109" s="37">
        <f t="shared" si="8"/>
        <v>35</v>
      </c>
    </row>
    <row r="110" spans="1:16" hidden="1" x14ac:dyDescent="0.25">
      <c r="A110" s="37" t="s">
        <v>18</v>
      </c>
      <c r="B110" s="104" t="s">
        <v>557</v>
      </c>
      <c r="C110" s="37">
        <f t="shared" si="5"/>
        <v>391</v>
      </c>
      <c r="D110" s="37">
        <f t="shared" si="6"/>
        <v>1</v>
      </c>
      <c r="E110" s="37"/>
      <c r="F110" s="37"/>
      <c r="G110" s="59" t="s">
        <v>56</v>
      </c>
      <c r="H110" s="37" t="s">
        <v>743</v>
      </c>
      <c r="I110" s="37">
        <v>131</v>
      </c>
      <c r="J110" s="37">
        <v>5113</v>
      </c>
      <c r="K110" s="37" t="s">
        <v>20</v>
      </c>
      <c r="L110" s="37">
        <v>1</v>
      </c>
      <c r="M110" s="102">
        <v>15151515</v>
      </c>
      <c r="N110" s="102">
        <f t="shared" si="9"/>
        <v>15151515</v>
      </c>
      <c r="O110" s="38"/>
      <c r="P110" s="37">
        <f t="shared" si="8"/>
        <v>173</v>
      </c>
    </row>
    <row r="111" spans="1:16" x14ac:dyDescent="0.25">
      <c r="A111" s="37" t="s">
        <v>18</v>
      </c>
      <c r="B111" s="104" t="s">
        <v>557</v>
      </c>
      <c r="C111" s="37">
        <f t="shared" si="5"/>
        <v>392</v>
      </c>
      <c r="D111" s="37">
        <f t="shared" si="6"/>
        <v>1</v>
      </c>
      <c r="E111" s="37"/>
      <c r="F111" s="37"/>
      <c r="G111" s="59" t="s">
        <v>56</v>
      </c>
      <c r="H111" s="37" t="s">
        <v>3396</v>
      </c>
      <c r="I111" s="37">
        <v>333821</v>
      </c>
      <c r="J111" s="37">
        <v>131</v>
      </c>
      <c r="K111" s="37" t="s">
        <v>20</v>
      </c>
      <c r="L111" s="37">
        <v>1</v>
      </c>
      <c r="M111" s="102">
        <v>151515</v>
      </c>
      <c r="N111" s="102">
        <f t="shared" si="9"/>
        <v>151515</v>
      </c>
      <c r="O111" s="38"/>
      <c r="P111" s="37">
        <f t="shared" si="8"/>
        <v>189</v>
      </c>
    </row>
    <row r="112" spans="1:16" hidden="1" x14ac:dyDescent="0.25">
      <c r="A112" s="37" t="s">
        <v>18</v>
      </c>
      <c r="B112" s="104" t="s">
        <v>505</v>
      </c>
      <c r="C112" s="37">
        <f t="shared" si="5"/>
        <v>393</v>
      </c>
      <c r="D112" s="37">
        <f t="shared" si="6"/>
        <v>1</v>
      </c>
      <c r="E112" s="37"/>
      <c r="F112" s="37"/>
      <c r="G112" s="59" t="s">
        <v>24</v>
      </c>
      <c r="H112" s="37" t="s">
        <v>692</v>
      </c>
      <c r="I112" s="37">
        <v>64277</v>
      </c>
      <c r="J112" s="37">
        <v>331</v>
      </c>
      <c r="K112" s="37" t="s">
        <v>20</v>
      </c>
      <c r="L112" s="37">
        <v>1</v>
      </c>
      <c r="M112" s="102">
        <v>26852</v>
      </c>
      <c r="N112" s="102">
        <f t="shared" si="9"/>
        <v>26852</v>
      </c>
      <c r="O112" s="38"/>
      <c r="P112" s="37">
        <f t="shared" si="8"/>
        <v>64</v>
      </c>
    </row>
    <row r="113" spans="1:16" hidden="1" x14ac:dyDescent="0.25">
      <c r="A113" s="37" t="s">
        <v>18</v>
      </c>
      <c r="B113" s="104" t="s">
        <v>505</v>
      </c>
      <c r="C113" s="37">
        <f t="shared" si="5"/>
        <v>393</v>
      </c>
      <c r="D113" s="37">
        <f t="shared" si="6"/>
        <v>0</v>
      </c>
      <c r="E113" s="37"/>
      <c r="F113" s="37"/>
      <c r="G113" s="59" t="s">
        <v>24</v>
      </c>
      <c r="H113" s="37" t="s">
        <v>692</v>
      </c>
      <c r="I113" s="37">
        <v>1331</v>
      </c>
      <c r="J113" s="37">
        <v>331</v>
      </c>
      <c r="K113" s="37" t="s">
        <v>20</v>
      </c>
      <c r="L113" s="37">
        <v>1</v>
      </c>
      <c r="M113" s="102">
        <v>2148</v>
      </c>
      <c r="N113" s="102">
        <f t="shared" si="9"/>
        <v>2148</v>
      </c>
      <c r="O113" s="38"/>
      <c r="P113" s="37">
        <f t="shared" si="8"/>
        <v>64</v>
      </c>
    </row>
    <row r="114" spans="1:16" hidden="1" x14ac:dyDescent="0.25">
      <c r="A114" s="37" t="s">
        <v>18</v>
      </c>
      <c r="B114" s="104" t="s">
        <v>480</v>
      </c>
      <c r="C114" s="37">
        <f t="shared" si="5"/>
        <v>394</v>
      </c>
      <c r="D114" s="37">
        <f t="shared" si="6"/>
        <v>1</v>
      </c>
      <c r="E114" s="37"/>
      <c r="F114" s="37"/>
      <c r="G114" s="59" t="s">
        <v>24</v>
      </c>
      <c r="H114" s="37" t="s">
        <v>694</v>
      </c>
      <c r="I114" s="37">
        <v>64277</v>
      </c>
      <c r="J114" s="37">
        <v>331</v>
      </c>
      <c r="K114" s="37" t="s">
        <v>20</v>
      </c>
      <c r="L114" s="37">
        <v>1</v>
      </c>
      <c r="M114" s="102">
        <v>160000</v>
      </c>
      <c r="N114" s="102">
        <f t="shared" si="9"/>
        <v>160000</v>
      </c>
      <c r="O114" s="38"/>
      <c r="P114" s="37">
        <f t="shared" si="8"/>
        <v>169</v>
      </c>
    </row>
    <row r="115" spans="1:16" hidden="1" x14ac:dyDescent="0.25">
      <c r="A115" s="37" t="s">
        <v>18</v>
      </c>
      <c r="B115" s="104" t="s">
        <v>480</v>
      </c>
      <c r="C115" s="37">
        <f t="shared" si="5"/>
        <v>394</v>
      </c>
      <c r="D115" s="37">
        <f t="shared" si="6"/>
        <v>0</v>
      </c>
      <c r="E115" s="37"/>
      <c r="F115" s="37"/>
      <c r="G115" s="59" t="s">
        <v>24</v>
      </c>
      <c r="H115" s="37" t="s">
        <v>694</v>
      </c>
      <c r="I115" s="37">
        <v>1331</v>
      </c>
      <c r="J115" s="37">
        <v>331</v>
      </c>
      <c r="K115" s="37" t="s">
        <v>20</v>
      </c>
      <c r="L115" s="37">
        <v>1</v>
      </c>
      <c r="M115" s="102">
        <v>11096</v>
      </c>
      <c r="N115" s="102">
        <f t="shared" si="9"/>
        <v>11096</v>
      </c>
      <c r="O115" s="38"/>
      <c r="P115" s="37">
        <f t="shared" si="8"/>
        <v>169</v>
      </c>
    </row>
    <row r="116" spans="1:16" hidden="1" x14ac:dyDescent="0.25">
      <c r="A116" s="37" t="s">
        <v>18</v>
      </c>
      <c r="B116" s="104" t="s">
        <v>480</v>
      </c>
      <c r="C116" s="37">
        <f t="shared" si="5"/>
        <v>395</v>
      </c>
      <c r="D116" s="37">
        <f t="shared" si="6"/>
        <v>1</v>
      </c>
      <c r="E116" s="37"/>
      <c r="F116" s="37"/>
      <c r="G116" s="59" t="s">
        <v>19</v>
      </c>
      <c r="H116" s="37" t="s">
        <v>695</v>
      </c>
      <c r="I116" s="37">
        <v>64277</v>
      </c>
      <c r="J116" s="37">
        <v>331</v>
      </c>
      <c r="K116" s="37" t="s">
        <v>20</v>
      </c>
      <c r="L116" s="37">
        <v>1</v>
      </c>
      <c r="M116" s="102">
        <v>102000</v>
      </c>
      <c r="N116" s="102">
        <f t="shared" si="9"/>
        <v>102000</v>
      </c>
      <c r="O116" s="38"/>
      <c r="P116" s="37">
        <f t="shared" si="8"/>
        <v>126</v>
      </c>
    </row>
    <row r="117" spans="1:16" hidden="1" x14ac:dyDescent="0.25">
      <c r="A117" s="37" t="s">
        <v>18</v>
      </c>
      <c r="B117" s="104" t="s">
        <v>480</v>
      </c>
      <c r="C117" s="37">
        <f t="shared" si="5"/>
        <v>395</v>
      </c>
      <c r="D117" s="37">
        <f t="shared" si="6"/>
        <v>0</v>
      </c>
      <c r="E117" s="37"/>
      <c r="F117" s="37"/>
      <c r="G117" s="59" t="s">
        <v>19</v>
      </c>
      <c r="H117" s="37" t="s">
        <v>695</v>
      </c>
      <c r="I117" s="37">
        <v>1331</v>
      </c>
      <c r="J117" s="37">
        <v>331</v>
      </c>
      <c r="K117" s="37" t="s">
        <v>20</v>
      </c>
      <c r="L117" s="37">
        <v>1</v>
      </c>
      <c r="M117" s="102">
        <v>7555</v>
      </c>
      <c r="N117" s="102">
        <f t="shared" si="9"/>
        <v>7555</v>
      </c>
      <c r="O117" s="38"/>
      <c r="P117" s="37">
        <f t="shared" si="8"/>
        <v>126</v>
      </c>
    </row>
    <row r="118" spans="1:16" hidden="1" x14ac:dyDescent="0.25">
      <c r="A118" s="37" t="s">
        <v>18</v>
      </c>
      <c r="B118" s="104" t="s">
        <v>480</v>
      </c>
      <c r="C118" s="37">
        <f t="shared" si="5"/>
        <v>396</v>
      </c>
      <c r="D118" s="37">
        <f t="shared" si="6"/>
        <v>1</v>
      </c>
      <c r="E118" s="37"/>
      <c r="F118" s="37"/>
      <c r="G118" s="59" t="s">
        <v>89</v>
      </c>
      <c r="H118" s="37" t="s">
        <v>693</v>
      </c>
      <c r="I118" s="37">
        <v>64277</v>
      </c>
      <c r="J118" s="37">
        <v>331</v>
      </c>
      <c r="K118" s="37" t="s">
        <v>20</v>
      </c>
      <c r="L118" s="37">
        <v>1</v>
      </c>
      <c r="M118" s="102">
        <v>89815</v>
      </c>
      <c r="N118" s="102">
        <f t="shared" si="9"/>
        <v>89815</v>
      </c>
      <c r="O118" s="38"/>
      <c r="P118" s="37">
        <f t="shared" si="8"/>
        <v>73</v>
      </c>
    </row>
    <row r="119" spans="1:16" hidden="1" x14ac:dyDescent="0.25">
      <c r="A119" s="37" t="s">
        <v>18</v>
      </c>
      <c r="B119" s="104" t="s">
        <v>480</v>
      </c>
      <c r="C119" s="37">
        <f t="shared" si="5"/>
        <v>396</v>
      </c>
      <c r="D119" s="37">
        <f t="shared" si="6"/>
        <v>0</v>
      </c>
      <c r="E119" s="37"/>
      <c r="F119" s="37"/>
      <c r="G119" s="59" t="s">
        <v>89</v>
      </c>
      <c r="H119" s="37" t="s">
        <v>693</v>
      </c>
      <c r="I119" s="37">
        <v>1331</v>
      </c>
      <c r="J119" s="37">
        <v>331</v>
      </c>
      <c r="K119" s="37" t="s">
        <v>20</v>
      </c>
      <c r="L119" s="37">
        <v>1</v>
      </c>
      <c r="M119" s="102">
        <v>7185</v>
      </c>
      <c r="N119" s="102">
        <f t="shared" si="9"/>
        <v>7185</v>
      </c>
      <c r="O119" s="38"/>
      <c r="P119" s="37">
        <f t="shared" si="8"/>
        <v>73</v>
      </c>
    </row>
    <row r="120" spans="1:16" hidden="1" x14ac:dyDescent="0.25">
      <c r="A120" s="37" t="s">
        <v>18</v>
      </c>
      <c r="B120" s="104" t="s">
        <v>480</v>
      </c>
      <c r="C120" s="37">
        <f t="shared" si="5"/>
        <v>397</v>
      </c>
      <c r="D120" s="37">
        <f t="shared" si="6"/>
        <v>1</v>
      </c>
      <c r="E120" s="37"/>
      <c r="F120" s="37"/>
      <c r="G120" s="59" t="s">
        <v>72</v>
      </c>
      <c r="H120" s="37" t="s">
        <v>745</v>
      </c>
      <c r="I120" s="37">
        <v>131</v>
      </c>
      <c r="J120" s="37">
        <v>5113</v>
      </c>
      <c r="K120" s="37" t="s">
        <v>20</v>
      </c>
      <c r="L120" s="37">
        <v>1</v>
      </c>
      <c r="M120" s="102">
        <v>11111111</v>
      </c>
      <c r="N120" s="102">
        <f t="shared" si="9"/>
        <v>11111111</v>
      </c>
      <c r="O120" s="38"/>
      <c r="P120" s="37">
        <f t="shared" si="8"/>
        <v>141</v>
      </c>
    </row>
    <row r="121" spans="1:16" x14ac:dyDescent="0.25">
      <c r="A121" s="37" t="s">
        <v>18</v>
      </c>
      <c r="B121" s="104" t="s">
        <v>480</v>
      </c>
      <c r="C121" s="37">
        <f t="shared" si="5"/>
        <v>398</v>
      </c>
      <c r="D121" s="37">
        <f t="shared" si="6"/>
        <v>1</v>
      </c>
      <c r="E121" s="37"/>
      <c r="F121" s="37"/>
      <c r="G121" s="59" t="s">
        <v>72</v>
      </c>
      <c r="H121" s="37" t="s">
        <v>3397</v>
      </c>
      <c r="I121" s="37">
        <v>333821</v>
      </c>
      <c r="J121" s="37">
        <v>131</v>
      </c>
      <c r="K121" s="37" t="s">
        <v>20</v>
      </c>
      <c r="L121" s="37">
        <v>1</v>
      </c>
      <c r="M121" s="102">
        <v>111111</v>
      </c>
      <c r="N121" s="102">
        <f t="shared" si="9"/>
        <v>111111</v>
      </c>
      <c r="O121" s="38"/>
      <c r="P121" s="37">
        <f t="shared" si="8"/>
        <v>157</v>
      </c>
    </row>
    <row r="122" spans="1:16" hidden="1" x14ac:dyDescent="0.25">
      <c r="A122" s="37" t="s">
        <v>18</v>
      </c>
      <c r="B122" s="104" t="s">
        <v>480</v>
      </c>
      <c r="C122" s="37">
        <f t="shared" si="5"/>
        <v>399</v>
      </c>
      <c r="D122" s="37">
        <f t="shared" si="6"/>
        <v>1</v>
      </c>
      <c r="E122" s="37"/>
      <c r="F122" s="37"/>
      <c r="G122" s="59" t="s">
        <v>717</v>
      </c>
      <c r="H122" s="37" t="s">
        <v>744</v>
      </c>
      <c r="I122" s="37">
        <v>131</v>
      </c>
      <c r="J122" s="37">
        <v>5113</v>
      </c>
      <c r="K122" s="37" t="s">
        <v>20</v>
      </c>
      <c r="L122" s="37">
        <v>1</v>
      </c>
      <c r="M122" s="102">
        <v>55555556</v>
      </c>
      <c r="N122" s="102">
        <f t="shared" si="9"/>
        <v>55555556</v>
      </c>
      <c r="O122" s="38"/>
      <c r="P122" s="37">
        <f t="shared" si="8"/>
        <v>114</v>
      </c>
    </row>
    <row r="123" spans="1:16" x14ac:dyDescent="0.25">
      <c r="A123" s="37" t="s">
        <v>18</v>
      </c>
      <c r="B123" s="104" t="s">
        <v>480</v>
      </c>
      <c r="C123" s="37">
        <f t="shared" si="5"/>
        <v>400</v>
      </c>
      <c r="D123" s="37">
        <f t="shared" si="6"/>
        <v>1</v>
      </c>
      <c r="E123" s="37"/>
      <c r="F123" s="37"/>
      <c r="G123" s="59" t="s">
        <v>717</v>
      </c>
      <c r="H123" s="37" t="s">
        <v>3398</v>
      </c>
      <c r="I123" s="37">
        <v>333821</v>
      </c>
      <c r="J123" s="37">
        <v>131</v>
      </c>
      <c r="K123" s="37" t="s">
        <v>20</v>
      </c>
      <c r="L123" s="37">
        <v>1</v>
      </c>
      <c r="M123" s="102">
        <v>555556</v>
      </c>
      <c r="N123" s="102">
        <f t="shared" si="9"/>
        <v>555556</v>
      </c>
      <c r="O123" s="38"/>
      <c r="P123" s="37">
        <f t="shared" si="8"/>
        <v>130</v>
      </c>
    </row>
    <row r="124" spans="1:16" hidden="1" x14ac:dyDescent="0.25">
      <c r="A124" s="37" t="s">
        <v>18</v>
      </c>
      <c r="B124" s="104" t="s">
        <v>558</v>
      </c>
      <c r="C124" s="37">
        <f t="shared" si="5"/>
        <v>401</v>
      </c>
      <c r="D124" s="37">
        <f t="shared" si="6"/>
        <v>1</v>
      </c>
      <c r="E124" s="37"/>
      <c r="F124" s="37"/>
      <c r="G124" s="59" t="s">
        <v>19</v>
      </c>
      <c r="H124" s="37" t="s">
        <v>698</v>
      </c>
      <c r="I124" s="37">
        <v>64277</v>
      </c>
      <c r="J124" s="37">
        <v>331</v>
      </c>
      <c r="K124" s="37" t="s">
        <v>20</v>
      </c>
      <c r="L124" s="37">
        <v>1</v>
      </c>
      <c r="M124" s="102">
        <v>68000</v>
      </c>
      <c r="N124" s="102">
        <f t="shared" si="9"/>
        <v>68000</v>
      </c>
      <c r="O124" s="38"/>
      <c r="P124" s="37">
        <f t="shared" si="8"/>
        <v>126</v>
      </c>
    </row>
    <row r="125" spans="1:16" hidden="1" x14ac:dyDescent="0.25">
      <c r="A125" s="37" t="s">
        <v>18</v>
      </c>
      <c r="B125" s="104" t="s">
        <v>558</v>
      </c>
      <c r="C125" s="37">
        <f t="shared" si="5"/>
        <v>401</v>
      </c>
      <c r="D125" s="37">
        <f t="shared" si="6"/>
        <v>0</v>
      </c>
      <c r="E125" s="37"/>
      <c r="F125" s="37"/>
      <c r="G125" s="59" t="s">
        <v>19</v>
      </c>
      <c r="H125" s="37" t="s">
        <v>698</v>
      </c>
      <c r="I125" s="37">
        <v>1331</v>
      </c>
      <c r="J125" s="37">
        <v>331</v>
      </c>
      <c r="K125" s="37" t="s">
        <v>20</v>
      </c>
      <c r="L125" s="37">
        <v>1</v>
      </c>
      <c r="M125" s="102">
        <v>5037</v>
      </c>
      <c r="N125" s="102">
        <f t="shared" si="9"/>
        <v>5037</v>
      </c>
      <c r="O125" s="38"/>
      <c r="P125" s="37">
        <f t="shared" si="8"/>
        <v>126</v>
      </c>
    </row>
    <row r="126" spans="1:16" hidden="1" x14ac:dyDescent="0.25">
      <c r="A126" s="37" t="s">
        <v>18</v>
      </c>
      <c r="B126" s="104" t="s">
        <v>558</v>
      </c>
      <c r="C126" s="37">
        <f t="shared" si="5"/>
        <v>402</v>
      </c>
      <c r="D126" s="37">
        <f t="shared" si="6"/>
        <v>1</v>
      </c>
      <c r="E126" s="37"/>
      <c r="F126" s="37"/>
      <c r="G126" s="59" t="s">
        <v>19</v>
      </c>
      <c r="H126" s="37" t="s">
        <v>697</v>
      </c>
      <c r="I126" s="37">
        <v>64277</v>
      </c>
      <c r="J126" s="37">
        <v>331</v>
      </c>
      <c r="K126" s="37" t="s">
        <v>20</v>
      </c>
      <c r="L126" s="37">
        <v>1</v>
      </c>
      <c r="M126" s="102">
        <v>87037</v>
      </c>
      <c r="N126" s="102">
        <f t="shared" si="9"/>
        <v>87037</v>
      </c>
      <c r="O126" s="38"/>
      <c r="P126" s="37">
        <f t="shared" si="8"/>
        <v>64</v>
      </c>
    </row>
    <row r="127" spans="1:16" hidden="1" x14ac:dyDescent="0.25">
      <c r="A127" s="37" t="s">
        <v>18</v>
      </c>
      <c r="B127" s="104" t="s">
        <v>558</v>
      </c>
      <c r="C127" s="37">
        <f t="shared" si="5"/>
        <v>402</v>
      </c>
      <c r="D127" s="37">
        <f t="shared" si="6"/>
        <v>0</v>
      </c>
      <c r="E127" s="37"/>
      <c r="F127" s="37"/>
      <c r="G127" s="59" t="s">
        <v>19</v>
      </c>
      <c r="H127" s="37" t="s">
        <v>697</v>
      </c>
      <c r="I127" s="37">
        <v>1331</v>
      </c>
      <c r="J127" s="37">
        <v>331</v>
      </c>
      <c r="K127" s="37" t="s">
        <v>20</v>
      </c>
      <c r="L127" s="37">
        <v>1</v>
      </c>
      <c r="M127" s="102">
        <v>6963</v>
      </c>
      <c r="N127" s="102">
        <f t="shared" si="9"/>
        <v>6963</v>
      </c>
      <c r="O127" s="38"/>
      <c r="P127" s="37">
        <f t="shared" si="8"/>
        <v>64</v>
      </c>
    </row>
    <row r="128" spans="1:16" hidden="1" x14ac:dyDescent="0.25">
      <c r="A128" s="37" t="s">
        <v>18</v>
      </c>
      <c r="B128" s="104" t="s">
        <v>558</v>
      </c>
      <c r="C128" s="37">
        <f t="shared" si="5"/>
        <v>403</v>
      </c>
      <c r="D128" s="37">
        <f t="shared" si="6"/>
        <v>1</v>
      </c>
      <c r="E128" s="37"/>
      <c r="F128" s="37"/>
      <c r="G128" s="59" t="s">
        <v>19</v>
      </c>
      <c r="H128" s="37" t="s">
        <v>696</v>
      </c>
      <c r="I128" s="37">
        <v>64277</v>
      </c>
      <c r="J128" s="37">
        <v>331</v>
      </c>
      <c r="K128" s="37" t="s">
        <v>20</v>
      </c>
      <c r="L128" s="37">
        <v>1</v>
      </c>
      <c r="M128" s="102">
        <v>132000</v>
      </c>
      <c r="N128" s="102">
        <f t="shared" si="9"/>
        <v>132000</v>
      </c>
      <c r="O128" s="38"/>
      <c r="P128" s="37">
        <f t="shared" si="8"/>
        <v>126</v>
      </c>
    </row>
    <row r="129" spans="1:16" hidden="1" x14ac:dyDescent="0.25">
      <c r="A129" s="37" t="s">
        <v>18</v>
      </c>
      <c r="B129" s="104" t="s">
        <v>558</v>
      </c>
      <c r="C129" s="37">
        <f t="shared" si="5"/>
        <v>403</v>
      </c>
      <c r="D129" s="37">
        <f t="shared" si="6"/>
        <v>0</v>
      </c>
      <c r="E129" s="37"/>
      <c r="F129" s="37"/>
      <c r="G129" s="59" t="s">
        <v>19</v>
      </c>
      <c r="H129" s="37" t="s">
        <v>696</v>
      </c>
      <c r="I129" s="37">
        <v>1331</v>
      </c>
      <c r="J129" s="37">
        <v>331</v>
      </c>
      <c r="K129" s="37" t="s">
        <v>20</v>
      </c>
      <c r="L129" s="37">
        <v>1</v>
      </c>
      <c r="M129" s="102">
        <v>9778</v>
      </c>
      <c r="N129" s="102">
        <f t="shared" si="9"/>
        <v>9778</v>
      </c>
      <c r="O129" s="38"/>
      <c r="P129" s="37">
        <f t="shared" si="8"/>
        <v>126</v>
      </c>
    </row>
    <row r="130" spans="1:16" hidden="1" x14ac:dyDescent="0.25">
      <c r="A130" s="37" t="s">
        <v>18</v>
      </c>
      <c r="B130" s="104" t="s">
        <v>662</v>
      </c>
      <c r="C130" s="37">
        <f t="shared" si="5"/>
        <v>404</v>
      </c>
      <c r="D130" s="37">
        <f t="shared" si="6"/>
        <v>1</v>
      </c>
      <c r="E130" s="37"/>
      <c r="F130" s="37"/>
      <c r="G130" s="59" t="s">
        <v>24</v>
      </c>
      <c r="H130" s="37" t="s">
        <v>700</v>
      </c>
      <c r="I130" s="37">
        <v>64277</v>
      </c>
      <c r="J130" s="37">
        <v>331</v>
      </c>
      <c r="K130" s="37" t="s">
        <v>20</v>
      </c>
      <c r="L130" s="37">
        <v>1</v>
      </c>
      <c r="M130" s="102">
        <v>71000</v>
      </c>
      <c r="N130" s="102">
        <f t="shared" si="9"/>
        <v>71000</v>
      </c>
      <c r="O130" s="38"/>
      <c r="P130" s="37">
        <f t="shared" si="8"/>
        <v>169</v>
      </c>
    </row>
    <row r="131" spans="1:16" hidden="1" x14ac:dyDescent="0.25">
      <c r="A131" s="37" t="s">
        <v>18</v>
      </c>
      <c r="B131" s="104" t="s">
        <v>662</v>
      </c>
      <c r="C131" s="37">
        <f t="shared" si="5"/>
        <v>404</v>
      </c>
      <c r="D131" s="37">
        <f t="shared" si="6"/>
        <v>0</v>
      </c>
      <c r="E131" s="37"/>
      <c r="F131" s="37"/>
      <c r="G131" s="59" t="s">
        <v>24</v>
      </c>
      <c r="H131" s="37" t="s">
        <v>700</v>
      </c>
      <c r="I131" s="37">
        <v>1331</v>
      </c>
      <c r="J131" s="37">
        <v>331</v>
      </c>
      <c r="K131" s="37" t="s">
        <v>20</v>
      </c>
      <c r="L131" s="37">
        <v>1</v>
      </c>
      <c r="M131" s="102">
        <v>4912</v>
      </c>
      <c r="N131" s="102">
        <f t="shared" si="9"/>
        <v>4912</v>
      </c>
      <c r="O131" s="38"/>
      <c r="P131" s="37">
        <f t="shared" si="8"/>
        <v>169</v>
      </c>
    </row>
    <row r="132" spans="1:16" hidden="1" x14ac:dyDescent="0.25">
      <c r="A132" s="37" t="s">
        <v>18</v>
      </c>
      <c r="B132" s="104" t="s">
        <v>662</v>
      </c>
      <c r="C132" s="37">
        <f t="shared" ref="C132:C195" si="10">C131+D132</f>
        <v>405</v>
      </c>
      <c r="D132" s="37">
        <f t="shared" ref="D132:D195" si="11">IF(H132=H131,0,1)</f>
        <v>1</v>
      </c>
      <c r="E132" s="37"/>
      <c r="F132" s="37"/>
      <c r="G132" s="59" t="s">
        <v>24</v>
      </c>
      <c r="H132" s="37" t="s">
        <v>699</v>
      </c>
      <c r="I132" s="37">
        <v>64277</v>
      </c>
      <c r="J132" s="37">
        <v>331</v>
      </c>
      <c r="K132" s="37" t="s">
        <v>20</v>
      </c>
      <c r="L132" s="37">
        <v>1</v>
      </c>
      <c r="M132" s="102">
        <v>89000</v>
      </c>
      <c r="N132" s="102">
        <f t="shared" ref="N132:N163" si="12">L132*M132</f>
        <v>89000</v>
      </c>
      <c r="O132" s="38"/>
      <c r="P132" s="37">
        <f t="shared" si="8"/>
        <v>126</v>
      </c>
    </row>
    <row r="133" spans="1:16" hidden="1" x14ac:dyDescent="0.25">
      <c r="A133" s="37" t="s">
        <v>18</v>
      </c>
      <c r="B133" s="104" t="s">
        <v>662</v>
      </c>
      <c r="C133" s="37">
        <f t="shared" si="10"/>
        <v>405</v>
      </c>
      <c r="D133" s="37">
        <f t="shared" si="11"/>
        <v>0</v>
      </c>
      <c r="E133" s="37"/>
      <c r="F133" s="37"/>
      <c r="G133" s="59" t="s">
        <v>24</v>
      </c>
      <c r="H133" s="37" t="s">
        <v>699</v>
      </c>
      <c r="I133" s="37">
        <v>1331</v>
      </c>
      <c r="J133" s="37">
        <v>331</v>
      </c>
      <c r="K133" s="37" t="s">
        <v>20</v>
      </c>
      <c r="L133" s="37">
        <v>1</v>
      </c>
      <c r="M133" s="102">
        <v>6592</v>
      </c>
      <c r="N133" s="102">
        <f t="shared" si="12"/>
        <v>6592</v>
      </c>
      <c r="O133" s="38"/>
      <c r="P133" s="37">
        <f t="shared" ref="P133:P196" si="13">LEN(H133)</f>
        <v>126</v>
      </c>
    </row>
    <row r="134" spans="1:16" hidden="1" x14ac:dyDescent="0.25">
      <c r="A134" s="37" t="s">
        <v>18</v>
      </c>
      <c r="B134" s="104" t="s">
        <v>663</v>
      </c>
      <c r="C134" s="37">
        <f t="shared" si="10"/>
        <v>406</v>
      </c>
      <c r="D134" s="37">
        <f t="shared" si="11"/>
        <v>1</v>
      </c>
      <c r="E134" s="37"/>
      <c r="F134" s="37"/>
      <c r="G134" s="59" t="s">
        <v>24</v>
      </c>
      <c r="H134" s="37" t="s">
        <v>702</v>
      </c>
      <c r="I134" s="37">
        <v>64277</v>
      </c>
      <c r="J134" s="37">
        <v>331</v>
      </c>
      <c r="K134" s="37" t="s">
        <v>20</v>
      </c>
      <c r="L134" s="37">
        <v>1</v>
      </c>
      <c r="M134" s="102">
        <v>124000</v>
      </c>
      <c r="N134" s="102">
        <f t="shared" si="12"/>
        <v>124000</v>
      </c>
      <c r="O134" s="38"/>
      <c r="P134" s="37">
        <f t="shared" si="13"/>
        <v>169</v>
      </c>
    </row>
    <row r="135" spans="1:16" hidden="1" x14ac:dyDescent="0.25">
      <c r="A135" s="37" t="s">
        <v>18</v>
      </c>
      <c r="B135" s="104" t="s">
        <v>663</v>
      </c>
      <c r="C135" s="37">
        <f t="shared" si="10"/>
        <v>406</v>
      </c>
      <c r="D135" s="37">
        <f t="shared" si="11"/>
        <v>0</v>
      </c>
      <c r="E135" s="37"/>
      <c r="F135" s="37"/>
      <c r="G135" s="59" t="s">
        <v>24</v>
      </c>
      <c r="H135" s="37" t="s">
        <v>702</v>
      </c>
      <c r="I135" s="37">
        <v>1331</v>
      </c>
      <c r="J135" s="37">
        <v>331</v>
      </c>
      <c r="K135" s="37" t="s">
        <v>20</v>
      </c>
      <c r="L135" s="37">
        <v>1</v>
      </c>
      <c r="M135" s="102">
        <v>8576</v>
      </c>
      <c r="N135" s="102">
        <f t="shared" si="12"/>
        <v>8576</v>
      </c>
      <c r="O135" s="38"/>
      <c r="P135" s="37">
        <f t="shared" si="13"/>
        <v>169</v>
      </c>
    </row>
    <row r="136" spans="1:16" hidden="1" x14ac:dyDescent="0.25">
      <c r="A136" s="37" t="s">
        <v>18</v>
      </c>
      <c r="B136" s="104" t="s">
        <v>663</v>
      </c>
      <c r="C136" s="37">
        <f t="shared" si="10"/>
        <v>407</v>
      </c>
      <c r="D136" s="37">
        <f t="shared" si="11"/>
        <v>1</v>
      </c>
      <c r="E136" s="37"/>
      <c r="F136" s="37"/>
      <c r="G136" s="59" t="s">
        <v>24</v>
      </c>
      <c r="H136" s="37" t="s">
        <v>701</v>
      </c>
      <c r="I136" s="37">
        <v>64277</v>
      </c>
      <c r="J136" s="37">
        <v>331</v>
      </c>
      <c r="K136" s="37" t="s">
        <v>20</v>
      </c>
      <c r="L136" s="37">
        <v>1</v>
      </c>
      <c r="M136" s="102">
        <v>118000</v>
      </c>
      <c r="N136" s="102">
        <f t="shared" si="12"/>
        <v>118000</v>
      </c>
      <c r="O136" s="38"/>
      <c r="P136" s="37">
        <f t="shared" si="13"/>
        <v>126</v>
      </c>
    </row>
    <row r="137" spans="1:16" hidden="1" x14ac:dyDescent="0.25">
      <c r="A137" s="37" t="s">
        <v>18</v>
      </c>
      <c r="B137" s="104" t="s">
        <v>663</v>
      </c>
      <c r="C137" s="37">
        <f t="shared" si="10"/>
        <v>407</v>
      </c>
      <c r="D137" s="37">
        <f t="shared" si="11"/>
        <v>0</v>
      </c>
      <c r="E137" s="37"/>
      <c r="F137" s="37"/>
      <c r="G137" s="59" t="s">
        <v>24</v>
      </c>
      <c r="H137" s="37" t="s">
        <v>701</v>
      </c>
      <c r="I137" s="37">
        <v>1331</v>
      </c>
      <c r="J137" s="37">
        <v>331</v>
      </c>
      <c r="K137" s="37" t="s">
        <v>20</v>
      </c>
      <c r="L137" s="37">
        <v>1</v>
      </c>
      <c r="M137" s="102">
        <v>8741</v>
      </c>
      <c r="N137" s="102">
        <f t="shared" si="12"/>
        <v>8741</v>
      </c>
      <c r="O137" s="38"/>
      <c r="P137" s="37">
        <f t="shared" si="13"/>
        <v>126</v>
      </c>
    </row>
    <row r="138" spans="1:16" hidden="1" x14ac:dyDescent="0.25">
      <c r="A138" s="37" t="s">
        <v>18</v>
      </c>
      <c r="B138" s="104" t="s">
        <v>663</v>
      </c>
      <c r="C138" s="37">
        <f t="shared" si="10"/>
        <v>408</v>
      </c>
      <c r="D138" s="37">
        <f t="shared" si="11"/>
        <v>1</v>
      </c>
      <c r="E138" s="37"/>
      <c r="F138" s="37"/>
      <c r="G138" s="59" t="s">
        <v>82</v>
      </c>
      <c r="H138" s="37" t="s">
        <v>746</v>
      </c>
      <c r="I138" s="37">
        <v>131</v>
      </c>
      <c r="J138" s="37">
        <v>5113</v>
      </c>
      <c r="K138" s="37" t="s">
        <v>20</v>
      </c>
      <c r="L138" s="37">
        <v>1</v>
      </c>
      <c r="M138" s="102">
        <v>11111111</v>
      </c>
      <c r="N138" s="102">
        <f t="shared" si="12"/>
        <v>11111111</v>
      </c>
      <c r="O138" s="38"/>
      <c r="P138" s="37">
        <f t="shared" si="13"/>
        <v>178</v>
      </c>
    </row>
    <row r="139" spans="1:16" x14ac:dyDescent="0.25">
      <c r="A139" s="37" t="s">
        <v>18</v>
      </c>
      <c r="B139" s="104" t="s">
        <v>663</v>
      </c>
      <c r="C139" s="37">
        <f t="shared" si="10"/>
        <v>409</v>
      </c>
      <c r="D139" s="37">
        <f t="shared" si="11"/>
        <v>1</v>
      </c>
      <c r="E139" s="37"/>
      <c r="F139" s="37"/>
      <c r="G139" s="59" t="s">
        <v>82</v>
      </c>
      <c r="H139" s="37" t="s">
        <v>3399</v>
      </c>
      <c r="I139" s="37">
        <v>333821</v>
      </c>
      <c r="J139" s="37">
        <v>131</v>
      </c>
      <c r="K139" s="37" t="s">
        <v>20</v>
      </c>
      <c r="L139" s="37">
        <v>1</v>
      </c>
      <c r="M139" s="102">
        <v>111111</v>
      </c>
      <c r="N139" s="102">
        <f t="shared" si="12"/>
        <v>111111</v>
      </c>
      <c r="O139" s="38"/>
      <c r="P139" s="37">
        <f t="shared" si="13"/>
        <v>194</v>
      </c>
    </row>
    <row r="140" spans="1:16" hidden="1" x14ac:dyDescent="0.25">
      <c r="A140" s="37" t="s">
        <v>18</v>
      </c>
      <c r="B140" s="104" t="s">
        <v>663</v>
      </c>
      <c r="C140" s="37">
        <f t="shared" si="10"/>
        <v>410</v>
      </c>
      <c r="D140" s="37">
        <f t="shared" si="11"/>
        <v>1</v>
      </c>
      <c r="E140" s="37"/>
      <c r="F140" s="37"/>
      <c r="G140" s="59" t="s">
        <v>51</v>
      </c>
      <c r="H140" s="37" t="s">
        <v>747</v>
      </c>
      <c r="I140" s="37">
        <v>131</v>
      </c>
      <c r="J140" s="37">
        <v>5113</v>
      </c>
      <c r="K140" s="37" t="s">
        <v>20</v>
      </c>
      <c r="L140" s="37">
        <v>1</v>
      </c>
      <c r="M140" s="102">
        <v>8888889</v>
      </c>
      <c r="N140" s="102">
        <f t="shared" si="12"/>
        <v>8888889</v>
      </c>
      <c r="O140" s="38"/>
      <c r="P140" s="37">
        <f t="shared" si="13"/>
        <v>146</v>
      </c>
    </row>
    <row r="141" spans="1:16" x14ac:dyDescent="0.25">
      <c r="A141" s="37" t="s">
        <v>18</v>
      </c>
      <c r="B141" s="104" t="s">
        <v>663</v>
      </c>
      <c r="C141" s="37">
        <f t="shared" si="10"/>
        <v>411</v>
      </c>
      <c r="D141" s="37">
        <f t="shared" si="11"/>
        <v>1</v>
      </c>
      <c r="E141" s="37"/>
      <c r="F141" s="37"/>
      <c r="G141" s="59" t="s">
        <v>51</v>
      </c>
      <c r="H141" s="37" t="s">
        <v>3400</v>
      </c>
      <c r="I141" s="37">
        <v>333821</v>
      </c>
      <c r="J141" s="37">
        <v>131</v>
      </c>
      <c r="K141" s="37" t="s">
        <v>20</v>
      </c>
      <c r="L141" s="37">
        <v>1</v>
      </c>
      <c r="M141" s="102">
        <v>88889</v>
      </c>
      <c r="N141" s="102">
        <f t="shared" si="12"/>
        <v>88889</v>
      </c>
      <c r="O141" s="38"/>
      <c r="P141" s="37">
        <f t="shared" si="13"/>
        <v>162</v>
      </c>
    </row>
    <row r="142" spans="1:16" hidden="1" x14ac:dyDescent="0.25">
      <c r="A142" s="37" t="s">
        <v>18</v>
      </c>
      <c r="B142" s="104" t="s">
        <v>664</v>
      </c>
      <c r="C142" s="37">
        <f t="shared" si="10"/>
        <v>412</v>
      </c>
      <c r="D142" s="37">
        <f t="shared" si="11"/>
        <v>1</v>
      </c>
      <c r="E142" s="37"/>
      <c r="F142" s="37"/>
      <c r="G142" s="59" t="s">
        <v>24</v>
      </c>
      <c r="H142" s="37" t="s">
        <v>705</v>
      </c>
      <c r="I142" s="37">
        <v>64277</v>
      </c>
      <c r="J142" s="37">
        <v>331</v>
      </c>
      <c r="K142" s="37" t="s">
        <v>20</v>
      </c>
      <c r="L142" s="37">
        <v>1</v>
      </c>
      <c r="M142" s="102">
        <v>13963</v>
      </c>
      <c r="N142" s="102">
        <f t="shared" si="12"/>
        <v>13963</v>
      </c>
      <c r="O142" s="38"/>
      <c r="P142" s="37">
        <f t="shared" si="13"/>
        <v>107</v>
      </c>
    </row>
    <row r="143" spans="1:16" hidden="1" x14ac:dyDescent="0.25">
      <c r="A143" s="37" t="s">
        <v>18</v>
      </c>
      <c r="B143" s="104" t="s">
        <v>664</v>
      </c>
      <c r="C143" s="37">
        <f t="shared" si="10"/>
        <v>412</v>
      </c>
      <c r="D143" s="37">
        <f t="shared" si="11"/>
        <v>0</v>
      </c>
      <c r="E143" s="37"/>
      <c r="F143" s="37"/>
      <c r="G143" s="59" t="s">
        <v>24</v>
      </c>
      <c r="H143" s="37" t="s">
        <v>705</v>
      </c>
      <c r="I143" s="37">
        <v>1331</v>
      </c>
      <c r="J143" s="37">
        <v>331</v>
      </c>
      <c r="K143" s="37" t="s">
        <v>20</v>
      </c>
      <c r="L143" s="37">
        <v>1</v>
      </c>
      <c r="M143" s="102">
        <v>1037</v>
      </c>
      <c r="N143" s="102">
        <f t="shared" si="12"/>
        <v>1037</v>
      </c>
      <c r="O143" s="38"/>
      <c r="P143" s="37">
        <f t="shared" si="13"/>
        <v>107</v>
      </c>
    </row>
    <row r="144" spans="1:16" hidden="1" x14ac:dyDescent="0.25">
      <c r="A144" s="37" t="s">
        <v>18</v>
      </c>
      <c r="B144" s="104" t="s">
        <v>664</v>
      </c>
      <c r="C144" s="37">
        <f t="shared" si="10"/>
        <v>413</v>
      </c>
      <c r="D144" s="37">
        <f t="shared" si="11"/>
        <v>1</v>
      </c>
      <c r="E144" s="37"/>
      <c r="F144" s="37"/>
      <c r="G144" s="59" t="s">
        <v>24</v>
      </c>
      <c r="H144" s="37" t="s">
        <v>704</v>
      </c>
      <c r="I144" s="37">
        <v>64277</v>
      </c>
      <c r="J144" s="37">
        <v>331</v>
      </c>
      <c r="K144" s="37" t="s">
        <v>20</v>
      </c>
      <c r="L144" s="37">
        <v>1</v>
      </c>
      <c r="M144" s="102">
        <v>54000</v>
      </c>
      <c r="N144" s="102">
        <f t="shared" si="12"/>
        <v>54000</v>
      </c>
      <c r="O144" s="38"/>
      <c r="P144" s="37">
        <f t="shared" si="13"/>
        <v>169</v>
      </c>
    </row>
    <row r="145" spans="1:16" hidden="1" x14ac:dyDescent="0.25">
      <c r="A145" s="37" t="s">
        <v>18</v>
      </c>
      <c r="B145" s="104" t="s">
        <v>664</v>
      </c>
      <c r="C145" s="37">
        <f t="shared" si="10"/>
        <v>413</v>
      </c>
      <c r="D145" s="37">
        <f t="shared" si="11"/>
        <v>0</v>
      </c>
      <c r="E145" s="37"/>
      <c r="F145" s="37"/>
      <c r="G145" s="59" t="s">
        <v>24</v>
      </c>
      <c r="H145" s="37" t="s">
        <v>704</v>
      </c>
      <c r="I145" s="37">
        <v>1331</v>
      </c>
      <c r="J145" s="37">
        <v>331</v>
      </c>
      <c r="K145" s="37" t="s">
        <v>20</v>
      </c>
      <c r="L145" s="37">
        <v>1</v>
      </c>
      <c r="M145" s="102">
        <v>3667</v>
      </c>
      <c r="N145" s="102">
        <f t="shared" si="12"/>
        <v>3667</v>
      </c>
      <c r="O145" s="38"/>
      <c r="P145" s="37">
        <f t="shared" si="13"/>
        <v>169</v>
      </c>
    </row>
    <row r="146" spans="1:16" hidden="1" x14ac:dyDescent="0.25">
      <c r="A146" s="37" t="s">
        <v>18</v>
      </c>
      <c r="B146" s="104" t="s">
        <v>664</v>
      </c>
      <c r="C146" s="37">
        <f t="shared" si="10"/>
        <v>414</v>
      </c>
      <c r="D146" s="37">
        <f t="shared" si="11"/>
        <v>1</v>
      </c>
      <c r="E146" s="37"/>
      <c r="F146" s="37"/>
      <c r="G146" s="59" t="s">
        <v>24</v>
      </c>
      <c r="H146" s="37" t="s">
        <v>703</v>
      </c>
      <c r="I146" s="37">
        <v>64277</v>
      </c>
      <c r="J146" s="37">
        <v>331</v>
      </c>
      <c r="K146" s="37" t="s">
        <v>20</v>
      </c>
      <c r="L146" s="37">
        <v>1</v>
      </c>
      <c r="M146" s="102">
        <v>59000</v>
      </c>
      <c r="N146" s="102">
        <f t="shared" si="12"/>
        <v>59000</v>
      </c>
      <c r="O146" s="38"/>
      <c r="P146" s="37">
        <f t="shared" si="13"/>
        <v>169</v>
      </c>
    </row>
    <row r="147" spans="1:16" hidden="1" x14ac:dyDescent="0.25">
      <c r="A147" s="37" t="s">
        <v>18</v>
      </c>
      <c r="B147" s="104" t="s">
        <v>664</v>
      </c>
      <c r="C147" s="37">
        <f t="shared" si="10"/>
        <v>414</v>
      </c>
      <c r="D147" s="37">
        <f t="shared" si="11"/>
        <v>0</v>
      </c>
      <c r="E147" s="37"/>
      <c r="F147" s="37"/>
      <c r="G147" s="59" t="s">
        <v>24</v>
      </c>
      <c r="H147" s="37" t="s">
        <v>703</v>
      </c>
      <c r="I147" s="37">
        <v>1331</v>
      </c>
      <c r="J147" s="37">
        <v>331</v>
      </c>
      <c r="K147" s="37" t="s">
        <v>20</v>
      </c>
      <c r="L147" s="37">
        <v>1</v>
      </c>
      <c r="M147" s="102">
        <v>4008</v>
      </c>
      <c r="N147" s="102">
        <f t="shared" si="12"/>
        <v>4008</v>
      </c>
      <c r="O147" s="38"/>
      <c r="P147" s="37">
        <f t="shared" si="13"/>
        <v>169</v>
      </c>
    </row>
    <row r="148" spans="1:16" hidden="1" x14ac:dyDescent="0.25">
      <c r="A148" s="37" t="s">
        <v>18</v>
      </c>
      <c r="B148" s="104" t="s">
        <v>664</v>
      </c>
      <c r="C148" s="37">
        <f t="shared" si="10"/>
        <v>415</v>
      </c>
      <c r="D148" s="37">
        <f t="shared" si="11"/>
        <v>1</v>
      </c>
      <c r="E148" s="37"/>
      <c r="F148" s="37"/>
      <c r="G148" s="59" t="s">
        <v>56</v>
      </c>
      <c r="H148" s="37" t="s">
        <v>748</v>
      </c>
      <c r="I148" s="37">
        <v>131</v>
      </c>
      <c r="J148" s="37">
        <v>5113</v>
      </c>
      <c r="K148" s="37" t="s">
        <v>20</v>
      </c>
      <c r="L148" s="37">
        <v>1</v>
      </c>
      <c r="M148" s="102">
        <v>11111111</v>
      </c>
      <c r="N148" s="102">
        <f t="shared" si="12"/>
        <v>11111111</v>
      </c>
      <c r="O148" s="38"/>
      <c r="P148" s="37">
        <f t="shared" si="13"/>
        <v>153</v>
      </c>
    </row>
    <row r="149" spans="1:16" x14ac:dyDescent="0.25">
      <c r="A149" s="37" t="s">
        <v>18</v>
      </c>
      <c r="B149" s="104" t="s">
        <v>664</v>
      </c>
      <c r="C149" s="37">
        <f t="shared" si="10"/>
        <v>416</v>
      </c>
      <c r="D149" s="37">
        <f t="shared" si="11"/>
        <v>1</v>
      </c>
      <c r="E149" s="37"/>
      <c r="F149" s="37"/>
      <c r="G149" s="59" t="s">
        <v>56</v>
      </c>
      <c r="H149" s="37" t="s">
        <v>3401</v>
      </c>
      <c r="I149" s="37">
        <v>333821</v>
      </c>
      <c r="J149" s="37">
        <v>131</v>
      </c>
      <c r="K149" s="37" t="s">
        <v>20</v>
      </c>
      <c r="L149" s="37">
        <v>1</v>
      </c>
      <c r="M149" s="102">
        <v>111111</v>
      </c>
      <c r="N149" s="102">
        <f t="shared" si="12"/>
        <v>111111</v>
      </c>
      <c r="O149" s="38"/>
      <c r="P149" s="37">
        <f t="shared" si="13"/>
        <v>169</v>
      </c>
    </row>
    <row r="150" spans="1:16" hidden="1" x14ac:dyDescent="0.25">
      <c r="A150" s="37" t="s">
        <v>18</v>
      </c>
      <c r="B150" s="104" t="s">
        <v>506</v>
      </c>
      <c r="C150" s="37">
        <f t="shared" si="10"/>
        <v>417</v>
      </c>
      <c r="D150" s="37">
        <f t="shared" si="11"/>
        <v>1</v>
      </c>
      <c r="E150" s="37"/>
      <c r="F150" s="37"/>
      <c r="G150" s="59" t="s">
        <v>24</v>
      </c>
      <c r="H150" s="37" t="s">
        <v>706</v>
      </c>
      <c r="I150" s="37">
        <v>64277</v>
      </c>
      <c r="J150" s="37">
        <v>331</v>
      </c>
      <c r="K150" s="37" t="s">
        <v>20</v>
      </c>
      <c r="L150" s="37">
        <v>1</v>
      </c>
      <c r="M150" s="102">
        <v>131000</v>
      </c>
      <c r="N150" s="102">
        <f t="shared" si="12"/>
        <v>131000</v>
      </c>
      <c r="O150" s="38"/>
      <c r="P150" s="37">
        <f t="shared" si="13"/>
        <v>169</v>
      </c>
    </row>
    <row r="151" spans="1:16" hidden="1" x14ac:dyDescent="0.25">
      <c r="A151" s="37" t="s">
        <v>18</v>
      </c>
      <c r="B151" s="104" t="s">
        <v>506</v>
      </c>
      <c r="C151" s="37">
        <f t="shared" si="10"/>
        <v>417</v>
      </c>
      <c r="D151" s="37">
        <f t="shared" si="11"/>
        <v>0</v>
      </c>
      <c r="E151" s="37"/>
      <c r="F151" s="37"/>
      <c r="G151" s="59" t="s">
        <v>24</v>
      </c>
      <c r="H151" s="37" t="s">
        <v>706</v>
      </c>
      <c r="I151" s="37">
        <v>1331</v>
      </c>
      <c r="J151" s="37">
        <v>331</v>
      </c>
      <c r="K151" s="37" t="s">
        <v>20</v>
      </c>
      <c r="L151" s="37">
        <v>1</v>
      </c>
      <c r="M151" s="102">
        <v>9059</v>
      </c>
      <c r="N151" s="102">
        <f t="shared" si="12"/>
        <v>9059</v>
      </c>
      <c r="O151" s="38"/>
      <c r="P151" s="37">
        <f t="shared" si="13"/>
        <v>169</v>
      </c>
    </row>
    <row r="152" spans="1:16" hidden="1" x14ac:dyDescent="0.25">
      <c r="A152" s="37" t="s">
        <v>18</v>
      </c>
      <c r="B152" s="104" t="s">
        <v>506</v>
      </c>
      <c r="C152" s="37">
        <f t="shared" si="10"/>
        <v>418</v>
      </c>
      <c r="D152" s="37">
        <f t="shared" si="11"/>
        <v>1</v>
      </c>
      <c r="E152" s="37"/>
      <c r="F152" s="37"/>
      <c r="G152" s="59" t="s">
        <v>68</v>
      </c>
      <c r="H152" s="37" t="s">
        <v>751</v>
      </c>
      <c r="I152" s="37">
        <v>131</v>
      </c>
      <c r="J152" s="37">
        <v>5113</v>
      </c>
      <c r="K152" s="37" t="s">
        <v>20</v>
      </c>
      <c r="L152" s="37">
        <v>1</v>
      </c>
      <c r="M152" s="102">
        <v>11111111</v>
      </c>
      <c r="N152" s="102">
        <f t="shared" si="12"/>
        <v>11111111</v>
      </c>
      <c r="O152" s="38"/>
      <c r="P152" s="37">
        <f t="shared" si="13"/>
        <v>145</v>
      </c>
    </row>
    <row r="153" spans="1:16" x14ac:dyDescent="0.25">
      <c r="A153" s="37" t="s">
        <v>18</v>
      </c>
      <c r="B153" s="104" t="s">
        <v>506</v>
      </c>
      <c r="C153" s="37">
        <f t="shared" si="10"/>
        <v>419</v>
      </c>
      <c r="D153" s="37">
        <f t="shared" si="11"/>
        <v>1</v>
      </c>
      <c r="E153" s="37"/>
      <c r="F153" s="37"/>
      <c r="G153" s="59" t="s">
        <v>68</v>
      </c>
      <c r="H153" s="37" t="s">
        <v>3402</v>
      </c>
      <c r="I153" s="37">
        <v>333821</v>
      </c>
      <c r="J153" s="37">
        <v>131</v>
      </c>
      <c r="K153" s="37" t="s">
        <v>20</v>
      </c>
      <c r="L153" s="37">
        <v>1</v>
      </c>
      <c r="M153" s="102">
        <v>111111</v>
      </c>
      <c r="N153" s="102">
        <f t="shared" si="12"/>
        <v>111111</v>
      </c>
      <c r="O153" s="38"/>
      <c r="P153" s="37">
        <f t="shared" si="13"/>
        <v>161</v>
      </c>
    </row>
    <row r="154" spans="1:16" hidden="1" x14ac:dyDescent="0.25">
      <c r="A154" s="37" t="s">
        <v>18</v>
      </c>
      <c r="B154" s="104" t="s">
        <v>506</v>
      </c>
      <c r="C154" s="37">
        <f t="shared" si="10"/>
        <v>420</v>
      </c>
      <c r="D154" s="37">
        <f t="shared" si="11"/>
        <v>1</v>
      </c>
      <c r="E154" s="37"/>
      <c r="F154" s="37"/>
      <c r="G154" s="59" t="s">
        <v>29</v>
      </c>
      <c r="H154" s="37" t="s">
        <v>750</v>
      </c>
      <c r="I154" s="37">
        <v>131</v>
      </c>
      <c r="J154" s="37">
        <v>5113</v>
      </c>
      <c r="K154" s="37" t="s">
        <v>20</v>
      </c>
      <c r="L154" s="37">
        <v>1</v>
      </c>
      <c r="M154" s="102">
        <v>11111111</v>
      </c>
      <c r="N154" s="102">
        <f t="shared" si="12"/>
        <v>11111111</v>
      </c>
      <c r="O154" s="38"/>
      <c r="P154" s="37">
        <f t="shared" si="13"/>
        <v>125</v>
      </c>
    </row>
    <row r="155" spans="1:16" x14ac:dyDescent="0.25">
      <c r="A155" s="37" t="s">
        <v>18</v>
      </c>
      <c r="B155" s="104" t="s">
        <v>506</v>
      </c>
      <c r="C155" s="37">
        <f t="shared" si="10"/>
        <v>421</v>
      </c>
      <c r="D155" s="37">
        <f t="shared" si="11"/>
        <v>1</v>
      </c>
      <c r="E155" s="37"/>
      <c r="F155" s="37"/>
      <c r="G155" s="59" t="s">
        <v>29</v>
      </c>
      <c r="H155" s="37" t="s">
        <v>3403</v>
      </c>
      <c r="I155" s="37">
        <v>333821</v>
      </c>
      <c r="J155" s="37">
        <v>131</v>
      </c>
      <c r="K155" s="37" t="s">
        <v>20</v>
      </c>
      <c r="L155" s="37">
        <v>1</v>
      </c>
      <c r="M155" s="102">
        <v>111111</v>
      </c>
      <c r="N155" s="102">
        <f t="shared" si="12"/>
        <v>111111</v>
      </c>
      <c r="O155" s="38"/>
      <c r="P155" s="37">
        <f t="shared" si="13"/>
        <v>141</v>
      </c>
    </row>
    <row r="156" spans="1:16" hidden="1" x14ac:dyDescent="0.25">
      <c r="A156" s="37" t="s">
        <v>18</v>
      </c>
      <c r="B156" s="104" t="s">
        <v>506</v>
      </c>
      <c r="C156" s="37">
        <f t="shared" si="10"/>
        <v>422</v>
      </c>
      <c r="D156" s="37">
        <f t="shared" si="11"/>
        <v>1</v>
      </c>
      <c r="E156" s="37"/>
      <c r="F156" s="37"/>
      <c r="G156" s="59" t="s">
        <v>29</v>
      </c>
      <c r="H156" s="37" t="s">
        <v>749</v>
      </c>
      <c r="I156" s="37">
        <v>131</v>
      </c>
      <c r="J156" s="37">
        <v>5113</v>
      </c>
      <c r="K156" s="37" t="s">
        <v>20</v>
      </c>
      <c r="L156" s="37">
        <v>1</v>
      </c>
      <c r="M156" s="102">
        <v>16666667</v>
      </c>
      <c r="N156" s="102">
        <f t="shared" si="12"/>
        <v>16666667</v>
      </c>
      <c r="O156" s="38"/>
      <c r="P156" s="37">
        <f t="shared" si="13"/>
        <v>138</v>
      </c>
    </row>
    <row r="157" spans="1:16" x14ac:dyDescent="0.25">
      <c r="A157" s="37" t="s">
        <v>18</v>
      </c>
      <c r="B157" s="104" t="s">
        <v>506</v>
      </c>
      <c r="C157" s="37">
        <f t="shared" si="10"/>
        <v>423</v>
      </c>
      <c r="D157" s="37">
        <f t="shared" si="11"/>
        <v>1</v>
      </c>
      <c r="E157" s="37"/>
      <c r="F157" s="37"/>
      <c r="G157" s="59" t="s">
        <v>29</v>
      </c>
      <c r="H157" s="37" t="s">
        <v>3404</v>
      </c>
      <c r="I157" s="37">
        <v>333821</v>
      </c>
      <c r="J157" s="37">
        <v>131</v>
      </c>
      <c r="K157" s="37" t="s">
        <v>20</v>
      </c>
      <c r="L157" s="37">
        <v>1</v>
      </c>
      <c r="M157" s="102">
        <v>166667</v>
      </c>
      <c r="N157" s="102">
        <f t="shared" si="12"/>
        <v>166667</v>
      </c>
      <c r="O157" s="38"/>
      <c r="P157" s="37">
        <f t="shared" si="13"/>
        <v>154</v>
      </c>
    </row>
    <row r="158" spans="1:16" hidden="1" x14ac:dyDescent="0.25">
      <c r="A158" s="37" t="s">
        <v>18</v>
      </c>
      <c r="B158" s="104" t="s">
        <v>481</v>
      </c>
      <c r="C158" s="37">
        <f t="shared" si="10"/>
        <v>424</v>
      </c>
      <c r="D158" s="37">
        <f t="shared" si="11"/>
        <v>1</v>
      </c>
      <c r="E158" s="37"/>
      <c r="F158" s="37"/>
      <c r="G158" s="59" t="s">
        <v>24</v>
      </c>
      <c r="H158" s="37" t="s">
        <v>707</v>
      </c>
      <c r="I158" s="37">
        <v>64277</v>
      </c>
      <c r="J158" s="37">
        <v>331</v>
      </c>
      <c r="K158" s="37" t="s">
        <v>20</v>
      </c>
      <c r="L158" s="37">
        <v>1</v>
      </c>
      <c r="M158" s="102">
        <v>68000</v>
      </c>
      <c r="N158" s="102">
        <f t="shared" si="12"/>
        <v>68000</v>
      </c>
      <c r="O158" s="38"/>
      <c r="P158" s="37">
        <f t="shared" si="13"/>
        <v>169</v>
      </c>
    </row>
    <row r="159" spans="1:16" hidden="1" x14ac:dyDescent="0.25">
      <c r="A159" s="37" t="s">
        <v>18</v>
      </c>
      <c r="B159" s="104" t="s">
        <v>481</v>
      </c>
      <c r="C159" s="37">
        <f t="shared" si="10"/>
        <v>424</v>
      </c>
      <c r="D159" s="37">
        <f t="shared" si="11"/>
        <v>0</v>
      </c>
      <c r="E159" s="37"/>
      <c r="F159" s="37"/>
      <c r="G159" s="59" t="s">
        <v>24</v>
      </c>
      <c r="H159" s="37" t="s">
        <v>707</v>
      </c>
      <c r="I159" s="37">
        <v>1331</v>
      </c>
      <c r="J159" s="37">
        <v>331</v>
      </c>
      <c r="K159" s="37" t="s">
        <v>20</v>
      </c>
      <c r="L159" s="37">
        <v>1</v>
      </c>
      <c r="M159" s="102">
        <v>4703</v>
      </c>
      <c r="N159" s="102">
        <f t="shared" si="12"/>
        <v>4703</v>
      </c>
      <c r="O159" s="38"/>
      <c r="P159" s="37">
        <f t="shared" si="13"/>
        <v>169</v>
      </c>
    </row>
    <row r="160" spans="1:16" hidden="1" x14ac:dyDescent="0.25">
      <c r="A160" s="37" t="s">
        <v>18</v>
      </c>
      <c r="B160" s="104" t="s">
        <v>481</v>
      </c>
      <c r="C160" s="37">
        <f t="shared" si="10"/>
        <v>425</v>
      </c>
      <c r="D160" s="37">
        <f t="shared" si="11"/>
        <v>1</v>
      </c>
      <c r="E160" s="37"/>
      <c r="F160" s="37"/>
      <c r="G160" s="59" t="s">
        <v>19</v>
      </c>
      <c r="H160" s="37" t="s">
        <v>708</v>
      </c>
      <c r="I160" s="37">
        <v>64277</v>
      </c>
      <c r="J160" s="37">
        <v>331</v>
      </c>
      <c r="K160" s="37" t="s">
        <v>20</v>
      </c>
      <c r="L160" s="37">
        <v>1</v>
      </c>
      <c r="M160" s="102">
        <v>75000</v>
      </c>
      <c r="N160" s="102">
        <f t="shared" si="12"/>
        <v>75000</v>
      </c>
      <c r="O160" s="38"/>
      <c r="P160" s="37">
        <f t="shared" si="13"/>
        <v>126</v>
      </c>
    </row>
    <row r="161" spans="1:16" hidden="1" x14ac:dyDescent="0.25">
      <c r="A161" s="37" t="s">
        <v>18</v>
      </c>
      <c r="B161" s="104" t="s">
        <v>481</v>
      </c>
      <c r="C161" s="37">
        <f t="shared" si="10"/>
        <v>425</v>
      </c>
      <c r="D161" s="37">
        <f t="shared" si="11"/>
        <v>0</v>
      </c>
      <c r="E161" s="37"/>
      <c r="F161" s="37"/>
      <c r="G161" s="59" t="s">
        <v>19</v>
      </c>
      <c r="H161" s="37" t="s">
        <v>708</v>
      </c>
      <c r="I161" s="37">
        <v>1331</v>
      </c>
      <c r="J161" s="37">
        <v>331</v>
      </c>
      <c r="K161" s="37" t="s">
        <v>20</v>
      </c>
      <c r="L161" s="37">
        <v>1</v>
      </c>
      <c r="M161" s="102">
        <v>5556</v>
      </c>
      <c r="N161" s="102">
        <f t="shared" si="12"/>
        <v>5556</v>
      </c>
      <c r="O161" s="38"/>
      <c r="P161" s="37">
        <f t="shared" si="13"/>
        <v>126</v>
      </c>
    </row>
    <row r="162" spans="1:16" hidden="1" x14ac:dyDescent="0.25">
      <c r="A162" s="37" t="s">
        <v>18</v>
      </c>
      <c r="B162" s="104" t="s">
        <v>665</v>
      </c>
      <c r="C162" s="37">
        <f t="shared" si="10"/>
        <v>426</v>
      </c>
      <c r="D162" s="37">
        <f t="shared" si="11"/>
        <v>1</v>
      </c>
      <c r="E162" s="37"/>
      <c r="F162" s="37"/>
      <c r="G162" s="59" t="s">
        <v>24</v>
      </c>
      <c r="H162" s="37" t="s">
        <v>709</v>
      </c>
      <c r="I162" s="37">
        <v>64277</v>
      </c>
      <c r="J162" s="37">
        <v>331</v>
      </c>
      <c r="K162" s="37" t="s">
        <v>20</v>
      </c>
      <c r="L162" s="37">
        <v>1</v>
      </c>
      <c r="M162" s="102">
        <v>64000</v>
      </c>
      <c r="N162" s="102">
        <f t="shared" si="12"/>
        <v>64000</v>
      </c>
      <c r="O162" s="38"/>
      <c r="P162" s="37">
        <f t="shared" si="13"/>
        <v>169</v>
      </c>
    </row>
    <row r="163" spans="1:16" hidden="1" x14ac:dyDescent="0.25">
      <c r="A163" s="37" t="s">
        <v>18</v>
      </c>
      <c r="B163" s="104" t="s">
        <v>665</v>
      </c>
      <c r="C163" s="37">
        <f t="shared" si="10"/>
        <v>426</v>
      </c>
      <c r="D163" s="37">
        <f t="shared" si="11"/>
        <v>0</v>
      </c>
      <c r="E163" s="37"/>
      <c r="F163" s="37"/>
      <c r="G163" s="59" t="s">
        <v>24</v>
      </c>
      <c r="H163" s="37" t="s">
        <v>709</v>
      </c>
      <c r="I163" s="37">
        <v>1331</v>
      </c>
      <c r="J163" s="37">
        <v>331</v>
      </c>
      <c r="K163" s="37" t="s">
        <v>20</v>
      </c>
      <c r="L163" s="37">
        <v>1</v>
      </c>
      <c r="M163" s="102">
        <v>4344</v>
      </c>
      <c r="N163" s="102">
        <f t="shared" si="12"/>
        <v>4344</v>
      </c>
      <c r="O163" s="38"/>
      <c r="P163" s="37">
        <f t="shared" si="13"/>
        <v>169</v>
      </c>
    </row>
    <row r="164" spans="1:16" hidden="1" x14ac:dyDescent="0.25">
      <c r="A164" s="37" t="s">
        <v>18</v>
      </c>
      <c r="B164" s="104" t="s">
        <v>665</v>
      </c>
      <c r="C164" s="37">
        <f t="shared" si="10"/>
        <v>427</v>
      </c>
      <c r="D164" s="37">
        <f t="shared" si="11"/>
        <v>1</v>
      </c>
      <c r="E164" s="37"/>
      <c r="F164" s="37"/>
      <c r="G164" s="59" t="s">
        <v>29</v>
      </c>
      <c r="H164" s="37" t="s">
        <v>752</v>
      </c>
      <c r="I164" s="37">
        <v>131</v>
      </c>
      <c r="J164" s="37">
        <v>5113</v>
      </c>
      <c r="K164" s="37" t="s">
        <v>20</v>
      </c>
      <c r="L164" s="37">
        <v>1</v>
      </c>
      <c r="M164" s="102">
        <v>11111111</v>
      </c>
      <c r="N164" s="102">
        <f t="shared" ref="N164:N170" si="14">L164*M164</f>
        <v>11111111</v>
      </c>
      <c r="O164" s="38"/>
      <c r="P164" s="37">
        <f t="shared" si="13"/>
        <v>144</v>
      </c>
    </row>
    <row r="165" spans="1:16" x14ac:dyDescent="0.25">
      <c r="A165" s="37" t="s">
        <v>18</v>
      </c>
      <c r="B165" s="104" t="s">
        <v>665</v>
      </c>
      <c r="C165" s="37">
        <f t="shared" si="10"/>
        <v>428</v>
      </c>
      <c r="D165" s="37">
        <f t="shared" si="11"/>
        <v>1</v>
      </c>
      <c r="E165" s="37"/>
      <c r="F165" s="37"/>
      <c r="G165" s="59" t="s">
        <v>29</v>
      </c>
      <c r="H165" s="37" t="s">
        <v>3405</v>
      </c>
      <c r="I165" s="37">
        <v>333821</v>
      </c>
      <c r="J165" s="37">
        <v>131</v>
      </c>
      <c r="K165" s="37" t="s">
        <v>20</v>
      </c>
      <c r="L165" s="37">
        <v>1</v>
      </c>
      <c r="M165" s="102">
        <v>111111</v>
      </c>
      <c r="N165" s="102">
        <f t="shared" si="14"/>
        <v>111111</v>
      </c>
      <c r="O165" s="38"/>
      <c r="P165" s="37">
        <f t="shared" si="13"/>
        <v>160</v>
      </c>
    </row>
    <row r="166" spans="1:16" hidden="1" x14ac:dyDescent="0.25">
      <c r="A166" s="37" t="s">
        <v>18</v>
      </c>
      <c r="B166" s="104">
        <v>46112</v>
      </c>
      <c r="C166" s="37">
        <f t="shared" si="10"/>
        <v>429</v>
      </c>
      <c r="D166" s="37">
        <f t="shared" si="11"/>
        <v>1</v>
      </c>
      <c r="E166" s="37"/>
      <c r="F166" s="37"/>
      <c r="G166" s="59" t="s">
        <v>39</v>
      </c>
      <c r="H166" s="37" t="s">
        <v>457</v>
      </c>
      <c r="I166" s="37">
        <v>64271</v>
      </c>
      <c r="J166" s="37">
        <v>3383</v>
      </c>
      <c r="K166" s="37" t="s">
        <v>20</v>
      </c>
      <c r="L166" s="37">
        <v>1</v>
      </c>
      <c r="M166" s="102">
        <v>690300</v>
      </c>
      <c r="N166" s="102">
        <f t="shared" si="14"/>
        <v>690300</v>
      </c>
      <c r="O166" s="38"/>
      <c r="P166" s="37">
        <f t="shared" si="13"/>
        <v>30</v>
      </c>
    </row>
    <row r="167" spans="1:16" hidden="1" x14ac:dyDescent="0.25">
      <c r="A167" s="37" t="s">
        <v>18</v>
      </c>
      <c r="B167" s="104" t="s">
        <v>507</v>
      </c>
      <c r="C167" s="37">
        <f t="shared" si="10"/>
        <v>430</v>
      </c>
      <c r="D167" s="37">
        <f t="shared" si="11"/>
        <v>1</v>
      </c>
      <c r="E167" s="37"/>
      <c r="F167" s="37"/>
      <c r="G167" s="59" t="s">
        <v>88</v>
      </c>
      <c r="H167" s="37" t="s">
        <v>753</v>
      </c>
      <c r="I167" s="37">
        <v>131</v>
      </c>
      <c r="J167" s="37">
        <v>5113</v>
      </c>
      <c r="K167" s="37" t="s">
        <v>20</v>
      </c>
      <c r="L167" s="37">
        <v>1</v>
      </c>
      <c r="M167" s="102">
        <v>16666667</v>
      </c>
      <c r="N167" s="102">
        <f t="shared" si="14"/>
        <v>16666667</v>
      </c>
      <c r="O167" s="38"/>
      <c r="P167" s="37">
        <f t="shared" si="13"/>
        <v>130</v>
      </c>
    </row>
    <row r="168" spans="1:16" x14ac:dyDescent="0.25">
      <c r="A168" s="37" t="s">
        <v>18</v>
      </c>
      <c r="B168" s="104" t="s">
        <v>507</v>
      </c>
      <c r="C168" s="37">
        <f t="shared" si="10"/>
        <v>431</v>
      </c>
      <c r="D168" s="37">
        <f t="shared" si="11"/>
        <v>1</v>
      </c>
      <c r="E168" s="37"/>
      <c r="F168" s="37"/>
      <c r="G168" s="59" t="s">
        <v>88</v>
      </c>
      <c r="H168" s="37" t="s">
        <v>3406</v>
      </c>
      <c r="I168" s="37">
        <v>333821</v>
      </c>
      <c r="J168" s="37">
        <v>131</v>
      </c>
      <c r="K168" s="37" t="s">
        <v>20</v>
      </c>
      <c r="L168" s="37">
        <v>1</v>
      </c>
      <c r="M168" s="102">
        <v>166667</v>
      </c>
      <c r="N168" s="102">
        <f t="shared" si="14"/>
        <v>166667</v>
      </c>
      <c r="O168" s="38"/>
      <c r="P168" s="37">
        <f t="shared" si="13"/>
        <v>146</v>
      </c>
    </row>
    <row r="169" spans="1:16" hidden="1" x14ac:dyDescent="0.25">
      <c r="A169" s="37" t="s">
        <v>309</v>
      </c>
      <c r="B169" s="104">
        <v>46039</v>
      </c>
      <c r="C169" s="37">
        <f t="shared" si="10"/>
        <v>432</v>
      </c>
      <c r="D169" s="37">
        <f t="shared" si="11"/>
        <v>1</v>
      </c>
      <c r="E169" s="37"/>
      <c r="F169" s="37"/>
      <c r="G169" s="161" t="s">
        <v>103</v>
      </c>
      <c r="H169" s="37" t="s">
        <v>2660</v>
      </c>
      <c r="I169" s="37">
        <v>112111</v>
      </c>
      <c r="J169" s="37">
        <v>1111</v>
      </c>
      <c r="K169" s="37" t="s">
        <v>20</v>
      </c>
      <c r="L169" s="37">
        <v>1</v>
      </c>
      <c r="M169" s="102">
        <v>1000000</v>
      </c>
      <c r="N169" s="102">
        <f t="shared" si="14"/>
        <v>1000000</v>
      </c>
      <c r="O169" s="38"/>
      <c r="P169" s="37">
        <f t="shared" si="13"/>
        <v>26</v>
      </c>
    </row>
    <row r="170" spans="1:16" hidden="1" x14ac:dyDescent="0.25">
      <c r="A170" s="37" t="s">
        <v>308</v>
      </c>
      <c r="B170" s="104">
        <v>46039</v>
      </c>
      <c r="C170" s="37">
        <f t="shared" si="10"/>
        <v>433</v>
      </c>
      <c r="D170" s="37">
        <f t="shared" si="11"/>
        <v>1</v>
      </c>
      <c r="E170" s="37"/>
      <c r="F170" s="37"/>
      <c r="G170" s="161" t="s">
        <v>311</v>
      </c>
      <c r="H170" s="162" t="s">
        <v>3371</v>
      </c>
      <c r="I170" s="37">
        <v>333822</v>
      </c>
      <c r="J170" s="37">
        <v>112111</v>
      </c>
      <c r="K170" s="37" t="s">
        <v>20</v>
      </c>
      <c r="L170" s="37">
        <v>1</v>
      </c>
      <c r="M170" s="102">
        <v>659970</v>
      </c>
      <c r="N170" s="102">
        <f t="shared" si="14"/>
        <v>659970</v>
      </c>
      <c r="O170" s="38"/>
      <c r="P170" s="37">
        <f t="shared" si="13"/>
        <v>35</v>
      </c>
    </row>
    <row r="171" spans="1:16" hidden="1" x14ac:dyDescent="0.25">
      <c r="A171" s="37" t="s">
        <v>309</v>
      </c>
      <c r="B171" s="104">
        <v>46052</v>
      </c>
      <c r="C171" s="37">
        <f t="shared" si="10"/>
        <v>434</v>
      </c>
      <c r="D171" s="37">
        <f t="shared" si="11"/>
        <v>1</v>
      </c>
      <c r="E171" s="37"/>
      <c r="F171" s="37"/>
      <c r="G171" s="161" t="s">
        <v>103</v>
      </c>
      <c r="H171" s="37" t="s">
        <v>2660</v>
      </c>
      <c r="I171" s="37">
        <v>112111</v>
      </c>
      <c r="J171" s="37">
        <v>1111</v>
      </c>
      <c r="K171" s="37" t="s">
        <v>20</v>
      </c>
      <c r="L171" s="37">
        <v>1</v>
      </c>
      <c r="M171" s="102">
        <v>22000000</v>
      </c>
      <c r="N171" s="102">
        <f t="shared" ref="N171:N234" si="15">L171*M171</f>
        <v>22000000</v>
      </c>
      <c r="O171" s="38"/>
      <c r="P171" s="37">
        <f t="shared" si="13"/>
        <v>26</v>
      </c>
    </row>
    <row r="172" spans="1:16" hidden="1" x14ac:dyDescent="0.25">
      <c r="A172" s="37" t="s">
        <v>308</v>
      </c>
      <c r="B172" s="104">
        <v>46052</v>
      </c>
      <c r="C172" s="37">
        <f t="shared" si="10"/>
        <v>435</v>
      </c>
      <c r="D172" s="37">
        <f t="shared" si="11"/>
        <v>1</v>
      </c>
      <c r="E172" s="37"/>
      <c r="F172" s="37"/>
      <c r="G172" s="161" t="s">
        <v>3369</v>
      </c>
      <c r="H172" s="162" t="s">
        <v>3368</v>
      </c>
      <c r="I172" s="37">
        <v>333821</v>
      </c>
      <c r="J172" s="37">
        <v>112111</v>
      </c>
      <c r="K172" s="37" t="s">
        <v>20</v>
      </c>
      <c r="L172" s="37">
        <v>1</v>
      </c>
      <c r="M172" s="102">
        <v>21681975</v>
      </c>
      <c r="N172" s="102">
        <f t="shared" si="15"/>
        <v>21681975</v>
      </c>
      <c r="O172" s="38"/>
      <c r="P172" s="37">
        <f t="shared" si="13"/>
        <v>27</v>
      </c>
    </row>
    <row r="173" spans="1:16" hidden="1" x14ac:dyDescent="0.25">
      <c r="A173" s="37" t="s">
        <v>309</v>
      </c>
      <c r="B173" s="104">
        <v>46054</v>
      </c>
      <c r="C173" s="37">
        <f t="shared" si="10"/>
        <v>436</v>
      </c>
      <c r="D173" s="37">
        <f t="shared" si="11"/>
        <v>1</v>
      </c>
      <c r="E173" s="37"/>
      <c r="F173" s="37"/>
      <c r="G173" s="161" t="s">
        <v>103</v>
      </c>
      <c r="H173" s="37" t="s">
        <v>3250</v>
      </c>
      <c r="I173" s="37">
        <v>112111</v>
      </c>
      <c r="J173" s="37">
        <v>5154</v>
      </c>
      <c r="K173" s="37" t="s">
        <v>20</v>
      </c>
      <c r="L173" s="37">
        <v>1</v>
      </c>
      <c r="M173" s="102">
        <v>2</v>
      </c>
      <c r="N173" s="102">
        <f t="shared" si="15"/>
        <v>2</v>
      </c>
      <c r="O173" s="38"/>
      <c r="P173" s="37">
        <f t="shared" si="13"/>
        <v>13</v>
      </c>
    </row>
    <row r="174" spans="1:16" hidden="1" x14ac:dyDescent="0.25">
      <c r="A174" s="37" t="s">
        <v>309</v>
      </c>
      <c r="B174" s="104">
        <v>46082</v>
      </c>
      <c r="C174" s="37">
        <f t="shared" si="10"/>
        <v>436</v>
      </c>
      <c r="D174" s="37">
        <f t="shared" si="11"/>
        <v>0</v>
      </c>
      <c r="E174" s="37"/>
      <c r="F174" s="37"/>
      <c r="G174" s="161" t="s">
        <v>103</v>
      </c>
      <c r="H174" s="37" t="s">
        <v>3250</v>
      </c>
      <c r="I174" s="37">
        <v>112111</v>
      </c>
      <c r="J174" s="37">
        <v>5154</v>
      </c>
      <c r="K174" s="37" t="s">
        <v>20</v>
      </c>
      <c r="L174" s="37">
        <v>1</v>
      </c>
      <c r="M174" s="102">
        <v>5</v>
      </c>
      <c r="N174" s="102">
        <f t="shared" si="15"/>
        <v>5</v>
      </c>
      <c r="O174" s="38"/>
      <c r="P174" s="37">
        <f t="shared" si="13"/>
        <v>13</v>
      </c>
    </row>
    <row r="175" spans="1:16" hidden="1" x14ac:dyDescent="0.25">
      <c r="A175" s="37" t="s">
        <v>309</v>
      </c>
      <c r="B175" s="104">
        <v>46089</v>
      </c>
      <c r="C175" s="37">
        <f t="shared" si="10"/>
        <v>437</v>
      </c>
      <c r="D175" s="37">
        <f t="shared" si="11"/>
        <v>1</v>
      </c>
      <c r="E175" s="37"/>
      <c r="F175" s="37"/>
      <c r="G175" s="161" t="s">
        <v>311</v>
      </c>
      <c r="H175" s="37" t="s">
        <v>3343</v>
      </c>
      <c r="I175" s="37">
        <v>112111</v>
      </c>
      <c r="J175" s="37">
        <v>131</v>
      </c>
      <c r="K175" s="37" t="s">
        <v>20</v>
      </c>
      <c r="L175" s="37">
        <v>1</v>
      </c>
      <c r="M175" s="102">
        <v>40586768</v>
      </c>
      <c r="N175" s="102">
        <f t="shared" si="15"/>
        <v>40586768</v>
      </c>
      <c r="O175" s="38"/>
      <c r="P175" s="37">
        <f t="shared" si="13"/>
        <v>21</v>
      </c>
    </row>
    <row r="176" spans="1:16" hidden="1" x14ac:dyDescent="0.25">
      <c r="A176" s="37" t="s">
        <v>18</v>
      </c>
      <c r="B176" s="104">
        <v>46089</v>
      </c>
      <c r="C176" s="37">
        <f t="shared" si="10"/>
        <v>438</v>
      </c>
      <c r="D176" s="37">
        <f t="shared" si="11"/>
        <v>1</v>
      </c>
      <c r="E176" s="37"/>
      <c r="F176" s="37"/>
      <c r="G176" s="161" t="s">
        <v>311</v>
      </c>
      <c r="H176" s="37" t="s">
        <v>3057</v>
      </c>
      <c r="I176" s="37">
        <v>131</v>
      </c>
      <c r="J176" s="37">
        <v>5118</v>
      </c>
      <c r="K176" s="37" t="s">
        <v>20</v>
      </c>
      <c r="L176" s="37">
        <v>1</v>
      </c>
      <c r="M176" s="102">
        <v>40586768</v>
      </c>
      <c r="N176" s="102">
        <f t="shared" ref="N176" si="16">L176*M176</f>
        <v>40586768</v>
      </c>
      <c r="O176" s="38"/>
      <c r="P176" s="37">
        <f t="shared" si="13"/>
        <v>16</v>
      </c>
    </row>
    <row r="177" spans="1:16" hidden="1" x14ac:dyDescent="0.25">
      <c r="A177" s="37" t="s">
        <v>308</v>
      </c>
      <c r="B177" s="104">
        <v>46089</v>
      </c>
      <c r="C177" s="37">
        <f t="shared" si="10"/>
        <v>439</v>
      </c>
      <c r="D177" s="37">
        <f t="shared" si="11"/>
        <v>1</v>
      </c>
      <c r="E177" s="37"/>
      <c r="F177" s="37"/>
      <c r="G177" s="161" t="s">
        <v>103</v>
      </c>
      <c r="H177" s="37" t="s">
        <v>3032</v>
      </c>
      <c r="I177" s="37">
        <v>1111</v>
      </c>
      <c r="J177" s="37">
        <v>112111</v>
      </c>
      <c r="K177" s="37" t="s">
        <v>20</v>
      </c>
      <c r="L177" s="37">
        <v>1</v>
      </c>
      <c r="M177" s="102">
        <v>40000000</v>
      </c>
      <c r="N177" s="102">
        <f t="shared" si="15"/>
        <v>40000000</v>
      </c>
      <c r="O177" s="38"/>
      <c r="P177" s="37">
        <f t="shared" si="13"/>
        <v>40</v>
      </c>
    </row>
    <row r="178" spans="1:16" hidden="1" x14ac:dyDescent="0.25">
      <c r="A178" s="37" t="s">
        <v>309</v>
      </c>
      <c r="B178" s="104">
        <v>46097</v>
      </c>
      <c r="C178" s="37">
        <f t="shared" si="10"/>
        <v>440</v>
      </c>
      <c r="D178" s="37">
        <f t="shared" si="11"/>
        <v>1</v>
      </c>
      <c r="E178" s="37"/>
      <c r="F178" s="37"/>
      <c r="G178" s="161" t="s">
        <v>45</v>
      </c>
      <c r="H178" s="37" t="s">
        <v>3449</v>
      </c>
      <c r="I178" s="37">
        <v>112111</v>
      </c>
      <c r="J178" s="37">
        <v>131</v>
      </c>
      <c r="K178" s="37" t="s">
        <v>20</v>
      </c>
      <c r="L178" s="37">
        <v>1</v>
      </c>
      <c r="M178" s="102">
        <v>8800000</v>
      </c>
      <c r="N178" s="102">
        <f t="shared" si="15"/>
        <v>8800000</v>
      </c>
      <c r="O178" s="38"/>
      <c r="P178" s="37">
        <f t="shared" si="13"/>
        <v>40</v>
      </c>
    </row>
    <row r="179" spans="1:16" hidden="1" x14ac:dyDescent="0.25">
      <c r="A179" s="37" t="s">
        <v>308</v>
      </c>
      <c r="B179" s="104">
        <v>46098</v>
      </c>
      <c r="C179" s="37">
        <f t="shared" si="10"/>
        <v>441</v>
      </c>
      <c r="D179" s="37">
        <f t="shared" si="11"/>
        <v>1</v>
      </c>
      <c r="E179" s="37"/>
      <c r="F179" s="37"/>
      <c r="G179" s="161" t="s">
        <v>103</v>
      </c>
      <c r="H179" s="37" t="s">
        <v>3032</v>
      </c>
      <c r="I179" s="37">
        <v>1111</v>
      </c>
      <c r="J179" s="37">
        <v>112111</v>
      </c>
      <c r="K179" s="37" t="s">
        <v>20</v>
      </c>
      <c r="L179" s="37">
        <v>1</v>
      </c>
      <c r="M179" s="102">
        <v>10000000</v>
      </c>
      <c r="N179" s="102">
        <f t="shared" si="15"/>
        <v>10000000</v>
      </c>
      <c r="O179" s="38"/>
      <c r="P179" s="37">
        <f t="shared" si="13"/>
        <v>40</v>
      </c>
    </row>
    <row r="180" spans="1:16" hidden="1" x14ac:dyDescent="0.25">
      <c r="A180" s="37" t="s">
        <v>308</v>
      </c>
      <c r="B180" s="104">
        <v>46104</v>
      </c>
      <c r="C180" s="37">
        <f t="shared" si="10"/>
        <v>442</v>
      </c>
      <c r="D180" s="37">
        <f t="shared" si="11"/>
        <v>1</v>
      </c>
      <c r="E180" s="37"/>
      <c r="F180" s="37"/>
      <c r="G180" s="161" t="s">
        <v>3369</v>
      </c>
      <c r="H180" s="37" t="s">
        <v>3370</v>
      </c>
      <c r="I180" s="37">
        <v>8118</v>
      </c>
      <c r="J180" s="37">
        <v>112111</v>
      </c>
      <c r="K180" s="37" t="s">
        <v>20</v>
      </c>
      <c r="L180" s="37">
        <v>1</v>
      </c>
      <c r="M180" s="102">
        <v>462</v>
      </c>
      <c r="N180" s="102">
        <f t="shared" si="15"/>
        <v>462</v>
      </c>
      <c r="O180" s="38"/>
      <c r="P180" s="37">
        <f t="shared" si="13"/>
        <v>17</v>
      </c>
    </row>
    <row r="181" spans="1:16" hidden="1" x14ac:dyDescent="0.25">
      <c r="A181" s="37" t="s">
        <v>308</v>
      </c>
      <c r="B181" s="104">
        <v>46104</v>
      </c>
      <c r="C181" s="37">
        <f t="shared" si="10"/>
        <v>442</v>
      </c>
      <c r="D181" s="37">
        <f t="shared" si="11"/>
        <v>0</v>
      </c>
      <c r="E181" s="37"/>
      <c r="F181" s="37"/>
      <c r="G181" s="161" t="s">
        <v>3369</v>
      </c>
      <c r="H181" s="37" t="s">
        <v>3370</v>
      </c>
      <c r="I181" s="37">
        <v>8118</v>
      </c>
      <c r="J181" s="37">
        <v>112111</v>
      </c>
      <c r="K181" s="37" t="s">
        <v>20</v>
      </c>
      <c r="L181" s="37">
        <v>1</v>
      </c>
      <c r="M181" s="102">
        <v>924</v>
      </c>
      <c r="N181" s="102">
        <f t="shared" si="15"/>
        <v>924</v>
      </c>
      <c r="O181" s="38"/>
      <c r="P181" s="37">
        <f t="shared" si="13"/>
        <v>17</v>
      </c>
    </row>
    <row r="182" spans="1:16" hidden="1" x14ac:dyDescent="0.25">
      <c r="A182" s="37" t="s">
        <v>310</v>
      </c>
      <c r="B182" s="104" t="s">
        <v>643</v>
      </c>
      <c r="C182" s="37">
        <f t="shared" si="10"/>
        <v>443</v>
      </c>
      <c r="D182" s="37">
        <f t="shared" si="11"/>
        <v>1</v>
      </c>
      <c r="E182" s="37"/>
      <c r="F182" s="37"/>
      <c r="G182" s="59" t="s">
        <v>35</v>
      </c>
      <c r="H182" s="37" t="s">
        <v>3407</v>
      </c>
      <c r="I182" s="37">
        <v>331</v>
      </c>
      <c r="J182" s="37">
        <v>1111</v>
      </c>
      <c r="K182" s="37" t="s">
        <v>20</v>
      </c>
      <c r="L182" s="37">
        <v>1</v>
      </c>
      <c r="M182" s="102">
        <v>2700000</v>
      </c>
      <c r="N182" s="102">
        <f t="shared" si="15"/>
        <v>2700000</v>
      </c>
      <c r="P182" s="37">
        <f t="shared" si="13"/>
        <v>52</v>
      </c>
    </row>
    <row r="183" spans="1:16" hidden="1" x14ac:dyDescent="0.25">
      <c r="A183" s="37" t="s">
        <v>310</v>
      </c>
      <c r="B183" s="104" t="s">
        <v>471</v>
      </c>
      <c r="C183" s="37">
        <f t="shared" si="10"/>
        <v>444</v>
      </c>
      <c r="D183" s="37">
        <f t="shared" si="11"/>
        <v>1</v>
      </c>
      <c r="E183" s="37"/>
      <c r="F183" s="37"/>
      <c r="G183" s="59" t="s">
        <v>24</v>
      </c>
      <c r="H183" s="37" t="s">
        <v>3408</v>
      </c>
      <c r="I183" s="37">
        <v>331</v>
      </c>
      <c r="J183" s="37">
        <v>1111</v>
      </c>
      <c r="K183" s="37" t="s">
        <v>20</v>
      </c>
      <c r="L183" s="37">
        <v>1</v>
      </c>
      <c r="M183" s="102">
        <v>50926</v>
      </c>
      <c r="N183" s="102">
        <f t="shared" si="15"/>
        <v>50926</v>
      </c>
      <c r="P183" s="37">
        <f t="shared" si="13"/>
        <v>74</v>
      </c>
    </row>
    <row r="184" spans="1:16" hidden="1" x14ac:dyDescent="0.25">
      <c r="A184" s="37" t="s">
        <v>310</v>
      </c>
      <c r="B184" s="104" t="s">
        <v>658</v>
      </c>
      <c r="C184" s="37">
        <f t="shared" si="10"/>
        <v>445</v>
      </c>
      <c r="D184" s="37">
        <f t="shared" si="11"/>
        <v>1</v>
      </c>
      <c r="E184" s="37"/>
      <c r="F184" s="37"/>
      <c r="G184" s="59" t="s">
        <v>24</v>
      </c>
      <c r="H184" s="37" t="s">
        <v>3409</v>
      </c>
      <c r="I184" s="37">
        <v>331</v>
      </c>
      <c r="J184" s="37">
        <v>1111</v>
      </c>
      <c r="K184" s="37" t="s">
        <v>20</v>
      </c>
      <c r="L184" s="37">
        <v>1</v>
      </c>
      <c r="M184" s="102">
        <v>161000</v>
      </c>
      <c r="N184" s="102">
        <f t="shared" si="15"/>
        <v>161000</v>
      </c>
      <c r="P184" s="37">
        <f t="shared" si="13"/>
        <v>179</v>
      </c>
    </row>
    <row r="185" spans="1:16" hidden="1" x14ac:dyDescent="0.25">
      <c r="A185" s="37" t="s">
        <v>310</v>
      </c>
      <c r="B185" s="104" t="s">
        <v>659</v>
      </c>
      <c r="C185" s="37">
        <f t="shared" si="10"/>
        <v>446</v>
      </c>
      <c r="D185" s="37">
        <f t="shared" si="11"/>
        <v>1</v>
      </c>
      <c r="E185" s="37"/>
      <c r="F185" s="37"/>
      <c r="G185" s="59" t="s">
        <v>24</v>
      </c>
      <c r="H185" s="37" t="s">
        <v>3410</v>
      </c>
      <c r="I185" s="37">
        <v>331</v>
      </c>
      <c r="J185" s="37">
        <v>1111</v>
      </c>
      <c r="K185" s="37" t="s">
        <v>20</v>
      </c>
      <c r="L185" s="37">
        <v>1</v>
      </c>
      <c r="M185" s="102">
        <v>189000</v>
      </c>
      <c r="N185" s="102">
        <f t="shared" si="15"/>
        <v>189000</v>
      </c>
      <c r="P185" s="37">
        <f t="shared" si="13"/>
        <v>180</v>
      </c>
    </row>
    <row r="186" spans="1:16" hidden="1" x14ac:dyDescent="0.25">
      <c r="A186" s="37" t="s">
        <v>310</v>
      </c>
      <c r="B186" s="104" t="s">
        <v>496</v>
      </c>
      <c r="C186" s="37">
        <f t="shared" si="10"/>
        <v>447</v>
      </c>
      <c r="D186" s="37">
        <f t="shared" si="11"/>
        <v>1</v>
      </c>
      <c r="E186" s="37"/>
      <c r="F186" s="37"/>
      <c r="G186" s="59" t="s">
        <v>24</v>
      </c>
      <c r="H186" s="37" t="s">
        <v>3411</v>
      </c>
      <c r="I186" s="37">
        <v>331</v>
      </c>
      <c r="J186" s="37">
        <v>1111</v>
      </c>
      <c r="K186" s="37" t="s">
        <v>20</v>
      </c>
      <c r="L186" s="37">
        <v>1</v>
      </c>
      <c r="M186" s="102">
        <v>77000</v>
      </c>
      <c r="N186" s="102">
        <f t="shared" si="15"/>
        <v>77000</v>
      </c>
      <c r="P186" s="37">
        <f t="shared" si="13"/>
        <v>137</v>
      </c>
    </row>
    <row r="187" spans="1:16" hidden="1" x14ac:dyDescent="0.25">
      <c r="A187" s="37" t="s">
        <v>310</v>
      </c>
      <c r="B187" s="104" t="s">
        <v>472</v>
      </c>
      <c r="C187" s="37">
        <f t="shared" si="10"/>
        <v>448</v>
      </c>
      <c r="D187" s="37">
        <f t="shared" si="11"/>
        <v>1</v>
      </c>
      <c r="E187" s="37"/>
      <c r="F187" s="37"/>
      <c r="G187" s="59" t="s">
        <v>24</v>
      </c>
      <c r="H187" s="37" t="s">
        <v>3412</v>
      </c>
      <c r="I187" s="37">
        <v>331</v>
      </c>
      <c r="J187" s="37">
        <v>1111</v>
      </c>
      <c r="K187" s="37" t="s">
        <v>20</v>
      </c>
      <c r="L187" s="37">
        <v>1</v>
      </c>
      <c r="M187" s="102">
        <v>13963</v>
      </c>
      <c r="N187" s="102">
        <f t="shared" si="15"/>
        <v>13963</v>
      </c>
      <c r="P187" s="37">
        <f t="shared" si="13"/>
        <v>118</v>
      </c>
    </row>
    <row r="188" spans="1:16" hidden="1" x14ac:dyDescent="0.25">
      <c r="A188" s="37" t="s">
        <v>310</v>
      </c>
      <c r="B188" s="104" t="s">
        <v>498</v>
      </c>
      <c r="C188" s="37">
        <f t="shared" si="10"/>
        <v>449</v>
      </c>
      <c r="D188" s="37">
        <f t="shared" si="11"/>
        <v>1</v>
      </c>
      <c r="E188" s="37"/>
      <c r="F188" s="37"/>
      <c r="G188" s="59" t="s">
        <v>35</v>
      </c>
      <c r="H188" s="37" t="s">
        <v>3413</v>
      </c>
      <c r="I188" s="37">
        <v>331</v>
      </c>
      <c r="J188" s="37">
        <v>1111</v>
      </c>
      <c r="K188" s="37" t="s">
        <v>20</v>
      </c>
      <c r="L188" s="37">
        <v>1</v>
      </c>
      <c r="M188" s="102">
        <v>2700000</v>
      </c>
      <c r="N188" s="102">
        <f t="shared" si="15"/>
        <v>2700000</v>
      </c>
      <c r="P188" s="37">
        <f t="shared" si="13"/>
        <v>52</v>
      </c>
    </row>
    <row r="189" spans="1:16" hidden="1" x14ac:dyDescent="0.25">
      <c r="A189" s="37" t="s">
        <v>310</v>
      </c>
      <c r="B189" s="104" t="s">
        <v>436</v>
      </c>
      <c r="C189" s="37">
        <f t="shared" si="10"/>
        <v>450</v>
      </c>
      <c r="D189" s="37">
        <f t="shared" si="11"/>
        <v>1</v>
      </c>
      <c r="E189" s="37"/>
      <c r="F189" s="37"/>
      <c r="G189" s="59" t="s">
        <v>666</v>
      </c>
      <c r="H189" s="37" t="s">
        <v>3414</v>
      </c>
      <c r="I189" s="37">
        <v>331</v>
      </c>
      <c r="J189" s="37">
        <v>1111</v>
      </c>
      <c r="K189" s="37" t="s">
        <v>20</v>
      </c>
      <c r="L189" s="37">
        <v>1</v>
      </c>
      <c r="M189" s="102">
        <v>341000</v>
      </c>
      <c r="N189" s="102">
        <f t="shared" si="15"/>
        <v>341000</v>
      </c>
      <c r="P189" s="37">
        <f t="shared" si="13"/>
        <v>135</v>
      </c>
    </row>
    <row r="190" spans="1:16" hidden="1" x14ac:dyDescent="0.25">
      <c r="A190" s="37" t="s">
        <v>310</v>
      </c>
      <c r="B190" s="104" t="s">
        <v>542</v>
      </c>
      <c r="C190" s="37">
        <f t="shared" si="10"/>
        <v>451</v>
      </c>
      <c r="D190" s="37">
        <f t="shared" si="11"/>
        <v>1</v>
      </c>
      <c r="E190" s="37"/>
      <c r="F190" s="37"/>
      <c r="G190" s="59" t="s">
        <v>24</v>
      </c>
      <c r="H190" s="37" t="s">
        <v>3415</v>
      </c>
      <c r="I190" s="37">
        <v>331</v>
      </c>
      <c r="J190" s="37">
        <v>1111</v>
      </c>
      <c r="K190" s="37" t="s">
        <v>20</v>
      </c>
      <c r="L190" s="37">
        <v>1</v>
      </c>
      <c r="M190" s="102">
        <v>31481</v>
      </c>
      <c r="N190" s="102">
        <f t="shared" si="15"/>
        <v>31481</v>
      </c>
      <c r="P190" s="37">
        <f t="shared" si="13"/>
        <v>75</v>
      </c>
    </row>
    <row r="191" spans="1:16" hidden="1" x14ac:dyDescent="0.25">
      <c r="A191" s="37" t="s">
        <v>310</v>
      </c>
      <c r="B191" s="104" t="s">
        <v>542</v>
      </c>
      <c r="C191" s="37">
        <f t="shared" si="10"/>
        <v>452</v>
      </c>
      <c r="D191" s="37">
        <f t="shared" si="11"/>
        <v>1</v>
      </c>
      <c r="E191" s="37"/>
      <c r="F191" s="37"/>
      <c r="G191" s="59" t="s">
        <v>24</v>
      </c>
      <c r="H191" s="37" t="s">
        <v>3416</v>
      </c>
      <c r="I191" s="37">
        <v>331</v>
      </c>
      <c r="J191" s="37">
        <v>1111</v>
      </c>
      <c r="K191" s="37" t="s">
        <v>20</v>
      </c>
      <c r="L191" s="37">
        <v>1</v>
      </c>
      <c r="M191" s="102">
        <v>183283</v>
      </c>
      <c r="N191" s="102">
        <f t="shared" si="15"/>
        <v>183283</v>
      </c>
      <c r="P191" s="37">
        <f t="shared" si="13"/>
        <v>118</v>
      </c>
    </row>
    <row r="192" spans="1:16" hidden="1" x14ac:dyDescent="0.25">
      <c r="A192" s="37" t="s">
        <v>310</v>
      </c>
      <c r="B192" s="104" t="s">
        <v>475</v>
      </c>
      <c r="C192" s="37">
        <f t="shared" si="10"/>
        <v>453</v>
      </c>
      <c r="D192" s="37">
        <f t="shared" si="11"/>
        <v>1</v>
      </c>
      <c r="E192" s="37"/>
      <c r="F192" s="37"/>
      <c r="G192" s="59" t="s">
        <v>24</v>
      </c>
      <c r="H192" s="37" t="s">
        <v>3417</v>
      </c>
      <c r="I192" s="37">
        <v>331</v>
      </c>
      <c r="J192" s="37">
        <v>1111</v>
      </c>
      <c r="K192" s="37" t="s">
        <v>20</v>
      </c>
      <c r="L192" s="37">
        <v>1</v>
      </c>
      <c r="M192" s="102">
        <v>93089</v>
      </c>
      <c r="N192" s="102">
        <f t="shared" si="15"/>
        <v>93089</v>
      </c>
      <c r="P192" s="37">
        <f t="shared" si="13"/>
        <v>118</v>
      </c>
    </row>
    <row r="193" spans="1:16" hidden="1" x14ac:dyDescent="0.25">
      <c r="A193" s="37" t="s">
        <v>310</v>
      </c>
      <c r="B193" s="104" t="s">
        <v>544</v>
      </c>
      <c r="C193" s="37">
        <f t="shared" si="10"/>
        <v>454</v>
      </c>
      <c r="D193" s="37">
        <f t="shared" si="11"/>
        <v>1</v>
      </c>
      <c r="E193" s="37"/>
      <c r="F193" s="37"/>
      <c r="G193" s="59" t="s">
        <v>24</v>
      </c>
      <c r="H193" s="37" t="s">
        <v>3418</v>
      </c>
      <c r="I193" s="37">
        <v>331</v>
      </c>
      <c r="J193" s="37">
        <v>1111</v>
      </c>
      <c r="K193" s="37" t="s">
        <v>20</v>
      </c>
      <c r="L193" s="37">
        <v>1</v>
      </c>
      <c r="M193" s="102">
        <v>192000</v>
      </c>
      <c r="N193" s="102">
        <f t="shared" si="15"/>
        <v>192000</v>
      </c>
      <c r="P193" s="37">
        <f t="shared" si="13"/>
        <v>180</v>
      </c>
    </row>
    <row r="194" spans="1:16" hidden="1" x14ac:dyDescent="0.25">
      <c r="A194" s="37" t="s">
        <v>310</v>
      </c>
      <c r="B194" s="104" t="s">
        <v>544</v>
      </c>
      <c r="C194" s="37">
        <f t="shared" si="10"/>
        <v>455</v>
      </c>
      <c r="D194" s="37">
        <f t="shared" si="11"/>
        <v>1</v>
      </c>
      <c r="E194" s="37"/>
      <c r="F194" s="37"/>
      <c r="G194" s="59" t="s">
        <v>24</v>
      </c>
      <c r="H194" s="37" t="s">
        <v>3419</v>
      </c>
      <c r="I194" s="37">
        <v>331</v>
      </c>
      <c r="J194" s="37">
        <v>1111</v>
      </c>
      <c r="K194" s="37" t="s">
        <v>20</v>
      </c>
      <c r="L194" s="37">
        <v>1</v>
      </c>
      <c r="M194" s="102">
        <v>273529</v>
      </c>
      <c r="N194" s="102">
        <f t="shared" si="15"/>
        <v>273529</v>
      </c>
      <c r="P194" s="37">
        <f t="shared" si="13"/>
        <v>118</v>
      </c>
    </row>
    <row r="195" spans="1:16" hidden="1" x14ac:dyDescent="0.25">
      <c r="A195" s="37" t="s">
        <v>310</v>
      </c>
      <c r="B195" s="104" t="s">
        <v>437</v>
      </c>
      <c r="C195" s="37">
        <f t="shared" si="10"/>
        <v>456</v>
      </c>
      <c r="D195" s="37">
        <f t="shared" si="11"/>
        <v>1</v>
      </c>
      <c r="E195" s="37"/>
      <c r="F195" s="37"/>
      <c r="G195" s="59" t="s">
        <v>24</v>
      </c>
      <c r="H195" s="37" t="s">
        <v>3420</v>
      </c>
      <c r="I195" s="37">
        <v>331</v>
      </c>
      <c r="J195" s="37">
        <v>1111</v>
      </c>
      <c r="K195" s="37" t="s">
        <v>20</v>
      </c>
      <c r="L195" s="37">
        <v>1</v>
      </c>
      <c r="M195" s="102">
        <v>176000</v>
      </c>
      <c r="N195" s="102">
        <f t="shared" si="15"/>
        <v>176000</v>
      </c>
      <c r="P195" s="37">
        <f t="shared" si="13"/>
        <v>137</v>
      </c>
    </row>
    <row r="196" spans="1:16" hidden="1" x14ac:dyDescent="0.25">
      <c r="A196" s="37" t="s">
        <v>310</v>
      </c>
      <c r="B196" s="104" t="s">
        <v>437</v>
      </c>
      <c r="C196" s="37">
        <f t="shared" ref="C196:C225" si="17">C195+D196</f>
        <v>457</v>
      </c>
      <c r="D196" s="37">
        <f t="shared" ref="D196:D225" si="18">IF(H196=H195,0,1)</f>
        <v>1</v>
      </c>
      <c r="E196" s="37"/>
      <c r="F196" s="37"/>
      <c r="G196" s="59" t="s">
        <v>24</v>
      </c>
      <c r="H196" s="37" t="s">
        <v>3421</v>
      </c>
      <c r="I196" s="37">
        <v>331</v>
      </c>
      <c r="J196" s="37">
        <v>1111</v>
      </c>
      <c r="K196" s="37" t="s">
        <v>20</v>
      </c>
      <c r="L196" s="37">
        <v>1</v>
      </c>
      <c r="M196" s="102">
        <v>57000</v>
      </c>
      <c r="N196" s="102">
        <f t="shared" si="15"/>
        <v>57000</v>
      </c>
      <c r="P196" s="37">
        <f t="shared" si="13"/>
        <v>180</v>
      </c>
    </row>
    <row r="197" spans="1:16" hidden="1" x14ac:dyDescent="0.25">
      <c r="A197" s="37" t="s">
        <v>310</v>
      </c>
      <c r="B197" s="104" t="s">
        <v>437</v>
      </c>
      <c r="C197" s="37">
        <f t="shared" si="17"/>
        <v>458</v>
      </c>
      <c r="D197" s="37">
        <f t="shared" si="18"/>
        <v>1</v>
      </c>
      <c r="E197" s="37"/>
      <c r="F197" s="37"/>
      <c r="G197" s="59" t="s">
        <v>24</v>
      </c>
      <c r="H197" s="37" t="s">
        <v>3422</v>
      </c>
      <c r="I197" s="37">
        <v>331</v>
      </c>
      <c r="J197" s="37">
        <v>1111</v>
      </c>
      <c r="K197" s="37" t="s">
        <v>20</v>
      </c>
      <c r="L197" s="37">
        <v>1</v>
      </c>
      <c r="M197" s="102">
        <v>76333</v>
      </c>
      <c r="N197" s="102">
        <f t="shared" si="15"/>
        <v>76333</v>
      </c>
      <c r="P197" s="37">
        <f t="shared" ref="P197:P260" si="19">LEN(H197)</f>
        <v>118</v>
      </c>
    </row>
    <row r="198" spans="1:16" hidden="1" x14ac:dyDescent="0.25">
      <c r="A198" s="37" t="s">
        <v>310</v>
      </c>
      <c r="B198" s="104" t="s">
        <v>660</v>
      </c>
      <c r="C198" s="37">
        <f t="shared" si="17"/>
        <v>459</v>
      </c>
      <c r="D198" s="37">
        <f t="shared" si="18"/>
        <v>1</v>
      </c>
      <c r="E198" s="37"/>
      <c r="F198" s="37"/>
      <c r="G198" s="59" t="s">
        <v>24</v>
      </c>
      <c r="H198" s="37" t="s">
        <v>3423</v>
      </c>
      <c r="I198" s="37">
        <v>331</v>
      </c>
      <c r="J198" s="37">
        <v>1111</v>
      </c>
      <c r="K198" s="37" t="s">
        <v>20</v>
      </c>
      <c r="L198" s="37">
        <v>1</v>
      </c>
      <c r="M198" s="102">
        <v>186000</v>
      </c>
      <c r="N198" s="102">
        <f t="shared" si="15"/>
        <v>186000</v>
      </c>
      <c r="P198" s="37">
        <f t="shared" si="19"/>
        <v>137</v>
      </c>
    </row>
    <row r="199" spans="1:16" hidden="1" x14ac:dyDescent="0.25">
      <c r="A199" s="37" t="s">
        <v>310</v>
      </c>
      <c r="B199" s="104" t="s">
        <v>547</v>
      </c>
      <c r="C199" s="37">
        <f t="shared" si="17"/>
        <v>460</v>
      </c>
      <c r="D199" s="37">
        <f t="shared" si="18"/>
        <v>1</v>
      </c>
      <c r="E199" s="37"/>
      <c r="F199" s="37"/>
      <c r="G199" s="59" t="s">
        <v>24</v>
      </c>
      <c r="H199" s="37" t="s">
        <v>3424</v>
      </c>
      <c r="I199" s="37">
        <v>331</v>
      </c>
      <c r="J199" s="37">
        <v>1111</v>
      </c>
      <c r="K199" s="37" t="s">
        <v>20</v>
      </c>
      <c r="L199" s="37">
        <v>1</v>
      </c>
      <c r="M199" s="102">
        <v>100000</v>
      </c>
      <c r="N199" s="102">
        <f t="shared" si="15"/>
        <v>100000</v>
      </c>
      <c r="P199" s="37">
        <f t="shared" si="19"/>
        <v>180</v>
      </c>
    </row>
    <row r="200" spans="1:16" hidden="1" x14ac:dyDescent="0.25">
      <c r="A200" s="37" t="s">
        <v>310</v>
      </c>
      <c r="B200" s="104" t="s">
        <v>547</v>
      </c>
      <c r="C200" s="37">
        <f t="shared" si="17"/>
        <v>461</v>
      </c>
      <c r="D200" s="37">
        <f t="shared" si="18"/>
        <v>1</v>
      </c>
      <c r="E200" s="37"/>
      <c r="F200" s="37"/>
      <c r="G200" s="59" t="s">
        <v>24</v>
      </c>
      <c r="H200" s="37" t="s">
        <v>3425</v>
      </c>
      <c r="I200" s="37">
        <v>331</v>
      </c>
      <c r="J200" s="37">
        <v>1111</v>
      </c>
      <c r="K200" s="37" t="s">
        <v>20</v>
      </c>
      <c r="L200" s="37">
        <v>1</v>
      </c>
      <c r="M200" s="102">
        <v>152000</v>
      </c>
      <c r="N200" s="102">
        <f t="shared" si="15"/>
        <v>152000</v>
      </c>
      <c r="P200" s="37">
        <f t="shared" si="19"/>
        <v>180</v>
      </c>
    </row>
    <row r="201" spans="1:16" hidden="1" x14ac:dyDescent="0.25">
      <c r="A201" s="37" t="s">
        <v>310</v>
      </c>
      <c r="B201" s="104" t="s">
        <v>441</v>
      </c>
      <c r="C201" s="37">
        <f t="shared" si="17"/>
        <v>462</v>
      </c>
      <c r="D201" s="37">
        <f t="shared" si="18"/>
        <v>1</v>
      </c>
      <c r="E201" s="37"/>
      <c r="F201" s="37"/>
      <c r="G201" s="59" t="s">
        <v>24</v>
      </c>
      <c r="H201" s="37" t="s">
        <v>3426</v>
      </c>
      <c r="I201" s="37">
        <v>331</v>
      </c>
      <c r="J201" s="37">
        <v>1111</v>
      </c>
      <c r="K201" s="37" t="s">
        <v>20</v>
      </c>
      <c r="L201" s="37">
        <v>1</v>
      </c>
      <c r="M201" s="102">
        <v>94000</v>
      </c>
      <c r="N201" s="102">
        <f t="shared" si="15"/>
        <v>94000</v>
      </c>
      <c r="P201" s="37">
        <f t="shared" si="19"/>
        <v>180</v>
      </c>
    </row>
    <row r="202" spans="1:16" hidden="1" x14ac:dyDescent="0.25">
      <c r="A202" s="37" t="s">
        <v>310</v>
      </c>
      <c r="B202" s="104" t="s">
        <v>550</v>
      </c>
      <c r="C202" s="37">
        <f t="shared" si="17"/>
        <v>463</v>
      </c>
      <c r="D202" s="37">
        <f t="shared" si="18"/>
        <v>1</v>
      </c>
      <c r="E202" s="37"/>
      <c r="F202" s="37"/>
      <c r="G202" s="59" t="s">
        <v>35</v>
      </c>
      <c r="H202" s="37" t="s">
        <v>3427</v>
      </c>
      <c r="I202" s="37">
        <v>331</v>
      </c>
      <c r="J202" s="37">
        <v>1111</v>
      </c>
      <c r="K202" s="37" t="s">
        <v>20</v>
      </c>
      <c r="L202" s="37">
        <v>1</v>
      </c>
      <c r="M202" s="102">
        <v>2700000</v>
      </c>
      <c r="N202" s="102">
        <f t="shared" si="15"/>
        <v>2700000</v>
      </c>
      <c r="P202" s="37">
        <f t="shared" si="19"/>
        <v>52</v>
      </c>
    </row>
    <row r="203" spans="1:16" hidden="1" x14ac:dyDescent="0.25">
      <c r="A203" s="37" t="s">
        <v>310</v>
      </c>
      <c r="B203" s="104" t="s">
        <v>479</v>
      </c>
      <c r="C203" s="37">
        <f t="shared" si="17"/>
        <v>464</v>
      </c>
      <c r="D203" s="37">
        <f t="shared" si="18"/>
        <v>1</v>
      </c>
      <c r="E203" s="37"/>
      <c r="F203" s="37"/>
      <c r="G203" s="59" t="s">
        <v>35</v>
      </c>
      <c r="H203" s="37" t="s">
        <v>3428</v>
      </c>
      <c r="I203" s="37">
        <v>331</v>
      </c>
      <c r="J203" s="37">
        <v>1111</v>
      </c>
      <c r="K203" s="37" t="s">
        <v>20</v>
      </c>
      <c r="L203" s="37">
        <v>1</v>
      </c>
      <c r="M203" s="102">
        <v>2700000</v>
      </c>
      <c r="N203" s="102">
        <f t="shared" si="15"/>
        <v>2700000</v>
      </c>
      <c r="P203" s="37">
        <f t="shared" si="19"/>
        <v>52</v>
      </c>
    </row>
    <row r="204" spans="1:16" hidden="1" x14ac:dyDescent="0.25">
      <c r="A204" s="37" t="s">
        <v>310</v>
      </c>
      <c r="B204" s="104" t="s">
        <v>552</v>
      </c>
      <c r="C204" s="37">
        <f t="shared" si="17"/>
        <v>465</v>
      </c>
      <c r="D204" s="37">
        <f t="shared" si="18"/>
        <v>1</v>
      </c>
      <c r="E204" s="37"/>
      <c r="F204" s="37"/>
      <c r="G204" s="59" t="s">
        <v>24</v>
      </c>
      <c r="H204" s="37" t="s">
        <v>3429</v>
      </c>
      <c r="I204" s="37">
        <v>331</v>
      </c>
      <c r="J204" s="37">
        <v>1111</v>
      </c>
      <c r="K204" s="37" t="s">
        <v>20</v>
      </c>
      <c r="L204" s="37">
        <v>1</v>
      </c>
      <c r="M204" s="102">
        <v>84000</v>
      </c>
      <c r="N204" s="102">
        <f t="shared" si="15"/>
        <v>84000</v>
      </c>
      <c r="P204" s="37">
        <f t="shared" si="19"/>
        <v>137</v>
      </c>
    </row>
    <row r="205" spans="1:16" hidden="1" x14ac:dyDescent="0.25">
      <c r="A205" s="37" t="s">
        <v>310</v>
      </c>
      <c r="B205" s="104" t="s">
        <v>554</v>
      </c>
      <c r="C205" s="37">
        <f t="shared" si="17"/>
        <v>466</v>
      </c>
      <c r="D205" s="37">
        <f t="shared" si="18"/>
        <v>1</v>
      </c>
      <c r="E205" s="37"/>
      <c r="F205" s="37"/>
      <c r="G205" s="59" t="s">
        <v>667</v>
      </c>
      <c r="H205" s="37" t="s">
        <v>3455</v>
      </c>
      <c r="I205" s="37">
        <v>331</v>
      </c>
      <c r="J205" s="37">
        <v>1111</v>
      </c>
      <c r="K205" s="37" t="s">
        <v>20</v>
      </c>
      <c r="L205" s="37">
        <v>1</v>
      </c>
      <c r="M205" s="102">
        <v>0</v>
      </c>
      <c r="N205" s="102">
        <f t="shared" si="15"/>
        <v>0</v>
      </c>
      <c r="P205" s="37">
        <f t="shared" si="19"/>
        <v>46</v>
      </c>
    </row>
    <row r="206" spans="1:16" hidden="1" x14ac:dyDescent="0.25">
      <c r="A206" s="37" t="s">
        <v>310</v>
      </c>
      <c r="B206" s="104" t="s">
        <v>661</v>
      </c>
      <c r="C206" s="37">
        <f t="shared" si="17"/>
        <v>467</v>
      </c>
      <c r="D206" s="37">
        <f t="shared" si="18"/>
        <v>1</v>
      </c>
      <c r="E206" s="37"/>
      <c r="F206" s="37"/>
      <c r="G206" s="59" t="s">
        <v>24</v>
      </c>
      <c r="H206" s="37" t="s">
        <v>3430</v>
      </c>
      <c r="I206" s="37">
        <v>331</v>
      </c>
      <c r="J206" s="37">
        <v>1111</v>
      </c>
      <c r="K206" s="37" t="s">
        <v>20</v>
      </c>
      <c r="L206" s="37">
        <v>1</v>
      </c>
      <c r="M206" s="102">
        <v>101000</v>
      </c>
      <c r="N206" s="102">
        <f t="shared" si="15"/>
        <v>101000</v>
      </c>
      <c r="P206" s="37">
        <f t="shared" si="19"/>
        <v>137</v>
      </c>
    </row>
    <row r="207" spans="1:16" hidden="1" x14ac:dyDescent="0.25">
      <c r="A207" s="37" t="s">
        <v>310</v>
      </c>
      <c r="B207" s="104" t="s">
        <v>661</v>
      </c>
      <c r="C207" s="37">
        <f t="shared" si="17"/>
        <v>468</v>
      </c>
      <c r="D207" s="37">
        <f t="shared" si="18"/>
        <v>1</v>
      </c>
      <c r="E207" s="37"/>
      <c r="F207" s="37"/>
      <c r="G207" s="59" t="s">
        <v>667</v>
      </c>
      <c r="H207" s="37" t="s">
        <v>3456</v>
      </c>
      <c r="I207" s="37">
        <v>331</v>
      </c>
      <c r="J207" s="37">
        <v>1111</v>
      </c>
      <c r="K207" s="37" t="s">
        <v>20</v>
      </c>
      <c r="L207" s="37">
        <v>1</v>
      </c>
      <c r="M207" s="102">
        <v>5472221</v>
      </c>
      <c r="N207" s="102">
        <f t="shared" si="15"/>
        <v>5472221</v>
      </c>
      <c r="P207" s="37">
        <f t="shared" si="19"/>
        <v>46</v>
      </c>
    </row>
    <row r="208" spans="1:16" hidden="1" x14ac:dyDescent="0.25">
      <c r="A208" s="37" t="s">
        <v>310</v>
      </c>
      <c r="B208" s="104" t="s">
        <v>505</v>
      </c>
      <c r="C208" s="37">
        <f t="shared" si="17"/>
        <v>469</v>
      </c>
      <c r="D208" s="37">
        <f t="shared" si="18"/>
        <v>1</v>
      </c>
      <c r="E208" s="37"/>
      <c r="F208" s="37"/>
      <c r="G208" s="59" t="s">
        <v>24</v>
      </c>
      <c r="H208" s="37" t="s">
        <v>3431</v>
      </c>
      <c r="I208" s="37">
        <v>331</v>
      </c>
      <c r="J208" s="37">
        <v>1111</v>
      </c>
      <c r="K208" s="37" t="s">
        <v>20</v>
      </c>
      <c r="L208" s="37">
        <v>1</v>
      </c>
      <c r="M208" s="102">
        <v>26852</v>
      </c>
      <c r="N208" s="102">
        <f t="shared" si="15"/>
        <v>26852</v>
      </c>
      <c r="P208" s="37">
        <f t="shared" si="19"/>
        <v>75</v>
      </c>
    </row>
    <row r="209" spans="1:16" hidden="1" x14ac:dyDescent="0.25">
      <c r="A209" s="37" t="s">
        <v>310</v>
      </c>
      <c r="B209" s="104" t="s">
        <v>480</v>
      </c>
      <c r="C209" s="37">
        <f t="shared" si="17"/>
        <v>470</v>
      </c>
      <c r="D209" s="37">
        <f t="shared" si="18"/>
        <v>1</v>
      </c>
      <c r="E209" s="37"/>
      <c r="F209" s="37"/>
      <c r="G209" s="59" t="s">
        <v>24</v>
      </c>
      <c r="H209" s="37" t="s">
        <v>3432</v>
      </c>
      <c r="I209" s="37">
        <v>331</v>
      </c>
      <c r="J209" s="37">
        <v>1111</v>
      </c>
      <c r="K209" s="37" t="s">
        <v>20</v>
      </c>
      <c r="L209" s="37">
        <v>1</v>
      </c>
      <c r="M209" s="102">
        <v>160000</v>
      </c>
      <c r="N209" s="102">
        <f t="shared" si="15"/>
        <v>160000</v>
      </c>
      <c r="P209" s="37">
        <f t="shared" si="19"/>
        <v>180</v>
      </c>
    </row>
    <row r="210" spans="1:16" hidden="1" x14ac:dyDescent="0.25">
      <c r="A210" s="37" t="s">
        <v>310</v>
      </c>
      <c r="B210" s="104" t="s">
        <v>480</v>
      </c>
      <c r="C210" s="37">
        <f t="shared" si="17"/>
        <v>471</v>
      </c>
      <c r="D210" s="37">
        <f t="shared" si="18"/>
        <v>1</v>
      </c>
      <c r="E210" s="37"/>
      <c r="F210" s="37"/>
      <c r="G210" s="59" t="s">
        <v>19</v>
      </c>
      <c r="H210" s="37" t="s">
        <v>3433</v>
      </c>
      <c r="I210" s="37">
        <v>331</v>
      </c>
      <c r="J210" s="37">
        <v>1111</v>
      </c>
      <c r="K210" s="37" t="s">
        <v>20</v>
      </c>
      <c r="L210" s="37">
        <v>1</v>
      </c>
      <c r="M210" s="102">
        <v>102000</v>
      </c>
      <c r="N210" s="102">
        <f t="shared" si="15"/>
        <v>102000</v>
      </c>
      <c r="P210" s="37">
        <f t="shared" si="19"/>
        <v>137</v>
      </c>
    </row>
    <row r="211" spans="1:16" hidden="1" x14ac:dyDescent="0.25">
      <c r="A211" s="37" t="s">
        <v>310</v>
      </c>
      <c r="B211" s="104" t="s">
        <v>480</v>
      </c>
      <c r="C211" s="37">
        <f t="shared" si="17"/>
        <v>472</v>
      </c>
      <c r="D211" s="37">
        <f t="shared" si="18"/>
        <v>1</v>
      </c>
      <c r="E211" s="37"/>
      <c r="F211" s="37"/>
      <c r="G211" s="59" t="s">
        <v>89</v>
      </c>
      <c r="H211" s="37" t="s">
        <v>3434</v>
      </c>
      <c r="I211" s="37">
        <v>331</v>
      </c>
      <c r="J211" s="37">
        <v>1111</v>
      </c>
      <c r="K211" s="37" t="s">
        <v>20</v>
      </c>
      <c r="L211" s="37">
        <v>1</v>
      </c>
      <c r="M211" s="102">
        <v>89815</v>
      </c>
      <c r="N211" s="102">
        <f t="shared" si="15"/>
        <v>89815</v>
      </c>
      <c r="P211" s="37">
        <f t="shared" si="19"/>
        <v>84</v>
      </c>
    </row>
    <row r="212" spans="1:16" hidden="1" x14ac:dyDescent="0.25">
      <c r="A212" s="37" t="s">
        <v>310</v>
      </c>
      <c r="B212" s="104" t="s">
        <v>558</v>
      </c>
      <c r="C212" s="37">
        <f t="shared" si="17"/>
        <v>473</v>
      </c>
      <c r="D212" s="37">
        <f t="shared" si="18"/>
        <v>1</v>
      </c>
      <c r="E212" s="37"/>
      <c r="F212" s="37"/>
      <c r="G212" s="59" t="s">
        <v>19</v>
      </c>
      <c r="H212" s="37" t="s">
        <v>3435</v>
      </c>
      <c r="I212" s="37">
        <v>331</v>
      </c>
      <c r="J212" s="37">
        <v>1111</v>
      </c>
      <c r="K212" s="37" t="s">
        <v>20</v>
      </c>
      <c r="L212" s="37">
        <v>1</v>
      </c>
      <c r="M212" s="102">
        <v>68000</v>
      </c>
      <c r="N212" s="102">
        <f t="shared" si="15"/>
        <v>68000</v>
      </c>
      <c r="P212" s="37">
        <f t="shared" si="19"/>
        <v>137</v>
      </c>
    </row>
    <row r="213" spans="1:16" hidden="1" x14ac:dyDescent="0.25">
      <c r="A213" s="37" t="s">
        <v>310</v>
      </c>
      <c r="B213" s="104" t="s">
        <v>558</v>
      </c>
      <c r="C213" s="37">
        <f t="shared" si="17"/>
        <v>474</v>
      </c>
      <c r="D213" s="37">
        <f t="shared" si="18"/>
        <v>1</v>
      </c>
      <c r="E213" s="37"/>
      <c r="F213" s="37"/>
      <c r="G213" s="59" t="s">
        <v>19</v>
      </c>
      <c r="H213" s="37" t="s">
        <v>3436</v>
      </c>
      <c r="I213" s="37">
        <v>331</v>
      </c>
      <c r="J213" s="37">
        <v>1111</v>
      </c>
      <c r="K213" s="37" t="s">
        <v>20</v>
      </c>
      <c r="L213" s="37">
        <v>1</v>
      </c>
      <c r="M213" s="102">
        <v>87037</v>
      </c>
      <c r="N213" s="102">
        <f t="shared" si="15"/>
        <v>87037</v>
      </c>
      <c r="P213" s="37">
        <f t="shared" si="19"/>
        <v>75</v>
      </c>
    </row>
    <row r="214" spans="1:16" hidden="1" x14ac:dyDescent="0.25">
      <c r="A214" s="37" t="s">
        <v>310</v>
      </c>
      <c r="B214" s="104" t="s">
        <v>558</v>
      </c>
      <c r="C214" s="37">
        <f t="shared" si="17"/>
        <v>475</v>
      </c>
      <c r="D214" s="37">
        <f t="shared" si="18"/>
        <v>1</v>
      </c>
      <c r="E214" s="37"/>
      <c r="F214" s="37"/>
      <c r="G214" s="59" t="s">
        <v>19</v>
      </c>
      <c r="H214" s="37" t="s">
        <v>3437</v>
      </c>
      <c r="I214" s="37">
        <v>331</v>
      </c>
      <c r="J214" s="37">
        <v>1111</v>
      </c>
      <c r="K214" s="37" t="s">
        <v>20</v>
      </c>
      <c r="L214" s="37">
        <v>1</v>
      </c>
      <c r="M214" s="102">
        <v>132000</v>
      </c>
      <c r="N214" s="102">
        <f t="shared" si="15"/>
        <v>132000</v>
      </c>
      <c r="P214" s="37">
        <f t="shared" si="19"/>
        <v>137</v>
      </c>
    </row>
    <row r="215" spans="1:16" hidden="1" x14ac:dyDescent="0.25">
      <c r="A215" s="37" t="s">
        <v>310</v>
      </c>
      <c r="B215" s="104" t="s">
        <v>662</v>
      </c>
      <c r="C215" s="37">
        <f t="shared" si="17"/>
        <v>476</v>
      </c>
      <c r="D215" s="37">
        <f t="shared" si="18"/>
        <v>1</v>
      </c>
      <c r="E215" s="37"/>
      <c r="F215" s="37"/>
      <c r="G215" s="59" t="s">
        <v>24</v>
      </c>
      <c r="H215" s="37" t="s">
        <v>3438</v>
      </c>
      <c r="I215" s="37">
        <v>331</v>
      </c>
      <c r="J215" s="37">
        <v>1111</v>
      </c>
      <c r="K215" s="37" t="s">
        <v>20</v>
      </c>
      <c r="L215" s="37">
        <v>1</v>
      </c>
      <c r="M215" s="102">
        <v>71000</v>
      </c>
      <c r="N215" s="102">
        <f t="shared" si="15"/>
        <v>71000</v>
      </c>
      <c r="P215" s="37">
        <f t="shared" si="19"/>
        <v>180</v>
      </c>
    </row>
    <row r="216" spans="1:16" hidden="1" x14ac:dyDescent="0.25">
      <c r="A216" s="37" t="s">
        <v>310</v>
      </c>
      <c r="B216" s="104" t="s">
        <v>662</v>
      </c>
      <c r="C216" s="37">
        <f t="shared" si="17"/>
        <v>477</v>
      </c>
      <c r="D216" s="37">
        <f t="shared" si="18"/>
        <v>1</v>
      </c>
      <c r="E216" s="37"/>
      <c r="F216" s="37"/>
      <c r="G216" s="59" t="s">
        <v>24</v>
      </c>
      <c r="H216" s="37" t="s">
        <v>3439</v>
      </c>
      <c r="I216" s="37">
        <v>331</v>
      </c>
      <c r="J216" s="37">
        <v>1111</v>
      </c>
      <c r="K216" s="37" t="s">
        <v>20</v>
      </c>
      <c r="L216" s="37">
        <v>1</v>
      </c>
      <c r="M216" s="102">
        <v>89000</v>
      </c>
      <c r="N216" s="102">
        <f t="shared" si="15"/>
        <v>89000</v>
      </c>
      <c r="P216" s="37">
        <f t="shared" si="19"/>
        <v>137</v>
      </c>
    </row>
    <row r="217" spans="1:16" hidden="1" x14ac:dyDescent="0.25">
      <c r="A217" s="37" t="s">
        <v>310</v>
      </c>
      <c r="B217" s="104" t="s">
        <v>663</v>
      </c>
      <c r="C217" s="37">
        <f t="shared" si="17"/>
        <v>478</v>
      </c>
      <c r="D217" s="37">
        <f t="shared" si="18"/>
        <v>1</v>
      </c>
      <c r="E217" s="37"/>
      <c r="F217" s="37"/>
      <c r="G217" s="59" t="s">
        <v>24</v>
      </c>
      <c r="H217" s="37" t="s">
        <v>3440</v>
      </c>
      <c r="I217" s="37">
        <v>331</v>
      </c>
      <c r="J217" s="37">
        <v>1111</v>
      </c>
      <c r="K217" s="37" t="s">
        <v>20</v>
      </c>
      <c r="L217" s="37">
        <v>1</v>
      </c>
      <c r="M217" s="102">
        <v>124000</v>
      </c>
      <c r="N217" s="102">
        <f t="shared" si="15"/>
        <v>124000</v>
      </c>
      <c r="P217" s="37">
        <f t="shared" si="19"/>
        <v>180</v>
      </c>
    </row>
    <row r="218" spans="1:16" hidden="1" x14ac:dyDescent="0.25">
      <c r="A218" s="37" t="s">
        <v>310</v>
      </c>
      <c r="B218" s="104" t="s">
        <v>663</v>
      </c>
      <c r="C218" s="37">
        <f t="shared" si="17"/>
        <v>479</v>
      </c>
      <c r="D218" s="37">
        <f t="shared" si="18"/>
        <v>1</v>
      </c>
      <c r="E218" s="37"/>
      <c r="F218" s="37"/>
      <c r="G218" s="59" t="s">
        <v>24</v>
      </c>
      <c r="H218" s="37" t="s">
        <v>3441</v>
      </c>
      <c r="I218" s="37">
        <v>331</v>
      </c>
      <c r="J218" s="37">
        <v>1111</v>
      </c>
      <c r="K218" s="37" t="s">
        <v>20</v>
      </c>
      <c r="L218" s="37">
        <v>1</v>
      </c>
      <c r="M218" s="102">
        <v>118000</v>
      </c>
      <c r="N218" s="102">
        <f t="shared" si="15"/>
        <v>118000</v>
      </c>
      <c r="P218" s="37">
        <f t="shared" si="19"/>
        <v>137</v>
      </c>
    </row>
    <row r="219" spans="1:16" hidden="1" x14ac:dyDescent="0.25">
      <c r="A219" s="37" t="s">
        <v>310</v>
      </c>
      <c r="B219" s="104" t="s">
        <v>664</v>
      </c>
      <c r="C219" s="37">
        <f t="shared" si="17"/>
        <v>480</v>
      </c>
      <c r="D219" s="37">
        <f t="shared" si="18"/>
        <v>1</v>
      </c>
      <c r="E219" s="37"/>
      <c r="F219" s="37"/>
      <c r="G219" s="59" t="s">
        <v>24</v>
      </c>
      <c r="H219" s="37" t="s">
        <v>3442</v>
      </c>
      <c r="I219" s="37">
        <v>331</v>
      </c>
      <c r="J219" s="37">
        <v>1111</v>
      </c>
      <c r="K219" s="37" t="s">
        <v>20</v>
      </c>
      <c r="L219" s="37">
        <v>1</v>
      </c>
      <c r="M219" s="102">
        <v>13963</v>
      </c>
      <c r="N219" s="102">
        <f t="shared" si="15"/>
        <v>13963</v>
      </c>
      <c r="P219" s="37">
        <f t="shared" si="19"/>
        <v>118</v>
      </c>
    </row>
    <row r="220" spans="1:16" hidden="1" x14ac:dyDescent="0.25">
      <c r="A220" s="37" t="s">
        <v>310</v>
      </c>
      <c r="B220" s="104" t="s">
        <v>664</v>
      </c>
      <c r="C220" s="37">
        <f t="shared" si="17"/>
        <v>481</v>
      </c>
      <c r="D220" s="37">
        <f t="shared" si="18"/>
        <v>1</v>
      </c>
      <c r="E220" s="37"/>
      <c r="F220" s="37"/>
      <c r="G220" s="59" t="s">
        <v>24</v>
      </c>
      <c r="H220" s="37" t="s">
        <v>3443</v>
      </c>
      <c r="I220" s="37">
        <v>331</v>
      </c>
      <c r="J220" s="37">
        <v>1111</v>
      </c>
      <c r="K220" s="37" t="s">
        <v>20</v>
      </c>
      <c r="L220" s="37">
        <v>1</v>
      </c>
      <c r="M220" s="102">
        <v>54000</v>
      </c>
      <c r="N220" s="102">
        <f t="shared" si="15"/>
        <v>54000</v>
      </c>
      <c r="P220" s="37">
        <f t="shared" si="19"/>
        <v>180</v>
      </c>
    </row>
    <row r="221" spans="1:16" hidden="1" x14ac:dyDescent="0.25">
      <c r="A221" s="37" t="s">
        <v>310</v>
      </c>
      <c r="B221" s="104" t="s">
        <v>664</v>
      </c>
      <c r="C221" s="37">
        <f t="shared" si="17"/>
        <v>482</v>
      </c>
      <c r="D221" s="37">
        <f t="shared" si="18"/>
        <v>1</v>
      </c>
      <c r="E221" s="37"/>
      <c r="F221" s="37"/>
      <c r="G221" s="59" t="s">
        <v>24</v>
      </c>
      <c r="H221" s="37" t="s">
        <v>3444</v>
      </c>
      <c r="I221" s="37">
        <v>331</v>
      </c>
      <c r="J221" s="37">
        <v>1111</v>
      </c>
      <c r="K221" s="37" t="s">
        <v>20</v>
      </c>
      <c r="L221" s="37">
        <v>1</v>
      </c>
      <c r="M221" s="102">
        <v>59000</v>
      </c>
      <c r="N221" s="102">
        <f t="shared" si="15"/>
        <v>59000</v>
      </c>
      <c r="P221" s="37">
        <f t="shared" si="19"/>
        <v>180</v>
      </c>
    </row>
    <row r="222" spans="1:16" hidden="1" x14ac:dyDescent="0.25">
      <c r="A222" s="37" t="s">
        <v>310</v>
      </c>
      <c r="B222" s="104" t="s">
        <v>506</v>
      </c>
      <c r="C222" s="37">
        <f t="shared" si="17"/>
        <v>483</v>
      </c>
      <c r="D222" s="37">
        <f t="shared" si="18"/>
        <v>1</v>
      </c>
      <c r="E222" s="37"/>
      <c r="F222" s="37"/>
      <c r="G222" s="59" t="s">
        <v>24</v>
      </c>
      <c r="H222" s="37" t="s">
        <v>3445</v>
      </c>
      <c r="I222" s="37">
        <v>331</v>
      </c>
      <c r="J222" s="37">
        <v>1111</v>
      </c>
      <c r="K222" s="37" t="s">
        <v>20</v>
      </c>
      <c r="L222" s="37">
        <v>1</v>
      </c>
      <c r="M222" s="102">
        <v>131000</v>
      </c>
      <c r="N222" s="102">
        <f t="shared" si="15"/>
        <v>131000</v>
      </c>
      <c r="P222" s="37">
        <f t="shared" si="19"/>
        <v>180</v>
      </c>
    </row>
    <row r="223" spans="1:16" hidden="1" x14ac:dyDescent="0.25">
      <c r="A223" s="37" t="s">
        <v>310</v>
      </c>
      <c r="B223" s="104" t="s">
        <v>481</v>
      </c>
      <c r="C223" s="37">
        <f t="shared" si="17"/>
        <v>484</v>
      </c>
      <c r="D223" s="37">
        <f t="shared" si="18"/>
        <v>1</v>
      </c>
      <c r="E223" s="37"/>
      <c r="F223" s="37"/>
      <c r="G223" s="59" t="s">
        <v>24</v>
      </c>
      <c r="H223" s="37" t="s">
        <v>3446</v>
      </c>
      <c r="I223" s="37">
        <v>331</v>
      </c>
      <c r="J223" s="37">
        <v>1111</v>
      </c>
      <c r="K223" s="37" t="s">
        <v>20</v>
      </c>
      <c r="L223" s="37">
        <v>1</v>
      </c>
      <c r="M223" s="102">
        <v>68000</v>
      </c>
      <c r="N223" s="102">
        <f t="shared" si="15"/>
        <v>68000</v>
      </c>
      <c r="P223" s="37">
        <f t="shared" si="19"/>
        <v>180</v>
      </c>
    </row>
    <row r="224" spans="1:16" hidden="1" x14ac:dyDescent="0.25">
      <c r="A224" s="37" t="s">
        <v>310</v>
      </c>
      <c r="B224" s="104" t="s">
        <v>481</v>
      </c>
      <c r="C224" s="37">
        <f t="shared" si="17"/>
        <v>485</v>
      </c>
      <c r="D224" s="37">
        <f t="shared" si="18"/>
        <v>1</v>
      </c>
      <c r="E224" s="37"/>
      <c r="F224" s="37"/>
      <c r="G224" s="59" t="s">
        <v>19</v>
      </c>
      <c r="H224" s="37" t="s">
        <v>3447</v>
      </c>
      <c r="I224" s="37">
        <v>331</v>
      </c>
      <c r="J224" s="37">
        <v>1111</v>
      </c>
      <c r="K224" s="37" t="s">
        <v>20</v>
      </c>
      <c r="L224" s="37">
        <v>1</v>
      </c>
      <c r="M224" s="102">
        <v>75000</v>
      </c>
      <c r="N224" s="102">
        <f t="shared" si="15"/>
        <v>75000</v>
      </c>
      <c r="P224" s="37">
        <f t="shared" si="19"/>
        <v>137</v>
      </c>
    </row>
    <row r="225" spans="1:16" hidden="1" x14ac:dyDescent="0.25">
      <c r="A225" s="37" t="s">
        <v>310</v>
      </c>
      <c r="B225" s="104" t="s">
        <v>665</v>
      </c>
      <c r="C225" s="37">
        <f t="shared" si="17"/>
        <v>486</v>
      </c>
      <c r="D225" s="37">
        <f t="shared" si="18"/>
        <v>1</v>
      </c>
      <c r="E225" s="37"/>
      <c r="F225" s="37"/>
      <c r="G225" s="59" t="s">
        <v>24</v>
      </c>
      <c r="H225" s="37" t="s">
        <v>3448</v>
      </c>
      <c r="I225" s="37">
        <v>331</v>
      </c>
      <c r="J225" s="37">
        <v>1111</v>
      </c>
      <c r="K225" s="37" t="s">
        <v>20</v>
      </c>
      <c r="L225" s="37">
        <v>1</v>
      </c>
      <c r="M225" s="102">
        <v>64000</v>
      </c>
      <c r="N225" s="102">
        <f t="shared" si="15"/>
        <v>64000</v>
      </c>
      <c r="P225" s="37">
        <f t="shared" si="19"/>
        <v>180</v>
      </c>
    </row>
    <row r="226" spans="1:16" hidden="1" x14ac:dyDescent="0.25">
      <c r="A226" s="37" t="s">
        <v>309</v>
      </c>
      <c r="B226" s="104">
        <v>46027</v>
      </c>
      <c r="C226" s="37">
        <f t="shared" ref="C226:C271" si="20">C225+D226</f>
        <v>487</v>
      </c>
      <c r="D226" s="37">
        <f t="shared" ref="D226:D271" si="21">IF(H226=H225,0,1)</f>
        <v>1</v>
      </c>
      <c r="E226" s="37"/>
      <c r="F226" s="37"/>
      <c r="G226" s="161" t="s">
        <v>68</v>
      </c>
      <c r="H226" s="37" t="s">
        <v>3462</v>
      </c>
      <c r="I226" s="37">
        <v>112121</v>
      </c>
      <c r="J226" s="37">
        <v>131</v>
      </c>
      <c r="K226" s="37" t="s">
        <v>20</v>
      </c>
      <c r="L226" s="37">
        <v>1</v>
      </c>
      <c r="M226" s="102">
        <v>10645161</v>
      </c>
      <c r="N226" s="102">
        <f t="shared" si="15"/>
        <v>10645161</v>
      </c>
      <c r="P226" s="37">
        <f t="shared" si="19"/>
        <v>149</v>
      </c>
    </row>
    <row r="227" spans="1:16" hidden="1" x14ac:dyDescent="0.25">
      <c r="A227" s="37" t="s">
        <v>308</v>
      </c>
      <c r="B227" s="104">
        <v>46027</v>
      </c>
      <c r="C227" s="37">
        <f t="shared" si="20"/>
        <v>488</v>
      </c>
      <c r="D227" s="37">
        <f t="shared" si="21"/>
        <v>1</v>
      </c>
      <c r="E227" s="37"/>
      <c r="F227" s="37"/>
      <c r="G227" s="161" t="s">
        <v>103</v>
      </c>
      <c r="H227" s="37" t="s">
        <v>3032</v>
      </c>
      <c r="I227" s="37">
        <v>1111</v>
      </c>
      <c r="J227" s="37">
        <v>112121</v>
      </c>
      <c r="K227" s="37" t="s">
        <v>20</v>
      </c>
      <c r="L227" s="37">
        <v>1</v>
      </c>
      <c r="M227" s="102">
        <v>21000000</v>
      </c>
      <c r="N227" s="102">
        <f t="shared" si="15"/>
        <v>21000000</v>
      </c>
      <c r="P227" s="37">
        <f t="shared" si="19"/>
        <v>40</v>
      </c>
    </row>
    <row r="228" spans="1:16" hidden="1" x14ac:dyDescent="0.25">
      <c r="A228" s="37" t="s">
        <v>309</v>
      </c>
      <c r="B228" s="104">
        <v>46028</v>
      </c>
      <c r="C228" s="37">
        <f t="shared" si="20"/>
        <v>489</v>
      </c>
      <c r="D228" s="37">
        <f t="shared" si="21"/>
        <v>1</v>
      </c>
      <c r="E228" s="37"/>
      <c r="F228" s="37"/>
      <c r="G228" s="161" t="s">
        <v>26</v>
      </c>
      <c r="H228" s="37" t="s">
        <v>3485</v>
      </c>
      <c r="I228" s="37">
        <v>112121</v>
      </c>
      <c r="J228" s="37">
        <v>131</v>
      </c>
      <c r="K228" s="37" t="s">
        <v>20</v>
      </c>
      <c r="L228" s="37">
        <v>1</v>
      </c>
      <c r="M228" s="102">
        <v>10645161</v>
      </c>
      <c r="N228" s="102">
        <f t="shared" si="15"/>
        <v>10645161</v>
      </c>
      <c r="P228" s="37">
        <f t="shared" si="19"/>
        <v>170</v>
      </c>
    </row>
    <row r="229" spans="1:16" hidden="1" x14ac:dyDescent="0.25">
      <c r="A229" s="37" t="s">
        <v>308</v>
      </c>
      <c r="B229" s="104">
        <v>46028</v>
      </c>
      <c r="C229" s="37">
        <f t="shared" si="20"/>
        <v>490</v>
      </c>
      <c r="D229" s="37">
        <f t="shared" si="21"/>
        <v>1</v>
      </c>
      <c r="E229" s="37"/>
      <c r="F229" s="37"/>
      <c r="G229" s="161" t="s">
        <v>103</v>
      </c>
      <c r="H229" s="37" t="s">
        <v>3032</v>
      </c>
      <c r="I229" s="37">
        <v>1111</v>
      </c>
      <c r="J229" s="37">
        <v>112121</v>
      </c>
      <c r="K229" s="37" t="s">
        <v>20</v>
      </c>
      <c r="L229" s="37">
        <v>1</v>
      </c>
      <c r="M229" s="102">
        <v>11000000</v>
      </c>
      <c r="N229" s="102">
        <f t="shared" si="15"/>
        <v>11000000</v>
      </c>
      <c r="P229" s="37">
        <f t="shared" si="19"/>
        <v>40</v>
      </c>
    </row>
    <row r="230" spans="1:16" hidden="1" x14ac:dyDescent="0.25">
      <c r="A230" s="37" t="s">
        <v>309</v>
      </c>
      <c r="B230" s="104">
        <v>46029</v>
      </c>
      <c r="C230" s="37">
        <f t="shared" si="20"/>
        <v>491</v>
      </c>
      <c r="D230" s="37">
        <f t="shared" si="21"/>
        <v>1</v>
      </c>
      <c r="E230" s="37"/>
      <c r="F230" s="37"/>
      <c r="G230" s="161" t="s">
        <v>51</v>
      </c>
      <c r="H230" s="37" t="s">
        <v>3466</v>
      </c>
      <c r="I230" s="37">
        <v>112121</v>
      </c>
      <c r="J230" s="37">
        <v>131</v>
      </c>
      <c r="K230" s="37" t="s">
        <v>20</v>
      </c>
      <c r="L230" s="37">
        <v>1</v>
      </c>
      <c r="M230" s="102">
        <v>8516129</v>
      </c>
      <c r="N230" s="102">
        <f t="shared" si="15"/>
        <v>8516129</v>
      </c>
      <c r="P230" s="37">
        <f t="shared" si="19"/>
        <v>159</v>
      </c>
    </row>
    <row r="231" spans="1:16" hidden="1" x14ac:dyDescent="0.25">
      <c r="A231" s="37" t="s">
        <v>308</v>
      </c>
      <c r="B231" s="104">
        <v>46029</v>
      </c>
      <c r="C231" s="37">
        <f t="shared" si="20"/>
        <v>492</v>
      </c>
      <c r="D231" s="37">
        <f t="shared" si="21"/>
        <v>1</v>
      </c>
      <c r="E231" s="37"/>
      <c r="F231" s="37"/>
      <c r="G231" s="161" t="s">
        <v>103</v>
      </c>
      <c r="H231" s="37" t="s">
        <v>3032</v>
      </c>
      <c r="I231" s="37">
        <v>1111</v>
      </c>
      <c r="J231" s="37">
        <v>112121</v>
      </c>
      <c r="K231" s="37" t="s">
        <v>20</v>
      </c>
      <c r="L231" s="37">
        <v>1</v>
      </c>
      <c r="M231" s="102">
        <v>8900000</v>
      </c>
      <c r="N231" s="102">
        <f t="shared" si="15"/>
        <v>8900000</v>
      </c>
      <c r="P231" s="37">
        <f t="shared" si="19"/>
        <v>40</v>
      </c>
    </row>
    <row r="232" spans="1:16" hidden="1" x14ac:dyDescent="0.25">
      <c r="A232" s="37" t="s">
        <v>308</v>
      </c>
      <c r="B232" s="104">
        <v>46038</v>
      </c>
      <c r="C232" s="37">
        <f t="shared" si="20"/>
        <v>492</v>
      </c>
      <c r="D232" s="37">
        <f t="shared" si="21"/>
        <v>0</v>
      </c>
      <c r="E232" s="37"/>
      <c r="F232" s="37"/>
      <c r="G232" s="161" t="s">
        <v>103</v>
      </c>
      <c r="H232" s="37" t="s">
        <v>3032</v>
      </c>
      <c r="I232" s="37">
        <v>1111</v>
      </c>
      <c r="J232" s="37">
        <v>112121</v>
      </c>
      <c r="K232" s="37" t="s">
        <v>20</v>
      </c>
      <c r="L232" s="37">
        <v>1</v>
      </c>
      <c r="M232" s="102">
        <v>8900000</v>
      </c>
      <c r="N232" s="102">
        <f t="shared" si="15"/>
        <v>8900000</v>
      </c>
      <c r="P232" s="37">
        <f t="shared" si="19"/>
        <v>40</v>
      </c>
    </row>
    <row r="233" spans="1:16" hidden="1" x14ac:dyDescent="0.25">
      <c r="A233" s="37" t="s">
        <v>309</v>
      </c>
      <c r="B233" s="104">
        <v>46039</v>
      </c>
      <c r="C233" s="37">
        <f t="shared" si="20"/>
        <v>493</v>
      </c>
      <c r="D233" s="37">
        <f t="shared" si="21"/>
        <v>1</v>
      </c>
      <c r="E233" s="37"/>
      <c r="F233" s="37"/>
      <c r="G233" s="161" t="s">
        <v>103</v>
      </c>
      <c r="H233" s="37" t="s">
        <v>2660</v>
      </c>
      <c r="I233" s="37">
        <v>112121</v>
      </c>
      <c r="J233" s="37">
        <v>1111</v>
      </c>
      <c r="K233" s="37" t="s">
        <v>20</v>
      </c>
      <c r="L233" s="37">
        <v>1</v>
      </c>
      <c r="M233" s="102">
        <v>1000000</v>
      </c>
      <c r="N233" s="102">
        <f t="shared" si="15"/>
        <v>1000000</v>
      </c>
      <c r="P233" s="37">
        <f t="shared" si="19"/>
        <v>26</v>
      </c>
    </row>
    <row r="234" spans="1:16" hidden="1" x14ac:dyDescent="0.25">
      <c r="A234" s="37" t="s">
        <v>309</v>
      </c>
      <c r="B234" s="104">
        <v>46043</v>
      </c>
      <c r="C234" s="37">
        <f t="shared" si="20"/>
        <v>494</v>
      </c>
      <c r="D234" s="37">
        <f t="shared" si="21"/>
        <v>1</v>
      </c>
      <c r="E234" s="37"/>
      <c r="F234" s="37"/>
      <c r="G234" s="161" t="s">
        <v>87</v>
      </c>
      <c r="H234" s="37" t="s">
        <v>3465</v>
      </c>
      <c r="I234" s="37">
        <v>112121</v>
      </c>
      <c r="J234" s="37">
        <v>131</v>
      </c>
      <c r="K234" s="37" t="s">
        <v>20</v>
      </c>
      <c r="L234" s="37">
        <v>1</v>
      </c>
      <c r="M234" s="102">
        <v>5350000</v>
      </c>
      <c r="N234" s="102">
        <f t="shared" si="15"/>
        <v>5350000</v>
      </c>
      <c r="P234" s="37">
        <f t="shared" si="19"/>
        <v>163</v>
      </c>
    </row>
    <row r="235" spans="1:16" hidden="1" x14ac:dyDescent="0.25">
      <c r="A235" s="37" t="s">
        <v>309</v>
      </c>
      <c r="B235" s="104">
        <v>46043</v>
      </c>
      <c r="C235" s="37">
        <f t="shared" si="20"/>
        <v>495</v>
      </c>
      <c r="D235" s="37">
        <f t="shared" si="21"/>
        <v>1</v>
      </c>
      <c r="E235" s="37"/>
      <c r="F235" s="37"/>
      <c r="G235" s="161" t="s">
        <v>3463</v>
      </c>
      <c r="H235" s="37" t="s">
        <v>3464</v>
      </c>
      <c r="I235" s="37">
        <v>112121</v>
      </c>
      <c r="J235" s="37">
        <v>131</v>
      </c>
      <c r="K235" s="37" t="s">
        <v>20</v>
      </c>
      <c r="L235" s="37">
        <v>1</v>
      </c>
      <c r="M235" s="102">
        <v>12135484</v>
      </c>
      <c r="N235" s="102">
        <f t="shared" ref="N235:N271" si="22">L235*M235</f>
        <v>12135484</v>
      </c>
      <c r="P235" s="37">
        <f t="shared" si="19"/>
        <v>120</v>
      </c>
    </row>
    <row r="236" spans="1:16" hidden="1" x14ac:dyDescent="0.25">
      <c r="A236" s="37" t="s">
        <v>309</v>
      </c>
      <c r="B236" s="104">
        <v>46043</v>
      </c>
      <c r="C236" s="37">
        <f t="shared" si="20"/>
        <v>496</v>
      </c>
      <c r="D236" s="37">
        <f t="shared" si="21"/>
        <v>1</v>
      </c>
      <c r="E236" s="37"/>
      <c r="F236" s="37"/>
      <c r="G236" s="161" t="s">
        <v>56</v>
      </c>
      <c r="H236" s="37" t="s">
        <v>3457</v>
      </c>
      <c r="I236" s="37">
        <v>112121</v>
      </c>
      <c r="J236" s="37">
        <v>131</v>
      </c>
      <c r="K236" s="37" t="s">
        <v>20</v>
      </c>
      <c r="L236" s="37">
        <v>1</v>
      </c>
      <c r="M236" s="102">
        <v>10645161</v>
      </c>
      <c r="N236" s="102">
        <f t="shared" si="22"/>
        <v>10645161</v>
      </c>
      <c r="P236" s="37">
        <f t="shared" si="19"/>
        <v>120</v>
      </c>
    </row>
    <row r="237" spans="1:16" hidden="1" x14ac:dyDescent="0.25">
      <c r="A237" s="37" t="s">
        <v>309</v>
      </c>
      <c r="B237" s="104">
        <v>46043</v>
      </c>
      <c r="C237" s="37">
        <f t="shared" si="20"/>
        <v>497</v>
      </c>
      <c r="D237" s="37">
        <f t="shared" si="21"/>
        <v>1</v>
      </c>
      <c r="E237" s="37"/>
      <c r="F237" s="37"/>
      <c r="G237" s="161" t="s">
        <v>56</v>
      </c>
      <c r="H237" s="37" t="s">
        <v>3458</v>
      </c>
      <c r="I237" s="37">
        <v>112121</v>
      </c>
      <c r="J237" s="37">
        <v>131</v>
      </c>
      <c r="K237" s="37" t="s">
        <v>20</v>
      </c>
      <c r="L237" s="37">
        <v>1</v>
      </c>
      <c r="M237" s="102">
        <v>10645161</v>
      </c>
      <c r="N237" s="102">
        <f t="shared" si="22"/>
        <v>10645161</v>
      </c>
      <c r="P237" s="37">
        <f t="shared" si="19"/>
        <v>118</v>
      </c>
    </row>
    <row r="238" spans="1:16" hidden="1" x14ac:dyDescent="0.25">
      <c r="A238" s="37" t="s">
        <v>308</v>
      </c>
      <c r="B238" s="104">
        <v>46043</v>
      </c>
      <c r="C238" s="37">
        <f t="shared" si="20"/>
        <v>498</v>
      </c>
      <c r="D238" s="37">
        <f t="shared" si="21"/>
        <v>1</v>
      </c>
      <c r="E238" s="37"/>
      <c r="F238" s="37"/>
      <c r="G238" s="161" t="s">
        <v>103</v>
      </c>
      <c r="H238" s="37" t="s">
        <v>3032</v>
      </c>
      <c r="I238" s="37">
        <v>1111</v>
      </c>
      <c r="J238" s="37">
        <v>112121</v>
      </c>
      <c r="K238" s="37" t="s">
        <v>20</v>
      </c>
      <c r="L238" s="37">
        <v>1</v>
      </c>
      <c r="M238" s="102">
        <v>39000000</v>
      </c>
      <c r="N238" s="102">
        <f t="shared" si="22"/>
        <v>39000000</v>
      </c>
      <c r="P238" s="37">
        <f t="shared" si="19"/>
        <v>40</v>
      </c>
    </row>
    <row r="239" spans="1:16" hidden="1" x14ac:dyDescent="0.25">
      <c r="A239" s="37" t="s">
        <v>309</v>
      </c>
      <c r="B239" s="104">
        <v>46048</v>
      </c>
      <c r="C239" s="37">
        <f t="shared" si="20"/>
        <v>499</v>
      </c>
      <c r="D239" s="37">
        <f t="shared" si="21"/>
        <v>1</v>
      </c>
      <c r="E239" s="37"/>
      <c r="F239" s="37"/>
      <c r="G239" s="161" t="s">
        <v>103</v>
      </c>
      <c r="H239" s="37" t="s">
        <v>3250</v>
      </c>
      <c r="I239" s="37">
        <v>112121</v>
      </c>
      <c r="J239" s="37">
        <v>5154</v>
      </c>
      <c r="K239" s="37" t="s">
        <v>20</v>
      </c>
      <c r="L239" s="37">
        <v>1</v>
      </c>
      <c r="M239" s="102">
        <v>3039</v>
      </c>
      <c r="N239" s="102">
        <f t="shared" si="22"/>
        <v>3039</v>
      </c>
      <c r="P239" s="37">
        <f t="shared" si="19"/>
        <v>13</v>
      </c>
    </row>
    <row r="240" spans="1:16" hidden="1" x14ac:dyDescent="0.25">
      <c r="A240" s="37" t="s">
        <v>309</v>
      </c>
      <c r="B240" s="104">
        <v>46048</v>
      </c>
      <c r="C240" s="37">
        <f t="shared" si="20"/>
        <v>500</v>
      </c>
      <c r="D240" s="37">
        <f t="shared" si="21"/>
        <v>1</v>
      </c>
      <c r="E240" s="37"/>
      <c r="F240" s="37"/>
      <c r="G240" s="161" t="s">
        <v>68</v>
      </c>
      <c r="H240" s="37" t="s">
        <v>3462</v>
      </c>
      <c r="I240" s="37">
        <v>112121</v>
      </c>
      <c r="J240" s="37">
        <v>131</v>
      </c>
      <c r="K240" s="37" t="s">
        <v>20</v>
      </c>
      <c r="L240" s="37">
        <v>1</v>
      </c>
      <c r="M240" s="102">
        <v>10645161</v>
      </c>
      <c r="N240" s="102">
        <f t="shared" si="22"/>
        <v>10645161</v>
      </c>
      <c r="P240" s="37">
        <f t="shared" si="19"/>
        <v>149</v>
      </c>
    </row>
    <row r="241" spans="1:16" hidden="1" x14ac:dyDescent="0.25">
      <c r="A241" s="37" t="s">
        <v>309</v>
      </c>
      <c r="B241" s="104">
        <v>46050</v>
      </c>
      <c r="C241" s="37">
        <f t="shared" si="20"/>
        <v>501</v>
      </c>
      <c r="D241" s="37">
        <f t="shared" si="21"/>
        <v>1</v>
      </c>
      <c r="E241" s="37"/>
      <c r="F241" s="37"/>
      <c r="G241" s="161" t="s">
        <v>255</v>
      </c>
      <c r="H241" s="37" t="s">
        <v>3461</v>
      </c>
      <c r="I241" s="37">
        <v>112121</v>
      </c>
      <c r="J241" s="37">
        <v>131</v>
      </c>
      <c r="K241" s="37" t="s">
        <v>20</v>
      </c>
      <c r="L241" s="37">
        <v>1</v>
      </c>
      <c r="M241" s="102">
        <v>10645161</v>
      </c>
      <c r="N241" s="102">
        <f t="shared" si="22"/>
        <v>10645161</v>
      </c>
      <c r="P241" s="37">
        <f t="shared" si="19"/>
        <v>101</v>
      </c>
    </row>
    <row r="242" spans="1:16" hidden="1" x14ac:dyDescent="0.25">
      <c r="A242" s="37" t="s">
        <v>309</v>
      </c>
      <c r="B242" s="104">
        <v>46053</v>
      </c>
      <c r="C242" s="37">
        <f t="shared" si="20"/>
        <v>502</v>
      </c>
      <c r="D242" s="37">
        <f t="shared" si="21"/>
        <v>1</v>
      </c>
      <c r="E242" s="37"/>
      <c r="F242" s="37"/>
      <c r="G242" s="161" t="s">
        <v>56</v>
      </c>
      <c r="H242" s="37" t="s">
        <v>3459</v>
      </c>
      <c r="I242" s="37">
        <v>112121</v>
      </c>
      <c r="J242" s="37">
        <v>131</v>
      </c>
      <c r="K242" s="37" t="s">
        <v>20</v>
      </c>
      <c r="L242" s="37">
        <v>1</v>
      </c>
      <c r="M242" s="102">
        <v>10645161</v>
      </c>
      <c r="N242" s="102">
        <f t="shared" si="22"/>
        <v>10645161</v>
      </c>
      <c r="P242" s="37">
        <f t="shared" si="19"/>
        <v>118</v>
      </c>
    </row>
    <row r="243" spans="1:16" hidden="1" x14ac:dyDescent="0.25">
      <c r="A243" s="37" t="s">
        <v>309</v>
      </c>
      <c r="B243" s="104">
        <v>46057</v>
      </c>
      <c r="C243" s="37">
        <f t="shared" si="20"/>
        <v>503</v>
      </c>
      <c r="D243" s="37">
        <f t="shared" si="21"/>
        <v>1</v>
      </c>
      <c r="E243" s="37"/>
      <c r="F243" s="37"/>
      <c r="G243" s="161" t="s">
        <v>56</v>
      </c>
      <c r="H243" s="37" t="s">
        <v>3460</v>
      </c>
      <c r="I243" s="37">
        <v>112121</v>
      </c>
      <c r="J243" s="37">
        <v>131</v>
      </c>
      <c r="K243" s="37" t="s">
        <v>20</v>
      </c>
      <c r="L243" s="37">
        <v>1</v>
      </c>
      <c r="M243" s="102">
        <v>10645161</v>
      </c>
      <c r="N243" s="102">
        <f t="shared" si="22"/>
        <v>10645161</v>
      </c>
      <c r="P243" s="37">
        <f t="shared" si="19"/>
        <v>110</v>
      </c>
    </row>
    <row r="244" spans="1:16" hidden="1" x14ac:dyDescent="0.25">
      <c r="A244" s="37" t="s">
        <v>309</v>
      </c>
      <c r="B244" s="104">
        <v>46058</v>
      </c>
      <c r="C244" s="37">
        <f t="shared" si="20"/>
        <v>504</v>
      </c>
      <c r="D244" s="37">
        <f t="shared" si="21"/>
        <v>1</v>
      </c>
      <c r="E244" s="37"/>
      <c r="F244" s="37"/>
      <c r="G244" s="161" t="s">
        <v>714</v>
      </c>
      <c r="H244" s="37" t="s">
        <v>3467</v>
      </c>
      <c r="I244" s="37">
        <v>112121</v>
      </c>
      <c r="J244" s="37">
        <v>131</v>
      </c>
      <c r="K244" s="37" t="s">
        <v>20</v>
      </c>
      <c r="L244" s="37">
        <v>1</v>
      </c>
      <c r="M244" s="102">
        <v>11000000</v>
      </c>
      <c r="N244" s="102">
        <f t="shared" si="22"/>
        <v>11000000</v>
      </c>
      <c r="P244" s="37">
        <f t="shared" si="19"/>
        <v>153</v>
      </c>
    </row>
    <row r="245" spans="1:16" hidden="1" x14ac:dyDescent="0.25">
      <c r="A245" s="37" t="s">
        <v>309</v>
      </c>
      <c r="B245" s="104">
        <v>46059</v>
      </c>
      <c r="C245" s="37">
        <f t="shared" si="20"/>
        <v>505</v>
      </c>
      <c r="D245" s="37">
        <f t="shared" si="21"/>
        <v>1</v>
      </c>
      <c r="E245" s="37"/>
      <c r="F245" s="37"/>
      <c r="G245" s="161" t="s">
        <v>715</v>
      </c>
      <c r="H245" s="37" t="s">
        <v>3468</v>
      </c>
      <c r="I245" s="37">
        <v>112121</v>
      </c>
      <c r="J245" s="37">
        <v>131</v>
      </c>
      <c r="K245" s="37" t="s">
        <v>20</v>
      </c>
      <c r="L245" s="37">
        <v>1</v>
      </c>
      <c r="M245" s="102">
        <v>11000000</v>
      </c>
      <c r="N245" s="102">
        <f t="shared" si="22"/>
        <v>11000000</v>
      </c>
      <c r="P245" s="37">
        <f t="shared" si="19"/>
        <v>171</v>
      </c>
    </row>
    <row r="246" spans="1:16" hidden="1" x14ac:dyDescent="0.25">
      <c r="A246" s="37" t="s">
        <v>308</v>
      </c>
      <c r="B246" s="104">
        <v>46063</v>
      </c>
      <c r="C246" s="37">
        <f t="shared" si="20"/>
        <v>506</v>
      </c>
      <c r="D246" s="37">
        <f t="shared" si="21"/>
        <v>1</v>
      </c>
      <c r="E246" s="37"/>
      <c r="F246" s="37"/>
      <c r="G246" s="161" t="s">
        <v>103</v>
      </c>
      <c r="H246" s="37" t="s">
        <v>3032</v>
      </c>
      <c r="I246" s="37">
        <v>1111</v>
      </c>
      <c r="J246" s="37">
        <v>112121</v>
      </c>
      <c r="K246" s="37" t="s">
        <v>20</v>
      </c>
      <c r="L246" s="37">
        <v>1</v>
      </c>
      <c r="M246" s="102">
        <v>15000000</v>
      </c>
      <c r="N246" s="102">
        <f t="shared" si="22"/>
        <v>15000000</v>
      </c>
      <c r="P246" s="37">
        <f t="shared" si="19"/>
        <v>40</v>
      </c>
    </row>
    <row r="247" spans="1:16" hidden="1" x14ac:dyDescent="0.25">
      <c r="A247" s="37" t="s">
        <v>308</v>
      </c>
      <c r="B247" s="104">
        <v>46063</v>
      </c>
      <c r="C247" s="37">
        <f t="shared" si="20"/>
        <v>506</v>
      </c>
      <c r="D247" s="37">
        <f t="shared" si="21"/>
        <v>0</v>
      </c>
      <c r="E247" s="37"/>
      <c r="F247" s="37"/>
      <c r="G247" s="161" t="s">
        <v>103</v>
      </c>
      <c r="H247" s="37" t="s">
        <v>3032</v>
      </c>
      <c r="I247" s="37">
        <v>1111</v>
      </c>
      <c r="J247" s="37">
        <v>112121</v>
      </c>
      <c r="K247" s="37" t="s">
        <v>20</v>
      </c>
      <c r="L247" s="37">
        <v>1</v>
      </c>
      <c r="M247" s="102">
        <v>26781710</v>
      </c>
      <c r="N247" s="102">
        <f t="shared" si="22"/>
        <v>26781710</v>
      </c>
      <c r="P247" s="37">
        <f t="shared" si="19"/>
        <v>40</v>
      </c>
    </row>
    <row r="248" spans="1:16" hidden="1" x14ac:dyDescent="0.25">
      <c r="A248" s="37" t="s">
        <v>309</v>
      </c>
      <c r="B248" s="104">
        <v>46065</v>
      </c>
      <c r="C248" s="37">
        <f t="shared" si="20"/>
        <v>507</v>
      </c>
      <c r="D248" s="37">
        <f t="shared" si="21"/>
        <v>1</v>
      </c>
      <c r="E248" s="37"/>
      <c r="F248" s="37"/>
      <c r="G248" s="161" t="s">
        <v>252</v>
      </c>
      <c r="H248" s="37" t="s">
        <v>3469</v>
      </c>
      <c r="I248" s="37">
        <v>112121</v>
      </c>
      <c r="J248" s="37">
        <v>131</v>
      </c>
      <c r="K248" s="37" t="s">
        <v>20</v>
      </c>
      <c r="L248" s="37">
        <v>1</v>
      </c>
      <c r="M248" s="102">
        <v>33000000</v>
      </c>
      <c r="N248" s="102">
        <f t="shared" si="22"/>
        <v>33000000</v>
      </c>
      <c r="P248" s="37">
        <f t="shared" si="19"/>
        <v>187</v>
      </c>
    </row>
    <row r="249" spans="1:16" hidden="1" x14ac:dyDescent="0.25">
      <c r="A249" s="37" t="s">
        <v>308</v>
      </c>
      <c r="B249" s="104">
        <v>46065</v>
      </c>
      <c r="C249" s="37">
        <f t="shared" si="20"/>
        <v>508</v>
      </c>
      <c r="D249" s="37">
        <f t="shared" si="21"/>
        <v>1</v>
      </c>
      <c r="E249" s="37"/>
      <c r="F249" s="37"/>
      <c r="G249" s="161" t="s">
        <v>103</v>
      </c>
      <c r="H249" s="37" t="s">
        <v>3032</v>
      </c>
      <c r="I249" s="37">
        <v>1111</v>
      </c>
      <c r="J249" s="37">
        <v>112121</v>
      </c>
      <c r="K249" s="37" t="s">
        <v>20</v>
      </c>
      <c r="L249" s="37">
        <v>1</v>
      </c>
      <c r="M249" s="102">
        <v>46000000</v>
      </c>
      <c r="N249" s="102">
        <f t="shared" si="22"/>
        <v>46000000</v>
      </c>
      <c r="P249" s="37">
        <f t="shared" si="19"/>
        <v>40</v>
      </c>
    </row>
    <row r="250" spans="1:16" hidden="1" x14ac:dyDescent="0.25">
      <c r="A250" s="37" t="s">
        <v>309</v>
      </c>
      <c r="B250" s="104">
        <v>46066</v>
      </c>
      <c r="C250" s="37">
        <f t="shared" si="20"/>
        <v>509</v>
      </c>
      <c r="D250" s="37">
        <f t="shared" si="21"/>
        <v>1</v>
      </c>
      <c r="E250" s="37"/>
      <c r="F250" s="37"/>
      <c r="G250" s="161" t="s">
        <v>716</v>
      </c>
      <c r="H250" s="37" t="s">
        <v>3470</v>
      </c>
      <c r="I250" s="37">
        <v>112121</v>
      </c>
      <c r="J250" s="37">
        <v>131</v>
      </c>
      <c r="K250" s="37" t="s">
        <v>20</v>
      </c>
      <c r="L250" s="37">
        <v>1</v>
      </c>
      <c r="M250" s="102">
        <v>11000000</v>
      </c>
      <c r="N250" s="102">
        <f t="shared" si="22"/>
        <v>11000000</v>
      </c>
      <c r="P250" s="37">
        <f t="shared" si="19"/>
        <v>175</v>
      </c>
    </row>
    <row r="251" spans="1:16" hidden="1" x14ac:dyDescent="0.25">
      <c r="A251" s="37" t="s">
        <v>309</v>
      </c>
      <c r="B251" s="104">
        <v>46066</v>
      </c>
      <c r="C251" s="37">
        <f t="shared" si="20"/>
        <v>510</v>
      </c>
      <c r="D251" s="37">
        <f t="shared" si="21"/>
        <v>1</v>
      </c>
      <c r="E251" s="37"/>
      <c r="F251" s="37"/>
      <c r="G251" s="161" t="s">
        <v>64</v>
      </c>
      <c r="H251" s="37" t="s">
        <v>3471</v>
      </c>
      <c r="I251" s="37">
        <v>112121</v>
      </c>
      <c r="J251" s="37">
        <v>131</v>
      </c>
      <c r="K251" s="37" t="s">
        <v>20</v>
      </c>
      <c r="L251" s="37">
        <v>1</v>
      </c>
      <c r="M251" s="102">
        <v>9900000</v>
      </c>
      <c r="N251" s="102">
        <f t="shared" si="22"/>
        <v>9900000</v>
      </c>
      <c r="P251" s="37">
        <f t="shared" si="19"/>
        <v>200</v>
      </c>
    </row>
    <row r="252" spans="1:16" hidden="1" x14ac:dyDescent="0.25">
      <c r="A252" s="37" t="s">
        <v>308</v>
      </c>
      <c r="B252" s="104">
        <v>46077</v>
      </c>
      <c r="C252" s="37">
        <f t="shared" si="20"/>
        <v>511</v>
      </c>
      <c r="D252" s="37">
        <f t="shared" si="21"/>
        <v>1</v>
      </c>
      <c r="E252" s="37"/>
      <c r="F252" s="37"/>
      <c r="G252" s="161" t="s">
        <v>103</v>
      </c>
      <c r="H252" s="37" t="s">
        <v>3032</v>
      </c>
      <c r="I252" s="37">
        <v>1111</v>
      </c>
      <c r="J252" s="37">
        <v>112121</v>
      </c>
      <c r="K252" s="37" t="s">
        <v>20</v>
      </c>
      <c r="L252" s="37">
        <v>1</v>
      </c>
      <c r="M252" s="102">
        <v>15000000</v>
      </c>
      <c r="N252" s="102">
        <f t="shared" si="22"/>
        <v>15000000</v>
      </c>
      <c r="P252" s="37">
        <f t="shared" si="19"/>
        <v>40</v>
      </c>
    </row>
    <row r="253" spans="1:16" hidden="1" x14ac:dyDescent="0.25">
      <c r="A253" s="37" t="s">
        <v>309</v>
      </c>
      <c r="B253" s="104">
        <v>46078</v>
      </c>
      <c r="C253" s="37">
        <f t="shared" si="20"/>
        <v>512</v>
      </c>
      <c r="D253" s="37">
        <f t="shared" si="21"/>
        <v>1</v>
      </c>
      <c r="E253" s="37"/>
      <c r="F253" s="37"/>
      <c r="G253" s="161" t="s">
        <v>87</v>
      </c>
      <c r="H253" s="37" t="s">
        <v>3472</v>
      </c>
      <c r="I253" s="37">
        <v>112121</v>
      </c>
      <c r="J253" s="37">
        <v>131</v>
      </c>
      <c r="K253" s="37" t="s">
        <v>20</v>
      </c>
      <c r="L253" s="37">
        <v>1</v>
      </c>
      <c r="M253" s="102">
        <v>10645161</v>
      </c>
      <c r="N253" s="102">
        <f t="shared" si="22"/>
        <v>10645161</v>
      </c>
      <c r="P253" s="37">
        <f t="shared" si="19"/>
        <v>158</v>
      </c>
    </row>
    <row r="254" spans="1:16" hidden="1" x14ac:dyDescent="0.25">
      <c r="A254" s="37" t="s">
        <v>309</v>
      </c>
      <c r="B254" s="104">
        <v>46078</v>
      </c>
      <c r="C254" s="37">
        <f t="shared" si="20"/>
        <v>513</v>
      </c>
      <c r="D254" s="37">
        <f t="shared" si="21"/>
        <v>1</v>
      </c>
      <c r="E254" s="37"/>
      <c r="F254" s="37"/>
      <c r="G254" s="161" t="s">
        <v>249</v>
      </c>
      <c r="H254" s="37" t="s">
        <v>3473</v>
      </c>
      <c r="I254" s="37">
        <v>112121</v>
      </c>
      <c r="J254" s="37">
        <v>131</v>
      </c>
      <c r="K254" s="37" t="s">
        <v>20</v>
      </c>
      <c r="L254" s="37">
        <v>1</v>
      </c>
      <c r="M254" s="102">
        <v>11000000</v>
      </c>
      <c r="N254" s="102">
        <f t="shared" si="22"/>
        <v>11000000</v>
      </c>
      <c r="P254" s="37">
        <f t="shared" si="19"/>
        <v>144</v>
      </c>
    </row>
    <row r="255" spans="1:16" hidden="1" x14ac:dyDescent="0.25">
      <c r="A255" s="37" t="s">
        <v>309</v>
      </c>
      <c r="B255" s="104">
        <v>46079</v>
      </c>
      <c r="C255" s="37">
        <f t="shared" si="20"/>
        <v>514</v>
      </c>
      <c r="D255" s="37">
        <f t="shared" si="21"/>
        <v>1</v>
      </c>
      <c r="E255" s="37"/>
      <c r="F255" s="37"/>
      <c r="G255" s="161" t="s">
        <v>103</v>
      </c>
      <c r="H255" s="37" t="s">
        <v>3250</v>
      </c>
      <c r="I255" s="37">
        <v>112121</v>
      </c>
      <c r="J255" s="37">
        <v>5154</v>
      </c>
      <c r="K255" s="37" t="s">
        <v>20</v>
      </c>
      <c r="L255" s="37">
        <v>1</v>
      </c>
      <c r="M255" s="102">
        <v>14242</v>
      </c>
      <c r="N255" s="102">
        <f t="shared" si="22"/>
        <v>14242</v>
      </c>
      <c r="P255" s="37">
        <f t="shared" si="19"/>
        <v>13</v>
      </c>
    </row>
    <row r="256" spans="1:16" hidden="1" x14ac:dyDescent="0.25">
      <c r="A256" s="37" t="s">
        <v>308</v>
      </c>
      <c r="B256" s="104">
        <v>46083</v>
      </c>
      <c r="C256" s="37">
        <f t="shared" si="20"/>
        <v>515</v>
      </c>
      <c r="D256" s="37">
        <f t="shared" si="21"/>
        <v>1</v>
      </c>
      <c r="E256" s="37"/>
      <c r="F256" s="37"/>
      <c r="G256" s="161" t="s">
        <v>103</v>
      </c>
      <c r="H256" s="37" t="s">
        <v>2612</v>
      </c>
      <c r="I256" s="37">
        <v>3383</v>
      </c>
      <c r="J256" s="37">
        <v>112121</v>
      </c>
      <c r="K256" s="37" t="s">
        <v>20</v>
      </c>
      <c r="L256" s="37">
        <v>1</v>
      </c>
      <c r="M256" s="102">
        <v>8283600</v>
      </c>
      <c r="N256" s="102">
        <f t="shared" si="22"/>
        <v>8283600</v>
      </c>
      <c r="P256" s="37">
        <f t="shared" si="19"/>
        <v>8</v>
      </c>
    </row>
    <row r="257" spans="1:16" hidden="1" x14ac:dyDescent="0.25">
      <c r="A257" s="37" t="s">
        <v>308</v>
      </c>
      <c r="B257" s="104">
        <v>46083</v>
      </c>
      <c r="C257" s="37">
        <f t="shared" si="20"/>
        <v>516</v>
      </c>
      <c r="D257" s="37">
        <f t="shared" si="21"/>
        <v>1</v>
      </c>
      <c r="E257" s="37"/>
      <c r="F257" s="37"/>
      <c r="G257" s="161" t="s">
        <v>103</v>
      </c>
      <c r="H257" s="37" t="s">
        <v>3032</v>
      </c>
      <c r="I257" s="37">
        <v>1111</v>
      </c>
      <c r="J257" s="37">
        <v>112121</v>
      </c>
      <c r="K257" s="37" t="s">
        <v>20</v>
      </c>
      <c r="L257" s="37">
        <v>1</v>
      </c>
      <c r="M257" s="102">
        <v>8000000</v>
      </c>
      <c r="N257" s="102">
        <f t="shared" si="22"/>
        <v>8000000</v>
      </c>
      <c r="P257" s="37">
        <f t="shared" si="19"/>
        <v>40</v>
      </c>
    </row>
    <row r="258" spans="1:16" hidden="1" x14ac:dyDescent="0.25">
      <c r="A258" s="37" t="s">
        <v>309</v>
      </c>
      <c r="B258" s="104">
        <v>46085</v>
      </c>
      <c r="C258" s="37">
        <f t="shared" si="20"/>
        <v>517</v>
      </c>
      <c r="D258" s="37">
        <f t="shared" si="21"/>
        <v>1</v>
      </c>
      <c r="E258" s="37"/>
      <c r="F258" s="37"/>
      <c r="G258" s="161" t="s">
        <v>84</v>
      </c>
      <c r="H258" s="37" t="s">
        <v>3474</v>
      </c>
      <c r="I258" s="37">
        <v>112121</v>
      </c>
      <c r="J258" s="37">
        <v>131</v>
      </c>
      <c r="K258" s="37" t="s">
        <v>20</v>
      </c>
      <c r="L258" s="37">
        <v>1</v>
      </c>
      <c r="M258" s="102">
        <v>21290322</v>
      </c>
      <c r="N258" s="102">
        <f t="shared" si="22"/>
        <v>21290322</v>
      </c>
      <c r="P258" s="37">
        <f t="shared" si="19"/>
        <v>166</v>
      </c>
    </row>
    <row r="259" spans="1:16" hidden="1" x14ac:dyDescent="0.25">
      <c r="A259" s="37" t="s">
        <v>309</v>
      </c>
      <c r="B259" s="104">
        <v>46086</v>
      </c>
      <c r="C259" s="37">
        <f t="shared" si="20"/>
        <v>518</v>
      </c>
      <c r="D259" s="37">
        <f t="shared" si="21"/>
        <v>1</v>
      </c>
      <c r="E259" s="37"/>
      <c r="F259" s="37"/>
      <c r="G259" s="161" t="s">
        <v>255</v>
      </c>
      <c r="H259" s="37" t="s">
        <v>3475</v>
      </c>
      <c r="I259" s="37">
        <v>112121</v>
      </c>
      <c r="J259" s="37">
        <v>131</v>
      </c>
      <c r="K259" s="37" t="s">
        <v>20</v>
      </c>
      <c r="L259" s="37">
        <v>1</v>
      </c>
      <c r="M259" s="102">
        <v>33000000</v>
      </c>
      <c r="N259" s="102">
        <f t="shared" si="22"/>
        <v>33000000</v>
      </c>
      <c r="P259" s="37">
        <f t="shared" si="19"/>
        <v>101</v>
      </c>
    </row>
    <row r="260" spans="1:16" hidden="1" x14ac:dyDescent="0.25">
      <c r="A260" s="37" t="s">
        <v>308</v>
      </c>
      <c r="B260" s="104">
        <v>46087</v>
      </c>
      <c r="C260" s="37">
        <f t="shared" si="20"/>
        <v>519</v>
      </c>
      <c r="D260" s="37">
        <f t="shared" si="21"/>
        <v>1</v>
      </c>
      <c r="E260" s="37"/>
      <c r="F260" s="37"/>
      <c r="G260" s="161" t="s">
        <v>103</v>
      </c>
      <c r="H260" s="37" t="s">
        <v>3032</v>
      </c>
      <c r="I260" s="37">
        <v>1111</v>
      </c>
      <c r="J260" s="37">
        <v>112121</v>
      </c>
      <c r="K260" s="37" t="s">
        <v>20</v>
      </c>
      <c r="L260" s="37">
        <v>1</v>
      </c>
      <c r="M260" s="102">
        <v>85000000</v>
      </c>
      <c r="N260" s="102">
        <f t="shared" si="22"/>
        <v>85000000</v>
      </c>
      <c r="P260" s="37">
        <f t="shared" si="19"/>
        <v>40</v>
      </c>
    </row>
    <row r="261" spans="1:16" hidden="1" x14ac:dyDescent="0.25">
      <c r="A261" s="37" t="s">
        <v>309</v>
      </c>
      <c r="B261" s="104">
        <v>46090</v>
      </c>
      <c r="C261" s="37">
        <f t="shared" si="20"/>
        <v>520</v>
      </c>
      <c r="D261" s="37">
        <f t="shared" si="21"/>
        <v>1</v>
      </c>
      <c r="E261" s="37"/>
      <c r="F261" s="37"/>
      <c r="G261" s="161" t="s">
        <v>53</v>
      </c>
      <c r="H261" s="37" t="s">
        <v>3476</v>
      </c>
      <c r="I261" s="37">
        <v>112121</v>
      </c>
      <c r="J261" s="37">
        <v>131</v>
      </c>
      <c r="K261" s="37" t="s">
        <v>20</v>
      </c>
      <c r="L261" s="37">
        <v>1</v>
      </c>
      <c r="M261" s="102">
        <v>13200000</v>
      </c>
      <c r="N261" s="102">
        <f t="shared" si="22"/>
        <v>13200000</v>
      </c>
      <c r="P261" s="37">
        <f t="shared" ref="P261:P271" si="23">LEN(H261)</f>
        <v>168</v>
      </c>
    </row>
    <row r="262" spans="1:16" hidden="1" x14ac:dyDescent="0.25">
      <c r="A262" s="37" t="s">
        <v>308</v>
      </c>
      <c r="B262" s="104">
        <v>46091</v>
      </c>
      <c r="C262" s="37">
        <f t="shared" si="20"/>
        <v>521</v>
      </c>
      <c r="D262" s="37">
        <f t="shared" si="21"/>
        <v>1</v>
      </c>
      <c r="E262" s="37"/>
      <c r="F262" s="37"/>
      <c r="G262" s="161" t="s">
        <v>103</v>
      </c>
      <c r="H262" s="37" t="s">
        <v>3032</v>
      </c>
      <c r="I262" s="37">
        <v>1111</v>
      </c>
      <c r="J262" s="37">
        <v>112121</v>
      </c>
      <c r="K262" s="37" t="s">
        <v>20</v>
      </c>
      <c r="L262" s="37">
        <v>1</v>
      </c>
      <c r="M262" s="102">
        <v>10000000</v>
      </c>
      <c r="N262" s="102">
        <f t="shared" si="22"/>
        <v>10000000</v>
      </c>
      <c r="P262" s="37">
        <f t="shared" si="23"/>
        <v>40</v>
      </c>
    </row>
    <row r="263" spans="1:16" hidden="1" x14ac:dyDescent="0.25">
      <c r="A263" s="37" t="s">
        <v>309</v>
      </c>
      <c r="B263" s="104">
        <v>46094</v>
      </c>
      <c r="C263" s="37">
        <f t="shared" si="20"/>
        <v>522</v>
      </c>
      <c r="D263" s="37">
        <f t="shared" si="21"/>
        <v>1</v>
      </c>
      <c r="E263" s="37"/>
      <c r="F263" s="37"/>
      <c r="G263" s="161" t="s">
        <v>667</v>
      </c>
      <c r="H263" s="37" t="s">
        <v>3477</v>
      </c>
      <c r="I263" s="37">
        <v>112121</v>
      </c>
      <c r="J263" s="37">
        <v>131</v>
      </c>
      <c r="K263" s="37" t="s">
        <v>20</v>
      </c>
      <c r="L263" s="37">
        <v>1</v>
      </c>
      <c r="M263" s="102">
        <v>5500000</v>
      </c>
      <c r="N263" s="102">
        <f t="shared" si="22"/>
        <v>5500000</v>
      </c>
      <c r="P263" s="37">
        <f t="shared" si="23"/>
        <v>97</v>
      </c>
    </row>
    <row r="264" spans="1:16" hidden="1" x14ac:dyDescent="0.25">
      <c r="A264" s="37" t="s">
        <v>309</v>
      </c>
      <c r="B264" s="104">
        <v>46100</v>
      </c>
      <c r="C264" s="37">
        <f t="shared" si="20"/>
        <v>523</v>
      </c>
      <c r="D264" s="37">
        <f t="shared" si="21"/>
        <v>1</v>
      </c>
      <c r="E264" s="37"/>
      <c r="F264" s="37"/>
      <c r="G264" s="161" t="s">
        <v>717</v>
      </c>
      <c r="H264" s="37" t="s">
        <v>3478</v>
      </c>
      <c r="I264" s="37">
        <v>112121</v>
      </c>
      <c r="J264" s="37">
        <v>131</v>
      </c>
      <c r="K264" s="37" t="s">
        <v>20</v>
      </c>
      <c r="L264" s="37">
        <v>1</v>
      </c>
      <c r="M264" s="102">
        <v>55000000</v>
      </c>
      <c r="N264" s="102">
        <f t="shared" si="22"/>
        <v>55000000</v>
      </c>
      <c r="P264" s="37">
        <f t="shared" si="23"/>
        <v>119</v>
      </c>
    </row>
    <row r="265" spans="1:16" hidden="1" x14ac:dyDescent="0.25">
      <c r="A265" s="37" t="s">
        <v>308</v>
      </c>
      <c r="B265" s="104">
        <v>46104</v>
      </c>
      <c r="C265" s="37">
        <f t="shared" si="20"/>
        <v>524</v>
      </c>
      <c r="D265" s="37">
        <f t="shared" si="21"/>
        <v>1</v>
      </c>
      <c r="E265" s="37"/>
      <c r="F265" s="37"/>
      <c r="G265" s="161" t="s">
        <v>103</v>
      </c>
      <c r="H265" s="37" t="s">
        <v>3032</v>
      </c>
      <c r="I265" s="37">
        <v>1111</v>
      </c>
      <c r="J265" s="37">
        <v>112121</v>
      </c>
      <c r="K265" s="37" t="s">
        <v>20</v>
      </c>
      <c r="L265" s="37">
        <v>1</v>
      </c>
      <c r="M265" s="102">
        <v>65000000</v>
      </c>
      <c r="N265" s="102">
        <f t="shared" si="22"/>
        <v>65000000</v>
      </c>
      <c r="P265" s="37">
        <f t="shared" si="23"/>
        <v>40</v>
      </c>
    </row>
    <row r="266" spans="1:16" hidden="1" x14ac:dyDescent="0.25">
      <c r="A266" s="37" t="s">
        <v>309</v>
      </c>
      <c r="B266" s="104">
        <v>46107</v>
      </c>
      <c r="C266" s="37">
        <f t="shared" si="20"/>
        <v>525</v>
      </c>
      <c r="D266" s="37">
        <f t="shared" si="21"/>
        <v>1</v>
      </c>
      <c r="E266" s="37"/>
      <c r="F266" s="37"/>
      <c r="G266" s="161" t="s">
        <v>103</v>
      </c>
      <c r="H266" s="37" t="s">
        <v>3250</v>
      </c>
      <c r="I266" s="37">
        <v>112121</v>
      </c>
      <c r="J266" s="37">
        <v>5154</v>
      </c>
      <c r="K266" s="37" t="s">
        <v>20</v>
      </c>
      <c r="L266" s="37">
        <v>1</v>
      </c>
      <c r="M266" s="102">
        <v>9550</v>
      </c>
      <c r="N266" s="102">
        <f t="shared" si="22"/>
        <v>9550</v>
      </c>
      <c r="P266" s="37">
        <f t="shared" si="23"/>
        <v>13</v>
      </c>
    </row>
    <row r="267" spans="1:16" hidden="1" x14ac:dyDescent="0.25">
      <c r="A267" s="37" t="s">
        <v>309</v>
      </c>
      <c r="B267" s="104">
        <v>46108</v>
      </c>
      <c r="C267" s="37">
        <f t="shared" si="20"/>
        <v>526</v>
      </c>
      <c r="D267" s="37">
        <f t="shared" si="21"/>
        <v>1</v>
      </c>
      <c r="E267" s="37"/>
      <c r="F267" s="37"/>
      <c r="G267" s="161" t="s">
        <v>3483</v>
      </c>
      <c r="H267" s="37" t="s">
        <v>3484</v>
      </c>
      <c r="I267" s="37">
        <v>112121</v>
      </c>
      <c r="J267" s="37">
        <v>131</v>
      </c>
      <c r="K267" s="37" t="s">
        <v>20</v>
      </c>
      <c r="L267" s="37">
        <v>1</v>
      </c>
      <c r="M267" s="102">
        <v>12500000</v>
      </c>
      <c r="N267" s="102">
        <f t="shared" si="22"/>
        <v>12500000</v>
      </c>
      <c r="P267" s="37">
        <f t="shared" si="23"/>
        <v>48</v>
      </c>
    </row>
    <row r="268" spans="1:16" hidden="1" x14ac:dyDescent="0.25">
      <c r="A268" s="37" t="s">
        <v>309</v>
      </c>
      <c r="B268" s="104">
        <v>46111</v>
      </c>
      <c r="C268" s="37">
        <f t="shared" si="20"/>
        <v>527</v>
      </c>
      <c r="D268" s="37">
        <f t="shared" si="21"/>
        <v>1</v>
      </c>
      <c r="E268" s="37"/>
      <c r="F268" s="37"/>
      <c r="G268" s="161" t="s">
        <v>68</v>
      </c>
      <c r="H268" s="37" t="s">
        <v>3479</v>
      </c>
      <c r="I268" s="37">
        <v>112121</v>
      </c>
      <c r="J268" s="37">
        <v>131</v>
      </c>
      <c r="K268" s="37" t="s">
        <v>20</v>
      </c>
      <c r="L268" s="37">
        <v>1</v>
      </c>
      <c r="M268" s="102">
        <v>11000000</v>
      </c>
      <c r="N268" s="102">
        <f t="shared" si="22"/>
        <v>11000000</v>
      </c>
      <c r="P268" s="37">
        <f t="shared" si="23"/>
        <v>150</v>
      </c>
    </row>
    <row r="269" spans="1:16" hidden="1" x14ac:dyDescent="0.25">
      <c r="A269" s="37" t="s">
        <v>309</v>
      </c>
      <c r="B269" s="104">
        <v>46111</v>
      </c>
      <c r="C269" s="37">
        <f t="shared" si="20"/>
        <v>528</v>
      </c>
      <c r="D269" s="37">
        <f t="shared" si="21"/>
        <v>1</v>
      </c>
      <c r="E269" s="37"/>
      <c r="F269" s="37"/>
      <c r="G269" s="161" t="s">
        <v>67</v>
      </c>
      <c r="H269" s="37" t="s">
        <v>3480</v>
      </c>
      <c r="I269" s="37">
        <v>112121</v>
      </c>
      <c r="J269" s="37">
        <v>131</v>
      </c>
      <c r="K269" s="37" t="s">
        <v>20</v>
      </c>
      <c r="L269" s="37">
        <v>1</v>
      </c>
      <c r="M269" s="102">
        <v>13200000</v>
      </c>
      <c r="N269" s="102">
        <f t="shared" si="22"/>
        <v>13200000</v>
      </c>
      <c r="P269" s="37">
        <f t="shared" si="23"/>
        <v>129</v>
      </c>
    </row>
    <row r="270" spans="1:16" hidden="1" x14ac:dyDescent="0.25">
      <c r="A270" s="37" t="s">
        <v>309</v>
      </c>
      <c r="B270" s="104">
        <v>46112</v>
      </c>
      <c r="C270" s="37">
        <f t="shared" si="20"/>
        <v>529</v>
      </c>
      <c r="D270" s="37">
        <f t="shared" si="21"/>
        <v>1</v>
      </c>
      <c r="E270" s="37"/>
      <c r="F270" s="37"/>
      <c r="G270" s="161" t="s">
        <v>72</v>
      </c>
      <c r="H270" s="37" t="s">
        <v>3481</v>
      </c>
      <c r="I270" s="37">
        <v>112121</v>
      </c>
      <c r="J270" s="37">
        <v>131</v>
      </c>
      <c r="K270" s="37" t="s">
        <v>20</v>
      </c>
      <c r="L270" s="37">
        <v>1</v>
      </c>
      <c r="M270" s="102">
        <v>11000000</v>
      </c>
      <c r="N270" s="102">
        <f t="shared" si="22"/>
        <v>11000000</v>
      </c>
      <c r="P270" s="37">
        <f t="shared" si="23"/>
        <v>146</v>
      </c>
    </row>
    <row r="271" spans="1:16" hidden="1" x14ac:dyDescent="0.25">
      <c r="A271" s="37" t="s">
        <v>309</v>
      </c>
      <c r="B271" s="104">
        <v>46086</v>
      </c>
      <c r="C271" s="37">
        <f t="shared" si="20"/>
        <v>530</v>
      </c>
      <c r="D271" s="37">
        <f t="shared" si="21"/>
        <v>1</v>
      </c>
      <c r="E271" s="37"/>
      <c r="F271" s="37"/>
      <c r="G271" s="161" t="s">
        <v>68</v>
      </c>
      <c r="H271" s="37" t="s">
        <v>3482</v>
      </c>
      <c r="I271" s="37">
        <v>112121</v>
      </c>
      <c r="J271" s="37">
        <v>131</v>
      </c>
      <c r="K271" s="37" t="s">
        <v>20</v>
      </c>
      <c r="L271" s="37">
        <v>1</v>
      </c>
      <c r="M271" s="102">
        <v>11000000</v>
      </c>
      <c r="N271" s="102">
        <f t="shared" si="22"/>
        <v>11000000</v>
      </c>
      <c r="P271" s="37">
        <f t="shared" si="23"/>
        <v>148</v>
      </c>
    </row>
  </sheetData>
  <autoFilter ref="A3:P271" xr:uid="{00000000-0009-0000-0000-000004000000}">
    <filterColumn colId="8">
      <filters>
        <filter val="333821"/>
      </filters>
    </filterColumn>
    <filterColumn colId="9">
      <filters>
        <filter val="131"/>
      </filters>
    </filterColumn>
    <sortState xmlns:xlrd2="http://schemas.microsoft.com/office/spreadsheetml/2017/richdata2" ref="A4:P170">
      <sortCondition ref="A4:A170"/>
      <sortCondition ref="B4:B170"/>
      <sortCondition ref="H4:H170"/>
    </sortState>
  </autoFilter>
  <mergeCells count="13">
    <mergeCell ref="F1:F2"/>
    <mergeCell ref="A1:A2"/>
    <mergeCell ref="B1:B2"/>
    <mergeCell ref="C1:C2"/>
    <mergeCell ref="D1:D2"/>
    <mergeCell ref="E1:E2"/>
    <mergeCell ref="N1:N2"/>
    <mergeCell ref="G1:G2"/>
    <mergeCell ref="H1:H2"/>
    <mergeCell ref="I1:J1"/>
    <mergeCell ref="K1:K2"/>
    <mergeCell ref="L1:L2"/>
    <mergeCell ref="M1:M2"/>
  </mergeCells>
  <hyperlinks>
    <hyperlink ref="P1" location="Summary!A1" display="Back to summary" xr:uid="{00000000-0004-0000-0400-000000000000}"/>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tabColor rgb="FF92D050"/>
  </sheetPr>
  <dimension ref="A1:AA255"/>
  <sheetViews>
    <sheetView workbookViewId="0">
      <selection activeCell="M191" sqref="M191:M250"/>
    </sheetView>
  </sheetViews>
  <sheetFormatPr defaultRowHeight="15" x14ac:dyDescent="0.25"/>
  <cols>
    <col min="2" max="2" width="10.7109375" style="85" bestFit="1" customWidth="1"/>
    <col min="7" max="7" width="9.5703125" style="60" bestFit="1" customWidth="1"/>
    <col min="8" max="8" width="44" customWidth="1"/>
    <col min="13" max="14" width="13.28515625" style="80" bestFit="1" customWidth="1"/>
    <col min="17" max="17" width="14.28515625" bestFit="1" customWidth="1"/>
    <col min="18" max="18" width="9.140625" style="60"/>
    <col min="19" max="19" width="14.85546875" style="60" bestFit="1" customWidth="1"/>
    <col min="20" max="20" width="12.7109375" style="60" bestFit="1" customWidth="1"/>
    <col min="21" max="21" width="14.28515625" style="60" bestFit="1" customWidth="1"/>
    <col min="22" max="22" width="12.5703125" style="60" bestFit="1" customWidth="1"/>
    <col min="23" max="27" width="9.140625" style="60"/>
  </cols>
  <sheetData>
    <row r="1" spans="1:22" ht="15" customHeight="1" thickBot="1" x14ac:dyDescent="0.3">
      <c r="A1" s="194" t="s">
        <v>0</v>
      </c>
      <c r="B1" s="196" t="s">
        <v>1</v>
      </c>
      <c r="C1" s="194" t="s">
        <v>2</v>
      </c>
      <c r="D1" s="192" t="s">
        <v>3</v>
      </c>
      <c r="E1" s="192" t="s">
        <v>4</v>
      </c>
      <c r="F1" s="192" t="s">
        <v>257</v>
      </c>
      <c r="G1" s="201" t="s">
        <v>6</v>
      </c>
      <c r="H1" s="203" t="s">
        <v>7</v>
      </c>
      <c r="I1" s="205" t="s">
        <v>8</v>
      </c>
      <c r="J1" s="206"/>
      <c r="K1" s="194" t="s">
        <v>9</v>
      </c>
      <c r="L1" s="194" t="s">
        <v>10</v>
      </c>
      <c r="M1" s="199" t="s">
        <v>76</v>
      </c>
      <c r="N1" s="199" t="s">
        <v>77</v>
      </c>
      <c r="O1" s="39" t="s">
        <v>78</v>
      </c>
      <c r="P1" s="146" t="s">
        <v>356</v>
      </c>
    </row>
    <row r="2" spans="1:22" ht="15" customHeight="1" thickBot="1" x14ac:dyDescent="0.3">
      <c r="A2" s="195"/>
      <c r="B2" s="197"/>
      <c r="C2" s="195"/>
      <c r="D2" s="198"/>
      <c r="E2" s="198"/>
      <c r="F2" s="193"/>
      <c r="G2" s="202"/>
      <c r="H2" s="204"/>
      <c r="I2" s="40" t="s">
        <v>13</v>
      </c>
      <c r="J2" s="41" t="s">
        <v>14</v>
      </c>
      <c r="K2" s="195"/>
      <c r="L2" s="195"/>
      <c r="M2" s="200"/>
      <c r="N2" s="200"/>
      <c r="O2" s="37" t="s">
        <v>78</v>
      </c>
      <c r="P2" s="37"/>
    </row>
    <row r="3" spans="1:22" ht="15" customHeight="1" x14ac:dyDescent="0.25">
      <c r="A3" s="42"/>
      <c r="B3" s="66"/>
      <c r="C3" s="42">
        <v>294</v>
      </c>
      <c r="D3" s="42"/>
      <c r="E3" s="43"/>
      <c r="F3" s="43"/>
      <c r="G3" s="58" t="s">
        <v>15</v>
      </c>
      <c r="H3" s="44"/>
      <c r="I3" s="44"/>
      <c r="J3" s="44"/>
      <c r="K3" s="42"/>
      <c r="L3" s="42"/>
      <c r="M3" s="64"/>
      <c r="N3" s="64"/>
      <c r="O3" s="37" t="s">
        <v>16</v>
      </c>
      <c r="P3" s="37" t="s">
        <v>17</v>
      </c>
      <c r="T3" s="86"/>
      <c r="U3" s="86"/>
    </row>
    <row r="4" spans="1:22" ht="15" hidden="1" customHeight="1" x14ac:dyDescent="0.25">
      <c r="A4" s="20" t="s">
        <v>309</v>
      </c>
      <c r="B4" s="61">
        <v>46030</v>
      </c>
      <c r="C4" s="106">
        <f t="shared" ref="C4:C67" si="0">C3+D4</f>
        <v>295</v>
      </c>
      <c r="D4" s="20">
        <f t="shared" ref="D4:D67" si="1">IF(H4=H3,0,1)</f>
        <v>1</v>
      </c>
      <c r="E4" s="20"/>
      <c r="F4" s="20"/>
      <c r="G4" s="32" t="s">
        <v>44</v>
      </c>
      <c r="H4" s="20" t="s">
        <v>4491</v>
      </c>
      <c r="I4" s="20">
        <v>112111</v>
      </c>
      <c r="J4" s="20">
        <v>131</v>
      </c>
      <c r="K4" s="20" t="s">
        <v>20</v>
      </c>
      <c r="L4" s="20">
        <v>1</v>
      </c>
      <c r="M4" s="34">
        <v>19286</v>
      </c>
      <c r="N4" s="34">
        <f t="shared" ref="N4:N67" si="2">L4*M4</f>
        <v>19286</v>
      </c>
      <c r="O4" s="20"/>
      <c r="P4" s="20">
        <f t="shared" ref="P4:P67" si="3">LEN(H4)</f>
        <v>41</v>
      </c>
      <c r="Q4" s="142"/>
      <c r="T4" s="86"/>
      <c r="U4" s="86"/>
      <c r="V4" s="86"/>
    </row>
    <row r="5" spans="1:22" ht="15" hidden="1" customHeight="1" x14ac:dyDescent="0.25">
      <c r="A5" s="20" t="s">
        <v>309</v>
      </c>
      <c r="B5" s="61">
        <v>46037</v>
      </c>
      <c r="C5" s="106">
        <f t="shared" si="0"/>
        <v>296</v>
      </c>
      <c r="D5" s="20">
        <f t="shared" si="1"/>
        <v>1</v>
      </c>
      <c r="E5" s="20"/>
      <c r="F5" s="20"/>
      <c r="G5" s="32" t="s">
        <v>249</v>
      </c>
      <c r="H5" s="20" t="s">
        <v>4726</v>
      </c>
      <c r="I5" s="20">
        <v>112121</v>
      </c>
      <c r="J5" s="20">
        <v>131</v>
      </c>
      <c r="K5" s="20" t="s">
        <v>20</v>
      </c>
      <c r="L5" s="20">
        <v>1</v>
      </c>
      <c r="M5" s="34">
        <v>47903226</v>
      </c>
      <c r="N5" s="34">
        <f t="shared" si="2"/>
        <v>47903226</v>
      </c>
      <c r="O5" s="20"/>
      <c r="P5" s="20">
        <f t="shared" si="3"/>
        <v>119</v>
      </c>
      <c r="Q5" s="142"/>
      <c r="T5" s="86"/>
      <c r="U5" s="86"/>
      <c r="V5" s="86"/>
    </row>
    <row r="6" spans="1:22" ht="15" hidden="1" customHeight="1" x14ac:dyDescent="0.25">
      <c r="A6" s="20" t="s">
        <v>309</v>
      </c>
      <c r="B6" s="61">
        <v>46041</v>
      </c>
      <c r="C6" s="106">
        <f t="shared" si="0"/>
        <v>297</v>
      </c>
      <c r="D6" s="20">
        <f t="shared" si="1"/>
        <v>1</v>
      </c>
      <c r="E6" s="20"/>
      <c r="F6" s="20"/>
      <c r="G6" s="32" t="s">
        <v>53</v>
      </c>
      <c r="H6" s="20" t="s">
        <v>4727</v>
      </c>
      <c r="I6" s="20">
        <v>112121</v>
      </c>
      <c r="J6" s="20">
        <v>131</v>
      </c>
      <c r="K6" s="20" t="s">
        <v>20</v>
      </c>
      <c r="L6" s="20">
        <v>1</v>
      </c>
      <c r="M6" s="34">
        <v>34596774</v>
      </c>
      <c r="N6" s="34">
        <f t="shared" si="2"/>
        <v>34596774</v>
      </c>
      <c r="O6" s="20"/>
      <c r="P6" s="20">
        <f t="shared" si="3"/>
        <v>123</v>
      </c>
      <c r="Q6" s="142"/>
      <c r="T6" s="86"/>
      <c r="U6" s="86"/>
      <c r="V6" s="86"/>
    </row>
    <row r="7" spans="1:22" ht="15" hidden="1" customHeight="1" x14ac:dyDescent="0.25">
      <c r="A7" s="20" t="s">
        <v>309</v>
      </c>
      <c r="B7" s="61">
        <v>46041</v>
      </c>
      <c r="C7" s="106">
        <f t="shared" si="0"/>
        <v>298</v>
      </c>
      <c r="D7" s="20">
        <f t="shared" si="1"/>
        <v>1</v>
      </c>
      <c r="E7" s="20"/>
      <c r="F7" s="20"/>
      <c r="G7" s="32" t="s">
        <v>53</v>
      </c>
      <c r="H7" s="20" t="s">
        <v>4728</v>
      </c>
      <c r="I7" s="20">
        <v>112121</v>
      </c>
      <c r="J7" s="20">
        <v>131</v>
      </c>
      <c r="K7" s="20" t="s">
        <v>20</v>
      </c>
      <c r="L7" s="20">
        <v>1</v>
      </c>
      <c r="M7" s="34">
        <v>150000000</v>
      </c>
      <c r="N7" s="34">
        <f t="shared" si="2"/>
        <v>150000000</v>
      </c>
      <c r="O7" s="20"/>
      <c r="P7" s="20">
        <f t="shared" si="3"/>
        <v>101</v>
      </c>
      <c r="Q7" s="142"/>
      <c r="T7" s="86"/>
      <c r="U7" s="86"/>
      <c r="V7" s="86"/>
    </row>
    <row r="8" spans="1:22" ht="15" hidden="1" customHeight="1" x14ac:dyDescent="0.25">
      <c r="A8" s="20" t="s">
        <v>309</v>
      </c>
      <c r="B8" s="61">
        <v>46042</v>
      </c>
      <c r="C8" s="106">
        <f t="shared" si="0"/>
        <v>299</v>
      </c>
      <c r="D8" s="20">
        <f t="shared" si="1"/>
        <v>1</v>
      </c>
      <c r="E8" s="20"/>
      <c r="F8" s="20"/>
      <c r="G8" s="32" t="s">
        <v>251</v>
      </c>
      <c r="H8" s="20" t="s">
        <v>4729</v>
      </c>
      <c r="I8" s="20">
        <v>112121</v>
      </c>
      <c r="J8" s="20">
        <v>131</v>
      </c>
      <c r="K8" s="20" t="s">
        <v>20</v>
      </c>
      <c r="L8" s="20">
        <v>1</v>
      </c>
      <c r="M8" s="34">
        <v>58010000</v>
      </c>
      <c r="N8" s="34">
        <f t="shared" si="2"/>
        <v>58010000</v>
      </c>
      <c r="O8" s="20"/>
      <c r="P8" s="20">
        <f t="shared" si="3"/>
        <v>105</v>
      </c>
      <c r="Q8" s="142"/>
      <c r="T8" s="86"/>
      <c r="U8" s="86"/>
      <c r="V8" s="86"/>
    </row>
    <row r="9" spans="1:22" ht="15" hidden="1" customHeight="1" x14ac:dyDescent="0.25">
      <c r="A9" s="20" t="s">
        <v>309</v>
      </c>
      <c r="B9" s="61">
        <v>46049</v>
      </c>
      <c r="C9" s="106">
        <f t="shared" si="0"/>
        <v>300</v>
      </c>
      <c r="D9" s="20">
        <f t="shared" si="1"/>
        <v>1</v>
      </c>
      <c r="E9" s="20"/>
      <c r="F9" s="20"/>
      <c r="G9" s="32" t="s">
        <v>149</v>
      </c>
      <c r="H9" s="20" t="s">
        <v>3561</v>
      </c>
      <c r="I9" s="20">
        <v>112111</v>
      </c>
      <c r="J9" s="20">
        <v>5154</v>
      </c>
      <c r="K9" s="20" t="s">
        <v>20</v>
      </c>
      <c r="L9" s="20">
        <v>1</v>
      </c>
      <c r="M9" s="34">
        <v>1618</v>
      </c>
      <c r="N9" s="34">
        <f t="shared" si="2"/>
        <v>1618</v>
      </c>
      <c r="O9" s="20"/>
      <c r="P9" s="20">
        <f t="shared" si="3"/>
        <v>22</v>
      </c>
      <c r="Q9" s="142"/>
      <c r="T9" s="86"/>
      <c r="U9" s="86"/>
      <c r="V9" s="86"/>
    </row>
    <row r="10" spans="1:22" ht="15" hidden="1" customHeight="1" x14ac:dyDescent="0.25">
      <c r="A10" s="20" t="s">
        <v>309</v>
      </c>
      <c r="B10" s="61">
        <v>46056</v>
      </c>
      <c r="C10" s="106">
        <f t="shared" si="0"/>
        <v>301</v>
      </c>
      <c r="D10" s="20">
        <f t="shared" si="1"/>
        <v>1</v>
      </c>
      <c r="E10" s="20"/>
      <c r="F10" s="20"/>
      <c r="G10" s="32" t="s">
        <v>768</v>
      </c>
      <c r="H10" s="20" t="s">
        <v>4734</v>
      </c>
      <c r="I10" s="20">
        <v>112121</v>
      </c>
      <c r="J10" s="20">
        <v>131</v>
      </c>
      <c r="K10" s="20" t="s">
        <v>20</v>
      </c>
      <c r="L10" s="20">
        <v>1</v>
      </c>
      <c r="M10" s="34">
        <v>63870968</v>
      </c>
      <c r="N10" s="34">
        <f t="shared" si="2"/>
        <v>63870968</v>
      </c>
      <c r="O10" s="20"/>
      <c r="P10" s="20">
        <f t="shared" si="3"/>
        <v>115</v>
      </c>
      <c r="Q10" s="142"/>
      <c r="T10" s="86"/>
      <c r="U10" s="86"/>
      <c r="V10" s="86"/>
    </row>
    <row r="11" spans="1:22" ht="15" hidden="1" customHeight="1" x14ac:dyDescent="0.25">
      <c r="A11" s="20" t="s">
        <v>309</v>
      </c>
      <c r="B11" s="61">
        <v>46056</v>
      </c>
      <c r="C11" s="106">
        <f t="shared" si="0"/>
        <v>302</v>
      </c>
      <c r="D11" s="20">
        <f t="shared" si="1"/>
        <v>1</v>
      </c>
      <c r="E11" s="20"/>
      <c r="F11" s="20"/>
      <c r="G11" s="32" t="s">
        <v>39</v>
      </c>
      <c r="H11" s="20" t="s">
        <v>4725</v>
      </c>
      <c r="I11" s="20">
        <v>112111</v>
      </c>
      <c r="J11" s="20">
        <v>3388</v>
      </c>
      <c r="K11" s="20" t="s">
        <v>20</v>
      </c>
      <c r="L11" s="20">
        <v>1</v>
      </c>
      <c r="M11" s="34">
        <v>47903226</v>
      </c>
      <c r="N11" s="34">
        <f t="shared" si="2"/>
        <v>47903226</v>
      </c>
      <c r="O11" s="20"/>
      <c r="P11" s="20">
        <f t="shared" si="3"/>
        <v>27</v>
      </c>
      <c r="Q11" s="142"/>
      <c r="T11" s="86"/>
      <c r="U11" s="86"/>
      <c r="V11" s="86"/>
    </row>
    <row r="12" spans="1:22" ht="15" hidden="1" customHeight="1" x14ac:dyDescent="0.25">
      <c r="A12" s="20" t="s">
        <v>309</v>
      </c>
      <c r="B12" s="61">
        <v>46058</v>
      </c>
      <c r="C12" s="106">
        <f t="shared" si="0"/>
        <v>303</v>
      </c>
      <c r="D12" s="20">
        <f t="shared" si="1"/>
        <v>1</v>
      </c>
      <c r="E12" s="20"/>
      <c r="F12" s="20"/>
      <c r="G12" s="32" t="s">
        <v>73</v>
      </c>
      <c r="H12" s="20" t="s">
        <v>4735</v>
      </c>
      <c r="I12" s="20">
        <v>112121</v>
      </c>
      <c r="J12" s="20">
        <v>131</v>
      </c>
      <c r="K12" s="20" t="s">
        <v>20</v>
      </c>
      <c r="L12" s="20">
        <v>1</v>
      </c>
      <c r="M12" s="34">
        <v>39000000</v>
      </c>
      <c r="N12" s="34">
        <f t="shared" si="2"/>
        <v>39000000</v>
      </c>
      <c r="O12" s="20"/>
      <c r="P12" s="20">
        <f t="shared" si="3"/>
        <v>149</v>
      </c>
      <c r="Q12" s="142"/>
      <c r="T12" s="86"/>
      <c r="U12" s="86"/>
      <c r="V12" s="86"/>
    </row>
    <row r="13" spans="1:22" ht="15" hidden="1" customHeight="1" x14ac:dyDescent="0.25">
      <c r="A13" s="20" t="s">
        <v>309</v>
      </c>
      <c r="B13" s="61">
        <v>46058</v>
      </c>
      <c r="C13" s="106">
        <f t="shared" si="0"/>
        <v>304</v>
      </c>
      <c r="D13" s="20">
        <f t="shared" si="1"/>
        <v>1</v>
      </c>
      <c r="E13" s="20"/>
      <c r="F13" s="20"/>
      <c r="G13" s="32" t="s">
        <v>44</v>
      </c>
      <c r="H13" s="20" t="s">
        <v>4491</v>
      </c>
      <c r="I13" s="20">
        <v>112111</v>
      </c>
      <c r="J13" s="20">
        <v>131</v>
      </c>
      <c r="K13" s="20" t="s">
        <v>20</v>
      </c>
      <c r="L13" s="20">
        <v>1</v>
      </c>
      <c r="M13" s="34">
        <v>24591</v>
      </c>
      <c r="N13" s="34">
        <f t="shared" si="2"/>
        <v>24591</v>
      </c>
      <c r="O13" s="20"/>
      <c r="P13" s="20">
        <f t="shared" si="3"/>
        <v>41</v>
      </c>
      <c r="Q13" s="142"/>
      <c r="T13" s="86"/>
      <c r="U13" s="86"/>
      <c r="V13" s="86"/>
    </row>
    <row r="14" spans="1:22" ht="15" hidden="1" customHeight="1" x14ac:dyDescent="0.25">
      <c r="A14" s="20" t="s">
        <v>309</v>
      </c>
      <c r="B14" s="61">
        <v>46059</v>
      </c>
      <c r="C14" s="106">
        <f t="shared" si="0"/>
        <v>305</v>
      </c>
      <c r="D14" s="20">
        <f t="shared" si="1"/>
        <v>1</v>
      </c>
      <c r="E14" s="20"/>
      <c r="F14" s="20"/>
      <c r="G14" s="32" t="s">
        <v>767</v>
      </c>
      <c r="H14" s="20" t="s">
        <v>4736</v>
      </c>
      <c r="I14" s="20">
        <v>112121</v>
      </c>
      <c r="J14" s="20">
        <v>131</v>
      </c>
      <c r="K14" s="20" t="s">
        <v>20</v>
      </c>
      <c r="L14" s="20">
        <v>1</v>
      </c>
      <c r="M14" s="34">
        <v>47903226</v>
      </c>
      <c r="N14" s="34">
        <f t="shared" si="2"/>
        <v>47903226</v>
      </c>
      <c r="O14" s="20"/>
      <c r="P14" s="20">
        <f t="shared" si="3"/>
        <v>178</v>
      </c>
      <c r="Q14" s="142"/>
      <c r="T14" s="86"/>
      <c r="U14" s="86"/>
      <c r="V14" s="86"/>
    </row>
    <row r="15" spans="1:22" ht="15" hidden="1" customHeight="1" x14ac:dyDescent="0.25">
      <c r="A15" s="20" t="s">
        <v>309</v>
      </c>
      <c r="B15" s="61">
        <v>46063</v>
      </c>
      <c r="C15" s="106">
        <f t="shared" si="0"/>
        <v>306</v>
      </c>
      <c r="D15" s="20">
        <f t="shared" si="1"/>
        <v>1</v>
      </c>
      <c r="E15" s="20"/>
      <c r="F15" s="20"/>
      <c r="G15" s="32" t="s">
        <v>44</v>
      </c>
      <c r="H15" s="20" t="s">
        <v>4491</v>
      </c>
      <c r="I15" s="20">
        <v>112111</v>
      </c>
      <c r="J15" s="20">
        <v>131</v>
      </c>
      <c r="K15" s="20" t="s">
        <v>20</v>
      </c>
      <c r="L15" s="20">
        <v>1</v>
      </c>
      <c r="M15" s="34">
        <v>11306</v>
      </c>
      <c r="N15" s="34">
        <f t="shared" si="2"/>
        <v>11306</v>
      </c>
      <c r="O15" s="20"/>
      <c r="P15" s="20">
        <f t="shared" si="3"/>
        <v>41</v>
      </c>
      <c r="Q15" s="142"/>
      <c r="T15" s="86"/>
      <c r="U15" s="86"/>
      <c r="V15" s="86"/>
    </row>
    <row r="16" spans="1:22" ht="15" hidden="1" customHeight="1" x14ac:dyDescent="0.25">
      <c r="A16" s="20" t="s">
        <v>309</v>
      </c>
      <c r="B16" s="61">
        <v>46064</v>
      </c>
      <c r="C16" s="106">
        <f t="shared" si="0"/>
        <v>307</v>
      </c>
      <c r="D16" s="20">
        <f t="shared" si="1"/>
        <v>1</v>
      </c>
      <c r="E16" s="20"/>
      <c r="F16" s="20"/>
      <c r="G16" s="32" t="s">
        <v>43</v>
      </c>
      <c r="H16" s="20" t="s">
        <v>4737</v>
      </c>
      <c r="I16" s="20">
        <v>112121</v>
      </c>
      <c r="J16" s="20">
        <v>131</v>
      </c>
      <c r="K16" s="20" t="s">
        <v>20</v>
      </c>
      <c r="L16" s="20">
        <v>1</v>
      </c>
      <c r="M16" s="34">
        <v>16500000</v>
      </c>
      <c r="N16" s="34">
        <f t="shared" si="2"/>
        <v>16500000</v>
      </c>
      <c r="O16" s="20"/>
      <c r="P16" s="20">
        <f t="shared" si="3"/>
        <v>177</v>
      </c>
      <c r="Q16" s="142"/>
      <c r="T16" s="86"/>
      <c r="U16" s="86"/>
      <c r="V16" s="86"/>
    </row>
    <row r="17" spans="1:22" ht="15" hidden="1" customHeight="1" x14ac:dyDescent="0.25">
      <c r="A17" s="20" t="s">
        <v>309</v>
      </c>
      <c r="B17" s="61">
        <v>46065</v>
      </c>
      <c r="C17" s="106">
        <f t="shared" si="0"/>
        <v>308</v>
      </c>
      <c r="D17" s="20">
        <f t="shared" si="1"/>
        <v>1</v>
      </c>
      <c r="E17" s="20"/>
      <c r="F17" s="20"/>
      <c r="G17" s="32" t="s">
        <v>251</v>
      </c>
      <c r="H17" s="20" t="s">
        <v>4738</v>
      </c>
      <c r="I17" s="20">
        <v>112121</v>
      </c>
      <c r="J17" s="20">
        <v>131</v>
      </c>
      <c r="K17" s="20" t="s">
        <v>20</v>
      </c>
      <c r="L17" s="20">
        <v>1</v>
      </c>
      <c r="M17" s="34">
        <v>22322000</v>
      </c>
      <c r="N17" s="34">
        <f t="shared" si="2"/>
        <v>22322000</v>
      </c>
      <c r="O17" s="20"/>
      <c r="P17" s="20">
        <f t="shared" si="3"/>
        <v>106</v>
      </c>
      <c r="Q17" s="142"/>
      <c r="T17" s="86"/>
      <c r="U17" s="86"/>
      <c r="V17" s="86"/>
    </row>
    <row r="18" spans="1:22" ht="15" hidden="1" customHeight="1" x14ac:dyDescent="0.25">
      <c r="A18" s="20" t="s">
        <v>309</v>
      </c>
      <c r="B18" s="61">
        <v>46066</v>
      </c>
      <c r="C18" s="106">
        <f t="shared" si="0"/>
        <v>309</v>
      </c>
      <c r="D18" s="20">
        <f t="shared" si="1"/>
        <v>1</v>
      </c>
      <c r="E18" s="20"/>
      <c r="F18" s="20"/>
      <c r="G18" s="32" t="s">
        <v>252</v>
      </c>
      <c r="H18" s="20" t="s">
        <v>4739</v>
      </c>
      <c r="I18" s="20">
        <v>112121</v>
      </c>
      <c r="J18" s="20">
        <v>131</v>
      </c>
      <c r="K18" s="20" t="s">
        <v>20</v>
      </c>
      <c r="L18" s="20">
        <v>1</v>
      </c>
      <c r="M18" s="34">
        <v>48184258</v>
      </c>
      <c r="N18" s="34">
        <f t="shared" si="2"/>
        <v>48184258</v>
      </c>
      <c r="O18" s="20"/>
      <c r="P18" s="20">
        <f t="shared" si="3"/>
        <v>202</v>
      </c>
      <c r="Q18" s="142"/>
      <c r="T18" s="86"/>
      <c r="U18" s="86"/>
      <c r="V18" s="86"/>
    </row>
    <row r="19" spans="1:22" ht="15" hidden="1" customHeight="1" x14ac:dyDescent="0.25">
      <c r="A19" s="20" t="s">
        <v>309</v>
      </c>
      <c r="B19" s="61">
        <v>46066</v>
      </c>
      <c r="C19" s="106">
        <f t="shared" si="0"/>
        <v>310</v>
      </c>
      <c r="D19" s="20">
        <f t="shared" si="1"/>
        <v>1</v>
      </c>
      <c r="E19" s="20"/>
      <c r="F19" s="20"/>
      <c r="G19" s="32" t="s">
        <v>39</v>
      </c>
      <c r="H19" s="20" t="s">
        <v>4725</v>
      </c>
      <c r="I19" s="20">
        <v>112121</v>
      </c>
      <c r="J19" s="20">
        <v>3388</v>
      </c>
      <c r="K19" s="20" t="s">
        <v>20</v>
      </c>
      <c r="L19" s="20">
        <v>1</v>
      </c>
      <c r="M19" s="34">
        <v>63870968</v>
      </c>
      <c r="N19" s="34">
        <f t="shared" si="2"/>
        <v>63870968</v>
      </c>
      <c r="O19" s="20"/>
      <c r="P19" s="20">
        <f t="shared" si="3"/>
        <v>27</v>
      </c>
      <c r="Q19" s="142"/>
      <c r="T19" s="86"/>
      <c r="U19" s="86"/>
      <c r="V19" s="86"/>
    </row>
    <row r="20" spans="1:22" ht="15" hidden="1" customHeight="1" x14ac:dyDescent="0.25">
      <c r="A20" s="20" t="s">
        <v>309</v>
      </c>
      <c r="B20" s="61">
        <v>46077</v>
      </c>
      <c r="C20" s="106">
        <f t="shared" si="0"/>
        <v>311</v>
      </c>
      <c r="D20" s="20">
        <f t="shared" si="1"/>
        <v>1</v>
      </c>
      <c r="E20" s="20"/>
      <c r="F20" s="20"/>
      <c r="G20" s="32" t="s">
        <v>716</v>
      </c>
      <c r="H20" s="20" t="s">
        <v>4741</v>
      </c>
      <c r="I20" s="20">
        <v>112121</v>
      </c>
      <c r="J20" s="20">
        <v>131</v>
      </c>
      <c r="K20" s="20" t="s">
        <v>20</v>
      </c>
      <c r="L20" s="20">
        <v>1</v>
      </c>
      <c r="M20" s="34">
        <v>31935484</v>
      </c>
      <c r="N20" s="34">
        <f t="shared" si="2"/>
        <v>31935484</v>
      </c>
      <c r="O20" s="20"/>
      <c r="P20" s="20">
        <f t="shared" si="3"/>
        <v>139</v>
      </c>
      <c r="Q20" s="142"/>
      <c r="T20" s="86"/>
      <c r="U20" s="86"/>
      <c r="V20" s="86"/>
    </row>
    <row r="21" spans="1:22" ht="15" hidden="1" customHeight="1" x14ac:dyDescent="0.25">
      <c r="A21" s="20" t="s">
        <v>309</v>
      </c>
      <c r="B21" s="61">
        <v>46077</v>
      </c>
      <c r="C21" s="106">
        <f t="shared" si="0"/>
        <v>312</v>
      </c>
      <c r="D21" s="20">
        <f t="shared" si="1"/>
        <v>1</v>
      </c>
      <c r="E21" s="20"/>
      <c r="F21" s="20"/>
      <c r="G21" s="32" t="s">
        <v>44</v>
      </c>
      <c r="H21" s="20" t="s">
        <v>4491</v>
      </c>
      <c r="I21" s="20">
        <v>112111</v>
      </c>
      <c r="J21" s="20">
        <v>131</v>
      </c>
      <c r="K21" s="20" t="s">
        <v>20</v>
      </c>
      <c r="L21" s="20">
        <v>1</v>
      </c>
      <c r="M21" s="34">
        <v>13136</v>
      </c>
      <c r="N21" s="34">
        <f t="shared" si="2"/>
        <v>13136</v>
      </c>
      <c r="O21" s="20"/>
      <c r="P21" s="20">
        <f t="shared" si="3"/>
        <v>41</v>
      </c>
      <c r="Q21" s="142"/>
      <c r="T21" s="86"/>
      <c r="U21" s="86"/>
      <c r="V21" s="86"/>
    </row>
    <row r="22" spans="1:22" ht="15" hidden="1" customHeight="1" x14ac:dyDescent="0.25">
      <c r="A22" s="20" t="s">
        <v>309</v>
      </c>
      <c r="B22" s="61">
        <v>46080</v>
      </c>
      <c r="C22" s="106">
        <f t="shared" si="0"/>
        <v>313</v>
      </c>
      <c r="D22" s="20">
        <f t="shared" si="1"/>
        <v>1</v>
      </c>
      <c r="E22" s="20"/>
      <c r="F22" s="20"/>
      <c r="G22" s="32" t="s">
        <v>149</v>
      </c>
      <c r="H22" s="20" t="s">
        <v>3561</v>
      </c>
      <c r="I22" s="20">
        <v>112111</v>
      </c>
      <c r="J22" s="20">
        <v>5154</v>
      </c>
      <c r="K22" s="20" t="s">
        <v>20</v>
      </c>
      <c r="L22" s="20">
        <v>1</v>
      </c>
      <c r="M22" s="34">
        <v>24</v>
      </c>
      <c r="N22" s="34">
        <f t="shared" si="2"/>
        <v>24</v>
      </c>
      <c r="O22" s="20"/>
      <c r="P22" s="20">
        <f t="shared" si="3"/>
        <v>22</v>
      </c>
      <c r="Q22" s="142"/>
      <c r="T22" s="86"/>
      <c r="U22" s="86"/>
      <c r="V22" s="86"/>
    </row>
    <row r="23" spans="1:22" ht="15" hidden="1" customHeight="1" x14ac:dyDescent="0.25">
      <c r="A23" s="20" t="s">
        <v>309</v>
      </c>
      <c r="B23" s="61">
        <v>46080</v>
      </c>
      <c r="C23" s="106">
        <f t="shared" si="0"/>
        <v>314</v>
      </c>
      <c r="D23" s="20">
        <f t="shared" si="1"/>
        <v>1</v>
      </c>
      <c r="E23" s="20"/>
      <c r="F23" s="20"/>
      <c r="G23" s="32" t="s">
        <v>769</v>
      </c>
      <c r="H23" s="20" t="s">
        <v>4742</v>
      </c>
      <c r="I23" s="20">
        <v>112121</v>
      </c>
      <c r="J23" s="20">
        <v>131</v>
      </c>
      <c r="K23" s="20" t="s">
        <v>20</v>
      </c>
      <c r="L23" s="20">
        <v>1</v>
      </c>
      <c r="M23" s="34">
        <v>63870968</v>
      </c>
      <c r="N23" s="34">
        <f t="shared" si="2"/>
        <v>63870968</v>
      </c>
      <c r="O23" s="20"/>
      <c r="P23" s="20">
        <f t="shared" si="3"/>
        <v>140</v>
      </c>
      <c r="Q23" s="142"/>
      <c r="T23" s="86"/>
      <c r="U23" s="86"/>
      <c r="V23" s="86"/>
    </row>
    <row r="24" spans="1:22" ht="15" hidden="1" customHeight="1" x14ac:dyDescent="0.25">
      <c r="A24" s="20" t="s">
        <v>309</v>
      </c>
      <c r="B24" s="61">
        <v>46090</v>
      </c>
      <c r="C24" s="106">
        <f t="shared" si="0"/>
        <v>315</v>
      </c>
      <c r="D24" s="20">
        <f t="shared" si="1"/>
        <v>1</v>
      </c>
      <c r="E24" s="20"/>
      <c r="F24" s="20"/>
      <c r="G24" s="32" t="s">
        <v>73</v>
      </c>
      <c r="H24" s="20" t="s">
        <v>4747</v>
      </c>
      <c r="I24" s="20">
        <v>112121</v>
      </c>
      <c r="J24" s="20">
        <v>131</v>
      </c>
      <c r="K24" s="20" t="s">
        <v>20</v>
      </c>
      <c r="L24" s="20">
        <v>1</v>
      </c>
      <c r="M24" s="34">
        <v>11000000</v>
      </c>
      <c r="N24" s="34">
        <f t="shared" si="2"/>
        <v>11000000</v>
      </c>
      <c r="O24" s="20"/>
      <c r="P24" s="20">
        <f t="shared" si="3"/>
        <v>150</v>
      </c>
      <c r="Q24" s="142"/>
      <c r="T24" s="86"/>
      <c r="U24" s="86"/>
      <c r="V24" s="86"/>
    </row>
    <row r="25" spans="1:22" ht="15" hidden="1" customHeight="1" x14ac:dyDescent="0.25">
      <c r="A25" s="20" t="s">
        <v>309</v>
      </c>
      <c r="B25" s="61">
        <v>46091</v>
      </c>
      <c r="C25" s="106">
        <f t="shared" si="0"/>
        <v>316</v>
      </c>
      <c r="D25" s="20">
        <f t="shared" si="1"/>
        <v>1</v>
      </c>
      <c r="E25" s="20"/>
      <c r="F25" s="20"/>
      <c r="G25" s="32" t="s">
        <v>44</v>
      </c>
      <c r="H25" s="20" t="s">
        <v>4491</v>
      </c>
      <c r="I25" s="20">
        <v>112111</v>
      </c>
      <c r="J25" s="20">
        <v>131</v>
      </c>
      <c r="K25" s="20" t="s">
        <v>20</v>
      </c>
      <c r="L25" s="20">
        <v>1</v>
      </c>
      <c r="M25" s="34">
        <v>19199</v>
      </c>
      <c r="N25" s="34">
        <f t="shared" si="2"/>
        <v>19199</v>
      </c>
      <c r="O25" s="20"/>
      <c r="P25" s="20">
        <f t="shared" si="3"/>
        <v>41</v>
      </c>
      <c r="Q25" s="142"/>
      <c r="T25" s="86"/>
      <c r="U25" s="86"/>
      <c r="V25" s="86"/>
    </row>
    <row r="26" spans="1:22" ht="15" hidden="1" customHeight="1" x14ac:dyDescent="0.25">
      <c r="A26" s="20" t="s">
        <v>309</v>
      </c>
      <c r="B26" s="61">
        <v>46092</v>
      </c>
      <c r="C26" s="106">
        <f t="shared" si="0"/>
        <v>317</v>
      </c>
      <c r="D26" s="20">
        <f t="shared" si="1"/>
        <v>1</v>
      </c>
      <c r="E26" s="20"/>
      <c r="F26" s="20"/>
      <c r="G26" s="32" t="s">
        <v>250</v>
      </c>
      <c r="H26" s="20" t="s">
        <v>4748</v>
      </c>
      <c r="I26" s="20">
        <v>112121</v>
      </c>
      <c r="J26" s="20">
        <v>131</v>
      </c>
      <c r="K26" s="20" t="s">
        <v>20</v>
      </c>
      <c r="L26" s="20">
        <v>1</v>
      </c>
      <c r="M26" s="34">
        <v>51533226</v>
      </c>
      <c r="N26" s="34">
        <f t="shared" si="2"/>
        <v>51533226</v>
      </c>
      <c r="O26" s="20"/>
      <c r="P26" s="20">
        <f t="shared" si="3"/>
        <v>188</v>
      </c>
      <c r="Q26" s="142"/>
      <c r="T26" s="86"/>
      <c r="U26" s="86"/>
      <c r="V26" s="86"/>
    </row>
    <row r="27" spans="1:22" ht="15" hidden="1" customHeight="1" x14ac:dyDescent="0.25">
      <c r="A27" s="20" t="s">
        <v>309</v>
      </c>
      <c r="B27" s="61">
        <v>46093</v>
      </c>
      <c r="C27" s="106">
        <f t="shared" si="0"/>
        <v>318</v>
      </c>
      <c r="D27" s="20">
        <f t="shared" si="1"/>
        <v>1</v>
      </c>
      <c r="E27" s="20"/>
      <c r="F27" s="20"/>
      <c r="G27" s="32" t="s">
        <v>44</v>
      </c>
      <c r="H27" s="20" t="s">
        <v>4491</v>
      </c>
      <c r="I27" s="20">
        <v>112111</v>
      </c>
      <c r="J27" s="20">
        <v>131</v>
      </c>
      <c r="K27" s="20" t="s">
        <v>20</v>
      </c>
      <c r="L27" s="20">
        <v>1</v>
      </c>
      <c r="M27" s="34">
        <v>53633</v>
      </c>
      <c r="N27" s="34">
        <f t="shared" si="2"/>
        <v>53633</v>
      </c>
      <c r="O27" s="20"/>
      <c r="P27" s="20">
        <f t="shared" si="3"/>
        <v>41</v>
      </c>
      <c r="Q27" s="142"/>
      <c r="T27" s="86"/>
      <c r="U27" s="86"/>
      <c r="V27" s="86"/>
    </row>
    <row r="28" spans="1:22" ht="15" hidden="1" customHeight="1" x14ac:dyDescent="0.25">
      <c r="A28" s="20" t="s">
        <v>309</v>
      </c>
      <c r="B28" s="61">
        <v>46094</v>
      </c>
      <c r="C28" s="106">
        <f t="shared" si="0"/>
        <v>319</v>
      </c>
      <c r="D28" s="20">
        <f t="shared" si="1"/>
        <v>1</v>
      </c>
      <c r="E28" s="20"/>
      <c r="F28" s="20"/>
      <c r="G28" s="32" t="s">
        <v>770</v>
      </c>
      <c r="H28" s="20" t="s">
        <v>4749</v>
      </c>
      <c r="I28" s="20">
        <v>112121</v>
      </c>
      <c r="J28" s="20">
        <v>131</v>
      </c>
      <c r="K28" s="20" t="s">
        <v>20</v>
      </c>
      <c r="L28" s="20">
        <v>1</v>
      </c>
      <c r="M28" s="34">
        <v>100000000</v>
      </c>
      <c r="N28" s="34">
        <f t="shared" si="2"/>
        <v>100000000</v>
      </c>
      <c r="O28" s="20"/>
      <c r="P28" s="20">
        <f t="shared" si="3"/>
        <v>122</v>
      </c>
      <c r="Q28" s="142"/>
      <c r="T28" s="86"/>
      <c r="U28" s="86"/>
      <c r="V28" s="86"/>
    </row>
    <row r="29" spans="1:22" ht="15" hidden="1" customHeight="1" x14ac:dyDescent="0.25">
      <c r="A29" s="20" t="s">
        <v>309</v>
      </c>
      <c r="B29" s="61">
        <v>46099</v>
      </c>
      <c r="C29" s="106">
        <f t="shared" si="0"/>
        <v>319</v>
      </c>
      <c r="D29" s="20">
        <f t="shared" si="1"/>
        <v>0</v>
      </c>
      <c r="E29" s="20"/>
      <c r="F29" s="20"/>
      <c r="G29" s="32" t="s">
        <v>770</v>
      </c>
      <c r="H29" s="20" t="s">
        <v>4749</v>
      </c>
      <c r="I29" s="20">
        <v>112121</v>
      </c>
      <c r="J29" s="20">
        <v>131</v>
      </c>
      <c r="K29" s="20" t="s">
        <v>20</v>
      </c>
      <c r="L29" s="20">
        <v>1</v>
      </c>
      <c r="M29" s="34">
        <v>100000000</v>
      </c>
      <c r="N29" s="34">
        <f t="shared" si="2"/>
        <v>100000000</v>
      </c>
      <c r="O29" s="20"/>
      <c r="P29" s="20">
        <f t="shared" si="3"/>
        <v>122</v>
      </c>
      <c r="Q29" s="142"/>
      <c r="T29" s="86"/>
      <c r="U29" s="86"/>
      <c r="V29" s="86"/>
    </row>
    <row r="30" spans="1:22" ht="15" hidden="1" customHeight="1" x14ac:dyDescent="0.25">
      <c r="A30" s="20" t="s">
        <v>309</v>
      </c>
      <c r="B30" s="61">
        <v>46100</v>
      </c>
      <c r="C30" s="106">
        <f t="shared" si="0"/>
        <v>320</v>
      </c>
      <c r="D30" s="20">
        <f t="shared" si="1"/>
        <v>1</v>
      </c>
      <c r="E30" s="20"/>
      <c r="F30" s="20"/>
      <c r="G30" s="32" t="s">
        <v>39</v>
      </c>
      <c r="H30" s="20" t="s">
        <v>3484</v>
      </c>
      <c r="I30" s="20">
        <v>112111</v>
      </c>
      <c r="J30" s="20">
        <v>131</v>
      </c>
      <c r="K30" s="20" t="s">
        <v>20</v>
      </c>
      <c r="L30" s="20">
        <v>1</v>
      </c>
      <c r="M30" s="34">
        <v>10000000</v>
      </c>
      <c r="N30" s="34">
        <f t="shared" si="2"/>
        <v>10000000</v>
      </c>
      <c r="O30" s="20"/>
      <c r="P30" s="20">
        <f t="shared" si="3"/>
        <v>48</v>
      </c>
      <c r="Q30" s="142"/>
      <c r="T30" s="86"/>
      <c r="U30" s="86"/>
      <c r="V30" s="86"/>
    </row>
    <row r="31" spans="1:22" ht="15" hidden="1" customHeight="1" x14ac:dyDescent="0.25">
      <c r="A31" s="20" t="s">
        <v>309</v>
      </c>
      <c r="B31" s="61">
        <v>46101</v>
      </c>
      <c r="C31" s="106">
        <f t="shared" si="0"/>
        <v>321</v>
      </c>
      <c r="D31" s="20">
        <f t="shared" si="1"/>
        <v>1</v>
      </c>
      <c r="E31" s="20"/>
      <c r="F31" s="20"/>
      <c r="G31" s="32" t="s">
        <v>251</v>
      </c>
      <c r="H31" s="20" t="s">
        <v>4750</v>
      </c>
      <c r="I31" s="20">
        <v>112121</v>
      </c>
      <c r="J31" s="20">
        <v>131</v>
      </c>
      <c r="K31" s="20" t="s">
        <v>20</v>
      </c>
      <c r="L31" s="20">
        <v>1</v>
      </c>
      <c r="M31" s="34">
        <v>20516000</v>
      </c>
      <c r="N31" s="34">
        <f t="shared" si="2"/>
        <v>20516000</v>
      </c>
      <c r="O31" s="20"/>
      <c r="P31" s="20">
        <f t="shared" si="3"/>
        <v>106</v>
      </c>
      <c r="Q31" s="142"/>
      <c r="T31" s="86"/>
      <c r="U31" s="86"/>
      <c r="V31" s="86"/>
    </row>
    <row r="32" spans="1:22" ht="15" hidden="1" customHeight="1" x14ac:dyDescent="0.25">
      <c r="A32" s="20" t="s">
        <v>309</v>
      </c>
      <c r="B32" s="61">
        <v>46104</v>
      </c>
      <c r="C32" s="106">
        <f t="shared" si="0"/>
        <v>322</v>
      </c>
      <c r="D32" s="20">
        <f t="shared" si="1"/>
        <v>1</v>
      </c>
      <c r="E32" s="20"/>
      <c r="F32" s="20"/>
      <c r="G32" s="32" t="s">
        <v>53</v>
      </c>
      <c r="H32" s="20" t="s">
        <v>4752</v>
      </c>
      <c r="I32" s="20">
        <v>112121</v>
      </c>
      <c r="J32" s="20">
        <v>131</v>
      </c>
      <c r="K32" s="20" t="s">
        <v>20</v>
      </c>
      <c r="L32" s="20">
        <v>1</v>
      </c>
      <c r="M32" s="34">
        <v>34596774</v>
      </c>
      <c r="N32" s="34">
        <f t="shared" si="2"/>
        <v>34596774</v>
      </c>
      <c r="O32" s="20"/>
      <c r="P32" s="20">
        <f t="shared" si="3"/>
        <v>166</v>
      </c>
      <c r="Q32" s="142"/>
      <c r="T32" s="86"/>
      <c r="U32" s="86"/>
      <c r="V32" s="86"/>
    </row>
    <row r="33" spans="1:22" ht="15" hidden="1" customHeight="1" x14ac:dyDescent="0.25">
      <c r="A33" s="20" t="s">
        <v>309</v>
      </c>
      <c r="B33" s="61">
        <v>46104</v>
      </c>
      <c r="C33" s="106">
        <f t="shared" si="0"/>
        <v>323</v>
      </c>
      <c r="D33" s="20">
        <f t="shared" si="1"/>
        <v>1</v>
      </c>
      <c r="E33" s="20"/>
      <c r="F33" s="20"/>
      <c r="G33" s="32" t="s">
        <v>252</v>
      </c>
      <c r="H33" s="20" t="s">
        <v>4753</v>
      </c>
      <c r="I33" s="20">
        <v>112121</v>
      </c>
      <c r="J33" s="20">
        <v>131</v>
      </c>
      <c r="K33" s="20" t="s">
        <v>20</v>
      </c>
      <c r="L33" s="20">
        <v>1</v>
      </c>
      <c r="M33" s="34">
        <v>25813196</v>
      </c>
      <c r="N33" s="34">
        <f t="shared" si="2"/>
        <v>25813196</v>
      </c>
      <c r="O33" s="20"/>
      <c r="P33" s="20">
        <f t="shared" si="3"/>
        <v>201</v>
      </c>
      <c r="Q33" s="142"/>
      <c r="T33" s="86"/>
      <c r="U33" s="86"/>
      <c r="V33" s="86"/>
    </row>
    <row r="34" spans="1:22" ht="15" hidden="1" customHeight="1" x14ac:dyDescent="0.25">
      <c r="A34" s="20" t="s">
        <v>309</v>
      </c>
      <c r="B34" s="61">
        <v>46108</v>
      </c>
      <c r="C34" s="106">
        <f t="shared" si="0"/>
        <v>324</v>
      </c>
      <c r="D34" s="20">
        <f t="shared" si="1"/>
        <v>1</v>
      </c>
      <c r="E34" s="20"/>
      <c r="F34" s="20"/>
      <c r="G34" s="32" t="s">
        <v>149</v>
      </c>
      <c r="H34" s="20" t="s">
        <v>3561</v>
      </c>
      <c r="I34" s="20">
        <v>112111</v>
      </c>
      <c r="J34" s="20">
        <v>5154</v>
      </c>
      <c r="K34" s="20" t="s">
        <v>20</v>
      </c>
      <c r="L34" s="20">
        <v>1</v>
      </c>
      <c r="M34" s="34">
        <v>13</v>
      </c>
      <c r="N34" s="34">
        <f t="shared" si="2"/>
        <v>13</v>
      </c>
      <c r="O34" s="20"/>
      <c r="P34" s="20">
        <f t="shared" si="3"/>
        <v>22</v>
      </c>
      <c r="Q34" s="142"/>
      <c r="T34" s="86"/>
      <c r="U34" s="86"/>
      <c r="V34" s="86"/>
    </row>
    <row r="35" spans="1:22" ht="15" hidden="1" customHeight="1" x14ac:dyDescent="0.25">
      <c r="A35" s="20" t="s">
        <v>309</v>
      </c>
      <c r="B35" s="61">
        <v>46112</v>
      </c>
      <c r="C35" s="106">
        <f t="shared" si="0"/>
        <v>325</v>
      </c>
      <c r="D35" s="20">
        <f t="shared" si="1"/>
        <v>1</v>
      </c>
      <c r="E35" s="20"/>
      <c r="F35" s="20"/>
      <c r="G35" s="32" t="s">
        <v>44</v>
      </c>
      <c r="H35" s="20" t="s">
        <v>4491</v>
      </c>
      <c r="I35" s="20">
        <v>112111</v>
      </c>
      <c r="J35" s="20">
        <v>131</v>
      </c>
      <c r="K35" s="20" t="s">
        <v>20</v>
      </c>
      <c r="L35" s="20">
        <v>1</v>
      </c>
      <c r="M35" s="34">
        <v>17385</v>
      </c>
      <c r="N35" s="34">
        <f t="shared" si="2"/>
        <v>17385</v>
      </c>
      <c r="O35" s="20"/>
      <c r="P35" s="20">
        <f t="shared" si="3"/>
        <v>41</v>
      </c>
      <c r="Q35" s="142"/>
      <c r="T35" s="86"/>
      <c r="U35" s="86"/>
      <c r="V35" s="86"/>
    </row>
    <row r="36" spans="1:22" ht="15" hidden="1" customHeight="1" x14ac:dyDescent="0.25">
      <c r="A36" s="20" t="s">
        <v>308</v>
      </c>
      <c r="B36" s="61">
        <v>46036</v>
      </c>
      <c r="C36" s="106">
        <f t="shared" si="0"/>
        <v>326</v>
      </c>
      <c r="D36" s="20">
        <f t="shared" si="1"/>
        <v>1</v>
      </c>
      <c r="E36" s="20"/>
      <c r="F36" s="20"/>
      <c r="G36" s="32" t="s">
        <v>149</v>
      </c>
      <c r="H36" s="20" t="s">
        <v>3032</v>
      </c>
      <c r="I36" s="20">
        <v>1111</v>
      </c>
      <c r="J36" s="20">
        <v>112111</v>
      </c>
      <c r="K36" s="20" t="s">
        <v>20</v>
      </c>
      <c r="L36" s="20">
        <v>1</v>
      </c>
      <c r="M36" s="34">
        <v>20000000</v>
      </c>
      <c r="N36" s="34">
        <f t="shared" si="2"/>
        <v>20000000</v>
      </c>
      <c r="O36" s="20"/>
      <c r="P36" s="20">
        <f t="shared" si="3"/>
        <v>40</v>
      </c>
      <c r="Q36" s="142"/>
      <c r="T36" s="86"/>
      <c r="U36" s="86"/>
      <c r="V36" s="86"/>
    </row>
    <row r="37" spans="1:22" ht="15" hidden="1" customHeight="1" x14ac:dyDescent="0.25">
      <c r="A37" s="20" t="s">
        <v>308</v>
      </c>
      <c r="B37" s="61">
        <v>46039</v>
      </c>
      <c r="C37" s="106">
        <f t="shared" si="0"/>
        <v>326</v>
      </c>
      <c r="D37" s="20">
        <f t="shared" si="1"/>
        <v>0</v>
      </c>
      <c r="E37" s="20"/>
      <c r="F37" s="20"/>
      <c r="G37" s="32" t="s">
        <v>149</v>
      </c>
      <c r="H37" s="20" t="s">
        <v>3032</v>
      </c>
      <c r="I37" s="20">
        <v>1111</v>
      </c>
      <c r="J37" s="20">
        <v>112111</v>
      </c>
      <c r="K37" s="20" t="s">
        <v>20</v>
      </c>
      <c r="L37" s="20">
        <v>1</v>
      </c>
      <c r="M37" s="34">
        <v>20000000</v>
      </c>
      <c r="N37" s="34">
        <f t="shared" si="2"/>
        <v>20000000</v>
      </c>
      <c r="O37" s="20"/>
      <c r="P37" s="20">
        <f t="shared" si="3"/>
        <v>40</v>
      </c>
      <c r="Q37" s="142"/>
      <c r="T37" s="86"/>
      <c r="U37" s="86"/>
      <c r="V37" s="86"/>
    </row>
    <row r="38" spans="1:22" ht="15" hidden="1" customHeight="1" x14ac:dyDescent="0.25">
      <c r="A38" s="20" t="s">
        <v>308</v>
      </c>
      <c r="B38" s="61">
        <v>46042</v>
      </c>
      <c r="C38" s="106">
        <f t="shared" si="0"/>
        <v>326</v>
      </c>
      <c r="D38" s="20">
        <f t="shared" si="1"/>
        <v>0</v>
      </c>
      <c r="E38" s="20"/>
      <c r="F38" s="20"/>
      <c r="G38" s="32" t="s">
        <v>149</v>
      </c>
      <c r="H38" s="20" t="s">
        <v>3032</v>
      </c>
      <c r="I38" s="20">
        <v>1111</v>
      </c>
      <c r="J38" s="20">
        <v>112111</v>
      </c>
      <c r="K38" s="20" t="s">
        <v>20</v>
      </c>
      <c r="L38" s="20">
        <v>1</v>
      </c>
      <c r="M38" s="34">
        <v>20000000</v>
      </c>
      <c r="N38" s="34">
        <f t="shared" si="2"/>
        <v>20000000</v>
      </c>
      <c r="O38" s="20"/>
      <c r="P38" s="20">
        <f t="shared" si="3"/>
        <v>40</v>
      </c>
      <c r="Q38" s="142"/>
      <c r="T38" s="86"/>
      <c r="U38" s="86"/>
      <c r="V38" s="86"/>
    </row>
    <row r="39" spans="1:22" ht="15" hidden="1" customHeight="1" x14ac:dyDescent="0.25">
      <c r="A39" s="20" t="s">
        <v>308</v>
      </c>
      <c r="B39" s="61">
        <v>46042</v>
      </c>
      <c r="C39" s="106">
        <f t="shared" si="0"/>
        <v>326</v>
      </c>
      <c r="D39" s="20">
        <f t="shared" si="1"/>
        <v>0</v>
      </c>
      <c r="E39" s="20"/>
      <c r="F39" s="20"/>
      <c r="G39" s="32" t="s">
        <v>149</v>
      </c>
      <c r="H39" s="20" t="s">
        <v>3032</v>
      </c>
      <c r="I39" s="20">
        <v>1111</v>
      </c>
      <c r="J39" s="20">
        <v>112111</v>
      </c>
      <c r="K39" s="20" t="s">
        <v>20</v>
      </c>
      <c r="L39" s="20">
        <v>1</v>
      </c>
      <c r="M39" s="34">
        <v>50000000</v>
      </c>
      <c r="N39" s="34">
        <f t="shared" si="2"/>
        <v>50000000</v>
      </c>
      <c r="O39" s="20"/>
      <c r="P39" s="20">
        <f t="shared" si="3"/>
        <v>40</v>
      </c>
      <c r="Q39" s="142"/>
      <c r="T39" s="86"/>
      <c r="U39" s="86"/>
      <c r="V39" s="86"/>
    </row>
    <row r="40" spans="1:22" ht="15" hidden="1" customHeight="1" x14ac:dyDescent="0.25">
      <c r="A40" s="20" t="s">
        <v>308</v>
      </c>
      <c r="B40" s="61">
        <v>46043</v>
      </c>
      <c r="C40" s="106">
        <f t="shared" si="0"/>
        <v>326</v>
      </c>
      <c r="D40" s="20">
        <f t="shared" si="1"/>
        <v>0</v>
      </c>
      <c r="E40" s="20"/>
      <c r="F40" s="20"/>
      <c r="G40" s="32" t="s">
        <v>149</v>
      </c>
      <c r="H40" s="20" t="s">
        <v>3032</v>
      </c>
      <c r="I40" s="20">
        <v>1111</v>
      </c>
      <c r="J40" s="20">
        <v>112111</v>
      </c>
      <c r="K40" s="20" t="s">
        <v>20</v>
      </c>
      <c r="L40" s="20">
        <v>1</v>
      </c>
      <c r="M40" s="34">
        <v>15000000</v>
      </c>
      <c r="N40" s="34">
        <f t="shared" si="2"/>
        <v>15000000</v>
      </c>
      <c r="O40" s="20"/>
      <c r="P40" s="20">
        <f t="shared" si="3"/>
        <v>40</v>
      </c>
      <c r="Q40" s="142"/>
      <c r="T40" s="86"/>
      <c r="U40" s="86"/>
      <c r="V40" s="86"/>
    </row>
    <row r="41" spans="1:22" ht="15" hidden="1" customHeight="1" x14ac:dyDescent="0.25">
      <c r="A41" s="20" t="s">
        <v>308</v>
      </c>
      <c r="B41" s="61">
        <v>46044</v>
      </c>
      <c r="C41" s="106">
        <f t="shared" si="0"/>
        <v>326</v>
      </c>
      <c r="D41" s="20">
        <f t="shared" si="1"/>
        <v>0</v>
      </c>
      <c r="E41" s="20"/>
      <c r="F41" s="20"/>
      <c r="G41" s="32" t="s">
        <v>149</v>
      </c>
      <c r="H41" s="20" t="s">
        <v>3032</v>
      </c>
      <c r="I41" s="20">
        <v>1111</v>
      </c>
      <c r="J41" s="20">
        <v>112111</v>
      </c>
      <c r="K41" s="20" t="s">
        <v>20</v>
      </c>
      <c r="L41" s="20">
        <v>1</v>
      </c>
      <c r="M41" s="34">
        <v>50000000</v>
      </c>
      <c r="N41" s="34">
        <f t="shared" si="2"/>
        <v>50000000</v>
      </c>
      <c r="O41" s="20"/>
      <c r="P41" s="20">
        <f t="shared" si="3"/>
        <v>40</v>
      </c>
      <c r="Q41" s="142"/>
      <c r="T41" s="86"/>
      <c r="U41" s="86"/>
      <c r="V41" s="86"/>
    </row>
    <row r="42" spans="1:22" ht="15" hidden="1" customHeight="1" x14ac:dyDescent="0.25">
      <c r="A42" s="20" t="s">
        <v>308</v>
      </c>
      <c r="B42" s="61">
        <v>46045</v>
      </c>
      <c r="C42" s="106">
        <f t="shared" si="0"/>
        <v>326</v>
      </c>
      <c r="D42" s="20">
        <f t="shared" si="1"/>
        <v>0</v>
      </c>
      <c r="E42" s="20"/>
      <c r="F42" s="20"/>
      <c r="G42" s="32" t="s">
        <v>149</v>
      </c>
      <c r="H42" s="20" t="s">
        <v>3032</v>
      </c>
      <c r="I42" s="20">
        <v>1111</v>
      </c>
      <c r="J42" s="20">
        <v>112111</v>
      </c>
      <c r="K42" s="20" t="s">
        <v>20</v>
      </c>
      <c r="L42" s="20">
        <v>1</v>
      </c>
      <c r="M42" s="34">
        <v>15000000</v>
      </c>
      <c r="N42" s="34">
        <f t="shared" si="2"/>
        <v>15000000</v>
      </c>
      <c r="O42" s="20"/>
      <c r="P42" s="20">
        <f t="shared" si="3"/>
        <v>40</v>
      </c>
      <c r="Q42" s="142"/>
      <c r="T42" s="86"/>
      <c r="U42" s="86"/>
      <c r="V42" s="86"/>
    </row>
    <row r="43" spans="1:22" ht="15" hidden="1" customHeight="1" x14ac:dyDescent="0.25">
      <c r="A43" s="20" t="s">
        <v>308</v>
      </c>
      <c r="B43" s="61">
        <v>46046</v>
      </c>
      <c r="C43" s="106">
        <f t="shared" si="0"/>
        <v>326</v>
      </c>
      <c r="D43" s="20">
        <f t="shared" si="1"/>
        <v>0</v>
      </c>
      <c r="E43" s="20"/>
      <c r="F43" s="20"/>
      <c r="G43" s="32" t="s">
        <v>149</v>
      </c>
      <c r="H43" s="20" t="s">
        <v>3032</v>
      </c>
      <c r="I43" s="20">
        <v>1111</v>
      </c>
      <c r="J43" s="20">
        <v>112111</v>
      </c>
      <c r="K43" s="20" t="s">
        <v>20</v>
      </c>
      <c r="L43" s="20">
        <v>1</v>
      </c>
      <c r="M43" s="34">
        <v>15000000</v>
      </c>
      <c r="N43" s="34">
        <f t="shared" si="2"/>
        <v>15000000</v>
      </c>
      <c r="O43" s="20"/>
      <c r="P43" s="20">
        <f t="shared" si="3"/>
        <v>40</v>
      </c>
      <c r="Q43" s="142"/>
      <c r="T43" s="86"/>
      <c r="U43" s="86"/>
      <c r="V43" s="86"/>
    </row>
    <row r="44" spans="1:22" ht="15" hidden="1" customHeight="1" x14ac:dyDescent="0.25">
      <c r="A44" s="20" t="s">
        <v>308</v>
      </c>
      <c r="B44" s="61">
        <v>46048</v>
      </c>
      <c r="C44" s="106">
        <f t="shared" si="0"/>
        <v>326</v>
      </c>
      <c r="D44" s="20">
        <f t="shared" si="1"/>
        <v>0</v>
      </c>
      <c r="E44" s="20"/>
      <c r="F44" s="20"/>
      <c r="G44" s="32" t="s">
        <v>149</v>
      </c>
      <c r="H44" s="20" t="s">
        <v>3032</v>
      </c>
      <c r="I44" s="20">
        <v>1111</v>
      </c>
      <c r="J44" s="20">
        <v>112111</v>
      </c>
      <c r="K44" s="20" t="s">
        <v>20</v>
      </c>
      <c r="L44" s="20">
        <v>1</v>
      </c>
      <c r="M44" s="34">
        <v>18000000</v>
      </c>
      <c r="N44" s="34">
        <f t="shared" si="2"/>
        <v>18000000</v>
      </c>
      <c r="O44" s="20"/>
      <c r="P44" s="20">
        <f t="shared" si="3"/>
        <v>40</v>
      </c>
      <c r="Q44" s="142"/>
      <c r="T44" s="86"/>
      <c r="U44" s="86"/>
      <c r="V44" s="86"/>
    </row>
    <row r="45" spans="1:22" ht="15" hidden="1" customHeight="1" x14ac:dyDescent="0.25">
      <c r="A45" s="20" t="s">
        <v>308</v>
      </c>
      <c r="B45" s="61">
        <v>46050</v>
      </c>
      <c r="C45" s="106">
        <f t="shared" si="0"/>
        <v>326</v>
      </c>
      <c r="D45" s="20">
        <f t="shared" si="1"/>
        <v>0</v>
      </c>
      <c r="E45" s="20"/>
      <c r="F45" s="20"/>
      <c r="G45" s="32" t="s">
        <v>149</v>
      </c>
      <c r="H45" s="20" t="s">
        <v>3032</v>
      </c>
      <c r="I45" s="20">
        <v>1111</v>
      </c>
      <c r="J45" s="20">
        <v>112111</v>
      </c>
      <c r="K45" s="20" t="s">
        <v>20</v>
      </c>
      <c r="L45" s="20">
        <v>1</v>
      </c>
      <c r="M45" s="34">
        <v>10000000</v>
      </c>
      <c r="N45" s="34">
        <f t="shared" si="2"/>
        <v>10000000</v>
      </c>
      <c r="O45" s="20"/>
      <c r="P45" s="20">
        <f t="shared" si="3"/>
        <v>40</v>
      </c>
      <c r="Q45" s="142"/>
      <c r="T45" s="86"/>
      <c r="U45" s="86"/>
      <c r="V45" s="86"/>
    </row>
    <row r="46" spans="1:22" ht="15" hidden="1" customHeight="1" x14ac:dyDescent="0.25">
      <c r="A46" s="20" t="s">
        <v>308</v>
      </c>
      <c r="B46" s="61">
        <v>46051</v>
      </c>
      <c r="C46" s="106">
        <f t="shared" si="0"/>
        <v>327</v>
      </c>
      <c r="D46" s="20">
        <f t="shared" si="1"/>
        <v>1</v>
      </c>
      <c r="E46" s="20"/>
      <c r="F46" s="20"/>
      <c r="G46" s="32" t="s">
        <v>71</v>
      </c>
      <c r="H46" s="20" t="s">
        <v>3025</v>
      </c>
      <c r="I46" s="20">
        <v>3383</v>
      </c>
      <c r="J46" s="20">
        <v>112121</v>
      </c>
      <c r="K46" s="20" t="s">
        <v>20</v>
      </c>
      <c r="L46" s="20">
        <v>1</v>
      </c>
      <c r="M46" s="34">
        <v>2950000</v>
      </c>
      <c r="N46" s="34">
        <f t="shared" si="2"/>
        <v>2950000</v>
      </c>
      <c r="O46" s="20"/>
      <c r="P46" s="20">
        <f t="shared" si="3"/>
        <v>34</v>
      </c>
      <c r="Q46" s="142"/>
      <c r="T46" s="86"/>
      <c r="U46" s="86"/>
      <c r="V46" s="86"/>
    </row>
    <row r="47" spans="1:22" ht="15" hidden="1" customHeight="1" x14ac:dyDescent="0.25">
      <c r="A47" s="20" t="s">
        <v>308</v>
      </c>
      <c r="B47" s="61">
        <v>46051</v>
      </c>
      <c r="C47" s="106">
        <f t="shared" si="0"/>
        <v>327</v>
      </c>
      <c r="D47" s="20">
        <f t="shared" si="1"/>
        <v>0</v>
      </c>
      <c r="E47" s="20"/>
      <c r="F47" s="20"/>
      <c r="G47" s="32" t="s">
        <v>71</v>
      </c>
      <c r="H47" s="20" t="s">
        <v>3025</v>
      </c>
      <c r="I47" s="20">
        <v>3383</v>
      </c>
      <c r="J47" s="20">
        <v>112121</v>
      </c>
      <c r="K47" s="20" t="s">
        <v>20</v>
      </c>
      <c r="L47" s="20">
        <v>1</v>
      </c>
      <c r="M47" s="34">
        <v>5097600</v>
      </c>
      <c r="N47" s="34">
        <f t="shared" si="2"/>
        <v>5097600</v>
      </c>
      <c r="O47" s="20"/>
      <c r="P47" s="20">
        <f t="shared" si="3"/>
        <v>34</v>
      </c>
      <c r="Q47" s="142"/>
      <c r="T47" s="86"/>
      <c r="U47" s="86"/>
      <c r="V47" s="86"/>
    </row>
    <row r="48" spans="1:22" ht="15" hidden="1" customHeight="1" x14ac:dyDescent="0.25">
      <c r="A48" s="20" t="s">
        <v>308</v>
      </c>
      <c r="B48" s="61">
        <v>46051</v>
      </c>
      <c r="C48" s="106">
        <f t="shared" si="0"/>
        <v>328</v>
      </c>
      <c r="D48" s="20">
        <f t="shared" si="1"/>
        <v>1</v>
      </c>
      <c r="E48" s="20"/>
      <c r="F48" s="20"/>
      <c r="G48" s="32" t="s">
        <v>2629</v>
      </c>
      <c r="H48" s="20" t="s">
        <v>4730</v>
      </c>
      <c r="I48" s="20">
        <v>333822</v>
      </c>
      <c r="J48" s="20">
        <v>112121</v>
      </c>
      <c r="K48" s="20" t="s">
        <v>20</v>
      </c>
      <c r="L48" s="20">
        <v>1</v>
      </c>
      <c r="M48" s="34">
        <v>35710</v>
      </c>
      <c r="N48" s="34">
        <f t="shared" si="2"/>
        <v>35710</v>
      </c>
      <c r="O48" s="20"/>
      <c r="P48" s="20">
        <f t="shared" si="3"/>
        <v>19</v>
      </c>
      <c r="Q48" s="142"/>
      <c r="T48" s="86"/>
      <c r="U48" s="86"/>
      <c r="V48" s="86"/>
    </row>
    <row r="49" spans="1:22" ht="15" hidden="1" customHeight="1" x14ac:dyDescent="0.25">
      <c r="A49" s="20" t="s">
        <v>308</v>
      </c>
      <c r="B49" s="61">
        <v>46051</v>
      </c>
      <c r="C49" s="106">
        <f t="shared" si="0"/>
        <v>328</v>
      </c>
      <c r="D49" s="20">
        <f t="shared" si="1"/>
        <v>0</v>
      </c>
      <c r="E49" s="20"/>
      <c r="F49" s="20"/>
      <c r="G49" s="32" t="s">
        <v>2629</v>
      </c>
      <c r="H49" s="20" t="s">
        <v>4730</v>
      </c>
      <c r="I49" s="20">
        <v>333822</v>
      </c>
      <c r="J49" s="20">
        <v>112121</v>
      </c>
      <c r="K49" s="20" t="s">
        <v>20</v>
      </c>
      <c r="L49" s="20">
        <v>1</v>
      </c>
      <c r="M49" s="34">
        <v>78268</v>
      </c>
      <c r="N49" s="34">
        <f t="shared" si="2"/>
        <v>78268</v>
      </c>
      <c r="O49" s="20"/>
      <c r="P49" s="20">
        <f t="shared" si="3"/>
        <v>19</v>
      </c>
      <c r="Q49" s="142"/>
      <c r="T49" s="86"/>
      <c r="U49" s="86"/>
      <c r="V49" s="86"/>
    </row>
    <row r="50" spans="1:22" ht="15" hidden="1" customHeight="1" x14ac:dyDescent="0.25">
      <c r="A50" s="20" t="s">
        <v>308</v>
      </c>
      <c r="B50" s="61">
        <v>46051</v>
      </c>
      <c r="C50" s="106">
        <f t="shared" si="0"/>
        <v>329</v>
      </c>
      <c r="D50" s="20">
        <f t="shared" si="1"/>
        <v>1</v>
      </c>
      <c r="E50" s="20"/>
      <c r="F50" s="20"/>
      <c r="G50" s="32" t="s">
        <v>2629</v>
      </c>
      <c r="H50" s="20" t="s">
        <v>3368</v>
      </c>
      <c r="I50" s="20">
        <v>333821</v>
      </c>
      <c r="J50" s="20">
        <v>112121</v>
      </c>
      <c r="K50" s="20" t="s">
        <v>20</v>
      </c>
      <c r="L50" s="20">
        <v>1</v>
      </c>
      <c r="M50" s="34">
        <v>104939370</v>
      </c>
      <c r="N50" s="34">
        <f t="shared" si="2"/>
        <v>104939370</v>
      </c>
      <c r="O50" s="20"/>
      <c r="P50" s="20">
        <f t="shared" si="3"/>
        <v>27</v>
      </c>
      <c r="Q50" s="142"/>
      <c r="T50" s="86"/>
      <c r="U50" s="86"/>
      <c r="V50" s="86"/>
    </row>
    <row r="51" spans="1:22" ht="15" hidden="1" customHeight="1" x14ac:dyDescent="0.25">
      <c r="A51" s="20" t="s">
        <v>308</v>
      </c>
      <c r="B51" s="61">
        <v>46051</v>
      </c>
      <c r="C51" s="106">
        <f t="shared" si="0"/>
        <v>330</v>
      </c>
      <c r="D51" s="20">
        <f t="shared" si="1"/>
        <v>1</v>
      </c>
      <c r="E51" s="20"/>
      <c r="F51" s="20"/>
      <c r="G51" s="32" t="s">
        <v>149</v>
      </c>
      <c r="H51" s="20" t="s">
        <v>2613</v>
      </c>
      <c r="I51" s="20">
        <v>64277</v>
      </c>
      <c r="J51" s="20">
        <v>112121</v>
      </c>
      <c r="K51" s="20" t="s">
        <v>20</v>
      </c>
      <c r="L51" s="20">
        <v>1</v>
      </c>
      <c r="M51" s="34">
        <v>10000</v>
      </c>
      <c r="N51" s="34">
        <f t="shared" si="2"/>
        <v>10000</v>
      </c>
      <c r="O51" s="20"/>
      <c r="P51" s="20">
        <f t="shared" si="3"/>
        <v>13</v>
      </c>
      <c r="Q51" s="142"/>
      <c r="T51" s="86"/>
      <c r="U51" s="86"/>
      <c r="V51" s="86"/>
    </row>
    <row r="52" spans="1:22" ht="15" hidden="1" customHeight="1" x14ac:dyDescent="0.25">
      <c r="A52" s="20" t="s">
        <v>308</v>
      </c>
      <c r="B52" s="61">
        <v>46051</v>
      </c>
      <c r="C52" s="106">
        <f t="shared" si="0"/>
        <v>330</v>
      </c>
      <c r="D52" s="20">
        <f t="shared" si="1"/>
        <v>0</v>
      </c>
      <c r="E52" s="20"/>
      <c r="F52" s="20"/>
      <c r="G52" s="32" t="s">
        <v>149</v>
      </c>
      <c r="H52" s="20" t="s">
        <v>2613</v>
      </c>
      <c r="I52" s="20">
        <v>64277</v>
      </c>
      <c r="J52" s="20">
        <v>112121</v>
      </c>
      <c r="K52" s="20" t="s">
        <v>20</v>
      </c>
      <c r="L52" s="20">
        <v>1</v>
      </c>
      <c r="M52" s="34">
        <v>1000</v>
      </c>
      <c r="N52" s="34">
        <f t="shared" si="2"/>
        <v>1000</v>
      </c>
      <c r="O52" s="20"/>
      <c r="P52" s="20">
        <f t="shared" si="3"/>
        <v>13</v>
      </c>
      <c r="Q52" s="142"/>
      <c r="T52" s="86"/>
      <c r="U52" s="86"/>
      <c r="V52" s="86"/>
    </row>
    <row r="53" spans="1:22" ht="15" hidden="1" customHeight="1" x14ac:dyDescent="0.25">
      <c r="A53" s="20" t="s">
        <v>308</v>
      </c>
      <c r="B53" s="61">
        <v>46051</v>
      </c>
      <c r="C53" s="106">
        <f t="shared" si="0"/>
        <v>330</v>
      </c>
      <c r="D53" s="20">
        <f t="shared" si="1"/>
        <v>0</v>
      </c>
      <c r="E53" s="20"/>
      <c r="F53" s="20"/>
      <c r="G53" s="32" t="s">
        <v>149</v>
      </c>
      <c r="H53" s="20" t="s">
        <v>2613</v>
      </c>
      <c r="I53" s="20">
        <v>64277</v>
      </c>
      <c r="J53" s="20">
        <v>112121</v>
      </c>
      <c r="K53" s="20" t="s">
        <v>20</v>
      </c>
      <c r="L53" s="20">
        <v>1</v>
      </c>
      <c r="M53" s="34">
        <v>10000</v>
      </c>
      <c r="N53" s="34">
        <f t="shared" si="2"/>
        <v>10000</v>
      </c>
      <c r="O53" s="20"/>
      <c r="P53" s="20">
        <f t="shared" si="3"/>
        <v>13</v>
      </c>
      <c r="Q53" s="142"/>
      <c r="T53" s="86"/>
      <c r="U53" s="86"/>
      <c r="V53" s="86"/>
    </row>
    <row r="54" spans="1:22" ht="15" hidden="1" customHeight="1" x14ac:dyDescent="0.25">
      <c r="A54" s="20" t="s">
        <v>308</v>
      </c>
      <c r="B54" s="61">
        <v>46051</v>
      </c>
      <c r="C54" s="106">
        <f t="shared" si="0"/>
        <v>330</v>
      </c>
      <c r="D54" s="20">
        <f t="shared" si="1"/>
        <v>0</v>
      </c>
      <c r="E54" s="20"/>
      <c r="F54" s="20"/>
      <c r="G54" s="32" t="s">
        <v>149</v>
      </c>
      <c r="H54" s="20" t="s">
        <v>2613</v>
      </c>
      <c r="I54" s="20">
        <v>64277</v>
      </c>
      <c r="J54" s="20">
        <v>112121</v>
      </c>
      <c r="K54" s="20" t="s">
        <v>20</v>
      </c>
      <c r="L54" s="20">
        <v>1</v>
      </c>
      <c r="M54" s="34">
        <v>1000</v>
      </c>
      <c r="N54" s="34">
        <f t="shared" si="2"/>
        <v>1000</v>
      </c>
      <c r="O54" s="20"/>
      <c r="P54" s="20">
        <f t="shared" si="3"/>
        <v>13</v>
      </c>
      <c r="Q54" s="142"/>
      <c r="T54" s="86"/>
      <c r="U54" s="86"/>
      <c r="V54" s="86"/>
    </row>
    <row r="55" spans="1:22" ht="15" hidden="1" customHeight="1" x14ac:dyDescent="0.25">
      <c r="A55" s="20" t="s">
        <v>308</v>
      </c>
      <c r="B55" s="61">
        <v>46052</v>
      </c>
      <c r="C55" s="106">
        <f t="shared" si="0"/>
        <v>331</v>
      </c>
      <c r="D55" s="20">
        <f t="shared" si="1"/>
        <v>1</v>
      </c>
      <c r="E55" s="20"/>
      <c r="F55" s="20"/>
      <c r="G55" s="32" t="s">
        <v>149</v>
      </c>
      <c r="H55" s="20" t="s">
        <v>3032</v>
      </c>
      <c r="I55" s="20">
        <v>1111</v>
      </c>
      <c r="J55" s="20">
        <v>112111</v>
      </c>
      <c r="K55" s="20" t="s">
        <v>20</v>
      </c>
      <c r="L55" s="20">
        <v>1</v>
      </c>
      <c r="M55" s="34">
        <v>30000000</v>
      </c>
      <c r="N55" s="34">
        <f t="shared" si="2"/>
        <v>30000000</v>
      </c>
      <c r="O55" s="20"/>
      <c r="P55" s="20">
        <f t="shared" si="3"/>
        <v>40</v>
      </c>
      <c r="Q55" s="142"/>
      <c r="T55" s="86"/>
      <c r="U55" s="86"/>
      <c r="V55" s="86"/>
    </row>
    <row r="56" spans="1:22" ht="15" hidden="1" customHeight="1" x14ac:dyDescent="0.25">
      <c r="A56" s="20" t="s">
        <v>308</v>
      </c>
      <c r="B56" s="61">
        <v>46053</v>
      </c>
      <c r="C56" s="106">
        <f t="shared" si="0"/>
        <v>332</v>
      </c>
      <c r="D56" s="20">
        <f t="shared" si="1"/>
        <v>1</v>
      </c>
      <c r="E56" s="20"/>
      <c r="F56" s="20"/>
      <c r="G56" s="32" t="s">
        <v>149</v>
      </c>
      <c r="H56" s="20" t="s">
        <v>2613</v>
      </c>
      <c r="I56" s="20">
        <v>64277</v>
      </c>
      <c r="J56" s="20">
        <v>112121</v>
      </c>
      <c r="K56" s="20" t="s">
        <v>20</v>
      </c>
      <c r="L56" s="20">
        <v>1</v>
      </c>
      <c r="M56" s="34">
        <v>10000</v>
      </c>
      <c r="N56" s="34">
        <f t="shared" si="2"/>
        <v>10000</v>
      </c>
      <c r="O56" s="20"/>
      <c r="P56" s="20">
        <f t="shared" si="3"/>
        <v>13</v>
      </c>
      <c r="Q56" s="142"/>
      <c r="T56" s="86"/>
      <c r="U56" s="86"/>
      <c r="V56" s="86"/>
    </row>
    <row r="57" spans="1:22" ht="15" hidden="1" customHeight="1" x14ac:dyDescent="0.25">
      <c r="A57" s="20" t="s">
        <v>308</v>
      </c>
      <c r="B57" s="61">
        <v>46053</v>
      </c>
      <c r="C57" s="106">
        <f t="shared" si="0"/>
        <v>332</v>
      </c>
      <c r="D57" s="20">
        <f t="shared" si="1"/>
        <v>0</v>
      </c>
      <c r="E57" s="20"/>
      <c r="F57" s="20"/>
      <c r="G57" s="32" t="s">
        <v>149</v>
      </c>
      <c r="H57" s="20" t="s">
        <v>2613</v>
      </c>
      <c r="I57" s="20">
        <v>64277</v>
      </c>
      <c r="J57" s="20">
        <v>112121</v>
      </c>
      <c r="K57" s="20" t="s">
        <v>20</v>
      </c>
      <c r="L57" s="20">
        <v>1</v>
      </c>
      <c r="M57" s="34">
        <v>1000</v>
      </c>
      <c r="N57" s="34">
        <f t="shared" si="2"/>
        <v>1000</v>
      </c>
      <c r="O57" s="20"/>
      <c r="P57" s="20">
        <f t="shared" si="3"/>
        <v>13</v>
      </c>
      <c r="Q57" s="142"/>
      <c r="T57" s="86"/>
      <c r="U57" s="86"/>
      <c r="V57" s="86"/>
    </row>
    <row r="58" spans="1:22" ht="15" hidden="1" customHeight="1" x14ac:dyDescent="0.25">
      <c r="A58" s="20" t="s">
        <v>308</v>
      </c>
      <c r="B58" s="61">
        <v>46053</v>
      </c>
      <c r="C58" s="106">
        <f t="shared" si="0"/>
        <v>332</v>
      </c>
      <c r="D58" s="20">
        <f t="shared" si="1"/>
        <v>0</v>
      </c>
      <c r="E58" s="20"/>
      <c r="F58" s="20"/>
      <c r="G58" s="32" t="s">
        <v>149</v>
      </c>
      <c r="H58" s="20" t="s">
        <v>2613</v>
      </c>
      <c r="I58" s="20">
        <v>64277</v>
      </c>
      <c r="J58" s="20">
        <v>112121</v>
      </c>
      <c r="K58" s="20" t="s">
        <v>20</v>
      </c>
      <c r="L58" s="20">
        <v>1</v>
      </c>
      <c r="M58" s="34">
        <v>10000</v>
      </c>
      <c r="N58" s="34">
        <f t="shared" si="2"/>
        <v>10000</v>
      </c>
      <c r="O58" s="20"/>
      <c r="P58" s="20">
        <f t="shared" si="3"/>
        <v>13</v>
      </c>
      <c r="Q58" s="142"/>
      <c r="T58" s="86"/>
      <c r="U58" s="86"/>
      <c r="V58" s="86"/>
    </row>
    <row r="59" spans="1:22" ht="15" hidden="1" customHeight="1" x14ac:dyDescent="0.25">
      <c r="A59" s="20" t="s">
        <v>308</v>
      </c>
      <c r="B59" s="61">
        <v>46053</v>
      </c>
      <c r="C59" s="106">
        <f t="shared" si="0"/>
        <v>332</v>
      </c>
      <c r="D59" s="20">
        <f t="shared" si="1"/>
        <v>0</v>
      </c>
      <c r="E59" s="20"/>
      <c r="F59" s="20"/>
      <c r="G59" s="32" t="s">
        <v>149</v>
      </c>
      <c r="H59" s="20" t="s">
        <v>2613</v>
      </c>
      <c r="I59" s="20">
        <v>64277</v>
      </c>
      <c r="J59" s="20">
        <v>112121</v>
      </c>
      <c r="K59" s="20" t="s">
        <v>20</v>
      </c>
      <c r="L59" s="20">
        <v>1</v>
      </c>
      <c r="M59" s="34">
        <v>1000</v>
      </c>
      <c r="N59" s="34">
        <f t="shared" si="2"/>
        <v>1000</v>
      </c>
      <c r="O59" s="20"/>
      <c r="P59" s="20">
        <f t="shared" si="3"/>
        <v>13</v>
      </c>
      <c r="Q59" s="142"/>
      <c r="T59" s="86"/>
      <c r="U59" s="86"/>
      <c r="V59" s="86"/>
    </row>
    <row r="60" spans="1:22" ht="15" hidden="1" customHeight="1" x14ac:dyDescent="0.25">
      <c r="A60" s="20" t="s">
        <v>308</v>
      </c>
      <c r="B60" s="61">
        <v>46053</v>
      </c>
      <c r="C60" s="106">
        <f t="shared" si="0"/>
        <v>332</v>
      </c>
      <c r="D60" s="20">
        <f t="shared" si="1"/>
        <v>0</v>
      </c>
      <c r="E60" s="20"/>
      <c r="F60" s="20"/>
      <c r="G60" s="32" t="s">
        <v>149</v>
      </c>
      <c r="H60" s="20" t="s">
        <v>2613</v>
      </c>
      <c r="I60" s="20">
        <v>64277</v>
      </c>
      <c r="J60" s="20">
        <v>112121</v>
      </c>
      <c r="K60" s="20" t="s">
        <v>20</v>
      </c>
      <c r="L60" s="20">
        <v>1</v>
      </c>
      <c r="M60" s="34">
        <v>10000</v>
      </c>
      <c r="N60" s="34">
        <f t="shared" si="2"/>
        <v>10000</v>
      </c>
      <c r="O60" s="20"/>
      <c r="P60" s="20">
        <f t="shared" si="3"/>
        <v>13</v>
      </c>
      <c r="Q60" s="142"/>
      <c r="T60" s="86"/>
      <c r="U60" s="86"/>
      <c r="V60" s="86"/>
    </row>
    <row r="61" spans="1:22" ht="15" hidden="1" customHeight="1" x14ac:dyDescent="0.25">
      <c r="A61" s="20" t="s">
        <v>308</v>
      </c>
      <c r="B61" s="61">
        <v>46053</v>
      </c>
      <c r="C61" s="106">
        <f t="shared" si="0"/>
        <v>332</v>
      </c>
      <c r="D61" s="20">
        <f t="shared" si="1"/>
        <v>0</v>
      </c>
      <c r="E61" s="20"/>
      <c r="F61" s="20"/>
      <c r="G61" s="32" t="s">
        <v>149</v>
      </c>
      <c r="H61" s="20" t="s">
        <v>2613</v>
      </c>
      <c r="I61" s="20">
        <v>64277</v>
      </c>
      <c r="J61" s="20">
        <v>112121</v>
      </c>
      <c r="K61" s="20" t="s">
        <v>20</v>
      </c>
      <c r="L61" s="20">
        <v>1</v>
      </c>
      <c r="M61" s="34">
        <v>1000</v>
      </c>
      <c r="N61" s="34">
        <f t="shared" si="2"/>
        <v>1000</v>
      </c>
      <c r="O61" s="20"/>
      <c r="P61" s="20">
        <f t="shared" si="3"/>
        <v>13</v>
      </c>
      <c r="Q61" s="142"/>
      <c r="T61" s="86"/>
      <c r="U61" s="86"/>
      <c r="V61" s="86"/>
    </row>
    <row r="62" spans="1:22" ht="15" hidden="1" customHeight="1" x14ac:dyDescent="0.25">
      <c r="A62" s="20" t="s">
        <v>308</v>
      </c>
      <c r="B62" s="61">
        <v>46053</v>
      </c>
      <c r="C62" s="106">
        <f t="shared" si="0"/>
        <v>333</v>
      </c>
      <c r="D62" s="20">
        <f t="shared" si="1"/>
        <v>1</v>
      </c>
      <c r="E62" s="20"/>
      <c r="F62" s="20"/>
      <c r="G62" s="32" t="s">
        <v>149</v>
      </c>
      <c r="H62" s="20" t="s">
        <v>4731</v>
      </c>
      <c r="I62" s="20">
        <v>3341</v>
      </c>
      <c r="J62" s="20">
        <v>112121</v>
      </c>
      <c r="K62" s="20" t="s">
        <v>20</v>
      </c>
      <c r="L62" s="20">
        <v>1</v>
      </c>
      <c r="M62" s="34">
        <v>9000000</v>
      </c>
      <c r="N62" s="34">
        <f t="shared" si="2"/>
        <v>9000000</v>
      </c>
      <c r="O62" s="20"/>
      <c r="P62" s="20">
        <f t="shared" si="3"/>
        <v>45</v>
      </c>
      <c r="Q62" s="142"/>
      <c r="T62" s="86"/>
      <c r="U62" s="86"/>
      <c r="V62" s="86"/>
    </row>
    <row r="63" spans="1:22" ht="15" hidden="1" customHeight="1" x14ac:dyDescent="0.25">
      <c r="A63" s="20" t="s">
        <v>308</v>
      </c>
      <c r="B63" s="61">
        <v>46053</v>
      </c>
      <c r="C63" s="106">
        <f t="shared" si="0"/>
        <v>334</v>
      </c>
      <c r="D63" s="20">
        <f t="shared" si="1"/>
        <v>1</v>
      </c>
      <c r="E63" s="20"/>
      <c r="F63" s="20"/>
      <c r="G63" s="32" t="s">
        <v>149</v>
      </c>
      <c r="H63" s="20" t="s">
        <v>4732</v>
      </c>
      <c r="I63" s="20">
        <v>3341</v>
      </c>
      <c r="J63" s="20">
        <v>112121</v>
      </c>
      <c r="K63" s="20" t="s">
        <v>20</v>
      </c>
      <c r="L63" s="20">
        <v>1</v>
      </c>
      <c r="M63" s="34">
        <v>10000000</v>
      </c>
      <c r="N63" s="34">
        <f t="shared" si="2"/>
        <v>10000000</v>
      </c>
      <c r="O63" s="20"/>
      <c r="P63" s="20">
        <f t="shared" si="3"/>
        <v>53</v>
      </c>
      <c r="Q63" s="142"/>
      <c r="T63" s="86"/>
      <c r="U63" s="86"/>
      <c r="V63" s="86"/>
    </row>
    <row r="64" spans="1:22" ht="15" hidden="1" customHeight="1" x14ac:dyDescent="0.25">
      <c r="A64" s="20" t="s">
        <v>308</v>
      </c>
      <c r="B64" s="61">
        <v>46053</v>
      </c>
      <c r="C64" s="106">
        <f t="shared" si="0"/>
        <v>335</v>
      </c>
      <c r="D64" s="20">
        <f t="shared" si="1"/>
        <v>1</v>
      </c>
      <c r="E64" s="20"/>
      <c r="F64" s="20"/>
      <c r="G64" s="32" t="s">
        <v>149</v>
      </c>
      <c r="H64" s="20" t="s">
        <v>4733</v>
      </c>
      <c r="I64" s="20">
        <v>3341</v>
      </c>
      <c r="J64" s="20">
        <v>112121</v>
      </c>
      <c r="K64" s="20" t="s">
        <v>20</v>
      </c>
      <c r="L64" s="20">
        <v>1</v>
      </c>
      <c r="M64" s="34">
        <v>10000000</v>
      </c>
      <c r="N64" s="34">
        <f t="shared" si="2"/>
        <v>10000000</v>
      </c>
      <c r="O64" s="20"/>
      <c r="P64" s="20">
        <f t="shared" si="3"/>
        <v>49</v>
      </c>
      <c r="Q64" s="142"/>
      <c r="T64" s="86"/>
      <c r="U64" s="86"/>
      <c r="V64" s="86"/>
    </row>
    <row r="65" spans="1:22" ht="15" hidden="1" customHeight="1" x14ac:dyDescent="0.25">
      <c r="A65" s="20" t="s">
        <v>308</v>
      </c>
      <c r="B65" s="61">
        <v>46056</v>
      </c>
      <c r="C65" s="106">
        <f t="shared" si="0"/>
        <v>336</v>
      </c>
      <c r="D65" s="20">
        <f t="shared" si="1"/>
        <v>1</v>
      </c>
      <c r="E65" s="20"/>
      <c r="F65" s="20"/>
      <c r="G65" s="32" t="s">
        <v>39</v>
      </c>
      <c r="H65" s="20" t="s">
        <v>3562</v>
      </c>
      <c r="I65" s="20">
        <v>3388</v>
      </c>
      <c r="J65" s="20">
        <v>112111</v>
      </c>
      <c r="K65" s="20" t="s">
        <v>20</v>
      </c>
      <c r="L65" s="20">
        <v>1</v>
      </c>
      <c r="M65" s="34">
        <v>47903226</v>
      </c>
      <c r="N65" s="34">
        <f t="shared" si="2"/>
        <v>47903226</v>
      </c>
      <c r="O65" s="20"/>
      <c r="P65" s="20">
        <f t="shared" si="3"/>
        <v>27</v>
      </c>
      <c r="Q65" s="142"/>
      <c r="T65" s="86"/>
      <c r="U65" s="86"/>
      <c r="V65" s="86"/>
    </row>
    <row r="66" spans="1:22" ht="15" hidden="1" customHeight="1" x14ac:dyDescent="0.25">
      <c r="A66" s="20" t="s">
        <v>308</v>
      </c>
      <c r="B66" s="61">
        <v>46056</v>
      </c>
      <c r="C66" s="106">
        <f t="shared" si="0"/>
        <v>337</v>
      </c>
      <c r="D66" s="20">
        <f t="shared" si="1"/>
        <v>1</v>
      </c>
      <c r="E66" s="20"/>
      <c r="F66" s="20"/>
      <c r="G66" s="32" t="s">
        <v>149</v>
      </c>
      <c r="H66" s="20" t="s">
        <v>2613</v>
      </c>
      <c r="I66" s="20">
        <v>64277</v>
      </c>
      <c r="J66" s="20">
        <v>112121</v>
      </c>
      <c r="K66" s="20" t="s">
        <v>20</v>
      </c>
      <c r="L66" s="20">
        <v>1</v>
      </c>
      <c r="M66" s="34">
        <v>10000</v>
      </c>
      <c r="N66" s="34">
        <f t="shared" si="2"/>
        <v>10000</v>
      </c>
      <c r="O66" s="20"/>
      <c r="P66" s="20">
        <f t="shared" si="3"/>
        <v>13</v>
      </c>
      <c r="Q66" s="142"/>
      <c r="T66" s="86"/>
      <c r="U66" s="86"/>
      <c r="V66" s="86"/>
    </row>
    <row r="67" spans="1:22" ht="15" hidden="1" customHeight="1" x14ac:dyDescent="0.25">
      <c r="A67" s="20" t="s">
        <v>308</v>
      </c>
      <c r="B67" s="61">
        <v>46056</v>
      </c>
      <c r="C67" s="106">
        <f t="shared" si="0"/>
        <v>337</v>
      </c>
      <c r="D67" s="20">
        <f t="shared" si="1"/>
        <v>0</v>
      </c>
      <c r="E67" s="20"/>
      <c r="F67" s="20"/>
      <c r="G67" s="32" t="s">
        <v>149</v>
      </c>
      <c r="H67" s="20" t="s">
        <v>2613</v>
      </c>
      <c r="I67" s="20">
        <v>64277</v>
      </c>
      <c r="J67" s="20">
        <v>112121</v>
      </c>
      <c r="K67" s="20" t="s">
        <v>20</v>
      </c>
      <c r="L67" s="20">
        <v>1</v>
      </c>
      <c r="M67" s="34">
        <v>1000</v>
      </c>
      <c r="N67" s="34">
        <f t="shared" si="2"/>
        <v>1000</v>
      </c>
      <c r="O67" s="20"/>
      <c r="P67" s="20">
        <f t="shared" si="3"/>
        <v>13</v>
      </c>
      <c r="Q67" s="142"/>
      <c r="T67" s="86"/>
      <c r="U67" s="86"/>
      <c r="V67" s="86"/>
    </row>
    <row r="68" spans="1:22" ht="15" hidden="1" customHeight="1" x14ac:dyDescent="0.25">
      <c r="A68" s="20" t="s">
        <v>308</v>
      </c>
      <c r="B68" s="61">
        <v>46056</v>
      </c>
      <c r="C68" s="106">
        <f t="shared" ref="C68:C131" si="4">C67+D68</f>
        <v>338</v>
      </c>
      <c r="D68" s="20">
        <f t="shared" ref="D68:D131" si="5">IF(H68=H67,0,1)</f>
        <v>1</v>
      </c>
      <c r="E68" s="20"/>
      <c r="F68" s="20"/>
      <c r="G68" s="32" t="s">
        <v>149</v>
      </c>
      <c r="H68" s="20" t="s">
        <v>3032</v>
      </c>
      <c r="I68" s="20">
        <v>1111</v>
      </c>
      <c r="J68" s="20">
        <v>112121</v>
      </c>
      <c r="K68" s="20" t="s">
        <v>20</v>
      </c>
      <c r="L68" s="20">
        <v>1</v>
      </c>
      <c r="M68" s="34">
        <v>20000000</v>
      </c>
      <c r="N68" s="34">
        <f t="shared" ref="N68:N131" si="6">L68*M68</f>
        <v>20000000</v>
      </c>
      <c r="O68" s="20"/>
      <c r="P68" s="20">
        <f t="shared" ref="P68:P131" si="7">LEN(H68)</f>
        <v>40</v>
      </c>
      <c r="Q68" s="142"/>
      <c r="T68" s="86"/>
      <c r="U68" s="86"/>
      <c r="V68" s="86"/>
    </row>
    <row r="69" spans="1:22" ht="15" hidden="1" customHeight="1" x14ac:dyDescent="0.25">
      <c r="A69" s="20" t="s">
        <v>308</v>
      </c>
      <c r="B69" s="61">
        <v>46058</v>
      </c>
      <c r="C69" s="106">
        <f t="shared" si="4"/>
        <v>339</v>
      </c>
      <c r="D69" s="20">
        <f t="shared" si="5"/>
        <v>1</v>
      </c>
      <c r="E69" s="20"/>
      <c r="F69" s="20"/>
      <c r="G69" s="32" t="s">
        <v>149</v>
      </c>
      <c r="H69" s="20" t="s">
        <v>2613</v>
      </c>
      <c r="I69" s="20">
        <v>64277</v>
      </c>
      <c r="J69" s="20">
        <v>112121</v>
      </c>
      <c r="K69" s="20" t="s">
        <v>20</v>
      </c>
      <c r="L69" s="20">
        <v>1</v>
      </c>
      <c r="M69" s="34">
        <v>10000</v>
      </c>
      <c r="N69" s="34">
        <f t="shared" si="6"/>
        <v>10000</v>
      </c>
      <c r="O69" s="20"/>
      <c r="P69" s="20">
        <f t="shared" si="7"/>
        <v>13</v>
      </c>
      <c r="Q69" s="142"/>
      <c r="T69" s="86"/>
      <c r="U69" s="86"/>
      <c r="V69" s="86"/>
    </row>
    <row r="70" spans="1:22" ht="15" hidden="1" customHeight="1" x14ac:dyDescent="0.25">
      <c r="A70" s="20" t="s">
        <v>308</v>
      </c>
      <c r="B70" s="61">
        <v>46058</v>
      </c>
      <c r="C70" s="106">
        <f t="shared" si="4"/>
        <v>339</v>
      </c>
      <c r="D70" s="20">
        <f t="shared" si="5"/>
        <v>0</v>
      </c>
      <c r="E70" s="20"/>
      <c r="F70" s="20"/>
      <c r="G70" s="32" t="s">
        <v>149</v>
      </c>
      <c r="H70" s="20" t="s">
        <v>2613</v>
      </c>
      <c r="I70" s="20">
        <v>64277</v>
      </c>
      <c r="J70" s="20">
        <v>112121</v>
      </c>
      <c r="K70" s="20" t="s">
        <v>20</v>
      </c>
      <c r="L70" s="20">
        <v>1</v>
      </c>
      <c r="M70" s="34">
        <v>1000</v>
      </c>
      <c r="N70" s="34">
        <f t="shared" si="6"/>
        <v>1000</v>
      </c>
      <c r="O70" s="20"/>
      <c r="P70" s="20">
        <f t="shared" si="7"/>
        <v>13</v>
      </c>
      <c r="Q70" s="142"/>
      <c r="T70" s="86"/>
      <c r="U70" s="86"/>
      <c r="V70" s="86"/>
    </row>
    <row r="71" spans="1:22" ht="15" hidden="1" customHeight="1" x14ac:dyDescent="0.25">
      <c r="A71" s="20" t="s">
        <v>308</v>
      </c>
      <c r="B71" s="61">
        <v>46059</v>
      </c>
      <c r="C71" s="106">
        <f t="shared" si="4"/>
        <v>340</v>
      </c>
      <c r="D71" s="20">
        <f t="shared" si="5"/>
        <v>1</v>
      </c>
      <c r="E71" s="20"/>
      <c r="F71" s="20"/>
      <c r="G71" s="32" t="s">
        <v>149</v>
      </c>
      <c r="H71" s="20" t="s">
        <v>3032</v>
      </c>
      <c r="I71" s="20">
        <v>1111</v>
      </c>
      <c r="J71" s="20">
        <v>112121</v>
      </c>
      <c r="K71" s="20" t="s">
        <v>20</v>
      </c>
      <c r="L71" s="20">
        <v>1</v>
      </c>
      <c r="M71" s="34">
        <v>10000000</v>
      </c>
      <c r="N71" s="34">
        <f t="shared" si="6"/>
        <v>10000000</v>
      </c>
      <c r="O71" s="20"/>
      <c r="P71" s="20">
        <f t="shared" si="7"/>
        <v>40</v>
      </c>
      <c r="Q71" s="142"/>
      <c r="T71" s="86"/>
      <c r="U71" s="86"/>
      <c r="V71" s="86"/>
    </row>
    <row r="72" spans="1:22" ht="15" hidden="1" customHeight="1" x14ac:dyDescent="0.25">
      <c r="A72" s="20" t="s">
        <v>308</v>
      </c>
      <c r="B72" s="61">
        <v>46061</v>
      </c>
      <c r="C72" s="106">
        <f t="shared" si="4"/>
        <v>341</v>
      </c>
      <c r="D72" s="20">
        <f t="shared" si="5"/>
        <v>1</v>
      </c>
      <c r="E72" s="20"/>
      <c r="F72" s="20"/>
      <c r="G72" s="32" t="s">
        <v>149</v>
      </c>
      <c r="H72" s="20" t="s">
        <v>2613</v>
      </c>
      <c r="I72" s="20">
        <v>64277</v>
      </c>
      <c r="J72" s="20">
        <v>112121</v>
      </c>
      <c r="K72" s="20" t="s">
        <v>20</v>
      </c>
      <c r="L72" s="20">
        <v>1</v>
      </c>
      <c r="M72" s="34">
        <v>10000</v>
      </c>
      <c r="N72" s="34">
        <f t="shared" si="6"/>
        <v>10000</v>
      </c>
      <c r="O72" s="20"/>
      <c r="P72" s="20">
        <f t="shared" si="7"/>
        <v>13</v>
      </c>
      <c r="Q72" s="142"/>
      <c r="T72" s="86"/>
      <c r="U72" s="86"/>
      <c r="V72" s="86"/>
    </row>
    <row r="73" spans="1:22" ht="15" hidden="1" customHeight="1" x14ac:dyDescent="0.25">
      <c r="A73" s="20" t="s">
        <v>308</v>
      </c>
      <c r="B73" s="61">
        <v>46061</v>
      </c>
      <c r="C73" s="106">
        <f t="shared" si="4"/>
        <v>341</v>
      </c>
      <c r="D73" s="20">
        <f t="shared" si="5"/>
        <v>0</v>
      </c>
      <c r="E73" s="20"/>
      <c r="F73" s="20"/>
      <c r="G73" s="32" t="s">
        <v>149</v>
      </c>
      <c r="H73" s="20" t="s">
        <v>2613</v>
      </c>
      <c r="I73" s="20">
        <v>64277</v>
      </c>
      <c r="J73" s="20">
        <v>112121</v>
      </c>
      <c r="K73" s="20" t="s">
        <v>20</v>
      </c>
      <c r="L73" s="20">
        <v>1</v>
      </c>
      <c r="M73" s="34">
        <v>1000</v>
      </c>
      <c r="N73" s="34">
        <f t="shared" si="6"/>
        <v>1000</v>
      </c>
      <c r="O73" s="20"/>
      <c r="P73" s="20">
        <f t="shared" si="7"/>
        <v>13</v>
      </c>
      <c r="Q73" s="142"/>
      <c r="T73" s="86"/>
      <c r="U73" s="86"/>
      <c r="V73" s="86"/>
    </row>
    <row r="74" spans="1:22" ht="15" hidden="1" customHeight="1" x14ac:dyDescent="0.25">
      <c r="A74" s="20" t="s">
        <v>308</v>
      </c>
      <c r="B74" s="61">
        <v>46061</v>
      </c>
      <c r="C74" s="106">
        <f t="shared" si="4"/>
        <v>342</v>
      </c>
      <c r="D74" s="20">
        <f t="shared" si="5"/>
        <v>1</v>
      </c>
      <c r="E74" s="20"/>
      <c r="F74" s="20"/>
      <c r="G74" s="32" t="s">
        <v>149</v>
      </c>
      <c r="H74" s="20" t="s">
        <v>3032</v>
      </c>
      <c r="I74" s="20">
        <v>1111</v>
      </c>
      <c r="J74" s="20">
        <v>112121</v>
      </c>
      <c r="K74" s="20" t="s">
        <v>20</v>
      </c>
      <c r="L74" s="20">
        <v>1</v>
      </c>
      <c r="M74" s="34">
        <v>20000000</v>
      </c>
      <c r="N74" s="34">
        <f t="shared" si="6"/>
        <v>20000000</v>
      </c>
      <c r="O74" s="20"/>
      <c r="P74" s="20">
        <f t="shared" si="7"/>
        <v>40</v>
      </c>
      <c r="Q74" s="142"/>
      <c r="T74" s="86"/>
      <c r="U74" s="86"/>
      <c r="V74" s="86"/>
    </row>
    <row r="75" spans="1:22" ht="15" hidden="1" customHeight="1" x14ac:dyDescent="0.25">
      <c r="A75" s="20" t="s">
        <v>308</v>
      </c>
      <c r="B75" s="61">
        <v>46064</v>
      </c>
      <c r="C75" s="106">
        <f t="shared" si="4"/>
        <v>343</v>
      </c>
      <c r="D75" s="20">
        <f t="shared" si="5"/>
        <v>1</v>
      </c>
      <c r="E75" s="20"/>
      <c r="F75" s="20"/>
      <c r="G75" s="32" t="s">
        <v>149</v>
      </c>
      <c r="H75" s="20" t="s">
        <v>2613</v>
      </c>
      <c r="I75" s="20">
        <v>64277</v>
      </c>
      <c r="J75" s="20">
        <v>112121</v>
      </c>
      <c r="K75" s="20" t="s">
        <v>20</v>
      </c>
      <c r="L75" s="20">
        <v>1</v>
      </c>
      <c r="M75" s="34">
        <v>10000</v>
      </c>
      <c r="N75" s="34">
        <f t="shared" si="6"/>
        <v>10000</v>
      </c>
      <c r="O75" s="20"/>
      <c r="P75" s="20">
        <f t="shared" si="7"/>
        <v>13</v>
      </c>
      <c r="Q75" s="142"/>
      <c r="T75" s="86"/>
      <c r="U75" s="86"/>
      <c r="V75" s="86"/>
    </row>
    <row r="76" spans="1:22" ht="15" hidden="1" customHeight="1" x14ac:dyDescent="0.25">
      <c r="A76" s="20" t="s">
        <v>308</v>
      </c>
      <c r="B76" s="61">
        <v>46064</v>
      </c>
      <c r="C76" s="106">
        <f t="shared" si="4"/>
        <v>343</v>
      </c>
      <c r="D76" s="20">
        <f t="shared" si="5"/>
        <v>0</v>
      </c>
      <c r="E76" s="20"/>
      <c r="F76" s="20"/>
      <c r="G76" s="32" t="s">
        <v>149</v>
      </c>
      <c r="H76" s="20" t="s">
        <v>2613</v>
      </c>
      <c r="I76" s="20">
        <v>64277</v>
      </c>
      <c r="J76" s="20">
        <v>112121</v>
      </c>
      <c r="K76" s="20" t="s">
        <v>20</v>
      </c>
      <c r="L76" s="20">
        <v>1</v>
      </c>
      <c r="M76" s="34">
        <v>1000</v>
      </c>
      <c r="N76" s="34">
        <f t="shared" si="6"/>
        <v>1000</v>
      </c>
      <c r="O76" s="20"/>
      <c r="P76" s="20">
        <f t="shared" si="7"/>
        <v>13</v>
      </c>
      <c r="Q76" s="142"/>
      <c r="T76" s="86"/>
      <c r="U76" s="86"/>
      <c r="V76" s="86"/>
    </row>
    <row r="77" spans="1:22" ht="15" hidden="1" customHeight="1" x14ac:dyDescent="0.25">
      <c r="A77" s="20" t="s">
        <v>308</v>
      </c>
      <c r="B77" s="61">
        <v>46064</v>
      </c>
      <c r="C77" s="106">
        <f t="shared" si="4"/>
        <v>343</v>
      </c>
      <c r="D77" s="20">
        <f t="shared" si="5"/>
        <v>0</v>
      </c>
      <c r="E77" s="20"/>
      <c r="F77" s="20"/>
      <c r="G77" s="32" t="s">
        <v>149</v>
      </c>
      <c r="H77" s="20" t="s">
        <v>2613</v>
      </c>
      <c r="I77" s="20">
        <v>64277</v>
      </c>
      <c r="J77" s="20">
        <v>112121</v>
      </c>
      <c r="K77" s="20" t="s">
        <v>20</v>
      </c>
      <c r="L77" s="20">
        <v>1</v>
      </c>
      <c r="M77" s="34">
        <v>10000</v>
      </c>
      <c r="N77" s="34">
        <f t="shared" si="6"/>
        <v>10000</v>
      </c>
      <c r="O77" s="20"/>
      <c r="P77" s="20">
        <f t="shared" si="7"/>
        <v>13</v>
      </c>
      <c r="Q77" s="142"/>
      <c r="T77" s="86"/>
      <c r="U77" s="86"/>
      <c r="V77" s="86"/>
    </row>
    <row r="78" spans="1:22" ht="15" hidden="1" customHeight="1" x14ac:dyDescent="0.25">
      <c r="A78" s="20" t="s">
        <v>308</v>
      </c>
      <c r="B78" s="61">
        <v>46064</v>
      </c>
      <c r="C78" s="106">
        <f t="shared" si="4"/>
        <v>343</v>
      </c>
      <c r="D78" s="20">
        <f t="shared" si="5"/>
        <v>0</v>
      </c>
      <c r="E78" s="20"/>
      <c r="F78" s="20"/>
      <c r="G78" s="32" t="s">
        <v>149</v>
      </c>
      <c r="H78" s="20" t="s">
        <v>2613</v>
      </c>
      <c r="I78" s="20">
        <v>64277</v>
      </c>
      <c r="J78" s="20">
        <v>112121</v>
      </c>
      <c r="K78" s="20" t="s">
        <v>20</v>
      </c>
      <c r="L78" s="20">
        <v>1</v>
      </c>
      <c r="M78" s="34">
        <v>1000</v>
      </c>
      <c r="N78" s="34">
        <f t="shared" si="6"/>
        <v>1000</v>
      </c>
      <c r="O78" s="20"/>
      <c r="P78" s="20">
        <f t="shared" si="7"/>
        <v>13</v>
      </c>
      <c r="Q78" s="142"/>
      <c r="T78" s="86"/>
      <c r="U78" s="86"/>
      <c r="V78" s="86"/>
    </row>
    <row r="79" spans="1:22" ht="15" hidden="1" customHeight="1" x14ac:dyDescent="0.25">
      <c r="A79" s="20" t="s">
        <v>308</v>
      </c>
      <c r="B79" s="61">
        <v>46064</v>
      </c>
      <c r="C79" s="106">
        <f t="shared" si="4"/>
        <v>343</v>
      </c>
      <c r="D79" s="20">
        <f t="shared" si="5"/>
        <v>0</v>
      </c>
      <c r="E79" s="20"/>
      <c r="F79" s="20"/>
      <c r="G79" s="32" t="s">
        <v>149</v>
      </c>
      <c r="H79" s="20" t="s">
        <v>2613</v>
      </c>
      <c r="I79" s="20">
        <v>64277</v>
      </c>
      <c r="J79" s="20">
        <v>112121</v>
      </c>
      <c r="K79" s="20" t="s">
        <v>20</v>
      </c>
      <c r="L79" s="20">
        <v>1</v>
      </c>
      <c r="M79" s="34">
        <v>10000</v>
      </c>
      <c r="N79" s="34">
        <f t="shared" si="6"/>
        <v>10000</v>
      </c>
      <c r="O79" s="20"/>
      <c r="P79" s="20">
        <f t="shared" si="7"/>
        <v>13</v>
      </c>
      <c r="Q79" s="142"/>
      <c r="T79" s="86"/>
      <c r="U79" s="86"/>
      <c r="V79" s="86"/>
    </row>
    <row r="80" spans="1:22" ht="15" hidden="1" customHeight="1" x14ac:dyDescent="0.25">
      <c r="A80" s="20" t="s">
        <v>308</v>
      </c>
      <c r="B80" s="61">
        <v>46064</v>
      </c>
      <c r="C80" s="106">
        <f t="shared" si="4"/>
        <v>343</v>
      </c>
      <c r="D80" s="20">
        <f t="shared" si="5"/>
        <v>0</v>
      </c>
      <c r="E80" s="20"/>
      <c r="F80" s="20"/>
      <c r="G80" s="32" t="s">
        <v>149</v>
      </c>
      <c r="H80" s="20" t="s">
        <v>2613</v>
      </c>
      <c r="I80" s="20">
        <v>64277</v>
      </c>
      <c r="J80" s="20">
        <v>112121</v>
      </c>
      <c r="K80" s="20" t="s">
        <v>20</v>
      </c>
      <c r="L80" s="20">
        <v>1</v>
      </c>
      <c r="M80" s="34">
        <v>1000</v>
      </c>
      <c r="N80" s="34">
        <f t="shared" si="6"/>
        <v>1000</v>
      </c>
      <c r="O80" s="20"/>
      <c r="P80" s="20">
        <f t="shared" si="7"/>
        <v>13</v>
      </c>
      <c r="Q80" s="142"/>
      <c r="T80" s="86"/>
      <c r="U80" s="86"/>
      <c r="V80" s="86"/>
    </row>
    <row r="81" spans="1:26" ht="15" hidden="1" customHeight="1" x14ac:dyDescent="0.25">
      <c r="A81" s="20" t="s">
        <v>308</v>
      </c>
      <c r="B81" s="61">
        <v>46064</v>
      </c>
      <c r="C81" s="106">
        <f t="shared" si="4"/>
        <v>344</v>
      </c>
      <c r="D81" s="20">
        <f t="shared" si="5"/>
        <v>1</v>
      </c>
      <c r="E81" s="20"/>
      <c r="F81" s="20"/>
      <c r="G81" s="32" t="s">
        <v>149</v>
      </c>
      <c r="H81" s="20" t="s">
        <v>3032</v>
      </c>
      <c r="I81" s="20">
        <v>1111</v>
      </c>
      <c r="J81" s="20">
        <v>112121</v>
      </c>
      <c r="K81" s="20" t="s">
        <v>20</v>
      </c>
      <c r="L81" s="20">
        <v>1</v>
      </c>
      <c r="M81" s="34">
        <v>20000000</v>
      </c>
      <c r="N81" s="34">
        <f t="shared" si="6"/>
        <v>20000000</v>
      </c>
      <c r="O81" s="20"/>
      <c r="P81" s="20">
        <f t="shared" si="7"/>
        <v>40</v>
      </c>
      <c r="Q81" s="142"/>
      <c r="T81" s="86"/>
      <c r="U81" s="86"/>
      <c r="V81" s="86"/>
    </row>
    <row r="82" spans="1:26" ht="15" hidden="1" customHeight="1" x14ac:dyDescent="0.25">
      <c r="A82" s="20" t="s">
        <v>308</v>
      </c>
      <c r="B82" s="61">
        <v>46064</v>
      </c>
      <c r="C82" s="106">
        <f t="shared" si="4"/>
        <v>344</v>
      </c>
      <c r="D82" s="20">
        <f t="shared" si="5"/>
        <v>0</v>
      </c>
      <c r="E82" s="20"/>
      <c r="F82" s="20"/>
      <c r="G82" s="32" t="s">
        <v>149</v>
      </c>
      <c r="H82" s="20" t="s">
        <v>3032</v>
      </c>
      <c r="I82" s="20">
        <v>1111</v>
      </c>
      <c r="J82" s="20">
        <v>112121</v>
      </c>
      <c r="K82" s="20" t="s">
        <v>20</v>
      </c>
      <c r="L82" s="20">
        <v>1</v>
      </c>
      <c r="M82" s="34">
        <v>45000000</v>
      </c>
      <c r="N82" s="34">
        <f t="shared" si="6"/>
        <v>45000000</v>
      </c>
      <c r="O82" s="20"/>
      <c r="P82" s="20">
        <f t="shared" si="7"/>
        <v>40</v>
      </c>
      <c r="Q82" s="142"/>
      <c r="T82" s="86"/>
      <c r="U82" s="86"/>
      <c r="V82" s="86"/>
    </row>
    <row r="83" spans="1:26" ht="15" hidden="1" customHeight="1" x14ac:dyDescent="0.25">
      <c r="A83" s="20" t="s">
        <v>308</v>
      </c>
      <c r="B83" s="61">
        <v>46064</v>
      </c>
      <c r="C83" s="106">
        <f t="shared" si="4"/>
        <v>344</v>
      </c>
      <c r="D83" s="20">
        <f t="shared" si="5"/>
        <v>0</v>
      </c>
      <c r="E83" s="20"/>
      <c r="F83" s="20"/>
      <c r="G83" s="32" t="s">
        <v>149</v>
      </c>
      <c r="H83" s="20" t="s">
        <v>3032</v>
      </c>
      <c r="I83" s="20">
        <v>1111</v>
      </c>
      <c r="J83" s="20">
        <v>112121</v>
      </c>
      <c r="K83" s="20" t="s">
        <v>20</v>
      </c>
      <c r="L83" s="20">
        <v>1</v>
      </c>
      <c r="M83" s="34">
        <v>30000000</v>
      </c>
      <c r="N83" s="34">
        <f t="shared" si="6"/>
        <v>30000000</v>
      </c>
      <c r="O83" s="20"/>
      <c r="P83" s="20">
        <f t="shared" si="7"/>
        <v>40</v>
      </c>
      <c r="Q83" s="142"/>
      <c r="T83" s="86"/>
      <c r="U83" s="86"/>
      <c r="V83" s="86"/>
    </row>
    <row r="84" spans="1:26" ht="15" hidden="1" customHeight="1" x14ac:dyDescent="0.25">
      <c r="A84" s="20" t="s">
        <v>308</v>
      </c>
      <c r="B84" s="61">
        <v>46066</v>
      </c>
      <c r="C84" s="106">
        <f t="shared" si="4"/>
        <v>345</v>
      </c>
      <c r="D84" s="20">
        <f t="shared" si="5"/>
        <v>1</v>
      </c>
      <c r="E84" s="20"/>
      <c r="F84" s="20"/>
      <c r="G84" s="32" t="s">
        <v>149</v>
      </c>
      <c r="H84" s="20" t="s">
        <v>2613</v>
      </c>
      <c r="I84" s="20">
        <v>64277</v>
      </c>
      <c r="J84" s="20">
        <v>112121</v>
      </c>
      <c r="K84" s="20" t="s">
        <v>20</v>
      </c>
      <c r="L84" s="20">
        <v>1</v>
      </c>
      <c r="M84" s="34">
        <v>10000</v>
      </c>
      <c r="N84" s="34">
        <f t="shared" si="6"/>
        <v>10000</v>
      </c>
      <c r="O84" s="20"/>
      <c r="P84" s="20">
        <f t="shared" si="7"/>
        <v>13</v>
      </c>
      <c r="Q84" s="142"/>
      <c r="T84" s="86"/>
      <c r="U84" s="86"/>
      <c r="V84" s="86"/>
    </row>
    <row r="85" spans="1:26" ht="15" hidden="1" customHeight="1" x14ac:dyDescent="0.25">
      <c r="A85" s="20" t="s">
        <v>308</v>
      </c>
      <c r="B85" s="61">
        <v>46066</v>
      </c>
      <c r="C85" s="106">
        <f t="shared" si="4"/>
        <v>345</v>
      </c>
      <c r="D85" s="20">
        <f t="shared" si="5"/>
        <v>0</v>
      </c>
      <c r="E85" s="20"/>
      <c r="F85" s="20"/>
      <c r="G85" s="32" t="s">
        <v>149</v>
      </c>
      <c r="H85" s="20" t="s">
        <v>2613</v>
      </c>
      <c r="I85" s="20">
        <v>64277</v>
      </c>
      <c r="J85" s="20">
        <v>112121</v>
      </c>
      <c r="K85" s="20" t="s">
        <v>20</v>
      </c>
      <c r="L85" s="20">
        <v>1</v>
      </c>
      <c r="M85" s="34">
        <v>1000</v>
      </c>
      <c r="N85" s="34">
        <f t="shared" si="6"/>
        <v>1000</v>
      </c>
      <c r="O85" s="20"/>
      <c r="P85" s="20">
        <f t="shared" si="7"/>
        <v>13</v>
      </c>
      <c r="Q85" s="142"/>
      <c r="T85" s="86"/>
      <c r="U85" s="86"/>
      <c r="V85" s="86"/>
    </row>
    <row r="86" spans="1:26" ht="15" hidden="1" customHeight="1" x14ac:dyDescent="0.25">
      <c r="A86" s="20" t="s">
        <v>308</v>
      </c>
      <c r="B86" s="61">
        <v>46066</v>
      </c>
      <c r="C86" s="106">
        <f t="shared" si="4"/>
        <v>345</v>
      </c>
      <c r="D86" s="20">
        <f t="shared" si="5"/>
        <v>0</v>
      </c>
      <c r="E86" s="20"/>
      <c r="F86" s="20"/>
      <c r="G86" s="32" t="s">
        <v>149</v>
      </c>
      <c r="H86" s="20" t="s">
        <v>2613</v>
      </c>
      <c r="I86" s="20">
        <v>64277</v>
      </c>
      <c r="J86" s="20">
        <v>112121</v>
      </c>
      <c r="K86" s="20" t="s">
        <v>20</v>
      </c>
      <c r="L86" s="20">
        <v>1</v>
      </c>
      <c r="M86" s="34">
        <v>10000</v>
      </c>
      <c r="N86" s="34">
        <f t="shared" si="6"/>
        <v>10000</v>
      </c>
      <c r="O86" s="20"/>
      <c r="P86" s="20">
        <f t="shared" si="7"/>
        <v>13</v>
      </c>
      <c r="Q86" s="142"/>
      <c r="T86" s="86"/>
      <c r="U86" s="86"/>
      <c r="V86" s="86"/>
    </row>
    <row r="87" spans="1:26" ht="15" hidden="1" customHeight="1" x14ac:dyDescent="0.25">
      <c r="A87" s="20" t="s">
        <v>308</v>
      </c>
      <c r="B87" s="61">
        <v>46066</v>
      </c>
      <c r="C87" s="106">
        <f t="shared" si="4"/>
        <v>345</v>
      </c>
      <c r="D87" s="20">
        <f t="shared" si="5"/>
        <v>0</v>
      </c>
      <c r="E87" s="20"/>
      <c r="F87" s="20"/>
      <c r="G87" s="32" t="s">
        <v>149</v>
      </c>
      <c r="H87" s="20" t="s">
        <v>2613</v>
      </c>
      <c r="I87" s="20">
        <v>64277</v>
      </c>
      <c r="J87" s="20">
        <v>112121</v>
      </c>
      <c r="K87" s="20" t="s">
        <v>20</v>
      </c>
      <c r="L87" s="20">
        <v>1</v>
      </c>
      <c r="M87" s="34">
        <v>1000</v>
      </c>
      <c r="N87" s="34">
        <f t="shared" si="6"/>
        <v>1000</v>
      </c>
      <c r="O87" s="20"/>
      <c r="P87" s="20">
        <f t="shared" si="7"/>
        <v>13</v>
      </c>
      <c r="Q87" s="142"/>
      <c r="T87" s="86"/>
      <c r="U87" s="86"/>
      <c r="V87" s="86"/>
      <c r="Y87" s="60">
        <f>SUM(U87:V87)</f>
        <v>0</v>
      </c>
      <c r="Z87" s="60" t="str">
        <f>IF(U87&gt;0,"BN","BC")</f>
        <v>BC</v>
      </c>
    </row>
    <row r="88" spans="1:26" ht="15" hidden="1" customHeight="1" x14ac:dyDescent="0.25">
      <c r="A88" s="20" t="s">
        <v>308</v>
      </c>
      <c r="B88" s="61">
        <v>46066</v>
      </c>
      <c r="C88" s="106">
        <f t="shared" si="4"/>
        <v>346</v>
      </c>
      <c r="D88" s="20">
        <f t="shared" si="5"/>
        <v>1</v>
      </c>
      <c r="E88" s="20"/>
      <c r="F88" s="20"/>
      <c r="G88" s="32" t="s">
        <v>149</v>
      </c>
      <c r="H88" s="20" t="s">
        <v>3032</v>
      </c>
      <c r="I88" s="20">
        <v>1111</v>
      </c>
      <c r="J88" s="20">
        <v>112121</v>
      </c>
      <c r="K88" s="20" t="s">
        <v>20</v>
      </c>
      <c r="L88" s="20">
        <v>1</v>
      </c>
      <c r="M88" s="34">
        <v>30000000</v>
      </c>
      <c r="N88" s="34">
        <f t="shared" si="6"/>
        <v>30000000</v>
      </c>
      <c r="O88" s="20"/>
      <c r="P88" s="20">
        <f t="shared" si="7"/>
        <v>40</v>
      </c>
      <c r="Q88" s="142"/>
      <c r="T88" s="86"/>
      <c r="U88" s="86"/>
      <c r="V88" s="86"/>
      <c r="Y88" s="60">
        <f t="shared" ref="Y88:Y152" si="8">SUM(U88:V88)</f>
        <v>0</v>
      </c>
      <c r="Z88" s="60" t="str">
        <f t="shared" ref="Z88:Z152" si="9">IF(U88&gt;0,"BN","BC")</f>
        <v>BC</v>
      </c>
    </row>
    <row r="89" spans="1:26" ht="15" hidden="1" customHeight="1" x14ac:dyDescent="0.25">
      <c r="A89" s="20" t="s">
        <v>308</v>
      </c>
      <c r="B89" s="61">
        <v>46066</v>
      </c>
      <c r="C89" s="106">
        <f t="shared" si="4"/>
        <v>346</v>
      </c>
      <c r="D89" s="20">
        <f t="shared" si="5"/>
        <v>0</v>
      </c>
      <c r="E89" s="20"/>
      <c r="F89" s="20"/>
      <c r="G89" s="32" t="s">
        <v>149</v>
      </c>
      <c r="H89" s="20" t="s">
        <v>3032</v>
      </c>
      <c r="I89" s="20">
        <v>1111</v>
      </c>
      <c r="J89" s="20">
        <v>112121</v>
      </c>
      <c r="K89" s="20" t="s">
        <v>20</v>
      </c>
      <c r="L89" s="20">
        <v>1</v>
      </c>
      <c r="M89" s="34">
        <v>30000000</v>
      </c>
      <c r="N89" s="34">
        <f t="shared" si="6"/>
        <v>30000000</v>
      </c>
      <c r="O89" s="20"/>
      <c r="P89" s="20">
        <f t="shared" si="7"/>
        <v>40</v>
      </c>
      <c r="Q89" s="142"/>
      <c r="T89" s="86"/>
      <c r="U89" s="86"/>
      <c r="V89" s="86"/>
      <c r="Y89" s="60">
        <f t="shared" si="8"/>
        <v>0</v>
      </c>
      <c r="Z89" s="60" t="str">
        <f t="shared" si="9"/>
        <v>BC</v>
      </c>
    </row>
    <row r="90" spans="1:26" ht="15" hidden="1" customHeight="1" x14ac:dyDescent="0.25">
      <c r="A90" s="20" t="s">
        <v>308</v>
      </c>
      <c r="B90" s="61">
        <v>46067</v>
      </c>
      <c r="C90" s="106">
        <f t="shared" si="4"/>
        <v>347</v>
      </c>
      <c r="D90" s="20">
        <f t="shared" si="5"/>
        <v>1</v>
      </c>
      <c r="E90" s="20"/>
      <c r="F90" s="20"/>
      <c r="G90" s="32" t="s">
        <v>149</v>
      </c>
      <c r="H90" s="20" t="s">
        <v>2613</v>
      </c>
      <c r="I90" s="20">
        <v>64277</v>
      </c>
      <c r="J90" s="20">
        <v>112121</v>
      </c>
      <c r="K90" s="20" t="s">
        <v>20</v>
      </c>
      <c r="L90" s="20">
        <v>1</v>
      </c>
      <c r="M90" s="34">
        <v>10000</v>
      </c>
      <c r="N90" s="34">
        <f t="shared" si="6"/>
        <v>10000</v>
      </c>
      <c r="O90" s="20"/>
      <c r="P90" s="20">
        <f t="shared" si="7"/>
        <v>13</v>
      </c>
      <c r="Q90" s="142"/>
      <c r="T90" s="86"/>
      <c r="U90" s="86"/>
      <c r="V90" s="86"/>
      <c r="Y90" s="60">
        <f>SUM(U90:V90)</f>
        <v>0</v>
      </c>
      <c r="Z90" s="60" t="str">
        <f t="shared" si="9"/>
        <v>BC</v>
      </c>
    </row>
    <row r="91" spans="1:26" ht="15" hidden="1" customHeight="1" x14ac:dyDescent="0.25">
      <c r="A91" s="20" t="s">
        <v>308</v>
      </c>
      <c r="B91" s="61">
        <v>46067</v>
      </c>
      <c r="C91" s="106">
        <f t="shared" si="4"/>
        <v>347</v>
      </c>
      <c r="D91" s="20">
        <f t="shared" si="5"/>
        <v>0</v>
      </c>
      <c r="E91" s="20"/>
      <c r="F91" s="20"/>
      <c r="G91" s="32" t="s">
        <v>149</v>
      </c>
      <c r="H91" s="20" t="s">
        <v>2613</v>
      </c>
      <c r="I91" s="20">
        <v>64277</v>
      </c>
      <c r="J91" s="20">
        <v>112121</v>
      </c>
      <c r="K91" s="20" t="s">
        <v>20</v>
      </c>
      <c r="L91" s="20">
        <v>1</v>
      </c>
      <c r="M91" s="34">
        <v>1000</v>
      </c>
      <c r="N91" s="34">
        <f t="shared" si="6"/>
        <v>1000</v>
      </c>
      <c r="O91" s="20"/>
      <c r="P91" s="20">
        <f t="shared" si="7"/>
        <v>13</v>
      </c>
      <c r="Q91" s="142"/>
      <c r="T91" s="86"/>
      <c r="U91" s="86"/>
      <c r="V91" s="86"/>
      <c r="Y91" s="60">
        <f t="shared" si="8"/>
        <v>0</v>
      </c>
      <c r="Z91" s="60" t="str">
        <f t="shared" si="9"/>
        <v>BC</v>
      </c>
    </row>
    <row r="92" spans="1:26" ht="15" hidden="1" customHeight="1" x14ac:dyDescent="0.25">
      <c r="A92" s="20" t="s">
        <v>308</v>
      </c>
      <c r="B92" s="61">
        <v>46067</v>
      </c>
      <c r="C92" s="106">
        <f t="shared" si="4"/>
        <v>348</v>
      </c>
      <c r="D92" s="20">
        <f t="shared" si="5"/>
        <v>1</v>
      </c>
      <c r="E92" s="20"/>
      <c r="F92" s="20"/>
      <c r="G92" s="32" t="s">
        <v>149</v>
      </c>
      <c r="H92" s="20" t="s">
        <v>3032</v>
      </c>
      <c r="I92" s="20">
        <v>1111</v>
      </c>
      <c r="J92" s="20">
        <v>112121</v>
      </c>
      <c r="K92" s="20" t="s">
        <v>20</v>
      </c>
      <c r="L92" s="20">
        <v>1</v>
      </c>
      <c r="M92" s="34">
        <v>40000000</v>
      </c>
      <c r="N92" s="34">
        <f t="shared" si="6"/>
        <v>40000000</v>
      </c>
      <c r="O92" s="20"/>
      <c r="P92" s="20">
        <f t="shared" si="7"/>
        <v>40</v>
      </c>
      <c r="Q92" s="142"/>
      <c r="T92" s="86"/>
      <c r="U92" s="86"/>
      <c r="V92" s="86"/>
      <c r="Y92" s="60">
        <f t="shared" si="8"/>
        <v>0</v>
      </c>
      <c r="Z92" s="60" t="str">
        <f t="shared" si="9"/>
        <v>BC</v>
      </c>
    </row>
    <row r="93" spans="1:26" ht="15" hidden="1" customHeight="1" x14ac:dyDescent="0.25">
      <c r="A93" s="20" t="s">
        <v>308</v>
      </c>
      <c r="B93" s="61">
        <v>46077</v>
      </c>
      <c r="C93" s="106">
        <f t="shared" si="4"/>
        <v>349</v>
      </c>
      <c r="D93" s="20">
        <f t="shared" si="5"/>
        <v>1</v>
      </c>
      <c r="E93" s="20"/>
      <c r="F93" s="20"/>
      <c r="G93" s="32" t="s">
        <v>39</v>
      </c>
      <c r="H93" s="20" t="s">
        <v>4740</v>
      </c>
      <c r="I93" s="20">
        <v>3388</v>
      </c>
      <c r="J93" s="20">
        <v>112121</v>
      </c>
      <c r="K93" s="20" t="s">
        <v>20</v>
      </c>
      <c r="L93" s="20">
        <v>1</v>
      </c>
      <c r="M93" s="34">
        <v>63870968</v>
      </c>
      <c r="N93" s="34">
        <f t="shared" si="6"/>
        <v>63870968</v>
      </c>
      <c r="O93" s="20"/>
      <c r="P93" s="20">
        <f t="shared" si="7"/>
        <v>26</v>
      </c>
      <c r="Q93" s="142"/>
      <c r="T93" s="86"/>
      <c r="U93" s="86"/>
      <c r="V93" s="86"/>
      <c r="Y93" s="60">
        <f t="shared" si="8"/>
        <v>0</v>
      </c>
      <c r="Z93" s="60" t="str">
        <f t="shared" si="9"/>
        <v>BC</v>
      </c>
    </row>
    <row r="94" spans="1:26" ht="15" hidden="1" customHeight="1" x14ac:dyDescent="0.25">
      <c r="A94" s="20" t="s">
        <v>308</v>
      </c>
      <c r="B94" s="61">
        <v>46077</v>
      </c>
      <c r="C94" s="106">
        <f t="shared" si="4"/>
        <v>350</v>
      </c>
      <c r="D94" s="20">
        <f t="shared" si="5"/>
        <v>1</v>
      </c>
      <c r="E94" s="20"/>
      <c r="F94" s="20"/>
      <c r="G94" s="32" t="s">
        <v>149</v>
      </c>
      <c r="H94" s="20" t="s">
        <v>2613</v>
      </c>
      <c r="I94" s="20">
        <v>64277</v>
      </c>
      <c r="J94" s="20">
        <v>112121</v>
      </c>
      <c r="K94" s="20" t="s">
        <v>20</v>
      </c>
      <c r="L94" s="20">
        <v>1</v>
      </c>
      <c r="M94" s="34">
        <v>10000</v>
      </c>
      <c r="N94" s="34">
        <f t="shared" si="6"/>
        <v>10000</v>
      </c>
      <c r="O94" s="20"/>
      <c r="P94" s="20">
        <f t="shared" si="7"/>
        <v>13</v>
      </c>
      <c r="Q94" s="142"/>
      <c r="T94" s="86"/>
      <c r="U94" s="86"/>
      <c r="V94" s="86"/>
      <c r="Y94" s="60">
        <f t="shared" si="8"/>
        <v>0</v>
      </c>
      <c r="Z94" s="60" t="str">
        <f t="shared" si="9"/>
        <v>BC</v>
      </c>
    </row>
    <row r="95" spans="1:26" ht="15" hidden="1" customHeight="1" x14ac:dyDescent="0.25">
      <c r="A95" s="20" t="s">
        <v>308</v>
      </c>
      <c r="B95" s="61">
        <v>46077</v>
      </c>
      <c r="C95" s="106">
        <f t="shared" si="4"/>
        <v>350</v>
      </c>
      <c r="D95" s="20">
        <f t="shared" si="5"/>
        <v>0</v>
      </c>
      <c r="E95" s="20"/>
      <c r="F95" s="20"/>
      <c r="G95" s="32" t="s">
        <v>149</v>
      </c>
      <c r="H95" s="20" t="s">
        <v>2613</v>
      </c>
      <c r="I95" s="20">
        <v>64277</v>
      </c>
      <c r="J95" s="20">
        <v>112121</v>
      </c>
      <c r="K95" s="20" t="s">
        <v>20</v>
      </c>
      <c r="L95" s="20">
        <v>1</v>
      </c>
      <c r="M95" s="34">
        <v>1000</v>
      </c>
      <c r="N95" s="34">
        <f t="shared" si="6"/>
        <v>1000</v>
      </c>
      <c r="O95" s="20"/>
      <c r="P95" s="20">
        <f t="shared" si="7"/>
        <v>13</v>
      </c>
      <c r="Q95" s="142"/>
      <c r="T95" s="86"/>
      <c r="U95" s="86"/>
      <c r="V95" s="86"/>
      <c r="Y95" s="60">
        <f t="shared" si="8"/>
        <v>0</v>
      </c>
      <c r="Z95" s="60" t="str">
        <f t="shared" si="9"/>
        <v>BC</v>
      </c>
    </row>
    <row r="96" spans="1:26" ht="15" hidden="1" customHeight="1" x14ac:dyDescent="0.25">
      <c r="A96" s="20" t="s">
        <v>308</v>
      </c>
      <c r="B96" s="61">
        <v>46080</v>
      </c>
      <c r="C96" s="106">
        <f t="shared" si="4"/>
        <v>350</v>
      </c>
      <c r="D96" s="20">
        <f t="shared" si="5"/>
        <v>0</v>
      </c>
      <c r="E96" s="20"/>
      <c r="F96" s="20"/>
      <c r="G96" s="32" t="s">
        <v>149</v>
      </c>
      <c r="H96" s="20" t="s">
        <v>2613</v>
      </c>
      <c r="I96" s="20">
        <v>64277</v>
      </c>
      <c r="J96" s="20">
        <v>112121</v>
      </c>
      <c r="K96" s="20" t="s">
        <v>20</v>
      </c>
      <c r="L96" s="20">
        <v>1</v>
      </c>
      <c r="M96" s="34">
        <v>10000</v>
      </c>
      <c r="N96" s="34">
        <f t="shared" si="6"/>
        <v>10000</v>
      </c>
      <c r="O96" s="20"/>
      <c r="P96" s="20">
        <f t="shared" si="7"/>
        <v>13</v>
      </c>
      <c r="Q96" s="142"/>
      <c r="T96" s="86"/>
      <c r="U96" s="86"/>
      <c r="V96" s="86"/>
      <c r="Y96" s="60">
        <f t="shared" si="8"/>
        <v>0</v>
      </c>
      <c r="Z96" s="60" t="str">
        <f t="shared" si="9"/>
        <v>BC</v>
      </c>
    </row>
    <row r="97" spans="1:26" ht="15" hidden="1" customHeight="1" x14ac:dyDescent="0.25">
      <c r="A97" s="20" t="s">
        <v>308</v>
      </c>
      <c r="B97" s="61">
        <v>46080</v>
      </c>
      <c r="C97" s="106">
        <f t="shared" si="4"/>
        <v>350</v>
      </c>
      <c r="D97" s="20">
        <f t="shared" si="5"/>
        <v>0</v>
      </c>
      <c r="E97" s="20"/>
      <c r="F97" s="20"/>
      <c r="G97" s="32" t="s">
        <v>149</v>
      </c>
      <c r="H97" s="20" t="s">
        <v>2613</v>
      </c>
      <c r="I97" s="20">
        <v>64277</v>
      </c>
      <c r="J97" s="20">
        <v>112121</v>
      </c>
      <c r="K97" s="20" t="s">
        <v>20</v>
      </c>
      <c r="L97" s="20">
        <v>1</v>
      </c>
      <c r="M97" s="34">
        <v>1000</v>
      </c>
      <c r="N97" s="34">
        <f t="shared" si="6"/>
        <v>1000</v>
      </c>
      <c r="O97" s="20"/>
      <c r="P97" s="20">
        <f t="shared" si="7"/>
        <v>13</v>
      </c>
      <c r="Q97" s="142"/>
      <c r="T97" s="86"/>
      <c r="U97" s="86"/>
      <c r="V97" s="86"/>
      <c r="Y97" s="60">
        <f t="shared" si="8"/>
        <v>0</v>
      </c>
      <c r="Z97" s="60" t="str">
        <f t="shared" si="9"/>
        <v>BC</v>
      </c>
    </row>
    <row r="98" spans="1:26" ht="15" hidden="1" customHeight="1" x14ac:dyDescent="0.25">
      <c r="A98" s="20" t="s">
        <v>308</v>
      </c>
      <c r="B98" s="61">
        <v>46080</v>
      </c>
      <c r="C98" s="106">
        <f t="shared" si="4"/>
        <v>351</v>
      </c>
      <c r="D98" s="20">
        <f t="shared" si="5"/>
        <v>1</v>
      </c>
      <c r="E98" s="20"/>
      <c r="F98" s="20"/>
      <c r="G98" s="32" t="s">
        <v>149</v>
      </c>
      <c r="H98" s="20" t="s">
        <v>3032</v>
      </c>
      <c r="I98" s="20">
        <v>1111</v>
      </c>
      <c r="J98" s="20">
        <v>112121</v>
      </c>
      <c r="K98" s="20" t="s">
        <v>20</v>
      </c>
      <c r="L98" s="20">
        <v>1</v>
      </c>
      <c r="M98" s="34">
        <v>20000000</v>
      </c>
      <c r="N98" s="34">
        <f t="shared" si="6"/>
        <v>20000000</v>
      </c>
      <c r="O98" s="20"/>
      <c r="P98" s="20">
        <f t="shared" si="7"/>
        <v>40</v>
      </c>
      <c r="Q98" s="142"/>
      <c r="T98" s="86"/>
      <c r="U98" s="86"/>
      <c r="V98" s="86"/>
      <c r="Y98" s="60">
        <f t="shared" si="8"/>
        <v>0</v>
      </c>
      <c r="Z98" s="60" t="str">
        <f t="shared" si="9"/>
        <v>BC</v>
      </c>
    </row>
    <row r="99" spans="1:26" ht="15" hidden="1" customHeight="1" x14ac:dyDescent="0.25">
      <c r="A99" s="20" t="s">
        <v>308</v>
      </c>
      <c r="B99" s="61">
        <v>46081</v>
      </c>
      <c r="C99" s="106">
        <f t="shared" si="4"/>
        <v>352</v>
      </c>
      <c r="D99" s="20">
        <f t="shared" si="5"/>
        <v>1</v>
      </c>
      <c r="E99" s="20"/>
      <c r="F99" s="20"/>
      <c r="G99" s="32" t="s">
        <v>149</v>
      </c>
      <c r="H99" s="20" t="s">
        <v>2613</v>
      </c>
      <c r="I99" s="20">
        <v>64277</v>
      </c>
      <c r="J99" s="20">
        <v>112121</v>
      </c>
      <c r="K99" s="20" t="s">
        <v>20</v>
      </c>
      <c r="L99" s="20">
        <v>1</v>
      </c>
      <c r="M99" s="34">
        <v>10000</v>
      </c>
      <c r="N99" s="34">
        <f t="shared" si="6"/>
        <v>10000</v>
      </c>
      <c r="O99" s="20"/>
      <c r="P99" s="20">
        <f t="shared" si="7"/>
        <v>13</v>
      </c>
      <c r="Q99" s="142"/>
      <c r="T99" s="86"/>
      <c r="U99" s="86"/>
      <c r="V99" s="86"/>
      <c r="Y99" s="60">
        <f t="shared" si="8"/>
        <v>0</v>
      </c>
      <c r="Z99" s="60" t="str">
        <f t="shared" si="9"/>
        <v>BC</v>
      </c>
    </row>
    <row r="100" spans="1:26" ht="15" hidden="1" customHeight="1" x14ac:dyDescent="0.25">
      <c r="A100" s="20" t="s">
        <v>308</v>
      </c>
      <c r="B100" s="61">
        <v>46081</v>
      </c>
      <c r="C100" s="106">
        <f t="shared" si="4"/>
        <v>352</v>
      </c>
      <c r="D100" s="20">
        <f t="shared" si="5"/>
        <v>0</v>
      </c>
      <c r="E100" s="20"/>
      <c r="F100" s="20"/>
      <c r="G100" s="32" t="s">
        <v>149</v>
      </c>
      <c r="H100" s="20" t="s">
        <v>2613</v>
      </c>
      <c r="I100" s="20">
        <v>64277</v>
      </c>
      <c r="J100" s="20">
        <v>112121</v>
      </c>
      <c r="K100" s="20" t="s">
        <v>20</v>
      </c>
      <c r="L100" s="20">
        <v>1</v>
      </c>
      <c r="M100" s="34">
        <v>1000</v>
      </c>
      <c r="N100" s="34">
        <f t="shared" si="6"/>
        <v>1000</v>
      </c>
      <c r="O100" s="20"/>
      <c r="P100" s="20">
        <f t="shared" si="7"/>
        <v>13</v>
      </c>
      <c r="Q100" s="142"/>
      <c r="T100" s="86"/>
      <c r="U100" s="86"/>
      <c r="V100" s="86"/>
      <c r="Y100" s="60">
        <f t="shared" si="8"/>
        <v>0</v>
      </c>
      <c r="Z100" s="60" t="str">
        <f t="shared" si="9"/>
        <v>BC</v>
      </c>
    </row>
    <row r="101" spans="1:26" ht="15" hidden="1" customHeight="1" x14ac:dyDescent="0.25">
      <c r="A101" s="20" t="s">
        <v>308</v>
      </c>
      <c r="B101" s="61">
        <v>46081</v>
      </c>
      <c r="C101" s="106">
        <f t="shared" si="4"/>
        <v>353</v>
      </c>
      <c r="D101" s="20">
        <f t="shared" si="5"/>
        <v>1</v>
      </c>
      <c r="E101" s="20"/>
      <c r="F101" s="20"/>
      <c r="G101" s="32" t="s">
        <v>149</v>
      </c>
      <c r="H101" s="20" t="s">
        <v>3032</v>
      </c>
      <c r="I101" s="20">
        <v>1111</v>
      </c>
      <c r="J101" s="20">
        <v>112121</v>
      </c>
      <c r="K101" s="20" t="s">
        <v>20</v>
      </c>
      <c r="L101" s="20">
        <v>1</v>
      </c>
      <c r="M101" s="34">
        <v>50000000</v>
      </c>
      <c r="N101" s="34">
        <f t="shared" si="6"/>
        <v>50000000</v>
      </c>
      <c r="O101" s="20"/>
      <c r="P101" s="20">
        <f t="shared" si="7"/>
        <v>40</v>
      </c>
      <c r="Q101" s="142"/>
      <c r="T101" s="86"/>
      <c r="U101" s="86"/>
      <c r="V101" s="86"/>
      <c r="Y101" s="60">
        <f t="shared" si="8"/>
        <v>0</v>
      </c>
      <c r="Z101" s="60" t="str">
        <f t="shared" si="9"/>
        <v>BC</v>
      </c>
    </row>
    <row r="102" spans="1:26" ht="15" hidden="1" customHeight="1" x14ac:dyDescent="0.25">
      <c r="A102" s="20" t="s">
        <v>308</v>
      </c>
      <c r="B102" s="61">
        <v>46082</v>
      </c>
      <c r="C102" s="106">
        <f t="shared" si="4"/>
        <v>354</v>
      </c>
      <c r="D102" s="20">
        <f t="shared" si="5"/>
        <v>1</v>
      </c>
      <c r="E102" s="20"/>
      <c r="F102" s="20"/>
      <c r="G102" s="32" t="s">
        <v>71</v>
      </c>
      <c r="H102" s="20" t="s">
        <v>3026</v>
      </c>
      <c r="I102" s="20">
        <v>3383</v>
      </c>
      <c r="J102" s="20">
        <v>112121</v>
      </c>
      <c r="K102" s="20" t="s">
        <v>20</v>
      </c>
      <c r="L102" s="20">
        <v>1</v>
      </c>
      <c r="M102" s="34">
        <v>2950000</v>
      </c>
      <c r="N102" s="34">
        <f t="shared" si="6"/>
        <v>2950000</v>
      </c>
      <c r="O102" s="20"/>
      <c r="P102" s="20">
        <f t="shared" si="7"/>
        <v>34</v>
      </c>
      <c r="Q102" s="142"/>
      <c r="T102" s="86"/>
      <c r="U102" s="86"/>
      <c r="V102" s="86"/>
      <c r="Y102" s="60">
        <f t="shared" si="8"/>
        <v>0</v>
      </c>
      <c r="Z102" s="60" t="str">
        <f t="shared" si="9"/>
        <v>BC</v>
      </c>
    </row>
    <row r="103" spans="1:26" ht="15" hidden="1" customHeight="1" x14ac:dyDescent="0.25">
      <c r="A103" s="20" t="s">
        <v>308</v>
      </c>
      <c r="B103" s="61">
        <v>46082</v>
      </c>
      <c r="C103" s="106">
        <f t="shared" si="4"/>
        <v>354</v>
      </c>
      <c r="D103" s="20">
        <f t="shared" si="5"/>
        <v>0</v>
      </c>
      <c r="E103" s="20"/>
      <c r="F103" s="20"/>
      <c r="G103" s="32" t="s">
        <v>71</v>
      </c>
      <c r="H103" s="20" t="s">
        <v>3026</v>
      </c>
      <c r="I103" s="20">
        <v>3383</v>
      </c>
      <c r="J103" s="20">
        <v>112121</v>
      </c>
      <c r="K103" s="20" t="s">
        <v>20</v>
      </c>
      <c r="L103" s="20">
        <v>1</v>
      </c>
      <c r="M103" s="34">
        <v>2950000</v>
      </c>
      <c r="N103" s="34">
        <f t="shared" si="6"/>
        <v>2950000</v>
      </c>
      <c r="O103" s="20"/>
      <c r="P103" s="20">
        <f t="shared" si="7"/>
        <v>34</v>
      </c>
      <c r="Q103" s="142"/>
      <c r="T103" s="86"/>
      <c r="U103" s="86"/>
      <c r="V103" s="86"/>
      <c r="Y103" s="60">
        <f t="shared" si="8"/>
        <v>0</v>
      </c>
      <c r="Z103" s="60" t="str">
        <f t="shared" si="9"/>
        <v>BC</v>
      </c>
    </row>
    <row r="104" spans="1:26" ht="15" hidden="1" customHeight="1" x14ac:dyDescent="0.25">
      <c r="A104" s="20" t="s">
        <v>308</v>
      </c>
      <c r="B104" s="61">
        <v>46082</v>
      </c>
      <c r="C104" s="106">
        <f t="shared" si="4"/>
        <v>354</v>
      </c>
      <c r="D104" s="20">
        <f t="shared" si="5"/>
        <v>0</v>
      </c>
      <c r="E104" s="20"/>
      <c r="F104" s="20"/>
      <c r="G104" s="32" t="s">
        <v>71</v>
      </c>
      <c r="H104" s="20" t="s">
        <v>3026</v>
      </c>
      <c r="I104" s="20">
        <v>3383</v>
      </c>
      <c r="J104" s="20">
        <v>112121</v>
      </c>
      <c r="K104" s="20" t="s">
        <v>20</v>
      </c>
      <c r="L104" s="20">
        <v>1</v>
      </c>
      <c r="M104" s="34">
        <v>3846800</v>
      </c>
      <c r="N104" s="34">
        <f t="shared" si="6"/>
        <v>3846800</v>
      </c>
      <c r="O104" s="20"/>
      <c r="P104" s="20">
        <f t="shared" si="7"/>
        <v>34</v>
      </c>
      <c r="Q104" s="142"/>
      <c r="T104" s="86"/>
      <c r="U104" s="86"/>
      <c r="V104" s="86"/>
      <c r="Y104" s="60">
        <f t="shared" si="8"/>
        <v>0</v>
      </c>
      <c r="Z104" s="60" t="str">
        <f t="shared" si="9"/>
        <v>BC</v>
      </c>
    </row>
    <row r="105" spans="1:26" ht="15" hidden="1" customHeight="1" x14ac:dyDescent="0.25">
      <c r="A105" s="20" t="s">
        <v>308</v>
      </c>
      <c r="B105" s="61">
        <v>46082</v>
      </c>
      <c r="C105" s="106">
        <f t="shared" si="4"/>
        <v>355</v>
      </c>
      <c r="D105" s="20">
        <f t="shared" si="5"/>
        <v>1</v>
      </c>
      <c r="E105" s="20"/>
      <c r="F105" s="20"/>
      <c r="G105" s="32" t="s">
        <v>149</v>
      </c>
      <c r="H105" s="20" t="s">
        <v>2613</v>
      </c>
      <c r="I105" s="20">
        <v>64277</v>
      </c>
      <c r="J105" s="20">
        <v>112121</v>
      </c>
      <c r="K105" s="20" t="s">
        <v>20</v>
      </c>
      <c r="L105" s="20">
        <v>1</v>
      </c>
      <c r="M105" s="34">
        <v>10000</v>
      </c>
      <c r="N105" s="34">
        <f t="shared" si="6"/>
        <v>10000</v>
      </c>
      <c r="O105" s="20"/>
      <c r="P105" s="20">
        <f t="shared" si="7"/>
        <v>13</v>
      </c>
      <c r="Q105" s="142"/>
      <c r="T105" s="86"/>
      <c r="U105" s="86"/>
      <c r="V105" s="86"/>
      <c r="Y105" s="60">
        <f t="shared" si="8"/>
        <v>0</v>
      </c>
      <c r="Z105" s="60" t="str">
        <f t="shared" si="9"/>
        <v>BC</v>
      </c>
    </row>
    <row r="106" spans="1:26" ht="15" hidden="1" customHeight="1" x14ac:dyDescent="0.25">
      <c r="A106" s="20" t="s">
        <v>308</v>
      </c>
      <c r="B106" s="61">
        <v>46082</v>
      </c>
      <c r="C106" s="106">
        <f t="shared" si="4"/>
        <v>355</v>
      </c>
      <c r="D106" s="20">
        <f t="shared" si="5"/>
        <v>0</v>
      </c>
      <c r="E106" s="20"/>
      <c r="F106" s="20"/>
      <c r="G106" s="32" t="s">
        <v>149</v>
      </c>
      <c r="H106" s="20" t="s">
        <v>2613</v>
      </c>
      <c r="I106" s="20">
        <v>64277</v>
      </c>
      <c r="J106" s="20">
        <v>112121</v>
      </c>
      <c r="K106" s="20" t="s">
        <v>20</v>
      </c>
      <c r="L106" s="20">
        <v>1</v>
      </c>
      <c r="M106" s="34">
        <v>1000</v>
      </c>
      <c r="N106" s="34">
        <f t="shared" si="6"/>
        <v>1000</v>
      </c>
      <c r="O106" s="20"/>
      <c r="P106" s="20">
        <f t="shared" si="7"/>
        <v>13</v>
      </c>
      <c r="Q106" s="142"/>
      <c r="T106" s="86"/>
      <c r="U106" s="86"/>
      <c r="V106" s="86"/>
      <c r="Y106" s="60">
        <f t="shared" si="8"/>
        <v>0</v>
      </c>
      <c r="Z106" s="60" t="str">
        <f t="shared" si="9"/>
        <v>BC</v>
      </c>
    </row>
    <row r="107" spans="1:26" ht="15" hidden="1" customHeight="1" x14ac:dyDescent="0.25">
      <c r="A107" s="20" t="s">
        <v>308</v>
      </c>
      <c r="B107" s="61">
        <v>46082</v>
      </c>
      <c r="C107" s="106">
        <f t="shared" si="4"/>
        <v>355</v>
      </c>
      <c r="D107" s="20">
        <f t="shared" si="5"/>
        <v>0</v>
      </c>
      <c r="E107" s="20"/>
      <c r="F107" s="20"/>
      <c r="G107" s="32" t="s">
        <v>149</v>
      </c>
      <c r="H107" s="20" t="s">
        <v>2613</v>
      </c>
      <c r="I107" s="20">
        <v>64277</v>
      </c>
      <c r="J107" s="20">
        <v>112121</v>
      </c>
      <c r="K107" s="20" t="s">
        <v>20</v>
      </c>
      <c r="L107" s="20">
        <v>1</v>
      </c>
      <c r="M107" s="34">
        <v>10000</v>
      </c>
      <c r="N107" s="34">
        <f t="shared" si="6"/>
        <v>10000</v>
      </c>
      <c r="O107" s="20"/>
      <c r="P107" s="20">
        <f t="shared" si="7"/>
        <v>13</v>
      </c>
      <c r="Q107" s="142"/>
      <c r="T107" s="86"/>
      <c r="U107" s="86"/>
      <c r="V107" s="86"/>
      <c r="Y107" s="60">
        <f t="shared" si="8"/>
        <v>0</v>
      </c>
      <c r="Z107" s="60" t="str">
        <f t="shared" si="9"/>
        <v>BC</v>
      </c>
    </row>
    <row r="108" spans="1:26" ht="15" hidden="1" customHeight="1" x14ac:dyDescent="0.25">
      <c r="A108" s="20" t="s">
        <v>308</v>
      </c>
      <c r="B108" s="61">
        <v>46082</v>
      </c>
      <c r="C108" s="106">
        <f t="shared" si="4"/>
        <v>355</v>
      </c>
      <c r="D108" s="20">
        <f t="shared" si="5"/>
        <v>0</v>
      </c>
      <c r="E108" s="20"/>
      <c r="F108" s="20"/>
      <c r="G108" s="32" t="s">
        <v>149</v>
      </c>
      <c r="H108" s="20" t="s">
        <v>2613</v>
      </c>
      <c r="I108" s="20">
        <v>64277</v>
      </c>
      <c r="J108" s="20">
        <v>112121</v>
      </c>
      <c r="K108" s="20" t="s">
        <v>20</v>
      </c>
      <c r="L108" s="20">
        <v>1</v>
      </c>
      <c r="M108" s="34">
        <v>1000</v>
      </c>
      <c r="N108" s="34">
        <f t="shared" si="6"/>
        <v>1000</v>
      </c>
      <c r="O108" s="20"/>
      <c r="P108" s="20">
        <f t="shared" si="7"/>
        <v>13</v>
      </c>
      <c r="Q108" s="142"/>
      <c r="T108" s="86"/>
      <c r="U108" s="86"/>
      <c r="V108" s="86"/>
      <c r="Y108" s="60">
        <f t="shared" si="8"/>
        <v>0</v>
      </c>
      <c r="Z108" s="60" t="str">
        <f t="shared" si="9"/>
        <v>BC</v>
      </c>
    </row>
    <row r="109" spans="1:26" ht="15" hidden="1" customHeight="1" x14ac:dyDescent="0.25">
      <c r="A109" s="20" t="s">
        <v>308</v>
      </c>
      <c r="B109" s="61">
        <v>46082</v>
      </c>
      <c r="C109" s="106">
        <f t="shared" si="4"/>
        <v>355</v>
      </c>
      <c r="D109" s="20">
        <f t="shared" si="5"/>
        <v>0</v>
      </c>
      <c r="E109" s="20"/>
      <c r="F109" s="20"/>
      <c r="G109" s="32" t="s">
        <v>149</v>
      </c>
      <c r="H109" s="20" t="s">
        <v>2613</v>
      </c>
      <c r="I109" s="20">
        <v>64277</v>
      </c>
      <c r="J109" s="20">
        <v>112121</v>
      </c>
      <c r="K109" s="20" t="s">
        <v>20</v>
      </c>
      <c r="L109" s="20">
        <v>1</v>
      </c>
      <c r="M109" s="34">
        <v>10000</v>
      </c>
      <c r="N109" s="34">
        <f t="shared" si="6"/>
        <v>10000</v>
      </c>
      <c r="O109" s="20"/>
      <c r="P109" s="20">
        <f t="shared" si="7"/>
        <v>13</v>
      </c>
      <c r="Q109" s="142"/>
      <c r="T109" s="86"/>
      <c r="U109" s="86"/>
      <c r="V109" s="86"/>
      <c r="Y109" s="60">
        <f t="shared" si="8"/>
        <v>0</v>
      </c>
      <c r="Z109" s="60" t="str">
        <f t="shared" si="9"/>
        <v>BC</v>
      </c>
    </row>
    <row r="110" spans="1:26" ht="15" hidden="1" customHeight="1" x14ac:dyDescent="0.25">
      <c r="A110" s="20" t="s">
        <v>308</v>
      </c>
      <c r="B110" s="61">
        <v>46082</v>
      </c>
      <c r="C110" s="106">
        <f t="shared" si="4"/>
        <v>355</v>
      </c>
      <c r="D110" s="20">
        <f t="shared" si="5"/>
        <v>0</v>
      </c>
      <c r="E110" s="20"/>
      <c r="F110" s="20"/>
      <c r="G110" s="32" t="s">
        <v>149</v>
      </c>
      <c r="H110" s="20" t="s">
        <v>2613</v>
      </c>
      <c r="I110" s="20">
        <v>64277</v>
      </c>
      <c r="J110" s="20">
        <v>112121</v>
      </c>
      <c r="K110" s="20" t="s">
        <v>20</v>
      </c>
      <c r="L110" s="20">
        <v>1</v>
      </c>
      <c r="M110" s="34">
        <v>1000</v>
      </c>
      <c r="N110" s="34">
        <f t="shared" si="6"/>
        <v>1000</v>
      </c>
      <c r="O110" s="20"/>
      <c r="P110" s="20">
        <f t="shared" si="7"/>
        <v>13</v>
      </c>
      <c r="Q110" s="142"/>
      <c r="T110" s="86"/>
      <c r="U110" s="86"/>
      <c r="V110" s="86"/>
      <c r="Y110" s="60">
        <f t="shared" si="8"/>
        <v>0</v>
      </c>
      <c r="Z110" s="60" t="str">
        <f t="shared" si="9"/>
        <v>BC</v>
      </c>
    </row>
    <row r="111" spans="1:26" ht="15" hidden="1" customHeight="1" x14ac:dyDescent="0.25">
      <c r="A111" s="20" t="s">
        <v>308</v>
      </c>
      <c r="B111" s="61">
        <v>46082</v>
      </c>
      <c r="C111" s="106">
        <f t="shared" si="4"/>
        <v>355</v>
      </c>
      <c r="D111" s="20">
        <f t="shared" si="5"/>
        <v>0</v>
      </c>
      <c r="E111" s="20"/>
      <c r="F111" s="20"/>
      <c r="G111" s="32" t="s">
        <v>149</v>
      </c>
      <c r="H111" s="20" t="s">
        <v>2613</v>
      </c>
      <c r="I111" s="20">
        <v>64277</v>
      </c>
      <c r="J111" s="20">
        <v>112121</v>
      </c>
      <c r="K111" s="20" t="s">
        <v>20</v>
      </c>
      <c r="L111" s="20">
        <v>1</v>
      </c>
      <c r="M111" s="34">
        <v>10000</v>
      </c>
      <c r="N111" s="34">
        <f t="shared" si="6"/>
        <v>10000</v>
      </c>
      <c r="O111" s="20"/>
      <c r="P111" s="20">
        <f t="shared" si="7"/>
        <v>13</v>
      </c>
      <c r="Q111" s="142"/>
      <c r="T111" s="86"/>
      <c r="U111" s="86"/>
      <c r="V111" s="86"/>
      <c r="Y111" s="60">
        <f t="shared" si="8"/>
        <v>0</v>
      </c>
      <c r="Z111" s="60" t="str">
        <f t="shared" si="9"/>
        <v>BC</v>
      </c>
    </row>
    <row r="112" spans="1:26" ht="15" hidden="1" customHeight="1" x14ac:dyDescent="0.25">
      <c r="A112" s="20" t="s">
        <v>308</v>
      </c>
      <c r="B112" s="61">
        <v>46082</v>
      </c>
      <c r="C112" s="106">
        <f t="shared" si="4"/>
        <v>355</v>
      </c>
      <c r="D112" s="20">
        <f t="shared" si="5"/>
        <v>0</v>
      </c>
      <c r="E112" s="20"/>
      <c r="F112" s="20"/>
      <c r="G112" s="32" t="s">
        <v>149</v>
      </c>
      <c r="H112" s="20" t="s">
        <v>2613</v>
      </c>
      <c r="I112" s="20">
        <v>64277</v>
      </c>
      <c r="J112" s="20">
        <v>112121</v>
      </c>
      <c r="K112" s="20" t="s">
        <v>20</v>
      </c>
      <c r="L112" s="20">
        <v>1</v>
      </c>
      <c r="M112" s="34">
        <v>1000</v>
      </c>
      <c r="N112" s="34">
        <f t="shared" si="6"/>
        <v>1000</v>
      </c>
      <c r="O112" s="20"/>
      <c r="P112" s="20">
        <f t="shared" si="7"/>
        <v>13</v>
      </c>
      <c r="Q112" s="142"/>
      <c r="T112" s="86"/>
      <c r="U112" s="86"/>
      <c r="V112" s="86"/>
      <c r="Y112" s="60">
        <f t="shared" si="8"/>
        <v>0</v>
      </c>
      <c r="Z112" s="60" t="str">
        <f t="shared" si="9"/>
        <v>BC</v>
      </c>
    </row>
    <row r="113" spans="1:26" ht="15" hidden="1" customHeight="1" x14ac:dyDescent="0.25">
      <c r="A113" s="20" t="s">
        <v>308</v>
      </c>
      <c r="B113" s="61">
        <v>46082</v>
      </c>
      <c r="C113" s="106">
        <f t="shared" si="4"/>
        <v>356</v>
      </c>
      <c r="D113" s="20">
        <f t="shared" si="5"/>
        <v>1</v>
      </c>
      <c r="E113" s="20"/>
      <c r="F113" s="20"/>
      <c r="G113" s="32" t="s">
        <v>149</v>
      </c>
      <c r="H113" s="20" t="s">
        <v>3032</v>
      </c>
      <c r="I113" s="20">
        <v>1111</v>
      </c>
      <c r="J113" s="20">
        <v>112121</v>
      </c>
      <c r="K113" s="20" t="s">
        <v>20</v>
      </c>
      <c r="L113" s="20">
        <v>1</v>
      </c>
      <c r="M113" s="34">
        <v>20000000</v>
      </c>
      <c r="N113" s="34">
        <f t="shared" si="6"/>
        <v>20000000</v>
      </c>
      <c r="O113" s="20"/>
      <c r="P113" s="20">
        <f t="shared" si="7"/>
        <v>40</v>
      </c>
      <c r="Q113" s="142"/>
      <c r="T113" s="86"/>
      <c r="U113" s="86"/>
      <c r="V113" s="86"/>
      <c r="Y113" s="60">
        <f t="shared" si="8"/>
        <v>0</v>
      </c>
      <c r="Z113" s="60" t="str">
        <f t="shared" si="9"/>
        <v>BC</v>
      </c>
    </row>
    <row r="114" spans="1:26" ht="15" hidden="1" customHeight="1" x14ac:dyDescent="0.25">
      <c r="A114" s="20" t="s">
        <v>308</v>
      </c>
      <c r="B114" s="61">
        <v>46083</v>
      </c>
      <c r="C114" s="106">
        <f t="shared" si="4"/>
        <v>357</v>
      </c>
      <c r="D114" s="20">
        <f t="shared" si="5"/>
        <v>1</v>
      </c>
      <c r="E114" s="20"/>
      <c r="F114" s="20"/>
      <c r="G114" s="32" t="s">
        <v>149</v>
      </c>
      <c r="H114" s="20" t="s">
        <v>2613</v>
      </c>
      <c r="I114" s="20">
        <v>64277</v>
      </c>
      <c r="J114" s="20">
        <v>112121</v>
      </c>
      <c r="K114" s="20" t="s">
        <v>20</v>
      </c>
      <c r="L114" s="20">
        <v>1</v>
      </c>
      <c r="M114" s="34">
        <v>10000</v>
      </c>
      <c r="N114" s="34">
        <f t="shared" si="6"/>
        <v>10000</v>
      </c>
      <c r="O114" s="20"/>
      <c r="P114" s="20">
        <f t="shared" si="7"/>
        <v>13</v>
      </c>
      <c r="Q114" s="142"/>
      <c r="T114" s="86"/>
      <c r="U114" s="86"/>
      <c r="V114" s="86"/>
      <c r="Y114" s="60">
        <f t="shared" si="8"/>
        <v>0</v>
      </c>
      <c r="Z114" s="60" t="str">
        <f t="shared" si="9"/>
        <v>BC</v>
      </c>
    </row>
    <row r="115" spans="1:26" ht="15" hidden="1" customHeight="1" x14ac:dyDescent="0.25">
      <c r="A115" s="20" t="s">
        <v>308</v>
      </c>
      <c r="B115" s="61">
        <v>46083</v>
      </c>
      <c r="C115" s="106">
        <f t="shared" si="4"/>
        <v>357</v>
      </c>
      <c r="D115" s="20">
        <f t="shared" si="5"/>
        <v>0</v>
      </c>
      <c r="E115" s="20"/>
      <c r="F115" s="20"/>
      <c r="G115" s="32" t="s">
        <v>149</v>
      </c>
      <c r="H115" s="20" t="s">
        <v>2613</v>
      </c>
      <c r="I115" s="20">
        <v>64277</v>
      </c>
      <c r="J115" s="20">
        <v>112121</v>
      </c>
      <c r="K115" s="20" t="s">
        <v>20</v>
      </c>
      <c r="L115" s="20">
        <v>1</v>
      </c>
      <c r="M115" s="34">
        <v>1000</v>
      </c>
      <c r="N115" s="34">
        <f t="shared" si="6"/>
        <v>1000</v>
      </c>
      <c r="O115" s="20"/>
      <c r="P115" s="20">
        <f t="shared" si="7"/>
        <v>13</v>
      </c>
      <c r="Q115" s="142"/>
      <c r="T115" s="86"/>
      <c r="U115" s="86"/>
      <c r="V115" s="86"/>
      <c r="Y115" s="60">
        <f t="shared" si="8"/>
        <v>0</v>
      </c>
      <c r="Z115" s="60" t="str">
        <f t="shared" si="9"/>
        <v>BC</v>
      </c>
    </row>
    <row r="116" spans="1:26" ht="15" hidden="1" customHeight="1" x14ac:dyDescent="0.25">
      <c r="A116" s="20" t="s">
        <v>308</v>
      </c>
      <c r="B116" s="61">
        <v>46083</v>
      </c>
      <c r="C116" s="106">
        <f t="shared" si="4"/>
        <v>357</v>
      </c>
      <c r="D116" s="20">
        <f t="shared" si="5"/>
        <v>0</v>
      </c>
      <c r="E116" s="20"/>
      <c r="F116" s="20"/>
      <c r="G116" s="32" t="s">
        <v>149</v>
      </c>
      <c r="H116" s="20" t="s">
        <v>2613</v>
      </c>
      <c r="I116" s="20">
        <v>64277</v>
      </c>
      <c r="J116" s="20">
        <v>112121</v>
      </c>
      <c r="K116" s="20" t="s">
        <v>20</v>
      </c>
      <c r="L116" s="20">
        <v>1</v>
      </c>
      <c r="M116" s="34">
        <v>10000</v>
      </c>
      <c r="N116" s="34">
        <f t="shared" si="6"/>
        <v>10000</v>
      </c>
      <c r="O116" s="20"/>
      <c r="P116" s="20">
        <f t="shared" si="7"/>
        <v>13</v>
      </c>
      <c r="Q116" s="142"/>
      <c r="T116" s="86"/>
      <c r="U116" s="86"/>
      <c r="V116" s="86"/>
      <c r="Y116" s="60">
        <f t="shared" si="8"/>
        <v>0</v>
      </c>
      <c r="Z116" s="60" t="str">
        <f t="shared" si="9"/>
        <v>BC</v>
      </c>
    </row>
    <row r="117" spans="1:26" ht="15" hidden="1" customHeight="1" x14ac:dyDescent="0.25">
      <c r="A117" s="20" t="s">
        <v>308</v>
      </c>
      <c r="B117" s="61">
        <v>46083</v>
      </c>
      <c r="C117" s="106">
        <f t="shared" si="4"/>
        <v>357</v>
      </c>
      <c r="D117" s="20">
        <f t="shared" si="5"/>
        <v>0</v>
      </c>
      <c r="E117" s="20"/>
      <c r="F117" s="20"/>
      <c r="G117" s="32" t="s">
        <v>149</v>
      </c>
      <c r="H117" s="20" t="s">
        <v>2613</v>
      </c>
      <c r="I117" s="20">
        <v>64277</v>
      </c>
      <c r="J117" s="20">
        <v>112121</v>
      </c>
      <c r="K117" s="20" t="s">
        <v>20</v>
      </c>
      <c r="L117" s="20">
        <v>1</v>
      </c>
      <c r="M117" s="34">
        <v>1000</v>
      </c>
      <c r="N117" s="34">
        <f t="shared" si="6"/>
        <v>1000</v>
      </c>
      <c r="O117" s="20"/>
      <c r="P117" s="20">
        <f t="shared" si="7"/>
        <v>13</v>
      </c>
      <c r="Q117" s="142"/>
      <c r="T117" s="86"/>
      <c r="U117" s="86"/>
      <c r="V117" s="86"/>
      <c r="Y117" s="60">
        <f t="shared" si="8"/>
        <v>0</v>
      </c>
      <c r="Z117" s="60" t="str">
        <f t="shared" si="9"/>
        <v>BC</v>
      </c>
    </row>
    <row r="118" spans="1:26" ht="15" hidden="1" customHeight="1" x14ac:dyDescent="0.25">
      <c r="A118" s="20" t="s">
        <v>308</v>
      </c>
      <c r="B118" s="61">
        <v>46083</v>
      </c>
      <c r="C118" s="106">
        <f t="shared" si="4"/>
        <v>357</v>
      </c>
      <c r="D118" s="20">
        <f t="shared" si="5"/>
        <v>0</v>
      </c>
      <c r="E118" s="20"/>
      <c r="F118" s="20"/>
      <c r="G118" s="32" t="s">
        <v>149</v>
      </c>
      <c r="H118" s="20" t="s">
        <v>2613</v>
      </c>
      <c r="I118" s="20">
        <v>64277</v>
      </c>
      <c r="J118" s="20">
        <v>112121</v>
      </c>
      <c r="K118" s="20" t="s">
        <v>20</v>
      </c>
      <c r="L118" s="20">
        <v>1</v>
      </c>
      <c r="M118" s="34">
        <v>10000</v>
      </c>
      <c r="N118" s="34">
        <f t="shared" si="6"/>
        <v>10000</v>
      </c>
      <c r="O118" s="20"/>
      <c r="P118" s="20">
        <f t="shared" si="7"/>
        <v>13</v>
      </c>
      <c r="Q118" s="142"/>
      <c r="T118" s="86"/>
      <c r="U118" s="86"/>
      <c r="V118" s="86"/>
      <c r="Y118" s="60">
        <f t="shared" si="8"/>
        <v>0</v>
      </c>
      <c r="Z118" s="60" t="str">
        <f t="shared" si="9"/>
        <v>BC</v>
      </c>
    </row>
    <row r="119" spans="1:26" ht="15" hidden="1" customHeight="1" x14ac:dyDescent="0.25">
      <c r="A119" s="20" t="s">
        <v>308</v>
      </c>
      <c r="B119" s="61">
        <v>46083</v>
      </c>
      <c r="C119" s="106">
        <f t="shared" si="4"/>
        <v>357</v>
      </c>
      <c r="D119" s="20">
        <f t="shared" si="5"/>
        <v>0</v>
      </c>
      <c r="E119" s="20"/>
      <c r="F119" s="20"/>
      <c r="G119" s="32" t="s">
        <v>149</v>
      </c>
      <c r="H119" s="20" t="s">
        <v>2613</v>
      </c>
      <c r="I119" s="20">
        <v>64277</v>
      </c>
      <c r="J119" s="20">
        <v>112121</v>
      </c>
      <c r="K119" s="20" t="s">
        <v>20</v>
      </c>
      <c r="L119" s="20">
        <v>1</v>
      </c>
      <c r="M119" s="34">
        <v>1000</v>
      </c>
      <c r="N119" s="34">
        <f t="shared" si="6"/>
        <v>1000</v>
      </c>
      <c r="O119" s="20"/>
      <c r="P119" s="20">
        <f t="shared" si="7"/>
        <v>13</v>
      </c>
      <c r="Q119" s="142"/>
      <c r="T119" s="86"/>
      <c r="U119" s="86"/>
      <c r="V119" s="86"/>
      <c r="Y119" s="60">
        <f t="shared" si="8"/>
        <v>0</v>
      </c>
      <c r="Z119" s="60" t="str">
        <f t="shared" si="9"/>
        <v>BC</v>
      </c>
    </row>
    <row r="120" spans="1:26" ht="15" hidden="1" customHeight="1" x14ac:dyDescent="0.25">
      <c r="A120" s="20" t="s">
        <v>308</v>
      </c>
      <c r="B120" s="61">
        <v>46083</v>
      </c>
      <c r="C120" s="106">
        <f t="shared" si="4"/>
        <v>357</v>
      </c>
      <c r="D120" s="20">
        <f t="shared" si="5"/>
        <v>0</v>
      </c>
      <c r="E120" s="20"/>
      <c r="F120" s="20"/>
      <c r="G120" s="32" t="s">
        <v>149</v>
      </c>
      <c r="H120" s="20" t="s">
        <v>2613</v>
      </c>
      <c r="I120" s="20">
        <v>64277</v>
      </c>
      <c r="J120" s="20">
        <v>112121</v>
      </c>
      <c r="K120" s="20" t="s">
        <v>20</v>
      </c>
      <c r="L120" s="20">
        <v>1</v>
      </c>
      <c r="M120" s="34">
        <v>10000</v>
      </c>
      <c r="N120" s="34">
        <f t="shared" si="6"/>
        <v>10000</v>
      </c>
      <c r="O120" s="20"/>
      <c r="P120" s="20">
        <f t="shared" si="7"/>
        <v>13</v>
      </c>
      <c r="Q120" s="142"/>
      <c r="T120" s="86"/>
      <c r="U120" s="86"/>
      <c r="V120" s="86"/>
      <c r="Y120" s="60">
        <f t="shared" si="8"/>
        <v>0</v>
      </c>
      <c r="Z120" s="60" t="str">
        <f t="shared" si="9"/>
        <v>BC</v>
      </c>
    </row>
    <row r="121" spans="1:26" ht="15" hidden="1" customHeight="1" x14ac:dyDescent="0.25">
      <c r="A121" s="20" t="s">
        <v>308</v>
      </c>
      <c r="B121" s="61">
        <v>46083</v>
      </c>
      <c r="C121" s="106">
        <f t="shared" si="4"/>
        <v>357</v>
      </c>
      <c r="D121" s="20">
        <f t="shared" si="5"/>
        <v>0</v>
      </c>
      <c r="E121" s="20"/>
      <c r="F121" s="20"/>
      <c r="G121" s="32" t="s">
        <v>149</v>
      </c>
      <c r="H121" s="20" t="s">
        <v>2613</v>
      </c>
      <c r="I121" s="20">
        <v>64277</v>
      </c>
      <c r="J121" s="20">
        <v>112121</v>
      </c>
      <c r="K121" s="20" t="s">
        <v>20</v>
      </c>
      <c r="L121" s="20">
        <v>1</v>
      </c>
      <c r="M121" s="34">
        <v>1000</v>
      </c>
      <c r="N121" s="34">
        <f t="shared" si="6"/>
        <v>1000</v>
      </c>
      <c r="O121" s="20"/>
      <c r="P121" s="20">
        <f t="shared" si="7"/>
        <v>13</v>
      </c>
      <c r="Q121" s="142"/>
      <c r="T121" s="86"/>
      <c r="U121" s="86"/>
      <c r="V121" s="86"/>
      <c r="Y121" s="60">
        <f t="shared" si="8"/>
        <v>0</v>
      </c>
      <c r="Z121" s="60" t="str">
        <f t="shared" si="9"/>
        <v>BC</v>
      </c>
    </row>
    <row r="122" spans="1:26" ht="15" hidden="1" customHeight="1" x14ac:dyDescent="0.25">
      <c r="A122" s="20" t="s">
        <v>308</v>
      </c>
      <c r="B122" s="61">
        <v>46083</v>
      </c>
      <c r="C122" s="106">
        <f t="shared" si="4"/>
        <v>357</v>
      </c>
      <c r="D122" s="20">
        <f t="shared" si="5"/>
        <v>0</v>
      </c>
      <c r="E122" s="20"/>
      <c r="F122" s="20"/>
      <c r="G122" s="32" t="s">
        <v>149</v>
      </c>
      <c r="H122" s="20" t="s">
        <v>2613</v>
      </c>
      <c r="I122" s="20">
        <v>64277</v>
      </c>
      <c r="J122" s="20">
        <v>112121</v>
      </c>
      <c r="K122" s="20" t="s">
        <v>20</v>
      </c>
      <c r="L122" s="20">
        <v>1</v>
      </c>
      <c r="M122" s="34">
        <v>10000</v>
      </c>
      <c r="N122" s="34">
        <f t="shared" si="6"/>
        <v>10000</v>
      </c>
      <c r="O122" s="20"/>
      <c r="P122" s="20">
        <f t="shared" si="7"/>
        <v>13</v>
      </c>
      <c r="Q122" s="142"/>
      <c r="T122" s="86"/>
      <c r="U122" s="86"/>
      <c r="V122" s="86"/>
      <c r="Y122" s="60">
        <f t="shared" si="8"/>
        <v>0</v>
      </c>
      <c r="Z122" s="60" t="str">
        <f t="shared" si="9"/>
        <v>BC</v>
      </c>
    </row>
    <row r="123" spans="1:26" ht="15" hidden="1" customHeight="1" x14ac:dyDescent="0.25">
      <c r="A123" s="20" t="s">
        <v>308</v>
      </c>
      <c r="B123" s="61">
        <v>46083</v>
      </c>
      <c r="C123" s="106">
        <f t="shared" si="4"/>
        <v>357</v>
      </c>
      <c r="D123" s="20">
        <f t="shared" si="5"/>
        <v>0</v>
      </c>
      <c r="E123" s="20"/>
      <c r="F123" s="20"/>
      <c r="G123" s="32" t="s">
        <v>149</v>
      </c>
      <c r="H123" s="20" t="s">
        <v>2613</v>
      </c>
      <c r="I123" s="20">
        <v>64277</v>
      </c>
      <c r="J123" s="20">
        <v>112121</v>
      </c>
      <c r="K123" s="20" t="s">
        <v>20</v>
      </c>
      <c r="L123" s="20">
        <v>1</v>
      </c>
      <c r="M123" s="34">
        <v>1000</v>
      </c>
      <c r="N123" s="34">
        <f t="shared" si="6"/>
        <v>1000</v>
      </c>
      <c r="O123" s="20"/>
      <c r="P123" s="20">
        <f t="shared" si="7"/>
        <v>13</v>
      </c>
      <c r="Q123" s="142"/>
      <c r="T123" s="86"/>
      <c r="U123" s="86"/>
      <c r="V123" s="86"/>
      <c r="Y123" s="60">
        <f t="shared" si="8"/>
        <v>0</v>
      </c>
      <c r="Z123" s="60" t="str">
        <f t="shared" si="9"/>
        <v>BC</v>
      </c>
    </row>
    <row r="124" spans="1:26" ht="15" hidden="1" customHeight="1" x14ac:dyDescent="0.25">
      <c r="A124" s="20" t="s">
        <v>308</v>
      </c>
      <c r="B124" s="61">
        <v>46083</v>
      </c>
      <c r="C124" s="106">
        <f t="shared" si="4"/>
        <v>357</v>
      </c>
      <c r="D124" s="20">
        <f t="shared" si="5"/>
        <v>0</v>
      </c>
      <c r="E124" s="20"/>
      <c r="F124" s="20"/>
      <c r="G124" s="32" t="s">
        <v>149</v>
      </c>
      <c r="H124" s="20" t="s">
        <v>2613</v>
      </c>
      <c r="I124" s="20">
        <v>64277</v>
      </c>
      <c r="J124" s="20">
        <v>112121</v>
      </c>
      <c r="K124" s="20" t="s">
        <v>20</v>
      </c>
      <c r="L124" s="20">
        <v>1</v>
      </c>
      <c r="M124" s="34">
        <v>10000</v>
      </c>
      <c r="N124" s="34">
        <f t="shared" si="6"/>
        <v>10000</v>
      </c>
      <c r="O124" s="20"/>
      <c r="P124" s="20">
        <f t="shared" si="7"/>
        <v>13</v>
      </c>
      <c r="Q124" s="142"/>
      <c r="T124" s="86"/>
      <c r="U124" s="86"/>
      <c r="V124" s="86"/>
      <c r="Y124" s="60">
        <f t="shared" si="8"/>
        <v>0</v>
      </c>
      <c r="Z124" s="60" t="str">
        <f t="shared" si="9"/>
        <v>BC</v>
      </c>
    </row>
    <row r="125" spans="1:26" ht="15" hidden="1" customHeight="1" x14ac:dyDescent="0.25">
      <c r="A125" s="20" t="s">
        <v>308</v>
      </c>
      <c r="B125" s="61">
        <v>46083</v>
      </c>
      <c r="C125" s="106">
        <f t="shared" si="4"/>
        <v>357</v>
      </c>
      <c r="D125" s="20">
        <f t="shared" si="5"/>
        <v>0</v>
      </c>
      <c r="E125" s="20"/>
      <c r="F125" s="20"/>
      <c r="G125" s="32" t="s">
        <v>149</v>
      </c>
      <c r="H125" s="20" t="s">
        <v>2613</v>
      </c>
      <c r="I125" s="20">
        <v>64277</v>
      </c>
      <c r="J125" s="20">
        <v>112121</v>
      </c>
      <c r="K125" s="20" t="s">
        <v>20</v>
      </c>
      <c r="L125" s="20">
        <v>1</v>
      </c>
      <c r="M125" s="34">
        <v>1000</v>
      </c>
      <c r="N125" s="34">
        <f t="shared" si="6"/>
        <v>1000</v>
      </c>
      <c r="O125" s="20"/>
      <c r="P125" s="20">
        <f t="shared" si="7"/>
        <v>13</v>
      </c>
      <c r="Q125" s="142"/>
      <c r="T125" s="86"/>
      <c r="U125" s="86"/>
      <c r="V125" s="86"/>
      <c r="Y125" s="60">
        <f t="shared" si="8"/>
        <v>0</v>
      </c>
      <c r="Z125" s="60" t="str">
        <f t="shared" si="9"/>
        <v>BC</v>
      </c>
    </row>
    <row r="126" spans="1:26" ht="15" hidden="1" customHeight="1" x14ac:dyDescent="0.25">
      <c r="A126" s="20" t="s">
        <v>308</v>
      </c>
      <c r="B126" s="61">
        <v>46083</v>
      </c>
      <c r="C126" s="106">
        <f t="shared" si="4"/>
        <v>358</v>
      </c>
      <c r="D126" s="20">
        <f t="shared" si="5"/>
        <v>1</v>
      </c>
      <c r="E126" s="20"/>
      <c r="F126" s="20"/>
      <c r="G126" s="32" t="s">
        <v>149</v>
      </c>
      <c r="H126" s="20" t="s">
        <v>3032</v>
      </c>
      <c r="I126" s="20">
        <v>1111</v>
      </c>
      <c r="J126" s="20">
        <v>112121</v>
      </c>
      <c r="K126" s="20" t="s">
        <v>20</v>
      </c>
      <c r="L126" s="20">
        <v>1</v>
      </c>
      <c r="M126" s="34">
        <v>50000000</v>
      </c>
      <c r="N126" s="34">
        <f t="shared" si="6"/>
        <v>50000000</v>
      </c>
      <c r="O126" s="20"/>
      <c r="P126" s="20">
        <f t="shared" si="7"/>
        <v>40</v>
      </c>
      <c r="Q126" s="142"/>
      <c r="T126" s="86"/>
      <c r="U126" s="86"/>
      <c r="V126" s="86"/>
      <c r="Y126" s="60">
        <f t="shared" si="8"/>
        <v>0</v>
      </c>
      <c r="Z126" s="60" t="str">
        <f t="shared" si="9"/>
        <v>BC</v>
      </c>
    </row>
    <row r="127" spans="1:26" ht="15" hidden="1" customHeight="1" x14ac:dyDescent="0.25">
      <c r="A127" s="20" t="s">
        <v>308</v>
      </c>
      <c r="B127" s="61">
        <v>46083</v>
      </c>
      <c r="C127" s="106">
        <f t="shared" si="4"/>
        <v>358</v>
      </c>
      <c r="D127" s="20">
        <f t="shared" si="5"/>
        <v>0</v>
      </c>
      <c r="E127" s="20"/>
      <c r="F127" s="20"/>
      <c r="G127" s="32" t="s">
        <v>149</v>
      </c>
      <c r="H127" s="20" t="s">
        <v>3032</v>
      </c>
      <c r="I127" s="20">
        <v>1111</v>
      </c>
      <c r="J127" s="20">
        <v>112121</v>
      </c>
      <c r="K127" s="20" t="s">
        <v>20</v>
      </c>
      <c r="L127" s="20">
        <v>1</v>
      </c>
      <c r="M127" s="34">
        <v>10000000</v>
      </c>
      <c r="N127" s="34">
        <f t="shared" si="6"/>
        <v>10000000</v>
      </c>
      <c r="O127" s="20"/>
      <c r="P127" s="20">
        <f t="shared" si="7"/>
        <v>40</v>
      </c>
      <c r="Q127" s="142"/>
      <c r="T127" s="86"/>
      <c r="U127" s="86"/>
      <c r="V127" s="86"/>
      <c r="Y127" s="60">
        <f t="shared" si="8"/>
        <v>0</v>
      </c>
      <c r="Z127" s="60" t="str">
        <f t="shared" si="9"/>
        <v>BC</v>
      </c>
    </row>
    <row r="128" spans="1:26" ht="15" hidden="1" customHeight="1" x14ac:dyDescent="0.25">
      <c r="A128" s="20" t="s">
        <v>308</v>
      </c>
      <c r="B128" s="61">
        <v>46083</v>
      </c>
      <c r="C128" s="106">
        <f t="shared" si="4"/>
        <v>359</v>
      </c>
      <c r="D128" s="20">
        <f t="shared" si="5"/>
        <v>1</v>
      </c>
      <c r="E128" s="20"/>
      <c r="F128" s="20"/>
      <c r="G128" s="32" t="s">
        <v>149</v>
      </c>
      <c r="H128" s="20" t="s">
        <v>4744</v>
      </c>
      <c r="I128" s="20">
        <v>3341</v>
      </c>
      <c r="J128" s="20">
        <v>112121</v>
      </c>
      <c r="K128" s="20" t="s">
        <v>20</v>
      </c>
      <c r="L128" s="20">
        <v>1</v>
      </c>
      <c r="M128" s="34">
        <v>10000000</v>
      </c>
      <c r="N128" s="34">
        <f t="shared" si="6"/>
        <v>10000000</v>
      </c>
      <c r="O128" s="20"/>
      <c r="P128" s="20">
        <f t="shared" si="7"/>
        <v>45</v>
      </c>
      <c r="Q128" s="142"/>
      <c r="T128" s="86"/>
      <c r="U128" s="86"/>
      <c r="V128" s="86"/>
      <c r="Y128" s="60">
        <f t="shared" si="8"/>
        <v>0</v>
      </c>
      <c r="Z128" s="60" t="str">
        <f t="shared" si="9"/>
        <v>BC</v>
      </c>
    </row>
    <row r="129" spans="1:26" ht="15" hidden="1" customHeight="1" x14ac:dyDescent="0.25">
      <c r="A129" s="20" t="s">
        <v>308</v>
      </c>
      <c r="B129" s="61">
        <v>46083</v>
      </c>
      <c r="C129" s="106">
        <f t="shared" si="4"/>
        <v>360</v>
      </c>
      <c r="D129" s="20">
        <f t="shared" si="5"/>
        <v>1</v>
      </c>
      <c r="E129" s="20"/>
      <c r="F129" s="20"/>
      <c r="G129" s="32" t="s">
        <v>149</v>
      </c>
      <c r="H129" s="20" t="s">
        <v>4743</v>
      </c>
      <c r="I129" s="20">
        <v>3341</v>
      </c>
      <c r="J129" s="20">
        <v>112121</v>
      </c>
      <c r="K129" s="20" t="s">
        <v>20</v>
      </c>
      <c r="L129" s="20">
        <v>1</v>
      </c>
      <c r="M129" s="34">
        <v>10000000</v>
      </c>
      <c r="N129" s="34">
        <f t="shared" si="6"/>
        <v>10000000</v>
      </c>
      <c r="O129" s="20"/>
      <c r="P129" s="20">
        <f t="shared" si="7"/>
        <v>53</v>
      </c>
      <c r="Q129" s="142"/>
      <c r="T129" s="86"/>
      <c r="U129" s="86"/>
      <c r="V129" s="86"/>
      <c r="Y129" s="60">
        <f t="shared" si="8"/>
        <v>0</v>
      </c>
      <c r="Z129" s="60" t="str">
        <f t="shared" si="9"/>
        <v>BC</v>
      </c>
    </row>
    <row r="130" spans="1:26" ht="15" hidden="1" customHeight="1" x14ac:dyDescent="0.25">
      <c r="A130" s="20" t="s">
        <v>308</v>
      </c>
      <c r="B130" s="61">
        <v>46083</v>
      </c>
      <c r="C130" s="106">
        <f t="shared" si="4"/>
        <v>361</v>
      </c>
      <c r="D130" s="20">
        <f t="shared" si="5"/>
        <v>1</v>
      </c>
      <c r="E130" s="20"/>
      <c r="F130" s="20"/>
      <c r="G130" s="32" t="s">
        <v>149</v>
      </c>
      <c r="H130" s="20" t="s">
        <v>4746</v>
      </c>
      <c r="I130" s="20">
        <v>3341</v>
      </c>
      <c r="J130" s="20">
        <v>112121</v>
      </c>
      <c r="K130" s="20" t="s">
        <v>20</v>
      </c>
      <c r="L130" s="20">
        <v>1</v>
      </c>
      <c r="M130" s="34">
        <v>9000000</v>
      </c>
      <c r="N130" s="34">
        <f t="shared" si="6"/>
        <v>9000000</v>
      </c>
      <c r="O130" s="20"/>
      <c r="P130" s="20">
        <f t="shared" si="7"/>
        <v>56</v>
      </c>
      <c r="Q130" s="142"/>
      <c r="T130" s="86"/>
      <c r="U130" s="86"/>
      <c r="V130" s="86"/>
      <c r="Y130" s="60">
        <f t="shared" si="8"/>
        <v>0</v>
      </c>
      <c r="Z130" s="60" t="str">
        <f t="shared" si="9"/>
        <v>BC</v>
      </c>
    </row>
    <row r="131" spans="1:26" ht="15" hidden="1" customHeight="1" x14ac:dyDescent="0.25">
      <c r="A131" s="20" t="s">
        <v>308</v>
      </c>
      <c r="B131" s="61">
        <v>46083</v>
      </c>
      <c r="C131" s="106">
        <f t="shared" si="4"/>
        <v>362</v>
      </c>
      <c r="D131" s="20">
        <f t="shared" si="5"/>
        <v>1</v>
      </c>
      <c r="E131" s="20"/>
      <c r="F131" s="20"/>
      <c r="G131" s="32" t="s">
        <v>149</v>
      </c>
      <c r="H131" s="20" t="s">
        <v>4745</v>
      </c>
      <c r="I131" s="20">
        <v>3341</v>
      </c>
      <c r="J131" s="20">
        <v>112121</v>
      </c>
      <c r="K131" s="20" t="s">
        <v>20</v>
      </c>
      <c r="L131" s="20">
        <v>1</v>
      </c>
      <c r="M131" s="34">
        <v>9000000</v>
      </c>
      <c r="N131" s="34">
        <f t="shared" si="6"/>
        <v>9000000</v>
      </c>
      <c r="O131" s="20"/>
      <c r="P131" s="20">
        <f t="shared" si="7"/>
        <v>49</v>
      </c>
      <c r="Q131" s="142"/>
      <c r="T131" s="86"/>
      <c r="U131" s="86"/>
      <c r="V131" s="86"/>
      <c r="Y131" s="60">
        <f t="shared" si="8"/>
        <v>0</v>
      </c>
      <c r="Z131" s="60" t="str">
        <f t="shared" si="9"/>
        <v>BC</v>
      </c>
    </row>
    <row r="132" spans="1:26" ht="15" hidden="1" customHeight="1" x14ac:dyDescent="0.25">
      <c r="A132" s="20" t="s">
        <v>308</v>
      </c>
      <c r="B132" s="61">
        <v>46085</v>
      </c>
      <c r="C132" s="106">
        <f t="shared" ref="C132:C195" si="10">C131+D132</f>
        <v>363</v>
      </c>
      <c r="D132" s="20">
        <f t="shared" ref="D132:D195" si="11">IF(H132=H131,0,1)</f>
        <v>1</v>
      </c>
      <c r="E132" s="20"/>
      <c r="F132" s="20"/>
      <c r="G132" s="32" t="s">
        <v>149</v>
      </c>
      <c r="H132" s="20" t="s">
        <v>2613</v>
      </c>
      <c r="I132" s="20">
        <v>64277</v>
      </c>
      <c r="J132" s="20">
        <v>112121</v>
      </c>
      <c r="K132" s="20" t="s">
        <v>20</v>
      </c>
      <c r="L132" s="20">
        <v>1</v>
      </c>
      <c r="M132" s="34">
        <v>10000</v>
      </c>
      <c r="N132" s="34">
        <f t="shared" ref="N132:N195" si="12">L132*M132</f>
        <v>10000</v>
      </c>
      <c r="O132" s="20"/>
      <c r="P132" s="20">
        <f t="shared" ref="P132:P195" si="13">LEN(H132)</f>
        <v>13</v>
      </c>
      <c r="Q132" s="142"/>
      <c r="T132" s="86"/>
      <c r="U132" s="86"/>
      <c r="V132" s="86"/>
      <c r="Y132" s="60">
        <f t="shared" si="8"/>
        <v>0</v>
      </c>
      <c r="Z132" s="60" t="str">
        <f t="shared" si="9"/>
        <v>BC</v>
      </c>
    </row>
    <row r="133" spans="1:26" ht="15" hidden="1" customHeight="1" x14ac:dyDescent="0.25">
      <c r="A133" s="20" t="s">
        <v>308</v>
      </c>
      <c r="B133" s="61">
        <v>46085</v>
      </c>
      <c r="C133" s="106">
        <f t="shared" si="10"/>
        <v>363</v>
      </c>
      <c r="D133" s="20">
        <f t="shared" si="11"/>
        <v>0</v>
      </c>
      <c r="E133" s="20"/>
      <c r="F133" s="20"/>
      <c r="G133" s="32" t="s">
        <v>149</v>
      </c>
      <c r="H133" s="20" t="s">
        <v>2613</v>
      </c>
      <c r="I133" s="20">
        <v>64277</v>
      </c>
      <c r="J133" s="20">
        <v>112121</v>
      </c>
      <c r="K133" s="20" t="s">
        <v>20</v>
      </c>
      <c r="L133" s="20">
        <v>1</v>
      </c>
      <c r="M133" s="34">
        <v>1000</v>
      </c>
      <c r="N133" s="34">
        <f t="shared" si="12"/>
        <v>1000</v>
      </c>
      <c r="O133" s="20"/>
      <c r="P133" s="20">
        <f t="shared" si="13"/>
        <v>13</v>
      </c>
      <c r="Q133" s="142"/>
      <c r="T133" s="86"/>
      <c r="U133" s="86"/>
      <c r="V133" s="86"/>
      <c r="Y133" s="60">
        <f t="shared" si="8"/>
        <v>0</v>
      </c>
      <c r="Z133" s="60" t="str">
        <f t="shared" si="9"/>
        <v>BC</v>
      </c>
    </row>
    <row r="134" spans="1:26" ht="15" hidden="1" customHeight="1" x14ac:dyDescent="0.25">
      <c r="A134" s="20" t="s">
        <v>308</v>
      </c>
      <c r="B134" s="61">
        <v>46085</v>
      </c>
      <c r="C134" s="106">
        <f t="shared" si="10"/>
        <v>364</v>
      </c>
      <c r="D134" s="20">
        <f t="shared" si="11"/>
        <v>1</v>
      </c>
      <c r="E134" s="20"/>
      <c r="F134" s="20"/>
      <c r="G134" s="32" t="s">
        <v>149</v>
      </c>
      <c r="H134" s="20" t="s">
        <v>3032</v>
      </c>
      <c r="I134" s="20">
        <v>1111</v>
      </c>
      <c r="J134" s="20">
        <v>112121</v>
      </c>
      <c r="K134" s="20" t="s">
        <v>20</v>
      </c>
      <c r="L134" s="20">
        <v>1</v>
      </c>
      <c r="M134" s="34">
        <v>15000000</v>
      </c>
      <c r="N134" s="34">
        <f t="shared" si="12"/>
        <v>15000000</v>
      </c>
      <c r="O134" s="20"/>
      <c r="P134" s="20">
        <f t="shared" si="13"/>
        <v>40</v>
      </c>
      <c r="Q134" s="142"/>
      <c r="T134" s="86"/>
      <c r="U134" s="86"/>
      <c r="V134" s="86"/>
      <c r="Y134" s="60">
        <f t="shared" si="8"/>
        <v>0</v>
      </c>
      <c r="Z134" s="60" t="str">
        <f t="shared" si="9"/>
        <v>BC</v>
      </c>
    </row>
    <row r="135" spans="1:26" ht="15" hidden="1" customHeight="1" x14ac:dyDescent="0.25">
      <c r="A135" s="20" t="s">
        <v>308</v>
      </c>
      <c r="B135" s="61">
        <v>46090</v>
      </c>
      <c r="C135" s="106">
        <f t="shared" si="10"/>
        <v>365</v>
      </c>
      <c r="D135" s="20">
        <f t="shared" si="11"/>
        <v>1</v>
      </c>
      <c r="E135" s="20"/>
      <c r="F135" s="20"/>
      <c r="G135" s="32" t="s">
        <v>149</v>
      </c>
      <c r="H135" s="20" t="s">
        <v>2613</v>
      </c>
      <c r="I135" s="20">
        <v>64277</v>
      </c>
      <c r="J135" s="20">
        <v>112121</v>
      </c>
      <c r="K135" s="20" t="s">
        <v>20</v>
      </c>
      <c r="L135" s="20">
        <v>1</v>
      </c>
      <c r="M135" s="34">
        <v>1000</v>
      </c>
      <c r="N135" s="34">
        <f t="shared" si="12"/>
        <v>1000</v>
      </c>
      <c r="O135" s="20"/>
      <c r="P135" s="20">
        <f t="shared" si="13"/>
        <v>13</v>
      </c>
      <c r="Q135" s="142"/>
      <c r="T135" s="86"/>
      <c r="U135" s="86"/>
      <c r="V135" s="86"/>
      <c r="Y135" s="60">
        <f t="shared" si="8"/>
        <v>0</v>
      </c>
      <c r="Z135" s="60" t="str">
        <f t="shared" si="9"/>
        <v>BC</v>
      </c>
    </row>
    <row r="136" spans="1:26" ht="15" hidden="1" customHeight="1" x14ac:dyDescent="0.25">
      <c r="A136" s="20" t="s">
        <v>308</v>
      </c>
      <c r="B136" s="61">
        <v>46090</v>
      </c>
      <c r="C136" s="106">
        <f t="shared" si="10"/>
        <v>365</v>
      </c>
      <c r="D136" s="20">
        <f t="shared" si="11"/>
        <v>0</v>
      </c>
      <c r="E136" s="20"/>
      <c r="F136" s="20"/>
      <c r="G136" s="32" t="s">
        <v>149</v>
      </c>
      <c r="H136" s="20" t="s">
        <v>2613</v>
      </c>
      <c r="I136" s="20">
        <v>64277</v>
      </c>
      <c r="J136" s="20">
        <v>112121</v>
      </c>
      <c r="K136" s="20" t="s">
        <v>20</v>
      </c>
      <c r="L136" s="20">
        <v>1</v>
      </c>
      <c r="M136" s="34">
        <v>10000</v>
      </c>
      <c r="N136" s="34">
        <f t="shared" si="12"/>
        <v>10000</v>
      </c>
      <c r="O136" s="20"/>
      <c r="P136" s="20">
        <f t="shared" si="13"/>
        <v>13</v>
      </c>
      <c r="Q136" s="142"/>
      <c r="T136" s="86"/>
      <c r="U136" s="86"/>
      <c r="V136" s="86"/>
      <c r="Y136" s="60">
        <f t="shared" si="8"/>
        <v>0</v>
      </c>
      <c r="Z136" s="60" t="str">
        <f t="shared" si="9"/>
        <v>BC</v>
      </c>
    </row>
    <row r="137" spans="1:26" ht="15" hidden="1" customHeight="1" x14ac:dyDescent="0.25">
      <c r="A137" s="20" t="s">
        <v>308</v>
      </c>
      <c r="B137" s="61">
        <v>46090</v>
      </c>
      <c r="C137" s="106">
        <f t="shared" si="10"/>
        <v>366</v>
      </c>
      <c r="D137" s="20">
        <f t="shared" si="11"/>
        <v>1</v>
      </c>
      <c r="E137" s="20"/>
      <c r="F137" s="20"/>
      <c r="G137" s="32" t="s">
        <v>149</v>
      </c>
      <c r="H137" s="20" t="s">
        <v>3032</v>
      </c>
      <c r="I137" s="20">
        <v>1111</v>
      </c>
      <c r="J137" s="20">
        <v>112121</v>
      </c>
      <c r="K137" s="20" t="s">
        <v>20</v>
      </c>
      <c r="L137" s="20">
        <v>1</v>
      </c>
      <c r="M137" s="34">
        <v>10000000</v>
      </c>
      <c r="N137" s="34">
        <f t="shared" si="12"/>
        <v>10000000</v>
      </c>
      <c r="O137" s="20"/>
      <c r="P137" s="20">
        <f t="shared" si="13"/>
        <v>40</v>
      </c>
      <c r="Q137" s="142"/>
      <c r="T137" s="86"/>
      <c r="U137" s="86"/>
      <c r="V137" s="86"/>
      <c r="Y137" s="60">
        <f t="shared" si="8"/>
        <v>0</v>
      </c>
      <c r="Z137" s="60" t="str">
        <f t="shared" si="9"/>
        <v>BC</v>
      </c>
    </row>
    <row r="138" spans="1:26" ht="15" hidden="1" customHeight="1" x14ac:dyDescent="0.25">
      <c r="A138" s="20" t="s">
        <v>308</v>
      </c>
      <c r="B138" s="61">
        <v>46093</v>
      </c>
      <c r="C138" s="106">
        <f t="shared" si="10"/>
        <v>367</v>
      </c>
      <c r="D138" s="20">
        <f t="shared" si="11"/>
        <v>1</v>
      </c>
      <c r="E138" s="20"/>
      <c r="F138" s="20"/>
      <c r="G138" s="32" t="s">
        <v>149</v>
      </c>
      <c r="H138" s="20" t="s">
        <v>2613</v>
      </c>
      <c r="I138" s="20">
        <v>64277</v>
      </c>
      <c r="J138" s="20">
        <v>112121</v>
      </c>
      <c r="K138" s="20" t="s">
        <v>20</v>
      </c>
      <c r="L138" s="20">
        <v>1</v>
      </c>
      <c r="M138" s="34">
        <v>10000</v>
      </c>
      <c r="N138" s="34">
        <f t="shared" si="12"/>
        <v>10000</v>
      </c>
      <c r="O138" s="20"/>
      <c r="P138" s="20">
        <f t="shared" si="13"/>
        <v>13</v>
      </c>
      <c r="Q138" s="142"/>
      <c r="T138" s="86"/>
      <c r="U138" s="86"/>
      <c r="V138" s="86"/>
      <c r="Y138" s="60">
        <f t="shared" si="8"/>
        <v>0</v>
      </c>
      <c r="Z138" s="60" t="str">
        <f t="shared" si="9"/>
        <v>BC</v>
      </c>
    </row>
    <row r="139" spans="1:26" ht="15" hidden="1" customHeight="1" x14ac:dyDescent="0.25">
      <c r="A139" s="20" t="s">
        <v>308</v>
      </c>
      <c r="B139" s="61">
        <v>46093</v>
      </c>
      <c r="C139" s="106">
        <f t="shared" si="10"/>
        <v>367</v>
      </c>
      <c r="D139" s="20">
        <f t="shared" si="11"/>
        <v>0</v>
      </c>
      <c r="E139" s="20"/>
      <c r="F139" s="20"/>
      <c r="G139" s="32" t="s">
        <v>149</v>
      </c>
      <c r="H139" s="20" t="s">
        <v>2613</v>
      </c>
      <c r="I139" s="20">
        <v>64277</v>
      </c>
      <c r="J139" s="20">
        <v>112121</v>
      </c>
      <c r="K139" s="20" t="s">
        <v>20</v>
      </c>
      <c r="L139" s="20">
        <v>1</v>
      </c>
      <c r="M139" s="34">
        <v>1000</v>
      </c>
      <c r="N139" s="34">
        <f t="shared" si="12"/>
        <v>1000</v>
      </c>
      <c r="O139" s="20"/>
      <c r="P139" s="20">
        <f t="shared" si="13"/>
        <v>13</v>
      </c>
      <c r="Q139" s="142"/>
      <c r="T139" s="86"/>
      <c r="U139" s="86"/>
      <c r="V139" s="86"/>
      <c r="Y139" s="60">
        <f t="shared" si="8"/>
        <v>0</v>
      </c>
      <c r="Z139" s="60" t="str">
        <f t="shared" si="9"/>
        <v>BC</v>
      </c>
    </row>
    <row r="140" spans="1:26" ht="15" hidden="1" customHeight="1" x14ac:dyDescent="0.25">
      <c r="A140" s="20" t="s">
        <v>308</v>
      </c>
      <c r="B140" s="61">
        <v>46093</v>
      </c>
      <c r="C140" s="106">
        <f t="shared" si="10"/>
        <v>368</v>
      </c>
      <c r="D140" s="20">
        <f t="shared" si="11"/>
        <v>1</v>
      </c>
      <c r="E140" s="20"/>
      <c r="F140" s="20"/>
      <c r="G140" s="32" t="s">
        <v>149</v>
      </c>
      <c r="H140" s="20" t="s">
        <v>3032</v>
      </c>
      <c r="I140" s="20">
        <v>1111</v>
      </c>
      <c r="J140" s="20">
        <v>112121</v>
      </c>
      <c r="K140" s="20" t="s">
        <v>20</v>
      </c>
      <c r="L140" s="20">
        <v>1</v>
      </c>
      <c r="M140" s="34">
        <v>10000000</v>
      </c>
      <c r="N140" s="34">
        <f t="shared" si="12"/>
        <v>10000000</v>
      </c>
      <c r="O140" s="20"/>
      <c r="P140" s="20">
        <f t="shared" si="13"/>
        <v>40</v>
      </c>
      <c r="Q140" s="142"/>
      <c r="T140" s="86"/>
      <c r="U140" s="86"/>
      <c r="V140" s="86"/>
      <c r="Y140" s="60">
        <f t="shared" si="8"/>
        <v>0</v>
      </c>
      <c r="Z140" s="60" t="str">
        <f t="shared" si="9"/>
        <v>BC</v>
      </c>
    </row>
    <row r="141" spans="1:26" ht="15" hidden="1" customHeight="1" x14ac:dyDescent="0.25">
      <c r="A141" s="20" t="s">
        <v>308</v>
      </c>
      <c r="B141" s="61">
        <v>46095</v>
      </c>
      <c r="C141" s="106">
        <f t="shared" si="10"/>
        <v>369</v>
      </c>
      <c r="D141" s="20">
        <f t="shared" si="11"/>
        <v>1</v>
      </c>
      <c r="E141" s="20"/>
      <c r="F141" s="20"/>
      <c r="G141" s="32" t="s">
        <v>149</v>
      </c>
      <c r="H141" s="20" t="s">
        <v>2613</v>
      </c>
      <c r="I141" s="20">
        <v>64277</v>
      </c>
      <c r="J141" s="20">
        <v>112121</v>
      </c>
      <c r="K141" s="20" t="s">
        <v>20</v>
      </c>
      <c r="L141" s="20">
        <v>1</v>
      </c>
      <c r="M141" s="34">
        <v>1000</v>
      </c>
      <c r="N141" s="34">
        <f t="shared" si="12"/>
        <v>1000</v>
      </c>
      <c r="O141" s="20"/>
      <c r="P141" s="20">
        <f t="shared" si="13"/>
        <v>13</v>
      </c>
      <c r="Q141" s="142"/>
      <c r="T141" s="86"/>
      <c r="U141" s="86"/>
      <c r="V141" s="86"/>
      <c r="Y141" s="60">
        <f t="shared" si="8"/>
        <v>0</v>
      </c>
      <c r="Z141" s="60" t="str">
        <f t="shared" si="9"/>
        <v>BC</v>
      </c>
    </row>
    <row r="142" spans="1:26" ht="15" hidden="1" customHeight="1" x14ac:dyDescent="0.25">
      <c r="A142" s="20" t="s">
        <v>308</v>
      </c>
      <c r="B142" s="61">
        <v>46095</v>
      </c>
      <c r="C142" s="106">
        <f t="shared" si="10"/>
        <v>369</v>
      </c>
      <c r="D142" s="20">
        <f t="shared" si="11"/>
        <v>0</v>
      </c>
      <c r="E142" s="20"/>
      <c r="F142" s="20"/>
      <c r="G142" s="32" t="s">
        <v>149</v>
      </c>
      <c r="H142" s="20" t="s">
        <v>2613</v>
      </c>
      <c r="I142" s="20">
        <v>64277</v>
      </c>
      <c r="J142" s="20">
        <v>112121</v>
      </c>
      <c r="K142" s="20" t="s">
        <v>20</v>
      </c>
      <c r="L142" s="20">
        <v>1</v>
      </c>
      <c r="M142" s="34">
        <v>10000</v>
      </c>
      <c r="N142" s="34">
        <f t="shared" si="12"/>
        <v>10000</v>
      </c>
      <c r="O142" s="20"/>
      <c r="P142" s="20">
        <f t="shared" si="13"/>
        <v>13</v>
      </c>
      <c r="Q142" s="142"/>
      <c r="T142" s="86"/>
      <c r="U142" s="86"/>
      <c r="V142" s="86"/>
      <c r="Y142" s="60">
        <f t="shared" si="8"/>
        <v>0</v>
      </c>
      <c r="Z142" s="60" t="str">
        <f t="shared" si="9"/>
        <v>BC</v>
      </c>
    </row>
    <row r="143" spans="1:26" ht="15" hidden="1" customHeight="1" x14ac:dyDescent="0.25">
      <c r="A143" s="20" t="s">
        <v>308</v>
      </c>
      <c r="B143" s="61">
        <v>46095</v>
      </c>
      <c r="C143" s="106">
        <f t="shared" si="10"/>
        <v>370</v>
      </c>
      <c r="D143" s="20">
        <f t="shared" si="11"/>
        <v>1</v>
      </c>
      <c r="E143" s="20"/>
      <c r="F143" s="20"/>
      <c r="G143" s="32" t="s">
        <v>149</v>
      </c>
      <c r="H143" s="20" t="s">
        <v>3032</v>
      </c>
      <c r="I143" s="20">
        <v>1111</v>
      </c>
      <c r="J143" s="20">
        <v>112121</v>
      </c>
      <c r="K143" s="20" t="s">
        <v>20</v>
      </c>
      <c r="L143" s="20">
        <v>1</v>
      </c>
      <c r="M143" s="34">
        <v>20000000</v>
      </c>
      <c r="N143" s="34">
        <f t="shared" si="12"/>
        <v>20000000</v>
      </c>
      <c r="O143" s="20"/>
      <c r="P143" s="20">
        <f t="shared" si="13"/>
        <v>40</v>
      </c>
      <c r="Q143" s="142"/>
      <c r="T143" s="86"/>
      <c r="U143" s="86"/>
      <c r="V143" s="86"/>
      <c r="Y143" s="60">
        <f t="shared" si="8"/>
        <v>0</v>
      </c>
      <c r="Z143" s="60" t="str">
        <f t="shared" si="9"/>
        <v>BC</v>
      </c>
    </row>
    <row r="144" spans="1:26" ht="15" hidden="1" customHeight="1" x14ac:dyDescent="0.25">
      <c r="A144" s="20" t="s">
        <v>308</v>
      </c>
      <c r="B144" s="61">
        <v>46102</v>
      </c>
      <c r="C144" s="106">
        <f t="shared" si="10"/>
        <v>370</v>
      </c>
      <c r="D144" s="20">
        <f t="shared" si="11"/>
        <v>0</v>
      </c>
      <c r="E144" s="20"/>
      <c r="F144" s="20"/>
      <c r="G144" s="32" t="s">
        <v>149</v>
      </c>
      <c r="H144" s="20" t="s">
        <v>3032</v>
      </c>
      <c r="I144" s="20">
        <v>1111</v>
      </c>
      <c r="J144" s="20">
        <v>112111</v>
      </c>
      <c r="K144" s="20" t="s">
        <v>20</v>
      </c>
      <c r="L144" s="20">
        <v>1</v>
      </c>
      <c r="M144" s="34">
        <v>3767420</v>
      </c>
      <c r="N144" s="34">
        <f t="shared" si="12"/>
        <v>3767420</v>
      </c>
      <c r="O144" s="20"/>
      <c r="P144" s="20">
        <f t="shared" si="13"/>
        <v>40</v>
      </c>
      <c r="Q144" s="142"/>
      <c r="T144" s="86"/>
      <c r="U144" s="86"/>
      <c r="V144" s="86"/>
      <c r="Y144" s="60">
        <f t="shared" si="8"/>
        <v>0</v>
      </c>
      <c r="Z144" s="60" t="str">
        <f t="shared" si="9"/>
        <v>BC</v>
      </c>
    </row>
    <row r="145" spans="1:26" ht="15" hidden="1" customHeight="1" x14ac:dyDescent="0.25">
      <c r="A145" s="20" t="s">
        <v>308</v>
      </c>
      <c r="B145" s="61">
        <v>46102</v>
      </c>
      <c r="C145" s="106">
        <f t="shared" si="10"/>
        <v>370</v>
      </c>
      <c r="D145" s="20">
        <f t="shared" si="11"/>
        <v>0</v>
      </c>
      <c r="E145" s="20"/>
      <c r="F145" s="20"/>
      <c r="G145" s="32" t="s">
        <v>149</v>
      </c>
      <c r="H145" s="20" t="s">
        <v>3032</v>
      </c>
      <c r="I145" s="20">
        <v>1111</v>
      </c>
      <c r="J145" s="20">
        <v>112111</v>
      </c>
      <c r="K145" s="20" t="s">
        <v>20</v>
      </c>
      <c r="L145" s="20">
        <v>1</v>
      </c>
      <c r="M145" s="34">
        <v>2600000</v>
      </c>
      <c r="N145" s="34">
        <f t="shared" si="12"/>
        <v>2600000</v>
      </c>
      <c r="O145" s="20"/>
      <c r="P145" s="20">
        <f t="shared" si="13"/>
        <v>40</v>
      </c>
      <c r="Q145" s="142"/>
      <c r="T145" s="86"/>
      <c r="U145" s="86"/>
      <c r="V145" s="86"/>
      <c r="Y145" s="60">
        <f t="shared" si="8"/>
        <v>0</v>
      </c>
      <c r="Z145" s="60" t="str">
        <f t="shared" si="9"/>
        <v>BC</v>
      </c>
    </row>
    <row r="146" spans="1:26" ht="15" hidden="1" customHeight="1" x14ac:dyDescent="0.25">
      <c r="A146" s="20" t="s">
        <v>308</v>
      </c>
      <c r="B146" s="61">
        <v>46102</v>
      </c>
      <c r="C146" s="106">
        <f t="shared" si="10"/>
        <v>370</v>
      </c>
      <c r="D146" s="20">
        <f t="shared" si="11"/>
        <v>0</v>
      </c>
      <c r="E146" s="20"/>
      <c r="F146" s="20"/>
      <c r="G146" s="32" t="s">
        <v>149</v>
      </c>
      <c r="H146" s="20" t="s">
        <v>3032</v>
      </c>
      <c r="I146" s="20">
        <v>1111</v>
      </c>
      <c r="J146" s="20">
        <v>112111</v>
      </c>
      <c r="K146" s="20" t="s">
        <v>20</v>
      </c>
      <c r="L146" s="20">
        <v>1</v>
      </c>
      <c r="M146" s="34">
        <v>4000000</v>
      </c>
      <c r="N146" s="34">
        <f t="shared" si="12"/>
        <v>4000000</v>
      </c>
      <c r="O146" s="20"/>
      <c r="P146" s="20">
        <f t="shared" si="13"/>
        <v>40</v>
      </c>
      <c r="Q146" s="142"/>
      <c r="T146" s="86"/>
      <c r="U146" s="86"/>
      <c r="V146" s="86"/>
    </row>
    <row r="147" spans="1:26" ht="15" hidden="1" customHeight="1" x14ac:dyDescent="0.25">
      <c r="A147" s="20" t="s">
        <v>308</v>
      </c>
      <c r="B147" s="61">
        <v>46104</v>
      </c>
      <c r="C147" s="106">
        <f t="shared" si="10"/>
        <v>371</v>
      </c>
      <c r="D147" s="20">
        <f t="shared" si="11"/>
        <v>1</v>
      </c>
      <c r="E147" s="20"/>
      <c r="F147" s="20"/>
      <c r="G147" s="32" t="s">
        <v>149</v>
      </c>
      <c r="H147" s="20" t="s">
        <v>2613</v>
      </c>
      <c r="I147" s="20">
        <v>64277</v>
      </c>
      <c r="J147" s="20">
        <v>112121</v>
      </c>
      <c r="K147" s="20" t="s">
        <v>20</v>
      </c>
      <c r="L147" s="20">
        <v>1</v>
      </c>
      <c r="M147" s="34">
        <v>1000</v>
      </c>
      <c r="N147" s="34">
        <f t="shared" si="12"/>
        <v>1000</v>
      </c>
      <c r="O147" s="20"/>
      <c r="P147" s="20">
        <f t="shared" si="13"/>
        <v>13</v>
      </c>
      <c r="Q147" s="142"/>
      <c r="T147" s="86"/>
      <c r="U147" s="86"/>
      <c r="V147" s="86"/>
      <c r="Y147" s="60">
        <f t="shared" si="8"/>
        <v>0</v>
      </c>
      <c r="Z147" s="60" t="str">
        <f t="shared" si="9"/>
        <v>BC</v>
      </c>
    </row>
    <row r="148" spans="1:26" ht="15" hidden="1" customHeight="1" x14ac:dyDescent="0.25">
      <c r="A148" s="20" t="s">
        <v>308</v>
      </c>
      <c r="B148" s="61">
        <v>46104</v>
      </c>
      <c r="C148" s="106">
        <f t="shared" si="10"/>
        <v>371</v>
      </c>
      <c r="D148" s="20">
        <f t="shared" si="11"/>
        <v>0</v>
      </c>
      <c r="E148" s="20"/>
      <c r="F148" s="20"/>
      <c r="G148" s="32" t="s">
        <v>149</v>
      </c>
      <c r="H148" s="20" t="s">
        <v>2613</v>
      </c>
      <c r="I148" s="20">
        <v>64277</v>
      </c>
      <c r="J148" s="20">
        <v>112121</v>
      </c>
      <c r="K148" s="20" t="s">
        <v>20</v>
      </c>
      <c r="L148" s="20">
        <v>1</v>
      </c>
      <c r="M148" s="34">
        <v>10000</v>
      </c>
      <c r="N148" s="34">
        <f t="shared" si="12"/>
        <v>10000</v>
      </c>
      <c r="O148" s="20"/>
      <c r="P148" s="20">
        <f t="shared" si="13"/>
        <v>13</v>
      </c>
      <c r="Q148" s="142"/>
      <c r="T148" s="86"/>
      <c r="U148" s="86"/>
      <c r="V148" s="86"/>
      <c r="Y148" s="60">
        <f t="shared" si="8"/>
        <v>0</v>
      </c>
      <c r="Z148" s="60" t="str">
        <f t="shared" si="9"/>
        <v>BC</v>
      </c>
    </row>
    <row r="149" spans="1:26" ht="15" hidden="1" customHeight="1" x14ac:dyDescent="0.25">
      <c r="A149" s="20" t="s">
        <v>308</v>
      </c>
      <c r="B149" s="61">
        <v>46104</v>
      </c>
      <c r="C149" s="106">
        <f t="shared" si="10"/>
        <v>371</v>
      </c>
      <c r="D149" s="20">
        <f t="shared" si="11"/>
        <v>0</v>
      </c>
      <c r="E149" s="20"/>
      <c r="F149" s="20"/>
      <c r="G149" s="32" t="s">
        <v>149</v>
      </c>
      <c r="H149" s="20" t="s">
        <v>2613</v>
      </c>
      <c r="I149" s="20">
        <v>64277</v>
      </c>
      <c r="J149" s="20">
        <v>112121</v>
      </c>
      <c r="K149" s="20" t="s">
        <v>20</v>
      </c>
      <c r="L149" s="20">
        <v>1</v>
      </c>
      <c r="M149" s="34">
        <v>1000</v>
      </c>
      <c r="N149" s="34">
        <f t="shared" si="12"/>
        <v>1000</v>
      </c>
      <c r="O149" s="20"/>
      <c r="P149" s="20">
        <f t="shared" si="13"/>
        <v>13</v>
      </c>
      <c r="Q149" s="142"/>
      <c r="T149" s="86"/>
      <c r="U149" s="86"/>
      <c r="V149" s="86"/>
      <c r="Y149" s="60">
        <f t="shared" si="8"/>
        <v>0</v>
      </c>
      <c r="Z149" s="60" t="str">
        <f t="shared" si="9"/>
        <v>BC</v>
      </c>
    </row>
    <row r="150" spans="1:26" ht="15" hidden="1" customHeight="1" x14ac:dyDescent="0.25">
      <c r="A150" s="20" t="s">
        <v>308</v>
      </c>
      <c r="B150" s="61">
        <v>46104</v>
      </c>
      <c r="C150" s="106">
        <f t="shared" si="10"/>
        <v>371</v>
      </c>
      <c r="D150" s="20">
        <f t="shared" si="11"/>
        <v>0</v>
      </c>
      <c r="E150" s="20"/>
      <c r="F150" s="20"/>
      <c r="G150" s="32" t="s">
        <v>149</v>
      </c>
      <c r="H150" s="20" t="s">
        <v>2613</v>
      </c>
      <c r="I150" s="20">
        <v>64277</v>
      </c>
      <c r="J150" s="20">
        <v>112121</v>
      </c>
      <c r="K150" s="20" t="s">
        <v>20</v>
      </c>
      <c r="L150" s="20">
        <v>1</v>
      </c>
      <c r="M150" s="34">
        <v>10000</v>
      </c>
      <c r="N150" s="34">
        <f t="shared" si="12"/>
        <v>10000</v>
      </c>
      <c r="O150" s="20"/>
      <c r="P150" s="20">
        <f t="shared" si="13"/>
        <v>13</v>
      </c>
      <c r="Q150" s="142"/>
      <c r="T150" s="86"/>
      <c r="U150" s="86"/>
      <c r="V150" s="86"/>
      <c r="Y150" s="60">
        <f t="shared" si="8"/>
        <v>0</v>
      </c>
      <c r="Z150" s="60" t="str">
        <f t="shared" si="9"/>
        <v>BC</v>
      </c>
    </row>
    <row r="151" spans="1:26" ht="15" hidden="1" customHeight="1" x14ac:dyDescent="0.25">
      <c r="A151" s="20" t="s">
        <v>308</v>
      </c>
      <c r="B151" s="61">
        <v>46104</v>
      </c>
      <c r="C151" s="106">
        <f t="shared" si="10"/>
        <v>372</v>
      </c>
      <c r="D151" s="20">
        <f t="shared" si="11"/>
        <v>1</v>
      </c>
      <c r="E151" s="20"/>
      <c r="F151" s="20"/>
      <c r="G151" s="32" t="s">
        <v>149</v>
      </c>
      <c r="H151" s="20" t="s">
        <v>3032</v>
      </c>
      <c r="I151" s="20">
        <v>1111</v>
      </c>
      <c r="J151" s="20">
        <v>112121</v>
      </c>
      <c r="K151" s="20" t="s">
        <v>20</v>
      </c>
      <c r="L151" s="20">
        <v>1</v>
      </c>
      <c r="M151" s="34">
        <v>50000000</v>
      </c>
      <c r="N151" s="34">
        <f t="shared" si="12"/>
        <v>50000000</v>
      </c>
      <c r="O151" s="20"/>
      <c r="P151" s="20">
        <f t="shared" si="13"/>
        <v>40</v>
      </c>
      <c r="Q151" s="142"/>
      <c r="T151" s="86"/>
      <c r="U151" s="86"/>
      <c r="V151" s="86"/>
      <c r="Y151" s="60">
        <f t="shared" si="8"/>
        <v>0</v>
      </c>
      <c r="Z151" s="60" t="str">
        <f t="shared" si="9"/>
        <v>BC</v>
      </c>
    </row>
    <row r="152" spans="1:26" ht="15" hidden="1" customHeight="1" x14ac:dyDescent="0.25">
      <c r="A152" s="20" t="s">
        <v>308</v>
      </c>
      <c r="B152" s="61">
        <v>46104</v>
      </c>
      <c r="C152" s="106">
        <f t="shared" si="10"/>
        <v>373</v>
      </c>
      <c r="D152" s="20">
        <f t="shared" si="11"/>
        <v>1</v>
      </c>
      <c r="E152" s="20"/>
      <c r="F152" s="20"/>
      <c r="G152" s="32" t="s">
        <v>35</v>
      </c>
      <c r="H152" s="20" t="s">
        <v>4751</v>
      </c>
      <c r="I152" s="20">
        <v>331</v>
      </c>
      <c r="J152" s="20">
        <v>112121</v>
      </c>
      <c r="K152" s="20" t="s">
        <v>20</v>
      </c>
      <c r="L152" s="20">
        <v>1</v>
      </c>
      <c r="M152" s="34">
        <v>6480000</v>
      </c>
      <c r="N152" s="34">
        <f t="shared" si="12"/>
        <v>6480000</v>
      </c>
      <c r="O152" s="20"/>
      <c r="P152" s="20">
        <f t="shared" si="13"/>
        <v>56</v>
      </c>
      <c r="Q152" s="142"/>
      <c r="T152" s="86"/>
      <c r="U152" s="86"/>
      <c r="V152" s="86"/>
      <c r="Y152" s="60">
        <f t="shared" si="8"/>
        <v>0</v>
      </c>
      <c r="Z152" s="60" t="str">
        <f t="shared" si="9"/>
        <v>BC</v>
      </c>
    </row>
    <row r="153" spans="1:26" ht="15" hidden="1" customHeight="1" x14ac:dyDescent="0.25">
      <c r="A153" s="20" t="s">
        <v>308</v>
      </c>
      <c r="B153" s="61">
        <v>46105</v>
      </c>
      <c r="C153" s="106">
        <f t="shared" si="10"/>
        <v>374</v>
      </c>
      <c r="D153" s="20">
        <f t="shared" si="11"/>
        <v>1</v>
      </c>
      <c r="E153" s="20"/>
      <c r="F153" s="20"/>
      <c r="G153" s="32" t="s">
        <v>149</v>
      </c>
      <c r="H153" s="20" t="s">
        <v>2613</v>
      </c>
      <c r="I153" s="20">
        <v>64277</v>
      </c>
      <c r="J153" s="20">
        <v>112121</v>
      </c>
      <c r="K153" s="20" t="s">
        <v>20</v>
      </c>
      <c r="L153" s="20">
        <v>1</v>
      </c>
      <c r="M153" s="34">
        <v>1000</v>
      </c>
      <c r="N153" s="34">
        <f t="shared" si="12"/>
        <v>1000</v>
      </c>
      <c r="O153" s="20"/>
      <c r="P153" s="20">
        <f t="shared" si="13"/>
        <v>13</v>
      </c>
      <c r="Q153" s="142"/>
      <c r="T153" s="86"/>
      <c r="U153" s="86"/>
      <c r="V153" s="86"/>
      <c r="Y153" s="60">
        <f t="shared" ref="Y153:Y197" si="14">SUM(U153:V153)</f>
        <v>0</v>
      </c>
      <c r="Z153" s="60" t="str">
        <f t="shared" ref="Z153:Z197" si="15">IF(U153&gt;0,"BN","BC")</f>
        <v>BC</v>
      </c>
    </row>
    <row r="154" spans="1:26" ht="15" hidden="1" customHeight="1" x14ac:dyDescent="0.25">
      <c r="A154" s="20" t="s">
        <v>308</v>
      </c>
      <c r="B154" s="61">
        <v>46105</v>
      </c>
      <c r="C154" s="106">
        <f t="shared" si="10"/>
        <v>374</v>
      </c>
      <c r="D154" s="20">
        <f t="shared" si="11"/>
        <v>0</v>
      </c>
      <c r="E154" s="20"/>
      <c r="F154" s="20"/>
      <c r="G154" s="32" t="s">
        <v>149</v>
      </c>
      <c r="H154" s="20" t="s">
        <v>2613</v>
      </c>
      <c r="I154" s="20">
        <v>64277</v>
      </c>
      <c r="J154" s="20">
        <v>112121</v>
      </c>
      <c r="K154" s="20" t="s">
        <v>20</v>
      </c>
      <c r="L154" s="20">
        <v>1</v>
      </c>
      <c r="M154" s="34">
        <v>10000</v>
      </c>
      <c r="N154" s="34">
        <f t="shared" si="12"/>
        <v>10000</v>
      </c>
      <c r="O154" s="20"/>
      <c r="P154" s="20">
        <f t="shared" si="13"/>
        <v>13</v>
      </c>
      <c r="Q154" s="142"/>
      <c r="T154" s="86"/>
      <c r="U154" s="86"/>
      <c r="V154" s="86"/>
      <c r="Y154" s="60">
        <f t="shared" si="14"/>
        <v>0</v>
      </c>
      <c r="Z154" s="60" t="str">
        <f t="shared" si="15"/>
        <v>BC</v>
      </c>
    </row>
    <row r="155" spans="1:26" ht="15" hidden="1" customHeight="1" x14ac:dyDescent="0.25">
      <c r="A155" s="20" t="s">
        <v>308</v>
      </c>
      <c r="B155" s="61">
        <v>46105</v>
      </c>
      <c r="C155" s="106">
        <f t="shared" si="10"/>
        <v>375</v>
      </c>
      <c r="D155" s="20">
        <f t="shared" si="11"/>
        <v>1</v>
      </c>
      <c r="E155" s="20"/>
      <c r="F155" s="20"/>
      <c r="G155" s="32" t="s">
        <v>149</v>
      </c>
      <c r="H155" s="20" t="s">
        <v>3032</v>
      </c>
      <c r="I155" s="20">
        <v>1111</v>
      </c>
      <c r="J155" s="20">
        <v>112121</v>
      </c>
      <c r="K155" s="20" t="s">
        <v>20</v>
      </c>
      <c r="L155" s="20">
        <v>1</v>
      </c>
      <c r="M155" s="34">
        <v>20000000</v>
      </c>
      <c r="N155" s="34">
        <f t="shared" si="12"/>
        <v>20000000</v>
      </c>
      <c r="O155" s="20"/>
      <c r="P155" s="20">
        <f t="shared" si="13"/>
        <v>40</v>
      </c>
      <c r="Q155" s="142"/>
      <c r="T155" s="86"/>
      <c r="U155" s="86"/>
      <c r="V155" s="86"/>
      <c r="Y155" s="60">
        <f t="shared" si="14"/>
        <v>0</v>
      </c>
      <c r="Z155" s="60" t="str">
        <f t="shared" si="15"/>
        <v>BC</v>
      </c>
    </row>
    <row r="156" spans="1:26" ht="15" hidden="1" customHeight="1" x14ac:dyDescent="0.25">
      <c r="A156" s="20" t="s">
        <v>308</v>
      </c>
      <c r="B156" s="61">
        <v>46112</v>
      </c>
      <c r="C156" s="106">
        <f t="shared" si="10"/>
        <v>376</v>
      </c>
      <c r="D156" s="20">
        <f t="shared" si="11"/>
        <v>1</v>
      </c>
      <c r="E156" s="20"/>
      <c r="F156" s="20"/>
      <c r="G156" s="32" t="s">
        <v>149</v>
      </c>
      <c r="H156" s="20" t="s">
        <v>2613</v>
      </c>
      <c r="I156" s="20">
        <v>64277</v>
      </c>
      <c r="J156" s="20">
        <v>112121</v>
      </c>
      <c r="K156" s="20" t="s">
        <v>20</v>
      </c>
      <c r="L156" s="20">
        <v>1</v>
      </c>
      <c r="M156" s="34">
        <v>1000</v>
      </c>
      <c r="N156" s="34">
        <f t="shared" si="12"/>
        <v>1000</v>
      </c>
      <c r="O156" s="20"/>
      <c r="P156" s="20">
        <f t="shared" si="13"/>
        <v>13</v>
      </c>
      <c r="Q156" s="142"/>
      <c r="T156" s="86"/>
      <c r="U156" s="86"/>
      <c r="V156" s="86"/>
      <c r="Y156" s="60">
        <f t="shared" si="14"/>
        <v>0</v>
      </c>
      <c r="Z156" s="60" t="str">
        <f t="shared" si="15"/>
        <v>BC</v>
      </c>
    </row>
    <row r="157" spans="1:26" ht="15" hidden="1" customHeight="1" x14ac:dyDescent="0.25">
      <c r="A157" s="20" t="s">
        <v>308</v>
      </c>
      <c r="B157" s="61">
        <v>46112</v>
      </c>
      <c r="C157" s="106">
        <f t="shared" si="10"/>
        <v>376</v>
      </c>
      <c r="D157" s="20">
        <f t="shared" si="11"/>
        <v>0</v>
      </c>
      <c r="E157" s="20"/>
      <c r="F157" s="20"/>
      <c r="G157" s="32" t="s">
        <v>149</v>
      </c>
      <c r="H157" s="20" t="s">
        <v>2613</v>
      </c>
      <c r="I157" s="20">
        <v>64277</v>
      </c>
      <c r="J157" s="20">
        <v>112121</v>
      </c>
      <c r="K157" s="20" t="s">
        <v>20</v>
      </c>
      <c r="L157" s="20">
        <v>1</v>
      </c>
      <c r="M157" s="34">
        <v>10000</v>
      </c>
      <c r="N157" s="34">
        <f t="shared" si="12"/>
        <v>10000</v>
      </c>
      <c r="O157" s="20"/>
      <c r="P157" s="20">
        <f t="shared" si="13"/>
        <v>13</v>
      </c>
      <c r="Q157" s="142"/>
      <c r="T157" s="86"/>
      <c r="U157" s="86"/>
      <c r="V157" s="86"/>
      <c r="Y157" s="60">
        <f t="shared" si="14"/>
        <v>0</v>
      </c>
      <c r="Z157" s="60" t="str">
        <f t="shared" si="15"/>
        <v>BC</v>
      </c>
    </row>
    <row r="158" spans="1:26" ht="15" hidden="1" customHeight="1" x14ac:dyDescent="0.25">
      <c r="A158" s="20" t="s">
        <v>308</v>
      </c>
      <c r="B158" s="61">
        <v>46112</v>
      </c>
      <c r="C158" s="106">
        <f t="shared" si="10"/>
        <v>376</v>
      </c>
      <c r="D158" s="20">
        <f t="shared" si="11"/>
        <v>0</v>
      </c>
      <c r="E158" s="20"/>
      <c r="F158" s="20"/>
      <c r="G158" s="32" t="s">
        <v>149</v>
      </c>
      <c r="H158" s="20" t="s">
        <v>2613</v>
      </c>
      <c r="I158" s="20">
        <v>64277</v>
      </c>
      <c r="J158" s="20">
        <v>112121</v>
      </c>
      <c r="K158" s="20" t="s">
        <v>20</v>
      </c>
      <c r="L158" s="20">
        <v>1</v>
      </c>
      <c r="M158" s="34">
        <v>1000</v>
      </c>
      <c r="N158" s="34">
        <f t="shared" si="12"/>
        <v>1000</v>
      </c>
      <c r="O158" s="20"/>
      <c r="P158" s="20">
        <f t="shared" si="13"/>
        <v>13</v>
      </c>
      <c r="Q158" s="142"/>
      <c r="T158" s="86"/>
      <c r="U158" s="86"/>
      <c r="V158" s="86"/>
      <c r="Y158" s="60">
        <f t="shared" si="14"/>
        <v>0</v>
      </c>
      <c r="Z158" s="60" t="str">
        <f t="shared" si="15"/>
        <v>BC</v>
      </c>
    </row>
    <row r="159" spans="1:26" ht="15" hidden="1" customHeight="1" x14ac:dyDescent="0.25">
      <c r="A159" s="20" t="s">
        <v>308</v>
      </c>
      <c r="B159" s="61">
        <v>46112</v>
      </c>
      <c r="C159" s="106">
        <f t="shared" si="10"/>
        <v>376</v>
      </c>
      <c r="D159" s="20">
        <f t="shared" si="11"/>
        <v>0</v>
      </c>
      <c r="E159" s="20"/>
      <c r="F159" s="20"/>
      <c r="G159" s="32" t="s">
        <v>149</v>
      </c>
      <c r="H159" s="20" t="s">
        <v>2613</v>
      </c>
      <c r="I159" s="20">
        <v>64277</v>
      </c>
      <c r="J159" s="20">
        <v>112121</v>
      </c>
      <c r="K159" s="20" t="s">
        <v>20</v>
      </c>
      <c r="L159" s="20">
        <v>1</v>
      </c>
      <c r="M159" s="34">
        <v>10000</v>
      </c>
      <c r="N159" s="34">
        <f t="shared" si="12"/>
        <v>10000</v>
      </c>
      <c r="O159" s="20"/>
      <c r="P159" s="20">
        <f t="shared" si="13"/>
        <v>13</v>
      </c>
      <c r="Q159" s="142"/>
      <c r="T159" s="86"/>
      <c r="U159" s="86"/>
      <c r="V159" s="86"/>
      <c r="Y159" s="60">
        <f t="shared" si="14"/>
        <v>0</v>
      </c>
      <c r="Z159" s="60" t="str">
        <f t="shared" si="15"/>
        <v>BC</v>
      </c>
    </row>
    <row r="160" spans="1:26" ht="15" hidden="1" customHeight="1" x14ac:dyDescent="0.25">
      <c r="A160" s="20" t="s">
        <v>308</v>
      </c>
      <c r="B160" s="61">
        <v>46112</v>
      </c>
      <c r="C160" s="106">
        <f t="shared" si="10"/>
        <v>376</v>
      </c>
      <c r="D160" s="20">
        <f t="shared" si="11"/>
        <v>0</v>
      </c>
      <c r="E160" s="20"/>
      <c r="F160" s="20"/>
      <c r="G160" s="32" t="s">
        <v>149</v>
      </c>
      <c r="H160" s="20" t="s">
        <v>2613</v>
      </c>
      <c r="I160" s="20">
        <v>64277</v>
      </c>
      <c r="J160" s="20">
        <v>112121</v>
      </c>
      <c r="K160" s="20" t="s">
        <v>20</v>
      </c>
      <c r="L160" s="20">
        <v>1</v>
      </c>
      <c r="M160" s="34">
        <v>1000</v>
      </c>
      <c r="N160" s="34">
        <f t="shared" si="12"/>
        <v>1000</v>
      </c>
      <c r="O160" s="20"/>
      <c r="P160" s="20">
        <f t="shared" si="13"/>
        <v>13</v>
      </c>
      <c r="Q160" s="142"/>
      <c r="T160" s="86"/>
      <c r="U160" s="86"/>
      <c r="V160" s="86"/>
      <c r="Y160" s="60">
        <f t="shared" si="14"/>
        <v>0</v>
      </c>
      <c r="Z160" s="60" t="str">
        <f t="shared" si="15"/>
        <v>BC</v>
      </c>
    </row>
    <row r="161" spans="1:26" ht="15" hidden="1" customHeight="1" x14ac:dyDescent="0.25">
      <c r="A161" s="20" t="s">
        <v>308</v>
      </c>
      <c r="B161" s="61">
        <v>46112</v>
      </c>
      <c r="C161" s="106">
        <f t="shared" si="10"/>
        <v>376</v>
      </c>
      <c r="D161" s="20">
        <f t="shared" si="11"/>
        <v>0</v>
      </c>
      <c r="E161" s="20"/>
      <c r="F161" s="20"/>
      <c r="G161" s="32" t="s">
        <v>149</v>
      </c>
      <c r="H161" s="20" t="s">
        <v>2613</v>
      </c>
      <c r="I161" s="20">
        <v>64277</v>
      </c>
      <c r="J161" s="20">
        <v>112121</v>
      </c>
      <c r="K161" s="20" t="s">
        <v>20</v>
      </c>
      <c r="L161" s="20">
        <v>1</v>
      </c>
      <c r="M161" s="34">
        <v>10000</v>
      </c>
      <c r="N161" s="34">
        <f t="shared" si="12"/>
        <v>10000</v>
      </c>
      <c r="O161" s="20"/>
      <c r="P161" s="20">
        <f t="shared" si="13"/>
        <v>13</v>
      </c>
      <c r="Q161" s="142"/>
      <c r="T161" s="86"/>
      <c r="U161" s="86"/>
      <c r="V161" s="86"/>
      <c r="Y161" s="60">
        <f t="shared" si="14"/>
        <v>0</v>
      </c>
      <c r="Z161" s="60" t="str">
        <f t="shared" si="15"/>
        <v>BC</v>
      </c>
    </row>
    <row r="162" spans="1:26" ht="15" hidden="1" customHeight="1" x14ac:dyDescent="0.25">
      <c r="A162" s="20" t="s">
        <v>308</v>
      </c>
      <c r="B162" s="61">
        <v>46112</v>
      </c>
      <c r="C162" s="106">
        <f t="shared" si="10"/>
        <v>376</v>
      </c>
      <c r="D162" s="20">
        <f t="shared" si="11"/>
        <v>0</v>
      </c>
      <c r="E162" s="20"/>
      <c r="F162" s="20"/>
      <c r="G162" s="32" t="s">
        <v>149</v>
      </c>
      <c r="H162" s="20" t="s">
        <v>2613</v>
      </c>
      <c r="I162" s="20">
        <v>64277</v>
      </c>
      <c r="J162" s="20">
        <v>112121</v>
      </c>
      <c r="K162" s="20" t="s">
        <v>20</v>
      </c>
      <c r="L162" s="20">
        <v>1</v>
      </c>
      <c r="M162" s="34">
        <v>1000</v>
      </c>
      <c r="N162" s="34">
        <f t="shared" si="12"/>
        <v>1000</v>
      </c>
      <c r="O162" s="20"/>
      <c r="P162" s="20">
        <f t="shared" si="13"/>
        <v>13</v>
      </c>
      <c r="Q162" s="142"/>
      <c r="T162" s="86"/>
      <c r="U162" s="86"/>
      <c r="V162" s="86"/>
      <c r="Y162" s="60">
        <f t="shared" si="14"/>
        <v>0</v>
      </c>
      <c r="Z162" s="60" t="str">
        <f t="shared" si="15"/>
        <v>BC</v>
      </c>
    </row>
    <row r="163" spans="1:26" ht="15" hidden="1" customHeight="1" x14ac:dyDescent="0.25">
      <c r="A163" s="20" t="s">
        <v>308</v>
      </c>
      <c r="B163" s="61">
        <v>46112</v>
      </c>
      <c r="C163" s="106">
        <f t="shared" si="10"/>
        <v>376</v>
      </c>
      <c r="D163" s="20">
        <f t="shared" si="11"/>
        <v>0</v>
      </c>
      <c r="E163" s="20"/>
      <c r="F163" s="20"/>
      <c r="G163" s="32" t="s">
        <v>149</v>
      </c>
      <c r="H163" s="20" t="s">
        <v>2613</v>
      </c>
      <c r="I163" s="20">
        <v>64277</v>
      </c>
      <c r="J163" s="20">
        <v>112121</v>
      </c>
      <c r="K163" s="20" t="s">
        <v>20</v>
      </c>
      <c r="L163" s="20">
        <v>1</v>
      </c>
      <c r="M163" s="34">
        <v>10000</v>
      </c>
      <c r="N163" s="34">
        <f t="shared" si="12"/>
        <v>10000</v>
      </c>
      <c r="O163" s="20"/>
      <c r="P163" s="20">
        <f t="shared" si="13"/>
        <v>13</v>
      </c>
      <c r="Q163" s="142"/>
      <c r="T163" s="86"/>
      <c r="U163" s="86"/>
      <c r="V163" s="86"/>
      <c r="Y163" s="60">
        <f t="shared" si="14"/>
        <v>0</v>
      </c>
      <c r="Z163" s="60" t="str">
        <f t="shared" si="15"/>
        <v>BC</v>
      </c>
    </row>
    <row r="164" spans="1:26" ht="15" hidden="1" customHeight="1" x14ac:dyDescent="0.25">
      <c r="A164" s="20" t="s">
        <v>308</v>
      </c>
      <c r="B164" s="61">
        <v>46112</v>
      </c>
      <c r="C164" s="106">
        <f t="shared" si="10"/>
        <v>376</v>
      </c>
      <c r="D164" s="20">
        <f t="shared" si="11"/>
        <v>0</v>
      </c>
      <c r="E164" s="20"/>
      <c r="F164" s="20"/>
      <c r="G164" s="32" t="s">
        <v>149</v>
      </c>
      <c r="H164" s="20" t="s">
        <v>2613</v>
      </c>
      <c r="I164" s="20">
        <v>64277</v>
      </c>
      <c r="J164" s="20">
        <v>112121</v>
      </c>
      <c r="K164" s="20" t="s">
        <v>20</v>
      </c>
      <c r="L164" s="20">
        <v>1</v>
      </c>
      <c r="M164" s="34">
        <v>1000</v>
      </c>
      <c r="N164" s="34">
        <f t="shared" si="12"/>
        <v>1000</v>
      </c>
      <c r="O164" s="20"/>
      <c r="P164" s="20">
        <f t="shared" si="13"/>
        <v>13</v>
      </c>
      <c r="Q164" s="142"/>
      <c r="T164" s="86"/>
      <c r="U164" s="86"/>
      <c r="V164" s="86"/>
      <c r="Y164" s="60">
        <f t="shared" si="14"/>
        <v>0</v>
      </c>
      <c r="Z164" s="60" t="str">
        <f t="shared" si="15"/>
        <v>BC</v>
      </c>
    </row>
    <row r="165" spans="1:26" ht="15" hidden="1" customHeight="1" x14ac:dyDescent="0.25">
      <c r="A165" s="20" t="s">
        <v>308</v>
      </c>
      <c r="B165" s="61">
        <v>46112</v>
      </c>
      <c r="C165" s="106">
        <f t="shared" si="10"/>
        <v>376</v>
      </c>
      <c r="D165" s="20">
        <f t="shared" si="11"/>
        <v>0</v>
      </c>
      <c r="E165" s="20"/>
      <c r="F165" s="20"/>
      <c r="G165" s="32" t="s">
        <v>149</v>
      </c>
      <c r="H165" s="20" t="s">
        <v>2613</v>
      </c>
      <c r="I165" s="20">
        <v>64277</v>
      </c>
      <c r="J165" s="20">
        <v>112121</v>
      </c>
      <c r="K165" s="20" t="s">
        <v>20</v>
      </c>
      <c r="L165" s="20">
        <v>1</v>
      </c>
      <c r="M165" s="34">
        <v>10000</v>
      </c>
      <c r="N165" s="34">
        <f t="shared" si="12"/>
        <v>10000</v>
      </c>
      <c r="O165" s="20"/>
      <c r="P165" s="20">
        <f t="shared" si="13"/>
        <v>13</v>
      </c>
      <c r="Q165" s="142"/>
      <c r="T165" s="86"/>
      <c r="U165" s="86"/>
      <c r="V165" s="86"/>
      <c r="Y165" s="60">
        <f t="shared" si="14"/>
        <v>0</v>
      </c>
      <c r="Z165" s="60" t="str">
        <f t="shared" si="15"/>
        <v>BC</v>
      </c>
    </row>
    <row r="166" spans="1:26" ht="15" hidden="1" customHeight="1" x14ac:dyDescent="0.25">
      <c r="A166" s="20" t="s">
        <v>308</v>
      </c>
      <c r="B166" s="61">
        <v>46112</v>
      </c>
      <c r="C166" s="106">
        <f t="shared" si="10"/>
        <v>377</v>
      </c>
      <c r="D166" s="20">
        <f t="shared" si="11"/>
        <v>1</v>
      </c>
      <c r="E166" s="20"/>
      <c r="F166" s="20"/>
      <c r="G166" s="32" t="s">
        <v>149</v>
      </c>
      <c r="H166" s="20" t="s">
        <v>4756</v>
      </c>
      <c r="I166" s="20">
        <v>3341</v>
      </c>
      <c r="J166" s="20">
        <v>112121</v>
      </c>
      <c r="K166" s="20" t="s">
        <v>20</v>
      </c>
      <c r="L166" s="20">
        <v>1</v>
      </c>
      <c r="M166" s="34">
        <v>8769231</v>
      </c>
      <c r="N166" s="34">
        <f t="shared" si="12"/>
        <v>8769231</v>
      </c>
      <c r="O166" s="20"/>
      <c r="P166" s="20">
        <f t="shared" si="13"/>
        <v>47</v>
      </c>
      <c r="Q166" s="142"/>
      <c r="T166" s="86"/>
      <c r="U166" s="86"/>
      <c r="V166" s="86"/>
      <c r="Y166" s="60">
        <f t="shared" si="14"/>
        <v>0</v>
      </c>
      <c r="Z166" s="60" t="str">
        <f t="shared" si="15"/>
        <v>BC</v>
      </c>
    </row>
    <row r="167" spans="1:26" ht="15" hidden="1" customHeight="1" x14ac:dyDescent="0.25">
      <c r="A167" s="20" t="s">
        <v>308</v>
      </c>
      <c r="B167" s="61">
        <v>46112</v>
      </c>
      <c r="C167" s="106">
        <f t="shared" si="10"/>
        <v>377</v>
      </c>
      <c r="D167" s="20">
        <f t="shared" si="11"/>
        <v>0</v>
      </c>
      <c r="E167" s="20"/>
      <c r="F167" s="20"/>
      <c r="G167" s="32" t="s">
        <v>149</v>
      </c>
      <c r="H167" s="20" t="s">
        <v>4756</v>
      </c>
      <c r="I167" s="20">
        <v>3341</v>
      </c>
      <c r="J167" s="20">
        <v>112121</v>
      </c>
      <c r="K167" s="20" t="s">
        <v>20</v>
      </c>
      <c r="L167" s="20">
        <v>1</v>
      </c>
      <c r="M167" s="34">
        <v>1028846</v>
      </c>
      <c r="N167" s="34">
        <f t="shared" si="12"/>
        <v>1028846</v>
      </c>
      <c r="O167" s="20"/>
      <c r="P167" s="20">
        <f t="shared" si="13"/>
        <v>47</v>
      </c>
      <c r="Q167" s="142"/>
      <c r="T167" s="86"/>
      <c r="U167" s="86"/>
      <c r="V167" s="86"/>
      <c r="Y167" s="60">
        <f t="shared" si="14"/>
        <v>0</v>
      </c>
      <c r="Z167" s="60" t="str">
        <f t="shared" si="15"/>
        <v>BC</v>
      </c>
    </row>
    <row r="168" spans="1:26" ht="15" hidden="1" customHeight="1" x14ac:dyDescent="0.25">
      <c r="A168" s="20" t="s">
        <v>308</v>
      </c>
      <c r="B168" s="61">
        <v>46112</v>
      </c>
      <c r="C168" s="106">
        <f t="shared" si="10"/>
        <v>378</v>
      </c>
      <c r="D168" s="20">
        <f t="shared" si="11"/>
        <v>1</v>
      </c>
      <c r="E168" s="20"/>
      <c r="F168" s="20"/>
      <c r="G168" s="32" t="s">
        <v>149</v>
      </c>
      <c r="H168" s="20" t="s">
        <v>4757</v>
      </c>
      <c r="I168" s="20">
        <v>3341</v>
      </c>
      <c r="J168" s="20">
        <v>112121</v>
      </c>
      <c r="K168" s="20" t="s">
        <v>20</v>
      </c>
      <c r="L168" s="20">
        <v>1</v>
      </c>
      <c r="M168" s="34">
        <v>10288462</v>
      </c>
      <c r="N168" s="34">
        <f t="shared" si="12"/>
        <v>10288462</v>
      </c>
      <c r="O168" s="20"/>
      <c r="P168" s="20">
        <f t="shared" si="13"/>
        <v>45</v>
      </c>
      <c r="Q168" s="142"/>
      <c r="T168" s="86"/>
      <c r="U168" s="86"/>
      <c r="V168" s="86"/>
      <c r="Y168" s="60">
        <f t="shared" si="14"/>
        <v>0</v>
      </c>
      <c r="Z168" s="60" t="str">
        <f t="shared" si="15"/>
        <v>BC</v>
      </c>
    </row>
    <row r="169" spans="1:26" ht="15" hidden="1" customHeight="1" x14ac:dyDescent="0.25">
      <c r="A169" s="20" t="s">
        <v>308</v>
      </c>
      <c r="B169" s="61">
        <v>46112</v>
      </c>
      <c r="C169" s="106">
        <f t="shared" si="10"/>
        <v>379</v>
      </c>
      <c r="D169" s="20">
        <f t="shared" si="11"/>
        <v>1</v>
      </c>
      <c r="E169" s="20"/>
      <c r="F169" s="20"/>
      <c r="G169" s="32" t="s">
        <v>149</v>
      </c>
      <c r="H169" s="20" t="s">
        <v>4754</v>
      </c>
      <c r="I169" s="20">
        <v>3341</v>
      </c>
      <c r="J169" s="20">
        <v>112121</v>
      </c>
      <c r="K169" s="20" t="s">
        <v>20</v>
      </c>
      <c r="L169" s="20">
        <v>1</v>
      </c>
      <c r="M169" s="34">
        <v>12000000</v>
      </c>
      <c r="N169" s="34">
        <f t="shared" si="12"/>
        <v>12000000</v>
      </c>
      <c r="O169" s="20"/>
      <c r="P169" s="20">
        <f t="shared" si="13"/>
        <v>53</v>
      </c>
      <c r="Q169" s="142"/>
      <c r="T169" s="86"/>
      <c r="U169" s="86"/>
      <c r="V169" s="86"/>
      <c r="Y169" s="60">
        <f t="shared" si="14"/>
        <v>0</v>
      </c>
      <c r="Z169" s="60" t="str">
        <f t="shared" si="15"/>
        <v>BC</v>
      </c>
    </row>
    <row r="170" spans="1:26" ht="15" hidden="1" customHeight="1" x14ac:dyDescent="0.25">
      <c r="A170" s="20" t="s">
        <v>308</v>
      </c>
      <c r="B170" s="61">
        <v>46112</v>
      </c>
      <c r="C170" s="106">
        <f t="shared" si="10"/>
        <v>380</v>
      </c>
      <c r="D170" s="20">
        <f t="shared" si="11"/>
        <v>1</v>
      </c>
      <c r="E170" s="20"/>
      <c r="F170" s="20"/>
      <c r="G170" s="32" t="s">
        <v>149</v>
      </c>
      <c r="H170" s="20" t="s">
        <v>4755</v>
      </c>
      <c r="I170" s="20">
        <v>3341</v>
      </c>
      <c r="J170" s="20">
        <v>112121</v>
      </c>
      <c r="K170" s="20" t="s">
        <v>20</v>
      </c>
      <c r="L170" s="20">
        <v>1</v>
      </c>
      <c r="M170" s="34">
        <v>10000000</v>
      </c>
      <c r="N170" s="34">
        <f t="shared" si="12"/>
        <v>10000000</v>
      </c>
      <c r="O170" s="20"/>
      <c r="P170" s="20">
        <f t="shared" si="13"/>
        <v>56</v>
      </c>
      <c r="Q170" s="142"/>
      <c r="T170" s="86"/>
      <c r="U170" s="86"/>
      <c r="V170" s="86"/>
      <c r="Y170" s="60">
        <f t="shared" si="14"/>
        <v>0</v>
      </c>
      <c r="Z170" s="60" t="str">
        <f t="shared" si="15"/>
        <v>BC</v>
      </c>
    </row>
    <row r="171" spans="1:26" ht="15" hidden="1" customHeight="1" x14ac:dyDescent="0.25">
      <c r="A171" s="20" t="s">
        <v>310</v>
      </c>
      <c r="B171" s="61" t="s">
        <v>432</v>
      </c>
      <c r="C171" s="106">
        <f t="shared" si="10"/>
        <v>381</v>
      </c>
      <c r="D171" s="20">
        <f t="shared" si="11"/>
        <v>1</v>
      </c>
      <c r="E171" s="20"/>
      <c r="F171" s="20"/>
      <c r="G171" s="32" t="s">
        <v>44</v>
      </c>
      <c r="H171" s="20" t="s">
        <v>4759</v>
      </c>
      <c r="I171" s="20">
        <v>331</v>
      </c>
      <c r="J171" s="20">
        <v>1111</v>
      </c>
      <c r="K171" s="20" t="s">
        <v>20</v>
      </c>
      <c r="L171" s="20">
        <v>1</v>
      </c>
      <c r="M171" s="34">
        <v>900</v>
      </c>
      <c r="N171" s="34">
        <f t="shared" si="12"/>
        <v>900</v>
      </c>
      <c r="O171" s="20"/>
      <c r="P171" s="20">
        <f t="shared" si="13"/>
        <v>64</v>
      </c>
      <c r="Q171" s="142"/>
      <c r="T171" s="86"/>
      <c r="U171" s="86"/>
      <c r="V171" s="86"/>
      <c r="Y171" s="60">
        <f t="shared" si="14"/>
        <v>0</v>
      </c>
      <c r="Z171" s="60" t="str">
        <f t="shared" si="15"/>
        <v>BC</v>
      </c>
    </row>
    <row r="172" spans="1:26" ht="15" hidden="1" customHeight="1" x14ac:dyDescent="0.25">
      <c r="A172" s="20" t="s">
        <v>310</v>
      </c>
      <c r="B172" s="61" t="s">
        <v>434</v>
      </c>
      <c r="C172" s="106">
        <f t="shared" si="10"/>
        <v>382</v>
      </c>
      <c r="D172" s="20">
        <f t="shared" si="11"/>
        <v>1</v>
      </c>
      <c r="E172" s="20"/>
      <c r="F172" s="20"/>
      <c r="G172" s="32" t="s">
        <v>754</v>
      </c>
      <c r="H172" s="20" t="s">
        <v>4760</v>
      </c>
      <c r="I172" s="20">
        <v>331</v>
      </c>
      <c r="J172" s="20">
        <v>1111</v>
      </c>
      <c r="K172" s="20" t="s">
        <v>20</v>
      </c>
      <c r="L172" s="20">
        <v>1</v>
      </c>
      <c r="M172" s="34">
        <v>11030000</v>
      </c>
      <c r="N172" s="34">
        <f t="shared" si="12"/>
        <v>11030000</v>
      </c>
      <c r="O172" s="20"/>
      <c r="P172" s="20">
        <f t="shared" si="13"/>
        <v>116</v>
      </c>
      <c r="Q172" s="142"/>
      <c r="T172" s="86"/>
      <c r="U172" s="86"/>
      <c r="V172" s="86"/>
      <c r="Y172" s="60">
        <f t="shared" si="14"/>
        <v>0</v>
      </c>
      <c r="Z172" s="60" t="str">
        <f t="shared" si="15"/>
        <v>BC</v>
      </c>
    </row>
    <row r="173" spans="1:26" ht="15" hidden="1" customHeight="1" x14ac:dyDescent="0.25">
      <c r="A173" s="20" t="s">
        <v>310</v>
      </c>
      <c r="B173" s="61" t="s">
        <v>471</v>
      </c>
      <c r="C173" s="106">
        <f t="shared" si="10"/>
        <v>383</v>
      </c>
      <c r="D173" s="20">
        <f t="shared" si="11"/>
        <v>1</v>
      </c>
      <c r="E173" s="20"/>
      <c r="F173" s="20"/>
      <c r="G173" s="32" t="s">
        <v>35</v>
      </c>
      <c r="H173" s="20" t="s">
        <v>4761</v>
      </c>
      <c r="I173" s="20">
        <v>331</v>
      </c>
      <c r="J173" s="20">
        <v>1111</v>
      </c>
      <c r="K173" s="20" t="s">
        <v>20</v>
      </c>
      <c r="L173" s="20">
        <v>1</v>
      </c>
      <c r="M173" s="34">
        <v>3240000</v>
      </c>
      <c r="N173" s="34">
        <f t="shared" si="12"/>
        <v>3240000</v>
      </c>
      <c r="O173" s="20"/>
      <c r="P173" s="20">
        <f t="shared" si="13"/>
        <v>52</v>
      </c>
      <c r="Q173" s="142"/>
      <c r="T173" s="86"/>
      <c r="U173" s="86"/>
      <c r="V173" s="86"/>
      <c r="Y173" s="60">
        <f t="shared" si="14"/>
        <v>0</v>
      </c>
      <c r="Z173" s="60" t="str">
        <f t="shared" si="15"/>
        <v>BC</v>
      </c>
    </row>
    <row r="174" spans="1:26" ht="15" hidden="1" customHeight="1" x14ac:dyDescent="0.25">
      <c r="A174" s="20" t="s">
        <v>310</v>
      </c>
      <c r="B174" s="61" t="s">
        <v>436</v>
      </c>
      <c r="C174" s="106">
        <f t="shared" si="10"/>
        <v>384</v>
      </c>
      <c r="D174" s="20">
        <f t="shared" si="11"/>
        <v>1</v>
      </c>
      <c r="E174" s="20"/>
      <c r="F174" s="20"/>
      <c r="G174" s="32" t="s">
        <v>44</v>
      </c>
      <c r="H174" s="20" t="s">
        <v>4762</v>
      </c>
      <c r="I174" s="20">
        <v>331</v>
      </c>
      <c r="J174" s="20">
        <v>1111</v>
      </c>
      <c r="K174" s="20" t="s">
        <v>20</v>
      </c>
      <c r="L174" s="20">
        <v>1</v>
      </c>
      <c r="M174" s="34">
        <v>242</v>
      </c>
      <c r="N174" s="34">
        <f t="shared" si="12"/>
        <v>242</v>
      </c>
      <c r="O174" s="20"/>
      <c r="P174" s="20">
        <f t="shared" si="13"/>
        <v>109</v>
      </c>
      <c r="Q174" s="142"/>
      <c r="T174" s="86"/>
      <c r="U174" s="86"/>
      <c r="V174" s="86"/>
      <c r="Y174" s="60">
        <f t="shared" si="14"/>
        <v>0</v>
      </c>
      <c r="Z174" s="60" t="str">
        <f t="shared" si="15"/>
        <v>BC</v>
      </c>
    </row>
    <row r="175" spans="1:26" ht="15" hidden="1" customHeight="1" x14ac:dyDescent="0.25">
      <c r="A175" s="20" t="s">
        <v>310</v>
      </c>
      <c r="B175" s="61" t="s">
        <v>438</v>
      </c>
      <c r="C175" s="106">
        <f t="shared" si="10"/>
        <v>385</v>
      </c>
      <c r="D175" s="20">
        <f t="shared" si="11"/>
        <v>1</v>
      </c>
      <c r="E175" s="20"/>
      <c r="F175" s="20"/>
      <c r="G175" s="32" t="s">
        <v>35</v>
      </c>
      <c r="H175" s="20" t="s">
        <v>4763</v>
      </c>
      <c r="I175" s="20">
        <v>331</v>
      </c>
      <c r="J175" s="20">
        <v>1111</v>
      </c>
      <c r="K175" s="20" t="s">
        <v>20</v>
      </c>
      <c r="L175" s="20">
        <v>1</v>
      </c>
      <c r="M175" s="34">
        <v>3240000</v>
      </c>
      <c r="N175" s="34">
        <f t="shared" si="12"/>
        <v>3240000</v>
      </c>
      <c r="O175" s="20"/>
      <c r="P175" s="20">
        <f t="shared" si="13"/>
        <v>52</v>
      </c>
      <c r="Q175" s="142"/>
      <c r="T175" s="86"/>
      <c r="U175" s="86"/>
      <c r="V175" s="86"/>
      <c r="Y175" s="60">
        <f t="shared" si="14"/>
        <v>0</v>
      </c>
      <c r="Z175" s="60" t="str">
        <f t="shared" si="15"/>
        <v>BC</v>
      </c>
    </row>
    <row r="176" spans="1:26" ht="15" hidden="1" customHeight="1" x14ac:dyDescent="0.25">
      <c r="A176" s="20" t="s">
        <v>310</v>
      </c>
      <c r="B176" s="61" t="s">
        <v>441</v>
      </c>
      <c r="C176" s="106">
        <f t="shared" si="10"/>
        <v>386</v>
      </c>
      <c r="D176" s="20">
        <f t="shared" si="11"/>
        <v>1</v>
      </c>
      <c r="E176" s="20"/>
      <c r="F176" s="20"/>
      <c r="G176" s="32" t="s">
        <v>754</v>
      </c>
      <c r="H176" s="20" t="s">
        <v>4764</v>
      </c>
      <c r="I176" s="20">
        <v>331</v>
      </c>
      <c r="J176" s="20">
        <v>1111</v>
      </c>
      <c r="K176" s="20" t="s">
        <v>20</v>
      </c>
      <c r="L176" s="20">
        <v>1</v>
      </c>
      <c r="M176" s="34">
        <v>4740000</v>
      </c>
      <c r="N176" s="34">
        <f t="shared" si="12"/>
        <v>4740000</v>
      </c>
      <c r="O176" s="20"/>
      <c r="P176" s="20">
        <f t="shared" si="13"/>
        <v>72</v>
      </c>
      <c r="Q176" s="142"/>
      <c r="T176" s="86"/>
      <c r="U176" s="86"/>
      <c r="V176" s="86"/>
      <c r="Y176" s="60">
        <f t="shared" si="14"/>
        <v>0</v>
      </c>
      <c r="Z176" s="60" t="str">
        <f t="shared" si="15"/>
        <v>BC</v>
      </c>
    </row>
    <row r="177" spans="1:26" ht="15" hidden="1" customHeight="1" x14ac:dyDescent="0.25">
      <c r="A177" s="20" t="s">
        <v>310</v>
      </c>
      <c r="B177" s="61" t="s">
        <v>441</v>
      </c>
      <c r="C177" s="106">
        <f t="shared" si="10"/>
        <v>387</v>
      </c>
      <c r="D177" s="20">
        <f t="shared" si="11"/>
        <v>1</v>
      </c>
      <c r="E177" s="20"/>
      <c r="F177" s="20"/>
      <c r="G177" s="32" t="s">
        <v>44</v>
      </c>
      <c r="H177" s="20" t="s">
        <v>4765</v>
      </c>
      <c r="I177" s="20">
        <v>331</v>
      </c>
      <c r="J177" s="20">
        <v>1111</v>
      </c>
      <c r="K177" s="20" t="s">
        <v>20</v>
      </c>
      <c r="L177" s="20">
        <v>1</v>
      </c>
      <c r="M177" s="34">
        <v>261</v>
      </c>
      <c r="N177" s="34">
        <f t="shared" si="12"/>
        <v>261</v>
      </c>
      <c r="O177" s="20"/>
      <c r="P177" s="20">
        <f t="shared" si="13"/>
        <v>110</v>
      </c>
      <c r="Q177" s="142"/>
      <c r="T177" s="86"/>
      <c r="U177" s="86"/>
      <c r="V177" s="86"/>
      <c r="Y177" s="60">
        <f t="shared" si="14"/>
        <v>0</v>
      </c>
      <c r="Z177" s="60" t="str">
        <f t="shared" si="15"/>
        <v>BC</v>
      </c>
    </row>
    <row r="178" spans="1:26" ht="15" hidden="1" customHeight="1" x14ac:dyDescent="0.25">
      <c r="A178" s="20" t="s">
        <v>310</v>
      </c>
      <c r="B178" s="61" t="s">
        <v>552</v>
      </c>
      <c r="C178" s="106">
        <f t="shared" si="10"/>
        <v>388</v>
      </c>
      <c r="D178" s="20">
        <f t="shared" si="11"/>
        <v>1</v>
      </c>
      <c r="E178" s="20"/>
      <c r="F178" s="20"/>
      <c r="G178" s="32" t="s">
        <v>754</v>
      </c>
      <c r="H178" s="20" t="s">
        <v>4766</v>
      </c>
      <c r="I178" s="20">
        <v>331</v>
      </c>
      <c r="J178" s="20">
        <v>1111</v>
      </c>
      <c r="K178" s="20" t="s">
        <v>20</v>
      </c>
      <c r="L178" s="20">
        <v>1</v>
      </c>
      <c r="M178" s="34">
        <v>2010000</v>
      </c>
      <c r="N178" s="34">
        <f t="shared" si="12"/>
        <v>2010000</v>
      </c>
      <c r="O178" s="20"/>
      <c r="P178" s="20">
        <f t="shared" si="13"/>
        <v>47</v>
      </c>
      <c r="Q178" s="142"/>
      <c r="T178" s="86"/>
      <c r="U178" s="86"/>
      <c r="V178" s="86"/>
      <c r="Y178" s="60">
        <f t="shared" si="14"/>
        <v>0</v>
      </c>
      <c r="Z178" s="60" t="str">
        <f t="shared" si="15"/>
        <v>BC</v>
      </c>
    </row>
    <row r="179" spans="1:26" ht="15" hidden="1" customHeight="1" x14ac:dyDescent="0.25">
      <c r="A179" s="20" t="s">
        <v>310</v>
      </c>
      <c r="B179" s="61" t="s">
        <v>557</v>
      </c>
      <c r="C179" s="106">
        <f t="shared" si="10"/>
        <v>389</v>
      </c>
      <c r="D179" s="20">
        <f t="shared" si="11"/>
        <v>1</v>
      </c>
      <c r="E179" s="20"/>
      <c r="F179" s="20"/>
      <c r="G179" s="32" t="s">
        <v>73</v>
      </c>
      <c r="H179" s="20" t="s">
        <v>4767</v>
      </c>
      <c r="I179" s="20">
        <v>331</v>
      </c>
      <c r="J179" s="20">
        <v>1111</v>
      </c>
      <c r="K179" s="20" t="s">
        <v>20</v>
      </c>
      <c r="L179" s="20">
        <v>1</v>
      </c>
      <c r="M179" s="34">
        <v>126489600</v>
      </c>
      <c r="N179" s="34">
        <f t="shared" si="12"/>
        <v>126489600</v>
      </c>
      <c r="O179" s="20"/>
      <c r="P179" s="20">
        <f t="shared" si="13"/>
        <v>61</v>
      </c>
      <c r="Q179" s="142"/>
      <c r="T179" s="86"/>
      <c r="U179" s="86"/>
      <c r="V179" s="86"/>
      <c r="Y179" s="60">
        <f t="shared" si="14"/>
        <v>0</v>
      </c>
      <c r="Z179" s="60" t="str">
        <f t="shared" si="15"/>
        <v>BC</v>
      </c>
    </row>
    <row r="180" spans="1:26" ht="15" hidden="1" customHeight="1" x14ac:dyDescent="0.25">
      <c r="A180" s="20" t="s">
        <v>310</v>
      </c>
      <c r="B180" s="61" t="s">
        <v>558</v>
      </c>
      <c r="C180" s="106">
        <f t="shared" si="10"/>
        <v>390</v>
      </c>
      <c r="D180" s="20">
        <f t="shared" si="11"/>
        <v>1</v>
      </c>
      <c r="E180" s="20"/>
      <c r="F180" s="20"/>
      <c r="G180" s="32" t="s">
        <v>43</v>
      </c>
      <c r="H180" s="20" t="s">
        <v>4768</v>
      </c>
      <c r="I180" s="20">
        <v>331</v>
      </c>
      <c r="J180" s="20">
        <v>1111</v>
      </c>
      <c r="K180" s="20" t="s">
        <v>20</v>
      </c>
      <c r="L180" s="20">
        <v>1</v>
      </c>
      <c r="M180" s="34">
        <v>58418141</v>
      </c>
      <c r="N180" s="34">
        <f t="shared" si="12"/>
        <v>58418141</v>
      </c>
      <c r="O180" s="20"/>
      <c r="P180" s="20">
        <f t="shared" si="13"/>
        <v>172</v>
      </c>
      <c r="Q180" s="142"/>
      <c r="T180" s="86"/>
      <c r="U180" s="86"/>
      <c r="V180" s="86"/>
      <c r="Y180" s="60">
        <f t="shared" si="14"/>
        <v>0</v>
      </c>
      <c r="Z180" s="60" t="str">
        <f t="shared" si="15"/>
        <v>BC</v>
      </c>
    </row>
    <row r="181" spans="1:26" ht="15" hidden="1" customHeight="1" x14ac:dyDescent="0.25">
      <c r="A181" s="20" t="s">
        <v>310</v>
      </c>
      <c r="B181" s="61" t="s">
        <v>662</v>
      </c>
      <c r="C181" s="106">
        <f t="shared" si="10"/>
        <v>391</v>
      </c>
      <c r="D181" s="20">
        <f t="shared" si="11"/>
        <v>1</v>
      </c>
      <c r="E181" s="20"/>
      <c r="F181" s="20"/>
      <c r="G181" s="32" t="s">
        <v>35</v>
      </c>
      <c r="H181" s="20" t="s">
        <v>4751</v>
      </c>
      <c r="I181" s="20">
        <v>331</v>
      </c>
      <c r="J181" s="20">
        <v>1111</v>
      </c>
      <c r="K181" s="20" t="s">
        <v>20</v>
      </c>
      <c r="L181" s="20">
        <v>1</v>
      </c>
      <c r="M181" s="34">
        <v>6480000</v>
      </c>
      <c r="N181" s="34">
        <f t="shared" si="12"/>
        <v>6480000</v>
      </c>
      <c r="O181" s="20"/>
      <c r="P181" s="20">
        <f t="shared" si="13"/>
        <v>56</v>
      </c>
      <c r="Q181" s="142"/>
      <c r="T181" s="86"/>
      <c r="U181" s="86"/>
      <c r="V181" s="86"/>
      <c r="Y181" s="60">
        <f t="shared" si="14"/>
        <v>0</v>
      </c>
      <c r="Z181" s="60" t="str">
        <f t="shared" si="15"/>
        <v>BC</v>
      </c>
    </row>
    <row r="182" spans="1:26" ht="15" hidden="1" customHeight="1" x14ac:dyDescent="0.25">
      <c r="A182" s="20" t="s">
        <v>310</v>
      </c>
      <c r="B182" s="61" t="s">
        <v>664</v>
      </c>
      <c r="C182" s="106">
        <f t="shared" si="10"/>
        <v>392</v>
      </c>
      <c r="D182" s="20">
        <f t="shared" si="11"/>
        <v>1</v>
      </c>
      <c r="E182" s="20"/>
      <c r="F182" s="20"/>
      <c r="G182" s="32" t="s">
        <v>754</v>
      </c>
      <c r="H182" s="20" t="s">
        <v>4769</v>
      </c>
      <c r="I182" s="20">
        <v>331</v>
      </c>
      <c r="J182" s="20">
        <v>1111</v>
      </c>
      <c r="K182" s="20" t="s">
        <v>20</v>
      </c>
      <c r="L182" s="20">
        <v>1</v>
      </c>
      <c r="M182" s="34">
        <v>2895000</v>
      </c>
      <c r="N182" s="34">
        <f t="shared" si="12"/>
        <v>2895000</v>
      </c>
      <c r="O182" s="20"/>
      <c r="P182" s="20">
        <f t="shared" si="13"/>
        <v>47</v>
      </c>
      <c r="Q182" s="142"/>
      <c r="T182" s="86"/>
      <c r="U182" s="86"/>
      <c r="V182" s="86"/>
      <c r="Y182" s="60">
        <f t="shared" si="14"/>
        <v>0</v>
      </c>
      <c r="Z182" s="60" t="str">
        <f t="shared" si="15"/>
        <v>BC</v>
      </c>
    </row>
    <row r="183" spans="1:26" ht="15" hidden="1" customHeight="1" x14ac:dyDescent="0.25">
      <c r="A183" s="20" t="s">
        <v>310</v>
      </c>
      <c r="B183" s="61" t="s">
        <v>665</v>
      </c>
      <c r="C183" s="106">
        <f t="shared" si="10"/>
        <v>393</v>
      </c>
      <c r="D183" s="20">
        <f t="shared" si="11"/>
        <v>1</v>
      </c>
      <c r="E183" s="20"/>
      <c r="F183" s="20"/>
      <c r="G183" s="32" t="s">
        <v>754</v>
      </c>
      <c r="H183" s="20" t="s">
        <v>4770</v>
      </c>
      <c r="I183" s="20">
        <v>331</v>
      </c>
      <c r="J183" s="20">
        <v>1111</v>
      </c>
      <c r="K183" s="20" t="s">
        <v>20</v>
      </c>
      <c r="L183" s="20">
        <v>1</v>
      </c>
      <c r="M183" s="34">
        <v>3729000</v>
      </c>
      <c r="N183" s="34">
        <f t="shared" si="12"/>
        <v>3729000</v>
      </c>
      <c r="O183" s="20"/>
      <c r="P183" s="20">
        <f t="shared" si="13"/>
        <v>47</v>
      </c>
      <c r="Q183" s="142"/>
      <c r="T183" s="86"/>
      <c r="U183" s="86"/>
      <c r="V183" s="86"/>
      <c r="Y183" s="60">
        <f t="shared" si="14"/>
        <v>0</v>
      </c>
      <c r="Z183" s="60" t="str">
        <f t="shared" si="15"/>
        <v>BC</v>
      </c>
    </row>
    <row r="184" spans="1:26" ht="15" hidden="1" customHeight="1" x14ac:dyDescent="0.25">
      <c r="A184" s="20" t="s">
        <v>18</v>
      </c>
      <c r="B184" s="61" t="s">
        <v>432</v>
      </c>
      <c r="C184" s="106">
        <f t="shared" si="10"/>
        <v>394</v>
      </c>
      <c r="D184" s="20">
        <f t="shared" si="11"/>
        <v>1</v>
      </c>
      <c r="E184" s="20"/>
      <c r="F184" s="20"/>
      <c r="G184" s="32" t="s">
        <v>44</v>
      </c>
      <c r="H184" s="20" t="s">
        <v>755</v>
      </c>
      <c r="I184" s="20">
        <v>64277</v>
      </c>
      <c r="J184" s="20">
        <v>331</v>
      </c>
      <c r="K184" s="20" t="s">
        <v>20</v>
      </c>
      <c r="L184" s="20">
        <v>1</v>
      </c>
      <c r="M184" s="34">
        <v>834</v>
      </c>
      <c r="N184" s="34">
        <f t="shared" si="12"/>
        <v>834</v>
      </c>
      <c r="O184" s="20"/>
      <c r="P184" s="20">
        <f t="shared" si="13"/>
        <v>53</v>
      </c>
      <c r="Q184" s="142"/>
      <c r="T184" s="86"/>
      <c r="U184" s="86"/>
      <c r="V184" s="86"/>
      <c r="Y184" s="60">
        <f t="shared" si="14"/>
        <v>0</v>
      </c>
      <c r="Z184" s="60" t="str">
        <f t="shared" si="15"/>
        <v>BC</v>
      </c>
    </row>
    <row r="185" spans="1:26" ht="15" hidden="1" customHeight="1" x14ac:dyDescent="0.25">
      <c r="A185" s="20" t="s">
        <v>18</v>
      </c>
      <c r="B185" s="61" t="s">
        <v>432</v>
      </c>
      <c r="C185" s="106">
        <f t="shared" si="10"/>
        <v>394</v>
      </c>
      <c r="D185" s="20">
        <f t="shared" si="11"/>
        <v>0</v>
      </c>
      <c r="E185" s="20"/>
      <c r="F185" s="20"/>
      <c r="G185" s="32" t="s">
        <v>44</v>
      </c>
      <c r="H185" s="20" t="s">
        <v>755</v>
      </c>
      <c r="I185" s="20">
        <v>1331</v>
      </c>
      <c r="J185" s="20">
        <v>331</v>
      </c>
      <c r="K185" s="20" t="s">
        <v>20</v>
      </c>
      <c r="L185" s="20">
        <v>1</v>
      </c>
      <c r="M185" s="34">
        <v>66</v>
      </c>
      <c r="N185" s="34">
        <f t="shared" si="12"/>
        <v>66</v>
      </c>
      <c r="O185" s="20"/>
      <c r="P185" s="20">
        <f t="shared" si="13"/>
        <v>53</v>
      </c>
      <c r="Q185" s="142"/>
      <c r="T185" s="86"/>
      <c r="U185" s="86"/>
      <c r="V185" s="86"/>
      <c r="Y185" s="60">
        <f t="shared" si="14"/>
        <v>0</v>
      </c>
      <c r="Z185" s="60" t="str">
        <f t="shared" si="15"/>
        <v>BC</v>
      </c>
    </row>
    <row r="186" spans="1:26" ht="15" hidden="1" customHeight="1" x14ac:dyDescent="0.25">
      <c r="A186" s="20" t="s">
        <v>18</v>
      </c>
      <c r="B186" s="61" t="s">
        <v>434</v>
      </c>
      <c r="C186" s="106">
        <f t="shared" si="10"/>
        <v>395</v>
      </c>
      <c r="D186" s="20">
        <f t="shared" si="11"/>
        <v>1</v>
      </c>
      <c r="E186" s="20"/>
      <c r="F186" s="20"/>
      <c r="G186" s="32" t="s">
        <v>754</v>
      </c>
      <c r="H186" s="20" t="s">
        <v>756</v>
      </c>
      <c r="I186" s="20">
        <v>64277</v>
      </c>
      <c r="J186" s="20">
        <v>331</v>
      </c>
      <c r="K186" s="20" t="s">
        <v>20</v>
      </c>
      <c r="L186" s="20">
        <v>1</v>
      </c>
      <c r="M186" s="34">
        <v>9937500</v>
      </c>
      <c r="N186" s="34">
        <f t="shared" si="12"/>
        <v>9937500</v>
      </c>
      <c r="O186" s="20"/>
      <c r="P186" s="20">
        <f t="shared" si="13"/>
        <v>105</v>
      </c>
      <c r="Q186" s="142"/>
      <c r="T186" s="86"/>
      <c r="U186" s="86"/>
      <c r="V186" s="86"/>
      <c r="Y186" s="60">
        <f t="shared" si="14"/>
        <v>0</v>
      </c>
      <c r="Z186" s="60" t="str">
        <f t="shared" si="15"/>
        <v>BC</v>
      </c>
    </row>
    <row r="187" spans="1:26" ht="15" hidden="1" customHeight="1" x14ac:dyDescent="0.25">
      <c r="A187" s="20" t="s">
        <v>18</v>
      </c>
      <c r="B187" s="61" t="s">
        <v>434</v>
      </c>
      <c r="C187" s="106">
        <f t="shared" si="10"/>
        <v>395</v>
      </c>
      <c r="D187" s="20">
        <f t="shared" si="11"/>
        <v>0</v>
      </c>
      <c r="E187" s="20"/>
      <c r="F187" s="20"/>
      <c r="G187" s="32" t="s">
        <v>754</v>
      </c>
      <c r="H187" s="20" t="s">
        <v>756</v>
      </c>
      <c r="I187" s="20">
        <v>1331</v>
      </c>
      <c r="J187" s="20">
        <v>331</v>
      </c>
      <c r="K187" s="20" t="s">
        <v>20</v>
      </c>
      <c r="L187" s="20">
        <v>1</v>
      </c>
      <c r="M187" s="34">
        <v>795000</v>
      </c>
      <c r="N187" s="34">
        <f t="shared" si="12"/>
        <v>795000</v>
      </c>
      <c r="O187" s="20"/>
      <c r="P187" s="20">
        <f t="shared" si="13"/>
        <v>105</v>
      </c>
      <c r="Q187" s="142"/>
      <c r="T187" s="86"/>
      <c r="U187" s="86"/>
      <c r="V187" s="86"/>
      <c r="Y187" s="60">
        <f t="shared" si="14"/>
        <v>0</v>
      </c>
      <c r="Z187" s="60" t="str">
        <f t="shared" si="15"/>
        <v>BC</v>
      </c>
    </row>
    <row r="188" spans="1:26" ht="15" hidden="1" customHeight="1" x14ac:dyDescent="0.25">
      <c r="A188" s="20" t="s">
        <v>18</v>
      </c>
      <c r="B188" s="61" t="s">
        <v>471</v>
      </c>
      <c r="C188" s="106">
        <f t="shared" si="10"/>
        <v>396</v>
      </c>
      <c r="D188" s="20">
        <f t="shared" si="11"/>
        <v>1</v>
      </c>
      <c r="E188" s="20"/>
      <c r="F188" s="20"/>
      <c r="G188" s="32" t="s">
        <v>35</v>
      </c>
      <c r="H188" s="20" t="s">
        <v>757</v>
      </c>
      <c r="I188" s="20">
        <v>64277</v>
      </c>
      <c r="J188" s="20">
        <v>331</v>
      </c>
      <c r="K188" s="20" t="s">
        <v>20</v>
      </c>
      <c r="L188" s="20">
        <v>1</v>
      </c>
      <c r="M188" s="34">
        <v>3000000</v>
      </c>
      <c r="N188" s="34">
        <f t="shared" si="12"/>
        <v>3000000</v>
      </c>
      <c r="O188" s="20"/>
      <c r="P188" s="20">
        <f t="shared" si="13"/>
        <v>41</v>
      </c>
      <c r="Q188" s="142"/>
      <c r="T188" s="86"/>
      <c r="U188" s="86"/>
      <c r="V188" s="86"/>
      <c r="Y188" s="60">
        <f t="shared" si="14"/>
        <v>0</v>
      </c>
      <c r="Z188" s="60" t="str">
        <f t="shared" si="15"/>
        <v>BC</v>
      </c>
    </row>
    <row r="189" spans="1:26" ht="15" hidden="1" customHeight="1" x14ac:dyDescent="0.25">
      <c r="A189" s="20" t="s">
        <v>18</v>
      </c>
      <c r="B189" s="61" t="s">
        <v>471</v>
      </c>
      <c r="C189" s="106">
        <f t="shared" si="10"/>
        <v>396</v>
      </c>
      <c r="D189" s="20">
        <f t="shared" si="11"/>
        <v>0</v>
      </c>
      <c r="E189" s="20"/>
      <c r="F189" s="20"/>
      <c r="G189" s="32" t="s">
        <v>35</v>
      </c>
      <c r="H189" s="20" t="s">
        <v>757</v>
      </c>
      <c r="I189" s="20">
        <v>1331</v>
      </c>
      <c r="J189" s="20">
        <v>331</v>
      </c>
      <c r="K189" s="20" t="s">
        <v>20</v>
      </c>
      <c r="L189" s="20">
        <v>1</v>
      </c>
      <c r="M189" s="34">
        <v>240000</v>
      </c>
      <c r="N189" s="34">
        <f t="shared" si="12"/>
        <v>240000</v>
      </c>
      <c r="O189" s="20"/>
      <c r="P189" s="20">
        <f t="shared" si="13"/>
        <v>41</v>
      </c>
      <c r="Q189" s="142"/>
      <c r="T189" s="86"/>
      <c r="U189" s="86"/>
      <c r="V189" s="86"/>
      <c r="Y189" s="60">
        <f t="shared" si="14"/>
        <v>0</v>
      </c>
      <c r="Z189" s="60" t="str">
        <f t="shared" si="15"/>
        <v>BC</v>
      </c>
    </row>
    <row r="190" spans="1:26" ht="15" hidden="1" customHeight="1" x14ac:dyDescent="0.25">
      <c r="A190" s="20" t="s">
        <v>18</v>
      </c>
      <c r="B190" s="61" t="s">
        <v>658</v>
      </c>
      <c r="C190" s="106">
        <f t="shared" si="10"/>
        <v>397</v>
      </c>
      <c r="D190" s="20">
        <f t="shared" si="11"/>
        <v>1</v>
      </c>
      <c r="E190" s="20"/>
      <c r="F190" s="20"/>
      <c r="G190" s="32" t="s">
        <v>249</v>
      </c>
      <c r="H190" s="20" t="s">
        <v>771</v>
      </c>
      <c r="I190" s="20">
        <v>131</v>
      </c>
      <c r="J190" s="20">
        <v>5113</v>
      </c>
      <c r="K190" s="20" t="s">
        <v>20</v>
      </c>
      <c r="L190" s="20">
        <v>1</v>
      </c>
      <c r="M190" s="34">
        <v>48387097</v>
      </c>
      <c r="N190" s="34">
        <f t="shared" si="12"/>
        <v>48387097</v>
      </c>
      <c r="O190" s="20"/>
      <c r="P190" s="20">
        <f t="shared" si="13"/>
        <v>114</v>
      </c>
      <c r="Q190" s="142"/>
      <c r="T190" s="86"/>
      <c r="U190" s="86"/>
      <c r="V190" s="86"/>
      <c r="Y190" s="60">
        <f t="shared" si="14"/>
        <v>0</v>
      </c>
      <c r="Z190" s="60" t="str">
        <f t="shared" si="15"/>
        <v>BC</v>
      </c>
    </row>
    <row r="191" spans="1:26" ht="15" customHeight="1" x14ac:dyDescent="0.25">
      <c r="A191" s="20" t="s">
        <v>18</v>
      </c>
      <c r="B191" s="61" t="s">
        <v>658</v>
      </c>
      <c r="C191" s="106">
        <f t="shared" si="10"/>
        <v>398</v>
      </c>
      <c r="D191" s="20">
        <f t="shared" si="11"/>
        <v>1</v>
      </c>
      <c r="E191" s="20"/>
      <c r="F191" s="20"/>
      <c r="G191" s="32" t="s">
        <v>249</v>
      </c>
      <c r="H191" s="20" t="s">
        <v>4771</v>
      </c>
      <c r="I191" s="20">
        <v>333821</v>
      </c>
      <c r="J191" s="20">
        <v>131</v>
      </c>
      <c r="K191" s="20" t="s">
        <v>20</v>
      </c>
      <c r="L191" s="20">
        <v>1</v>
      </c>
      <c r="M191" s="34">
        <v>483871</v>
      </c>
      <c r="N191" s="34">
        <f t="shared" si="12"/>
        <v>483871</v>
      </c>
      <c r="O191" s="20"/>
      <c r="P191" s="20">
        <f t="shared" si="13"/>
        <v>130</v>
      </c>
      <c r="Q191" s="142"/>
      <c r="T191" s="86"/>
      <c r="U191" s="86"/>
      <c r="V191" s="86"/>
      <c r="Y191" s="60">
        <f t="shared" si="14"/>
        <v>0</v>
      </c>
      <c r="Z191" s="60" t="str">
        <f t="shared" si="15"/>
        <v>BC</v>
      </c>
    </row>
    <row r="192" spans="1:26" ht="15" hidden="1" customHeight="1" x14ac:dyDescent="0.25">
      <c r="A192" s="20" t="s">
        <v>18</v>
      </c>
      <c r="B192" s="61" t="s">
        <v>495</v>
      </c>
      <c r="C192" s="106">
        <f t="shared" si="10"/>
        <v>399</v>
      </c>
      <c r="D192" s="20">
        <f t="shared" si="11"/>
        <v>1</v>
      </c>
      <c r="E192" s="20"/>
      <c r="F192" s="20"/>
      <c r="G192" s="32" t="s">
        <v>53</v>
      </c>
      <c r="H192" s="20" t="s">
        <v>773</v>
      </c>
      <c r="I192" s="20">
        <v>131</v>
      </c>
      <c r="J192" s="20">
        <v>5113</v>
      </c>
      <c r="K192" s="20" t="s">
        <v>20</v>
      </c>
      <c r="L192" s="20">
        <v>1</v>
      </c>
      <c r="M192" s="34">
        <v>34946236</v>
      </c>
      <c r="N192" s="34">
        <f t="shared" si="12"/>
        <v>34946236</v>
      </c>
      <c r="O192" s="20"/>
      <c r="P192" s="20">
        <f t="shared" si="13"/>
        <v>118</v>
      </c>
      <c r="Q192" s="142"/>
      <c r="T192" s="86"/>
      <c r="U192" s="86"/>
      <c r="V192" s="86"/>
      <c r="Y192" s="60">
        <f t="shared" si="14"/>
        <v>0</v>
      </c>
      <c r="Z192" s="60" t="str">
        <f t="shared" si="15"/>
        <v>BC</v>
      </c>
    </row>
    <row r="193" spans="1:26" ht="15" hidden="1" customHeight="1" x14ac:dyDescent="0.25">
      <c r="A193" s="20" t="s">
        <v>18</v>
      </c>
      <c r="B193" s="61" t="s">
        <v>495</v>
      </c>
      <c r="C193" s="106">
        <f t="shared" si="10"/>
        <v>400</v>
      </c>
      <c r="D193" s="20">
        <f t="shared" si="11"/>
        <v>1</v>
      </c>
      <c r="E193" s="20"/>
      <c r="F193" s="20"/>
      <c r="G193" s="32" t="s">
        <v>53</v>
      </c>
      <c r="H193" s="20" t="s">
        <v>772</v>
      </c>
      <c r="I193" s="20">
        <v>131</v>
      </c>
      <c r="J193" s="20">
        <v>5113</v>
      </c>
      <c r="K193" s="20" t="s">
        <v>20</v>
      </c>
      <c r="L193" s="20">
        <v>1</v>
      </c>
      <c r="M193" s="34">
        <v>151515152</v>
      </c>
      <c r="N193" s="34">
        <f t="shared" si="12"/>
        <v>151515152</v>
      </c>
      <c r="O193" s="20"/>
      <c r="P193" s="20">
        <f t="shared" si="13"/>
        <v>96</v>
      </c>
      <c r="Q193" s="142"/>
      <c r="T193" s="86"/>
      <c r="U193" s="86"/>
      <c r="V193" s="86"/>
      <c r="Y193" s="60">
        <f t="shared" si="14"/>
        <v>0</v>
      </c>
      <c r="Z193" s="60" t="str">
        <f t="shared" si="15"/>
        <v>BC</v>
      </c>
    </row>
    <row r="194" spans="1:26" ht="15" customHeight="1" x14ac:dyDescent="0.25">
      <c r="A194" s="20" t="s">
        <v>18</v>
      </c>
      <c r="B194" s="61" t="s">
        <v>495</v>
      </c>
      <c r="C194" s="106">
        <f t="shared" si="10"/>
        <v>401</v>
      </c>
      <c r="D194" s="20">
        <f t="shared" si="11"/>
        <v>1</v>
      </c>
      <c r="E194" s="20"/>
      <c r="F194" s="20"/>
      <c r="G194" s="32" t="s">
        <v>53</v>
      </c>
      <c r="H194" s="20" t="s">
        <v>4772</v>
      </c>
      <c r="I194" s="20">
        <v>333821</v>
      </c>
      <c r="J194" s="20">
        <v>131</v>
      </c>
      <c r="K194" s="20" t="s">
        <v>20</v>
      </c>
      <c r="L194" s="20">
        <v>1</v>
      </c>
      <c r="M194" s="34">
        <v>349462</v>
      </c>
      <c r="N194" s="34">
        <f t="shared" si="12"/>
        <v>349462</v>
      </c>
      <c r="O194" s="20"/>
      <c r="P194" s="20">
        <f t="shared" si="13"/>
        <v>134</v>
      </c>
      <c r="Q194" s="142"/>
      <c r="T194" s="86"/>
      <c r="U194" s="86"/>
      <c r="V194" s="86"/>
      <c r="Y194" s="60">
        <f t="shared" si="14"/>
        <v>0</v>
      </c>
      <c r="Z194" s="60" t="str">
        <f t="shared" si="15"/>
        <v>BC</v>
      </c>
    </row>
    <row r="195" spans="1:26" ht="15" customHeight="1" x14ac:dyDescent="0.25">
      <c r="A195" s="20" t="s">
        <v>18</v>
      </c>
      <c r="B195" s="61" t="s">
        <v>495</v>
      </c>
      <c r="C195" s="106">
        <f t="shared" si="10"/>
        <v>402</v>
      </c>
      <c r="D195" s="20">
        <f t="shared" si="11"/>
        <v>1</v>
      </c>
      <c r="E195" s="20"/>
      <c r="F195" s="20"/>
      <c r="G195" s="32" t="s">
        <v>53</v>
      </c>
      <c r="H195" s="20" t="s">
        <v>4773</v>
      </c>
      <c r="I195" s="20">
        <v>333821</v>
      </c>
      <c r="J195" s="20">
        <v>131</v>
      </c>
      <c r="K195" s="20" t="s">
        <v>20</v>
      </c>
      <c r="L195" s="20">
        <v>1</v>
      </c>
      <c r="M195" s="34">
        <v>1515152</v>
      </c>
      <c r="N195" s="34">
        <f t="shared" si="12"/>
        <v>1515152</v>
      </c>
      <c r="O195" s="20"/>
      <c r="P195" s="20">
        <f t="shared" si="13"/>
        <v>112</v>
      </c>
      <c r="Q195" s="142"/>
      <c r="T195" s="86"/>
      <c r="U195" s="86"/>
      <c r="V195" s="86"/>
      <c r="Y195" s="60">
        <f t="shared" si="14"/>
        <v>0</v>
      </c>
      <c r="Z195" s="60" t="str">
        <f t="shared" si="15"/>
        <v>BC</v>
      </c>
    </row>
    <row r="196" spans="1:26" ht="15" hidden="1" customHeight="1" x14ac:dyDescent="0.25">
      <c r="A196" s="20" t="s">
        <v>18</v>
      </c>
      <c r="B196" s="61" t="s">
        <v>710</v>
      </c>
      <c r="C196" s="106">
        <f t="shared" ref="C196:C255" si="16">C195+D196</f>
        <v>403</v>
      </c>
      <c r="D196" s="20">
        <f t="shared" ref="D196:D255" si="17">IF(H196=H195,0,1)</f>
        <v>1</v>
      </c>
      <c r="E196" s="20"/>
      <c r="F196" s="20"/>
      <c r="G196" s="32" t="s">
        <v>251</v>
      </c>
      <c r="H196" s="20" t="s">
        <v>774</v>
      </c>
      <c r="I196" s="20">
        <v>131</v>
      </c>
      <c r="J196" s="20">
        <v>5113</v>
      </c>
      <c r="K196" s="20" t="s">
        <v>20</v>
      </c>
      <c r="L196" s="20">
        <v>1</v>
      </c>
      <c r="M196" s="34">
        <v>58595960</v>
      </c>
      <c r="N196" s="34">
        <f t="shared" ref="N196:N255" si="18">L196*M196</f>
        <v>58595960</v>
      </c>
      <c r="O196" s="20"/>
      <c r="P196" s="20">
        <f t="shared" ref="P196:P255" si="19">LEN(H196)</f>
        <v>100</v>
      </c>
      <c r="Q196" s="142"/>
      <c r="T196" s="86"/>
      <c r="U196" s="86"/>
      <c r="V196" s="86"/>
      <c r="Y196" s="60">
        <f t="shared" si="14"/>
        <v>0</v>
      </c>
      <c r="Z196" s="60" t="str">
        <f t="shared" si="15"/>
        <v>BC</v>
      </c>
    </row>
    <row r="197" spans="1:26" ht="15" customHeight="1" x14ac:dyDescent="0.25">
      <c r="A197" s="20" t="s">
        <v>18</v>
      </c>
      <c r="B197" s="61" t="s">
        <v>710</v>
      </c>
      <c r="C197" s="106">
        <f t="shared" si="16"/>
        <v>404</v>
      </c>
      <c r="D197" s="20">
        <f t="shared" si="17"/>
        <v>1</v>
      </c>
      <c r="E197" s="20"/>
      <c r="F197" s="20"/>
      <c r="G197" s="32" t="s">
        <v>251</v>
      </c>
      <c r="H197" s="20" t="s">
        <v>4774</v>
      </c>
      <c r="I197" s="20">
        <v>333821</v>
      </c>
      <c r="J197" s="20">
        <v>131</v>
      </c>
      <c r="K197" s="20" t="s">
        <v>20</v>
      </c>
      <c r="L197" s="20">
        <v>1</v>
      </c>
      <c r="M197" s="34">
        <v>585960</v>
      </c>
      <c r="N197" s="34">
        <f t="shared" si="18"/>
        <v>585960</v>
      </c>
      <c r="O197" s="20"/>
      <c r="P197" s="20">
        <f t="shared" si="19"/>
        <v>116</v>
      </c>
      <c r="Q197" s="142"/>
      <c r="T197" s="86"/>
      <c r="U197" s="86"/>
      <c r="V197" s="86"/>
      <c r="Y197" s="60">
        <f t="shared" si="14"/>
        <v>0</v>
      </c>
      <c r="Z197" s="60" t="str">
        <f t="shared" si="15"/>
        <v>BC</v>
      </c>
    </row>
    <row r="198" spans="1:26" ht="15" hidden="1" customHeight="1" x14ac:dyDescent="0.25">
      <c r="A198" s="20" t="s">
        <v>18</v>
      </c>
      <c r="B198" s="61">
        <v>46053</v>
      </c>
      <c r="C198" s="106">
        <f t="shared" si="16"/>
        <v>405</v>
      </c>
      <c r="D198" s="20">
        <f t="shared" si="17"/>
        <v>1</v>
      </c>
      <c r="E198" s="20"/>
      <c r="F198" s="20"/>
      <c r="G198" s="32" t="s">
        <v>71</v>
      </c>
      <c r="H198" s="20" t="s">
        <v>455</v>
      </c>
      <c r="I198" s="20">
        <v>64271</v>
      </c>
      <c r="J198" s="20">
        <v>3383</v>
      </c>
      <c r="K198" s="20" t="s">
        <v>20</v>
      </c>
      <c r="L198" s="20">
        <v>1</v>
      </c>
      <c r="M198" s="34">
        <v>2950000</v>
      </c>
      <c r="N198" s="34">
        <f t="shared" si="18"/>
        <v>2950000</v>
      </c>
      <c r="O198" s="20"/>
      <c r="P198" s="20">
        <f t="shared" si="19"/>
        <v>30</v>
      </c>
      <c r="Q198" s="142"/>
      <c r="T198" s="86"/>
      <c r="U198" s="86"/>
      <c r="V198" s="86"/>
    </row>
    <row r="199" spans="1:26" ht="15" hidden="1" customHeight="1" x14ac:dyDescent="0.25">
      <c r="A199" s="20" t="s">
        <v>18</v>
      </c>
      <c r="B199" s="61">
        <v>46053</v>
      </c>
      <c r="C199" s="106">
        <f t="shared" si="16"/>
        <v>405</v>
      </c>
      <c r="D199" s="20">
        <f t="shared" si="17"/>
        <v>0</v>
      </c>
      <c r="E199" s="20"/>
      <c r="F199" s="20"/>
      <c r="G199" s="32" t="s">
        <v>71</v>
      </c>
      <c r="H199" s="20" t="s">
        <v>455</v>
      </c>
      <c r="I199" s="20">
        <v>64271</v>
      </c>
      <c r="J199" s="20">
        <v>3383</v>
      </c>
      <c r="K199" s="20" t="s">
        <v>20</v>
      </c>
      <c r="L199" s="20">
        <v>1</v>
      </c>
      <c r="M199" s="34">
        <v>4800000</v>
      </c>
      <c r="N199" s="34">
        <f t="shared" si="18"/>
        <v>4800000</v>
      </c>
      <c r="O199" s="20"/>
      <c r="P199" s="20">
        <f t="shared" si="19"/>
        <v>30</v>
      </c>
      <c r="Q199" s="142"/>
      <c r="T199" s="86"/>
      <c r="U199" s="86"/>
      <c r="V199" s="86"/>
    </row>
    <row r="200" spans="1:26" ht="15" hidden="1" customHeight="1" x14ac:dyDescent="0.25">
      <c r="A200" s="20" t="s">
        <v>18</v>
      </c>
      <c r="B200" s="61" t="s">
        <v>436</v>
      </c>
      <c r="C200" s="106">
        <f t="shared" si="16"/>
        <v>406</v>
      </c>
      <c r="D200" s="20">
        <f t="shared" si="17"/>
        <v>1</v>
      </c>
      <c r="E200" s="20"/>
      <c r="F200" s="20"/>
      <c r="G200" s="32" t="s">
        <v>767</v>
      </c>
      <c r="H200" s="20" t="s">
        <v>775</v>
      </c>
      <c r="I200" s="20">
        <v>131</v>
      </c>
      <c r="J200" s="20">
        <v>5113</v>
      </c>
      <c r="K200" s="20" t="s">
        <v>20</v>
      </c>
      <c r="L200" s="20">
        <v>1</v>
      </c>
      <c r="M200" s="34">
        <v>48387097</v>
      </c>
      <c r="N200" s="34">
        <f t="shared" si="18"/>
        <v>48387097</v>
      </c>
      <c r="O200" s="20"/>
      <c r="P200" s="20">
        <f t="shared" si="19"/>
        <v>173</v>
      </c>
      <c r="Q200" s="142"/>
      <c r="T200" s="86"/>
      <c r="U200" s="86"/>
      <c r="V200" s="86"/>
    </row>
    <row r="201" spans="1:26" ht="15" customHeight="1" x14ac:dyDescent="0.25">
      <c r="A201" s="20" t="s">
        <v>18</v>
      </c>
      <c r="B201" s="61" t="s">
        <v>436</v>
      </c>
      <c r="C201" s="106">
        <f t="shared" si="16"/>
        <v>407</v>
      </c>
      <c r="D201" s="20">
        <f t="shared" si="17"/>
        <v>1</v>
      </c>
      <c r="E201" s="20"/>
      <c r="F201" s="20"/>
      <c r="G201" s="32" t="s">
        <v>767</v>
      </c>
      <c r="H201" s="20" t="s">
        <v>4775</v>
      </c>
      <c r="I201" s="20">
        <v>333821</v>
      </c>
      <c r="J201" s="20">
        <v>131</v>
      </c>
      <c r="K201" s="20" t="s">
        <v>20</v>
      </c>
      <c r="L201" s="20">
        <v>1</v>
      </c>
      <c r="M201" s="34">
        <v>483871</v>
      </c>
      <c r="N201" s="34">
        <f t="shared" si="18"/>
        <v>483871</v>
      </c>
      <c r="O201" s="20"/>
      <c r="P201" s="20">
        <f t="shared" si="19"/>
        <v>189</v>
      </c>
      <c r="Q201" s="142"/>
      <c r="T201" s="86"/>
      <c r="U201" s="86"/>
      <c r="V201" s="86"/>
    </row>
    <row r="202" spans="1:26" ht="15" hidden="1" customHeight="1" x14ac:dyDescent="0.25">
      <c r="A202" s="20" t="s">
        <v>18</v>
      </c>
      <c r="B202" s="61" t="s">
        <v>436</v>
      </c>
      <c r="C202" s="106">
        <f t="shared" si="16"/>
        <v>408</v>
      </c>
      <c r="D202" s="20">
        <f t="shared" si="17"/>
        <v>1</v>
      </c>
      <c r="E202" s="20"/>
      <c r="F202" s="20"/>
      <c r="G202" s="32" t="s">
        <v>44</v>
      </c>
      <c r="H202" s="20" t="s">
        <v>758</v>
      </c>
      <c r="I202" s="20">
        <v>64277</v>
      </c>
      <c r="J202" s="20">
        <v>331</v>
      </c>
      <c r="K202" s="20" t="s">
        <v>20</v>
      </c>
      <c r="L202" s="20">
        <v>1</v>
      </c>
      <c r="M202" s="34">
        <v>224</v>
      </c>
      <c r="N202" s="34">
        <f t="shared" si="18"/>
        <v>224</v>
      </c>
      <c r="O202" s="20"/>
      <c r="P202" s="20">
        <f t="shared" si="19"/>
        <v>98</v>
      </c>
      <c r="Q202" s="142"/>
      <c r="T202" s="86"/>
      <c r="U202" s="86"/>
      <c r="V202" s="86"/>
    </row>
    <row r="203" spans="1:26" ht="15" hidden="1" customHeight="1" x14ac:dyDescent="0.25">
      <c r="A203" s="20" t="s">
        <v>18</v>
      </c>
      <c r="B203" s="61" t="s">
        <v>436</v>
      </c>
      <c r="C203" s="106">
        <f t="shared" si="16"/>
        <v>408</v>
      </c>
      <c r="D203" s="20">
        <f t="shared" si="17"/>
        <v>0</v>
      </c>
      <c r="E203" s="20"/>
      <c r="F203" s="20"/>
      <c r="G203" s="32" t="s">
        <v>44</v>
      </c>
      <c r="H203" s="20" t="s">
        <v>758</v>
      </c>
      <c r="I203" s="20">
        <v>1331</v>
      </c>
      <c r="J203" s="20">
        <v>331</v>
      </c>
      <c r="K203" s="20" t="s">
        <v>20</v>
      </c>
      <c r="L203" s="20">
        <v>1</v>
      </c>
      <c r="M203" s="34">
        <v>18</v>
      </c>
      <c r="N203" s="34">
        <f t="shared" si="18"/>
        <v>18</v>
      </c>
      <c r="O203" s="20"/>
      <c r="P203" s="20">
        <f t="shared" si="19"/>
        <v>98</v>
      </c>
      <c r="Q203" s="142"/>
      <c r="T203" s="86"/>
      <c r="U203" s="86"/>
      <c r="V203" s="86"/>
    </row>
    <row r="204" spans="1:26" ht="15" hidden="1" customHeight="1" x14ac:dyDescent="0.25">
      <c r="A204" s="20" t="s">
        <v>18</v>
      </c>
      <c r="B204" s="61" t="s">
        <v>541</v>
      </c>
      <c r="C204" s="106">
        <f t="shared" si="16"/>
        <v>409</v>
      </c>
      <c r="D204" s="20">
        <f t="shared" si="17"/>
        <v>1</v>
      </c>
      <c r="E204" s="20"/>
      <c r="F204" s="20"/>
      <c r="G204" s="32" t="s">
        <v>768</v>
      </c>
      <c r="H204" s="20" t="s">
        <v>776</v>
      </c>
      <c r="I204" s="20">
        <v>131</v>
      </c>
      <c r="J204" s="20">
        <v>5113</v>
      </c>
      <c r="K204" s="20" t="s">
        <v>20</v>
      </c>
      <c r="L204" s="20">
        <v>1</v>
      </c>
      <c r="M204" s="34">
        <v>64516129</v>
      </c>
      <c r="N204" s="34">
        <f t="shared" si="18"/>
        <v>64516129</v>
      </c>
      <c r="O204" s="20"/>
      <c r="P204" s="20">
        <f t="shared" si="19"/>
        <v>110</v>
      </c>
      <c r="Q204" s="142"/>
      <c r="T204" s="86"/>
      <c r="U204" s="86"/>
      <c r="V204" s="86"/>
    </row>
    <row r="205" spans="1:26" ht="15" customHeight="1" x14ac:dyDescent="0.25">
      <c r="A205" s="20" t="s">
        <v>18</v>
      </c>
      <c r="B205" s="61" t="s">
        <v>541</v>
      </c>
      <c r="C205" s="106">
        <f t="shared" si="16"/>
        <v>410</v>
      </c>
      <c r="D205" s="20">
        <f t="shared" si="17"/>
        <v>1</v>
      </c>
      <c r="E205" s="20"/>
      <c r="F205" s="20"/>
      <c r="G205" s="32" t="s">
        <v>768</v>
      </c>
      <c r="H205" s="20" t="s">
        <v>4776</v>
      </c>
      <c r="I205" s="20">
        <v>333821</v>
      </c>
      <c r="J205" s="20">
        <v>131</v>
      </c>
      <c r="K205" s="20" t="s">
        <v>20</v>
      </c>
      <c r="L205" s="20">
        <v>1</v>
      </c>
      <c r="M205" s="34">
        <v>645161</v>
      </c>
      <c r="N205" s="34">
        <f t="shared" si="18"/>
        <v>645161</v>
      </c>
      <c r="O205" s="20"/>
      <c r="P205" s="20">
        <f t="shared" si="19"/>
        <v>126</v>
      </c>
      <c r="Q205" s="142"/>
      <c r="T205" s="86"/>
      <c r="U205" s="86"/>
      <c r="V205" s="86"/>
    </row>
    <row r="206" spans="1:26" ht="15" hidden="1" customHeight="1" x14ac:dyDescent="0.25">
      <c r="A206" s="20" t="s">
        <v>18</v>
      </c>
      <c r="B206" s="61" t="s">
        <v>474</v>
      </c>
      <c r="C206" s="106">
        <f t="shared" si="16"/>
        <v>411</v>
      </c>
      <c r="D206" s="20">
        <f t="shared" si="17"/>
        <v>1</v>
      </c>
      <c r="E206" s="20"/>
      <c r="F206" s="20"/>
      <c r="G206" s="32" t="s">
        <v>73</v>
      </c>
      <c r="H206" s="20" t="s">
        <v>777</v>
      </c>
      <c r="I206" s="20">
        <v>131</v>
      </c>
      <c r="J206" s="20">
        <v>5113</v>
      </c>
      <c r="K206" s="20" t="s">
        <v>20</v>
      </c>
      <c r="L206" s="20">
        <v>1</v>
      </c>
      <c r="M206" s="34">
        <v>39393939</v>
      </c>
      <c r="N206" s="34">
        <f t="shared" si="18"/>
        <v>39393939</v>
      </c>
      <c r="O206" s="20"/>
      <c r="P206" s="20">
        <f t="shared" si="19"/>
        <v>144</v>
      </c>
      <c r="Q206" s="142"/>
      <c r="T206" s="86"/>
      <c r="U206" s="86"/>
      <c r="V206" s="86"/>
    </row>
    <row r="207" spans="1:26" ht="15" customHeight="1" x14ac:dyDescent="0.25">
      <c r="A207" s="20" t="s">
        <v>18</v>
      </c>
      <c r="B207" s="61" t="s">
        <v>474</v>
      </c>
      <c r="C207" s="106">
        <f t="shared" si="16"/>
        <v>412</v>
      </c>
      <c r="D207" s="20">
        <f t="shared" si="17"/>
        <v>1</v>
      </c>
      <c r="E207" s="20"/>
      <c r="F207" s="20"/>
      <c r="G207" s="32" t="s">
        <v>73</v>
      </c>
      <c r="H207" s="20" t="s">
        <v>4777</v>
      </c>
      <c r="I207" s="20">
        <v>333821</v>
      </c>
      <c r="J207" s="20">
        <v>131</v>
      </c>
      <c r="K207" s="20" t="s">
        <v>20</v>
      </c>
      <c r="L207" s="20">
        <v>1</v>
      </c>
      <c r="M207" s="34">
        <v>393939</v>
      </c>
      <c r="N207" s="34">
        <f t="shared" si="18"/>
        <v>393939</v>
      </c>
      <c r="O207" s="20"/>
      <c r="P207" s="20">
        <f t="shared" si="19"/>
        <v>160</v>
      </c>
      <c r="Q207" s="142"/>
      <c r="T207" s="86"/>
      <c r="U207" s="86"/>
      <c r="V207" s="86"/>
    </row>
    <row r="208" spans="1:26" ht="15" hidden="1" customHeight="1" x14ac:dyDescent="0.25">
      <c r="A208" s="20" t="s">
        <v>18</v>
      </c>
      <c r="B208" s="61" t="s">
        <v>543</v>
      </c>
      <c r="C208" s="106">
        <f t="shared" si="16"/>
        <v>413</v>
      </c>
      <c r="D208" s="20">
        <f t="shared" si="17"/>
        <v>1</v>
      </c>
      <c r="E208" s="20"/>
      <c r="F208" s="20"/>
      <c r="G208" s="32" t="s">
        <v>43</v>
      </c>
      <c r="H208" s="20" t="s">
        <v>779</v>
      </c>
      <c r="I208" s="20">
        <v>131</v>
      </c>
      <c r="J208" s="20">
        <v>5113</v>
      </c>
      <c r="K208" s="20" t="s">
        <v>20</v>
      </c>
      <c r="L208" s="20">
        <v>1</v>
      </c>
      <c r="M208" s="34">
        <v>16666667</v>
      </c>
      <c r="N208" s="34">
        <f t="shared" si="18"/>
        <v>16666667</v>
      </c>
      <c r="O208" s="20"/>
      <c r="P208" s="20">
        <f t="shared" si="19"/>
        <v>172</v>
      </c>
      <c r="Q208" s="142"/>
      <c r="T208" s="86"/>
      <c r="U208" s="86"/>
      <c r="V208" s="86"/>
    </row>
    <row r="209" spans="1:22" ht="15" customHeight="1" x14ac:dyDescent="0.25">
      <c r="A209" s="20" t="s">
        <v>18</v>
      </c>
      <c r="B209" s="61" t="s">
        <v>543</v>
      </c>
      <c r="C209" s="106">
        <f t="shared" si="16"/>
        <v>414</v>
      </c>
      <c r="D209" s="20">
        <f t="shared" si="17"/>
        <v>1</v>
      </c>
      <c r="E209" s="20"/>
      <c r="F209" s="20"/>
      <c r="G209" s="32" t="s">
        <v>43</v>
      </c>
      <c r="H209" s="20" t="s">
        <v>4778</v>
      </c>
      <c r="I209" s="20">
        <v>333821</v>
      </c>
      <c r="J209" s="20">
        <v>131</v>
      </c>
      <c r="K209" s="20" t="s">
        <v>20</v>
      </c>
      <c r="L209" s="20">
        <v>1</v>
      </c>
      <c r="M209" s="34">
        <v>166667</v>
      </c>
      <c r="N209" s="34">
        <f t="shared" si="18"/>
        <v>166667</v>
      </c>
      <c r="O209" s="20"/>
      <c r="P209" s="20">
        <f t="shared" si="19"/>
        <v>188</v>
      </c>
      <c r="Q209" s="142"/>
      <c r="T209" s="86"/>
      <c r="U209" s="86"/>
      <c r="V209" s="86"/>
    </row>
    <row r="210" spans="1:22" ht="15" customHeight="1" x14ac:dyDescent="0.25">
      <c r="A210" s="20" t="s">
        <v>18</v>
      </c>
      <c r="B210" s="61" t="s">
        <v>543</v>
      </c>
      <c r="C210" s="106">
        <f t="shared" si="16"/>
        <v>415</v>
      </c>
      <c r="D210" s="20">
        <f t="shared" si="17"/>
        <v>1</v>
      </c>
      <c r="E210" s="20"/>
      <c r="F210" s="20"/>
      <c r="G210" s="32" t="s">
        <v>252</v>
      </c>
      <c r="H210" s="20" t="s">
        <v>4779</v>
      </c>
      <c r="I210" s="20">
        <v>333821</v>
      </c>
      <c r="J210" s="20">
        <v>131</v>
      </c>
      <c r="K210" s="20" t="s">
        <v>20</v>
      </c>
      <c r="L210" s="20">
        <v>1</v>
      </c>
      <c r="M210" s="34">
        <v>486710</v>
      </c>
      <c r="N210" s="34">
        <f t="shared" si="18"/>
        <v>486710</v>
      </c>
      <c r="O210" s="20"/>
      <c r="P210" s="20">
        <f t="shared" si="19"/>
        <v>213</v>
      </c>
      <c r="Q210" s="142"/>
      <c r="T210" s="86"/>
      <c r="U210" s="86"/>
      <c r="V210" s="86"/>
    </row>
    <row r="211" spans="1:22" ht="15" hidden="1" customHeight="1" x14ac:dyDescent="0.25">
      <c r="A211" s="20" t="s">
        <v>18</v>
      </c>
      <c r="B211" s="61" t="s">
        <v>543</v>
      </c>
      <c r="C211" s="106">
        <f t="shared" si="16"/>
        <v>416</v>
      </c>
      <c r="D211" s="20">
        <f t="shared" si="17"/>
        <v>1</v>
      </c>
      <c r="E211" s="20"/>
      <c r="F211" s="20"/>
      <c r="G211" s="32" t="s">
        <v>252</v>
      </c>
      <c r="H211" s="20" t="s">
        <v>778</v>
      </c>
      <c r="I211" s="20">
        <v>131</v>
      </c>
      <c r="J211" s="20">
        <v>5113</v>
      </c>
      <c r="K211" s="20" t="s">
        <v>20</v>
      </c>
      <c r="L211" s="20">
        <v>1</v>
      </c>
      <c r="M211" s="34">
        <v>48670968</v>
      </c>
      <c r="N211" s="34">
        <f t="shared" si="18"/>
        <v>48670968</v>
      </c>
      <c r="O211" s="20"/>
      <c r="P211" s="20">
        <f t="shared" si="19"/>
        <v>197</v>
      </c>
      <c r="Q211" s="142"/>
      <c r="T211" s="86"/>
      <c r="U211" s="86"/>
      <c r="V211" s="86"/>
    </row>
    <row r="212" spans="1:22" ht="15" hidden="1" customHeight="1" x14ac:dyDescent="0.25">
      <c r="A212" s="20" t="s">
        <v>18</v>
      </c>
      <c r="B212" s="61" t="s">
        <v>476</v>
      </c>
      <c r="C212" s="106">
        <f t="shared" si="16"/>
        <v>417</v>
      </c>
      <c r="D212" s="20">
        <f t="shared" si="17"/>
        <v>1</v>
      </c>
      <c r="E212" s="20"/>
      <c r="F212" s="20"/>
      <c r="G212" s="32" t="s">
        <v>716</v>
      </c>
      <c r="H212" s="20" t="s">
        <v>780</v>
      </c>
      <c r="I212" s="20">
        <v>131</v>
      </c>
      <c r="J212" s="20">
        <v>5113</v>
      </c>
      <c r="K212" s="20" t="s">
        <v>20</v>
      </c>
      <c r="L212" s="20">
        <v>1</v>
      </c>
      <c r="M212" s="34">
        <v>32258065</v>
      </c>
      <c r="N212" s="34">
        <f t="shared" si="18"/>
        <v>32258065</v>
      </c>
      <c r="O212" s="20"/>
      <c r="P212" s="20">
        <f t="shared" si="19"/>
        <v>134</v>
      </c>
      <c r="Q212" s="142"/>
      <c r="T212" s="86"/>
      <c r="U212" s="86"/>
      <c r="V212" s="86"/>
    </row>
    <row r="213" spans="1:22" ht="15" customHeight="1" x14ac:dyDescent="0.25">
      <c r="A213" s="20" t="s">
        <v>18</v>
      </c>
      <c r="B213" s="61" t="s">
        <v>476</v>
      </c>
      <c r="C213" s="106">
        <f t="shared" si="16"/>
        <v>418</v>
      </c>
      <c r="D213" s="20">
        <f t="shared" si="17"/>
        <v>1</v>
      </c>
      <c r="E213" s="20"/>
      <c r="F213" s="20"/>
      <c r="G213" s="32" t="s">
        <v>716</v>
      </c>
      <c r="H213" s="20" t="s">
        <v>4780</v>
      </c>
      <c r="I213" s="20">
        <v>333821</v>
      </c>
      <c r="J213" s="20">
        <v>131</v>
      </c>
      <c r="K213" s="20" t="s">
        <v>20</v>
      </c>
      <c r="L213" s="20">
        <v>1</v>
      </c>
      <c r="M213" s="34">
        <v>322581</v>
      </c>
      <c r="N213" s="34">
        <f t="shared" si="18"/>
        <v>322581</v>
      </c>
      <c r="O213" s="20"/>
      <c r="P213" s="20">
        <f t="shared" si="19"/>
        <v>150</v>
      </c>
      <c r="Q213" s="142"/>
      <c r="T213" s="86"/>
      <c r="U213" s="86"/>
      <c r="V213" s="86"/>
    </row>
    <row r="214" spans="1:22" ht="15" hidden="1" customHeight="1" x14ac:dyDescent="0.25">
      <c r="A214" s="20" t="s">
        <v>18</v>
      </c>
      <c r="B214" s="61" t="s">
        <v>438</v>
      </c>
      <c r="C214" s="106">
        <f t="shared" si="16"/>
        <v>419</v>
      </c>
      <c r="D214" s="20">
        <f t="shared" si="17"/>
        <v>1</v>
      </c>
      <c r="E214" s="20"/>
      <c r="F214" s="20"/>
      <c r="G214" s="32" t="s">
        <v>251</v>
      </c>
      <c r="H214" s="20" t="s">
        <v>781</v>
      </c>
      <c r="I214" s="20">
        <v>131</v>
      </c>
      <c r="J214" s="20">
        <v>5113</v>
      </c>
      <c r="K214" s="20" t="s">
        <v>20</v>
      </c>
      <c r="L214" s="20">
        <v>1</v>
      </c>
      <c r="M214" s="34">
        <v>22547475</v>
      </c>
      <c r="N214" s="34">
        <f t="shared" si="18"/>
        <v>22547475</v>
      </c>
      <c r="O214" s="20"/>
      <c r="P214" s="20">
        <f t="shared" si="19"/>
        <v>101</v>
      </c>
      <c r="Q214" s="142"/>
      <c r="T214" s="86"/>
      <c r="U214" s="86"/>
      <c r="V214" s="86"/>
    </row>
    <row r="215" spans="1:22" ht="15" customHeight="1" x14ac:dyDescent="0.25">
      <c r="A215" s="20" t="s">
        <v>18</v>
      </c>
      <c r="B215" s="61" t="s">
        <v>438</v>
      </c>
      <c r="C215" s="106">
        <f t="shared" si="16"/>
        <v>420</v>
      </c>
      <c r="D215" s="20">
        <f t="shared" si="17"/>
        <v>1</v>
      </c>
      <c r="E215" s="20"/>
      <c r="F215" s="20"/>
      <c r="G215" s="32" t="s">
        <v>251</v>
      </c>
      <c r="H215" s="20" t="s">
        <v>4781</v>
      </c>
      <c r="I215" s="20">
        <v>333821</v>
      </c>
      <c r="J215" s="20">
        <v>131</v>
      </c>
      <c r="K215" s="20" t="s">
        <v>20</v>
      </c>
      <c r="L215" s="20">
        <v>1</v>
      </c>
      <c r="M215" s="34">
        <v>225475</v>
      </c>
      <c r="N215" s="34">
        <f t="shared" si="18"/>
        <v>225475</v>
      </c>
      <c r="O215" s="20"/>
      <c r="P215" s="20">
        <f t="shared" si="19"/>
        <v>117</v>
      </c>
      <c r="Q215" s="142"/>
      <c r="T215" s="86"/>
      <c r="U215" s="86"/>
      <c r="V215" s="86"/>
    </row>
    <row r="216" spans="1:22" ht="15" hidden="1" customHeight="1" x14ac:dyDescent="0.25">
      <c r="A216" s="20" t="s">
        <v>18</v>
      </c>
      <c r="B216" s="61" t="s">
        <v>438</v>
      </c>
      <c r="C216" s="106">
        <f t="shared" si="16"/>
        <v>421</v>
      </c>
      <c r="D216" s="20">
        <f t="shared" si="17"/>
        <v>1</v>
      </c>
      <c r="E216" s="20"/>
      <c r="F216" s="20"/>
      <c r="G216" s="32" t="s">
        <v>35</v>
      </c>
      <c r="H216" s="20" t="s">
        <v>759</v>
      </c>
      <c r="I216" s="20">
        <v>64277</v>
      </c>
      <c r="J216" s="20">
        <v>331</v>
      </c>
      <c r="K216" s="20" t="s">
        <v>20</v>
      </c>
      <c r="L216" s="20">
        <v>1</v>
      </c>
      <c r="M216" s="34">
        <v>3000000</v>
      </c>
      <c r="N216" s="34">
        <f t="shared" si="18"/>
        <v>3000000</v>
      </c>
      <c r="O216" s="20"/>
      <c r="P216" s="20">
        <f t="shared" si="19"/>
        <v>41</v>
      </c>
      <c r="Q216" s="142"/>
      <c r="T216" s="86"/>
      <c r="U216" s="86"/>
      <c r="V216" s="86"/>
    </row>
    <row r="217" spans="1:22" ht="15" hidden="1" customHeight="1" x14ac:dyDescent="0.25">
      <c r="A217" s="20" t="s">
        <v>18</v>
      </c>
      <c r="B217" s="61" t="s">
        <v>438</v>
      </c>
      <c r="C217" s="106">
        <f t="shared" si="16"/>
        <v>421</v>
      </c>
      <c r="D217" s="20">
        <f t="shared" si="17"/>
        <v>0</v>
      </c>
      <c r="E217" s="20"/>
      <c r="F217" s="20"/>
      <c r="G217" s="32" t="s">
        <v>35</v>
      </c>
      <c r="H217" s="20" t="s">
        <v>759</v>
      </c>
      <c r="I217" s="20">
        <v>1331</v>
      </c>
      <c r="J217" s="20">
        <v>331</v>
      </c>
      <c r="K217" s="20" t="s">
        <v>20</v>
      </c>
      <c r="L217" s="20">
        <v>1</v>
      </c>
      <c r="M217" s="34">
        <v>240000</v>
      </c>
      <c r="N217" s="34">
        <f t="shared" si="18"/>
        <v>240000</v>
      </c>
      <c r="O217" s="20"/>
      <c r="P217" s="20">
        <f t="shared" si="19"/>
        <v>41</v>
      </c>
      <c r="Q217" s="142"/>
      <c r="T217" s="86"/>
      <c r="U217" s="86"/>
      <c r="V217" s="86"/>
    </row>
    <row r="218" spans="1:22" ht="15" hidden="1" customHeight="1" x14ac:dyDescent="0.25">
      <c r="A218" s="20" t="s">
        <v>18</v>
      </c>
      <c r="B218" s="61" t="s">
        <v>501</v>
      </c>
      <c r="C218" s="106">
        <f t="shared" si="16"/>
        <v>422</v>
      </c>
      <c r="D218" s="20">
        <f t="shared" si="17"/>
        <v>1</v>
      </c>
      <c r="E218" s="20"/>
      <c r="F218" s="20"/>
      <c r="G218" s="32" t="s">
        <v>769</v>
      </c>
      <c r="H218" s="20" t="s">
        <v>783</v>
      </c>
      <c r="I218" s="20">
        <v>131</v>
      </c>
      <c r="J218" s="20">
        <v>5113</v>
      </c>
      <c r="K218" s="20" t="s">
        <v>20</v>
      </c>
      <c r="L218" s="20">
        <v>1</v>
      </c>
      <c r="M218" s="34">
        <v>16129032</v>
      </c>
      <c r="N218" s="34">
        <f t="shared" si="18"/>
        <v>16129032</v>
      </c>
      <c r="O218" s="20"/>
      <c r="P218" s="20">
        <f t="shared" si="19"/>
        <v>113</v>
      </c>
      <c r="Q218" s="142"/>
      <c r="T218" s="86"/>
      <c r="U218" s="86"/>
      <c r="V218" s="86"/>
    </row>
    <row r="219" spans="1:22" ht="15" hidden="1" customHeight="1" x14ac:dyDescent="0.25">
      <c r="A219" s="20" t="s">
        <v>18</v>
      </c>
      <c r="B219" s="61" t="s">
        <v>501</v>
      </c>
      <c r="C219" s="106">
        <f t="shared" si="16"/>
        <v>423</v>
      </c>
      <c r="D219" s="20">
        <f t="shared" si="17"/>
        <v>1</v>
      </c>
      <c r="E219" s="20"/>
      <c r="F219" s="20"/>
      <c r="G219" s="32" t="s">
        <v>769</v>
      </c>
      <c r="H219" s="20" t="s">
        <v>782</v>
      </c>
      <c r="I219" s="20">
        <v>131</v>
      </c>
      <c r="J219" s="20">
        <v>5113</v>
      </c>
      <c r="K219" s="20" t="s">
        <v>20</v>
      </c>
      <c r="L219" s="20">
        <v>1</v>
      </c>
      <c r="M219" s="34">
        <v>48387097</v>
      </c>
      <c r="N219" s="34">
        <f t="shared" si="18"/>
        <v>48387097</v>
      </c>
      <c r="O219" s="20"/>
      <c r="P219" s="20">
        <f t="shared" si="19"/>
        <v>135</v>
      </c>
      <c r="Q219" s="142"/>
      <c r="T219" s="86"/>
      <c r="U219" s="86"/>
      <c r="V219" s="86"/>
    </row>
    <row r="220" spans="1:22" ht="15" customHeight="1" x14ac:dyDescent="0.25">
      <c r="A220" s="20" t="s">
        <v>18</v>
      </c>
      <c r="B220" s="61" t="s">
        <v>501</v>
      </c>
      <c r="C220" s="106">
        <f t="shared" si="16"/>
        <v>424</v>
      </c>
      <c r="D220" s="20">
        <f t="shared" si="17"/>
        <v>1</v>
      </c>
      <c r="E220" s="20"/>
      <c r="F220" s="20"/>
      <c r="G220" s="32" t="s">
        <v>769</v>
      </c>
      <c r="H220" s="20" t="s">
        <v>4782</v>
      </c>
      <c r="I220" s="20">
        <v>333821</v>
      </c>
      <c r="J220" s="20">
        <v>131</v>
      </c>
      <c r="K220" s="20" t="s">
        <v>20</v>
      </c>
      <c r="L220" s="20">
        <v>1</v>
      </c>
      <c r="M220" s="34">
        <v>161290</v>
      </c>
      <c r="N220" s="34">
        <f t="shared" si="18"/>
        <v>161290</v>
      </c>
      <c r="O220" s="20"/>
      <c r="P220" s="20">
        <f t="shared" si="19"/>
        <v>129</v>
      </c>
      <c r="Q220" s="142"/>
      <c r="T220" s="86"/>
      <c r="U220" s="86"/>
      <c r="V220" s="86"/>
    </row>
    <row r="221" spans="1:22" ht="15" customHeight="1" x14ac:dyDescent="0.25">
      <c r="A221" s="20" t="s">
        <v>18</v>
      </c>
      <c r="B221" s="61" t="s">
        <v>501</v>
      </c>
      <c r="C221" s="106">
        <f t="shared" si="16"/>
        <v>425</v>
      </c>
      <c r="D221" s="20">
        <f t="shared" si="17"/>
        <v>1</v>
      </c>
      <c r="E221" s="20"/>
      <c r="F221" s="20"/>
      <c r="G221" s="32" t="s">
        <v>769</v>
      </c>
      <c r="H221" s="20" t="s">
        <v>4783</v>
      </c>
      <c r="I221" s="20">
        <v>333821</v>
      </c>
      <c r="J221" s="20">
        <v>131</v>
      </c>
      <c r="K221" s="20" t="s">
        <v>20</v>
      </c>
      <c r="L221" s="20">
        <v>1</v>
      </c>
      <c r="M221" s="34">
        <v>483871</v>
      </c>
      <c r="N221" s="34">
        <f t="shared" si="18"/>
        <v>483871</v>
      </c>
      <c r="O221" s="20"/>
      <c r="P221" s="20">
        <f t="shared" si="19"/>
        <v>151</v>
      </c>
      <c r="Q221" s="142"/>
      <c r="T221" s="86"/>
      <c r="U221" s="86"/>
      <c r="V221" s="86"/>
    </row>
    <row r="222" spans="1:22" ht="15" hidden="1" customHeight="1" x14ac:dyDescent="0.25">
      <c r="A222" s="20" t="s">
        <v>18</v>
      </c>
      <c r="B222" s="61">
        <v>46081</v>
      </c>
      <c r="C222" s="106">
        <f t="shared" si="16"/>
        <v>426</v>
      </c>
      <c r="D222" s="20">
        <f t="shared" si="17"/>
        <v>1</v>
      </c>
      <c r="E222" s="20"/>
      <c r="F222" s="20"/>
      <c r="G222" s="32" t="s">
        <v>71</v>
      </c>
      <c r="H222" s="20" t="s">
        <v>456</v>
      </c>
      <c r="I222" s="20">
        <v>64271</v>
      </c>
      <c r="J222" s="20">
        <v>3383</v>
      </c>
      <c r="K222" s="20" t="s">
        <v>20</v>
      </c>
      <c r="L222" s="20">
        <v>1</v>
      </c>
      <c r="M222" s="34">
        <v>2950000</v>
      </c>
      <c r="N222" s="34">
        <f t="shared" si="18"/>
        <v>2950000</v>
      </c>
      <c r="O222" s="20"/>
      <c r="P222" s="20">
        <f t="shared" si="19"/>
        <v>30</v>
      </c>
      <c r="Q222" s="142"/>
      <c r="T222" s="86"/>
      <c r="U222" s="86"/>
      <c r="V222" s="86"/>
    </row>
    <row r="223" spans="1:22" ht="15" hidden="1" customHeight="1" x14ac:dyDescent="0.25">
      <c r="A223" s="20" t="s">
        <v>18</v>
      </c>
      <c r="B223" s="61">
        <v>46081</v>
      </c>
      <c r="C223" s="106">
        <f t="shared" si="16"/>
        <v>426</v>
      </c>
      <c r="D223" s="20">
        <f t="shared" si="17"/>
        <v>0</v>
      </c>
      <c r="E223" s="20"/>
      <c r="F223" s="20"/>
      <c r="G223" s="32" t="s">
        <v>71</v>
      </c>
      <c r="H223" s="20" t="s">
        <v>456</v>
      </c>
      <c r="I223" s="20">
        <v>64271</v>
      </c>
      <c r="J223" s="20">
        <v>3383</v>
      </c>
      <c r="K223" s="20" t="s">
        <v>20</v>
      </c>
      <c r="L223" s="20">
        <v>1</v>
      </c>
      <c r="M223" s="34">
        <v>4800000</v>
      </c>
      <c r="N223" s="34">
        <f t="shared" si="18"/>
        <v>4800000</v>
      </c>
      <c r="O223" s="20"/>
      <c r="P223" s="20">
        <f t="shared" si="19"/>
        <v>30</v>
      </c>
      <c r="Q223" s="142"/>
      <c r="T223" s="86"/>
      <c r="U223" s="86"/>
      <c r="V223" s="86"/>
    </row>
    <row r="224" spans="1:22" ht="15" hidden="1" customHeight="1" x14ac:dyDescent="0.25">
      <c r="A224" s="20" t="s">
        <v>18</v>
      </c>
      <c r="B224" s="61" t="s">
        <v>441</v>
      </c>
      <c r="C224" s="106">
        <f t="shared" si="16"/>
        <v>427</v>
      </c>
      <c r="D224" s="20">
        <f t="shared" si="17"/>
        <v>1</v>
      </c>
      <c r="E224" s="20"/>
      <c r="F224" s="20"/>
      <c r="G224" s="32" t="s">
        <v>754</v>
      </c>
      <c r="H224" s="20" t="s">
        <v>760</v>
      </c>
      <c r="I224" s="20">
        <v>64277</v>
      </c>
      <c r="J224" s="20">
        <v>331</v>
      </c>
      <c r="K224" s="20" t="s">
        <v>20</v>
      </c>
      <c r="L224" s="20">
        <v>1</v>
      </c>
      <c r="M224" s="34">
        <v>4168518</v>
      </c>
      <c r="N224" s="34">
        <f t="shared" si="18"/>
        <v>4168518</v>
      </c>
      <c r="O224" s="20"/>
      <c r="P224" s="20">
        <f t="shared" si="19"/>
        <v>61</v>
      </c>
      <c r="Q224" s="142"/>
      <c r="T224" s="86"/>
      <c r="U224" s="86"/>
      <c r="V224" s="86"/>
    </row>
    <row r="225" spans="1:22" ht="15" hidden="1" customHeight="1" x14ac:dyDescent="0.25">
      <c r="A225" s="20" t="s">
        <v>18</v>
      </c>
      <c r="B225" s="61" t="s">
        <v>441</v>
      </c>
      <c r="C225" s="106">
        <f t="shared" si="16"/>
        <v>427</v>
      </c>
      <c r="D225" s="20">
        <f t="shared" si="17"/>
        <v>0</v>
      </c>
      <c r="E225" s="20"/>
      <c r="F225" s="20"/>
      <c r="G225" s="32" t="s">
        <v>754</v>
      </c>
      <c r="H225" s="20" t="s">
        <v>760</v>
      </c>
      <c r="I225" s="20">
        <v>1331</v>
      </c>
      <c r="J225" s="20">
        <v>331</v>
      </c>
      <c r="K225" s="20" t="s">
        <v>20</v>
      </c>
      <c r="L225" s="20">
        <v>1</v>
      </c>
      <c r="M225" s="34">
        <v>333482</v>
      </c>
      <c r="N225" s="34">
        <f t="shared" si="18"/>
        <v>333482</v>
      </c>
      <c r="O225" s="20"/>
      <c r="P225" s="20">
        <f t="shared" si="19"/>
        <v>61</v>
      </c>
      <c r="Q225" s="142"/>
      <c r="T225" s="86"/>
      <c r="U225" s="86"/>
      <c r="V225" s="86"/>
    </row>
    <row r="226" spans="1:22" ht="15" hidden="1" customHeight="1" x14ac:dyDescent="0.25">
      <c r="A226" s="20" t="s">
        <v>18</v>
      </c>
      <c r="B226" s="61" t="s">
        <v>441</v>
      </c>
      <c r="C226" s="106">
        <f t="shared" si="16"/>
        <v>428</v>
      </c>
      <c r="D226" s="20">
        <f t="shared" si="17"/>
        <v>1</v>
      </c>
      <c r="E226" s="20"/>
      <c r="F226" s="20"/>
      <c r="G226" s="32" t="s">
        <v>44</v>
      </c>
      <c r="H226" s="20" t="s">
        <v>761</v>
      </c>
      <c r="I226" s="20">
        <v>64277</v>
      </c>
      <c r="J226" s="20">
        <v>331</v>
      </c>
      <c r="K226" s="20" t="s">
        <v>20</v>
      </c>
      <c r="L226" s="20">
        <v>1</v>
      </c>
      <c r="M226" s="34">
        <v>242</v>
      </c>
      <c r="N226" s="34">
        <f t="shared" si="18"/>
        <v>242</v>
      </c>
      <c r="O226" s="20"/>
      <c r="P226" s="20">
        <f t="shared" si="19"/>
        <v>99</v>
      </c>
      <c r="Q226" s="142"/>
      <c r="T226" s="86"/>
      <c r="U226" s="86"/>
      <c r="V226" s="86"/>
    </row>
    <row r="227" spans="1:22" ht="15" hidden="1" customHeight="1" x14ac:dyDescent="0.25">
      <c r="A227" s="20" t="s">
        <v>18</v>
      </c>
      <c r="B227" s="61" t="s">
        <v>441</v>
      </c>
      <c r="C227" s="106">
        <f t="shared" si="16"/>
        <v>428</v>
      </c>
      <c r="D227" s="20">
        <f t="shared" si="17"/>
        <v>0</v>
      </c>
      <c r="E227" s="20"/>
      <c r="F227" s="20"/>
      <c r="G227" s="32" t="s">
        <v>44</v>
      </c>
      <c r="H227" s="20" t="s">
        <v>761</v>
      </c>
      <c r="I227" s="20">
        <v>1331</v>
      </c>
      <c r="J227" s="20">
        <v>331</v>
      </c>
      <c r="K227" s="20" t="s">
        <v>20</v>
      </c>
      <c r="L227" s="20">
        <v>1</v>
      </c>
      <c r="M227" s="34">
        <v>19</v>
      </c>
      <c r="N227" s="34">
        <f t="shared" si="18"/>
        <v>19</v>
      </c>
      <c r="O227" s="20"/>
      <c r="P227" s="20">
        <f t="shared" si="19"/>
        <v>99</v>
      </c>
      <c r="Q227" s="142"/>
      <c r="T227" s="86"/>
      <c r="U227" s="86"/>
      <c r="V227" s="86"/>
    </row>
    <row r="228" spans="1:22" ht="15" hidden="1" customHeight="1" x14ac:dyDescent="0.25">
      <c r="A228" s="20" t="s">
        <v>18</v>
      </c>
      <c r="B228" s="61" t="s">
        <v>551</v>
      </c>
      <c r="C228" s="106">
        <f t="shared" si="16"/>
        <v>429</v>
      </c>
      <c r="D228" s="20">
        <f t="shared" si="17"/>
        <v>1</v>
      </c>
      <c r="E228" s="20"/>
      <c r="F228" s="20"/>
      <c r="G228" s="32" t="s">
        <v>73</v>
      </c>
      <c r="H228" s="20" t="s">
        <v>784</v>
      </c>
      <c r="I228" s="20">
        <v>131</v>
      </c>
      <c r="J228" s="20">
        <v>5113</v>
      </c>
      <c r="K228" s="20" t="s">
        <v>20</v>
      </c>
      <c r="L228" s="20">
        <v>1</v>
      </c>
      <c r="M228" s="34">
        <v>11111111</v>
      </c>
      <c r="N228" s="34">
        <f t="shared" si="18"/>
        <v>11111111</v>
      </c>
      <c r="O228" s="20"/>
      <c r="P228" s="20">
        <f t="shared" si="19"/>
        <v>145</v>
      </c>
      <c r="Q228" s="142"/>
      <c r="T228" s="86"/>
      <c r="U228" s="86"/>
      <c r="V228" s="86"/>
    </row>
    <row r="229" spans="1:22" ht="15" customHeight="1" x14ac:dyDescent="0.25">
      <c r="A229" s="20" t="s">
        <v>18</v>
      </c>
      <c r="B229" s="61" t="s">
        <v>551</v>
      </c>
      <c r="C229" s="106">
        <f t="shared" si="16"/>
        <v>430</v>
      </c>
      <c r="D229" s="20">
        <f t="shared" si="17"/>
        <v>1</v>
      </c>
      <c r="E229" s="20"/>
      <c r="F229" s="20"/>
      <c r="G229" s="32" t="s">
        <v>73</v>
      </c>
      <c r="H229" s="20" t="s">
        <v>4784</v>
      </c>
      <c r="I229" s="20">
        <v>333821</v>
      </c>
      <c r="J229" s="20">
        <v>131</v>
      </c>
      <c r="K229" s="20" t="s">
        <v>20</v>
      </c>
      <c r="L229" s="20">
        <v>1</v>
      </c>
      <c r="M229" s="34">
        <v>111111</v>
      </c>
      <c r="N229" s="34">
        <f t="shared" si="18"/>
        <v>111111</v>
      </c>
      <c r="O229" s="20"/>
      <c r="P229" s="20">
        <f t="shared" si="19"/>
        <v>161</v>
      </c>
      <c r="Q229" s="142"/>
      <c r="T229" s="86"/>
      <c r="U229" s="86"/>
      <c r="V229" s="86"/>
    </row>
    <row r="230" spans="1:22" ht="15" hidden="1" customHeight="1" x14ac:dyDescent="0.25">
      <c r="A230" s="20" t="s">
        <v>18</v>
      </c>
      <c r="B230" s="61" t="s">
        <v>504</v>
      </c>
      <c r="C230" s="106">
        <f t="shared" si="16"/>
        <v>431</v>
      </c>
      <c r="D230" s="20">
        <f t="shared" si="17"/>
        <v>1</v>
      </c>
      <c r="E230" s="20"/>
      <c r="F230" s="20"/>
      <c r="G230" s="32" t="s">
        <v>250</v>
      </c>
      <c r="H230" s="20" t="s">
        <v>785</v>
      </c>
      <c r="I230" s="20">
        <v>131</v>
      </c>
      <c r="J230" s="20">
        <v>5113</v>
      </c>
      <c r="K230" s="20" t="s">
        <v>20</v>
      </c>
      <c r="L230" s="20">
        <v>1</v>
      </c>
      <c r="M230" s="34">
        <v>52053764</v>
      </c>
      <c r="N230" s="34">
        <f t="shared" si="18"/>
        <v>52053764</v>
      </c>
      <c r="O230" s="20"/>
      <c r="P230" s="20">
        <f t="shared" si="19"/>
        <v>183</v>
      </c>
      <c r="Q230" s="142"/>
      <c r="T230" s="86"/>
      <c r="U230" s="86"/>
      <c r="V230" s="86"/>
    </row>
    <row r="231" spans="1:22" ht="15" customHeight="1" x14ac:dyDescent="0.25">
      <c r="A231" s="20" t="s">
        <v>18</v>
      </c>
      <c r="B231" s="61" t="s">
        <v>504</v>
      </c>
      <c r="C231" s="106">
        <f t="shared" si="16"/>
        <v>432</v>
      </c>
      <c r="D231" s="20">
        <f t="shared" si="17"/>
        <v>1</v>
      </c>
      <c r="E231" s="20"/>
      <c r="F231" s="20"/>
      <c r="G231" s="32" t="s">
        <v>250</v>
      </c>
      <c r="H231" s="20" t="s">
        <v>4785</v>
      </c>
      <c r="I231" s="20">
        <v>333821</v>
      </c>
      <c r="J231" s="20">
        <v>131</v>
      </c>
      <c r="K231" s="20" t="s">
        <v>20</v>
      </c>
      <c r="L231" s="20">
        <v>1</v>
      </c>
      <c r="M231" s="34">
        <v>520538</v>
      </c>
      <c r="N231" s="34">
        <f t="shared" si="18"/>
        <v>520538</v>
      </c>
      <c r="O231" s="20"/>
      <c r="P231" s="20">
        <f t="shared" si="19"/>
        <v>199</v>
      </c>
      <c r="Q231" s="142"/>
      <c r="T231" s="86"/>
      <c r="U231" s="86"/>
      <c r="V231" s="86"/>
    </row>
    <row r="232" spans="1:22" ht="15" hidden="1" customHeight="1" x14ac:dyDescent="0.25">
      <c r="A232" s="20" t="s">
        <v>18</v>
      </c>
      <c r="B232" s="61" t="s">
        <v>552</v>
      </c>
      <c r="C232" s="106">
        <f t="shared" si="16"/>
        <v>433</v>
      </c>
      <c r="D232" s="20">
        <f t="shared" si="17"/>
        <v>1</v>
      </c>
      <c r="E232" s="20"/>
      <c r="F232" s="20"/>
      <c r="G232" s="32" t="s">
        <v>754</v>
      </c>
      <c r="H232" s="20" t="s">
        <v>762</v>
      </c>
      <c r="I232" s="20">
        <v>64277</v>
      </c>
      <c r="J232" s="20">
        <v>331</v>
      </c>
      <c r="K232" s="20" t="s">
        <v>20</v>
      </c>
      <c r="L232" s="20">
        <v>1</v>
      </c>
      <c r="M232" s="34">
        <v>1750926</v>
      </c>
      <c r="N232" s="34">
        <f t="shared" si="18"/>
        <v>1750926</v>
      </c>
      <c r="O232" s="20"/>
      <c r="P232" s="20">
        <f t="shared" si="19"/>
        <v>36</v>
      </c>
      <c r="Q232" s="142"/>
      <c r="T232" s="86"/>
      <c r="U232" s="86"/>
      <c r="V232" s="86"/>
    </row>
    <row r="233" spans="1:22" ht="15" hidden="1" customHeight="1" x14ac:dyDescent="0.25">
      <c r="A233" s="20" t="s">
        <v>18</v>
      </c>
      <c r="B233" s="61" t="s">
        <v>552</v>
      </c>
      <c r="C233" s="106">
        <f t="shared" si="16"/>
        <v>433</v>
      </c>
      <c r="D233" s="20">
        <f t="shared" si="17"/>
        <v>0</v>
      </c>
      <c r="E233" s="20"/>
      <c r="F233" s="20"/>
      <c r="G233" s="32" t="s">
        <v>754</v>
      </c>
      <c r="H233" s="20" t="s">
        <v>762</v>
      </c>
      <c r="I233" s="20">
        <v>1331</v>
      </c>
      <c r="J233" s="20">
        <v>331</v>
      </c>
      <c r="K233" s="20" t="s">
        <v>20</v>
      </c>
      <c r="L233" s="20">
        <v>1</v>
      </c>
      <c r="M233" s="34">
        <v>140074</v>
      </c>
      <c r="N233" s="34">
        <f t="shared" si="18"/>
        <v>140074</v>
      </c>
      <c r="O233" s="20"/>
      <c r="P233" s="20">
        <f t="shared" si="19"/>
        <v>36</v>
      </c>
      <c r="Q233" s="142"/>
      <c r="T233" s="86"/>
      <c r="U233" s="86"/>
      <c r="V233" s="86"/>
    </row>
    <row r="234" spans="1:22" ht="15" hidden="1" customHeight="1" x14ac:dyDescent="0.25">
      <c r="A234" s="20" t="s">
        <v>18</v>
      </c>
      <c r="B234" s="61" t="s">
        <v>554</v>
      </c>
      <c r="C234" s="106">
        <f t="shared" si="16"/>
        <v>434</v>
      </c>
      <c r="D234" s="20">
        <f t="shared" si="17"/>
        <v>1</v>
      </c>
      <c r="E234" s="20"/>
      <c r="F234" s="20"/>
      <c r="G234" s="32" t="s">
        <v>770</v>
      </c>
      <c r="H234" s="20" t="s">
        <v>786</v>
      </c>
      <c r="I234" s="20">
        <v>131</v>
      </c>
      <c r="J234" s="20">
        <v>5113</v>
      </c>
      <c r="K234" s="20" t="s">
        <v>20</v>
      </c>
      <c r="L234" s="20">
        <v>1</v>
      </c>
      <c r="M234" s="34">
        <v>202020202</v>
      </c>
      <c r="N234" s="34">
        <f t="shared" si="18"/>
        <v>202020202</v>
      </c>
      <c r="O234" s="20"/>
      <c r="P234" s="20">
        <f t="shared" si="19"/>
        <v>117</v>
      </c>
      <c r="Q234" s="142"/>
      <c r="T234" s="86"/>
      <c r="U234" s="86"/>
      <c r="V234" s="86"/>
    </row>
    <row r="235" spans="1:22" ht="15" customHeight="1" x14ac:dyDescent="0.25">
      <c r="A235" s="20" t="s">
        <v>18</v>
      </c>
      <c r="B235" s="61" t="s">
        <v>554</v>
      </c>
      <c r="C235" s="106">
        <f t="shared" si="16"/>
        <v>435</v>
      </c>
      <c r="D235" s="20">
        <f t="shared" si="17"/>
        <v>1</v>
      </c>
      <c r="E235" s="20"/>
      <c r="F235" s="20"/>
      <c r="G235" s="32" t="s">
        <v>770</v>
      </c>
      <c r="H235" s="20" t="s">
        <v>4786</v>
      </c>
      <c r="I235" s="20">
        <v>333821</v>
      </c>
      <c r="J235" s="20">
        <v>131</v>
      </c>
      <c r="K235" s="20" t="s">
        <v>20</v>
      </c>
      <c r="L235" s="20">
        <v>1</v>
      </c>
      <c r="M235" s="34">
        <v>2020202</v>
      </c>
      <c r="N235" s="34">
        <f t="shared" si="18"/>
        <v>2020202</v>
      </c>
      <c r="O235" s="20"/>
      <c r="P235" s="20">
        <f t="shared" si="19"/>
        <v>133</v>
      </c>
      <c r="Q235" s="142"/>
      <c r="T235" s="86"/>
      <c r="U235" s="86"/>
      <c r="V235" s="86"/>
    </row>
    <row r="236" spans="1:22" ht="15" customHeight="1" x14ac:dyDescent="0.25">
      <c r="A236" s="20" t="s">
        <v>18</v>
      </c>
      <c r="B236" s="61" t="s">
        <v>661</v>
      </c>
      <c r="C236" s="106">
        <f t="shared" si="16"/>
        <v>436</v>
      </c>
      <c r="D236" s="20">
        <f t="shared" si="17"/>
        <v>1</v>
      </c>
      <c r="E236" s="20"/>
      <c r="F236" s="20"/>
      <c r="G236" s="32" t="s">
        <v>252</v>
      </c>
      <c r="H236" s="20" t="s">
        <v>4787</v>
      </c>
      <c r="I236" s="20">
        <v>333821</v>
      </c>
      <c r="J236" s="20">
        <v>131</v>
      </c>
      <c r="K236" s="20" t="s">
        <v>20</v>
      </c>
      <c r="L236" s="20">
        <v>1</v>
      </c>
      <c r="M236" s="34">
        <v>260739</v>
      </c>
      <c r="N236" s="34">
        <f t="shared" si="18"/>
        <v>260739</v>
      </c>
      <c r="O236" s="20"/>
      <c r="P236" s="20">
        <f t="shared" si="19"/>
        <v>212</v>
      </c>
      <c r="Q236" s="142"/>
      <c r="T236" s="86"/>
      <c r="U236" s="86"/>
      <c r="V236" s="86"/>
    </row>
    <row r="237" spans="1:22" ht="15" hidden="1" customHeight="1" x14ac:dyDescent="0.25">
      <c r="A237" s="20" t="s">
        <v>18</v>
      </c>
      <c r="B237" s="61" t="s">
        <v>661</v>
      </c>
      <c r="C237" s="106">
        <f t="shared" si="16"/>
        <v>437</v>
      </c>
      <c r="D237" s="20">
        <f t="shared" si="17"/>
        <v>1</v>
      </c>
      <c r="E237" s="20"/>
      <c r="F237" s="20"/>
      <c r="G237" s="32" t="s">
        <v>252</v>
      </c>
      <c r="H237" s="20" t="s">
        <v>787</v>
      </c>
      <c r="I237" s="20">
        <v>131</v>
      </c>
      <c r="J237" s="20">
        <v>5113</v>
      </c>
      <c r="K237" s="20" t="s">
        <v>20</v>
      </c>
      <c r="L237" s="20">
        <v>1</v>
      </c>
      <c r="M237" s="34">
        <v>26073935</v>
      </c>
      <c r="N237" s="34">
        <f t="shared" si="18"/>
        <v>26073935</v>
      </c>
      <c r="O237" s="20"/>
      <c r="P237" s="20">
        <f t="shared" si="19"/>
        <v>196</v>
      </c>
      <c r="Q237" s="142"/>
      <c r="T237" s="86"/>
      <c r="U237" s="86"/>
      <c r="V237" s="86"/>
    </row>
    <row r="238" spans="1:22" ht="15" hidden="1" customHeight="1" x14ac:dyDescent="0.25">
      <c r="A238" s="20" t="s">
        <v>18</v>
      </c>
      <c r="B238" s="61" t="s">
        <v>557</v>
      </c>
      <c r="C238" s="106">
        <f t="shared" si="16"/>
        <v>438</v>
      </c>
      <c r="D238" s="20">
        <f t="shared" si="17"/>
        <v>1</v>
      </c>
      <c r="E238" s="20"/>
      <c r="F238" s="20"/>
      <c r="G238" s="32" t="s">
        <v>73</v>
      </c>
      <c r="H238" s="20" t="s">
        <v>4758</v>
      </c>
      <c r="I238" s="20">
        <v>64277</v>
      </c>
      <c r="J238" s="20">
        <v>331</v>
      </c>
      <c r="K238" s="20" t="s">
        <v>20</v>
      </c>
      <c r="L238" s="20">
        <v>1</v>
      </c>
      <c r="M238" s="34">
        <v>117120000</v>
      </c>
      <c r="N238" s="34">
        <f t="shared" si="18"/>
        <v>117120000</v>
      </c>
      <c r="O238" s="20"/>
      <c r="P238" s="20">
        <f t="shared" si="19"/>
        <v>39</v>
      </c>
      <c r="Q238" s="142"/>
      <c r="T238" s="86"/>
      <c r="U238" s="86"/>
      <c r="V238" s="86"/>
    </row>
    <row r="239" spans="1:22" ht="15" hidden="1" customHeight="1" x14ac:dyDescent="0.25">
      <c r="A239" s="20" t="s">
        <v>18</v>
      </c>
      <c r="B239" s="61" t="s">
        <v>557</v>
      </c>
      <c r="C239" s="106">
        <f t="shared" si="16"/>
        <v>438</v>
      </c>
      <c r="D239" s="20">
        <f t="shared" si="17"/>
        <v>0</v>
      </c>
      <c r="E239" s="20"/>
      <c r="F239" s="20"/>
      <c r="G239" s="32" t="s">
        <v>73</v>
      </c>
      <c r="H239" s="20" t="s">
        <v>4758</v>
      </c>
      <c r="I239" s="20">
        <v>1331</v>
      </c>
      <c r="J239" s="20">
        <v>331</v>
      </c>
      <c r="K239" s="20" t="s">
        <v>20</v>
      </c>
      <c r="L239" s="20">
        <v>1</v>
      </c>
      <c r="M239" s="34">
        <v>9369600</v>
      </c>
      <c r="N239" s="34">
        <f t="shared" si="18"/>
        <v>9369600</v>
      </c>
      <c r="O239" s="20"/>
      <c r="P239" s="20">
        <f t="shared" si="19"/>
        <v>39</v>
      </c>
      <c r="Q239" s="142"/>
      <c r="T239" s="86"/>
      <c r="U239" s="86"/>
      <c r="V239" s="86"/>
    </row>
    <row r="240" spans="1:22" ht="15" hidden="1" customHeight="1" x14ac:dyDescent="0.25">
      <c r="A240" s="20" t="s">
        <v>18</v>
      </c>
      <c r="B240" s="61" t="s">
        <v>480</v>
      </c>
      <c r="C240" s="106">
        <f t="shared" si="16"/>
        <v>439</v>
      </c>
      <c r="D240" s="20">
        <f t="shared" si="17"/>
        <v>1</v>
      </c>
      <c r="E240" s="20"/>
      <c r="F240" s="20"/>
      <c r="G240" s="32" t="s">
        <v>251</v>
      </c>
      <c r="H240" s="20" t="s">
        <v>788</v>
      </c>
      <c r="I240" s="20">
        <v>131</v>
      </c>
      <c r="J240" s="20">
        <v>5113</v>
      </c>
      <c r="K240" s="20" t="s">
        <v>20</v>
      </c>
      <c r="L240" s="20">
        <v>1</v>
      </c>
      <c r="M240" s="34">
        <v>20723232</v>
      </c>
      <c r="N240" s="34">
        <f t="shared" si="18"/>
        <v>20723232</v>
      </c>
      <c r="O240" s="20"/>
      <c r="P240" s="20">
        <f t="shared" si="19"/>
        <v>101</v>
      </c>
      <c r="Q240" s="142"/>
      <c r="T240" s="86"/>
      <c r="U240" s="86"/>
      <c r="V240" s="86"/>
    </row>
    <row r="241" spans="1:22" ht="15" customHeight="1" x14ac:dyDescent="0.25">
      <c r="A241" s="20" t="s">
        <v>18</v>
      </c>
      <c r="B241" s="61" t="s">
        <v>480</v>
      </c>
      <c r="C241" s="106">
        <f t="shared" si="16"/>
        <v>440</v>
      </c>
      <c r="D241" s="20">
        <f t="shared" si="17"/>
        <v>1</v>
      </c>
      <c r="E241" s="20"/>
      <c r="F241" s="20"/>
      <c r="G241" s="32" t="s">
        <v>251</v>
      </c>
      <c r="H241" s="20" t="s">
        <v>4788</v>
      </c>
      <c r="I241" s="20">
        <v>333821</v>
      </c>
      <c r="J241" s="20">
        <v>131</v>
      </c>
      <c r="K241" s="20" t="s">
        <v>20</v>
      </c>
      <c r="L241" s="20">
        <v>1</v>
      </c>
      <c r="M241" s="34">
        <v>207232</v>
      </c>
      <c r="N241" s="34">
        <f t="shared" si="18"/>
        <v>207232</v>
      </c>
      <c r="O241" s="20"/>
      <c r="P241" s="20">
        <f t="shared" si="19"/>
        <v>117</v>
      </c>
      <c r="Q241" s="142"/>
      <c r="T241" s="86"/>
      <c r="U241" s="86"/>
      <c r="V241" s="86"/>
    </row>
    <row r="242" spans="1:22" ht="15" hidden="1" customHeight="1" x14ac:dyDescent="0.25">
      <c r="A242" s="20" t="s">
        <v>18</v>
      </c>
      <c r="B242" s="61" t="s">
        <v>558</v>
      </c>
      <c r="C242" s="106">
        <f t="shared" si="16"/>
        <v>441</v>
      </c>
      <c r="D242" s="20">
        <f t="shared" si="17"/>
        <v>1</v>
      </c>
      <c r="E242" s="20"/>
      <c r="F242" s="20"/>
      <c r="G242" s="32" t="s">
        <v>43</v>
      </c>
      <c r="H242" s="20" t="s">
        <v>763</v>
      </c>
      <c r="I242" s="20">
        <v>64277</v>
      </c>
      <c r="J242" s="20">
        <v>331</v>
      </c>
      <c r="K242" s="20" t="s">
        <v>20</v>
      </c>
      <c r="L242" s="20">
        <v>1</v>
      </c>
      <c r="M242" s="34">
        <v>54090871</v>
      </c>
      <c r="N242" s="34">
        <f t="shared" si="18"/>
        <v>54090871</v>
      </c>
      <c r="O242" s="20"/>
      <c r="P242" s="20">
        <f t="shared" si="19"/>
        <v>161</v>
      </c>
      <c r="Q242" s="142"/>
      <c r="T242" s="86"/>
      <c r="U242" s="86"/>
      <c r="V242" s="86"/>
    </row>
    <row r="243" spans="1:22" ht="15" hidden="1" customHeight="1" x14ac:dyDescent="0.25">
      <c r="A243" s="20" t="s">
        <v>18</v>
      </c>
      <c r="B243" s="61" t="s">
        <v>558</v>
      </c>
      <c r="C243" s="106">
        <f t="shared" si="16"/>
        <v>441</v>
      </c>
      <c r="D243" s="20">
        <f t="shared" si="17"/>
        <v>0</v>
      </c>
      <c r="E243" s="20"/>
      <c r="F243" s="20"/>
      <c r="G243" s="32" t="s">
        <v>43</v>
      </c>
      <c r="H243" s="20" t="s">
        <v>763</v>
      </c>
      <c r="I243" s="20">
        <v>1331</v>
      </c>
      <c r="J243" s="20">
        <v>331</v>
      </c>
      <c r="K243" s="20" t="s">
        <v>20</v>
      </c>
      <c r="L243" s="20">
        <v>1</v>
      </c>
      <c r="M243" s="34">
        <v>4327270</v>
      </c>
      <c r="N243" s="34">
        <f t="shared" si="18"/>
        <v>4327270</v>
      </c>
      <c r="O243" s="20"/>
      <c r="P243" s="20">
        <f t="shared" si="19"/>
        <v>161</v>
      </c>
      <c r="Q243" s="142"/>
      <c r="T243" s="86"/>
      <c r="U243" s="86"/>
      <c r="V243" s="86"/>
    </row>
    <row r="244" spans="1:22" ht="15" hidden="1" customHeight="1" x14ac:dyDescent="0.25">
      <c r="A244" s="20" t="s">
        <v>18</v>
      </c>
      <c r="B244" s="61" t="s">
        <v>662</v>
      </c>
      <c r="C244" s="106">
        <f t="shared" si="16"/>
        <v>442</v>
      </c>
      <c r="D244" s="20">
        <f t="shared" si="17"/>
        <v>1</v>
      </c>
      <c r="E244" s="20"/>
      <c r="F244" s="20"/>
      <c r="G244" s="32" t="s">
        <v>53</v>
      </c>
      <c r="H244" s="20" t="s">
        <v>789</v>
      </c>
      <c r="I244" s="20">
        <v>131</v>
      </c>
      <c r="J244" s="20">
        <v>5113</v>
      </c>
      <c r="K244" s="20" t="s">
        <v>20</v>
      </c>
      <c r="L244" s="20">
        <v>1</v>
      </c>
      <c r="M244" s="34">
        <v>34946236</v>
      </c>
      <c r="N244" s="34">
        <f t="shared" si="18"/>
        <v>34946236</v>
      </c>
      <c r="O244" s="20"/>
      <c r="P244" s="20">
        <f t="shared" si="19"/>
        <v>161</v>
      </c>
      <c r="Q244" s="142"/>
      <c r="T244" s="86"/>
      <c r="U244" s="86"/>
      <c r="V244" s="86"/>
    </row>
    <row r="245" spans="1:22" ht="15" customHeight="1" x14ac:dyDescent="0.25">
      <c r="A245" s="20" t="s">
        <v>18</v>
      </c>
      <c r="B245" s="61" t="s">
        <v>662</v>
      </c>
      <c r="C245" s="106">
        <f t="shared" si="16"/>
        <v>443</v>
      </c>
      <c r="D245" s="20">
        <f t="shared" si="17"/>
        <v>1</v>
      </c>
      <c r="E245" s="20"/>
      <c r="F245" s="20"/>
      <c r="G245" s="32" t="s">
        <v>53</v>
      </c>
      <c r="H245" s="20" t="s">
        <v>4789</v>
      </c>
      <c r="I245" s="20">
        <v>333821</v>
      </c>
      <c r="J245" s="20">
        <v>131</v>
      </c>
      <c r="K245" s="20" t="s">
        <v>20</v>
      </c>
      <c r="L245" s="20">
        <v>1</v>
      </c>
      <c r="M245" s="34">
        <v>349462</v>
      </c>
      <c r="N245" s="34">
        <f t="shared" si="18"/>
        <v>349462</v>
      </c>
      <c r="O245" s="20"/>
      <c r="P245" s="20">
        <f t="shared" si="19"/>
        <v>177</v>
      </c>
      <c r="Q245" s="142"/>
      <c r="T245" s="86"/>
      <c r="U245" s="86"/>
      <c r="V245" s="86"/>
    </row>
    <row r="246" spans="1:22" ht="15" hidden="1" customHeight="1" x14ac:dyDescent="0.25">
      <c r="A246" s="20" t="s">
        <v>18</v>
      </c>
      <c r="B246" s="61" t="s">
        <v>662</v>
      </c>
      <c r="C246" s="106">
        <f t="shared" si="16"/>
        <v>444</v>
      </c>
      <c r="D246" s="20">
        <f t="shared" si="17"/>
        <v>1</v>
      </c>
      <c r="E246" s="20"/>
      <c r="F246" s="20"/>
      <c r="G246" s="32" t="s">
        <v>35</v>
      </c>
      <c r="H246" s="20" t="s">
        <v>764</v>
      </c>
      <c r="I246" s="20">
        <v>64277</v>
      </c>
      <c r="J246" s="20">
        <v>331</v>
      </c>
      <c r="K246" s="20" t="s">
        <v>20</v>
      </c>
      <c r="L246" s="20">
        <v>1</v>
      </c>
      <c r="M246" s="34">
        <v>6000000</v>
      </c>
      <c r="N246" s="34">
        <f t="shared" si="18"/>
        <v>6000000</v>
      </c>
      <c r="O246" s="20"/>
      <c r="P246" s="20">
        <f t="shared" si="19"/>
        <v>45</v>
      </c>
      <c r="Q246" s="142"/>
      <c r="T246" s="86"/>
      <c r="U246" s="86"/>
      <c r="V246" s="86"/>
    </row>
    <row r="247" spans="1:22" ht="15" hidden="1" customHeight="1" x14ac:dyDescent="0.25">
      <c r="A247" s="20" t="s">
        <v>18</v>
      </c>
      <c r="B247" s="61" t="s">
        <v>662</v>
      </c>
      <c r="C247" s="106">
        <f t="shared" si="16"/>
        <v>444</v>
      </c>
      <c r="D247" s="20">
        <f t="shared" si="17"/>
        <v>0</v>
      </c>
      <c r="E247" s="20"/>
      <c r="F247" s="20"/>
      <c r="G247" s="32" t="s">
        <v>35</v>
      </c>
      <c r="H247" s="20" t="s">
        <v>764</v>
      </c>
      <c r="I247" s="20">
        <v>1331</v>
      </c>
      <c r="J247" s="20">
        <v>331</v>
      </c>
      <c r="K247" s="20" t="s">
        <v>20</v>
      </c>
      <c r="L247" s="20">
        <v>1</v>
      </c>
      <c r="M247" s="34">
        <v>480000</v>
      </c>
      <c r="N247" s="34">
        <f t="shared" si="18"/>
        <v>480000</v>
      </c>
      <c r="O247" s="20"/>
      <c r="P247" s="20">
        <f t="shared" si="19"/>
        <v>45</v>
      </c>
      <c r="Q247" s="142"/>
      <c r="T247" s="86"/>
      <c r="U247" s="86"/>
      <c r="V247" s="86"/>
    </row>
    <row r="248" spans="1:22" ht="15" hidden="1" customHeight="1" x14ac:dyDescent="0.25">
      <c r="A248" s="20" t="s">
        <v>18</v>
      </c>
      <c r="B248" s="61" t="s">
        <v>664</v>
      </c>
      <c r="C248" s="106">
        <f t="shared" si="16"/>
        <v>445</v>
      </c>
      <c r="D248" s="20">
        <f t="shared" si="17"/>
        <v>1</v>
      </c>
      <c r="E248" s="20"/>
      <c r="F248" s="20"/>
      <c r="G248" s="32" t="s">
        <v>754</v>
      </c>
      <c r="H248" s="20" t="s">
        <v>765</v>
      </c>
      <c r="I248" s="20">
        <v>64277</v>
      </c>
      <c r="J248" s="20">
        <v>331</v>
      </c>
      <c r="K248" s="20" t="s">
        <v>20</v>
      </c>
      <c r="L248" s="20">
        <v>1</v>
      </c>
      <c r="M248" s="34">
        <v>2570370</v>
      </c>
      <c r="N248" s="34">
        <f t="shared" si="18"/>
        <v>2570370</v>
      </c>
      <c r="O248" s="20"/>
      <c r="P248" s="20">
        <f t="shared" si="19"/>
        <v>36</v>
      </c>
      <c r="Q248" s="142"/>
      <c r="T248" s="86"/>
      <c r="U248" s="86"/>
      <c r="V248" s="86"/>
    </row>
    <row r="249" spans="1:22" ht="15" hidden="1" customHeight="1" x14ac:dyDescent="0.25">
      <c r="A249" s="20" t="s">
        <v>18</v>
      </c>
      <c r="B249" s="61" t="s">
        <v>664</v>
      </c>
      <c r="C249" s="106">
        <f t="shared" si="16"/>
        <v>445</v>
      </c>
      <c r="D249" s="20">
        <f t="shared" si="17"/>
        <v>0</v>
      </c>
      <c r="E249" s="20"/>
      <c r="F249" s="20"/>
      <c r="G249" s="32" t="s">
        <v>754</v>
      </c>
      <c r="H249" s="20" t="s">
        <v>765</v>
      </c>
      <c r="I249" s="20">
        <v>1331</v>
      </c>
      <c r="J249" s="20">
        <v>331</v>
      </c>
      <c r="K249" s="20" t="s">
        <v>20</v>
      </c>
      <c r="L249" s="20">
        <v>1</v>
      </c>
      <c r="M249" s="34">
        <v>205630</v>
      </c>
      <c r="N249" s="34">
        <f t="shared" si="18"/>
        <v>205630</v>
      </c>
      <c r="O249" s="20"/>
      <c r="P249" s="20">
        <f t="shared" si="19"/>
        <v>36</v>
      </c>
      <c r="Q249" s="142"/>
      <c r="T249" s="86"/>
      <c r="U249" s="86"/>
      <c r="V249" s="86"/>
    </row>
    <row r="250" spans="1:22" ht="15" customHeight="1" x14ac:dyDescent="0.25">
      <c r="A250" s="20" t="s">
        <v>18</v>
      </c>
      <c r="B250" s="61" t="s">
        <v>664</v>
      </c>
      <c r="C250" s="106">
        <f t="shared" si="16"/>
        <v>446</v>
      </c>
      <c r="D250" s="20">
        <f t="shared" si="17"/>
        <v>1</v>
      </c>
      <c r="E250" s="20"/>
      <c r="F250" s="20"/>
      <c r="G250" s="32" t="s">
        <v>29</v>
      </c>
      <c r="H250" s="20" t="s">
        <v>4790</v>
      </c>
      <c r="I250" s="20">
        <v>333821</v>
      </c>
      <c r="J250" s="20">
        <v>131</v>
      </c>
      <c r="K250" s="20" t="s">
        <v>20</v>
      </c>
      <c r="L250" s="20">
        <v>1</v>
      </c>
      <c r="M250" s="34">
        <v>222222</v>
      </c>
      <c r="N250" s="34">
        <f t="shared" si="18"/>
        <v>222222</v>
      </c>
      <c r="O250" s="20"/>
      <c r="P250" s="20">
        <f t="shared" si="19"/>
        <v>158</v>
      </c>
      <c r="Q250" s="142"/>
      <c r="T250" s="86"/>
      <c r="U250" s="86"/>
      <c r="V250" s="86"/>
    </row>
    <row r="251" spans="1:22" ht="15" hidden="1" customHeight="1" x14ac:dyDescent="0.25">
      <c r="A251" s="20" t="s">
        <v>18</v>
      </c>
      <c r="B251" s="61" t="s">
        <v>664</v>
      </c>
      <c r="C251" s="106">
        <f t="shared" si="16"/>
        <v>447</v>
      </c>
      <c r="D251" s="20">
        <f t="shared" si="17"/>
        <v>1</v>
      </c>
      <c r="E251" s="20"/>
      <c r="F251" s="20"/>
      <c r="G251" s="32" t="s">
        <v>29</v>
      </c>
      <c r="H251" s="20" t="s">
        <v>790</v>
      </c>
      <c r="I251" s="20">
        <v>131</v>
      </c>
      <c r="J251" s="20">
        <v>5113</v>
      </c>
      <c r="K251" s="20" t="s">
        <v>20</v>
      </c>
      <c r="L251" s="20">
        <v>1</v>
      </c>
      <c r="M251" s="34">
        <v>22222222</v>
      </c>
      <c r="N251" s="34">
        <f t="shared" si="18"/>
        <v>22222222</v>
      </c>
      <c r="O251" s="20"/>
      <c r="P251" s="20">
        <f t="shared" si="19"/>
        <v>142</v>
      </c>
      <c r="Q251" s="142"/>
      <c r="T251" s="86"/>
      <c r="U251" s="86"/>
      <c r="V251" s="86"/>
    </row>
    <row r="252" spans="1:22" ht="15" hidden="1" customHeight="1" x14ac:dyDescent="0.25">
      <c r="A252" s="20" t="s">
        <v>18</v>
      </c>
      <c r="B252" s="61" t="s">
        <v>665</v>
      </c>
      <c r="C252" s="106">
        <f t="shared" si="16"/>
        <v>448</v>
      </c>
      <c r="D252" s="20">
        <f t="shared" si="17"/>
        <v>1</v>
      </c>
      <c r="E252" s="20"/>
      <c r="F252" s="20"/>
      <c r="G252" s="32" t="s">
        <v>754</v>
      </c>
      <c r="H252" s="20" t="s">
        <v>766</v>
      </c>
      <c r="I252" s="20">
        <v>64277</v>
      </c>
      <c r="J252" s="20">
        <v>331</v>
      </c>
      <c r="K252" s="20" t="s">
        <v>20</v>
      </c>
      <c r="L252" s="20">
        <v>1</v>
      </c>
      <c r="M252" s="34">
        <v>3342593</v>
      </c>
      <c r="N252" s="34">
        <f t="shared" si="18"/>
        <v>3342593</v>
      </c>
      <c r="O252" s="20"/>
      <c r="P252" s="20">
        <f t="shared" si="19"/>
        <v>36</v>
      </c>
      <c r="Q252" s="142"/>
      <c r="T252" s="86"/>
      <c r="U252" s="86"/>
      <c r="V252" s="86"/>
    </row>
    <row r="253" spans="1:22" ht="15" hidden="1" customHeight="1" x14ac:dyDescent="0.25">
      <c r="A253" s="20" t="s">
        <v>18</v>
      </c>
      <c r="B253" s="61" t="s">
        <v>665</v>
      </c>
      <c r="C253" s="106">
        <f t="shared" si="16"/>
        <v>448</v>
      </c>
      <c r="D253" s="20">
        <f t="shared" si="17"/>
        <v>0</v>
      </c>
      <c r="E253" s="20"/>
      <c r="F253" s="20"/>
      <c r="G253" s="32" t="s">
        <v>754</v>
      </c>
      <c r="H253" s="20" t="s">
        <v>766</v>
      </c>
      <c r="I253" s="20">
        <v>1331</v>
      </c>
      <c r="J253" s="20">
        <v>331</v>
      </c>
      <c r="K253" s="20" t="s">
        <v>20</v>
      </c>
      <c r="L253" s="20">
        <v>1</v>
      </c>
      <c r="M253" s="34">
        <v>267407</v>
      </c>
      <c r="N253" s="34">
        <f t="shared" si="18"/>
        <v>267407</v>
      </c>
      <c r="O253" s="20"/>
      <c r="P253" s="20">
        <f t="shared" si="19"/>
        <v>36</v>
      </c>
      <c r="Q253" s="142"/>
      <c r="T253" s="86"/>
      <c r="U253" s="86"/>
      <c r="V253" s="86"/>
    </row>
    <row r="254" spans="1:22" ht="15" hidden="1" customHeight="1" x14ac:dyDescent="0.25">
      <c r="A254" s="20" t="s">
        <v>18</v>
      </c>
      <c r="B254" s="61">
        <v>46112</v>
      </c>
      <c r="C254" s="106">
        <f t="shared" si="16"/>
        <v>449</v>
      </c>
      <c r="D254" s="20">
        <f t="shared" si="17"/>
        <v>1</v>
      </c>
      <c r="E254" s="20"/>
      <c r="F254" s="20"/>
      <c r="G254" s="32" t="s">
        <v>71</v>
      </c>
      <c r="H254" s="20" t="s">
        <v>457</v>
      </c>
      <c r="I254" s="20">
        <v>64271</v>
      </c>
      <c r="J254" s="20">
        <v>3383</v>
      </c>
      <c r="K254" s="20" t="s">
        <v>20</v>
      </c>
      <c r="L254" s="20">
        <v>1</v>
      </c>
      <c r="M254" s="34">
        <v>2950000</v>
      </c>
      <c r="N254" s="34">
        <f t="shared" si="18"/>
        <v>2950000</v>
      </c>
      <c r="O254" s="20"/>
      <c r="P254" s="20">
        <f t="shared" si="19"/>
        <v>30</v>
      </c>
      <c r="Q254" s="142"/>
      <c r="T254" s="86"/>
      <c r="U254" s="86"/>
      <c r="V254" s="86"/>
    </row>
    <row r="255" spans="1:22" ht="15" hidden="1" customHeight="1" x14ac:dyDescent="0.25">
      <c r="A255" s="20" t="s">
        <v>18</v>
      </c>
      <c r="B255" s="61">
        <v>46112</v>
      </c>
      <c r="C255" s="106">
        <f t="shared" si="16"/>
        <v>449</v>
      </c>
      <c r="D255" s="20">
        <f t="shared" si="17"/>
        <v>0</v>
      </c>
      <c r="E255" s="20"/>
      <c r="F255" s="20"/>
      <c r="G255" s="32" t="s">
        <v>71</v>
      </c>
      <c r="H255" s="20" t="s">
        <v>457</v>
      </c>
      <c r="I255" s="20">
        <v>64271</v>
      </c>
      <c r="J255" s="20">
        <v>3383</v>
      </c>
      <c r="K255" s="20" t="s">
        <v>20</v>
      </c>
      <c r="L255" s="20">
        <v>1</v>
      </c>
      <c r="M255" s="34">
        <v>4800000</v>
      </c>
      <c r="N255" s="34">
        <f t="shared" si="18"/>
        <v>4800000</v>
      </c>
      <c r="O255" s="20"/>
      <c r="P255" s="20">
        <f t="shared" si="19"/>
        <v>30</v>
      </c>
      <c r="Q255" s="142"/>
      <c r="T255" s="86"/>
      <c r="U255" s="86"/>
      <c r="V255" s="86"/>
    </row>
  </sheetData>
  <autoFilter ref="A3:P255" xr:uid="{00000000-0009-0000-0000-000005000000}">
    <filterColumn colId="8">
      <filters>
        <filter val="333821"/>
      </filters>
    </filterColumn>
    <filterColumn colId="9">
      <filters>
        <filter val="131"/>
      </filters>
    </filterColumn>
    <sortState xmlns:xlrd2="http://schemas.microsoft.com/office/spreadsheetml/2017/richdata2" ref="A4:P255">
      <sortCondition ref="A4:A255"/>
      <sortCondition ref="B4:B255"/>
      <sortCondition ref="H4:H255"/>
    </sortState>
  </autoFilter>
  <mergeCells count="13">
    <mergeCell ref="F1:F2"/>
    <mergeCell ref="A1:A2"/>
    <mergeCell ref="B1:B2"/>
    <mergeCell ref="C1:C2"/>
    <mergeCell ref="D1:D2"/>
    <mergeCell ref="E1:E2"/>
    <mergeCell ref="N1:N2"/>
    <mergeCell ref="G1:G2"/>
    <mergeCell ref="H1:H2"/>
    <mergeCell ref="I1:J1"/>
    <mergeCell ref="K1:K2"/>
    <mergeCell ref="L1:L2"/>
    <mergeCell ref="M1:M2"/>
  </mergeCells>
  <hyperlinks>
    <hyperlink ref="P1" location="Summary!A1" display="Back to summary" xr:uid="{00000000-0004-0000-0500-000000000000}"/>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tabColor rgb="FF92D050"/>
  </sheetPr>
  <dimension ref="A1:AB129"/>
  <sheetViews>
    <sheetView workbookViewId="0">
      <selection activeCell="M64" sqref="M64:M128"/>
    </sheetView>
  </sheetViews>
  <sheetFormatPr defaultRowHeight="15" x14ac:dyDescent="0.25"/>
  <cols>
    <col min="2" max="2" width="10.7109375" style="85" bestFit="1" customWidth="1"/>
    <col min="8" max="8" width="28.140625" customWidth="1"/>
    <col min="13" max="14" width="10.42578125" bestFit="1" customWidth="1"/>
    <col min="18" max="28" width="9.140625" style="60"/>
  </cols>
  <sheetData>
    <row r="1" spans="1:16" ht="15.75" thickBot="1" x14ac:dyDescent="0.3">
      <c r="A1" s="194" t="s">
        <v>0</v>
      </c>
      <c r="B1" s="196" t="s">
        <v>1</v>
      </c>
      <c r="C1" s="194" t="s">
        <v>2</v>
      </c>
      <c r="D1" s="192" t="s">
        <v>3</v>
      </c>
      <c r="E1" s="192" t="s">
        <v>4</v>
      </c>
      <c r="F1" s="192" t="s">
        <v>257</v>
      </c>
      <c r="G1" s="201" t="s">
        <v>6</v>
      </c>
      <c r="H1" s="203" t="s">
        <v>7</v>
      </c>
      <c r="I1" s="205" t="s">
        <v>8</v>
      </c>
      <c r="J1" s="206"/>
      <c r="K1" s="194" t="s">
        <v>9</v>
      </c>
      <c r="L1" s="194" t="s">
        <v>10</v>
      </c>
      <c r="M1" s="199" t="s">
        <v>76</v>
      </c>
      <c r="N1" s="199" t="s">
        <v>77</v>
      </c>
      <c r="O1" s="39" t="s">
        <v>78</v>
      </c>
      <c r="P1" s="146" t="s">
        <v>356</v>
      </c>
    </row>
    <row r="2" spans="1:16" ht="15.75" thickBot="1" x14ac:dyDescent="0.3">
      <c r="A2" s="195"/>
      <c r="B2" s="197"/>
      <c r="C2" s="195"/>
      <c r="D2" s="198"/>
      <c r="E2" s="198"/>
      <c r="F2" s="193"/>
      <c r="G2" s="202"/>
      <c r="H2" s="204"/>
      <c r="I2" s="40" t="s">
        <v>13</v>
      </c>
      <c r="J2" s="41" t="s">
        <v>14</v>
      </c>
      <c r="K2" s="195"/>
      <c r="L2" s="195"/>
      <c r="M2" s="200"/>
      <c r="N2" s="200"/>
      <c r="O2" s="37" t="s">
        <v>78</v>
      </c>
      <c r="P2" s="37"/>
    </row>
    <row r="3" spans="1:16" x14ac:dyDescent="0.25">
      <c r="A3" s="42"/>
      <c r="B3" s="66"/>
      <c r="C3" s="42">
        <v>147</v>
      </c>
      <c r="D3" s="43">
        <v>1</v>
      </c>
      <c r="E3" s="43"/>
      <c r="F3" s="43"/>
      <c r="G3" s="58" t="s">
        <v>15</v>
      </c>
      <c r="H3" s="44"/>
      <c r="I3" s="44"/>
      <c r="J3" s="44"/>
      <c r="K3" s="42"/>
      <c r="L3" s="42"/>
      <c r="M3" s="64"/>
      <c r="N3" s="64"/>
      <c r="O3" s="37" t="s">
        <v>16</v>
      </c>
      <c r="P3" s="37" t="s">
        <v>17</v>
      </c>
    </row>
    <row r="4" spans="1:16" hidden="1" x14ac:dyDescent="0.25">
      <c r="A4" s="177" t="s">
        <v>309</v>
      </c>
      <c r="B4" s="178">
        <v>46026</v>
      </c>
      <c r="C4" s="177">
        <f t="shared" ref="C4:C35" si="0">C3+D4</f>
        <v>148</v>
      </c>
      <c r="D4" s="177">
        <f t="shared" ref="D4:D35" si="1">IF(H4=H3,0,1)</f>
        <v>1</v>
      </c>
      <c r="E4" s="177"/>
      <c r="F4" s="177"/>
      <c r="G4" s="171" t="s">
        <v>39</v>
      </c>
      <c r="H4" s="177" t="s">
        <v>3980</v>
      </c>
      <c r="I4" s="177">
        <v>112111</v>
      </c>
      <c r="J4" s="177">
        <v>131</v>
      </c>
      <c r="K4" s="177" t="s">
        <v>20</v>
      </c>
      <c r="L4" s="177">
        <v>1</v>
      </c>
      <c r="M4" s="179">
        <v>8516129</v>
      </c>
      <c r="N4" s="179">
        <f t="shared" ref="N4:N35" si="2">L4*M4</f>
        <v>8516129</v>
      </c>
      <c r="O4" s="177"/>
      <c r="P4" s="20">
        <f t="shared" ref="P4:P35" si="3">LEN(H4)</f>
        <v>22</v>
      </c>
    </row>
    <row r="5" spans="1:16" hidden="1" x14ac:dyDescent="0.25">
      <c r="A5" s="20" t="s">
        <v>309</v>
      </c>
      <c r="B5" s="61">
        <v>46032</v>
      </c>
      <c r="C5" s="20">
        <f t="shared" si="0"/>
        <v>149</v>
      </c>
      <c r="D5" s="20">
        <f t="shared" si="1"/>
        <v>1</v>
      </c>
      <c r="E5" s="20"/>
      <c r="F5" s="20"/>
      <c r="G5" s="32" t="s">
        <v>68</v>
      </c>
      <c r="H5" s="20" t="s">
        <v>3958</v>
      </c>
      <c r="I5" s="20">
        <v>112111</v>
      </c>
      <c r="J5" s="20">
        <v>131</v>
      </c>
      <c r="K5" s="20" t="s">
        <v>20</v>
      </c>
      <c r="L5" s="20">
        <v>1</v>
      </c>
      <c r="M5" s="34">
        <v>8800000</v>
      </c>
      <c r="N5" s="34">
        <f t="shared" si="2"/>
        <v>8800000</v>
      </c>
      <c r="O5" s="20"/>
      <c r="P5" s="20">
        <f t="shared" si="3"/>
        <v>151</v>
      </c>
    </row>
    <row r="6" spans="1:16" hidden="1" x14ac:dyDescent="0.25">
      <c r="A6" s="20" t="s">
        <v>309</v>
      </c>
      <c r="B6" s="61">
        <v>46035</v>
      </c>
      <c r="C6" s="20">
        <f t="shared" si="0"/>
        <v>150</v>
      </c>
      <c r="D6" s="20">
        <f t="shared" si="1"/>
        <v>1</v>
      </c>
      <c r="E6" s="20"/>
      <c r="F6" s="20"/>
      <c r="G6" s="32" t="s">
        <v>305</v>
      </c>
      <c r="H6" s="20" t="s">
        <v>3959</v>
      </c>
      <c r="I6" s="20">
        <v>112111</v>
      </c>
      <c r="J6" s="20">
        <v>131</v>
      </c>
      <c r="K6" s="20" t="s">
        <v>20</v>
      </c>
      <c r="L6" s="20">
        <v>1</v>
      </c>
      <c r="M6" s="34">
        <v>8516129</v>
      </c>
      <c r="N6" s="34">
        <f t="shared" si="2"/>
        <v>8516129</v>
      </c>
      <c r="O6" s="20"/>
      <c r="P6" s="20">
        <f t="shared" si="3"/>
        <v>159</v>
      </c>
    </row>
    <row r="7" spans="1:16" hidden="1" x14ac:dyDescent="0.25">
      <c r="A7" s="20" t="s">
        <v>309</v>
      </c>
      <c r="B7" s="61">
        <v>46042</v>
      </c>
      <c r="C7" s="20">
        <f t="shared" si="0"/>
        <v>151</v>
      </c>
      <c r="D7" s="20">
        <f t="shared" si="1"/>
        <v>1</v>
      </c>
      <c r="E7" s="20"/>
      <c r="F7" s="20"/>
      <c r="G7" s="32" t="s">
        <v>82</v>
      </c>
      <c r="H7" s="20" t="s">
        <v>3961</v>
      </c>
      <c r="I7" s="20">
        <v>112111</v>
      </c>
      <c r="J7" s="20">
        <v>131</v>
      </c>
      <c r="K7" s="20" t="s">
        <v>20</v>
      </c>
      <c r="L7" s="20">
        <v>1</v>
      </c>
      <c r="M7" s="34">
        <v>11709677</v>
      </c>
      <c r="N7" s="34">
        <f t="shared" si="2"/>
        <v>11709677</v>
      </c>
      <c r="O7" s="20"/>
      <c r="P7" s="20">
        <f t="shared" si="3"/>
        <v>180</v>
      </c>
    </row>
    <row r="8" spans="1:16" hidden="1" x14ac:dyDescent="0.25">
      <c r="A8" s="20" t="s">
        <v>309</v>
      </c>
      <c r="B8" s="61">
        <v>46042</v>
      </c>
      <c r="C8" s="20">
        <f t="shared" si="0"/>
        <v>152</v>
      </c>
      <c r="D8" s="20">
        <f t="shared" si="1"/>
        <v>1</v>
      </c>
      <c r="E8" s="20"/>
      <c r="F8" s="20"/>
      <c r="G8" s="32" t="s">
        <v>56</v>
      </c>
      <c r="H8" s="20" t="s">
        <v>3960</v>
      </c>
      <c r="I8" s="20">
        <v>112111</v>
      </c>
      <c r="J8" s="20">
        <v>131</v>
      </c>
      <c r="K8" s="20" t="s">
        <v>20</v>
      </c>
      <c r="L8" s="20">
        <v>1</v>
      </c>
      <c r="M8" s="34">
        <v>9580645</v>
      </c>
      <c r="N8" s="34">
        <f t="shared" si="2"/>
        <v>9580645</v>
      </c>
      <c r="O8" s="20"/>
      <c r="P8" s="20">
        <f t="shared" si="3"/>
        <v>173</v>
      </c>
    </row>
    <row r="9" spans="1:16" hidden="1" x14ac:dyDescent="0.25">
      <c r="A9" s="20" t="s">
        <v>309</v>
      </c>
      <c r="B9" s="61">
        <v>46045</v>
      </c>
      <c r="C9" s="20">
        <f t="shared" si="0"/>
        <v>153</v>
      </c>
      <c r="D9" s="20">
        <f t="shared" si="1"/>
        <v>1</v>
      </c>
      <c r="E9" s="20"/>
      <c r="F9" s="20"/>
      <c r="G9" s="32" t="s">
        <v>82</v>
      </c>
      <c r="H9" s="20" t="s">
        <v>3962</v>
      </c>
      <c r="I9" s="20">
        <v>112111</v>
      </c>
      <c r="J9" s="20">
        <v>131</v>
      </c>
      <c r="K9" s="20" t="s">
        <v>20</v>
      </c>
      <c r="L9" s="20">
        <v>1</v>
      </c>
      <c r="M9" s="34">
        <v>11709677</v>
      </c>
      <c r="N9" s="34">
        <f t="shared" si="2"/>
        <v>11709677</v>
      </c>
      <c r="O9" s="20"/>
      <c r="P9" s="20">
        <f t="shared" si="3"/>
        <v>179</v>
      </c>
    </row>
    <row r="10" spans="1:16" hidden="1" x14ac:dyDescent="0.25">
      <c r="A10" s="20" t="s">
        <v>309</v>
      </c>
      <c r="B10" s="61">
        <v>46050</v>
      </c>
      <c r="C10" s="20">
        <f t="shared" si="0"/>
        <v>154</v>
      </c>
      <c r="D10" s="20">
        <f t="shared" si="1"/>
        <v>1</v>
      </c>
      <c r="E10" s="20"/>
      <c r="F10" s="20"/>
      <c r="G10" s="32" t="s">
        <v>82</v>
      </c>
      <c r="H10" s="20" t="s">
        <v>3963</v>
      </c>
      <c r="I10" s="20">
        <v>112111</v>
      </c>
      <c r="J10" s="20">
        <v>131</v>
      </c>
      <c r="K10" s="20" t="s">
        <v>20</v>
      </c>
      <c r="L10" s="20">
        <v>1</v>
      </c>
      <c r="M10" s="34">
        <v>11000000</v>
      </c>
      <c r="N10" s="34">
        <f t="shared" si="2"/>
        <v>11000000</v>
      </c>
      <c r="O10" s="20"/>
      <c r="P10" s="20">
        <f t="shared" si="3"/>
        <v>105</v>
      </c>
    </row>
    <row r="11" spans="1:16" hidden="1" x14ac:dyDescent="0.25">
      <c r="A11" s="20" t="s">
        <v>309</v>
      </c>
      <c r="B11" s="61">
        <v>46051</v>
      </c>
      <c r="C11" s="20">
        <f t="shared" si="0"/>
        <v>155</v>
      </c>
      <c r="D11" s="20">
        <f t="shared" si="1"/>
        <v>1</v>
      </c>
      <c r="E11" s="20"/>
      <c r="F11" s="20"/>
      <c r="G11" s="32" t="s">
        <v>75</v>
      </c>
      <c r="H11" s="20" t="s">
        <v>3964</v>
      </c>
      <c r="I11" s="20">
        <v>112111</v>
      </c>
      <c r="J11" s="20">
        <v>131</v>
      </c>
      <c r="K11" s="20" t="s">
        <v>20</v>
      </c>
      <c r="L11" s="20">
        <v>1</v>
      </c>
      <c r="M11" s="34">
        <v>11000000</v>
      </c>
      <c r="N11" s="34">
        <f t="shared" si="2"/>
        <v>11000000</v>
      </c>
      <c r="O11" s="20"/>
      <c r="P11" s="20">
        <f t="shared" si="3"/>
        <v>155</v>
      </c>
    </row>
    <row r="12" spans="1:16" hidden="1" x14ac:dyDescent="0.25">
      <c r="A12" s="20" t="s">
        <v>309</v>
      </c>
      <c r="B12" s="61">
        <v>46053</v>
      </c>
      <c r="C12" s="20">
        <f t="shared" si="0"/>
        <v>156</v>
      </c>
      <c r="D12" s="20">
        <f t="shared" si="1"/>
        <v>1</v>
      </c>
      <c r="E12" s="20"/>
      <c r="F12" s="20"/>
      <c r="G12" s="32" t="s">
        <v>154</v>
      </c>
      <c r="H12" s="20" t="s">
        <v>3561</v>
      </c>
      <c r="I12" s="20">
        <v>112111</v>
      </c>
      <c r="J12" s="20">
        <v>5154</v>
      </c>
      <c r="K12" s="20" t="s">
        <v>20</v>
      </c>
      <c r="L12" s="20">
        <v>1</v>
      </c>
      <c r="M12" s="34">
        <v>1494</v>
      </c>
      <c r="N12" s="34">
        <f t="shared" si="2"/>
        <v>1494</v>
      </c>
      <c r="O12" s="20"/>
      <c r="P12" s="20">
        <f t="shared" si="3"/>
        <v>22</v>
      </c>
    </row>
    <row r="13" spans="1:16" hidden="1" x14ac:dyDescent="0.25">
      <c r="A13" s="20" t="s">
        <v>309</v>
      </c>
      <c r="B13" s="61">
        <v>46053</v>
      </c>
      <c r="C13" s="20">
        <f t="shared" si="0"/>
        <v>157</v>
      </c>
      <c r="D13" s="20">
        <f t="shared" si="1"/>
        <v>1</v>
      </c>
      <c r="E13" s="20"/>
      <c r="F13" s="20"/>
      <c r="G13" s="32" t="s">
        <v>1504</v>
      </c>
      <c r="H13" s="20" t="s">
        <v>3965</v>
      </c>
      <c r="I13" s="20">
        <v>112111</v>
      </c>
      <c r="J13" s="20">
        <v>131</v>
      </c>
      <c r="K13" s="20" t="s">
        <v>20</v>
      </c>
      <c r="L13" s="20">
        <v>1</v>
      </c>
      <c r="M13" s="34">
        <v>7983871</v>
      </c>
      <c r="N13" s="34">
        <f t="shared" si="2"/>
        <v>7983871</v>
      </c>
      <c r="O13" s="20"/>
      <c r="P13" s="20">
        <f t="shared" si="3"/>
        <v>158</v>
      </c>
    </row>
    <row r="14" spans="1:16" hidden="1" x14ac:dyDescent="0.25">
      <c r="A14" s="20" t="s">
        <v>309</v>
      </c>
      <c r="B14" s="61">
        <v>46058</v>
      </c>
      <c r="C14" s="20">
        <f t="shared" si="0"/>
        <v>158</v>
      </c>
      <c r="D14" s="20">
        <f t="shared" si="1"/>
        <v>1</v>
      </c>
      <c r="E14" s="20"/>
      <c r="F14" s="20"/>
      <c r="G14" s="32" t="s">
        <v>714</v>
      </c>
      <c r="H14" s="20" t="s">
        <v>3966</v>
      </c>
      <c r="I14" s="20">
        <v>112111</v>
      </c>
      <c r="J14" s="20">
        <v>131</v>
      </c>
      <c r="K14" s="20" t="s">
        <v>20</v>
      </c>
      <c r="L14" s="20">
        <v>1</v>
      </c>
      <c r="M14" s="34">
        <v>7700000</v>
      </c>
      <c r="N14" s="34">
        <f t="shared" si="2"/>
        <v>7700000</v>
      </c>
      <c r="O14" s="20"/>
      <c r="P14" s="20">
        <f t="shared" si="3"/>
        <v>146</v>
      </c>
    </row>
    <row r="15" spans="1:16" hidden="1" x14ac:dyDescent="0.25">
      <c r="A15" s="20" t="s">
        <v>309</v>
      </c>
      <c r="B15" s="61">
        <v>46065</v>
      </c>
      <c r="C15" s="20">
        <f t="shared" si="0"/>
        <v>159</v>
      </c>
      <c r="D15" s="20">
        <f t="shared" si="1"/>
        <v>1</v>
      </c>
      <c r="E15" s="20"/>
      <c r="F15" s="20"/>
      <c r="G15" s="32" t="s">
        <v>72</v>
      </c>
      <c r="H15" s="20" t="s">
        <v>3967</v>
      </c>
      <c r="I15" s="20">
        <v>112111</v>
      </c>
      <c r="J15" s="20">
        <v>131</v>
      </c>
      <c r="K15" s="20" t="s">
        <v>20</v>
      </c>
      <c r="L15" s="20">
        <v>1</v>
      </c>
      <c r="M15" s="34">
        <v>8800000</v>
      </c>
      <c r="N15" s="34">
        <f t="shared" si="2"/>
        <v>8800000</v>
      </c>
      <c r="O15" s="20"/>
      <c r="P15" s="20">
        <f t="shared" si="3"/>
        <v>141</v>
      </c>
    </row>
    <row r="16" spans="1:16" hidden="1" x14ac:dyDescent="0.25">
      <c r="A16" s="20" t="s">
        <v>309</v>
      </c>
      <c r="B16" s="61">
        <v>46066</v>
      </c>
      <c r="C16" s="20">
        <f t="shared" si="0"/>
        <v>160</v>
      </c>
      <c r="D16" s="20">
        <f t="shared" si="1"/>
        <v>1</v>
      </c>
      <c r="E16" s="20"/>
      <c r="F16" s="20"/>
      <c r="G16" s="32" t="s">
        <v>716</v>
      </c>
      <c r="H16" s="20" t="s">
        <v>3968</v>
      </c>
      <c r="I16" s="20">
        <v>112111</v>
      </c>
      <c r="J16" s="20">
        <v>131</v>
      </c>
      <c r="K16" s="20" t="s">
        <v>20</v>
      </c>
      <c r="L16" s="20">
        <v>1</v>
      </c>
      <c r="M16" s="34">
        <v>8800000</v>
      </c>
      <c r="N16" s="34">
        <f t="shared" si="2"/>
        <v>8800000</v>
      </c>
      <c r="O16" s="20"/>
      <c r="P16" s="20">
        <f t="shared" si="3"/>
        <v>119</v>
      </c>
    </row>
    <row r="17" spans="1:16" hidden="1" x14ac:dyDescent="0.25">
      <c r="A17" s="20" t="s">
        <v>309</v>
      </c>
      <c r="B17" s="61">
        <v>46077</v>
      </c>
      <c r="C17" s="20">
        <f t="shared" si="0"/>
        <v>161</v>
      </c>
      <c r="D17" s="20">
        <f t="shared" si="1"/>
        <v>1</v>
      </c>
      <c r="E17" s="20"/>
      <c r="F17" s="20"/>
      <c r="G17" s="32" t="s">
        <v>249</v>
      </c>
      <c r="H17" s="20" t="s">
        <v>3969</v>
      </c>
      <c r="I17" s="20">
        <v>112111</v>
      </c>
      <c r="J17" s="20">
        <v>131</v>
      </c>
      <c r="K17" s="20" t="s">
        <v>20</v>
      </c>
      <c r="L17" s="20">
        <v>1</v>
      </c>
      <c r="M17" s="34">
        <v>8800000</v>
      </c>
      <c r="N17" s="34">
        <f t="shared" si="2"/>
        <v>8800000</v>
      </c>
      <c r="O17" s="20"/>
      <c r="P17" s="20">
        <f t="shared" si="3"/>
        <v>142</v>
      </c>
    </row>
    <row r="18" spans="1:16" hidden="1" x14ac:dyDescent="0.25">
      <c r="A18" s="20" t="s">
        <v>309</v>
      </c>
      <c r="B18" s="61">
        <v>46081</v>
      </c>
      <c r="C18" s="20">
        <f t="shared" si="0"/>
        <v>162</v>
      </c>
      <c r="D18" s="20">
        <f t="shared" si="1"/>
        <v>1</v>
      </c>
      <c r="E18" s="20"/>
      <c r="F18" s="20"/>
      <c r="G18" s="32" t="s">
        <v>154</v>
      </c>
      <c r="H18" s="20" t="s">
        <v>3561</v>
      </c>
      <c r="I18" s="20">
        <v>112111</v>
      </c>
      <c r="J18" s="20">
        <v>5154</v>
      </c>
      <c r="K18" s="20" t="s">
        <v>20</v>
      </c>
      <c r="L18" s="20">
        <v>1</v>
      </c>
      <c r="M18" s="34">
        <v>1031</v>
      </c>
      <c r="N18" s="34">
        <f t="shared" si="2"/>
        <v>1031</v>
      </c>
      <c r="O18" s="20"/>
      <c r="P18" s="20">
        <f t="shared" si="3"/>
        <v>22</v>
      </c>
    </row>
    <row r="19" spans="1:16" hidden="1" x14ac:dyDescent="0.25">
      <c r="A19" s="20" t="s">
        <v>309</v>
      </c>
      <c r="B19" s="61">
        <v>46090</v>
      </c>
      <c r="C19" s="20">
        <f t="shared" si="0"/>
        <v>163</v>
      </c>
      <c r="D19" s="20">
        <f t="shared" si="1"/>
        <v>1</v>
      </c>
      <c r="E19" s="20"/>
      <c r="F19" s="20"/>
      <c r="G19" s="32" t="s">
        <v>56</v>
      </c>
      <c r="H19" s="20" t="s">
        <v>3970</v>
      </c>
      <c r="I19" s="20">
        <v>112111</v>
      </c>
      <c r="J19" s="20">
        <v>131</v>
      </c>
      <c r="K19" s="20" t="s">
        <v>20</v>
      </c>
      <c r="L19" s="20">
        <v>1</v>
      </c>
      <c r="M19" s="34">
        <v>9580645</v>
      </c>
      <c r="N19" s="34">
        <f t="shared" si="2"/>
        <v>9580645</v>
      </c>
      <c r="O19" s="20"/>
      <c r="P19" s="20">
        <f t="shared" si="3"/>
        <v>179</v>
      </c>
    </row>
    <row r="20" spans="1:16" hidden="1" x14ac:dyDescent="0.25">
      <c r="A20" s="20" t="s">
        <v>309</v>
      </c>
      <c r="B20" s="61">
        <v>46106</v>
      </c>
      <c r="C20" s="20">
        <f t="shared" si="0"/>
        <v>164</v>
      </c>
      <c r="D20" s="20">
        <f t="shared" si="1"/>
        <v>1</v>
      </c>
      <c r="E20" s="20"/>
      <c r="F20" s="20"/>
      <c r="G20" s="32" t="s">
        <v>68</v>
      </c>
      <c r="H20" s="20" t="s">
        <v>3971</v>
      </c>
      <c r="I20" s="20">
        <v>112111</v>
      </c>
      <c r="J20" s="20">
        <v>131</v>
      </c>
      <c r="K20" s="20" t="s">
        <v>20</v>
      </c>
      <c r="L20" s="20">
        <v>1</v>
      </c>
      <c r="M20" s="34">
        <v>8800000</v>
      </c>
      <c r="N20" s="34">
        <f t="shared" si="2"/>
        <v>8800000</v>
      </c>
      <c r="O20" s="20"/>
      <c r="P20" s="20">
        <f t="shared" si="3"/>
        <v>149</v>
      </c>
    </row>
    <row r="21" spans="1:16" hidden="1" x14ac:dyDescent="0.25">
      <c r="A21" s="20" t="s">
        <v>309</v>
      </c>
      <c r="B21" s="61">
        <v>46107</v>
      </c>
      <c r="C21" s="20">
        <f t="shared" si="0"/>
        <v>165</v>
      </c>
      <c r="D21" s="20">
        <f t="shared" si="1"/>
        <v>1</v>
      </c>
      <c r="E21" s="20"/>
      <c r="F21" s="20"/>
      <c r="G21" s="32" t="s">
        <v>717</v>
      </c>
      <c r="H21" s="20" t="s">
        <v>3972</v>
      </c>
      <c r="I21" s="20">
        <v>112111</v>
      </c>
      <c r="J21" s="20">
        <v>131</v>
      </c>
      <c r="K21" s="20" t="s">
        <v>20</v>
      </c>
      <c r="L21" s="20">
        <v>1</v>
      </c>
      <c r="M21" s="34">
        <v>17820000</v>
      </c>
      <c r="N21" s="34">
        <f t="shared" si="2"/>
        <v>17820000</v>
      </c>
      <c r="O21" s="20"/>
      <c r="P21" s="20">
        <f t="shared" si="3"/>
        <v>112</v>
      </c>
    </row>
    <row r="22" spans="1:16" hidden="1" x14ac:dyDescent="0.25">
      <c r="A22" s="20" t="s">
        <v>309</v>
      </c>
      <c r="B22" s="61">
        <v>46108</v>
      </c>
      <c r="C22" s="20">
        <f t="shared" si="0"/>
        <v>166</v>
      </c>
      <c r="D22" s="20">
        <f t="shared" si="1"/>
        <v>1</v>
      </c>
      <c r="E22" s="20"/>
      <c r="F22" s="20"/>
      <c r="G22" s="32" t="s">
        <v>51</v>
      </c>
      <c r="H22" s="20" t="s">
        <v>3973</v>
      </c>
      <c r="I22" s="20">
        <v>112111</v>
      </c>
      <c r="J22" s="20">
        <v>131</v>
      </c>
      <c r="K22" s="20" t="s">
        <v>20</v>
      </c>
      <c r="L22" s="20">
        <v>1</v>
      </c>
      <c r="M22" s="34">
        <v>11000000</v>
      </c>
      <c r="N22" s="34">
        <f t="shared" si="2"/>
        <v>11000000</v>
      </c>
      <c r="O22" s="20"/>
      <c r="P22" s="20">
        <f t="shared" si="3"/>
        <v>158</v>
      </c>
    </row>
    <row r="23" spans="1:16" hidden="1" x14ac:dyDescent="0.25">
      <c r="A23" s="20" t="s">
        <v>309</v>
      </c>
      <c r="B23" s="61">
        <v>46112</v>
      </c>
      <c r="C23" s="20">
        <f t="shared" si="0"/>
        <v>167</v>
      </c>
      <c r="D23" s="20">
        <f t="shared" si="1"/>
        <v>1</v>
      </c>
      <c r="E23" s="20"/>
      <c r="F23" s="20"/>
      <c r="G23" s="32" t="s">
        <v>154</v>
      </c>
      <c r="H23" s="20" t="s">
        <v>3561</v>
      </c>
      <c r="I23" s="20">
        <v>112111</v>
      </c>
      <c r="J23" s="20">
        <v>5154</v>
      </c>
      <c r="K23" s="20" t="s">
        <v>20</v>
      </c>
      <c r="L23" s="20">
        <v>1</v>
      </c>
      <c r="M23" s="34">
        <v>444</v>
      </c>
      <c r="N23" s="34">
        <f t="shared" si="2"/>
        <v>444</v>
      </c>
      <c r="O23" s="20"/>
      <c r="P23" s="20">
        <f t="shared" si="3"/>
        <v>22</v>
      </c>
    </row>
    <row r="24" spans="1:16" hidden="1" x14ac:dyDescent="0.25">
      <c r="A24" s="20" t="s">
        <v>308</v>
      </c>
      <c r="B24" s="61">
        <v>46026</v>
      </c>
      <c r="C24" s="20">
        <f t="shared" si="0"/>
        <v>168</v>
      </c>
      <c r="D24" s="20">
        <f t="shared" si="1"/>
        <v>1</v>
      </c>
      <c r="E24" s="20"/>
      <c r="F24" s="20"/>
      <c r="G24" s="14" t="s">
        <v>154</v>
      </c>
      <c r="H24" s="20" t="s">
        <v>3032</v>
      </c>
      <c r="I24" s="20">
        <v>1111</v>
      </c>
      <c r="J24" s="20">
        <v>112111</v>
      </c>
      <c r="K24" s="20" t="s">
        <v>20</v>
      </c>
      <c r="L24" s="20">
        <v>1</v>
      </c>
      <c r="M24" s="34">
        <v>18000000</v>
      </c>
      <c r="N24" s="34">
        <f t="shared" si="2"/>
        <v>18000000</v>
      </c>
      <c r="O24" s="20"/>
      <c r="P24" s="20">
        <f t="shared" si="3"/>
        <v>40</v>
      </c>
    </row>
    <row r="25" spans="1:16" hidden="1" x14ac:dyDescent="0.25">
      <c r="A25" s="20" t="s">
        <v>308</v>
      </c>
      <c r="B25" s="61">
        <v>46032</v>
      </c>
      <c r="C25" s="20">
        <f t="shared" si="0"/>
        <v>168</v>
      </c>
      <c r="D25" s="20">
        <f t="shared" si="1"/>
        <v>0</v>
      </c>
      <c r="E25" s="20"/>
      <c r="F25" s="20"/>
      <c r="G25" s="32" t="s">
        <v>154</v>
      </c>
      <c r="H25" s="20" t="s">
        <v>3032</v>
      </c>
      <c r="I25" s="20">
        <v>1111</v>
      </c>
      <c r="J25" s="20">
        <v>112111</v>
      </c>
      <c r="K25" s="20" t="s">
        <v>20</v>
      </c>
      <c r="L25" s="20">
        <v>1</v>
      </c>
      <c r="M25" s="34">
        <v>3000000</v>
      </c>
      <c r="N25" s="34">
        <f t="shared" si="2"/>
        <v>3000000</v>
      </c>
      <c r="O25" s="20"/>
      <c r="P25" s="20">
        <f t="shared" si="3"/>
        <v>40</v>
      </c>
    </row>
    <row r="26" spans="1:16" hidden="1" x14ac:dyDescent="0.25">
      <c r="A26" s="20" t="s">
        <v>308</v>
      </c>
      <c r="B26" s="61">
        <v>46040</v>
      </c>
      <c r="C26" s="20">
        <f t="shared" si="0"/>
        <v>168</v>
      </c>
      <c r="D26" s="20">
        <f t="shared" si="1"/>
        <v>0</v>
      </c>
      <c r="E26" s="20"/>
      <c r="F26" s="20"/>
      <c r="G26" s="32" t="s">
        <v>154</v>
      </c>
      <c r="H26" s="20" t="s">
        <v>3032</v>
      </c>
      <c r="I26" s="20">
        <v>1111</v>
      </c>
      <c r="J26" s="20">
        <v>112111</v>
      </c>
      <c r="K26" s="20" t="s">
        <v>20</v>
      </c>
      <c r="L26" s="20">
        <v>1</v>
      </c>
      <c r="M26" s="34">
        <v>6000000</v>
      </c>
      <c r="N26" s="34">
        <f t="shared" si="2"/>
        <v>6000000</v>
      </c>
      <c r="O26" s="20"/>
      <c r="P26" s="20">
        <f t="shared" si="3"/>
        <v>40</v>
      </c>
    </row>
    <row r="27" spans="1:16" hidden="1" x14ac:dyDescent="0.25">
      <c r="A27" s="20" t="s">
        <v>308</v>
      </c>
      <c r="B27" s="61">
        <v>46043</v>
      </c>
      <c r="C27" s="20">
        <f t="shared" si="0"/>
        <v>168</v>
      </c>
      <c r="D27" s="20">
        <f t="shared" si="1"/>
        <v>0</v>
      </c>
      <c r="E27" s="20"/>
      <c r="F27" s="20"/>
      <c r="G27" s="32" t="s">
        <v>154</v>
      </c>
      <c r="H27" s="20" t="s">
        <v>3032</v>
      </c>
      <c r="I27" s="20">
        <v>1111</v>
      </c>
      <c r="J27" s="20">
        <v>112111</v>
      </c>
      <c r="K27" s="20" t="s">
        <v>20</v>
      </c>
      <c r="L27" s="20">
        <v>1</v>
      </c>
      <c r="M27" s="34">
        <v>5000000</v>
      </c>
      <c r="N27" s="34">
        <f t="shared" si="2"/>
        <v>5000000</v>
      </c>
      <c r="O27" s="20"/>
      <c r="P27" s="20">
        <f t="shared" si="3"/>
        <v>40</v>
      </c>
    </row>
    <row r="28" spans="1:16" hidden="1" x14ac:dyDescent="0.25">
      <c r="A28" s="20" t="s">
        <v>308</v>
      </c>
      <c r="B28" s="61">
        <v>46045</v>
      </c>
      <c r="C28" s="20">
        <f t="shared" si="0"/>
        <v>168</v>
      </c>
      <c r="D28" s="20">
        <f t="shared" si="1"/>
        <v>0</v>
      </c>
      <c r="E28" s="20"/>
      <c r="F28" s="20"/>
      <c r="G28" s="32" t="s">
        <v>154</v>
      </c>
      <c r="H28" s="20" t="s">
        <v>3032</v>
      </c>
      <c r="I28" s="20">
        <v>1111</v>
      </c>
      <c r="J28" s="20">
        <v>112111</v>
      </c>
      <c r="K28" s="20" t="s">
        <v>20</v>
      </c>
      <c r="L28" s="20">
        <v>1</v>
      </c>
      <c r="M28" s="34">
        <v>3000000</v>
      </c>
      <c r="N28" s="34">
        <f t="shared" si="2"/>
        <v>3000000</v>
      </c>
      <c r="O28" s="20"/>
      <c r="P28" s="20">
        <f t="shared" si="3"/>
        <v>40</v>
      </c>
    </row>
    <row r="29" spans="1:16" hidden="1" x14ac:dyDescent="0.25">
      <c r="A29" s="20" t="s">
        <v>308</v>
      </c>
      <c r="B29" s="61">
        <v>46046</v>
      </c>
      <c r="C29" s="20">
        <f t="shared" si="0"/>
        <v>168</v>
      </c>
      <c r="D29" s="20">
        <f t="shared" si="1"/>
        <v>0</v>
      </c>
      <c r="E29" s="20"/>
      <c r="F29" s="20"/>
      <c r="G29" s="32" t="s">
        <v>154</v>
      </c>
      <c r="H29" s="20" t="s">
        <v>3032</v>
      </c>
      <c r="I29" s="20">
        <v>1111</v>
      </c>
      <c r="J29" s="20">
        <v>112111</v>
      </c>
      <c r="K29" s="20" t="s">
        <v>20</v>
      </c>
      <c r="L29" s="20">
        <v>1</v>
      </c>
      <c r="M29" s="34">
        <v>4000000</v>
      </c>
      <c r="N29" s="34">
        <f t="shared" si="2"/>
        <v>4000000</v>
      </c>
      <c r="O29" s="20"/>
      <c r="P29" s="20">
        <f t="shared" si="3"/>
        <v>40</v>
      </c>
    </row>
    <row r="30" spans="1:16" hidden="1" x14ac:dyDescent="0.25">
      <c r="A30" s="20" t="s">
        <v>308</v>
      </c>
      <c r="B30" s="61">
        <v>46048</v>
      </c>
      <c r="C30" s="20">
        <f t="shared" si="0"/>
        <v>168</v>
      </c>
      <c r="D30" s="20">
        <f t="shared" si="1"/>
        <v>0</v>
      </c>
      <c r="E30" s="20"/>
      <c r="F30" s="20"/>
      <c r="G30" s="32" t="s">
        <v>154</v>
      </c>
      <c r="H30" s="20" t="s">
        <v>3032</v>
      </c>
      <c r="I30" s="20">
        <v>1111</v>
      </c>
      <c r="J30" s="20">
        <v>112111</v>
      </c>
      <c r="K30" s="20" t="s">
        <v>20</v>
      </c>
      <c r="L30" s="20">
        <v>1</v>
      </c>
      <c r="M30" s="34">
        <v>10000000</v>
      </c>
      <c r="N30" s="34">
        <f t="shared" si="2"/>
        <v>10000000</v>
      </c>
      <c r="O30" s="20"/>
      <c r="P30" s="20">
        <f t="shared" si="3"/>
        <v>40</v>
      </c>
    </row>
    <row r="31" spans="1:16" hidden="1" x14ac:dyDescent="0.25">
      <c r="A31" s="20" t="s">
        <v>308</v>
      </c>
      <c r="B31" s="61">
        <v>46049</v>
      </c>
      <c r="C31" s="20">
        <f t="shared" si="0"/>
        <v>168</v>
      </c>
      <c r="D31" s="20">
        <f t="shared" si="1"/>
        <v>0</v>
      </c>
      <c r="E31" s="20"/>
      <c r="F31" s="20"/>
      <c r="G31" s="32" t="s">
        <v>154</v>
      </c>
      <c r="H31" s="20" t="s">
        <v>3032</v>
      </c>
      <c r="I31" s="20">
        <v>1111</v>
      </c>
      <c r="J31" s="20">
        <v>112111</v>
      </c>
      <c r="K31" s="20" t="s">
        <v>20</v>
      </c>
      <c r="L31" s="20">
        <v>1</v>
      </c>
      <c r="M31" s="34">
        <v>1000000</v>
      </c>
      <c r="N31" s="34">
        <f t="shared" si="2"/>
        <v>1000000</v>
      </c>
      <c r="O31" s="20"/>
      <c r="P31" s="20">
        <f t="shared" si="3"/>
        <v>40</v>
      </c>
    </row>
    <row r="32" spans="1:16" hidden="1" x14ac:dyDescent="0.25">
      <c r="A32" s="20" t="s">
        <v>308</v>
      </c>
      <c r="B32" s="61">
        <v>46051</v>
      </c>
      <c r="C32" s="20">
        <f t="shared" si="0"/>
        <v>168</v>
      </c>
      <c r="D32" s="20">
        <f t="shared" si="1"/>
        <v>0</v>
      </c>
      <c r="E32" s="20"/>
      <c r="F32" s="20"/>
      <c r="G32" s="32" t="s">
        <v>154</v>
      </c>
      <c r="H32" s="20" t="s">
        <v>3032</v>
      </c>
      <c r="I32" s="20">
        <v>1111</v>
      </c>
      <c r="J32" s="20">
        <v>112111</v>
      </c>
      <c r="K32" s="20" t="s">
        <v>20</v>
      </c>
      <c r="L32" s="20">
        <v>1</v>
      </c>
      <c r="M32" s="34">
        <v>6000000</v>
      </c>
      <c r="N32" s="34">
        <f t="shared" si="2"/>
        <v>6000000</v>
      </c>
      <c r="O32" s="20"/>
      <c r="P32" s="20">
        <f t="shared" si="3"/>
        <v>40</v>
      </c>
    </row>
    <row r="33" spans="1:16" hidden="1" x14ac:dyDescent="0.25">
      <c r="A33" s="20" t="s">
        <v>308</v>
      </c>
      <c r="B33" s="61">
        <v>46052</v>
      </c>
      <c r="C33" s="20">
        <f t="shared" si="0"/>
        <v>168</v>
      </c>
      <c r="D33" s="20">
        <f t="shared" si="1"/>
        <v>0</v>
      </c>
      <c r="E33" s="20"/>
      <c r="F33" s="20"/>
      <c r="G33" s="32" t="s">
        <v>154</v>
      </c>
      <c r="H33" s="20" t="s">
        <v>3032</v>
      </c>
      <c r="I33" s="20">
        <v>1111</v>
      </c>
      <c r="J33" s="20">
        <v>112111</v>
      </c>
      <c r="K33" s="20" t="s">
        <v>20</v>
      </c>
      <c r="L33" s="20">
        <v>1</v>
      </c>
      <c r="M33" s="34">
        <v>14500000</v>
      </c>
      <c r="N33" s="34">
        <f t="shared" si="2"/>
        <v>14500000</v>
      </c>
      <c r="O33" s="20"/>
      <c r="P33" s="20">
        <f t="shared" si="3"/>
        <v>40</v>
      </c>
    </row>
    <row r="34" spans="1:16" hidden="1" x14ac:dyDescent="0.25">
      <c r="A34" s="20" t="s">
        <v>308</v>
      </c>
      <c r="B34" s="61">
        <v>46054</v>
      </c>
      <c r="C34" s="20">
        <f t="shared" si="0"/>
        <v>168</v>
      </c>
      <c r="D34" s="20">
        <f t="shared" si="1"/>
        <v>0</v>
      </c>
      <c r="E34" s="20"/>
      <c r="F34" s="20"/>
      <c r="G34" s="32" t="s">
        <v>154</v>
      </c>
      <c r="H34" s="20" t="s">
        <v>3032</v>
      </c>
      <c r="I34" s="20">
        <v>1111</v>
      </c>
      <c r="J34" s="20">
        <v>112111</v>
      </c>
      <c r="K34" s="20" t="s">
        <v>20</v>
      </c>
      <c r="L34" s="20">
        <v>1</v>
      </c>
      <c r="M34" s="34">
        <v>25000000</v>
      </c>
      <c r="N34" s="34">
        <f t="shared" si="2"/>
        <v>25000000</v>
      </c>
      <c r="O34" s="20"/>
      <c r="P34" s="20">
        <f t="shared" si="3"/>
        <v>40</v>
      </c>
    </row>
    <row r="35" spans="1:16" hidden="1" x14ac:dyDescent="0.25">
      <c r="A35" s="20" t="s">
        <v>308</v>
      </c>
      <c r="B35" s="61">
        <v>46058</v>
      </c>
      <c r="C35" s="20">
        <f t="shared" si="0"/>
        <v>168</v>
      </c>
      <c r="D35" s="20">
        <f t="shared" si="1"/>
        <v>0</v>
      </c>
      <c r="E35" s="20"/>
      <c r="F35" s="20"/>
      <c r="G35" s="32" t="s">
        <v>154</v>
      </c>
      <c r="H35" s="20" t="s">
        <v>3032</v>
      </c>
      <c r="I35" s="20">
        <v>1111</v>
      </c>
      <c r="J35" s="20">
        <v>112111</v>
      </c>
      <c r="K35" s="20" t="s">
        <v>20</v>
      </c>
      <c r="L35" s="20">
        <v>1</v>
      </c>
      <c r="M35" s="34">
        <v>11388542</v>
      </c>
      <c r="N35" s="34">
        <f t="shared" si="2"/>
        <v>11388542</v>
      </c>
      <c r="O35" s="20"/>
      <c r="P35" s="20">
        <f t="shared" si="3"/>
        <v>40</v>
      </c>
    </row>
    <row r="36" spans="1:16" hidden="1" x14ac:dyDescent="0.25">
      <c r="A36" s="20" t="s">
        <v>308</v>
      </c>
      <c r="B36" s="61">
        <v>46060</v>
      </c>
      <c r="C36" s="20">
        <f t="shared" ref="C36:C67" si="4">C35+D36</f>
        <v>168</v>
      </c>
      <c r="D36" s="20">
        <f t="shared" ref="D36:D67" si="5">IF(H36=H35,0,1)</f>
        <v>0</v>
      </c>
      <c r="E36" s="20"/>
      <c r="F36" s="20"/>
      <c r="G36" s="32" t="s">
        <v>154</v>
      </c>
      <c r="H36" s="20" t="s">
        <v>3032</v>
      </c>
      <c r="I36" s="20">
        <v>1111</v>
      </c>
      <c r="J36" s="20">
        <v>112111</v>
      </c>
      <c r="K36" s="20" t="s">
        <v>20</v>
      </c>
      <c r="L36" s="20">
        <v>1</v>
      </c>
      <c r="M36" s="34">
        <v>5000000</v>
      </c>
      <c r="N36" s="34">
        <f t="shared" ref="N36:N67" si="6">L36*M36</f>
        <v>5000000</v>
      </c>
      <c r="O36" s="20"/>
      <c r="P36" s="20">
        <f t="shared" ref="P36:P67" si="7">LEN(H36)</f>
        <v>40</v>
      </c>
    </row>
    <row r="37" spans="1:16" hidden="1" x14ac:dyDescent="0.25">
      <c r="A37" s="20" t="s">
        <v>308</v>
      </c>
      <c r="B37" s="61">
        <v>46061</v>
      </c>
      <c r="C37" s="20">
        <f t="shared" si="4"/>
        <v>168</v>
      </c>
      <c r="D37" s="20">
        <f t="shared" si="5"/>
        <v>0</v>
      </c>
      <c r="E37" s="20"/>
      <c r="F37" s="20"/>
      <c r="G37" s="32" t="s">
        <v>154</v>
      </c>
      <c r="H37" s="20" t="s">
        <v>3032</v>
      </c>
      <c r="I37" s="20">
        <v>1111</v>
      </c>
      <c r="J37" s="20">
        <v>112111</v>
      </c>
      <c r="K37" s="20" t="s">
        <v>20</v>
      </c>
      <c r="L37" s="20">
        <v>1</v>
      </c>
      <c r="M37" s="34">
        <v>5000000</v>
      </c>
      <c r="N37" s="34">
        <f t="shared" si="6"/>
        <v>5000000</v>
      </c>
      <c r="O37" s="20"/>
      <c r="P37" s="20">
        <f t="shared" si="7"/>
        <v>40</v>
      </c>
    </row>
    <row r="38" spans="1:16" hidden="1" x14ac:dyDescent="0.25">
      <c r="A38" s="20" t="s">
        <v>308</v>
      </c>
      <c r="B38" s="61">
        <v>46081</v>
      </c>
      <c r="C38" s="20">
        <f t="shared" si="4"/>
        <v>168</v>
      </c>
      <c r="D38" s="20">
        <f t="shared" si="5"/>
        <v>0</v>
      </c>
      <c r="E38" s="20"/>
      <c r="F38" s="20"/>
      <c r="G38" s="32" t="s">
        <v>154</v>
      </c>
      <c r="H38" s="20" t="s">
        <v>3032</v>
      </c>
      <c r="I38" s="20">
        <v>1111</v>
      </c>
      <c r="J38" s="20">
        <v>112111</v>
      </c>
      <c r="K38" s="20" t="s">
        <v>20</v>
      </c>
      <c r="L38" s="20">
        <v>1</v>
      </c>
      <c r="M38" s="34">
        <v>6000000</v>
      </c>
      <c r="N38" s="34">
        <f t="shared" si="6"/>
        <v>6000000</v>
      </c>
      <c r="O38" s="20"/>
      <c r="P38" s="20">
        <f t="shared" si="7"/>
        <v>40</v>
      </c>
    </row>
    <row r="39" spans="1:16" hidden="1" x14ac:dyDescent="0.25">
      <c r="A39" s="20" t="s">
        <v>308</v>
      </c>
      <c r="B39" s="61">
        <v>46090</v>
      </c>
      <c r="C39" s="20">
        <f t="shared" si="4"/>
        <v>168</v>
      </c>
      <c r="D39" s="20">
        <f t="shared" si="5"/>
        <v>0</v>
      </c>
      <c r="E39" s="20"/>
      <c r="F39" s="20"/>
      <c r="G39" s="32" t="s">
        <v>154</v>
      </c>
      <c r="H39" s="20" t="s">
        <v>3032</v>
      </c>
      <c r="I39" s="20">
        <v>1111</v>
      </c>
      <c r="J39" s="20">
        <v>112111</v>
      </c>
      <c r="K39" s="20" t="s">
        <v>20</v>
      </c>
      <c r="L39" s="20">
        <v>1</v>
      </c>
      <c r="M39" s="34">
        <v>10000000</v>
      </c>
      <c r="N39" s="34">
        <f t="shared" si="6"/>
        <v>10000000</v>
      </c>
      <c r="O39" s="20"/>
      <c r="P39" s="20">
        <f t="shared" si="7"/>
        <v>40</v>
      </c>
    </row>
    <row r="40" spans="1:16" hidden="1" x14ac:dyDescent="0.25">
      <c r="A40" s="20" t="s">
        <v>308</v>
      </c>
      <c r="B40" s="61">
        <v>46109</v>
      </c>
      <c r="C40" s="20">
        <f t="shared" si="4"/>
        <v>168</v>
      </c>
      <c r="D40" s="20">
        <f t="shared" si="5"/>
        <v>0</v>
      </c>
      <c r="E40" s="20"/>
      <c r="F40" s="20"/>
      <c r="G40" s="32" t="s">
        <v>154</v>
      </c>
      <c r="H40" s="20" t="s">
        <v>3032</v>
      </c>
      <c r="I40" s="20">
        <v>1111</v>
      </c>
      <c r="J40" s="20">
        <v>112111</v>
      </c>
      <c r="K40" s="20" t="s">
        <v>20</v>
      </c>
      <c r="L40" s="20">
        <v>1</v>
      </c>
      <c r="M40" s="34">
        <v>12000000</v>
      </c>
      <c r="N40" s="34">
        <f t="shared" si="6"/>
        <v>12000000</v>
      </c>
      <c r="O40" s="20"/>
      <c r="P40" s="20">
        <f t="shared" si="7"/>
        <v>40</v>
      </c>
    </row>
    <row r="41" spans="1:16" hidden="1" x14ac:dyDescent="0.25">
      <c r="A41" s="20" t="s">
        <v>308</v>
      </c>
      <c r="B41" s="61">
        <v>46112</v>
      </c>
      <c r="C41" s="20">
        <f t="shared" si="4"/>
        <v>168</v>
      </c>
      <c r="D41" s="20">
        <f t="shared" si="5"/>
        <v>0</v>
      </c>
      <c r="E41" s="20"/>
      <c r="F41" s="20"/>
      <c r="G41" s="32" t="s">
        <v>154</v>
      </c>
      <c r="H41" s="20" t="s">
        <v>3032</v>
      </c>
      <c r="I41" s="20">
        <v>1111</v>
      </c>
      <c r="J41" s="20">
        <v>112111</v>
      </c>
      <c r="K41" s="20" t="s">
        <v>20</v>
      </c>
      <c r="L41" s="20">
        <v>1</v>
      </c>
      <c r="M41" s="34">
        <v>13000000</v>
      </c>
      <c r="N41" s="34">
        <f t="shared" si="6"/>
        <v>13000000</v>
      </c>
      <c r="O41" s="20"/>
      <c r="P41" s="20">
        <f t="shared" si="7"/>
        <v>40</v>
      </c>
    </row>
    <row r="42" spans="1:16" hidden="1" x14ac:dyDescent="0.25">
      <c r="A42" s="20" t="s">
        <v>310</v>
      </c>
      <c r="B42" s="61" t="s">
        <v>470</v>
      </c>
      <c r="C42" s="20">
        <f t="shared" si="4"/>
        <v>169</v>
      </c>
      <c r="D42" s="20">
        <f t="shared" si="5"/>
        <v>1</v>
      </c>
      <c r="E42" s="20"/>
      <c r="F42" s="20"/>
      <c r="G42" s="20" t="s">
        <v>233</v>
      </c>
      <c r="H42" s="20" t="s">
        <v>3927</v>
      </c>
      <c r="I42" s="20">
        <v>331</v>
      </c>
      <c r="J42" s="20">
        <v>1111</v>
      </c>
      <c r="K42" s="20" t="s">
        <v>20</v>
      </c>
      <c r="L42" s="20">
        <v>1</v>
      </c>
      <c r="M42" s="34">
        <v>139442</v>
      </c>
      <c r="N42" s="34">
        <f t="shared" si="6"/>
        <v>139442</v>
      </c>
      <c r="O42" s="20"/>
      <c r="P42" s="20">
        <f t="shared" si="7"/>
        <v>30</v>
      </c>
    </row>
    <row r="43" spans="1:16" hidden="1" x14ac:dyDescent="0.25">
      <c r="A43" s="20" t="s">
        <v>310</v>
      </c>
      <c r="B43" s="61" t="s">
        <v>470</v>
      </c>
      <c r="C43" s="20">
        <f t="shared" si="4"/>
        <v>170</v>
      </c>
      <c r="D43" s="20">
        <f t="shared" si="5"/>
        <v>1</v>
      </c>
      <c r="E43" s="20"/>
      <c r="F43" s="20"/>
      <c r="G43" s="20" t="s">
        <v>233</v>
      </c>
      <c r="H43" s="20" t="s">
        <v>3928</v>
      </c>
      <c r="I43" s="20">
        <v>331</v>
      </c>
      <c r="J43" s="20">
        <v>1111</v>
      </c>
      <c r="K43" s="20" t="s">
        <v>20</v>
      </c>
      <c r="L43" s="20">
        <v>1</v>
      </c>
      <c r="M43" s="34">
        <v>267350</v>
      </c>
      <c r="N43" s="34">
        <f t="shared" si="6"/>
        <v>267350</v>
      </c>
      <c r="O43" s="20"/>
      <c r="P43" s="20">
        <f t="shared" si="7"/>
        <v>30</v>
      </c>
    </row>
    <row r="44" spans="1:16" hidden="1" x14ac:dyDescent="0.25">
      <c r="A44" s="20" t="s">
        <v>310</v>
      </c>
      <c r="B44" s="61" t="s">
        <v>434</v>
      </c>
      <c r="C44" s="20">
        <f t="shared" si="4"/>
        <v>171</v>
      </c>
      <c r="D44" s="20">
        <f t="shared" si="5"/>
        <v>1</v>
      </c>
      <c r="E44" s="20"/>
      <c r="F44" s="20"/>
      <c r="G44" s="20" t="s">
        <v>292</v>
      </c>
      <c r="H44" s="20" t="s">
        <v>3929</v>
      </c>
      <c r="I44" s="20">
        <v>331</v>
      </c>
      <c r="J44" s="20">
        <v>1111</v>
      </c>
      <c r="K44" s="20" t="s">
        <v>20</v>
      </c>
      <c r="L44" s="20">
        <v>1</v>
      </c>
      <c r="M44" s="34">
        <v>689040</v>
      </c>
      <c r="N44" s="34">
        <f t="shared" si="6"/>
        <v>689040</v>
      </c>
      <c r="O44" s="20"/>
      <c r="P44" s="20">
        <f t="shared" si="7"/>
        <v>32</v>
      </c>
    </row>
    <row r="45" spans="1:16" hidden="1" x14ac:dyDescent="0.25">
      <c r="A45" s="20" t="s">
        <v>310</v>
      </c>
      <c r="B45" s="61" t="s">
        <v>434</v>
      </c>
      <c r="C45" s="20">
        <f t="shared" si="4"/>
        <v>172</v>
      </c>
      <c r="D45" s="20">
        <f t="shared" si="5"/>
        <v>1</v>
      </c>
      <c r="E45" s="20"/>
      <c r="F45" s="20"/>
      <c r="G45" s="20" t="s">
        <v>791</v>
      </c>
      <c r="H45" s="20" t="s">
        <v>3930</v>
      </c>
      <c r="I45" s="20">
        <v>331</v>
      </c>
      <c r="J45" s="20">
        <v>1111</v>
      </c>
      <c r="K45" s="20" t="s">
        <v>20</v>
      </c>
      <c r="L45" s="20">
        <v>1</v>
      </c>
      <c r="M45" s="34">
        <v>1836000</v>
      </c>
      <c r="N45" s="34">
        <f t="shared" si="6"/>
        <v>1836000</v>
      </c>
      <c r="O45" s="20"/>
      <c r="P45" s="20">
        <f t="shared" si="7"/>
        <v>77</v>
      </c>
    </row>
    <row r="46" spans="1:16" hidden="1" x14ac:dyDescent="0.25">
      <c r="A46" s="20" t="s">
        <v>310</v>
      </c>
      <c r="B46" s="61" t="s">
        <v>495</v>
      </c>
      <c r="C46" s="20">
        <f t="shared" si="4"/>
        <v>173</v>
      </c>
      <c r="D46" s="20">
        <f t="shared" si="5"/>
        <v>1</v>
      </c>
      <c r="E46" s="20"/>
      <c r="F46" s="20"/>
      <c r="G46" s="20" t="s">
        <v>792</v>
      </c>
      <c r="H46" s="20" t="s">
        <v>3931</v>
      </c>
      <c r="I46" s="20">
        <v>331</v>
      </c>
      <c r="J46" s="20">
        <v>1111</v>
      </c>
      <c r="K46" s="20" t="s">
        <v>20</v>
      </c>
      <c r="L46" s="20">
        <v>1</v>
      </c>
      <c r="M46" s="34">
        <v>978048</v>
      </c>
      <c r="N46" s="34">
        <f t="shared" si="6"/>
        <v>978048</v>
      </c>
      <c r="O46" s="20"/>
      <c r="P46" s="20">
        <f t="shared" si="7"/>
        <v>142</v>
      </c>
    </row>
    <row r="47" spans="1:16" hidden="1" x14ac:dyDescent="0.25">
      <c r="A47" s="20" t="s">
        <v>310</v>
      </c>
      <c r="B47" s="61" t="s">
        <v>645</v>
      </c>
      <c r="C47" s="20">
        <f t="shared" si="4"/>
        <v>174</v>
      </c>
      <c r="D47" s="20">
        <f t="shared" si="5"/>
        <v>1</v>
      </c>
      <c r="E47" s="20"/>
      <c r="F47" s="20"/>
      <c r="G47" s="20" t="s">
        <v>793</v>
      </c>
      <c r="H47" s="20" t="s">
        <v>3974</v>
      </c>
      <c r="I47" s="20">
        <v>331</v>
      </c>
      <c r="J47" s="20">
        <v>1111</v>
      </c>
      <c r="K47" s="20" t="s">
        <v>20</v>
      </c>
      <c r="L47" s="20">
        <v>1</v>
      </c>
      <c r="M47" s="34">
        <v>1072160</v>
      </c>
      <c r="N47" s="34">
        <f t="shared" si="6"/>
        <v>1072160</v>
      </c>
      <c r="O47" s="20"/>
      <c r="P47" s="20">
        <f t="shared" si="7"/>
        <v>51</v>
      </c>
    </row>
    <row r="48" spans="1:16" hidden="1" x14ac:dyDescent="0.25">
      <c r="A48" s="20" t="s">
        <v>310</v>
      </c>
      <c r="B48" s="61" t="s">
        <v>711</v>
      </c>
      <c r="C48" s="20">
        <f t="shared" si="4"/>
        <v>175</v>
      </c>
      <c r="D48" s="20">
        <f t="shared" si="5"/>
        <v>1</v>
      </c>
      <c r="E48" s="20"/>
      <c r="F48" s="20"/>
      <c r="G48" s="20" t="s">
        <v>25</v>
      </c>
      <c r="H48" s="20" t="s">
        <v>3932</v>
      </c>
      <c r="I48" s="20">
        <v>331</v>
      </c>
      <c r="J48" s="20">
        <v>1111</v>
      </c>
      <c r="K48" s="20" t="s">
        <v>20</v>
      </c>
      <c r="L48" s="20">
        <v>1</v>
      </c>
      <c r="M48" s="34">
        <v>1034553</v>
      </c>
      <c r="N48" s="34">
        <f t="shared" si="6"/>
        <v>1034553</v>
      </c>
      <c r="O48" s="20"/>
      <c r="P48" s="20">
        <f t="shared" si="7"/>
        <v>169</v>
      </c>
    </row>
    <row r="49" spans="1:16" hidden="1" x14ac:dyDescent="0.25">
      <c r="A49" s="20" t="s">
        <v>310</v>
      </c>
      <c r="B49" s="61" t="s">
        <v>544</v>
      </c>
      <c r="C49" s="20">
        <f t="shared" si="4"/>
        <v>176</v>
      </c>
      <c r="D49" s="20">
        <f t="shared" si="5"/>
        <v>1</v>
      </c>
      <c r="E49" s="20"/>
      <c r="F49" s="20"/>
      <c r="G49" s="20" t="s">
        <v>293</v>
      </c>
      <c r="H49" s="20" t="s">
        <v>3975</v>
      </c>
      <c r="I49" s="20">
        <v>331</v>
      </c>
      <c r="J49" s="20">
        <v>1111</v>
      </c>
      <c r="K49" s="20" t="s">
        <v>20</v>
      </c>
      <c r="L49" s="20">
        <v>1</v>
      </c>
      <c r="M49" s="34">
        <v>889320</v>
      </c>
      <c r="N49" s="34">
        <f t="shared" si="6"/>
        <v>889320</v>
      </c>
      <c r="O49" s="20"/>
      <c r="P49" s="20">
        <f t="shared" si="7"/>
        <v>52</v>
      </c>
    </row>
    <row r="50" spans="1:16" hidden="1" x14ac:dyDescent="0.25">
      <c r="A50" s="20" t="s">
        <v>310</v>
      </c>
      <c r="B50" s="61" t="s">
        <v>438</v>
      </c>
      <c r="C50" s="20">
        <f t="shared" si="4"/>
        <v>177</v>
      </c>
      <c r="D50" s="20">
        <f t="shared" si="5"/>
        <v>1</v>
      </c>
      <c r="E50" s="20"/>
      <c r="F50" s="20"/>
      <c r="G50" s="20" t="s">
        <v>35</v>
      </c>
      <c r="H50" s="20" t="s">
        <v>3933</v>
      </c>
      <c r="I50" s="20">
        <v>331</v>
      </c>
      <c r="J50" s="20">
        <v>1111</v>
      </c>
      <c r="K50" s="20" t="s">
        <v>20</v>
      </c>
      <c r="L50" s="20">
        <v>1</v>
      </c>
      <c r="M50" s="34">
        <v>2160000</v>
      </c>
      <c r="N50" s="34">
        <f t="shared" si="6"/>
        <v>2160000</v>
      </c>
      <c r="O50" s="20"/>
      <c r="P50" s="20">
        <f t="shared" si="7"/>
        <v>52</v>
      </c>
    </row>
    <row r="51" spans="1:16" hidden="1" x14ac:dyDescent="0.25">
      <c r="A51" s="20" t="s">
        <v>310</v>
      </c>
      <c r="B51" s="61" t="s">
        <v>438</v>
      </c>
      <c r="C51" s="20">
        <f t="shared" si="4"/>
        <v>178</v>
      </c>
      <c r="D51" s="20">
        <f t="shared" si="5"/>
        <v>1</v>
      </c>
      <c r="E51" s="20"/>
      <c r="F51" s="20"/>
      <c r="G51" s="20" t="s">
        <v>35</v>
      </c>
      <c r="H51" s="20" t="s">
        <v>3934</v>
      </c>
      <c r="I51" s="20">
        <v>331</v>
      </c>
      <c r="J51" s="20">
        <v>1111</v>
      </c>
      <c r="K51" s="20" t="s">
        <v>20</v>
      </c>
      <c r="L51" s="20">
        <v>1</v>
      </c>
      <c r="M51" s="34">
        <v>2160000</v>
      </c>
      <c r="N51" s="34">
        <f t="shared" si="6"/>
        <v>2160000</v>
      </c>
      <c r="O51" s="20"/>
      <c r="P51" s="20">
        <f t="shared" si="7"/>
        <v>52</v>
      </c>
    </row>
    <row r="52" spans="1:16" hidden="1" x14ac:dyDescent="0.25">
      <c r="A52" s="20" t="s">
        <v>310</v>
      </c>
      <c r="B52" s="61" t="s">
        <v>441</v>
      </c>
      <c r="C52" s="20">
        <f t="shared" si="4"/>
        <v>179</v>
      </c>
      <c r="D52" s="20">
        <f t="shared" si="5"/>
        <v>1</v>
      </c>
      <c r="E52" s="20"/>
      <c r="F52" s="20"/>
      <c r="G52" s="20" t="s">
        <v>792</v>
      </c>
      <c r="H52" s="20" t="s">
        <v>3935</v>
      </c>
      <c r="I52" s="20">
        <v>331</v>
      </c>
      <c r="J52" s="20">
        <v>1111</v>
      </c>
      <c r="K52" s="20" t="s">
        <v>20</v>
      </c>
      <c r="L52" s="20">
        <v>1</v>
      </c>
      <c r="M52" s="34">
        <v>1031400</v>
      </c>
      <c r="N52" s="34">
        <f t="shared" si="6"/>
        <v>1031400</v>
      </c>
      <c r="O52" s="20"/>
      <c r="P52" s="20">
        <f t="shared" si="7"/>
        <v>114</v>
      </c>
    </row>
    <row r="53" spans="1:16" hidden="1" x14ac:dyDescent="0.25">
      <c r="A53" s="20" t="s">
        <v>310</v>
      </c>
      <c r="B53" s="61" t="s">
        <v>503</v>
      </c>
      <c r="C53" s="20">
        <f t="shared" si="4"/>
        <v>180</v>
      </c>
      <c r="D53" s="20">
        <f t="shared" si="5"/>
        <v>1</v>
      </c>
      <c r="E53" s="20"/>
      <c r="F53" s="20"/>
      <c r="G53" s="20" t="s">
        <v>794</v>
      </c>
      <c r="H53" s="20" t="s">
        <v>3936</v>
      </c>
      <c r="I53" s="20">
        <v>331</v>
      </c>
      <c r="J53" s="20">
        <v>1111</v>
      </c>
      <c r="K53" s="20" t="s">
        <v>20</v>
      </c>
      <c r="L53" s="20">
        <v>1</v>
      </c>
      <c r="M53" s="34">
        <v>3325000</v>
      </c>
      <c r="N53" s="34">
        <f t="shared" si="6"/>
        <v>3325000</v>
      </c>
      <c r="O53" s="20"/>
      <c r="P53" s="20">
        <f t="shared" si="7"/>
        <v>47</v>
      </c>
    </row>
    <row r="54" spans="1:16" hidden="1" x14ac:dyDescent="0.25">
      <c r="A54" s="20" t="s">
        <v>310</v>
      </c>
      <c r="B54" s="61" t="s">
        <v>551</v>
      </c>
      <c r="C54" s="20">
        <f t="shared" si="4"/>
        <v>181</v>
      </c>
      <c r="D54" s="20">
        <f t="shared" si="5"/>
        <v>1</v>
      </c>
      <c r="E54" s="20"/>
      <c r="F54" s="20"/>
      <c r="G54" s="20" t="s">
        <v>35</v>
      </c>
      <c r="H54" s="20" t="s">
        <v>3937</v>
      </c>
      <c r="I54" s="20">
        <v>331</v>
      </c>
      <c r="J54" s="20">
        <v>1111</v>
      </c>
      <c r="K54" s="20" t="s">
        <v>20</v>
      </c>
      <c r="L54" s="20">
        <v>1</v>
      </c>
      <c r="M54" s="34">
        <v>2160000</v>
      </c>
      <c r="N54" s="34">
        <f t="shared" si="6"/>
        <v>2160000</v>
      </c>
      <c r="O54" s="20"/>
      <c r="P54" s="20">
        <f t="shared" si="7"/>
        <v>52</v>
      </c>
    </row>
    <row r="55" spans="1:16" hidden="1" x14ac:dyDescent="0.25">
      <c r="A55" s="20" t="s">
        <v>310</v>
      </c>
      <c r="B55" s="61" t="s">
        <v>551</v>
      </c>
      <c r="C55" s="20">
        <f t="shared" si="4"/>
        <v>182</v>
      </c>
      <c r="D55" s="20">
        <f t="shared" si="5"/>
        <v>1</v>
      </c>
      <c r="E55" s="20"/>
      <c r="F55" s="20"/>
      <c r="G55" s="20" t="s">
        <v>233</v>
      </c>
      <c r="H55" s="20" t="s">
        <v>3938</v>
      </c>
      <c r="I55" s="20">
        <v>331</v>
      </c>
      <c r="J55" s="20">
        <v>1111</v>
      </c>
      <c r="K55" s="20" t="s">
        <v>20</v>
      </c>
      <c r="L55" s="20">
        <v>1</v>
      </c>
      <c r="M55" s="34">
        <v>213611</v>
      </c>
      <c r="N55" s="34">
        <f t="shared" si="6"/>
        <v>213611</v>
      </c>
      <c r="O55" s="20"/>
      <c r="P55" s="20">
        <f t="shared" si="7"/>
        <v>32</v>
      </c>
    </row>
    <row r="56" spans="1:16" hidden="1" x14ac:dyDescent="0.25">
      <c r="A56" s="20" t="s">
        <v>310</v>
      </c>
      <c r="B56" s="61" t="s">
        <v>551</v>
      </c>
      <c r="C56" s="20">
        <f t="shared" si="4"/>
        <v>183</v>
      </c>
      <c r="D56" s="20">
        <f t="shared" si="5"/>
        <v>1</v>
      </c>
      <c r="E56" s="20"/>
      <c r="F56" s="20"/>
      <c r="G56" s="20" t="s">
        <v>233</v>
      </c>
      <c r="H56" s="20" t="s">
        <v>3939</v>
      </c>
      <c r="I56" s="20">
        <v>331</v>
      </c>
      <c r="J56" s="20">
        <v>1111</v>
      </c>
      <c r="K56" s="20" t="s">
        <v>20</v>
      </c>
      <c r="L56" s="20">
        <v>1</v>
      </c>
      <c r="M56" s="34">
        <v>123148</v>
      </c>
      <c r="N56" s="34">
        <f t="shared" si="6"/>
        <v>123148</v>
      </c>
      <c r="O56" s="20"/>
      <c r="P56" s="20">
        <f t="shared" si="7"/>
        <v>32</v>
      </c>
    </row>
    <row r="57" spans="1:16" hidden="1" x14ac:dyDescent="0.25">
      <c r="A57" s="20" t="s">
        <v>310</v>
      </c>
      <c r="B57" s="61" t="s">
        <v>555</v>
      </c>
      <c r="C57" s="20">
        <f t="shared" si="4"/>
        <v>184</v>
      </c>
      <c r="D57" s="20">
        <f t="shared" si="5"/>
        <v>1</v>
      </c>
      <c r="E57" s="20"/>
      <c r="F57" s="20"/>
      <c r="G57" s="20" t="s">
        <v>795</v>
      </c>
      <c r="H57" s="20" t="s">
        <v>3940</v>
      </c>
      <c r="I57" s="20">
        <v>331</v>
      </c>
      <c r="J57" s="20">
        <v>1111</v>
      </c>
      <c r="K57" s="20" t="s">
        <v>20</v>
      </c>
      <c r="L57" s="20">
        <v>1</v>
      </c>
      <c r="M57" s="34">
        <v>1652000</v>
      </c>
      <c r="N57" s="34">
        <f t="shared" si="6"/>
        <v>1652000</v>
      </c>
      <c r="O57" s="20"/>
      <c r="P57" s="20">
        <f t="shared" si="7"/>
        <v>51</v>
      </c>
    </row>
    <row r="58" spans="1:16" hidden="1" x14ac:dyDescent="0.25">
      <c r="A58" s="20" t="s">
        <v>310</v>
      </c>
      <c r="B58" s="61" t="s">
        <v>557</v>
      </c>
      <c r="C58" s="20">
        <f t="shared" si="4"/>
        <v>185</v>
      </c>
      <c r="D58" s="20">
        <f t="shared" si="5"/>
        <v>1</v>
      </c>
      <c r="E58" s="20"/>
      <c r="F58" s="20"/>
      <c r="G58" s="20" t="s">
        <v>293</v>
      </c>
      <c r="H58" s="20" t="s">
        <v>3976</v>
      </c>
      <c r="I58" s="20">
        <v>331</v>
      </c>
      <c r="J58" s="20">
        <v>1111</v>
      </c>
      <c r="K58" s="20" t="s">
        <v>20</v>
      </c>
      <c r="L58" s="20">
        <v>1</v>
      </c>
      <c r="M58" s="34">
        <v>728700</v>
      </c>
      <c r="N58" s="34">
        <f t="shared" si="6"/>
        <v>728700</v>
      </c>
      <c r="O58" s="20"/>
      <c r="P58" s="20">
        <f t="shared" si="7"/>
        <v>53</v>
      </c>
    </row>
    <row r="59" spans="1:16" hidden="1" x14ac:dyDescent="0.25">
      <c r="A59" s="20" t="s">
        <v>18</v>
      </c>
      <c r="B59" s="61" t="s">
        <v>470</v>
      </c>
      <c r="C59" s="20">
        <f t="shared" si="4"/>
        <v>186</v>
      </c>
      <c r="D59" s="20">
        <f t="shared" si="5"/>
        <v>1</v>
      </c>
      <c r="E59" s="20"/>
      <c r="F59" s="20"/>
      <c r="G59" s="20" t="s">
        <v>233</v>
      </c>
      <c r="H59" s="20" t="s">
        <v>797</v>
      </c>
      <c r="I59" s="20">
        <v>64277</v>
      </c>
      <c r="J59" s="20">
        <v>331</v>
      </c>
      <c r="K59" s="20" t="s">
        <v>20</v>
      </c>
      <c r="L59" s="20">
        <v>1</v>
      </c>
      <c r="M59" s="34">
        <v>139442</v>
      </c>
      <c r="N59" s="34">
        <f t="shared" si="6"/>
        <v>139442</v>
      </c>
      <c r="O59" s="20"/>
      <c r="P59" s="20">
        <f t="shared" si="7"/>
        <v>19</v>
      </c>
    </row>
    <row r="60" spans="1:16" hidden="1" x14ac:dyDescent="0.25">
      <c r="A60" s="20" t="s">
        <v>18</v>
      </c>
      <c r="B60" s="61" t="s">
        <v>470</v>
      </c>
      <c r="C60" s="20">
        <f t="shared" si="4"/>
        <v>186</v>
      </c>
      <c r="D60" s="20">
        <f t="shared" si="5"/>
        <v>0</v>
      </c>
      <c r="E60" s="20"/>
      <c r="F60" s="20"/>
      <c r="G60" s="20" t="s">
        <v>233</v>
      </c>
      <c r="H60" s="20" t="s">
        <v>797</v>
      </c>
      <c r="I60" s="20">
        <v>1331</v>
      </c>
      <c r="J60" s="20">
        <v>331</v>
      </c>
      <c r="K60" s="20" t="s">
        <v>20</v>
      </c>
      <c r="L60" s="20">
        <v>1</v>
      </c>
      <c r="M60" s="34">
        <v>0</v>
      </c>
      <c r="N60" s="34">
        <f t="shared" si="6"/>
        <v>0</v>
      </c>
      <c r="O60" s="20"/>
      <c r="P60" s="20">
        <f t="shared" si="7"/>
        <v>19</v>
      </c>
    </row>
    <row r="61" spans="1:16" hidden="1" x14ac:dyDescent="0.25">
      <c r="A61" s="20" t="s">
        <v>18</v>
      </c>
      <c r="B61" s="61" t="s">
        <v>470</v>
      </c>
      <c r="C61" s="20">
        <f t="shared" si="4"/>
        <v>187</v>
      </c>
      <c r="D61" s="20">
        <f t="shared" si="5"/>
        <v>1</v>
      </c>
      <c r="E61" s="20"/>
      <c r="F61" s="20"/>
      <c r="G61" s="20" t="s">
        <v>233</v>
      </c>
      <c r="H61" s="20" t="s">
        <v>796</v>
      </c>
      <c r="I61" s="20">
        <v>64277</v>
      </c>
      <c r="J61" s="20">
        <v>331</v>
      </c>
      <c r="K61" s="20" t="s">
        <v>20</v>
      </c>
      <c r="L61" s="20">
        <v>1</v>
      </c>
      <c r="M61" s="34">
        <v>267350</v>
      </c>
      <c r="N61" s="34">
        <f t="shared" si="6"/>
        <v>267350</v>
      </c>
      <c r="O61" s="20"/>
      <c r="P61" s="20">
        <f t="shared" si="7"/>
        <v>19</v>
      </c>
    </row>
    <row r="62" spans="1:16" hidden="1" x14ac:dyDescent="0.25">
      <c r="A62" s="20" t="s">
        <v>18</v>
      </c>
      <c r="B62" s="61" t="s">
        <v>470</v>
      </c>
      <c r="C62" s="20">
        <f t="shared" si="4"/>
        <v>187</v>
      </c>
      <c r="D62" s="20">
        <f t="shared" si="5"/>
        <v>0</v>
      </c>
      <c r="E62" s="20"/>
      <c r="F62" s="20"/>
      <c r="G62" s="20" t="s">
        <v>233</v>
      </c>
      <c r="H62" s="20" t="s">
        <v>796</v>
      </c>
      <c r="I62" s="20">
        <v>1331</v>
      </c>
      <c r="J62" s="20">
        <v>331</v>
      </c>
      <c r="K62" s="20" t="s">
        <v>20</v>
      </c>
      <c r="L62" s="20">
        <v>1</v>
      </c>
      <c r="M62" s="34">
        <v>0</v>
      </c>
      <c r="N62" s="34">
        <f t="shared" si="6"/>
        <v>0</v>
      </c>
      <c r="O62" s="20"/>
      <c r="P62" s="20">
        <f t="shared" si="7"/>
        <v>19</v>
      </c>
    </row>
    <row r="63" spans="1:16" hidden="1" x14ac:dyDescent="0.25">
      <c r="A63" s="20" t="s">
        <v>18</v>
      </c>
      <c r="B63" s="61" t="s">
        <v>493</v>
      </c>
      <c r="C63" s="20">
        <f t="shared" si="4"/>
        <v>188</v>
      </c>
      <c r="D63" s="20">
        <f t="shared" si="5"/>
        <v>1</v>
      </c>
      <c r="E63" s="20"/>
      <c r="F63" s="20"/>
      <c r="G63" s="20" t="s">
        <v>68</v>
      </c>
      <c r="H63" s="20" t="s">
        <v>810</v>
      </c>
      <c r="I63" s="20">
        <v>131</v>
      </c>
      <c r="J63" s="20">
        <v>5113</v>
      </c>
      <c r="K63" s="20" t="s">
        <v>20</v>
      </c>
      <c r="L63" s="20">
        <v>1</v>
      </c>
      <c r="M63" s="34">
        <v>8888889</v>
      </c>
      <c r="N63" s="34">
        <f t="shared" si="6"/>
        <v>8888889</v>
      </c>
      <c r="O63" s="20"/>
      <c r="P63" s="20">
        <f t="shared" si="7"/>
        <v>146</v>
      </c>
    </row>
    <row r="64" spans="1:16" x14ac:dyDescent="0.25">
      <c r="A64" s="20" t="s">
        <v>18</v>
      </c>
      <c r="B64" s="61" t="s">
        <v>493</v>
      </c>
      <c r="C64" s="20">
        <f t="shared" si="4"/>
        <v>189</v>
      </c>
      <c r="D64" s="20">
        <f t="shared" si="5"/>
        <v>1</v>
      </c>
      <c r="E64" s="20"/>
      <c r="F64" s="20"/>
      <c r="G64" s="32" t="s">
        <v>68</v>
      </c>
      <c r="H64" s="20" t="s">
        <v>3941</v>
      </c>
      <c r="I64" s="20">
        <v>333821</v>
      </c>
      <c r="J64" s="20">
        <v>131</v>
      </c>
      <c r="K64" s="20" t="s">
        <v>20</v>
      </c>
      <c r="L64" s="20">
        <v>1</v>
      </c>
      <c r="M64" s="34">
        <v>88889</v>
      </c>
      <c r="N64" s="34">
        <f t="shared" si="6"/>
        <v>88889</v>
      </c>
      <c r="O64" s="20"/>
      <c r="P64" s="20">
        <f t="shared" si="7"/>
        <v>162</v>
      </c>
    </row>
    <row r="65" spans="1:16" hidden="1" x14ac:dyDescent="0.25">
      <c r="A65" s="20" t="s">
        <v>18</v>
      </c>
      <c r="B65" s="61" t="s">
        <v>434</v>
      </c>
      <c r="C65" s="20">
        <f t="shared" si="4"/>
        <v>190</v>
      </c>
      <c r="D65" s="20">
        <f t="shared" si="5"/>
        <v>1</v>
      </c>
      <c r="E65" s="20"/>
      <c r="F65" s="20"/>
      <c r="G65" s="20" t="s">
        <v>292</v>
      </c>
      <c r="H65" s="20" t="s">
        <v>799</v>
      </c>
      <c r="I65" s="20">
        <v>64277</v>
      </c>
      <c r="J65" s="20">
        <v>331</v>
      </c>
      <c r="K65" s="20" t="s">
        <v>20</v>
      </c>
      <c r="L65" s="20">
        <v>1</v>
      </c>
      <c r="M65" s="34">
        <v>638000</v>
      </c>
      <c r="N65" s="34">
        <f t="shared" si="6"/>
        <v>638000</v>
      </c>
      <c r="O65" s="20"/>
      <c r="P65" s="20">
        <f t="shared" si="7"/>
        <v>21</v>
      </c>
    </row>
    <row r="66" spans="1:16" hidden="1" x14ac:dyDescent="0.25">
      <c r="A66" s="20" t="s">
        <v>18</v>
      </c>
      <c r="B66" s="61" t="s">
        <v>434</v>
      </c>
      <c r="C66" s="20">
        <f t="shared" si="4"/>
        <v>190</v>
      </c>
      <c r="D66" s="20">
        <f t="shared" si="5"/>
        <v>0</v>
      </c>
      <c r="E66" s="20"/>
      <c r="F66" s="20"/>
      <c r="G66" s="20" t="s">
        <v>292</v>
      </c>
      <c r="H66" s="20" t="s">
        <v>799</v>
      </c>
      <c r="I66" s="20">
        <v>1331</v>
      </c>
      <c r="J66" s="20">
        <v>331</v>
      </c>
      <c r="K66" s="20" t="s">
        <v>20</v>
      </c>
      <c r="L66" s="20">
        <v>1</v>
      </c>
      <c r="M66" s="34">
        <v>51040</v>
      </c>
      <c r="N66" s="34">
        <f t="shared" si="6"/>
        <v>51040</v>
      </c>
      <c r="O66" s="20"/>
      <c r="P66" s="20">
        <f t="shared" si="7"/>
        <v>21</v>
      </c>
    </row>
    <row r="67" spans="1:16" hidden="1" x14ac:dyDescent="0.25">
      <c r="A67" s="20" t="s">
        <v>18</v>
      </c>
      <c r="B67" s="61" t="s">
        <v>434</v>
      </c>
      <c r="C67" s="20">
        <f t="shared" si="4"/>
        <v>191</v>
      </c>
      <c r="D67" s="20">
        <f t="shared" si="5"/>
        <v>1</v>
      </c>
      <c r="E67" s="20"/>
      <c r="F67" s="20"/>
      <c r="G67" s="20" t="s">
        <v>791</v>
      </c>
      <c r="H67" s="20" t="s">
        <v>798</v>
      </c>
      <c r="I67" s="20">
        <v>64277</v>
      </c>
      <c r="J67" s="20">
        <v>331</v>
      </c>
      <c r="K67" s="20" t="s">
        <v>20</v>
      </c>
      <c r="L67" s="20">
        <v>1</v>
      </c>
      <c r="M67" s="34">
        <v>1700000</v>
      </c>
      <c r="N67" s="34">
        <f t="shared" si="6"/>
        <v>1700000</v>
      </c>
      <c r="O67" s="20"/>
      <c r="P67" s="20">
        <f t="shared" si="7"/>
        <v>66</v>
      </c>
    </row>
    <row r="68" spans="1:16" hidden="1" x14ac:dyDescent="0.25">
      <c r="A68" s="20" t="s">
        <v>18</v>
      </c>
      <c r="B68" s="61" t="s">
        <v>434</v>
      </c>
      <c r="C68" s="20">
        <f t="shared" ref="C68:C99" si="8">C67+D68</f>
        <v>191</v>
      </c>
      <c r="D68" s="20">
        <f t="shared" ref="D68:D99" si="9">IF(H68=H67,0,1)</f>
        <v>0</v>
      </c>
      <c r="E68" s="20"/>
      <c r="F68" s="20"/>
      <c r="G68" s="20" t="s">
        <v>791</v>
      </c>
      <c r="H68" s="20" t="s">
        <v>798</v>
      </c>
      <c r="I68" s="20">
        <v>1331</v>
      </c>
      <c r="J68" s="20">
        <v>331</v>
      </c>
      <c r="K68" s="20" t="s">
        <v>20</v>
      </c>
      <c r="L68" s="20">
        <v>1</v>
      </c>
      <c r="M68" s="34">
        <v>136000</v>
      </c>
      <c r="N68" s="34">
        <f t="shared" ref="N68:N99" si="10">L68*M68</f>
        <v>136000</v>
      </c>
      <c r="O68" s="20"/>
      <c r="P68" s="20">
        <f t="shared" ref="P68:P99" si="11">LEN(H68)</f>
        <v>66</v>
      </c>
    </row>
    <row r="69" spans="1:16" hidden="1" x14ac:dyDescent="0.25">
      <c r="A69" s="20" t="s">
        <v>18</v>
      </c>
      <c r="B69" s="61" t="s">
        <v>534</v>
      </c>
      <c r="C69" s="20">
        <f t="shared" si="8"/>
        <v>192</v>
      </c>
      <c r="D69" s="20">
        <f t="shared" si="9"/>
        <v>1</v>
      </c>
      <c r="E69" s="20"/>
      <c r="F69" s="20"/>
      <c r="G69" s="32" t="s">
        <v>714</v>
      </c>
      <c r="H69" s="20" t="s">
        <v>811</v>
      </c>
      <c r="I69" s="20">
        <v>131</v>
      </c>
      <c r="J69" s="20">
        <v>5113</v>
      </c>
      <c r="K69" s="20" t="s">
        <v>20</v>
      </c>
      <c r="L69" s="20">
        <v>1</v>
      </c>
      <c r="M69" s="34">
        <v>7777778</v>
      </c>
      <c r="N69" s="34">
        <f t="shared" si="10"/>
        <v>7777778</v>
      </c>
      <c r="O69" s="20"/>
      <c r="P69" s="20">
        <f t="shared" si="11"/>
        <v>141</v>
      </c>
    </row>
    <row r="70" spans="1:16" x14ac:dyDescent="0.25">
      <c r="A70" s="20" t="s">
        <v>18</v>
      </c>
      <c r="B70" s="61" t="s">
        <v>534</v>
      </c>
      <c r="C70" s="20">
        <f t="shared" si="8"/>
        <v>193</v>
      </c>
      <c r="D70" s="20">
        <f t="shared" si="9"/>
        <v>1</v>
      </c>
      <c r="E70" s="20"/>
      <c r="F70" s="20"/>
      <c r="G70" s="32" t="s">
        <v>714</v>
      </c>
      <c r="H70" s="20" t="s">
        <v>3942</v>
      </c>
      <c r="I70" s="20">
        <v>333821</v>
      </c>
      <c r="J70" s="20">
        <v>131</v>
      </c>
      <c r="K70" s="20" t="s">
        <v>20</v>
      </c>
      <c r="L70" s="20">
        <v>1</v>
      </c>
      <c r="M70" s="34">
        <v>77778</v>
      </c>
      <c r="N70" s="34">
        <f t="shared" si="10"/>
        <v>77778</v>
      </c>
      <c r="O70" s="20"/>
      <c r="P70" s="20">
        <f t="shared" si="11"/>
        <v>157</v>
      </c>
    </row>
    <row r="71" spans="1:16" hidden="1" x14ac:dyDescent="0.25">
      <c r="A71" s="20" t="s">
        <v>18</v>
      </c>
      <c r="B71" s="61" t="s">
        <v>535</v>
      </c>
      <c r="C71" s="20">
        <f t="shared" si="8"/>
        <v>194</v>
      </c>
      <c r="D71" s="20">
        <f t="shared" si="9"/>
        <v>1</v>
      </c>
      <c r="E71" s="20"/>
      <c r="F71" s="20"/>
      <c r="G71" s="32" t="s">
        <v>82</v>
      </c>
      <c r="H71" s="20" t="s">
        <v>812</v>
      </c>
      <c r="I71" s="20">
        <v>131</v>
      </c>
      <c r="J71" s="20">
        <v>5113</v>
      </c>
      <c r="K71" s="20" t="s">
        <v>20</v>
      </c>
      <c r="L71" s="20">
        <v>1</v>
      </c>
      <c r="M71" s="34">
        <v>11111111</v>
      </c>
      <c r="N71" s="34">
        <f t="shared" si="10"/>
        <v>11111111</v>
      </c>
      <c r="O71" s="20"/>
      <c r="P71" s="20">
        <f t="shared" si="11"/>
        <v>100</v>
      </c>
    </row>
    <row r="72" spans="1:16" x14ac:dyDescent="0.25">
      <c r="A72" s="20" t="s">
        <v>18</v>
      </c>
      <c r="B72" s="61" t="s">
        <v>535</v>
      </c>
      <c r="C72" s="20">
        <f t="shared" si="8"/>
        <v>195</v>
      </c>
      <c r="D72" s="20">
        <f t="shared" si="9"/>
        <v>1</v>
      </c>
      <c r="E72" s="20"/>
      <c r="F72" s="20"/>
      <c r="G72" s="32" t="s">
        <v>82</v>
      </c>
      <c r="H72" s="20" t="s">
        <v>3943</v>
      </c>
      <c r="I72" s="20">
        <v>333821</v>
      </c>
      <c r="J72" s="20">
        <v>131</v>
      </c>
      <c r="K72" s="20" t="s">
        <v>20</v>
      </c>
      <c r="L72" s="20">
        <v>1</v>
      </c>
      <c r="M72" s="34">
        <v>111111</v>
      </c>
      <c r="N72" s="34">
        <f t="shared" si="10"/>
        <v>111111</v>
      </c>
      <c r="O72" s="20"/>
      <c r="P72" s="20">
        <f t="shared" si="11"/>
        <v>116</v>
      </c>
    </row>
    <row r="73" spans="1:16" hidden="1" x14ac:dyDescent="0.25">
      <c r="A73" s="20" t="s">
        <v>18</v>
      </c>
      <c r="B73" s="61" t="s">
        <v>494</v>
      </c>
      <c r="C73" s="20">
        <f t="shared" si="8"/>
        <v>196</v>
      </c>
      <c r="D73" s="20">
        <f t="shared" si="9"/>
        <v>1</v>
      </c>
      <c r="E73" s="20"/>
      <c r="F73" s="20"/>
      <c r="G73" s="32" t="s">
        <v>75</v>
      </c>
      <c r="H73" s="20" t="s">
        <v>813</v>
      </c>
      <c r="I73" s="20">
        <v>131</v>
      </c>
      <c r="J73" s="20">
        <v>5113</v>
      </c>
      <c r="K73" s="20" t="s">
        <v>20</v>
      </c>
      <c r="L73" s="20">
        <v>1</v>
      </c>
      <c r="M73" s="34">
        <v>11111111</v>
      </c>
      <c r="N73" s="34">
        <f t="shared" si="10"/>
        <v>11111111</v>
      </c>
      <c r="O73" s="20"/>
      <c r="P73" s="20">
        <f t="shared" si="11"/>
        <v>150</v>
      </c>
    </row>
    <row r="74" spans="1:16" x14ac:dyDescent="0.25">
      <c r="A74" s="20" t="s">
        <v>18</v>
      </c>
      <c r="B74" s="61" t="s">
        <v>494</v>
      </c>
      <c r="C74" s="20">
        <f t="shared" si="8"/>
        <v>197</v>
      </c>
      <c r="D74" s="20">
        <f t="shared" si="9"/>
        <v>1</v>
      </c>
      <c r="E74" s="20"/>
      <c r="F74" s="20"/>
      <c r="G74" s="32" t="s">
        <v>75</v>
      </c>
      <c r="H74" s="20" t="s">
        <v>3944</v>
      </c>
      <c r="I74" s="20">
        <v>333821</v>
      </c>
      <c r="J74" s="20">
        <v>131</v>
      </c>
      <c r="K74" s="20" t="s">
        <v>20</v>
      </c>
      <c r="L74" s="20">
        <v>1</v>
      </c>
      <c r="M74" s="34">
        <v>111111</v>
      </c>
      <c r="N74" s="34">
        <f t="shared" si="10"/>
        <v>111111</v>
      </c>
      <c r="O74" s="20"/>
      <c r="P74" s="20">
        <f t="shared" si="11"/>
        <v>166</v>
      </c>
    </row>
    <row r="75" spans="1:16" hidden="1" x14ac:dyDescent="0.25">
      <c r="A75" s="20" t="s">
        <v>18</v>
      </c>
      <c r="B75" s="61" t="s">
        <v>658</v>
      </c>
      <c r="C75" s="20">
        <f t="shared" si="8"/>
        <v>198</v>
      </c>
      <c r="D75" s="20">
        <f t="shared" si="9"/>
        <v>1</v>
      </c>
      <c r="E75" s="20"/>
      <c r="F75" s="20"/>
      <c r="G75" s="32" t="s">
        <v>56</v>
      </c>
      <c r="H75" s="20" t="s">
        <v>814</v>
      </c>
      <c r="I75" s="20">
        <v>131</v>
      </c>
      <c r="J75" s="20">
        <v>5113</v>
      </c>
      <c r="K75" s="20" t="s">
        <v>20</v>
      </c>
      <c r="L75" s="20">
        <v>1</v>
      </c>
      <c r="M75" s="34">
        <v>9677419</v>
      </c>
      <c r="N75" s="34">
        <f t="shared" si="10"/>
        <v>9677419</v>
      </c>
      <c r="O75" s="20"/>
      <c r="P75" s="20">
        <f t="shared" si="11"/>
        <v>174</v>
      </c>
    </row>
    <row r="76" spans="1:16" x14ac:dyDescent="0.25">
      <c r="A76" s="20" t="s">
        <v>18</v>
      </c>
      <c r="B76" s="61" t="s">
        <v>658</v>
      </c>
      <c r="C76" s="20">
        <f t="shared" si="8"/>
        <v>199</v>
      </c>
      <c r="D76" s="20">
        <f t="shared" si="9"/>
        <v>1</v>
      </c>
      <c r="E76" s="20"/>
      <c r="F76" s="20"/>
      <c r="G76" s="32" t="s">
        <v>56</v>
      </c>
      <c r="H76" s="20" t="s">
        <v>3945</v>
      </c>
      <c r="I76" s="20">
        <v>333821</v>
      </c>
      <c r="J76" s="20">
        <v>131</v>
      </c>
      <c r="K76" s="20" t="s">
        <v>20</v>
      </c>
      <c r="L76" s="20">
        <v>1</v>
      </c>
      <c r="M76" s="34">
        <v>96774</v>
      </c>
      <c r="N76" s="34">
        <f t="shared" si="10"/>
        <v>96774</v>
      </c>
      <c r="O76" s="20"/>
      <c r="P76" s="20">
        <f t="shared" si="11"/>
        <v>190</v>
      </c>
    </row>
    <row r="77" spans="1:16" hidden="1" x14ac:dyDescent="0.25">
      <c r="A77" s="20" t="s">
        <v>18</v>
      </c>
      <c r="B77" s="61" t="s">
        <v>495</v>
      </c>
      <c r="C77" s="20">
        <f t="shared" si="8"/>
        <v>200</v>
      </c>
      <c r="D77" s="20">
        <f t="shared" si="9"/>
        <v>1</v>
      </c>
      <c r="E77" s="20"/>
      <c r="F77" s="20"/>
      <c r="G77" s="20" t="s">
        <v>792</v>
      </c>
      <c r="H77" s="20" t="s">
        <v>800</v>
      </c>
      <c r="I77" s="20">
        <v>64277</v>
      </c>
      <c r="J77" s="20">
        <v>331</v>
      </c>
      <c r="K77" s="20" t="s">
        <v>20</v>
      </c>
      <c r="L77" s="20">
        <v>1</v>
      </c>
      <c r="M77" s="34">
        <v>904500</v>
      </c>
      <c r="N77" s="34">
        <f t="shared" si="10"/>
        <v>904500</v>
      </c>
      <c r="O77" s="20"/>
      <c r="P77" s="20">
        <f t="shared" si="11"/>
        <v>131</v>
      </c>
    </row>
    <row r="78" spans="1:16" hidden="1" x14ac:dyDescent="0.25">
      <c r="A78" s="20" t="s">
        <v>18</v>
      </c>
      <c r="B78" s="61" t="s">
        <v>495</v>
      </c>
      <c r="C78" s="20">
        <f t="shared" si="8"/>
        <v>200</v>
      </c>
      <c r="D78" s="20">
        <f t="shared" si="9"/>
        <v>0</v>
      </c>
      <c r="E78" s="20"/>
      <c r="F78" s="20"/>
      <c r="G78" s="20" t="s">
        <v>792</v>
      </c>
      <c r="H78" s="20" t="s">
        <v>800</v>
      </c>
      <c r="I78" s="20">
        <v>1331</v>
      </c>
      <c r="J78" s="20">
        <v>331</v>
      </c>
      <c r="K78" s="20" t="s">
        <v>20</v>
      </c>
      <c r="L78" s="20">
        <v>1</v>
      </c>
      <c r="M78" s="34">
        <v>73548</v>
      </c>
      <c r="N78" s="34">
        <f t="shared" si="10"/>
        <v>73548</v>
      </c>
      <c r="O78" s="20"/>
      <c r="P78" s="20">
        <f t="shared" si="11"/>
        <v>131</v>
      </c>
    </row>
    <row r="79" spans="1:16" hidden="1" x14ac:dyDescent="0.25">
      <c r="A79" s="20" t="s">
        <v>18</v>
      </c>
      <c r="B79" s="61" t="s">
        <v>645</v>
      </c>
      <c r="C79" s="20">
        <f t="shared" si="8"/>
        <v>201</v>
      </c>
      <c r="D79" s="20">
        <f t="shared" si="9"/>
        <v>1</v>
      </c>
      <c r="E79" s="20"/>
      <c r="F79" s="20"/>
      <c r="G79" s="20" t="s">
        <v>793</v>
      </c>
      <c r="H79" s="20" t="s">
        <v>3977</v>
      </c>
      <c r="I79" s="20">
        <v>64277</v>
      </c>
      <c r="J79" s="20">
        <v>331</v>
      </c>
      <c r="K79" s="20" t="s">
        <v>20</v>
      </c>
      <c r="L79" s="20">
        <v>1</v>
      </c>
      <c r="M79" s="34">
        <v>992000</v>
      </c>
      <c r="N79" s="34">
        <f t="shared" si="10"/>
        <v>992000</v>
      </c>
      <c r="O79" s="20"/>
      <c r="P79" s="20">
        <f t="shared" si="11"/>
        <v>40</v>
      </c>
    </row>
    <row r="80" spans="1:16" hidden="1" x14ac:dyDescent="0.25">
      <c r="A80" s="20" t="s">
        <v>18</v>
      </c>
      <c r="B80" s="61" t="s">
        <v>645</v>
      </c>
      <c r="C80" s="20">
        <f t="shared" si="8"/>
        <v>201</v>
      </c>
      <c r="D80" s="20">
        <f t="shared" si="9"/>
        <v>0</v>
      </c>
      <c r="E80" s="20"/>
      <c r="F80" s="20"/>
      <c r="G80" s="20" t="s">
        <v>793</v>
      </c>
      <c r="H80" s="20" t="s">
        <v>3977</v>
      </c>
      <c r="I80" s="20">
        <v>1331</v>
      </c>
      <c r="J80" s="20">
        <v>331</v>
      </c>
      <c r="K80" s="20" t="s">
        <v>20</v>
      </c>
      <c r="L80" s="20">
        <v>1</v>
      </c>
      <c r="M80" s="34">
        <v>80160</v>
      </c>
      <c r="N80" s="34">
        <f t="shared" si="10"/>
        <v>80160</v>
      </c>
      <c r="O80" s="20"/>
      <c r="P80" s="20">
        <f t="shared" si="11"/>
        <v>40</v>
      </c>
    </row>
    <row r="81" spans="1:28" hidden="1" x14ac:dyDescent="0.25">
      <c r="A81" s="20" t="s">
        <v>18</v>
      </c>
      <c r="B81" s="61" t="s">
        <v>711</v>
      </c>
      <c r="C81" s="20">
        <f t="shared" si="8"/>
        <v>202</v>
      </c>
      <c r="D81" s="20">
        <f t="shared" si="9"/>
        <v>1</v>
      </c>
      <c r="E81" s="20"/>
      <c r="F81" s="20"/>
      <c r="G81" s="20" t="s">
        <v>25</v>
      </c>
      <c r="H81" s="20" t="s">
        <v>801</v>
      </c>
      <c r="I81" s="20">
        <v>64277</v>
      </c>
      <c r="J81" s="20">
        <v>331</v>
      </c>
      <c r="K81" s="20" t="s">
        <v>20</v>
      </c>
      <c r="L81" s="20">
        <v>1</v>
      </c>
      <c r="M81" s="34">
        <v>956999</v>
      </c>
      <c r="N81" s="34">
        <f t="shared" si="10"/>
        <v>956999</v>
      </c>
      <c r="O81" s="20"/>
      <c r="P81" s="20">
        <f t="shared" si="11"/>
        <v>158</v>
      </c>
    </row>
    <row r="82" spans="1:28" hidden="1" x14ac:dyDescent="0.25">
      <c r="A82" s="20" t="s">
        <v>18</v>
      </c>
      <c r="B82" s="61" t="s">
        <v>711</v>
      </c>
      <c r="C82" s="20">
        <f t="shared" si="8"/>
        <v>202</v>
      </c>
      <c r="D82" s="20">
        <f t="shared" si="9"/>
        <v>0</v>
      </c>
      <c r="E82" s="20"/>
      <c r="F82" s="20"/>
      <c r="G82" s="20" t="s">
        <v>25</v>
      </c>
      <c r="H82" s="20" t="s">
        <v>801</v>
      </c>
      <c r="I82" s="20">
        <v>1331</v>
      </c>
      <c r="J82" s="20">
        <v>331</v>
      </c>
      <c r="K82" s="20" t="s">
        <v>20</v>
      </c>
      <c r="L82" s="20">
        <v>1</v>
      </c>
      <c r="M82" s="34">
        <v>77554</v>
      </c>
      <c r="N82" s="34">
        <f t="shared" si="10"/>
        <v>77554</v>
      </c>
      <c r="O82" s="20"/>
      <c r="P82" s="20">
        <f t="shared" si="11"/>
        <v>158</v>
      </c>
    </row>
    <row r="83" spans="1:28" hidden="1" x14ac:dyDescent="0.25">
      <c r="A83" s="20" t="s">
        <v>18</v>
      </c>
      <c r="B83" s="61">
        <v>46053</v>
      </c>
      <c r="C83" s="20">
        <f t="shared" si="8"/>
        <v>203</v>
      </c>
      <c r="D83" s="20">
        <f t="shared" si="9"/>
        <v>1</v>
      </c>
      <c r="E83" s="20"/>
      <c r="F83" s="20"/>
      <c r="G83" s="20" t="s">
        <v>71</v>
      </c>
      <c r="H83" s="20" t="s">
        <v>455</v>
      </c>
      <c r="I83" s="20">
        <v>64271</v>
      </c>
      <c r="J83" s="20">
        <v>3383</v>
      </c>
      <c r="K83" s="20" t="s">
        <v>20</v>
      </c>
      <c r="L83" s="20">
        <v>1</v>
      </c>
      <c r="M83" s="34">
        <v>690300</v>
      </c>
      <c r="N83" s="34">
        <f t="shared" si="10"/>
        <v>690300</v>
      </c>
      <c r="O83" s="20"/>
      <c r="P83" s="20">
        <f t="shared" si="11"/>
        <v>30</v>
      </c>
    </row>
    <row r="84" spans="1:28" hidden="1" x14ac:dyDescent="0.25">
      <c r="A84" s="20" t="s">
        <v>18</v>
      </c>
      <c r="B84" s="61" t="s">
        <v>544</v>
      </c>
      <c r="C84" s="20">
        <f t="shared" si="8"/>
        <v>204</v>
      </c>
      <c r="D84" s="20">
        <f t="shared" si="9"/>
        <v>1</v>
      </c>
      <c r="E84" s="20"/>
      <c r="F84" s="20"/>
      <c r="G84" s="20" t="s">
        <v>293</v>
      </c>
      <c r="H84" s="20" t="s">
        <v>3978</v>
      </c>
      <c r="I84" s="20">
        <v>64277</v>
      </c>
      <c r="J84" s="20">
        <v>331</v>
      </c>
      <c r="K84" s="20" t="s">
        <v>20</v>
      </c>
      <c r="L84" s="20">
        <v>1</v>
      </c>
      <c r="M84" s="34">
        <v>822000</v>
      </c>
      <c r="N84" s="34">
        <f t="shared" si="10"/>
        <v>822000</v>
      </c>
      <c r="O84" s="20"/>
      <c r="P84" s="20">
        <f t="shared" si="11"/>
        <v>41</v>
      </c>
    </row>
    <row r="85" spans="1:28" hidden="1" x14ac:dyDescent="0.25">
      <c r="A85" s="20" t="s">
        <v>18</v>
      </c>
      <c r="B85" s="61" t="s">
        <v>544</v>
      </c>
      <c r="C85" s="20">
        <f t="shared" si="8"/>
        <v>204</v>
      </c>
      <c r="D85" s="20">
        <f t="shared" si="9"/>
        <v>0</v>
      </c>
      <c r="E85" s="20"/>
      <c r="F85" s="20"/>
      <c r="G85" s="20" t="s">
        <v>293</v>
      </c>
      <c r="H85" s="20" t="s">
        <v>3978</v>
      </c>
      <c r="I85" s="20">
        <v>1331</v>
      </c>
      <c r="J85" s="20">
        <v>331</v>
      </c>
      <c r="K85" s="20" t="s">
        <v>20</v>
      </c>
      <c r="L85" s="20">
        <v>1</v>
      </c>
      <c r="M85" s="34">
        <v>67320</v>
      </c>
      <c r="N85" s="34">
        <f t="shared" si="10"/>
        <v>67320</v>
      </c>
      <c r="O85" s="20"/>
      <c r="P85" s="20">
        <f t="shared" si="11"/>
        <v>41</v>
      </c>
    </row>
    <row r="86" spans="1:28" hidden="1" x14ac:dyDescent="0.25">
      <c r="A86" s="20" t="s">
        <v>18</v>
      </c>
      <c r="B86" s="61" t="s">
        <v>437</v>
      </c>
      <c r="C86" s="20">
        <f t="shared" si="8"/>
        <v>205</v>
      </c>
      <c r="D86" s="20">
        <f t="shared" si="9"/>
        <v>1</v>
      </c>
      <c r="E86" s="20"/>
      <c r="F86" s="20"/>
      <c r="G86" s="32" t="s">
        <v>72</v>
      </c>
      <c r="H86" s="20" t="s">
        <v>815</v>
      </c>
      <c r="I86" s="20">
        <v>131</v>
      </c>
      <c r="J86" s="20">
        <v>5113</v>
      </c>
      <c r="K86" s="20" t="s">
        <v>20</v>
      </c>
      <c r="L86" s="20">
        <v>1</v>
      </c>
      <c r="M86" s="34">
        <v>8888889</v>
      </c>
      <c r="N86" s="34">
        <f t="shared" si="10"/>
        <v>8888889</v>
      </c>
      <c r="O86" s="20"/>
      <c r="P86" s="20">
        <f t="shared" si="11"/>
        <v>136</v>
      </c>
    </row>
    <row r="87" spans="1:28" x14ac:dyDescent="0.25">
      <c r="A87" s="20" t="s">
        <v>18</v>
      </c>
      <c r="B87" s="61" t="s">
        <v>437</v>
      </c>
      <c r="C87" s="20">
        <f t="shared" si="8"/>
        <v>206</v>
      </c>
      <c r="D87" s="20">
        <f t="shared" si="9"/>
        <v>1</v>
      </c>
      <c r="E87" s="20"/>
      <c r="F87" s="20"/>
      <c r="G87" s="32" t="s">
        <v>72</v>
      </c>
      <c r="H87" s="20" t="s">
        <v>3946</v>
      </c>
      <c r="I87" s="20">
        <v>333821</v>
      </c>
      <c r="J87" s="20">
        <v>131</v>
      </c>
      <c r="K87" s="20" t="s">
        <v>20</v>
      </c>
      <c r="L87" s="20">
        <v>1</v>
      </c>
      <c r="M87" s="34">
        <v>88889</v>
      </c>
      <c r="N87" s="34">
        <f t="shared" si="10"/>
        <v>88889</v>
      </c>
      <c r="O87" s="20"/>
      <c r="P87" s="20">
        <f t="shared" si="11"/>
        <v>152</v>
      </c>
    </row>
    <row r="88" spans="1:28" hidden="1" x14ac:dyDescent="0.25">
      <c r="A88" s="20" t="s">
        <v>18</v>
      </c>
      <c r="B88" s="61" t="s">
        <v>438</v>
      </c>
      <c r="C88" s="20">
        <f t="shared" si="8"/>
        <v>207</v>
      </c>
      <c r="D88" s="20">
        <f t="shared" si="9"/>
        <v>1</v>
      </c>
      <c r="E88" s="20"/>
      <c r="F88" s="20"/>
      <c r="G88" s="32" t="s">
        <v>716</v>
      </c>
      <c r="H88" s="20" t="s">
        <v>816</v>
      </c>
      <c r="I88" s="20">
        <v>131</v>
      </c>
      <c r="J88" s="20">
        <v>5113</v>
      </c>
      <c r="K88" s="20" t="s">
        <v>20</v>
      </c>
      <c r="L88" s="20">
        <v>1</v>
      </c>
      <c r="M88" s="34">
        <v>8888889</v>
      </c>
      <c r="N88" s="34">
        <f t="shared" si="10"/>
        <v>8888889</v>
      </c>
      <c r="O88" s="20"/>
      <c r="P88" s="20">
        <f t="shared" si="11"/>
        <v>114</v>
      </c>
    </row>
    <row r="89" spans="1:28" x14ac:dyDescent="0.25">
      <c r="A89" s="20" t="s">
        <v>18</v>
      </c>
      <c r="B89" s="61" t="s">
        <v>438</v>
      </c>
      <c r="C89" s="20">
        <f t="shared" si="8"/>
        <v>208</v>
      </c>
      <c r="D89" s="20">
        <f t="shared" si="9"/>
        <v>1</v>
      </c>
      <c r="E89" s="20"/>
      <c r="F89" s="20"/>
      <c r="G89" s="32" t="s">
        <v>716</v>
      </c>
      <c r="H89" s="20" t="s">
        <v>3947</v>
      </c>
      <c r="I89" s="20">
        <v>333821</v>
      </c>
      <c r="J89" s="20">
        <v>131</v>
      </c>
      <c r="K89" s="20" t="s">
        <v>20</v>
      </c>
      <c r="L89" s="20">
        <v>1</v>
      </c>
      <c r="M89" s="34">
        <v>88889</v>
      </c>
      <c r="N89" s="34">
        <f t="shared" si="10"/>
        <v>88889</v>
      </c>
      <c r="O89" s="20"/>
      <c r="P89" s="20">
        <f t="shared" si="11"/>
        <v>130</v>
      </c>
    </row>
    <row r="90" spans="1:28" hidden="1" x14ac:dyDescent="0.25">
      <c r="A90" s="20" t="s">
        <v>18</v>
      </c>
      <c r="B90" s="61" t="s">
        <v>438</v>
      </c>
      <c r="C90" s="20">
        <f t="shared" si="8"/>
        <v>209</v>
      </c>
      <c r="D90" s="20">
        <f t="shared" si="9"/>
        <v>1</v>
      </c>
      <c r="E90" s="20"/>
      <c r="F90" s="20"/>
      <c r="G90" s="20" t="s">
        <v>35</v>
      </c>
      <c r="H90" s="20" t="s">
        <v>803</v>
      </c>
      <c r="I90" s="20">
        <v>64277</v>
      </c>
      <c r="J90" s="20">
        <v>331</v>
      </c>
      <c r="K90" s="20" t="s">
        <v>20</v>
      </c>
      <c r="L90" s="20">
        <v>1</v>
      </c>
      <c r="M90" s="34">
        <v>2000000</v>
      </c>
      <c r="N90" s="34">
        <f t="shared" si="10"/>
        <v>2000000</v>
      </c>
      <c r="O90" s="20"/>
      <c r="P90" s="20">
        <f t="shared" si="11"/>
        <v>41</v>
      </c>
    </row>
    <row r="91" spans="1:28" hidden="1" x14ac:dyDescent="0.25">
      <c r="A91" s="20" t="s">
        <v>18</v>
      </c>
      <c r="B91" s="61" t="s">
        <v>438</v>
      </c>
      <c r="C91" s="20">
        <f t="shared" si="8"/>
        <v>209</v>
      </c>
      <c r="D91" s="20">
        <f t="shared" si="9"/>
        <v>0</v>
      </c>
      <c r="E91" s="20"/>
      <c r="F91" s="20"/>
      <c r="G91" s="20" t="s">
        <v>35</v>
      </c>
      <c r="H91" s="20" t="s">
        <v>803</v>
      </c>
      <c r="I91" s="20">
        <v>1331</v>
      </c>
      <c r="J91" s="20">
        <v>331</v>
      </c>
      <c r="K91" s="20" t="s">
        <v>20</v>
      </c>
      <c r="L91" s="20">
        <v>1</v>
      </c>
      <c r="M91" s="34">
        <v>160000</v>
      </c>
      <c r="N91" s="34">
        <f t="shared" si="10"/>
        <v>160000</v>
      </c>
      <c r="O91" s="20"/>
      <c r="P91" s="20">
        <f t="shared" si="11"/>
        <v>41</v>
      </c>
    </row>
    <row r="92" spans="1:28" s="180" customFormat="1" hidden="1" x14ac:dyDescent="0.25">
      <c r="A92" s="20" t="s">
        <v>18</v>
      </c>
      <c r="B92" s="61" t="s">
        <v>438</v>
      </c>
      <c r="C92" s="20">
        <f t="shared" si="8"/>
        <v>210</v>
      </c>
      <c r="D92" s="20">
        <f t="shared" si="9"/>
        <v>1</v>
      </c>
      <c r="E92" s="20"/>
      <c r="F92" s="20"/>
      <c r="G92" s="20" t="s">
        <v>35</v>
      </c>
      <c r="H92" s="20" t="s">
        <v>802</v>
      </c>
      <c r="I92" s="20">
        <v>64277</v>
      </c>
      <c r="J92" s="20">
        <v>331</v>
      </c>
      <c r="K92" s="20" t="s">
        <v>20</v>
      </c>
      <c r="L92" s="20">
        <v>1</v>
      </c>
      <c r="M92" s="34">
        <v>2000000</v>
      </c>
      <c r="N92" s="34">
        <f t="shared" si="10"/>
        <v>2000000</v>
      </c>
      <c r="O92" s="20"/>
      <c r="P92" s="20">
        <f t="shared" si="11"/>
        <v>41</v>
      </c>
      <c r="R92" s="181"/>
      <c r="S92" s="181"/>
      <c r="T92" s="181"/>
      <c r="U92" s="181"/>
      <c r="V92" s="181"/>
      <c r="W92" s="181"/>
      <c r="X92" s="181"/>
      <c r="Y92" s="181"/>
      <c r="Z92" s="181"/>
      <c r="AA92" s="181"/>
      <c r="AB92" s="181"/>
    </row>
    <row r="93" spans="1:28" hidden="1" x14ac:dyDescent="0.25">
      <c r="A93" s="20" t="s">
        <v>18</v>
      </c>
      <c r="B93" s="61" t="s">
        <v>438</v>
      </c>
      <c r="C93" s="20">
        <f t="shared" si="8"/>
        <v>210</v>
      </c>
      <c r="D93" s="20">
        <f t="shared" si="9"/>
        <v>0</v>
      </c>
      <c r="E93" s="20"/>
      <c r="F93" s="20"/>
      <c r="G93" s="20" t="s">
        <v>35</v>
      </c>
      <c r="H93" s="20" t="s">
        <v>802</v>
      </c>
      <c r="I93" s="20">
        <v>1331</v>
      </c>
      <c r="J93" s="20">
        <v>331</v>
      </c>
      <c r="K93" s="20" t="s">
        <v>20</v>
      </c>
      <c r="L93" s="20">
        <v>1</v>
      </c>
      <c r="M93" s="34">
        <v>160000</v>
      </c>
      <c r="N93" s="34">
        <f t="shared" si="10"/>
        <v>160000</v>
      </c>
      <c r="O93" s="20"/>
      <c r="P93" s="20">
        <f t="shared" si="11"/>
        <v>41</v>
      </c>
    </row>
    <row r="94" spans="1:28" hidden="1" x14ac:dyDescent="0.25">
      <c r="A94" s="20" t="s">
        <v>18</v>
      </c>
      <c r="B94" s="61" t="s">
        <v>660</v>
      </c>
      <c r="C94" s="20">
        <f t="shared" si="8"/>
        <v>211</v>
      </c>
      <c r="D94" s="20">
        <f t="shared" si="9"/>
        <v>1</v>
      </c>
      <c r="E94" s="20"/>
      <c r="F94" s="20"/>
      <c r="G94" s="32" t="s">
        <v>249</v>
      </c>
      <c r="H94" s="20" t="s">
        <v>817</v>
      </c>
      <c r="I94" s="20">
        <v>131</v>
      </c>
      <c r="J94" s="20">
        <v>5113</v>
      </c>
      <c r="K94" s="20" t="s">
        <v>20</v>
      </c>
      <c r="L94" s="20">
        <v>1</v>
      </c>
      <c r="M94" s="34">
        <v>8888889</v>
      </c>
      <c r="N94" s="34">
        <f t="shared" si="10"/>
        <v>8888889</v>
      </c>
      <c r="O94" s="20"/>
      <c r="P94" s="20">
        <f t="shared" si="11"/>
        <v>137</v>
      </c>
    </row>
    <row r="95" spans="1:28" x14ac:dyDescent="0.25">
      <c r="A95" s="20" t="s">
        <v>18</v>
      </c>
      <c r="B95" s="61" t="s">
        <v>660</v>
      </c>
      <c r="C95" s="20">
        <f t="shared" si="8"/>
        <v>212</v>
      </c>
      <c r="D95" s="20">
        <f t="shared" si="9"/>
        <v>1</v>
      </c>
      <c r="E95" s="20"/>
      <c r="F95" s="20"/>
      <c r="G95" s="32" t="s">
        <v>249</v>
      </c>
      <c r="H95" s="20" t="s">
        <v>3948</v>
      </c>
      <c r="I95" s="20">
        <v>333821</v>
      </c>
      <c r="J95" s="20">
        <v>131</v>
      </c>
      <c r="K95" s="20" t="s">
        <v>20</v>
      </c>
      <c r="L95" s="20">
        <v>1</v>
      </c>
      <c r="M95" s="34">
        <v>88889</v>
      </c>
      <c r="N95" s="34">
        <f t="shared" si="10"/>
        <v>88889</v>
      </c>
      <c r="O95" s="20"/>
      <c r="P95" s="20">
        <f t="shared" si="11"/>
        <v>153</v>
      </c>
    </row>
    <row r="96" spans="1:28" hidden="1" x14ac:dyDescent="0.25">
      <c r="A96" s="20" t="s">
        <v>18</v>
      </c>
      <c r="B96" s="61">
        <v>46081</v>
      </c>
      <c r="C96" s="20">
        <f t="shared" si="8"/>
        <v>213</v>
      </c>
      <c r="D96" s="20">
        <f t="shared" si="9"/>
        <v>1</v>
      </c>
      <c r="E96" s="20"/>
      <c r="F96" s="20"/>
      <c r="G96" s="14" t="s">
        <v>71</v>
      </c>
      <c r="H96" s="20" t="s">
        <v>456</v>
      </c>
      <c r="I96" s="12">
        <v>64271</v>
      </c>
      <c r="J96" s="20">
        <v>3383</v>
      </c>
      <c r="K96" s="20" t="s">
        <v>20</v>
      </c>
      <c r="L96" s="20">
        <v>1</v>
      </c>
      <c r="M96" s="34">
        <v>690300</v>
      </c>
      <c r="N96" s="34">
        <f t="shared" si="10"/>
        <v>690300</v>
      </c>
      <c r="O96" s="20"/>
      <c r="P96" s="20">
        <f t="shared" si="11"/>
        <v>30</v>
      </c>
    </row>
    <row r="97" spans="1:16" hidden="1" x14ac:dyDescent="0.25">
      <c r="A97" s="20" t="s">
        <v>18</v>
      </c>
      <c r="B97" s="61" t="s">
        <v>441</v>
      </c>
      <c r="C97" s="20">
        <f t="shared" si="8"/>
        <v>214</v>
      </c>
      <c r="D97" s="20">
        <f t="shared" si="9"/>
        <v>1</v>
      </c>
      <c r="E97" s="20"/>
      <c r="F97" s="20"/>
      <c r="G97" s="20" t="s">
        <v>792</v>
      </c>
      <c r="H97" s="20" t="s">
        <v>804</v>
      </c>
      <c r="I97" s="20">
        <v>64277</v>
      </c>
      <c r="J97" s="20">
        <v>331</v>
      </c>
      <c r="K97" s="20" t="s">
        <v>20</v>
      </c>
      <c r="L97" s="20">
        <v>1</v>
      </c>
      <c r="M97" s="34">
        <v>955000</v>
      </c>
      <c r="N97" s="34">
        <f t="shared" si="10"/>
        <v>955000</v>
      </c>
      <c r="O97" s="20"/>
      <c r="P97" s="20">
        <f t="shared" si="11"/>
        <v>103</v>
      </c>
    </row>
    <row r="98" spans="1:16" hidden="1" x14ac:dyDescent="0.25">
      <c r="A98" s="20" t="s">
        <v>18</v>
      </c>
      <c r="B98" s="61" t="s">
        <v>441</v>
      </c>
      <c r="C98" s="20">
        <f t="shared" si="8"/>
        <v>214</v>
      </c>
      <c r="D98" s="20">
        <f t="shared" si="9"/>
        <v>0</v>
      </c>
      <c r="E98" s="20"/>
      <c r="F98" s="20"/>
      <c r="G98" s="20" t="s">
        <v>792</v>
      </c>
      <c r="H98" s="20" t="s">
        <v>804</v>
      </c>
      <c r="I98" s="20">
        <v>1331</v>
      </c>
      <c r="J98" s="20">
        <v>331</v>
      </c>
      <c r="K98" s="20" t="s">
        <v>20</v>
      </c>
      <c r="L98" s="20">
        <v>1</v>
      </c>
      <c r="M98" s="34">
        <v>76400</v>
      </c>
      <c r="N98" s="34">
        <f t="shared" si="10"/>
        <v>76400</v>
      </c>
      <c r="O98" s="20"/>
      <c r="P98" s="20">
        <f t="shared" si="11"/>
        <v>103</v>
      </c>
    </row>
    <row r="99" spans="1:16" hidden="1" x14ac:dyDescent="0.25">
      <c r="A99" s="20" t="s">
        <v>18</v>
      </c>
      <c r="B99" s="61" t="s">
        <v>502</v>
      </c>
      <c r="C99" s="20">
        <f t="shared" si="8"/>
        <v>215</v>
      </c>
      <c r="D99" s="20">
        <f t="shared" si="9"/>
        <v>1</v>
      </c>
      <c r="E99" s="20"/>
      <c r="F99" s="20"/>
      <c r="G99" s="32" t="s">
        <v>56</v>
      </c>
      <c r="H99" s="20" t="s">
        <v>818</v>
      </c>
      <c r="I99" s="20">
        <v>131</v>
      </c>
      <c r="J99" s="20">
        <v>5113</v>
      </c>
      <c r="K99" s="20" t="s">
        <v>20</v>
      </c>
      <c r="L99" s="20">
        <v>1</v>
      </c>
      <c r="M99" s="34">
        <v>10101010</v>
      </c>
      <c r="N99" s="34">
        <f t="shared" si="10"/>
        <v>10101010</v>
      </c>
      <c r="O99" s="20"/>
      <c r="P99" s="20">
        <f t="shared" si="11"/>
        <v>172</v>
      </c>
    </row>
    <row r="100" spans="1:16" x14ac:dyDescent="0.25">
      <c r="A100" s="20" t="s">
        <v>18</v>
      </c>
      <c r="B100" s="61" t="s">
        <v>502</v>
      </c>
      <c r="C100" s="20">
        <f t="shared" ref="C100:C129" si="12">C99+D100</f>
        <v>216</v>
      </c>
      <c r="D100" s="20">
        <f t="shared" ref="D100:D129" si="13">IF(H100=H99,0,1)</f>
        <v>1</v>
      </c>
      <c r="E100" s="20"/>
      <c r="F100" s="20"/>
      <c r="G100" s="32" t="s">
        <v>56</v>
      </c>
      <c r="H100" s="20" t="s">
        <v>3949</v>
      </c>
      <c r="I100" s="20">
        <v>333821</v>
      </c>
      <c r="J100" s="20">
        <v>131</v>
      </c>
      <c r="K100" s="20" t="s">
        <v>20</v>
      </c>
      <c r="L100" s="20">
        <v>1</v>
      </c>
      <c r="M100" s="34">
        <v>101010</v>
      </c>
      <c r="N100" s="34">
        <f t="shared" ref="N100:N129" si="14">L100*M100</f>
        <v>101010</v>
      </c>
      <c r="O100" s="20"/>
      <c r="P100" s="20">
        <f t="shared" ref="P100:P129" si="15">LEN(H100)</f>
        <v>188</v>
      </c>
    </row>
    <row r="101" spans="1:16" hidden="1" x14ac:dyDescent="0.25">
      <c r="A101" s="20" t="s">
        <v>18</v>
      </c>
      <c r="B101" s="61" t="s">
        <v>478</v>
      </c>
      <c r="C101" s="20">
        <f t="shared" si="12"/>
        <v>217</v>
      </c>
      <c r="D101" s="20">
        <f t="shared" si="13"/>
        <v>1</v>
      </c>
      <c r="E101" s="20"/>
      <c r="F101" s="20"/>
      <c r="G101" s="32" t="s">
        <v>51</v>
      </c>
      <c r="H101" s="20" t="s">
        <v>819</v>
      </c>
      <c r="I101" s="20">
        <v>131</v>
      </c>
      <c r="J101" s="20">
        <v>5113</v>
      </c>
      <c r="K101" s="20" t="s">
        <v>20</v>
      </c>
      <c r="L101" s="20">
        <v>1</v>
      </c>
      <c r="M101" s="34">
        <v>11111111</v>
      </c>
      <c r="N101" s="34">
        <f t="shared" si="14"/>
        <v>11111111</v>
      </c>
      <c r="O101" s="20"/>
      <c r="P101" s="20">
        <f t="shared" si="15"/>
        <v>153</v>
      </c>
    </row>
    <row r="102" spans="1:16" x14ac:dyDescent="0.25">
      <c r="A102" s="20" t="s">
        <v>18</v>
      </c>
      <c r="B102" s="61" t="s">
        <v>478</v>
      </c>
      <c r="C102" s="20">
        <f t="shared" si="12"/>
        <v>218</v>
      </c>
      <c r="D102" s="20">
        <f t="shared" si="13"/>
        <v>1</v>
      </c>
      <c r="E102" s="20"/>
      <c r="F102" s="20"/>
      <c r="G102" s="32" t="s">
        <v>51</v>
      </c>
      <c r="H102" s="20" t="s">
        <v>3950</v>
      </c>
      <c r="I102" s="20">
        <v>333821</v>
      </c>
      <c r="J102" s="20">
        <v>131</v>
      </c>
      <c r="K102" s="20" t="s">
        <v>20</v>
      </c>
      <c r="L102" s="20">
        <v>1</v>
      </c>
      <c r="M102" s="34">
        <v>111111</v>
      </c>
      <c r="N102" s="34">
        <f t="shared" si="14"/>
        <v>111111</v>
      </c>
      <c r="O102" s="20"/>
      <c r="P102" s="20">
        <f t="shared" si="15"/>
        <v>169</v>
      </c>
    </row>
    <row r="103" spans="1:16" hidden="1" x14ac:dyDescent="0.25">
      <c r="A103" s="20" t="s">
        <v>18</v>
      </c>
      <c r="B103" s="61" t="s">
        <v>503</v>
      </c>
      <c r="C103" s="20">
        <f t="shared" si="12"/>
        <v>219</v>
      </c>
      <c r="D103" s="20">
        <f t="shared" si="13"/>
        <v>1</v>
      </c>
      <c r="E103" s="20"/>
      <c r="F103" s="20"/>
      <c r="G103" s="20" t="s">
        <v>794</v>
      </c>
      <c r="H103" s="20" t="s">
        <v>805</v>
      </c>
      <c r="I103" s="20">
        <v>64277</v>
      </c>
      <c r="J103" s="20">
        <v>331</v>
      </c>
      <c r="K103" s="20" t="s">
        <v>20</v>
      </c>
      <c r="L103" s="20">
        <v>1</v>
      </c>
      <c r="M103" s="34">
        <v>2968519</v>
      </c>
      <c r="N103" s="34">
        <f t="shared" si="14"/>
        <v>2968519</v>
      </c>
      <c r="O103" s="20"/>
      <c r="P103" s="20">
        <f t="shared" si="15"/>
        <v>36</v>
      </c>
    </row>
    <row r="104" spans="1:16" hidden="1" x14ac:dyDescent="0.25">
      <c r="A104" s="20" t="s">
        <v>18</v>
      </c>
      <c r="B104" s="61" t="s">
        <v>503</v>
      </c>
      <c r="C104" s="20">
        <f t="shared" si="12"/>
        <v>219</v>
      </c>
      <c r="D104" s="20">
        <f t="shared" si="13"/>
        <v>0</v>
      </c>
      <c r="E104" s="20"/>
      <c r="F104" s="20"/>
      <c r="G104" s="20" t="s">
        <v>794</v>
      </c>
      <c r="H104" s="20" t="s">
        <v>805</v>
      </c>
      <c r="I104" s="20">
        <v>1331</v>
      </c>
      <c r="J104" s="20">
        <v>331</v>
      </c>
      <c r="K104" s="20" t="s">
        <v>20</v>
      </c>
      <c r="L104" s="20">
        <v>1</v>
      </c>
      <c r="M104" s="34">
        <v>237481</v>
      </c>
      <c r="N104" s="34">
        <f t="shared" si="14"/>
        <v>237481</v>
      </c>
      <c r="O104" s="20"/>
      <c r="P104" s="20">
        <f t="shared" si="15"/>
        <v>36</v>
      </c>
    </row>
    <row r="105" spans="1:16" hidden="1" x14ac:dyDescent="0.25">
      <c r="A105" s="20" t="s">
        <v>18</v>
      </c>
      <c r="B105" s="61" t="s">
        <v>551</v>
      </c>
      <c r="C105" s="20">
        <f t="shared" si="12"/>
        <v>220</v>
      </c>
      <c r="D105" s="20">
        <f t="shared" si="13"/>
        <v>1</v>
      </c>
      <c r="E105" s="20"/>
      <c r="F105" s="20"/>
      <c r="G105" s="20" t="s">
        <v>35</v>
      </c>
      <c r="H105" s="20" t="s">
        <v>806</v>
      </c>
      <c r="I105" s="20">
        <v>64277</v>
      </c>
      <c r="J105" s="20">
        <v>331</v>
      </c>
      <c r="K105" s="20" t="s">
        <v>20</v>
      </c>
      <c r="L105" s="20">
        <v>1</v>
      </c>
      <c r="M105" s="34">
        <v>2000000</v>
      </c>
      <c r="N105" s="34">
        <f t="shared" si="14"/>
        <v>2000000</v>
      </c>
      <c r="O105" s="20"/>
      <c r="P105" s="20">
        <f t="shared" si="15"/>
        <v>41</v>
      </c>
    </row>
    <row r="106" spans="1:16" hidden="1" x14ac:dyDescent="0.25">
      <c r="A106" s="20" t="s">
        <v>18</v>
      </c>
      <c r="B106" s="61" t="s">
        <v>551</v>
      </c>
      <c r="C106" s="20">
        <f t="shared" si="12"/>
        <v>220</v>
      </c>
      <c r="D106" s="20">
        <f t="shared" si="13"/>
        <v>0</v>
      </c>
      <c r="E106" s="20"/>
      <c r="F106" s="20"/>
      <c r="G106" s="20" t="s">
        <v>35</v>
      </c>
      <c r="H106" s="20" t="s">
        <v>806</v>
      </c>
      <c r="I106" s="20">
        <v>1331</v>
      </c>
      <c r="J106" s="20">
        <v>331</v>
      </c>
      <c r="K106" s="20" t="s">
        <v>20</v>
      </c>
      <c r="L106" s="20">
        <v>1</v>
      </c>
      <c r="M106" s="34">
        <v>160000</v>
      </c>
      <c r="N106" s="34">
        <f t="shared" si="14"/>
        <v>160000</v>
      </c>
      <c r="O106" s="20"/>
      <c r="P106" s="20">
        <f t="shared" si="15"/>
        <v>41</v>
      </c>
    </row>
    <row r="107" spans="1:16" hidden="1" x14ac:dyDescent="0.25">
      <c r="A107" s="20" t="s">
        <v>18</v>
      </c>
      <c r="B107" s="61" t="s">
        <v>551</v>
      </c>
      <c r="C107" s="20">
        <f t="shared" si="12"/>
        <v>221</v>
      </c>
      <c r="D107" s="20">
        <f t="shared" si="13"/>
        <v>1</v>
      </c>
      <c r="E107" s="20"/>
      <c r="F107" s="20"/>
      <c r="G107" s="20" t="s">
        <v>233</v>
      </c>
      <c r="H107" s="20" t="s">
        <v>808</v>
      </c>
      <c r="I107" s="20">
        <v>64277</v>
      </c>
      <c r="J107" s="20">
        <v>331</v>
      </c>
      <c r="K107" s="20" t="s">
        <v>20</v>
      </c>
      <c r="L107" s="20">
        <v>1</v>
      </c>
      <c r="M107" s="34">
        <v>213611</v>
      </c>
      <c r="N107" s="34">
        <f t="shared" si="14"/>
        <v>213611</v>
      </c>
      <c r="O107" s="20"/>
      <c r="P107" s="20">
        <f t="shared" si="15"/>
        <v>21</v>
      </c>
    </row>
    <row r="108" spans="1:16" hidden="1" x14ac:dyDescent="0.25">
      <c r="A108" s="20" t="s">
        <v>18</v>
      </c>
      <c r="B108" s="61" t="s">
        <v>551</v>
      </c>
      <c r="C108" s="20">
        <f t="shared" si="12"/>
        <v>221</v>
      </c>
      <c r="D108" s="20">
        <f t="shared" si="13"/>
        <v>0</v>
      </c>
      <c r="E108" s="20"/>
      <c r="F108" s="20"/>
      <c r="G108" s="20" t="s">
        <v>233</v>
      </c>
      <c r="H108" s="20" t="s">
        <v>808</v>
      </c>
      <c r="I108" s="20">
        <v>1331</v>
      </c>
      <c r="J108" s="20">
        <v>331</v>
      </c>
      <c r="K108" s="20" t="s">
        <v>20</v>
      </c>
      <c r="L108" s="20">
        <v>1</v>
      </c>
      <c r="M108" s="34">
        <v>0</v>
      </c>
      <c r="N108" s="34">
        <f t="shared" si="14"/>
        <v>0</v>
      </c>
      <c r="O108" s="20"/>
      <c r="P108" s="20">
        <f t="shared" si="15"/>
        <v>21</v>
      </c>
    </row>
    <row r="109" spans="1:16" hidden="1" x14ac:dyDescent="0.25">
      <c r="A109" s="20" t="s">
        <v>18</v>
      </c>
      <c r="B109" s="61" t="s">
        <v>551</v>
      </c>
      <c r="C109" s="20">
        <f t="shared" si="12"/>
        <v>222</v>
      </c>
      <c r="D109" s="20">
        <f t="shared" si="13"/>
        <v>1</v>
      </c>
      <c r="E109" s="20"/>
      <c r="F109" s="20"/>
      <c r="G109" s="20" t="s">
        <v>233</v>
      </c>
      <c r="H109" s="20" t="s">
        <v>807</v>
      </c>
      <c r="I109" s="20">
        <v>64277</v>
      </c>
      <c r="J109" s="20">
        <v>331</v>
      </c>
      <c r="K109" s="20" t="s">
        <v>20</v>
      </c>
      <c r="L109" s="20">
        <v>1</v>
      </c>
      <c r="M109" s="34">
        <v>123148</v>
      </c>
      <c r="N109" s="34">
        <f t="shared" si="14"/>
        <v>123148</v>
      </c>
      <c r="O109" s="20"/>
      <c r="P109" s="20">
        <f t="shared" si="15"/>
        <v>21</v>
      </c>
    </row>
    <row r="110" spans="1:16" hidden="1" x14ac:dyDescent="0.25">
      <c r="A110" s="20" t="s">
        <v>18</v>
      </c>
      <c r="B110" s="61" t="s">
        <v>551</v>
      </c>
      <c r="C110" s="20">
        <f t="shared" si="12"/>
        <v>222</v>
      </c>
      <c r="D110" s="20">
        <f t="shared" si="13"/>
        <v>0</v>
      </c>
      <c r="E110" s="20"/>
      <c r="F110" s="20"/>
      <c r="G110" s="20" t="s">
        <v>233</v>
      </c>
      <c r="H110" s="20" t="s">
        <v>807</v>
      </c>
      <c r="I110" s="20">
        <v>1331</v>
      </c>
      <c r="J110" s="20">
        <v>331</v>
      </c>
      <c r="K110" s="20" t="s">
        <v>20</v>
      </c>
      <c r="L110" s="20">
        <v>1</v>
      </c>
      <c r="M110" s="34">
        <v>0</v>
      </c>
      <c r="N110" s="34">
        <f t="shared" si="14"/>
        <v>0</v>
      </c>
      <c r="O110" s="20"/>
      <c r="P110" s="20">
        <f t="shared" si="15"/>
        <v>21</v>
      </c>
    </row>
    <row r="111" spans="1:16" hidden="1" x14ac:dyDescent="0.25">
      <c r="A111" s="20" t="s">
        <v>18</v>
      </c>
      <c r="B111" s="61" t="s">
        <v>555</v>
      </c>
      <c r="C111" s="20">
        <f t="shared" si="12"/>
        <v>223</v>
      </c>
      <c r="D111" s="20">
        <f t="shared" si="13"/>
        <v>1</v>
      </c>
      <c r="E111" s="20"/>
      <c r="F111" s="20"/>
      <c r="G111" s="20" t="s">
        <v>795</v>
      </c>
      <c r="H111" s="20" t="s">
        <v>809</v>
      </c>
      <c r="I111" s="20">
        <v>64277</v>
      </c>
      <c r="J111" s="20">
        <v>331</v>
      </c>
      <c r="K111" s="20" t="s">
        <v>20</v>
      </c>
      <c r="L111" s="20">
        <v>1</v>
      </c>
      <c r="M111" s="34">
        <v>1419444</v>
      </c>
      <c r="N111" s="34">
        <f t="shared" si="14"/>
        <v>1419444</v>
      </c>
      <c r="O111" s="20"/>
      <c r="P111" s="20">
        <f t="shared" si="15"/>
        <v>40</v>
      </c>
    </row>
    <row r="112" spans="1:16" hidden="1" x14ac:dyDescent="0.25">
      <c r="A112" s="20" t="s">
        <v>18</v>
      </c>
      <c r="B112" s="61" t="s">
        <v>555</v>
      </c>
      <c r="C112" s="20">
        <f t="shared" si="12"/>
        <v>223</v>
      </c>
      <c r="D112" s="20">
        <f t="shared" si="13"/>
        <v>0</v>
      </c>
      <c r="E112" s="20"/>
      <c r="F112" s="20"/>
      <c r="G112" s="20" t="s">
        <v>795</v>
      </c>
      <c r="H112" s="20" t="s">
        <v>809</v>
      </c>
      <c r="I112" s="20">
        <v>1331</v>
      </c>
      <c r="J112" s="20">
        <v>331</v>
      </c>
      <c r="K112" s="20" t="s">
        <v>20</v>
      </c>
      <c r="L112" s="20">
        <v>1</v>
      </c>
      <c r="M112" s="34">
        <v>113556</v>
      </c>
      <c r="N112" s="34">
        <f t="shared" si="14"/>
        <v>113556</v>
      </c>
      <c r="O112" s="20"/>
      <c r="P112" s="20">
        <f t="shared" si="15"/>
        <v>40</v>
      </c>
    </row>
    <row r="113" spans="1:16" hidden="1" x14ac:dyDescent="0.25">
      <c r="A113" s="20" t="s">
        <v>18</v>
      </c>
      <c r="B113" s="61" t="s">
        <v>556</v>
      </c>
      <c r="C113" s="20">
        <f t="shared" si="12"/>
        <v>224</v>
      </c>
      <c r="D113" s="20">
        <f t="shared" si="13"/>
        <v>1</v>
      </c>
      <c r="E113" s="20"/>
      <c r="F113" s="20"/>
      <c r="G113" s="32" t="s">
        <v>255</v>
      </c>
      <c r="H113" s="20" t="s">
        <v>820</v>
      </c>
      <c r="I113" s="20">
        <v>131</v>
      </c>
      <c r="J113" s="20">
        <v>5113</v>
      </c>
      <c r="K113" s="20" t="s">
        <v>20</v>
      </c>
      <c r="L113" s="20">
        <v>1</v>
      </c>
      <c r="M113" s="34">
        <v>9090909</v>
      </c>
      <c r="N113" s="34">
        <f t="shared" si="14"/>
        <v>9090909</v>
      </c>
      <c r="O113" s="20"/>
      <c r="P113" s="20">
        <f t="shared" si="15"/>
        <v>147</v>
      </c>
    </row>
    <row r="114" spans="1:16" x14ac:dyDescent="0.25">
      <c r="A114" s="20" t="s">
        <v>18</v>
      </c>
      <c r="B114" s="61" t="s">
        <v>556</v>
      </c>
      <c r="C114" s="20">
        <f t="shared" si="12"/>
        <v>225</v>
      </c>
      <c r="D114" s="20">
        <f t="shared" si="13"/>
        <v>1</v>
      </c>
      <c r="E114" s="20"/>
      <c r="F114" s="20"/>
      <c r="G114" s="32" t="s">
        <v>255</v>
      </c>
      <c r="H114" s="20" t="s">
        <v>3951</v>
      </c>
      <c r="I114" s="20">
        <v>333821</v>
      </c>
      <c r="J114" s="20">
        <v>131</v>
      </c>
      <c r="K114" s="20" t="s">
        <v>20</v>
      </c>
      <c r="L114" s="20">
        <v>1</v>
      </c>
      <c r="M114" s="34">
        <v>90909</v>
      </c>
      <c r="N114" s="34">
        <f t="shared" si="14"/>
        <v>90909</v>
      </c>
      <c r="O114" s="20"/>
      <c r="P114" s="20">
        <f t="shared" si="15"/>
        <v>163</v>
      </c>
    </row>
    <row r="115" spans="1:16" hidden="1" x14ac:dyDescent="0.25">
      <c r="A115" s="20" t="s">
        <v>18</v>
      </c>
      <c r="B115" s="61" t="s">
        <v>557</v>
      </c>
      <c r="C115" s="20">
        <f t="shared" si="12"/>
        <v>226</v>
      </c>
      <c r="D115" s="20">
        <f t="shared" si="13"/>
        <v>1</v>
      </c>
      <c r="E115" s="20"/>
      <c r="F115" s="20"/>
      <c r="G115" s="20" t="s">
        <v>293</v>
      </c>
      <c r="H115" s="20" t="s">
        <v>3979</v>
      </c>
      <c r="I115" s="20">
        <v>64277</v>
      </c>
      <c r="J115" s="20">
        <v>331</v>
      </c>
      <c r="K115" s="20" t="s">
        <v>20</v>
      </c>
      <c r="L115" s="20">
        <v>1</v>
      </c>
      <c r="M115" s="34">
        <v>674000</v>
      </c>
      <c r="N115" s="34">
        <f t="shared" si="14"/>
        <v>674000</v>
      </c>
      <c r="O115" s="20"/>
      <c r="P115" s="20">
        <f t="shared" si="15"/>
        <v>42</v>
      </c>
    </row>
    <row r="116" spans="1:16" hidden="1" x14ac:dyDescent="0.25">
      <c r="A116" s="20" t="s">
        <v>18</v>
      </c>
      <c r="B116" s="61" t="s">
        <v>557</v>
      </c>
      <c r="C116" s="20">
        <f t="shared" si="12"/>
        <v>226</v>
      </c>
      <c r="D116" s="20">
        <f t="shared" si="13"/>
        <v>0</v>
      </c>
      <c r="E116" s="20"/>
      <c r="F116" s="20"/>
      <c r="G116" s="20" t="s">
        <v>293</v>
      </c>
      <c r="H116" s="20" t="s">
        <v>3979</v>
      </c>
      <c r="I116" s="20">
        <v>1331</v>
      </c>
      <c r="J116" s="20">
        <v>331</v>
      </c>
      <c r="K116" s="20" t="s">
        <v>20</v>
      </c>
      <c r="L116" s="20">
        <v>1</v>
      </c>
      <c r="M116" s="34">
        <v>54700</v>
      </c>
      <c r="N116" s="34">
        <f t="shared" si="14"/>
        <v>54700</v>
      </c>
      <c r="O116" s="20"/>
      <c r="P116" s="20">
        <f t="shared" si="15"/>
        <v>42</v>
      </c>
    </row>
    <row r="117" spans="1:16" hidden="1" x14ac:dyDescent="0.25">
      <c r="A117" s="20" t="s">
        <v>18</v>
      </c>
      <c r="B117" s="61" t="s">
        <v>480</v>
      </c>
      <c r="C117" s="20">
        <f t="shared" si="12"/>
        <v>227</v>
      </c>
      <c r="D117" s="20">
        <f t="shared" si="13"/>
        <v>1</v>
      </c>
      <c r="E117" s="20"/>
      <c r="F117" s="20"/>
      <c r="G117" s="32" t="s">
        <v>68</v>
      </c>
      <c r="H117" s="20" t="s">
        <v>821</v>
      </c>
      <c r="I117" s="20">
        <v>131</v>
      </c>
      <c r="J117" s="20">
        <v>5113</v>
      </c>
      <c r="K117" s="20" t="s">
        <v>20</v>
      </c>
      <c r="L117" s="20">
        <v>1</v>
      </c>
      <c r="M117" s="34">
        <v>8888889</v>
      </c>
      <c r="N117" s="34">
        <f t="shared" si="14"/>
        <v>8888889</v>
      </c>
      <c r="O117" s="20"/>
      <c r="P117" s="20">
        <f t="shared" si="15"/>
        <v>144</v>
      </c>
    </row>
    <row r="118" spans="1:16" x14ac:dyDescent="0.25">
      <c r="A118" s="20" t="s">
        <v>18</v>
      </c>
      <c r="B118" s="61" t="s">
        <v>480</v>
      </c>
      <c r="C118" s="20">
        <f t="shared" si="12"/>
        <v>228</v>
      </c>
      <c r="D118" s="20">
        <f t="shared" si="13"/>
        <v>1</v>
      </c>
      <c r="E118" s="20"/>
      <c r="F118" s="20"/>
      <c r="G118" s="32" t="s">
        <v>68</v>
      </c>
      <c r="H118" s="20" t="s">
        <v>3952</v>
      </c>
      <c r="I118" s="20">
        <v>333821</v>
      </c>
      <c r="J118" s="20">
        <v>131</v>
      </c>
      <c r="K118" s="20" t="s">
        <v>20</v>
      </c>
      <c r="L118" s="20">
        <v>1</v>
      </c>
      <c r="M118" s="34">
        <v>88889</v>
      </c>
      <c r="N118" s="34">
        <f t="shared" si="14"/>
        <v>88889</v>
      </c>
      <c r="O118" s="20"/>
      <c r="P118" s="20">
        <f t="shared" si="15"/>
        <v>160</v>
      </c>
    </row>
    <row r="119" spans="1:16" hidden="1" x14ac:dyDescent="0.25">
      <c r="A119" s="20" t="s">
        <v>18</v>
      </c>
      <c r="B119" s="61" t="s">
        <v>662</v>
      </c>
      <c r="C119" s="20">
        <f t="shared" si="12"/>
        <v>229</v>
      </c>
      <c r="D119" s="20">
        <f t="shared" si="13"/>
        <v>1</v>
      </c>
      <c r="E119" s="20"/>
      <c r="F119" s="20"/>
      <c r="G119" s="32" t="s">
        <v>717</v>
      </c>
      <c r="H119" s="20" t="s">
        <v>822</v>
      </c>
      <c r="I119" s="20">
        <v>131</v>
      </c>
      <c r="J119" s="20">
        <v>5113</v>
      </c>
      <c r="K119" s="20" t="s">
        <v>20</v>
      </c>
      <c r="L119" s="20">
        <v>1</v>
      </c>
      <c r="M119" s="34">
        <v>18000000</v>
      </c>
      <c r="N119" s="34">
        <f t="shared" si="14"/>
        <v>18000000</v>
      </c>
      <c r="O119" s="20"/>
      <c r="P119" s="20">
        <f t="shared" si="15"/>
        <v>107</v>
      </c>
    </row>
    <row r="120" spans="1:16" x14ac:dyDescent="0.25">
      <c r="A120" s="20" t="s">
        <v>18</v>
      </c>
      <c r="B120" s="61" t="s">
        <v>662</v>
      </c>
      <c r="C120" s="20">
        <f t="shared" si="12"/>
        <v>230</v>
      </c>
      <c r="D120" s="20">
        <f t="shared" si="13"/>
        <v>1</v>
      </c>
      <c r="E120" s="20"/>
      <c r="F120" s="20"/>
      <c r="G120" s="32" t="s">
        <v>717</v>
      </c>
      <c r="H120" s="20" t="s">
        <v>3953</v>
      </c>
      <c r="I120" s="20">
        <v>333821</v>
      </c>
      <c r="J120" s="20">
        <v>131</v>
      </c>
      <c r="K120" s="20" t="s">
        <v>20</v>
      </c>
      <c r="L120" s="20">
        <v>1</v>
      </c>
      <c r="M120" s="34">
        <v>180000</v>
      </c>
      <c r="N120" s="34">
        <f t="shared" si="14"/>
        <v>180000</v>
      </c>
      <c r="O120" s="20"/>
      <c r="P120" s="20">
        <f t="shared" si="15"/>
        <v>123</v>
      </c>
    </row>
    <row r="121" spans="1:16" hidden="1" x14ac:dyDescent="0.25">
      <c r="A121" s="20" t="s">
        <v>18</v>
      </c>
      <c r="B121" s="61" t="s">
        <v>664</v>
      </c>
      <c r="C121" s="20">
        <f t="shared" si="12"/>
        <v>231</v>
      </c>
      <c r="D121" s="20">
        <f t="shared" si="13"/>
        <v>1</v>
      </c>
      <c r="E121" s="20"/>
      <c r="F121" s="20"/>
      <c r="G121" s="32" t="s">
        <v>51</v>
      </c>
      <c r="H121" s="20" t="s">
        <v>823</v>
      </c>
      <c r="I121" s="20">
        <v>131</v>
      </c>
      <c r="J121" s="20">
        <v>5113</v>
      </c>
      <c r="K121" s="20" t="s">
        <v>20</v>
      </c>
      <c r="L121" s="20">
        <v>1</v>
      </c>
      <c r="M121" s="34">
        <v>11111111</v>
      </c>
      <c r="N121" s="34">
        <f t="shared" si="14"/>
        <v>11111111</v>
      </c>
      <c r="O121" s="20"/>
      <c r="P121" s="20">
        <f t="shared" si="15"/>
        <v>145</v>
      </c>
    </row>
    <row r="122" spans="1:16" x14ac:dyDescent="0.25">
      <c r="A122" s="20" t="s">
        <v>18</v>
      </c>
      <c r="B122" s="61" t="s">
        <v>664</v>
      </c>
      <c r="C122" s="20">
        <f t="shared" si="12"/>
        <v>232</v>
      </c>
      <c r="D122" s="20">
        <f t="shared" si="13"/>
        <v>1</v>
      </c>
      <c r="E122" s="20"/>
      <c r="F122" s="20"/>
      <c r="G122" s="32" t="s">
        <v>51</v>
      </c>
      <c r="H122" s="20" t="s">
        <v>3954</v>
      </c>
      <c r="I122" s="20">
        <v>333821</v>
      </c>
      <c r="J122" s="20">
        <v>131</v>
      </c>
      <c r="K122" s="20" t="s">
        <v>20</v>
      </c>
      <c r="L122" s="20">
        <v>1</v>
      </c>
      <c r="M122" s="34">
        <v>111111</v>
      </c>
      <c r="N122" s="34">
        <f t="shared" si="14"/>
        <v>111111</v>
      </c>
      <c r="O122" s="20"/>
      <c r="P122" s="20">
        <f t="shared" si="15"/>
        <v>161</v>
      </c>
    </row>
    <row r="123" spans="1:16" hidden="1" x14ac:dyDescent="0.25">
      <c r="A123" s="20" t="s">
        <v>18</v>
      </c>
      <c r="B123" s="61" t="s">
        <v>506</v>
      </c>
      <c r="C123" s="20">
        <f t="shared" si="12"/>
        <v>233</v>
      </c>
      <c r="D123" s="20">
        <f t="shared" si="13"/>
        <v>1</v>
      </c>
      <c r="E123" s="20"/>
      <c r="F123" s="20"/>
      <c r="G123" s="32" t="s">
        <v>26</v>
      </c>
      <c r="H123" s="20" t="s">
        <v>824</v>
      </c>
      <c r="I123" s="20">
        <v>131</v>
      </c>
      <c r="J123" s="20">
        <v>5113</v>
      </c>
      <c r="K123" s="20" t="s">
        <v>20</v>
      </c>
      <c r="L123" s="20">
        <v>1</v>
      </c>
      <c r="M123" s="34">
        <v>11111111</v>
      </c>
      <c r="N123" s="34">
        <f t="shared" si="14"/>
        <v>11111111</v>
      </c>
      <c r="O123" s="20"/>
      <c r="P123" s="20">
        <f t="shared" si="15"/>
        <v>152</v>
      </c>
    </row>
    <row r="124" spans="1:16" x14ac:dyDescent="0.25">
      <c r="A124" s="20" t="s">
        <v>18</v>
      </c>
      <c r="B124" s="61" t="s">
        <v>506</v>
      </c>
      <c r="C124" s="20">
        <f t="shared" si="12"/>
        <v>234</v>
      </c>
      <c r="D124" s="20">
        <f t="shared" si="13"/>
        <v>1</v>
      </c>
      <c r="E124" s="20"/>
      <c r="F124" s="20"/>
      <c r="G124" s="32" t="s">
        <v>26</v>
      </c>
      <c r="H124" s="20" t="s">
        <v>3955</v>
      </c>
      <c r="I124" s="20">
        <v>333821</v>
      </c>
      <c r="J124" s="20">
        <v>131</v>
      </c>
      <c r="K124" s="20" t="s">
        <v>20</v>
      </c>
      <c r="L124" s="20">
        <v>1</v>
      </c>
      <c r="M124" s="34">
        <v>111111</v>
      </c>
      <c r="N124" s="34">
        <f t="shared" si="14"/>
        <v>111111</v>
      </c>
      <c r="O124" s="20"/>
      <c r="P124" s="20">
        <f t="shared" si="15"/>
        <v>168</v>
      </c>
    </row>
    <row r="125" spans="1:16" hidden="1" x14ac:dyDescent="0.25">
      <c r="A125" s="20" t="s">
        <v>18</v>
      </c>
      <c r="B125" s="61" t="s">
        <v>560</v>
      </c>
      <c r="C125" s="20">
        <f t="shared" si="12"/>
        <v>235</v>
      </c>
      <c r="D125" s="20">
        <f t="shared" si="13"/>
        <v>1</v>
      </c>
      <c r="E125" s="20"/>
      <c r="F125" s="20"/>
      <c r="G125" s="32" t="s">
        <v>51</v>
      </c>
      <c r="H125" s="20" t="s">
        <v>825</v>
      </c>
      <c r="I125" s="20">
        <v>131</v>
      </c>
      <c r="J125" s="20">
        <v>5113</v>
      </c>
      <c r="K125" s="20" t="s">
        <v>20</v>
      </c>
      <c r="L125" s="20">
        <v>1</v>
      </c>
      <c r="M125" s="34">
        <v>11111111</v>
      </c>
      <c r="N125" s="34">
        <f t="shared" si="14"/>
        <v>11111111</v>
      </c>
      <c r="O125" s="20"/>
      <c r="P125" s="20">
        <f t="shared" si="15"/>
        <v>150</v>
      </c>
    </row>
    <row r="126" spans="1:16" x14ac:dyDescent="0.25">
      <c r="A126" s="20" t="s">
        <v>18</v>
      </c>
      <c r="B126" s="61" t="s">
        <v>560</v>
      </c>
      <c r="C126" s="20">
        <f t="shared" si="12"/>
        <v>236</v>
      </c>
      <c r="D126" s="20">
        <f t="shared" si="13"/>
        <v>1</v>
      </c>
      <c r="E126" s="20"/>
      <c r="F126" s="20"/>
      <c r="G126" s="14" t="s">
        <v>51</v>
      </c>
      <c r="H126" s="20" t="s">
        <v>3956</v>
      </c>
      <c r="I126" s="20">
        <v>333821</v>
      </c>
      <c r="J126" s="20">
        <v>131</v>
      </c>
      <c r="K126" s="20" t="s">
        <v>20</v>
      </c>
      <c r="L126" s="20">
        <v>1</v>
      </c>
      <c r="M126" s="34">
        <v>111111</v>
      </c>
      <c r="N126" s="34">
        <f t="shared" si="14"/>
        <v>111111</v>
      </c>
      <c r="O126" s="20"/>
      <c r="P126" s="20">
        <f t="shared" si="15"/>
        <v>166</v>
      </c>
    </row>
    <row r="127" spans="1:16" hidden="1" x14ac:dyDescent="0.25">
      <c r="A127" s="20" t="s">
        <v>18</v>
      </c>
      <c r="B127" s="61" t="s">
        <v>665</v>
      </c>
      <c r="C127" s="20">
        <f t="shared" si="12"/>
        <v>237</v>
      </c>
      <c r="D127" s="20">
        <f t="shared" si="13"/>
        <v>1</v>
      </c>
      <c r="E127" s="20"/>
      <c r="F127" s="20"/>
      <c r="G127" s="32" t="s">
        <v>68</v>
      </c>
      <c r="H127" s="20" t="s">
        <v>826</v>
      </c>
      <c r="I127" s="20">
        <v>131</v>
      </c>
      <c r="J127" s="20">
        <v>5113</v>
      </c>
      <c r="K127" s="20" t="s">
        <v>20</v>
      </c>
      <c r="L127" s="20">
        <v>1</v>
      </c>
      <c r="M127" s="34">
        <v>8888889</v>
      </c>
      <c r="N127" s="34">
        <f t="shared" si="14"/>
        <v>8888889</v>
      </c>
      <c r="O127" s="20"/>
      <c r="P127" s="20">
        <f t="shared" si="15"/>
        <v>146</v>
      </c>
    </row>
    <row r="128" spans="1:16" x14ac:dyDescent="0.25">
      <c r="A128" s="20" t="s">
        <v>18</v>
      </c>
      <c r="B128" s="61" t="s">
        <v>665</v>
      </c>
      <c r="C128" s="20">
        <f t="shared" si="12"/>
        <v>238</v>
      </c>
      <c r="D128" s="20">
        <f t="shared" si="13"/>
        <v>1</v>
      </c>
      <c r="E128" s="20"/>
      <c r="F128" s="20"/>
      <c r="G128" s="14" t="s">
        <v>68</v>
      </c>
      <c r="H128" s="20" t="s">
        <v>3957</v>
      </c>
      <c r="I128" s="20">
        <v>333821</v>
      </c>
      <c r="J128" s="20">
        <v>131</v>
      </c>
      <c r="K128" s="20" t="s">
        <v>20</v>
      </c>
      <c r="L128" s="20">
        <v>1</v>
      </c>
      <c r="M128" s="34">
        <v>88889</v>
      </c>
      <c r="N128" s="34">
        <f t="shared" si="14"/>
        <v>88889</v>
      </c>
      <c r="O128" s="20"/>
      <c r="P128" s="20">
        <f t="shared" si="15"/>
        <v>162</v>
      </c>
    </row>
    <row r="129" spans="1:16" hidden="1" x14ac:dyDescent="0.25">
      <c r="A129" s="20" t="s">
        <v>18</v>
      </c>
      <c r="B129" s="61">
        <v>46112</v>
      </c>
      <c r="C129" s="20">
        <f t="shared" si="12"/>
        <v>239</v>
      </c>
      <c r="D129" s="20">
        <f t="shared" si="13"/>
        <v>1</v>
      </c>
      <c r="E129" s="20"/>
      <c r="F129" s="20"/>
      <c r="G129" s="20" t="s">
        <v>71</v>
      </c>
      <c r="H129" s="20" t="s">
        <v>457</v>
      </c>
      <c r="I129" s="20">
        <v>64271</v>
      </c>
      <c r="J129" s="20">
        <v>3383</v>
      </c>
      <c r="K129" s="20" t="s">
        <v>20</v>
      </c>
      <c r="L129" s="20">
        <v>1</v>
      </c>
      <c r="M129" s="34">
        <v>690300</v>
      </c>
      <c r="N129" s="34">
        <f t="shared" si="14"/>
        <v>690300</v>
      </c>
      <c r="O129" s="20"/>
      <c r="P129" s="20">
        <f t="shared" si="15"/>
        <v>30</v>
      </c>
    </row>
  </sheetData>
  <autoFilter ref="A3:P129" xr:uid="{00000000-0009-0000-0000-000006000000}">
    <filterColumn colId="8">
      <filters>
        <filter val="333821"/>
      </filters>
    </filterColumn>
    <filterColumn colId="9">
      <filters>
        <filter val="131"/>
      </filters>
    </filterColumn>
    <sortState xmlns:xlrd2="http://schemas.microsoft.com/office/spreadsheetml/2017/richdata2" ref="A4:P129">
      <sortCondition ref="A4:A129"/>
      <sortCondition ref="B4:B129"/>
      <sortCondition ref="H4:H129"/>
    </sortState>
  </autoFilter>
  <mergeCells count="13">
    <mergeCell ref="K1:K2"/>
    <mergeCell ref="L1:L2"/>
    <mergeCell ref="M1:M2"/>
    <mergeCell ref="N1:N2"/>
    <mergeCell ref="A1:A2"/>
    <mergeCell ref="B1:B2"/>
    <mergeCell ref="C1:C2"/>
    <mergeCell ref="D1:D2"/>
    <mergeCell ref="E1:E2"/>
    <mergeCell ref="F1:F2"/>
    <mergeCell ref="G1:G2"/>
    <mergeCell ref="H1:H2"/>
    <mergeCell ref="I1:J1"/>
  </mergeCells>
  <hyperlinks>
    <hyperlink ref="P1" location="Summary!A1" display="Back to summary" xr:uid="{00000000-0004-0000-0600-000000000000}"/>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tabColor rgb="FF92D050"/>
  </sheetPr>
  <dimension ref="A1:Y97"/>
  <sheetViews>
    <sheetView workbookViewId="0">
      <selection activeCell="M24" sqref="M24:M75"/>
    </sheetView>
  </sheetViews>
  <sheetFormatPr defaultRowHeight="15" customHeight="1" x14ac:dyDescent="0.2"/>
  <cols>
    <col min="1" max="1" width="9.140625" style="12"/>
    <col min="2" max="2" width="10.7109375" style="36" bestFit="1" customWidth="1"/>
    <col min="3" max="4" width="9.140625" style="12"/>
    <col min="5" max="5" width="13.5703125" style="12" customWidth="1"/>
    <col min="6" max="6" width="9.140625" style="12"/>
    <col min="7" max="7" width="12.7109375" style="14" bestFit="1" customWidth="1"/>
    <col min="8" max="8" width="48.42578125" style="12" customWidth="1"/>
    <col min="9" max="12" width="9.140625" style="12"/>
    <col min="13" max="13" width="12" style="17" bestFit="1" customWidth="1"/>
    <col min="14" max="14" width="9.5703125" style="17" bestFit="1" customWidth="1"/>
    <col min="15" max="17" width="9.140625" style="12"/>
    <col min="18" max="18" width="9.85546875" style="12" bestFit="1" customWidth="1"/>
    <col min="19" max="19" width="9.140625" style="12"/>
    <col min="20" max="20" width="15.42578125" style="12" bestFit="1" customWidth="1"/>
    <col min="21" max="21" width="16.140625" style="12" bestFit="1" customWidth="1"/>
    <col min="22" max="22" width="7.85546875" style="12" customWidth="1"/>
    <col min="23" max="23" width="12.5703125" style="12" bestFit="1" customWidth="1"/>
    <col min="24" max="24" width="18.28515625" style="12" bestFit="1" customWidth="1"/>
    <col min="25" max="25" width="18.5703125" style="12" bestFit="1" customWidth="1"/>
    <col min="26" max="16384" width="9.140625" style="12"/>
  </cols>
  <sheetData>
    <row r="1" spans="1:25" ht="15" customHeight="1" thickBot="1" x14ac:dyDescent="0.25">
      <c r="A1" s="247" t="s">
        <v>0</v>
      </c>
      <c r="B1" s="251" t="s">
        <v>1</v>
      </c>
      <c r="C1" s="247" t="s">
        <v>2</v>
      </c>
      <c r="D1" s="249" t="s">
        <v>3</v>
      </c>
      <c r="E1" s="249" t="s">
        <v>4</v>
      </c>
      <c r="F1" s="249" t="s">
        <v>257</v>
      </c>
      <c r="G1" s="241" t="s">
        <v>6</v>
      </c>
      <c r="H1" s="243" t="s">
        <v>7</v>
      </c>
      <c r="I1" s="245" t="s">
        <v>8</v>
      </c>
      <c r="J1" s="246"/>
      <c r="K1" s="247" t="s">
        <v>9</v>
      </c>
      <c r="L1" s="247" t="s">
        <v>10</v>
      </c>
      <c r="M1" s="239" t="s">
        <v>76</v>
      </c>
      <c r="N1" s="239" t="s">
        <v>77</v>
      </c>
      <c r="O1" s="45" t="s">
        <v>78</v>
      </c>
      <c r="P1" s="146" t="s">
        <v>356</v>
      </c>
    </row>
    <row r="2" spans="1:25" ht="15" customHeight="1" thickBot="1" x14ac:dyDescent="0.3">
      <c r="A2" s="248"/>
      <c r="B2" s="252"/>
      <c r="C2" s="248"/>
      <c r="D2" s="253"/>
      <c r="E2" s="253"/>
      <c r="F2" s="250"/>
      <c r="G2" s="242"/>
      <c r="H2" s="244"/>
      <c r="I2" s="46" t="s">
        <v>13</v>
      </c>
      <c r="J2" s="47" t="s">
        <v>14</v>
      </c>
      <c r="K2" s="248"/>
      <c r="L2" s="248"/>
      <c r="M2" s="240"/>
      <c r="N2" s="240"/>
      <c r="O2" s="38" t="s">
        <v>78</v>
      </c>
      <c r="P2" s="38"/>
      <c r="T2"/>
      <c r="U2"/>
      <c r="V2"/>
      <c r="W2"/>
      <c r="X2"/>
      <c r="Y2"/>
    </row>
    <row r="3" spans="1:25" ht="15" customHeight="1" x14ac:dyDescent="0.25">
      <c r="A3" s="48"/>
      <c r="B3" s="54"/>
      <c r="C3" s="48">
        <v>96</v>
      </c>
      <c r="D3" s="49"/>
      <c r="E3" s="49"/>
      <c r="F3" s="49"/>
      <c r="G3" s="51" t="s">
        <v>15</v>
      </c>
      <c r="H3" s="52"/>
      <c r="I3" s="52"/>
      <c r="J3" s="52"/>
      <c r="K3" s="48"/>
      <c r="L3" s="48"/>
      <c r="M3" s="53"/>
      <c r="N3" s="53"/>
      <c r="O3" s="38" t="s">
        <v>16</v>
      </c>
      <c r="P3" s="38" t="s">
        <v>17</v>
      </c>
      <c r="T3"/>
      <c r="U3"/>
      <c r="V3"/>
      <c r="W3"/>
      <c r="X3"/>
      <c r="Y3"/>
    </row>
    <row r="4" spans="1:25" ht="15" hidden="1" customHeight="1" x14ac:dyDescent="0.25">
      <c r="A4" s="38" t="s">
        <v>310</v>
      </c>
      <c r="B4" s="62" t="s">
        <v>827</v>
      </c>
      <c r="C4" s="38">
        <f t="shared" ref="C4:C35" si="0">C3+D4</f>
        <v>97</v>
      </c>
      <c r="D4" s="38">
        <f t="shared" ref="D4:D35" si="1">IF(H4=H3,0,1)</f>
        <v>1</v>
      </c>
      <c r="E4" s="38"/>
      <c r="F4" s="38"/>
      <c r="G4" s="55" t="s">
        <v>93</v>
      </c>
      <c r="H4" s="38" t="s">
        <v>2663</v>
      </c>
      <c r="I4" s="38">
        <v>331</v>
      </c>
      <c r="J4" s="38">
        <v>1111</v>
      </c>
      <c r="K4" s="38" t="s">
        <v>20</v>
      </c>
      <c r="L4" s="38">
        <v>1</v>
      </c>
      <c r="M4" s="56">
        <v>1173874</v>
      </c>
      <c r="N4" s="56">
        <f t="shared" ref="N4:N35" si="2">L4*M4</f>
        <v>1173874</v>
      </c>
      <c r="O4" s="38"/>
      <c r="P4" s="38">
        <f>LEN(H4)</f>
        <v>47</v>
      </c>
      <c r="T4"/>
      <c r="U4"/>
      <c r="V4"/>
      <c r="W4"/>
      <c r="X4"/>
      <c r="Y4"/>
    </row>
    <row r="5" spans="1:25" ht="15" hidden="1" customHeight="1" x14ac:dyDescent="0.25">
      <c r="A5" s="38" t="s">
        <v>310</v>
      </c>
      <c r="B5" s="62" t="s">
        <v>535</v>
      </c>
      <c r="C5" s="38">
        <f t="shared" si="0"/>
        <v>98</v>
      </c>
      <c r="D5" s="38">
        <f t="shared" si="1"/>
        <v>1</v>
      </c>
      <c r="E5" s="38"/>
      <c r="F5" s="38"/>
      <c r="G5" s="55" t="s">
        <v>35</v>
      </c>
      <c r="H5" s="38" t="s">
        <v>2638</v>
      </c>
      <c r="I5" s="38">
        <v>331</v>
      </c>
      <c r="J5" s="38">
        <v>1111</v>
      </c>
      <c r="K5" s="38" t="s">
        <v>20</v>
      </c>
      <c r="L5" s="38">
        <v>1</v>
      </c>
      <c r="M5" s="56">
        <v>2916000</v>
      </c>
      <c r="N5" s="56">
        <f t="shared" si="2"/>
        <v>2916000</v>
      </c>
      <c r="O5" s="38"/>
      <c r="P5" s="38">
        <f t="shared" ref="P5:P68" si="3">LEN(H5)</f>
        <v>52</v>
      </c>
      <c r="T5"/>
      <c r="U5"/>
      <c r="V5"/>
      <c r="W5"/>
      <c r="X5"/>
      <c r="Y5"/>
    </row>
    <row r="6" spans="1:25" ht="15" hidden="1" customHeight="1" x14ac:dyDescent="0.25">
      <c r="A6" s="38" t="s">
        <v>310</v>
      </c>
      <c r="B6" s="62" t="s">
        <v>495</v>
      </c>
      <c r="C6" s="38">
        <f t="shared" si="0"/>
        <v>99</v>
      </c>
      <c r="D6" s="38">
        <f t="shared" si="1"/>
        <v>1</v>
      </c>
      <c r="E6" s="38"/>
      <c r="F6" s="38"/>
      <c r="G6" s="55" t="s">
        <v>829</v>
      </c>
      <c r="H6" s="38" t="s">
        <v>2639</v>
      </c>
      <c r="I6" s="38">
        <v>331</v>
      </c>
      <c r="J6" s="38">
        <v>1111</v>
      </c>
      <c r="K6" s="38" t="s">
        <v>20</v>
      </c>
      <c r="L6" s="38">
        <v>1</v>
      </c>
      <c r="M6" s="56">
        <v>1520870</v>
      </c>
      <c r="N6" s="56">
        <f t="shared" si="2"/>
        <v>1520870</v>
      </c>
      <c r="O6" s="38"/>
      <c r="P6" s="38">
        <f t="shared" si="3"/>
        <v>23</v>
      </c>
      <c r="T6"/>
      <c r="U6"/>
      <c r="V6"/>
      <c r="W6"/>
      <c r="X6"/>
      <c r="Y6"/>
    </row>
    <row r="7" spans="1:25" ht="15" hidden="1" customHeight="1" x14ac:dyDescent="0.25">
      <c r="A7" s="38" t="s">
        <v>310</v>
      </c>
      <c r="B7" s="62" t="s">
        <v>495</v>
      </c>
      <c r="C7" s="38">
        <f t="shared" si="0"/>
        <v>100</v>
      </c>
      <c r="D7" s="38">
        <f t="shared" si="1"/>
        <v>1</v>
      </c>
      <c r="E7" s="38"/>
      <c r="F7" s="38"/>
      <c r="G7" s="55" t="s">
        <v>256</v>
      </c>
      <c r="H7" s="38" t="s">
        <v>2640</v>
      </c>
      <c r="I7" s="38">
        <v>331</v>
      </c>
      <c r="J7" s="38">
        <v>1111</v>
      </c>
      <c r="K7" s="38" t="s">
        <v>20</v>
      </c>
      <c r="L7" s="38">
        <v>1</v>
      </c>
      <c r="M7" s="56">
        <v>1852878</v>
      </c>
      <c r="N7" s="56">
        <f t="shared" si="2"/>
        <v>1852878</v>
      </c>
      <c r="O7" s="38"/>
      <c r="P7" s="38">
        <f t="shared" si="3"/>
        <v>62</v>
      </c>
      <c r="T7"/>
      <c r="U7"/>
      <c r="V7"/>
      <c r="W7"/>
      <c r="X7"/>
      <c r="Y7"/>
    </row>
    <row r="8" spans="1:25" ht="15" hidden="1" customHeight="1" x14ac:dyDescent="0.25">
      <c r="A8" s="38" t="s">
        <v>310</v>
      </c>
      <c r="B8" s="62" t="s">
        <v>495</v>
      </c>
      <c r="C8" s="38">
        <f t="shared" si="0"/>
        <v>101</v>
      </c>
      <c r="D8" s="38">
        <f t="shared" si="1"/>
        <v>1</v>
      </c>
      <c r="E8" s="38"/>
      <c r="F8" s="38"/>
      <c r="G8" s="55" t="s">
        <v>256</v>
      </c>
      <c r="H8" s="38" t="s">
        <v>2641</v>
      </c>
      <c r="I8" s="38">
        <v>331</v>
      </c>
      <c r="J8" s="38">
        <v>1111</v>
      </c>
      <c r="K8" s="38" t="s">
        <v>20</v>
      </c>
      <c r="L8" s="38">
        <v>1</v>
      </c>
      <c r="M8" s="56">
        <v>967548</v>
      </c>
      <c r="N8" s="56">
        <f t="shared" si="2"/>
        <v>967548</v>
      </c>
      <c r="O8" s="38"/>
      <c r="P8" s="38">
        <f t="shared" si="3"/>
        <v>62</v>
      </c>
      <c r="T8"/>
      <c r="U8"/>
      <c r="V8"/>
      <c r="W8"/>
      <c r="X8"/>
      <c r="Y8"/>
    </row>
    <row r="9" spans="1:25" ht="15" hidden="1" customHeight="1" x14ac:dyDescent="0.25">
      <c r="A9" s="38" t="s">
        <v>310</v>
      </c>
      <c r="B9" s="62" t="s">
        <v>711</v>
      </c>
      <c r="C9" s="38">
        <f t="shared" si="0"/>
        <v>102</v>
      </c>
      <c r="D9" s="38">
        <f t="shared" si="1"/>
        <v>1</v>
      </c>
      <c r="E9" s="38"/>
      <c r="F9" s="38"/>
      <c r="G9" s="55" t="s">
        <v>30</v>
      </c>
      <c r="H9" s="38" t="s">
        <v>2642</v>
      </c>
      <c r="I9" s="38">
        <v>331</v>
      </c>
      <c r="J9" s="38">
        <v>1111</v>
      </c>
      <c r="K9" s="38" t="s">
        <v>20</v>
      </c>
      <c r="L9" s="38">
        <v>1</v>
      </c>
      <c r="M9" s="56">
        <v>5297000</v>
      </c>
      <c r="N9" s="56">
        <f t="shared" si="2"/>
        <v>5297000</v>
      </c>
      <c r="O9" s="38"/>
      <c r="P9" s="38">
        <f t="shared" si="3"/>
        <v>52</v>
      </c>
      <c r="T9"/>
      <c r="U9"/>
      <c r="V9"/>
      <c r="W9"/>
      <c r="X9"/>
      <c r="Y9"/>
    </row>
    <row r="10" spans="1:25" ht="15" hidden="1" customHeight="1" x14ac:dyDescent="0.25">
      <c r="A10" s="38" t="s">
        <v>310</v>
      </c>
      <c r="B10" s="62" t="s">
        <v>435</v>
      </c>
      <c r="C10" s="38">
        <f t="shared" si="0"/>
        <v>103</v>
      </c>
      <c r="D10" s="38">
        <f t="shared" si="1"/>
        <v>1</v>
      </c>
      <c r="E10" s="38"/>
      <c r="F10" s="38"/>
      <c r="G10" s="55" t="s">
        <v>89</v>
      </c>
      <c r="H10" s="38" t="s">
        <v>2643</v>
      </c>
      <c r="I10" s="38">
        <v>331</v>
      </c>
      <c r="J10" s="38">
        <v>1111</v>
      </c>
      <c r="K10" s="38" t="s">
        <v>20</v>
      </c>
      <c r="L10" s="38">
        <v>1</v>
      </c>
      <c r="M10" s="56">
        <v>20000</v>
      </c>
      <c r="N10" s="56">
        <f t="shared" si="2"/>
        <v>20000</v>
      </c>
      <c r="O10" s="38"/>
      <c r="P10" s="38">
        <f t="shared" si="3"/>
        <v>102</v>
      </c>
      <c r="T10"/>
      <c r="U10"/>
      <c r="V10"/>
      <c r="W10"/>
      <c r="X10"/>
      <c r="Y10"/>
    </row>
    <row r="11" spans="1:25" ht="15" hidden="1" customHeight="1" x14ac:dyDescent="0.25">
      <c r="A11" s="38" t="s">
        <v>310</v>
      </c>
      <c r="B11" s="36" t="s">
        <v>436</v>
      </c>
      <c r="C11" s="38">
        <f t="shared" si="0"/>
        <v>104</v>
      </c>
      <c r="D11" s="38">
        <f t="shared" si="1"/>
        <v>1</v>
      </c>
      <c r="F11" s="38"/>
      <c r="G11" s="55" t="s">
        <v>89</v>
      </c>
      <c r="H11" s="38" t="s">
        <v>2644</v>
      </c>
      <c r="I11" s="38">
        <v>331</v>
      </c>
      <c r="J11" s="38">
        <v>1111</v>
      </c>
      <c r="K11" s="38" t="s">
        <v>20</v>
      </c>
      <c r="L11" s="38">
        <v>1</v>
      </c>
      <c r="M11" s="57">
        <v>18000</v>
      </c>
      <c r="N11" s="56">
        <f t="shared" si="2"/>
        <v>18000</v>
      </c>
      <c r="O11" s="38"/>
      <c r="P11" s="38">
        <f t="shared" si="3"/>
        <v>102</v>
      </c>
      <c r="T11"/>
      <c r="U11"/>
      <c r="V11"/>
      <c r="W11"/>
      <c r="X11"/>
      <c r="Y11"/>
    </row>
    <row r="12" spans="1:25" ht="15" hidden="1" customHeight="1" x14ac:dyDescent="0.25">
      <c r="A12" s="38" t="s">
        <v>310</v>
      </c>
      <c r="B12" s="36" t="s">
        <v>475</v>
      </c>
      <c r="C12" s="38">
        <f t="shared" si="0"/>
        <v>105</v>
      </c>
      <c r="D12" s="38">
        <f t="shared" si="1"/>
        <v>1</v>
      </c>
      <c r="F12" s="38"/>
      <c r="G12" s="55" t="s">
        <v>35</v>
      </c>
      <c r="H12" s="38" t="s">
        <v>2645</v>
      </c>
      <c r="I12" s="38">
        <v>331</v>
      </c>
      <c r="J12" s="38">
        <v>1111</v>
      </c>
      <c r="K12" s="38" t="s">
        <v>20</v>
      </c>
      <c r="L12" s="38">
        <v>1</v>
      </c>
      <c r="M12" s="57">
        <v>2916000</v>
      </c>
      <c r="N12" s="56">
        <f t="shared" si="2"/>
        <v>2916000</v>
      </c>
      <c r="O12" s="38"/>
      <c r="P12" s="38">
        <f t="shared" si="3"/>
        <v>52</v>
      </c>
      <c r="T12"/>
      <c r="U12"/>
      <c r="V12"/>
      <c r="W12"/>
      <c r="X12"/>
      <c r="Y12"/>
    </row>
    <row r="13" spans="1:25" ht="15" hidden="1" customHeight="1" x14ac:dyDescent="0.25">
      <c r="A13" s="38" t="s">
        <v>310</v>
      </c>
      <c r="B13" s="36" t="s">
        <v>438</v>
      </c>
      <c r="C13" s="38">
        <f t="shared" si="0"/>
        <v>106</v>
      </c>
      <c r="D13" s="38">
        <f t="shared" si="1"/>
        <v>1</v>
      </c>
      <c r="F13" s="38"/>
      <c r="G13" s="14" t="s">
        <v>256</v>
      </c>
      <c r="H13" s="38" t="s">
        <v>2646</v>
      </c>
      <c r="I13" s="38">
        <v>331</v>
      </c>
      <c r="J13" s="38">
        <v>1111</v>
      </c>
      <c r="K13" s="38" t="s">
        <v>20</v>
      </c>
      <c r="L13" s="38">
        <v>1</v>
      </c>
      <c r="M13" s="17">
        <v>1687401</v>
      </c>
      <c r="N13" s="56">
        <f t="shared" si="2"/>
        <v>1687401</v>
      </c>
      <c r="P13" s="38">
        <f t="shared" si="3"/>
        <v>63</v>
      </c>
      <c r="T13"/>
      <c r="U13"/>
      <c r="V13"/>
      <c r="W13"/>
      <c r="X13"/>
      <c r="Y13"/>
    </row>
    <row r="14" spans="1:25" ht="15" hidden="1" customHeight="1" x14ac:dyDescent="0.25">
      <c r="A14" s="38" t="s">
        <v>310</v>
      </c>
      <c r="B14" s="36" t="s">
        <v>438</v>
      </c>
      <c r="C14" s="38">
        <f t="shared" si="0"/>
        <v>107</v>
      </c>
      <c r="D14" s="38">
        <f t="shared" si="1"/>
        <v>1</v>
      </c>
      <c r="F14" s="38"/>
      <c r="G14" s="55" t="s">
        <v>256</v>
      </c>
      <c r="H14" s="38" t="s">
        <v>2647</v>
      </c>
      <c r="I14" s="38">
        <v>331</v>
      </c>
      <c r="J14" s="38">
        <v>1111</v>
      </c>
      <c r="K14" s="38" t="s">
        <v>20</v>
      </c>
      <c r="L14" s="38">
        <v>1</v>
      </c>
      <c r="M14" s="57">
        <v>870684</v>
      </c>
      <c r="N14" s="56">
        <f t="shared" si="2"/>
        <v>870684</v>
      </c>
      <c r="O14" s="38"/>
      <c r="P14" s="38">
        <f t="shared" si="3"/>
        <v>63</v>
      </c>
      <c r="T14"/>
      <c r="U14"/>
      <c r="V14"/>
      <c r="W14"/>
      <c r="X14"/>
      <c r="Y14"/>
    </row>
    <row r="15" spans="1:25" ht="15" hidden="1" customHeight="1" x14ac:dyDescent="0.25">
      <c r="A15" s="38" t="s">
        <v>310</v>
      </c>
      <c r="B15" s="36" t="s">
        <v>440</v>
      </c>
      <c r="C15" s="38">
        <f t="shared" si="0"/>
        <v>108</v>
      </c>
      <c r="D15" s="38">
        <f t="shared" si="1"/>
        <v>1</v>
      </c>
      <c r="F15" s="38"/>
      <c r="G15" s="14" t="s">
        <v>829</v>
      </c>
      <c r="H15" s="38" t="s">
        <v>2648</v>
      </c>
      <c r="I15" s="38">
        <v>331</v>
      </c>
      <c r="J15" s="38">
        <v>1111</v>
      </c>
      <c r="K15" s="38" t="s">
        <v>20</v>
      </c>
      <c r="L15" s="38">
        <v>1</v>
      </c>
      <c r="M15" s="17">
        <v>1362078</v>
      </c>
      <c r="N15" s="56">
        <f t="shared" si="2"/>
        <v>1362078</v>
      </c>
      <c r="P15" s="38">
        <f t="shared" si="3"/>
        <v>23</v>
      </c>
      <c r="T15"/>
      <c r="U15"/>
      <c r="V15"/>
      <c r="W15"/>
      <c r="X15"/>
      <c r="Y15"/>
    </row>
    <row r="16" spans="1:25" ht="15" hidden="1" customHeight="1" x14ac:dyDescent="0.25">
      <c r="A16" s="38" t="s">
        <v>310</v>
      </c>
      <c r="B16" s="36" t="s">
        <v>828</v>
      </c>
      <c r="C16" s="38">
        <f t="shared" si="0"/>
        <v>109</v>
      </c>
      <c r="D16" s="38">
        <f t="shared" si="1"/>
        <v>1</v>
      </c>
      <c r="F16" s="38"/>
      <c r="G16" s="14" t="s">
        <v>829</v>
      </c>
      <c r="H16" s="38" t="s">
        <v>2649</v>
      </c>
      <c r="I16" s="38">
        <v>331</v>
      </c>
      <c r="J16" s="38">
        <v>1111</v>
      </c>
      <c r="K16" s="38" t="s">
        <v>20</v>
      </c>
      <c r="L16" s="38">
        <v>1</v>
      </c>
      <c r="M16" s="17">
        <v>1000000</v>
      </c>
      <c r="N16" s="56">
        <f t="shared" si="2"/>
        <v>1000000</v>
      </c>
      <c r="P16" s="38">
        <f t="shared" si="3"/>
        <v>22</v>
      </c>
      <c r="T16"/>
      <c r="U16"/>
      <c r="V16"/>
      <c r="W16"/>
      <c r="X16"/>
      <c r="Y16"/>
    </row>
    <row r="17" spans="1:25" ht="15" hidden="1" customHeight="1" x14ac:dyDescent="0.25">
      <c r="A17" s="38" t="s">
        <v>310</v>
      </c>
      <c r="B17" s="36" t="s">
        <v>554</v>
      </c>
      <c r="C17" s="38">
        <f t="shared" si="0"/>
        <v>110</v>
      </c>
      <c r="D17" s="38">
        <f t="shared" si="1"/>
        <v>1</v>
      </c>
      <c r="F17" s="38"/>
      <c r="G17" s="14" t="s">
        <v>483</v>
      </c>
      <c r="H17" s="38" t="s">
        <v>2650</v>
      </c>
      <c r="I17" s="38">
        <v>331</v>
      </c>
      <c r="J17" s="38">
        <v>1111</v>
      </c>
      <c r="K17" s="38" t="s">
        <v>20</v>
      </c>
      <c r="L17" s="38">
        <v>1</v>
      </c>
      <c r="M17" s="17">
        <v>6468000</v>
      </c>
      <c r="N17" s="56">
        <f t="shared" si="2"/>
        <v>6468000</v>
      </c>
      <c r="P17" s="38">
        <f t="shared" si="3"/>
        <v>196</v>
      </c>
      <c r="T17"/>
      <c r="U17"/>
      <c r="V17"/>
      <c r="W17"/>
      <c r="X17"/>
      <c r="Y17"/>
    </row>
    <row r="18" spans="1:25" ht="15" hidden="1" customHeight="1" x14ac:dyDescent="0.25">
      <c r="A18" s="38" t="s">
        <v>310</v>
      </c>
      <c r="B18" s="36" t="s">
        <v>555</v>
      </c>
      <c r="C18" s="38">
        <f t="shared" si="0"/>
        <v>111</v>
      </c>
      <c r="D18" s="38">
        <f t="shared" si="1"/>
        <v>1</v>
      </c>
      <c r="F18" s="38"/>
      <c r="G18" s="14" t="s">
        <v>35</v>
      </c>
      <c r="H18" s="38" t="s">
        <v>2651</v>
      </c>
      <c r="I18" s="38">
        <v>331</v>
      </c>
      <c r="J18" s="38">
        <v>1111</v>
      </c>
      <c r="K18" s="38" t="s">
        <v>20</v>
      </c>
      <c r="L18" s="38">
        <v>1</v>
      </c>
      <c r="M18" s="17">
        <v>2916000</v>
      </c>
      <c r="N18" s="56">
        <f t="shared" si="2"/>
        <v>2916000</v>
      </c>
      <c r="O18" s="38"/>
      <c r="P18" s="38">
        <f t="shared" si="3"/>
        <v>52</v>
      </c>
      <c r="T18"/>
      <c r="U18"/>
      <c r="V18"/>
      <c r="W18"/>
      <c r="X18"/>
      <c r="Y18"/>
    </row>
    <row r="19" spans="1:25" ht="15" hidden="1" customHeight="1" x14ac:dyDescent="0.25">
      <c r="A19" s="38" t="s">
        <v>310</v>
      </c>
      <c r="B19" s="36" t="s">
        <v>480</v>
      </c>
      <c r="C19" s="38">
        <f t="shared" si="0"/>
        <v>112</v>
      </c>
      <c r="D19" s="38">
        <f t="shared" si="1"/>
        <v>1</v>
      </c>
      <c r="F19" s="38"/>
      <c r="G19" s="14" t="s">
        <v>256</v>
      </c>
      <c r="H19" s="38" t="s">
        <v>2652</v>
      </c>
      <c r="I19" s="38">
        <v>331</v>
      </c>
      <c r="J19" s="38">
        <v>1111</v>
      </c>
      <c r="K19" s="38" t="s">
        <v>20</v>
      </c>
      <c r="L19" s="38">
        <v>1</v>
      </c>
      <c r="M19" s="17">
        <v>1344715</v>
      </c>
      <c r="N19" s="56">
        <f t="shared" si="2"/>
        <v>1344715</v>
      </c>
      <c r="P19" s="38">
        <f t="shared" si="3"/>
        <v>63</v>
      </c>
      <c r="T19"/>
      <c r="U19"/>
      <c r="V19"/>
      <c r="W19"/>
      <c r="X19"/>
      <c r="Y19"/>
    </row>
    <row r="20" spans="1:25" ht="15" hidden="1" customHeight="1" x14ac:dyDescent="0.25">
      <c r="A20" s="38" t="s">
        <v>310</v>
      </c>
      <c r="B20" s="36" t="s">
        <v>662</v>
      </c>
      <c r="C20" s="38">
        <f t="shared" si="0"/>
        <v>113</v>
      </c>
      <c r="D20" s="38">
        <f t="shared" si="1"/>
        <v>1</v>
      </c>
      <c r="F20" s="38"/>
      <c r="G20" s="14" t="s">
        <v>256</v>
      </c>
      <c r="H20" s="38" t="s">
        <v>2653</v>
      </c>
      <c r="I20" s="38">
        <v>331</v>
      </c>
      <c r="J20" s="38">
        <v>1111</v>
      </c>
      <c r="K20" s="38" t="s">
        <v>20</v>
      </c>
      <c r="L20" s="38">
        <v>1</v>
      </c>
      <c r="M20" s="17">
        <v>777074</v>
      </c>
      <c r="N20" s="56">
        <f t="shared" si="2"/>
        <v>777074</v>
      </c>
      <c r="P20" s="38">
        <f t="shared" si="3"/>
        <v>63</v>
      </c>
      <c r="T20"/>
      <c r="U20"/>
      <c r="V20"/>
      <c r="W20"/>
      <c r="X20"/>
      <c r="Y20"/>
    </row>
    <row r="21" spans="1:25" ht="15" hidden="1" customHeight="1" x14ac:dyDescent="0.25">
      <c r="A21" s="38" t="s">
        <v>18</v>
      </c>
      <c r="B21" s="62" t="s">
        <v>827</v>
      </c>
      <c r="C21" s="38">
        <f t="shared" si="0"/>
        <v>114</v>
      </c>
      <c r="D21" s="38">
        <f t="shared" si="1"/>
        <v>1</v>
      </c>
      <c r="E21" s="38"/>
      <c r="F21" s="38"/>
      <c r="G21" s="55" t="s">
        <v>93</v>
      </c>
      <c r="H21" s="38" t="s">
        <v>2664</v>
      </c>
      <c r="I21" s="38">
        <v>64277</v>
      </c>
      <c r="J21" s="38">
        <v>331</v>
      </c>
      <c r="K21" s="38" t="s">
        <v>20</v>
      </c>
      <c r="L21" s="38">
        <v>1</v>
      </c>
      <c r="M21" s="56">
        <v>1086920.3600000001</v>
      </c>
      <c r="N21" s="56">
        <f t="shared" si="2"/>
        <v>1086920.3600000001</v>
      </c>
      <c r="O21" s="38"/>
      <c r="P21" s="38">
        <f t="shared" si="3"/>
        <v>36</v>
      </c>
      <c r="T21"/>
      <c r="U21"/>
      <c r="V21"/>
      <c r="W21"/>
      <c r="X21"/>
      <c r="Y21"/>
    </row>
    <row r="22" spans="1:25" ht="15" hidden="1" customHeight="1" x14ac:dyDescent="0.25">
      <c r="A22" s="38" t="s">
        <v>18</v>
      </c>
      <c r="B22" s="62" t="s">
        <v>827</v>
      </c>
      <c r="C22" s="38">
        <f t="shared" si="0"/>
        <v>114</v>
      </c>
      <c r="D22" s="38">
        <f t="shared" si="1"/>
        <v>0</v>
      </c>
      <c r="E22" s="38"/>
      <c r="F22" s="38"/>
      <c r="G22" s="55" t="s">
        <v>93</v>
      </c>
      <c r="H22" s="38" t="s">
        <v>2664</v>
      </c>
      <c r="I22" s="38">
        <v>1331</v>
      </c>
      <c r="J22" s="38">
        <v>331</v>
      </c>
      <c r="K22" s="38" t="s">
        <v>20</v>
      </c>
      <c r="L22" s="38">
        <v>1</v>
      </c>
      <c r="M22" s="56">
        <v>86954</v>
      </c>
      <c r="N22" s="56">
        <f t="shared" si="2"/>
        <v>86954</v>
      </c>
      <c r="O22" s="38"/>
      <c r="P22" s="38">
        <f t="shared" si="3"/>
        <v>36</v>
      </c>
      <c r="T22"/>
      <c r="U22"/>
      <c r="V22"/>
      <c r="W22"/>
      <c r="X22"/>
      <c r="Y22"/>
    </row>
    <row r="23" spans="1:25" ht="15" hidden="1" customHeight="1" x14ac:dyDescent="0.25">
      <c r="A23" s="12" t="s">
        <v>18</v>
      </c>
      <c r="B23" s="36" t="s">
        <v>493</v>
      </c>
      <c r="C23" s="38">
        <f t="shared" si="0"/>
        <v>115</v>
      </c>
      <c r="D23" s="38">
        <f t="shared" si="1"/>
        <v>1</v>
      </c>
      <c r="G23" s="14" t="s">
        <v>714</v>
      </c>
      <c r="H23" s="12" t="s">
        <v>848</v>
      </c>
      <c r="I23" s="12">
        <v>131</v>
      </c>
      <c r="J23" s="12">
        <v>5113</v>
      </c>
      <c r="K23" s="38" t="s">
        <v>20</v>
      </c>
      <c r="L23" s="38">
        <v>1</v>
      </c>
      <c r="M23" s="17">
        <v>24242424</v>
      </c>
      <c r="N23" s="56">
        <f t="shared" si="2"/>
        <v>24242424</v>
      </c>
      <c r="P23" s="38">
        <f t="shared" si="3"/>
        <v>136</v>
      </c>
      <c r="T23"/>
      <c r="U23"/>
      <c r="V23"/>
      <c r="W23"/>
      <c r="X23"/>
      <c r="Y23"/>
    </row>
    <row r="24" spans="1:25" ht="15" customHeight="1" x14ac:dyDescent="0.25">
      <c r="A24" s="12" t="s">
        <v>18</v>
      </c>
      <c r="B24" s="36" t="s">
        <v>493</v>
      </c>
      <c r="C24" s="38">
        <f t="shared" si="0"/>
        <v>116</v>
      </c>
      <c r="D24" s="38">
        <f t="shared" si="1"/>
        <v>1</v>
      </c>
      <c r="G24" s="14" t="s">
        <v>714</v>
      </c>
      <c r="H24" s="12" t="s">
        <v>2630</v>
      </c>
      <c r="I24" s="12">
        <v>333821</v>
      </c>
      <c r="J24" s="12">
        <v>131</v>
      </c>
      <c r="K24" s="38" t="s">
        <v>20</v>
      </c>
      <c r="L24" s="38">
        <v>1</v>
      </c>
      <c r="M24" s="17">
        <v>242424</v>
      </c>
      <c r="N24" s="56">
        <f t="shared" si="2"/>
        <v>242424</v>
      </c>
      <c r="P24" s="38">
        <f t="shared" si="3"/>
        <v>152</v>
      </c>
      <c r="T24"/>
      <c r="U24"/>
      <c r="V24"/>
      <c r="W24"/>
      <c r="X24"/>
      <c r="Y24"/>
    </row>
    <row r="25" spans="1:25" ht="15" hidden="1" customHeight="1" x14ac:dyDescent="0.25">
      <c r="A25" s="12" t="s">
        <v>18</v>
      </c>
      <c r="B25" s="36" t="s">
        <v>493</v>
      </c>
      <c r="C25" s="38">
        <f t="shared" si="0"/>
        <v>117</v>
      </c>
      <c r="D25" s="38">
        <f t="shared" si="1"/>
        <v>1</v>
      </c>
      <c r="G25" s="14" t="s">
        <v>714</v>
      </c>
      <c r="H25" s="12" t="s">
        <v>847</v>
      </c>
      <c r="I25" s="12">
        <v>131</v>
      </c>
      <c r="J25" s="12">
        <v>5113</v>
      </c>
      <c r="K25" s="38" t="s">
        <v>20</v>
      </c>
      <c r="L25" s="38">
        <v>1</v>
      </c>
      <c r="M25" s="17">
        <v>24242424</v>
      </c>
      <c r="N25" s="56">
        <f t="shared" si="2"/>
        <v>24242424</v>
      </c>
      <c r="P25" s="38">
        <f t="shared" si="3"/>
        <v>104</v>
      </c>
      <c r="T25"/>
      <c r="U25"/>
      <c r="V25"/>
      <c r="W25"/>
      <c r="X25"/>
      <c r="Y25"/>
    </row>
    <row r="26" spans="1:25" ht="15" customHeight="1" x14ac:dyDescent="0.25">
      <c r="A26" s="12" t="s">
        <v>18</v>
      </c>
      <c r="B26" s="36" t="s">
        <v>493</v>
      </c>
      <c r="C26" s="38">
        <f t="shared" si="0"/>
        <v>118</v>
      </c>
      <c r="D26" s="38">
        <f t="shared" si="1"/>
        <v>1</v>
      </c>
      <c r="G26" s="14" t="s">
        <v>714</v>
      </c>
      <c r="H26" s="12" t="s">
        <v>2631</v>
      </c>
      <c r="I26" s="12">
        <v>333821</v>
      </c>
      <c r="J26" s="12">
        <v>131</v>
      </c>
      <c r="K26" s="38" t="s">
        <v>20</v>
      </c>
      <c r="L26" s="38">
        <v>1</v>
      </c>
      <c r="M26" s="17">
        <v>242424</v>
      </c>
      <c r="N26" s="56">
        <f t="shared" si="2"/>
        <v>242424</v>
      </c>
      <c r="P26" s="38">
        <f t="shared" si="3"/>
        <v>120</v>
      </c>
      <c r="T26"/>
      <c r="U26"/>
      <c r="V26"/>
      <c r="W26"/>
      <c r="X26"/>
      <c r="Y26"/>
    </row>
    <row r="27" spans="1:25" ht="15" hidden="1" customHeight="1" x14ac:dyDescent="0.25">
      <c r="A27" s="12" t="s">
        <v>18</v>
      </c>
      <c r="B27" s="36" t="s">
        <v>534</v>
      </c>
      <c r="C27" s="38">
        <f t="shared" si="0"/>
        <v>119</v>
      </c>
      <c r="D27" s="38">
        <f t="shared" si="1"/>
        <v>1</v>
      </c>
      <c r="G27" s="14" t="s">
        <v>305</v>
      </c>
      <c r="H27" s="12" t="s">
        <v>849</v>
      </c>
      <c r="I27" s="12">
        <v>131</v>
      </c>
      <c r="J27" s="12">
        <v>5113</v>
      </c>
      <c r="K27" s="38" t="s">
        <v>20</v>
      </c>
      <c r="L27" s="38">
        <v>1</v>
      </c>
      <c r="M27" s="17">
        <v>21505377</v>
      </c>
      <c r="N27" s="56">
        <f t="shared" si="2"/>
        <v>21505377</v>
      </c>
      <c r="P27" s="38">
        <f t="shared" si="3"/>
        <v>155</v>
      </c>
      <c r="T27"/>
      <c r="U27"/>
      <c r="V27"/>
      <c r="W27"/>
      <c r="X27"/>
      <c r="Y27"/>
    </row>
    <row r="28" spans="1:25" ht="15" customHeight="1" x14ac:dyDescent="0.25">
      <c r="A28" s="12" t="s">
        <v>18</v>
      </c>
      <c r="B28" s="36" t="s">
        <v>534</v>
      </c>
      <c r="C28" s="38">
        <f t="shared" si="0"/>
        <v>120</v>
      </c>
      <c r="D28" s="38">
        <f t="shared" si="1"/>
        <v>1</v>
      </c>
      <c r="G28" s="14" t="s">
        <v>305</v>
      </c>
      <c r="H28" s="12" t="s">
        <v>2632</v>
      </c>
      <c r="I28" s="12">
        <v>333821</v>
      </c>
      <c r="J28" s="12">
        <v>131</v>
      </c>
      <c r="K28" s="38" t="s">
        <v>20</v>
      </c>
      <c r="L28" s="38">
        <v>1</v>
      </c>
      <c r="M28" s="17">
        <v>215054</v>
      </c>
      <c r="N28" s="56">
        <f t="shared" si="2"/>
        <v>215054</v>
      </c>
      <c r="P28" s="38">
        <f t="shared" si="3"/>
        <v>171</v>
      </c>
      <c r="T28"/>
      <c r="U28"/>
      <c r="V28"/>
      <c r="W28"/>
      <c r="X28"/>
      <c r="Y28"/>
    </row>
    <row r="29" spans="1:25" ht="15" hidden="1" customHeight="1" x14ac:dyDescent="0.25">
      <c r="A29" s="38" t="s">
        <v>18</v>
      </c>
      <c r="B29" s="62" t="s">
        <v>535</v>
      </c>
      <c r="C29" s="38">
        <f t="shared" si="0"/>
        <v>121</v>
      </c>
      <c r="D29" s="38">
        <f t="shared" si="1"/>
        <v>1</v>
      </c>
      <c r="E29" s="38"/>
      <c r="F29" s="38"/>
      <c r="G29" s="55" t="s">
        <v>35</v>
      </c>
      <c r="H29" s="38" t="s">
        <v>830</v>
      </c>
      <c r="I29" s="38">
        <v>64277</v>
      </c>
      <c r="J29" s="38">
        <v>331</v>
      </c>
      <c r="K29" s="38" t="s">
        <v>20</v>
      </c>
      <c r="L29" s="38">
        <v>1</v>
      </c>
      <c r="M29" s="56">
        <v>2700000</v>
      </c>
      <c r="N29" s="56">
        <f t="shared" si="2"/>
        <v>2700000</v>
      </c>
      <c r="O29" s="38"/>
      <c r="P29" s="38">
        <f t="shared" si="3"/>
        <v>41</v>
      </c>
      <c r="T29"/>
      <c r="U29"/>
      <c r="V29"/>
      <c r="W29"/>
      <c r="X29"/>
      <c r="Y29"/>
    </row>
    <row r="30" spans="1:25" ht="15" hidden="1" customHeight="1" x14ac:dyDescent="0.25">
      <c r="A30" s="38" t="s">
        <v>18</v>
      </c>
      <c r="B30" s="62" t="s">
        <v>535</v>
      </c>
      <c r="C30" s="38">
        <f t="shared" si="0"/>
        <v>121</v>
      </c>
      <c r="D30" s="38">
        <f t="shared" si="1"/>
        <v>0</v>
      </c>
      <c r="E30" s="38"/>
      <c r="F30" s="38"/>
      <c r="G30" s="55" t="s">
        <v>35</v>
      </c>
      <c r="H30" s="38" t="s">
        <v>830</v>
      </c>
      <c r="I30" s="38">
        <v>1331</v>
      </c>
      <c r="J30" s="38">
        <v>331</v>
      </c>
      <c r="K30" s="38" t="s">
        <v>20</v>
      </c>
      <c r="L30" s="38">
        <v>1</v>
      </c>
      <c r="M30" s="56">
        <v>216000</v>
      </c>
      <c r="N30" s="56">
        <f t="shared" si="2"/>
        <v>216000</v>
      </c>
      <c r="O30" s="38"/>
      <c r="P30" s="38">
        <f t="shared" si="3"/>
        <v>41</v>
      </c>
      <c r="T30"/>
      <c r="U30"/>
      <c r="V30"/>
      <c r="W30"/>
      <c r="X30"/>
      <c r="Y30"/>
    </row>
    <row r="31" spans="1:25" ht="15" hidden="1" customHeight="1" x14ac:dyDescent="0.25">
      <c r="A31" s="12" t="s">
        <v>18</v>
      </c>
      <c r="B31" s="36" t="s">
        <v>536</v>
      </c>
      <c r="C31" s="38">
        <f t="shared" si="0"/>
        <v>122</v>
      </c>
      <c r="D31" s="38">
        <f t="shared" si="1"/>
        <v>1</v>
      </c>
      <c r="G31" s="14" t="s">
        <v>281</v>
      </c>
      <c r="H31" s="12" t="s">
        <v>850</v>
      </c>
      <c r="I31" s="12">
        <v>131</v>
      </c>
      <c r="J31" s="12">
        <v>5113</v>
      </c>
      <c r="K31" s="38" t="s">
        <v>20</v>
      </c>
      <c r="L31" s="38">
        <v>1</v>
      </c>
      <c r="M31" s="17">
        <v>11111111</v>
      </c>
      <c r="N31" s="56">
        <f t="shared" si="2"/>
        <v>11111111</v>
      </c>
      <c r="P31" s="38">
        <f t="shared" si="3"/>
        <v>96</v>
      </c>
      <c r="T31"/>
      <c r="U31"/>
      <c r="V31"/>
      <c r="W31"/>
      <c r="X31"/>
      <c r="Y31"/>
    </row>
    <row r="32" spans="1:25" ht="15" customHeight="1" x14ac:dyDescent="0.25">
      <c r="A32" s="12" t="s">
        <v>18</v>
      </c>
      <c r="B32" s="36" t="s">
        <v>536</v>
      </c>
      <c r="C32" s="38">
        <f t="shared" si="0"/>
        <v>123</v>
      </c>
      <c r="D32" s="38">
        <f t="shared" si="1"/>
        <v>1</v>
      </c>
      <c r="G32" s="14" t="s">
        <v>281</v>
      </c>
      <c r="H32" s="12" t="s">
        <v>2633</v>
      </c>
      <c r="I32" s="12">
        <v>333821</v>
      </c>
      <c r="J32" s="12">
        <v>131</v>
      </c>
      <c r="K32" s="38" t="s">
        <v>20</v>
      </c>
      <c r="L32" s="38">
        <v>1</v>
      </c>
      <c r="M32" s="17">
        <v>111111</v>
      </c>
      <c r="N32" s="56">
        <f t="shared" si="2"/>
        <v>111111</v>
      </c>
      <c r="P32" s="38">
        <f t="shared" si="3"/>
        <v>112</v>
      </c>
      <c r="T32"/>
      <c r="U32"/>
      <c r="V32"/>
      <c r="W32"/>
      <c r="X32"/>
      <c r="Y32"/>
    </row>
    <row r="33" spans="1:25" ht="15" hidden="1" customHeight="1" x14ac:dyDescent="0.25">
      <c r="A33" s="38" t="s">
        <v>18</v>
      </c>
      <c r="B33" s="62" t="s">
        <v>495</v>
      </c>
      <c r="C33" s="38">
        <f t="shared" si="0"/>
        <v>124</v>
      </c>
      <c r="D33" s="38">
        <f t="shared" si="1"/>
        <v>1</v>
      </c>
      <c r="E33" s="38"/>
      <c r="F33" s="38"/>
      <c r="G33" s="55" t="s">
        <v>829</v>
      </c>
      <c r="H33" s="38" t="s">
        <v>832</v>
      </c>
      <c r="I33" s="38">
        <v>64277</v>
      </c>
      <c r="J33" s="38">
        <v>331</v>
      </c>
      <c r="K33" s="38" t="s">
        <v>20</v>
      </c>
      <c r="L33" s="38">
        <v>1</v>
      </c>
      <c r="M33" s="56">
        <v>1520870</v>
      </c>
      <c r="N33" s="56">
        <f t="shared" si="2"/>
        <v>1520870</v>
      </c>
      <c r="O33" s="38"/>
      <c r="P33" s="38">
        <f t="shared" si="3"/>
        <v>12</v>
      </c>
      <c r="T33"/>
      <c r="U33"/>
      <c r="V33"/>
      <c r="W33"/>
      <c r="X33"/>
      <c r="Y33"/>
    </row>
    <row r="34" spans="1:25" ht="15" hidden="1" customHeight="1" x14ac:dyDescent="0.25">
      <c r="A34" s="38" t="s">
        <v>18</v>
      </c>
      <c r="B34" s="62" t="s">
        <v>495</v>
      </c>
      <c r="C34" s="38">
        <f t="shared" si="0"/>
        <v>124</v>
      </c>
      <c r="D34" s="38">
        <f t="shared" si="1"/>
        <v>0</v>
      </c>
      <c r="E34" s="38"/>
      <c r="F34" s="38"/>
      <c r="G34" s="55" t="s">
        <v>829</v>
      </c>
      <c r="H34" s="38" t="s">
        <v>832</v>
      </c>
      <c r="I34" s="38">
        <v>1331</v>
      </c>
      <c r="J34" s="38">
        <v>331</v>
      </c>
      <c r="K34" s="38" t="s">
        <v>20</v>
      </c>
      <c r="L34" s="38">
        <v>1</v>
      </c>
      <c r="M34" s="56">
        <v>0</v>
      </c>
      <c r="N34" s="56">
        <f t="shared" si="2"/>
        <v>0</v>
      </c>
      <c r="O34" s="38"/>
      <c r="P34" s="38">
        <f t="shared" si="3"/>
        <v>12</v>
      </c>
      <c r="T34"/>
      <c r="U34"/>
      <c r="V34"/>
      <c r="W34"/>
      <c r="X34"/>
      <c r="Y34"/>
    </row>
    <row r="35" spans="1:25" ht="15" hidden="1" customHeight="1" x14ac:dyDescent="0.25">
      <c r="A35" s="38" t="s">
        <v>18</v>
      </c>
      <c r="B35" s="62" t="s">
        <v>495</v>
      </c>
      <c r="C35" s="38">
        <f t="shared" si="0"/>
        <v>125</v>
      </c>
      <c r="D35" s="38">
        <f t="shared" si="1"/>
        <v>1</v>
      </c>
      <c r="E35" s="38"/>
      <c r="F35" s="38"/>
      <c r="G35" s="55" t="s">
        <v>256</v>
      </c>
      <c r="H35" s="38" t="s">
        <v>833</v>
      </c>
      <c r="I35" s="38">
        <v>64277</v>
      </c>
      <c r="J35" s="38">
        <v>331</v>
      </c>
      <c r="K35" s="38" t="s">
        <v>20</v>
      </c>
      <c r="L35" s="38">
        <v>1</v>
      </c>
      <c r="M35" s="56">
        <v>1852878</v>
      </c>
      <c r="N35" s="56">
        <f t="shared" si="2"/>
        <v>1852878</v>
      </c>
      <c r="O35" s="38"/>
      <c r="P35" s="38">
        <f t="shared" si="3"/>
        <v>51</v>
      </c>
      <c r="T35"/>
      <c r="U35"/>
      <c r="V35"/>
      <c r="W35"/>
      <c r="X35"/>
      <c r="Y35"/>
    </row>
    <row r="36" spans="1:25" ht="15" hidden="1" customHeight="1" x14ac:dyDescent="0.25">
      <c r="A36" s="38" t="s">
        <v>18</v>
      </c>
      <c r="B36" s="62" t="s">
        <v>495</v>
      </c>
      <c r="C36" s="38">
        <f t="shared" ref="C36:C67" si="4">C35+D36</f>
        <v>125</v>
      </c>
      <c r="D36" s="38">
        <f t="shared" ref="D36:D67" si="5">IF(H36=H35,0,1)</f>
        <v>0</v>
      </c>
      <c r="E36" s="38"/>
      <c r="F36" s="38"/>
      <c r="G36" s="55" t="s">
        <v>256</v>
      </c>
      <c r="H36" s="38" t="s">
        <v>833</v>
      </c>
      <c r="I36" s="38">
        <v>1331</v>
      </c>
      <c r="J36" s="38">
        <v>331</v>
      </c>
      <c r="K36" s="38" t="s">
        <v>20</v>
      </c>
      <c r="L36" s="38">
        <v>1</v>
      </c>
      <c r="M36" s="56">
        <v>0</v>
      </c>
      <c r="N36" s="56">
        <f t="shared" ref="N36:N67" si="6">L36*M36</f>
        <v>0</v>
      </c>
      <c r="O36" s="38"/>
      <c r="P36" s="38">
        <f t="shared" si="3"/>
        <v>51</v>
      </c>
      <c r="T36"/>
      <c r="U36"/>
      <c r="V36"/>
      <c r="W36"/>
      <c r="X36"/>
      <c r="Y36"/>
    </row>
    <row r="37" spans="1:25" ht="15" hidden="1" customHeight="1" x14ac:dyDescent="0.25">
      <c r="A37" s="38" t="s">
        <v>18</v>
      </c>
      <c r="B37" s="62" t="s">
        <v>495</v>
      </c>
      <c r="C37" s="38">
        <f t="shared" si="4"/>
        <v>126</v>
      </c>
      <c r="D37" s="38">
        <f t="shared" si="5"/>
        <v>1</v>
      </c>
      <c r="E37" s="38"/>
      <c r="F37" s="38"/>
      <c r="G37" s="55" t="s">
        <v>256</v>
      </c>
      <c r="H37" s="38" t="s">
        <v>831</v>
      </c>
      <c r="I37" s="38">
        <v>64277</v>
      </c>
      <c r="J37" s="38">
        <v>331</v>
      </c>
      <c r="K37" s="38" t="s">
        <v>20</v>
      </c>
      <c r="L37" s="38">
        <v>1</v>
      </c>
      <c r="M37" s="56">
        <v>967548</v>
      </c>
      <c r="N37" s="56">
        <f t="shared" si="6"/>
        <v>967548</v>
      </c>
      <c r="O37" s="38"/>
      <c r="P37" s="38">
        <f t="shared" si="3"/>
        <v>51</v>
      </c>
      <c r="T37"/>
      <c r="U37"/>
      <c r="V37"/>
      <c r="W37"/>
      <c r="X37"/>
      <c r="Y37"/>
    </row>
    <row r="38" spans="1:25" ht="15" hidden="1" customHeight="1" x14ac:dyDescent="0.25">
      <c r="A38" s="38" t="s">
        <v>18</v>
      </c>
      <c r="B38" s="62" t="s">
        <v>495</v>
      </c>
      <c r="C38" s="38">
        <f t="shared" si="4"/>
        <v>126</v>
      </c>
      <c r="D38" s="38">
        <f t="shared" si="5"/>
        <v>0</v>
      </c>
      <c r="E38" s="38"/>
      <c r="F38" s="38"/>
      <c r="G38" s="55" t="s">
        <v>256</v>
      </c>
      <c r="H38" s="38" t="s">
        <v>831</v>
      </c>
      <c r="I38" s="38">
        <v>1331</v>
      </c>
      <c r="J38" s="38">
        <v>331</v>
      </c>
      <c r="K38" s="38" t="s">
        <v>20</v>
      </c>
      <c r="L38" s="38">
        <v>1</v>
      </c>
      <c r="M38" s="56">
        <v>0</v>
      </c>
      <c r="N38" s="56">
        <f t="shared" si="6"/>
        <v>0</v>
      </c>
      <c r="O38" s="38"/>
      <c r="P38" s="38">
        <f t="shared" si="3"/>
        <v>51</v>
      </c>
      <c r="T38"/>
      <c r="U38"/>
      <c r="V38"/>
      <c r="W38"/>
      <c r="X38"/>
      <c r="Y38"/>
    </row>
    <row r="39" spans="1:25" ht="15" hidden="1" customHeight="1" x14ac:dyDescent="0.25">
      <c r="A39" s="38" t="s">
        <v>18</v>
      </c>
      <c r="B39" s="62" t="s">
        <v>711</v>
      </c>
      <c r="C39" s="38">
        <f t="shared" si="4"/>
        <v>127</v>
      </c>
      <c r="D39" s="38">
        <f t="shared" si="5"/>
        <v>1</v>
      </c>
      <c r="E39" s="38"/>
      <c r="F39" s="38"/>
      <c r="G39" s="55" t="s">
        <v>30</v>
      </c>
      <c r="H39" s="38" t="s">
        <v>834</v>
      </c>
      <c r="I39" s="38">
        <v>64277</v>
      </c>
      <c r="J39" s="38">
        <v>331</v>
      </c>
      <c r="K39" s="38" t="s">
        <v>20</v>
      </c>
      <c r="L39" s="38">
        <v>1</v>
      </c>
      <c r="M39" s="56">
        <v>4904630</v>
      </c>
      <c r="N39" s="56">
        <f t="shared" si="6"/>
        <v>4904630</v>
      </c>
      <c r="O39" s="38"/>
      <c r="P39" s="38">
        <f t="shared" si="3"/>
        <v>41</v>
      </c>
      <c r="T39"/>
      <c r="U39"/>
      <c r="V39"/>
      <c r="W39"/>
      <c r="X39"/>
      <c r="Y39"/>
    </row>
    <row r="40" spans="1:25" ht="15" hidden="1" customHeight="1" x14ac:dyDescent="0.25">
      <c r="A40" s="38" t="s">
        <v>18</v>
      </c>
      <c r="B40" s="62" t="s">
        <v>711</v>
      </c>
      <c r="C40" s="38">
        <f t="shared" si="4"/>
        <v>127</v>
      </c>
      <c r="D40" s="38">
        <f t="shared" si="5"/>
        <v>0</v>
      </c>
      <c r="E40" s="38"/>
      <c r="F40" s="38"/>
      <c r="G40" s="55" t="s">
        <v>30</v>
      </c>
      <c r="H40" s="38" t="s">
        <v>834</v>
      </c>
      <c r="I40" s="38">
        <v>1331</v>
      </c>
      <c r="J40" s="38">
        <v>331</v>
      </c>
      <c r="K40" s="38" t="s">
        <v>20</v>
      </c>
      <c r="L40" s="38">
        <v>1</v>
      </c>
      <c r="M40" s="56">
        <v>392370</v>
      </c>
      <c r="N40" s="56">
        <f t="shared" si="6"/>
        <v>392370</v>
      </c>
      <c r="O40" s="38"/>
      <c r="P40" s="38">
        <f t="shared" si="3"/>
        <v>41</v>
      </c>
      <c r="T40"/>
      <c r="U40"/>
      <c r="V40"/>
      <c r="W40"/>
      <c r="X40"/>
      <c r="Y40"/>
    </row>
    <row r="41" spans="1:25" ht="15" hidden="1" customHeight="1" x14ac:dyDescent="0.25">
      <c r="A41" s="38" t="s">
        <v>18</v>
      </c>
      <c r="B41" s="62" t="s">
        <v>435</v>
      </c>
      <c r="C41" s="38">
        <f t="shared" si="4"/>
        <v>128</v>
      </c>
      <c r="D41" s="38">
        <f t="shared" si="5"/>
        <v>1</v>
      </c>
      <c r="E41" s="38"/>
      <c r="F41" s="38"/>
      <c r="G41" s="55" t="s">
        <v>89</v>
      </c>
      <c r="H41" s="38" t="s">
        <v>835</v>
      </c>
      <c r="I41" s="38">
        <v>64277</v>
      </c>
      <c r="J41" s="38">
        <v>331</v>
      </c>
      <c r="K41" s="38" t="s">
        <v>20</v>
      </c>
      <c r="L41" s="38">
        <v>1</v>
      </c>
      <c r="M41" s="56">
        <v>18519</v>
      </c>
      <c r="N41" s="56">
        <f t="shared" si="6"/>
        <v>18519</v>
      </c>
      <c r="O41" s="38"/>
      <c r="P41" s="38">
        <f t="shared" si="3"/>
        <v>91</v>
      </c>
      <c r="T41"/>
      <c r="U41"/>
      <c r="V41"/>
      <c r="W41"/>
      <c r="X41"/>
      <c r="Y41"/>
    </row>
    <row r="42" spans="1:25" ht="15" hidden="1" customHeight="1" x14ac:dyDescent="0.25">
      <c r="A42" s="38" t="s">
        <v>18</v>
      </c>
      <c r="B42" s="62" t="s">
        <v>435</v>
      </c>
      <c r="C42" s="38">
        <f t="shared" si="4"/>
        <v>128</v>
      </c>
      <c r="D42" s="38">
        <f t="shared" si="5"/>
        <v>0</v>
      </c>
      <c r="E42" s="38"/>
      <c r="F42" s="38"/>
      <c r="G42" s="55" t="s">
        <v>89</v>
      </c>
      <c r="H42" s="38" t="s">
        <v>835</v>
      </c>
      <c r="I42" s="38">
        <v>1331</v>
      </c>
      <c r="J42" s="38">
        <v>331</v>
      </c>
      <c r="K42" s="38" t="s">
        <v>20</v>
      </c>
      <c r="L42" s="38">
        <v>1</v>
      </c>
      <c r="M42" s="56">
        <v>1481</v>
      </c>
      <c r="N42" s="56">
        <f t="shared" si="6"/>
        <v>1481</v>
      </c>
      <c r="O42" s="38"/>
      <c r="P42" s="38">
        <f t="shared" si="3"/>
        <v>91</v>
      </c>
      <c r="T42"/>
      <c r="U42"/>
      <c r="V42"/>
      <c r="W42"/>
      <c r="X42"/>
      <c r="Y42"/>
    </row>
    <row r="43" spans="1:25" ht="15" hidden="1" customHeight="1" x14ac:dyDescent="0.25">
      <c r="A43" s="38" t="s">
        <v>18</v>
      </c>
      <c r="B43" s="62">
        <v>46053</v>
      </c>
      <c r="C43" s="38">
        <f t="shared" si="4"/>
        <v>129</v>
      </c>
      <c r="D43" s="38">
        <f t="shared" si="5"/>
        <v>1</v>
      </c>
      <c r="E43" s="38"/>
      <c r="F43" s="38"/>
      <c r="G43" s="55" t="s">
        <v>41</v>
      </c>
      <c r="H43" s="38" t="s">
        <v>455</v>
      </c>
      <c r="I43" s="38">
        <v>64271</v>
      </c>
      <c r="J43" s="38">
        <v>3383</v>
      </c>
      <c r="K43" s="38" t="s">
        <v>20</v>
      </c>
      <c r="L43" s="38">
        <v>1</v>
      </c>
      <c r="M43" s="56">
        <v>690300</v>
      </c>
      <c r="N43" s="56">
        <f t="shared" si="6"/>
        <v>690300</v>
      </c>
      <c r="O43" s="38"/>
      <c r="P43" s="38">
        <f t="shared" si="3"/>
        <v>30</v>
      </c>
      <c r="T43"/>
      <c r="U43"/>
      <c r="V43"/>
      <c r="W43"/>
      <c r="X43"/>
      <c r="Y43"/>
    </row>
    <row r="44" spans="1:25" ht="15" hidden="1" customHeight="1" x14ac:dyDescent="0.25">
      <c r="A44" s="38" t="s">
        <v>18</v>
      </c>
      <c r="B44" s="62" t="s">
        <v>436</v>
      </c>
      <c r="C44" s="38">
        <f t="shared" si="4"/>
        <v>130</v>
      </c>
      <c r="D44" s="38">
        <f t="shared" si="5"/>
        <v>1</v>
      </c>
      <c r="E44" s="38"/>
      <c r="F44" s="38"/>
      <c r="G44" s="55" t="s">
        <v>89</v>
      </c>
      <c r="H44" s="38" t="s">
        <v>836</v>
      </c>
      <c r="I44" s="38">
        <v>64277</v>
      </c>
      <c r="J44" s="38">
        <v>331</v>
      </c>
      <c r="K44" s="38" t="s">
        <v>20</v>
      </c>
      <c r="L44" s="38">
        <v>1</v>
      </c>
      <c r="M44" s="56">
        <v>16667</v>
      </c>
      <c r="N44" s="56">
        <f t="shared" si="6"/>
        <v>16667</v>
      </c>
      <c r="O44" s="38"/>
      <c r="P44" s="38">
        <f t="shared" si="3"/>
        <v>91</v>
      </c>
      <c r="T44"/>
      <c r="U44"/>
      <c r="V44"/>
      <c r="W44"/>
      <c r="X44"/>
      <c r="Y44"/>
    </row>
    <row r="45" spans="1:25" ht="15" hidden="1" customHeight="1" x14ac:dyDescent="0.25">
      <c r="A45" s="38" t="s">
        <v>18</v>
      </c>
      <c r="B45" s="62" t="s">
        <v>436</v>
      </c>
      <c r="C45" s="38">
        <f t="shared" si="4"/>
        <v>130</v>
      </c>
      <c r="D45" s="38">
        <f t="shared" si="5"/>
        <v>0</v>
      </c>
      <c r="E45" s="38"/>
      <c r="F45" s="38"/>
      <c r="G45" s="55" t="s">
        <v>89</v>
      </c>
      <c r="H45" s="38" t="s">
        <v>836</v>
      </c>
      <c r="I45" s="38">
        <v>1331</v>
      </c>
      <c r="J45" s="38">
        <v>331</v>
      </c>
      <c r="K45" s="38" t="s">
        <v>20</v>
      </c>
      <c r="L45" s="38">
        <v>1</v>
      </c>
      <c r="M45" s="56">
        <v>1333</v>
      </c>
      <c r="N45" s="56">
        <f t="shared" si="6"/>
        <v>1333</v>
      </c>
      <c r="O45" s="38"/>
      <c r="P45" s="38">
        <f t="shared" si="3"/>
        <v>91</v>
      </c>
      <c r="T45"/>
      <c r="U45"/>
      <c r="V45"/>
      <c r="W45"/>
      <c r="X45"/>
      <c r="Y45"/>
    </row>
    <row r="46" spans="1:25" ht="15" hidden="1" customHeight="1" x14ac:dyDescent="0.25">
      <c r="A46" s="12" t="s">
        <v>18</v>
      </c>
      <c r="B46" s="36" t="s">
        <v>542</v>
      </c>
      <c r="C46" s="38">
        <f t="shared" si="4"/>
        <v>131</v>
      </c>
      <c r="D46" s="38">
        <f t="shared" si="5"/>
        <v>1</v>
      </c>
      <c r="G46" s="14" t="s">
        <v>846</v>
      </c>
      <c r="H46" s="12" t="s">
        <v>851</v>
      </c>
      <c r="I46" s="12">
        <v>131</v>
      </c>
      <c r="J46" s="12">
        <v>5113</v>
      </c>
      <c r="K46" s="38" t="s">
        <v>20</v>
      </c>
      <c r="L46" s="38">
        <v>1</v>
      </c>
      <c r="M46" s="17">
        <v>27272727</v>
      </c>
      <c r="N46" s="56">
        <f t="shared" si="6"/>
        <v>27272727</v>
      </c>
      <c r="P46" s="38">
        <f t="shared" si="3"/>
        <v>186</v>
      </c>
      <c r="T46"/>
      <c r="U46"/>
      <c r="V46"/>
      <c r="W46"/>
      <c r="X46"/>
      <c r="Y46"/>
    </row>
    <row r="47" spans="1:25" ht="15" customHeight="1" x14ac:dyDescent="0.25">
      <c r="A47" s="12" t="s">
        <v>18</v>
      </c>
      <c r="B47" s="36" t="s">
        <v>542</v>
      </c>
      <c r="C47" s="38">
        <f t="shared" si="4"/>
        <v>132</v>
      </c>
      <c r="D47" s="38">
        <f t="shared" si="5"/>
        <v>1</v>
      </c>
      <c r="G47" s="14" t="s">
        <v>846</v>
      </c>
      <c r="H47" s="12" t="s">
        <v>2665</v>
      </c>
      <c r="I47" s="12">
        <v>333821</v>
      </c>
      <c r="J47" s="12">
        <v>131</v>
      </c>
      <c r="K47" s="38" t="s">
        <v>20</v>
      </c>
      <c r="L47" s="38">
        <v>1</v>
      </c>
      <c r="M47" s="17">
        <v>272727</v>
      </c>
      <c r="N47" s="56">
        <f t="shared" si="6"/>
        <v>272727</v>
      </c>
      <c r="P47" s="38">
        <f t="shared" si="3"/>
        <v>160</v>
      </c>
      <c r="T47"/>
      <c r="U47"/>
      <c r="V47"/>
      <c r="W47"/>
      <c r="X47"/>
      <c r="Y47"/>
    </row>
    <row r="48" spans="1:25" ht="15" hidden="1" customHeight="1" x14ac:dyDescent="0.25">
      <c r="A48" s="38" t="s">
        <v>18</v>
      </c>
      <c r="B48" s="62" t="s">
        <v>475</v>
      </c>
      <c r="C48" s="38">
        <f t="shared" si="4"/>
        <v>133</v>
      </c>
      <c r="D48" s="38">
        <f t="shared" si="5"/>
        <v>1</v>
      </c>
      <c r="E48" s="38"/>
      <c r="F48" s="38"/>
      <c r="G48" s="55" t="s">
        <v>35</v>
      </c>
      <c r="H48" s="38" t="s">
        <v>837</v>
      </c>
      <c r="I48" s="38">
        <v>64277</v>
      </c>
      <c r="J48" s="38">
        <v>331</v>
      </c>
      <c r="K48" s="38" t="s">
        <v>20</v>
      </c>
      <c r="L48" s="38">
        <v>1</v>
      </c>
      <c r="M48" s="56">
        <v>2700000</v>
      </c>
      <c r="N48" s="56">
        <f t="shared" si="6"/>
        <v>2700000</v>
      </c>
      <c r="O48" s="38"/>
      <c r="P48" s="38">
        <f t="shared" si="3"/>
        <v>41</v>
      </c>
      <c r="T48"/>
      <c r="U48"/>
      <c r="V48"/>
      <c r="W48"/>
      <c r="X48"/>
      <c r="Y48"/>
    </row>
    <row r="49" spans="1:25" ht="15" hidden="1" customHeight="1" x14ac:dyDescent="0.25">
      <c r="A49" s="38" t="s">
        <v>18</v>
      </c>
      <c r="B49" s="62" t="s">
        <v>475</v>
      </c>
      <c r="C49" s="38">
        <f t="shared" si="4"/>
        <v>133</v>
      </c>
      <c r="D49" s="38">
        <f t="shared" si="5"/>
        <v>0</v>
      </c>
      <c r="E49" s="38"/>
      <c r="F49" s="38"/>
      <c r="G49" s="55" t="s">
        <v>35</v>
      </c>
      <c r="H49" s="38" t="s">
        <v>837</v>
      </c>
      <c r="I49" s="38">
        <v>1331</v>
      </c>
      <c r="J49" s="38">
        <v>331</v>
      </c>
      <c r="K49" s="38" t="s">
        <v>20</v>
      </c>
      <c r="L49" s="38">
        <v>1</v>
      </c>
      <c r="M49" s="56">
        <v>216000</v>
      </c>
      <c r="N49" s="56">
        <f t="shared" si="6"/>
        <v>216000</v>
      </c>
      <c r="O49" s="38"/>
      <c r="P49" s="38">
        <f t="shared" si="3"/>
        <v>41</v>
      </c>
      <c r="T49"/>
      <c r="U49"/>
      <c r="V49"/>
      <c r="W49"/>
      <c r="X49"/>
      <c r="Y49"/>
    </row>
    <row r="50" spans="1:25" ht="15" hidden="1" customHeight="1" x14ac:dyDescent="0.25">
      <c r="A50" s="38" t="s">
        <v>18</v>
      </c>
      <c r="B50" s="62" t="s">
        <v>438</v>
      </c>
      <c r="C50" s="38">
        <f t="shared" si="4"/>
        <v>134</v>
      </c>
      <c r="D50" s="38">
        <f t="shared" si="5"/>
        <v>1</v>
      </c>
      <c r="E50" s="38"/>
      <c r="F50" s="38"/>
      <c r="G50" s="55" t="s">
        <v>256</v>
      </c>
      <c r="H50" s="38" t="s">
        <v>839</v>
      </c>
      <c r="I50" s="38">
        <v>64277</v>
      </c>
      <c r="J50" s="38">
        <v>331</v>
      </c>
      <c r="K50" s="38" t="s">
        <v>20</v>
      </c>
      <c r="L50" s="38">
        <v>1</v>
      </c>
      <c r="M50" s="56">
        <v>1687401</v>
      </c>
      <c r="N50" s="56">
        <f t="shared" si="6"/>
        <v>1687401</v>
      </c>
      <c r="O50" s="38"/>
      <c r="P50" s="38">
        <f t="shared" si="3"/>
        <v>52</v>
      </c>
      <c r="T50"/>
      <c r="U50"/>
      <c r="V50"/>
      <c r="W50"/>
      <c r="X50"/>
      <c r="Y50"/>
    </row>
    <row r="51" spans="1:25" ht="15" hidden="1" customHeight="1" x14ac:dyDescent="0.25">
      <c r="A51" s="38" t="s">
        <v>18</v>
      </c>
      <c r="B51" s="62" t="s">
        <v>438</v>
      </c>
      <c r="C51" s="38">
        <f t="shared" si="4"/>
        <v>134</v>
      </c>
      <c r="D51" s="38">
        <f t="shared" si="5"/>
        <v>0</v>
      </c>
      <c r="E51" s="38"/>
      <c r="F51" s="38"/>
      <c r="G51" s="55" t="s">
        <v>256</v>
      </c>
      <c r="H51" s="38" t="s">
        <v>839</v>
      </c>
      <c r="I51" s="38">
        <v>1331</v>
      </c>
      <c r="J51" s="38">
        <v>331</v>
      </c>
      <c r="K51" s="38" t="s">
        <v>20</v>
      </c>
      <c r="L51" s="38">
        <v>1</v>
      </c>
      <c r="M51" s="56">
        <v>0</v>
      </c>
      <c r="N51" s="56">
        <f t="shared" si="6"/>
        <v>0</v>
      </c>
      <c r="O51" s="38"/>
      <c r="P51" s="38">
        <f t="shared" si="3"/>
        <v>52</v>
      </c>
      <c r="T51"/>
      <c r="U51"/>
      <c r="V51"/>
      <c r="W51"/>
      <c r="X51"/>
      <c r="Y51"/>
    </row>
    <row r="52" spans="1:25" ht="15" hidden="1" customHeight="1" x14ac:dyDescent="0.25">
      <c r="A52" s="38" t="s">
        <v>18</v>
      </c>
      <c r="B52" s="62" t="s">
        <v>438</v>
      </c>
      <c r="C52" s="38">
        <f t="shared" si="4"/>
        <v>135</v>
      </c>
      <c r="D52" s="38">
        <f t="shared" si="5"/>
        <v>1</v>
      </c>
      <c r="E52" s="38"/>
      <c r="F52" s="38"/>
      <c r="G52" s="55" t="s">
        <v>256</v>
      </c>
      <c r="H52" s="38" t="s">
        <v>838</v>
      </c>
      <c r="I52" s="38">
        <v>64277</v>
      </c>
      <c r="J52" s="38">
        <v>331</v>
      </c>
      <c r="K52" s="38" t="s">
        <v>20</v>
      </c>
      <c r="L52" s="38">
        <v>1</v>
      </c>
      <c r="M52" s="56">
        <v>870684</v>
      </c>
      <c r="N52" s="56">
        <f t="shared" si="6"/>
        <v>870684</v>
      </c>
      <c r="O52" s="38"/>
      <c r="P52" s="38">
        <f t="shared" si="3"/>
        <v>52</v>
      </c>
      <c r="T52"/>
      <c r="U52"/>
      <c r="V52"/>
      <c r="W52"/>
      <c r="X52"/>
      <c r="Y52"/>
    </row>
    <row r="53" spans="1:25" ht="15" hidden="1" customHeight="1" x14ac:dyDescent="0.25">
      <c r="A53" s="38" t="s">
        <v>18</v>
      </c>
      <c r="B53" s="62" t="s">
        <v>438</v>
      </c>
      <c r="C53" s="38">
        <f t="shared" si="4"/>
        <v>135</v>
      </c>
      <c r="D53" s="38">
        <f t="shared" si="5"/>
        <v>0</v>
      </c>
      <c r="E53" s="38"/>
      <c r="F53" s="38"/>
      <c r="G53" s="55" t="s">
        <v>256</v>
      </c>
      <c r="H53" s="38" t="s">
        <v>838</v>
      </c>
      <c r="I53" s="38">
        <v>1331</v>
      </c>
      <c r="J53" s="38">
        <v>331</v>
      </c>
      <c r="K53" s="38" t="s">
        <v>20</v>
      </c>
      <c r="L53" s="38">
        <v>1</v>
      </c>
      <c r="M53" s="56">
        <v>0</v>
      </c>
      <c r="N53" s="56">
        <f t="shared" si="6"/>
        <v>0</v>
      </c>
      <c r="O53" s="38"/>
      <c r="P53" s="38">
        <f t="shared" si="3"/>
        <v>52</v>
      </c>
      <c r="T53"/>
      <c r="U53"/>
      <c r="V53"/>
      <c r="W53"/>
      <c r="X53"/>
      <c r="Y53"/>
    </row>
    <row r="54" spans="1:25" ht="15" hidden="1" customHeight="1" x14ac:dyDescent="0.25">
      <c r="A54" s="38" t="s">
        <v>18</v>
      </c>
      <c r="B54" s="62" t="s">
        <v>440</v>
      </c>
      <c r="C54" s="38">
        <f t="shared" si="4"/>
        <v>136</v>
      </c>
      <c r="D54" s="38">
        <f t="shared" si="5"/>
        <v>1</v>
      </c>
      <c r="E54" s="38"/>
      <c r="F54" s="38"/>
      <c r="G54" s="55" t="s">
        <v>829</v>
      </c>
      <c r="H54" s="38" t="s">
        <v>840</v>
      </c>
      <c r="I54" s="38">
        <v>64277</v>
      </c>
      <c r="J54" s="38">
        <v>331</v>
      </c>
      <c r="K54" s="38" t="s">
        <v>20</v>
      </c>
      <c r="L54" s="38">
        <v>1</v>
      </c>
      <c r="M54" s="56">
        <v>1362078</v>
      </c>
      <c r="N54" s="56">
        <f t="shared" si="6"/>
        <v>1362078</v>
      </c>
      <c r="O54" s="38"/>
      <c r="P54" s="38">
        <f t="shared" si="3"/>
        <v>12</v>
      </c>
      <c r="T54"/>
      <c r="U54"/>
      <c r="V54"/>
      <c r="W54"/>
      <c r="X54"/>
      <c r="Y54"/>
    </row>
    <row r="55" spans="1:25" ht="15" hidden="1" customHeight="1" x14ac:dyDescent="0.25">
      <c r="A55" s="38" t="s">
        <v>18</v>
      </c>
      <c r="B55" s="62" t="s">
        <v>440</v>
      </c>
      <c r="C55" s="38">
        <f t="shared" si="4"/>
        <v>136</v>
      </c>
      <c r="D55" s="38">
        <f t="shared" si="5"/>
        <v>0</v>
      </c>
      <c r="E55" s="38"/>
      <c r="F55" s="38"/>
      <c r="G55" s="55" t="s">
        <v>829</v>
      </c>
      <c r="H55" s="38" t="s">
        <v>840</v>
      </c>
      <c r="I55" s="38">
        <v>1331</v>
      </c>
      <c r="J55" s="38">
        <v>331</v>
      </c>
      <c r="K55" s="38" t="s">
        <v>20</v>
      </c>
      <c r="L55" s="38">
        <v>1</v>
      </c>
      <c r="M55" s="56">
        <v>0</v>
      </c>
      <c r="N55" s="56">
        <f t="shared" si="6"/>
        <v>0</v>
      </c>
      <c r="O55" s="38"/>
      <c r="P55" s="38">
        <f t="shared" si="3"/>
        <v>12</v>
      </c>
      <c r="T55"/>
      <c r="U55"/>
      <c r="V55"/>
      <c r="W55"/>
      <c r="X55"/>
      <c r="Y55"/>
    </row>
    <row r="56" spans="1:25" ht="15" hidden="1" customHeight="1" x14ac:dyDescent="0.25">
      <c r="A56" s="38" t="s">
        <v>18</v>
      </c>
      <c r="B56" s="62" t="s">
        <v>828</v>
      </c>
      <c r="C56" s="38">
        <f t="shared" si="4"/>
        <v>137</v>
      </c>
      <c r="D56" s="38">
        <f t="shared" si="5"/>
        <v>1</v>
      </c>
      <c r="E56" s="38"/>
      <c r="F56" s="38"/>
      <c r="G56" s="55" t="s">
        <v>829</v>
      </c>
      <c r="H56" s="38" t="s">
        <v>841</v>
      </c>
      <c r="I56" s="38">
        <v>64277</v>
      </c>
      <c r="J56" s="38">
        <v>331</v>
      </c>
      <c r="K56" s="38" t="s">
        <v>20</v>
      </c>
      <c r="L56" s="38">
        <v>1</v>
      </c>
      <c r="M56" s="56">
        <v>909091</v>
      </c>
      <c r="N56" s="56">
        <f t="shared" si="6"/>
        <v>909091</v>
      </c>
      <c r="O56" s="38"/>
      <c r="P56" s="38">
        <f t="shared" si="3"/>
        <v>11</v>
      </c>
      <c r="T56"/>
      <c r="U56"/>
      <c r="V56"/>
      <c r="W56"/>
      <c r="X56"/>
      <c r="Y56"/>
    </row>
    <row r="57" spans="1:25" ht="15" hidden="1" customHeight="1" x14ac:dyDescent="0.25">
      <c r="A57" s="38" t="s">
        <v>18</v>
      </c>
      <c r="B57" s="62" t="s">
        <v>828</v>
      </c>
      <c r="C57" s="38">
        <f t="shared" si="4"/>
        <v>137</v>
      </c>
      <c r="D57" s="38">
        <f t="shared" si="5"/>
        <v>0</v>
      </c>
      <c r="E57" s="38"/>
      <c r="F57" s="38"/>
      <c r="G57" s="55" t="s">
        <v>829</v>
      </c>
      <c r="H57" s="38" t="s">
        <v>841</v>
      </c>
      <c r="I57" s="38">
        <v>1331</v>
      </c>
      <c r="J57" s="38">
        <v>331</v>
      </c>
      <c r="K57" s="38" t="s">
        <v>20</v>
      </c>
      <c r="L57" s="38">
        <v>1</v>
      </c>
      <c r="M57" s="56">
        <v>90909</v>
      </c>
      <c r="N57" s="56">
        <f t="shared" si="6"/>
        <v>90909</v>
      </c>
      <c r="O57" s="38"/>
      <c r="P57" s="38">
        <f t="shared" si="3"/>
        <v>11</v>
      </c>
      <c r="T57"/>
      <c r="U57"/>
      <c r="V57"/>
      <c r="W57"/>
      <c r="X57"/>
      <c r="Y57"/>
    </row>
    <row r="58" spans="1:25" ht="15" hidden="1" customHeight="1" x14ac:dyDescent="0.25">
      <c r="A58" s="38" t="s">
        <v>18</v>
      </c>
      <c r="B58" s="62">
        <v>46081</v>
      </c>
      <c r="C58" s="38">
        <f t="shared" si="4"/>
        <v>138</v>
      </c>
      <c r="D58" s="38">
        <f t="shared" si="5"/>
        <v>1</v>
      </c>
      <c r="E58" s="38"/>
      <c r="F58" s="38"/>
      <c r="G58" s="55" t="s">
        <v>41</v>
      </c>
      <c r="H58" s="38" t="s">
        <v>456</v>
      </c>
      <c r="I58" s="38">
        <v>64271</v>
      </c>
      <c r="J58" s="38">
        <v>3383</v>
      </c>
      <c r="K58" s="38" t="s">
        <v>20</v>
      </c>
      <c r="L58" s="38">
        <v>1</v>
      </c>
      <c r="M58" s="56">
        <v>690300</v>
      </c>
      <c r="N58" s="56">
        <f t="shared" si="6"/>
        <v>690300</v>
      </c>
      <c r="O58" s="38"/>
      <c r="P58" s="38">
        <f t="shared" si="3"/>
        <v>30</v>
      </c>
      <c r="T58"/>
      <c r="U58"/>
      <c r="V58"/>
      <c r="W58"/>
      <c r="X58"/>
      <c r="Y58"/>
    </row>
    <row r="59" spans="1:25" ht="15" hidden="1" customHeight="1" x14ac:dyDescent="0.25">
      <c r="A59" s="38" t="s">
        <v>18</v>
      </c>
      <c r="B59" s="62" t="s">
        <v>554</v>
      </c>
      <c r="C59" s="38">
        <f t="shared" si="4"/>
        <v>139</v>
      </c>
      <c r="D59" s="38">
        <f t="shared" si="5"/>
        <v>1</v>
      </c>
      <c r="E59" s="38"/>
      <c r="F59" s="38"/>
      <c r="G59" s="55" t="s">
        <v>483</v>
      </c>
      <c r="H59" s="38" t="s">
        <v>842</v>
      </c>
      <c r="I59" s="38">
        <v>64277</v>
      </c>
      <c r="J59" s="38">
        <v>331</v>
      </c>
      <c r="K59" s="38" t="s">
        <v>20</v>
      </c>
      <c r="L59" s="38">
        <v>1</v>
      </c>
      <c r="M59" s="56">
        <v>5880000</v>
      </c>
      <c r="N59" s="56">
        <f t="shared" si="6"/>
        <v>5880000</v>
      </c>
      <c r="O59" s="38"/>
      <c r="P59" s="38">
        <f t="shared" si="3"/>
        <v>185</v>
      </c>
      <c r="T59"/>
      <c r="U59"/>
      <c r="V59"/>
      <c r="W59"/>
      <c r="X59"/>
      <c r="Y59"/>
    </row>
    <row r="60" spans="1:25" ht="15" hidden="1" customHeight="1" x14ac:dyDescent="0.25">
      <c r="A60" s="38" t="s">
        <v>18</v>
      </c>
      <c r="B60" s="62" t="s">
        <v>554</v>
      </c>
      <c r="C60" s="38">
        <f t="shared" si="4"/>
        <v>139</v>
      </c>
      <c r="D60" s="38">
        <f t="shared" si="5"/>
        <v>0</v>
      </c>
      <c r="E60" s="38"/>
      <c r="F60" s="38"/>
      <c r="G60" s="55" t="s">
        <v>483</v>
      </c>
      <c r="H60" s="38" t="s">
        <v>842</v>
      </c>
      <c r="I60" s="38">
        <v>1331</v>
      </c>
      <c r="J60" s="38">
        <v>331</v>
      </c>
      <c r="K60" s="38" t="s">
        <v>20</v>
      </c>
      <c r="L60" s="38">
        <v>1</v>
      </c>
      <c r="M60" s="56">
        <v>588000</v>
      </c>
      <c r="N60" s="56">
        <f t="shared" si="6"/>
        <v>588000</v>
      </c>
      <c r="O60" s="38"/>
      <c r="P60" s="38">
        <f t="shared" si="3"/>
        <v>185</v>
      </c>
      <c r="T60"/>
      <c r="U60"/>
      <c r="V60"/>
      <c r="W60"/>
      <c r="X60"/>
      <c r="Y60"/>
    </row>
    <row r="61" spans="1:25" ht="15" hidden="1" customHeight="1" x14ac:dyDescent="0.25">
      <c r="A61" s="38" t="s">
        <v>18</v>
      </c>
      <c r="B61" s="62" t="s">
        <v>555</v>
      </c>
      <c r="C61" s="38">
        <f t="shared" si="4"/>
        <v>140</v>
      </c>
      <c r="D61" s="38">
        <f t="shared" si="5"/>
        <v>1</v>
      </c>
      <c r="E61" s="38"/>
      <c r="F61" s="38"/>
      <c r="G61" s="55" t="s">
        <v>35</v>
      </c>
      <c r="H61" s="38" t="s">
        <v>843</v>
      </c>
      <c r="I61" s="38">
        <v>64277</v>
      </c>
      <c r="J61" s="38">
        <v>331</v>
      </c>
      <c r="K61" s="38" t="s">
        <v>20</v>
      </c>
      <c r="L61" s="38">
        <v>1</v>
      </c>
      <c r="M61" s="56">
        <v>2700000</v>
      </c>
      <c r="N61" s="56">
        <f t="shared" si="6"/>
        <v>2700000</v>
      </c>
      <c r="O61" s="38"/>
      <c r="P61" s="38">
        <f t="shared" si="3"/>
        <v>41</v>
      </c>
      <c r="T61"/>
      <c r="U61"/>
      <c r="V61"/>
      <c r="W61"/>
      <c r="X61"/>
      <c r="Y61"/>
    </row>
    <row r="62" spans="1:25" ht="15" hidden="1" customHeight="1" x14ac:dyDescent="0.25">
      <c r="A62" s="38" t="s">
        <v>18</v>
      </c>
      <c r="B62" s="62" t="s">
        <v>555</v>
      </c>
      <c r="C62" s="38">
        <f t="shared" si="4"/>
        <v>140</v>
      </c>
      <c r="D62" s="38">
        <f t="shared" si="5"/>
        <v>0</v>
      </c>
      <c r="E62" s="38"/>
      <c r="F62" s="38"/>
      <c r="G62" s="55" t="s">
        <v>35</v>
      </c>
      <c r="H62" s="38" t="s">
        <v>843</v>
      </c>
      <c r="I62" s="38">
        <v>1331</v>
      </c>
      <c r="J62" s="38">
        <v>331</v>
      </c>
      <c r="K62" s="38" t="s">
        <v>20</v>
      </c>
      <c r="L62" s="38">
        <v>1</v>
      </c>
      <c r="M62" s="56">
        <v>216000</v>
      </c>
      <c r="N62" s="56">
        <f t="shared" si="6"/>
        <v>216000</v>
      </c>
      <c r="O62" s="38"/>
      <c r="P62" s="38">
        <f t="shared" si="3"/>
        <v>41</v>
      </c>
      <c r="T62"/>
      <c r="U62"/>
      <c r="V62"/>
      <c r="W62"/>
      <c r="X62"/>
      <c r="Y62"/>
    </row>
    <row r="63" spans="1:25" ht="15" hidden="1" customHeight="1" x14ac:dyDescent="0.25">
      <c r="A63" s="12" t="s">
        <v>18</v>
      </c>
      <c r="B63" s="36" t="s">
        <v>555</v>
      </c>
      <c r="C63" s="38">
        <f t="shared" si="4"/>
        <v>141</v>
      </c>
      <c r="D63" s="38">
        <f t="shared" si="5"/>
        <v>1</v>
      </c>
      <c r="G63" s="14" t="s">
        <v>29</v>
      </c>
      <c r="H63" s="12" t="s">
        <v>852</v>
      </c>
      <c r="I63" s="12">
        <v>131</v>
      </c>
      <c r="J63" s="12">
        <v>5113</v>
      </c>
      <c r="K63" s="38" t="s">
        <v>20</v>
      </c>
      <c r="L63" s="38">
        <v>1</v>
      </c>
      <c r="M63" s="17">
        <v>16666667</v>
      </c>
      <c r="N63" s="56">
        <f t="shared" si="6"/>
        <v>16666667</v>
      </c>
      <c r="P63" s="38">
        <f t="shared" si="3"/>
        <v>136</v>
      </c>
      <c r="T63"/>
      <c r="U63"/>
      <c r="V63"/>
      <c r="W63"/>
      <c r="X63"/>
      <c r="Y63"/>
    </row>
    <row r="64" spans="1:25" ht="15" customHeight="1" x14ac:dyDescent="0.25">
      <c r="A64" s="12" t="s">
        <v>18</v>
      </c>
      <c r="B64" s="36" t="s">
        <v>555</v>
      </c>
      <c r="C64" s="38">
        <f t="shared" si="4"/>
        <v>142</v>
      </c>
      <c r="D64" s="38">
        <f t="shared" si="5"/>
        <v>1</v>
      </c>
      <c r="G64" s="14" t="s">
        <v>29</v>
      </c>
      <c r="H64" s="12" t="s">
        <v>2634</v>
      </c>
      <c r="I64" s="12">
        <v>333821</v>
      </c>
      <c r="J64" s="12">
        <v>131</v>
      </c>
      <c r="K64" s="38" t="s">
        <v>20</v>
      </c>
      <c r="L64" s="38">
        <v>1</v>
      </c>
      <c r="M64" s="17">
        <v>166667</v>
      </c>
      <c r="N64" s="56">
        <f t="shared" si="6"/>
        <v>166667</v>
      </c>
      <c r="P64" s="38">
        <f t="shared" si="3"/>
        <v>152</v>
      </c>
      <c r="T64"/>
      <c r="U64"/>
      <c r="V64"/>
      <c r="W64"/>
      <c r="X64"/>
      <c r="Y64"/>
    </row>
    <row r="65" spans="1:25" ht="15" hidden="1" customHeight="1" x14ac:dyDescent="0.25">
      <c r="A65" s="12" t="s">
        <v>18</v>
      </c>
      <c r="B65" s="36" t="s">
        <v>557</v>
      </c>
      <c r="C65" s="38">
        <f t="shared" si="4"/>
        <v>143</v>
      </c>
      <c r="D65" s="38">
        <f t="shared" si="5"/>
        <v>1</v>
      </c>
      <c r="G65" s="14" t="s">
        <v>717</v>
      </c>
      <c r="H65" s="12" t="s">
        <v>853</v>
      </c>
      <c r="I65" s="12">
        <v>131</v>
      </c>
      <c r="J65" s="12">
        <v>5113</v>
      </c>
      <c r="K65" s="38" t="s">
        <v>20</v>
      </c>
      <c r="L65" s="38">
        <v>1</v>
      </c>
      <c r="M65" s="17">
        <v>40363636</v>
      </c>
      <c r="N65" s="56">
        <f t="shared" si="6"/>
        <v>40363636</v>
      </c>
      <c r="P65" s="38">
        <f t="shared" si="3"/>
        <v>100</v>
      </c>
      <c r="T65"/>
      <c r="U65"/>
      <c r="V65"/>
      <c r="W65"/>
      <c r="X65"/>
      <c r="Y65"/>
    </row>
    <row r="66" spans="1:25" ht="15" customHeight="1" x14ac:dyDescent="0.25">
      <c r="A66" s="12" t="s">
        <v>18</v>
      </c>
      <c r="B66" s="36" t="s">
        <v>557</v>
      </c>
      <c r="C66" s="38">
        <f t="shared" si="4"/>
        <v>144</v>
      </c>
      <c r="D66" s="38">
        <f t="shared" si="5"/>
        <v>1</v>
      </c>
      <c r="G66" s="14" t="s">
        <v>717</v>
      </c>
      <c r="H66" s="12" t="s">
        <v>2635</v>
      </c>
      <c r="I66" s="12">
        <v>333821</v>
      </c>
      <c r="J66" s="12">
        <v>131</v>
      </c>
      <c r="K66" s="38" t="s">
        <v>20</v>
      </c>
      <c r="L66" s="38">
        <v>1</v>
      </c>
      <c r="M66" s="17">
        <v>403636</v>
      </c>
      <c r="N66" s="56">
        <f t="shared" si="6"/>
        <v>403636</v>
      </c>
      <c r="P66" s="38">
        <f t="shared" si="3"/>
        <v>116</v>
      </c>
      <c r="T66"/>
      <c r="U66"/>
      <c r="V66"/>
      <c r="W66"/>
      <c r="X66"/>
      <c r="Y66"/>
    </row>
    <row r="67" spans="1:25" ht="15" hidden="1" customHeight="1" x14ac:dyDescent="0.25">
      <c r="A67" s="38" t="s">
        <v>18</v>
      </c>
      <c r="B67" s="62" t="s">
        <v>480</v>
      </c>
      <c r="C67" s="38">
        <f t="shared" si="4"/>
        <v>145</v>
      </c>
      <c r="D67" s="38">
        <f t="shared" si="5"/>
        <v>1</v>
      </c>
      <c r="E67" s="38"/>
      <c r="F67" s="38"/>
      <c r="G67" s="55" t="s">
        <v>256</v>
      </c>
      <c r="H67" s="38" t="s">
        <v>844</v>
      </c>
      <c r="I67" s="38">
        <v>64277</v>
      </c>
      <c r="J67" s="38">
        <v>331</v>
      </c>
      <c r="K67" s="38" t="s">
        <v>20</v>
      </c>
      <c r="L67" s="38">
        <v>1</v>
      </c>
      <c r="M67" s="56">
        <v>1344715</v>
      </c>
      <c r="N67" s="56">
        <f t="shared" si="6"/>
        <v>1344715</v>
      </c>
      <c r="O67" s="38"/>
      <c r="P67" s="38">
        <f t="shared" si="3"/>
        <v>52</v>
      </c>
      <c r="T67"/>
      <c r="U67"/>
      <c r="V67"/>
      <c r="W67"/>
      <c r="X67"/>
      <c r="Y67"/>
    </row>
    <row r="68" spans="1:25" ht="15" hidden="1" customHeight="1" x14ac:dyDescent="0.25">
      <c r="A68" s="38" t="s">
        <v>18</v>
      </c>
      <c r="B68" s="62" t="s">
        <v>480</v>
      </c>
      <c r="C68" s="38">
        <f t="shared" ref="C68:C97" si="7">C67+D68</f>
        <v>145</v>
      </c>
      <c r="D68" s="38">
        <f t="shared" ref="D68:D97" si="8">IF(H68=H67,0,1)</f>
        <v>0</v>
      </c>
      <c r="E68" s="38"/>
      <c r="F68" s="38"/>
      <c r="G68" s="55" t="s">
        <v>256</v>
      </c>
      <c r="H68" s="38" t="s">
        <v>844</v>
      </c>
      <c r="I68" s="38">
        <v>1331</v>
      </c>
      <c r="J68" s="38">
        <v>331</v>
      </c>
      <c r="K68" s="38" t="s">
        <v>20</v>
      </c>
      <c r="L68" s="38">
        <v>1</v>
      </c>
      <c r="M68" s="56">
        <v>0</v>
      </c>
      <c r="N68" s="56">
        <f t="shared" ref="N68:N97" si="9">L68*M68</f>
        <v>0</v>
      </c>
      <c r="O68" s="38"/>
      <c r="P68" s="38">
        <f t="shared" si="3"/>
        <v>52</v>
      </c>
      <c r="T68"/>
      <c r="U68"/>
      <c r="V68"/>
      <c r="W68"/>
      <c r="X68"/>
      <c r="Y68"/>
    </row>
    <row r="69" spans="1:25" ht="15" hidden="1" customHeight="1" x14ac:dyDescent="0.25">
      <c r="A69" s="38" t="s">
        <v>18</v>
      </c>
      <c r="B69" s="62" t="s">
        <v>662</v>
      </c>
      <c r="C69" s="38">
        <f t="shared" si="7"/>
        <v>146</v>
      </c>
      <c r="D69" s="38">
        <f t="shared" si="8"/>
        <v>1</v>
      </c>
      <c r="E69" s="38"/>
      <c r="F69" s="38"/>
      <c r="G69" s="55" t="s">
        <v>256</v>
      </c>
      <c r="H69" s="38" t="s">
        <v>845</v>
      </c>
      <c r="I69" s="38">
        <v>64277</v>
      </c>
      <c r="J69" s="38">
        <v>331</v>
      </c>
      <c r="K69" s="38" t="s">
        <v>20</v>
      </c>
      <c r="L69" s="38">
        <v>1</v>
      </c>
      <c r="M69" s="56">
        <v>777074</v>
      </c>
      <c r="N69" s="56">
        <f t="shared" si="9"/>
        <v>777074</v>
      </c>
      <c r="O69" s="38"/>
      <c r="P69" s="38">
        <f t="shared" ref="P69:P97" si="10">LEN(H69)</f>
        <v>52</v>
      </c>
      <c r="T69"/>
      <c r="U69"/>
      <c r="V69"/>
      <c r="W69"/>
      <c r="X69"/>
      <c r="Y69"/>
    </row>
    <row r="70" spans="1:25" ht="15" hidden="1" customHeight="1" x14ac:dyDescent="0.25">
      <c r="A70" s="38" t="s">
        <v>18</v>
      </c>
      <c r="B70" s="62" t="s">
        <v>662</v>
      </c>
      <c r="C70" s="38">
        <f t="shared" si="7"/>
        <v>146</v>
      </c>
      <c r="D70" s="38">
        <f t="shared" si="8"/>
        <v>0</v>
      </c>
      <c r="E70" s="38"/>
      <c r="F70" s="38"/>
      <c r="G70" s="55" t="s">
        <v>256</v>
      </c>
      <c r="H70" s="38" t="s">
        <v>845</v>
      </c>
      <c r="I70" s="38">
        <v>1331</v>
      </c>
      <c r="J70" s="38">
        <v>331</v>
      </c>
      <c r="K70" s="38" t="s">
        <v>20</v>
      </c>
      <c r="L70" s="38">
        <v>1</v>
      </c>
      <c r="M70" s="56">
        <v>0</v>
      </c>
      <c r="N70" s="56">
        <f t="shared" si="9"/>
        <v>0</v>
      </c>
      <c r="O70" s="38"/>
      <c r="P70" s="38">
        <f t="shared" si="10"/>
        <v>52</v>
      </c>
      <c r="T70"/>
      <c r="U70"/>
      <c r="V70"/>
      <c r="W70"/>
      <c r="X70"/>
      <c r="Y70"/>
    </row>
    <row r="71" spans="1:25" ht="15" hidden="1" customHeight="1" x14ac:dyDescent="0.25">
      <c r="A71" s="38" t="s">
        <v>18</v>
      </c>
      <c r="B71" s="62">
        <v>46112</v>
      </c>
      <c r="C71" s="38">
        <f t="shared" si="7"/>
        <v>147</v>
      </c>
      <c r="D71" s="38">
        <f t="shared" si="8"/>
        <v>1</v>
      </c>
      <c r="E71" s="38"/>
      <c r="F71" s="38"/>
      <c r="G71" s="55" t="s">
        <v>41</v>
      </c>
      <c r="H71" s="38" t="s">
        <v>457</v>
      </c>
      <c r="I71" s="38">
        <v>64271</v>
      </c>
      <c r="J71" s="38">
        <v>3383</v>
      </c>
      <c r="K71" s="38" t="s">
        <v>20</v>
      </c>
      <c r="L71" s="38">
        <v>1</v>
      </c>
      <c r="M71" s="56">
        <v>690300</v>
      </c>
      <c r="N71" s="56">
        <f t="shared" si="9"/>
        <v>690300</v>
      </c>
      <c r="O71" s="38"/>
      <c r="P71" s="38">
        <f t="shared" si="10"/>
        <v>30</v>
      </c>
      <c r="T71"/>
      <c r="U71"/>
      <c r="V71"/>
      <c r="W71"/>
      <c r="X71"/>
      <c r="Y71"/>
    </row>
    <row r="72" spans="1:25" ht="15" hidden="1" customHeight="1" x14ac:dyDescent="0.25">
      <c r="A72" s="12" t="s">
        <v>18</v>
      </c>
      <c r="B72" s="36" t="s">
        <v>507</v>
      </c>
      <c r="C72" s="38">
        <f t="shared" si="7"/>
        <v>148</v>
      </c>
      <c r="D72" s="38">
        <f t="shared" si="8"/>
        <v>1</v>
      </c>
      <c r="G72" s="14" t="s">
        <v>714</v>
      </c>
      <c r="H72" s="12" t="s">
        <v>854</v>
      </c>
      <c r="I72" s="12">
        <v>131</v>
      </c>
      <c r="J72" s="12">
        <v>5113</v>
      </c>
      <c r="K72" s="38" t="s">
        <v>20</v>
      </c>
      <c r="L72" s="38">
        <v>1</v>
      </c>
      <c r="M72" s="17">
        <v>38545455</v>
      </c>
      <c r="N72" s="56">
        <f t="shared" si="9"/>
        <v>38545455</v>
      </c>
      <c r="P72" s="38">
        <f t="shared" si="10"/>
        <v>160</v>
      </c>
      <c r="T72"/>
      <c r="U72"/>
      <c r="V72"/>
      <c r="W72"/>
      <c r="X72"/>
      <c r="Y72"/>
    </row>
    <row r="73" spans="1:25" ht="15" customHeight="1" x14ac:dyDescent="0.25">
      <c r="A73" s="12" t="s">
        <v>18</v>
      </c>
      <c r="B73" s="36" t="s">
        <v>507</v>
      </c>
      <c r="C73" s="38">
        <f t="shared" si="7"/>
        <v>149</v>
      </c>
      <c r="D73" s="38">
        <f t="shared" si="8"/>
        <v>1</v>
      </c>
      <c r="G73" s="14" t="s">
        <v>714</v>
      </c>
      <c r="H73" s="12" t="s">
        <v>2636</v>
      </c>
      <c r="I73" s="12">
        <v>333821</v>
      </c>
      <c r="J73" s="12">
        <v>131</v>
      </c>
      <c r="K73" s="38" t="s">
        <v>20</v>
      </c>
      <c r="L73" s="38">
        <v>1</v>
      </c>
      <c r="M73" s="17">
        <v>385455</v>
      </c>
      <c r="N73" s="56">
        <f t="shared" si="9"/>
        <v>385455</v>
      </c>
      <c r="P73" s="38">
        <f t="shared" si="10"/>
        <v>176</v>
      </c>
      <c r="T73"/>
      <c r="U73"/>
      <c r="V73"/>
      <c r="W73"/>
      <c r="X73"/>
      <c r="Y73"/>
    </row>
    <row r="74" spans="1:25" ht="15" hidden="1" customHeight="1" x14ac:dyDescent="0.25">
      <c r="A74" s="12" t="s">
        <v>18</v>
      </c>
      <c r="B74" s="36" t="s">
        <v>507</v>
      </c>
      <c r="C74" s="38">
        <f t="shared" si="7"/>
        <v>150</v>
      </c>
      <c r="D74" s="38">
        <f t="shared" si="8"/>
        <v>1</v>
      </c>
      <c r="G74" s="14" t="s">
        <v>53</v>
      </c>
      <c r="H74" s="12" t="s">
        <v>855</v>
      </c>
      <c r="I74" s="12">
        <v>131</v>
      </c>
      <c r="J74" s="12">
        <v>5113</v>
      </c>
      <c r="K74" s="38" t="s">
        <v>20</v>
      </c>
      <c r="L74" s="38">
        <v>1</v>
      </c>
      <c r="M74" s="17">
        <v>20000000</v>
      </c>
      <c r="N74" s="56">
        <f t="shared" si="9"/>
        <v>20000000</v>
      </c>
      <c r="P74" s="38">
        <f t="shared" si="10"/>
        <v>174</v>
      </c>
      <c r="T74"/>
      <c r="U74"/>
      <c r="V74"/>
      <c r="W74"/>
      <c r="X74"/>
      <c r="Y74"/>
    </row>
    <row r="75" spans="1:25" ht="15" customHeight="1" x14ac:dyDescent="0.25">
      <c r="A75" s="12" t="s">
        <v>18</v>
      </c>
      <c r="B75" s="36" t="s">
        <v>507</v>
      </c>
      <c r="C75" s="38">
        <f t="shared" si="7"/>
        <v>151</v>
      </c>
      <c r="D75" s="38">
        <f t="shared" si="8"/>
        <v>1</v>
      </c>
      <c r="G75" s="14" t="s">
        <v>53</v>
      </c>
      <c r="H75" s="12" t="s">
        <v>2637</v>
      </c>
      <c r="I75" s="12">
        <v>333821</v>
      </c>
      <c r="J75" s="12">
        <v>131</v>
      </c>
      <c r="K75" s="38" t="s">
        <v>20</v>
      </c>
      <c r="L75" s="38">
        <v>1</v>
      </c>
      <c r="M75" s="17">
        <v>200000</v>
      </c>
      <c r="N75" s="56">
        <f t="shared" si="9"/>
        <v>200000</v>
      </c>
      <c r="P75" s="38">
        <f t="shared" si="10"/>
        <v>190</v>
      </c>
      <c r="T75"/>
      <c r="U75"/>
      <c r="V75"/>
      <c r="W75"/>
      <c r="X75"/>
      <c r="Y75"/>
    </row>
    <row r="76" spans="1:25" ht="15" hidden="1" customHeight="1" x14ac:dyDescent="0.25">
      <c r="A76" s="12" t="s">
        <v>308</v>
      </c>
      <c r="B76" s="36" t="s">
        <v>643</v>
      </c>
      <c r="C76" s="38">
        <f t="shared" si="7"/>
        <v>152</v>
      </c>
      <c r="D76" s="38">
        <f t="shared" si="8"/>
        <v>1</v>
      </c>
      <c r="G76" s="14" t="s">
        <v>79</v>
      </c>
      <c r="H76" s="12" t="s">
        <v>2611</v>
      </c>
      <c r="I76" s="12">
        <v>1111</v>
      </c>
      <c r="J76" s="12">
        <v>112121</v>
      </c>
      <c r="K76" s="38" t="s">
        <v>20</v>
      </c>
      <c r="L76" s="38">
        <v>1</v>
      </c>
      <c r="M76" s="17">
        <v>10000000</v>
      </c>
      <c r="N76" s="56">
        <f t="shared" si="9"/>
        <v>10000000</v>
      </c>
      <c r="P76" s="38">
        <f t="shared" si="10"/>
        <v>12</v>
      </c>
      <c r="T76"/>
      <c r="U76"/>
      <c r="V76"/>
      <c r="W76"/>
      <c r="X76"/>
      <c r="Y76"/>
    </row>
    <row r="77" spans="1:25" ht="15" hidden="1" customHeight="1" x14ac:dyDescent="0.25">
      <c r="A77" s="12" t="s">
        <v>308</v>
      </c>
      <c r="B77" s="36" t="s">
        <v>534</v>
      </c>
      <c r="C77" s="38">
        <f t="shared" si="7"/>
        <v>152</v>
      </c>
      <c r="D77" s="38">
        <f t="shared" si="8"/>
        <v>0</v>
      </c>
      <c r="G77" s="14" t="s">
        <v>79</v>
      </c>
      <c r="H77" s="12" t="s">
        <v>2611</v>
      </c>
      <c r="I77" s="12">
        <v>1111</v>
      </c>
      <c r="J77" s="12">
        <v>112121</v>
      </c>
      <c r="K77" s="38" t="s">
        <v>20</v>
      </c>
      <c r="L77" s="38">
        <v>1</v>
      </c>
      <c r="M77" s="17">
        <v>10000000</v>
      </c>
      <c r="N77" s="56">
        <f t="shared" si="9"/>
        <v>10000000</v>
      </c>
      <c r="P77" s="38">
        <f t="shared" si="10"/>
        <v>12</v>
      </c>
      <c r="T77"/>
      <c r="U77"/>
      <c r="V77"/>
      <c r="W77"/>
      <c r="X77"/>
      <c r="Y77"/>
    </row>
    <row r="78" spans="1:25" ht="15" hidden="1" customHeight="1" x14ac:dyDescent="0.25">
      <c r="A78" s="12" t="s">
        <v>309</v>
      </c>
      <c r="B78" s="36" t="s">
        <v>536</v>
      </c>
      <c r="C78" s="38">
        <f t="shared" si="7"/>
        <v>153</v>
      </c>
      <c r="D78" s="38">
        <f t="shared" si="8"/>
        <v>1</v>
      </c>
      <c r="G78" s="14" t="s">
        <v>281</v>
      </c>
      <c r="H78" s="12" t="s">
        <v>2654</v>
      </c>
      <c r="I78" s="12">
        <v>112121</v>
      </c>
      <c r="J78" s="12">
        <v>131</v>
      </c>
      <c r="K78" s="38" t="s">
        <v>20</v>
      </c>
      <c r="L78" s="38">
        <v>1</v>
      </c>
      <c r="M78" s="17">
        <v>11000000</v>
      </c>
      <c r="N78" s="56">
        <f t="shared" si="9"/>
        <v>11000000</v>
      </c>
      <c r="P78" s="38">
        <f t="shared" si="10"/>
        <v>101</v>
      </c>
      <c r="T78"/>
      <c r="U78"/>
      <c r="V78"/>
      <c r="W78"/>
      <c r="X78"/>
      <c r="Y78"/>
    </row>
    <row r="79" spans="1:25" ht="15" hidden="1" customHeight="1" x14ac:dyDescent="0.25">
      <c r="A79" s="12" t="s">
        <v>309</v>
      </c>
      <c r="B79" s="36" t="s">
        <v>644</v>
      </c>
      <c r="C79" s="38">
        <f t="shared" si="7"/>
        <v>154</v>
      </c>
      <c r="D79" s="38">
        <f t="shared" si="8"/>
        <v>1</v>
      </c>
      <c r="G79" s="14" t="s">
        <v>303</v>
      </c>
      <c r="H79" s="12" t="s">
        <v>2655</v>
      </c>
      <c r="I79" s="12">
        <v>112121</v>
      </c>
      <c r="J79" s="12">
        <v>131</v>
      </c>
      <c r="K79" s="38" t="s">
        <v>20</v>
      </c>
      <c r="L79" s="38">
        <v>1</v>
      </c>
      <c r="M79" s="17">
        <v>30000000</v>
      </c>
      <c r="N79" s="56">
        <f t="shared" si="9"/>
        <v>30000000</v>
      </c>
      <c r="P79" s="38">
        <f t="shared" si="10"/>
        <v>32</v>
      </c>
      <c r="T79"/>
      <c r="U79"/>
      <c r="V79"/>
      <c r="W79"/>
      <c r="X79"/>
      <c r="Y79"/>
    </row>
    <row r="80" spans="1:25" ht="15" hidden="1" customHeight="1" x14ac:dyDescent="0.25">
      <c r="A80" s="12" t="s">
        <v>309</v>
      </c>
      <c r="B80" s="36" t="s">
        <v>644</v>
      </c>
      <c r="C80" s="38">
        <f t="shared" si="7"/>
        <v>155</v>
      </c>
      <c r="D80" s="38">
        <f t="shared" si="8"/>
        <v>1</v>
      </c>
      <c r="G80" s="14" t="s">
        <v>305</v>
      </c>
      <c r="H80" s="12" t="s">
        <v>2656</v>
      </c>
      <c r="I80" s="12">
        <v>112121</v>
      </c>
      <c r="J80" s="12">
        <v>131</v>
      </c>
      <c r="K80" s="38" t="s">
        <v>20</v>
      </c>
      <c r="L80" s="38">
        <v>1</v>
      </c>
      <c r="M80" s="17">
        <v>21290323</v>
      </c>
      <c r="N80" s="56">
        <f t="shared" si="9"/>
        <v>21290323</v>
      </c>
      <c r="P80" s="38">
        <f t="shared" si="10"/>
        <v>160</v>
      </c>
      <c r="T80"/>
      <c r="U80"/>
      <c r="V80"/>
      <c r="W80"/>
      <c r="X80"/>
      <c r="Y80"/>
    </row>
    <row r="81" spans="1:25" ht="15" hidden="1" customHeight="1" x14ac:dyDescent="0.25">
      <c r="A81" s="12" t="s">
        <v>308</v>
      </c>
      <c r="B81" s="36" t="s">
        <v>494</v>
      </c>
      <c r="C81" s="38">
        <f t="shared" si="7"/>
        <v>156</v>
      </c>
      <c r="D81" s="38">
        <f t="shared" si="8"/>
        <v>1</v>
      </c>
      <c r="G81" s="14" t="s">
        <v>79</v>
      </c>
      <c r="H81" s="12" t="s">
        <v>2611</v>
      </c>
      <c r="I81" s="12">
        <v>1111</v>
      </c>
      <c r="J81" s="12">
        <v>112121</v>
      </c>
      <c r="K81" s="38" t="s">
        <v>20</v>
      </c>
      <c r="L81" s="38">
        <v>1</v>
      </c>
      <c r="M81" s="17">
        <v>5000000</v>
      </c>
      <c r="N81" s="56">
        <f t="shared" si="9"/>
        <v>5000000</v>
      </c>
      <c r="P81" s="38">
        <f t="shared" si="10"/>
        <v>12</v>
      </c>
      <c r="T81"/>
      <c r="U81"/>
      <c r="V81"/>
      <c r="W81"/>
      <c r="X81"/>
      <c r="Y81"/>
    </row>
    <row r="82" spans="1:25" ht="15" hidden="1" customHeight="1" x14ac:dyDescent="0.25">
      <c r="A82" s="12" t="s">
        <v>308</v>
      </c>
      <c r="B82" s="36" t="s">
        <v>538</v>
      </c>
      <c r="C82" s="38">
        <f t="shared" si="7"/>
        <v>157</v>
      </c>
      <c r="D82" s="38">
        <f t="shared" si="8"/>
        <v>1</v>
      </c>
      <c r="G82" s="14" t="s">
        <v>79</v>
      </c>
      <c r="H82" s="12" t="s">
        <v>2612</v>
      </c>
      <c r="I82" s="12">
        <v>3383</v>
      </c>
      <c r="J82" s="12">
        <v>112121</v>
      </c>
      <c r="K82" s="38" t="s">
        <v>20</v>
      </c>
      <c r="L82" s="38">
        <v>1</v>
      </c>
      <c r="M82" s="17">
        <v>630000</v>
      </c>
      <c r="N82" s="56">
        <f t="shared" si="9"/>
        <v>630000</v>
      </c>
      <c r="P82" s="38">
        <f t="shared" si="10"/>
        <v>8</v>
      </c>
      <c r="T82"/>
      <c r="U82"/>
      <c r="V82"/>
      <c r="W82"/>
      <c r="X82"/>
      <c r="Y82"/>
    </row>
    <row r="83" spans="1:25" ht="15" hidden="1" customHeight="1" x14ac:dyDescent="0.25">
      <c r="A83" s="12" t="s">
        <v>308</v>
      </c>
      <c r="B83" s="36" t="s">
        <v>538</v>
      </c>
      <c r="C83" s="38">
        <f t="shared" si="7"/>
        <v>158</v>
      </c>
      <c r="D83" s="38">
        <f t="shared" si="8"/>
        <v>1</v>
      </c>
      <c r="G83" s="14" t="s">
        <v>79</v>
      </c>
      <c r="H83" s="12" t="s">
        <v>2611</v>
      </c>
      <c r="I83" s="12">
        <v>1111</v>
      </c>
      <c r="J83" s="12">
        <v>112121</v>
      </c>
      <c r="K83" s="38" t="s">
        <v>20</v>
      </c>
      <c r="L83" s="38">
        <v>1</v>
      </c>
      <c r="M83" s="17">
        <v>15000000</v>
      </c>
      <c r="N83" s="56">
        <f t="shared" si="9"/>
        <v>15000000</v>
      </c>
      <c r="P83" s="38">
        <f t="shared" si="10"/>
        <v>12</v>
      </c>
      <c r="T83"/>
      <c r="U83"/>
      <c r="V83"/>
      <c r="W83"/>
      <c r="X83"/>
      <c r="Y83"/>
    </row>
    <row r="84" spans="1:25" ht="15" hidden="1" customHeight="1" x14ac:dyDescent="0.25">
      <c r="A84" s="12" t="s">
        <v>309</v>
      </c>
      <c r="B84" s="36" t="s">
        <v>711</v>
      </c>
      <c r="C84" s="38">
        <f t="shared" si="7"/>
        <v>159</v>
      </c>
      <c r="D84" s="38">
        <f t="shared" si="8"/>
        <v>1</v>
      </c>
      <c r="G84" s="14" t="s">
        <v>714</v>
      </c>
      <c r="H84" s="12" t="s">
        <v>2627</v>
      </c>
      <c r="I84" s="12">
        <v>112121</v>
      </c>
      <c r="J84" s="12">
        <v>131</v>
      </c>
      <c r="K84" s="38" t="s">
        <v>20</v>
      </c>
      <c r="L84" s="38">
        <v>1</v>
      </c>
      <c r="M84" s="17">
        <v>48000000</v>
      </c>
      <c r="N84" s="56">
        <f t="shared" si="9"/>
        <v>48000000</v>
      </c>
      <c r="P84" s="38">
        <f t="shared" si="10"/>
        <v>38</v>
      </c>
      <c r="T84"/>
      <c r="U84"/>
      <c r="V84"/>
      <c r="W84"/>
      <c r="X84"/>
      <c r="Y84"/>
    </row>
    <row r="85" spans="1:25" ht="15" hidden="1" customHeight="1" x14ac:dyDescent="0.25">
      <c r="A85" s="12" t="s">
        <v>308</v>
      </c>
      <c r="B85" s="36" t="s">
        <v>711</v>
      </c>
      <c r="C85" s="38">
        <f t="shared" si="7"/>
        <v>160</v>
      </c>
      <c r="D85" s="38">
        <f t="shared" si="8"/>
        <v>1</v>
      </c>
      <c r="G85" s="14" t="s">
        <v>2629</v>
      </c>
      <c r="H85" s="12" t="s">
        <v>2657</v>
      </c>
      <c r="I85" s="12">
        <v>333382</v>
      </c>
      <c r="J85" s="12">
        <v>112121</v>
      </c>
      <c r="K85" s="38" t="s">
        <v>20</v>
      </c>
      <c r="L85" s="38">
        <v>1</v>
      </c>
      <c r="M85" s="17">
        <v>8971027</v>
      </c>
      <c r="N85" s="56">
        <f t="shared" si="9"/>
        <v>8971027</v>
      </c>
      <c r="P85" s="38">
        <f t="shared" si="10"/>
        <v>24</v>
      </c>
      <c r="T85"/>
      <c r="U85"/>
      <c r="V85"/>
      <c r="W85"/>
      <c r="X85"/>
      <c r="Y85"/>
    </row>
    <row r="86" spans="1:25" ht="15" hidden="1" customHeight="1" x14ac:dyDescent="0.25">
      <c r="A86" s="12" t="s">
        <v>308</v>
      </c>
      <c r="B86" s="36" t="s">
        <v>711</v>
      </c>
      <c r="C86" s="38">
        <f t="shared" si="7"/>
        <v>160</v>
      </c>
      <c r="D86" s="38">
        <f t="shared" si="8"/>
        <v>0</v>
      </c>
      <c r="G86" s="14" t="s">
        <v>2629</v>
      </c>
      <c r="H86" s="12" t="s">
        <v>2657</v>
      </c>
      <c r="I86" s="12">
        <v>333382</v>
      </c>
      <c r="J86" s="12">
        <v>112121</v>
      </c>
      <c r="K86" s="38" t="s">
        <v>20</v>
      </c>
      <c r="L86" s="38">
        <v>1</v>
      </c>
      <c r="M86" s="17">
        <v>4800514</v>
      </c>
      <c r="N86" s="56">
        <f t="shared" si="9"/>
        <v>4800514</v>
      </c>
      <c r="P86" s="38">
        <f t="shared" si="10"/>
        <v>24</v>
      </c>
      <c r="T86"/>
      <c r="U86"/>
      <c r="V86"/>
      <c r="W86"/>
      <c r="X86"/>
      <c r="Y86"/>
    </row>
    <row r="87" spans="1:25" ht="15" hidden="1" customHeight="1" x14ac:dyDescent="0.25">
      <c r="A87" s="12" t="s">
        <v>308</v>
      </c>
      <c r="B87" s="36" t="s">
        <v>711</v>
      </c>
      <c r="C87" s="38">
        <f t="shared" si="7"/>
        <v>161</v>
      </c>
      <c r="D87" s="38">
        <f t="shared" si="8"/>
        <v>1</v>
      </c>
      <c r="G87" s="14" t="s">
        <v>79</v>
      </c>
      <c r="H87" s="12" t="s">
        <v>2611</v>
      </c>
      <c r="I87" s="12">
        <v>1111</v>
      </c>
      <c r="J87" s="12">
        <v>112121</v>
      </c>
      <c r="K87" s="38" t="s">
        <v>20</v>
      </c>
      <c r="L87" s="38">
        <v>1</v>
      </c>
      <c r="M87" s="17">
        <v>85000000</v>
      </c>
      <c r="N87" s="56">
        <f t="shared" si="9"/>
        <v>85000000</v>
      </c>
      <c r="P87" s="38">
        <f t="shared" si="10"/>
        <v>12</v>
      </c>
      <c r="T87"/>
      <c r="U87"/>
      <c r="V87"/>
      <c r="W87"/>
      <c r="X87"/>
      <c r="Y87"/>
    </row>
    <row r="88" spans="1:25" ht="15" hidden="1" customHeight="1" x14ac:dyDescent="0.25">
      <c r="A88" s="12" t="s">
        <v>309</v>
      </c>
      <c r="B88" s="36" t="s">
        <v>435</v>
      </c>
      <c r="C88" s="38">
        <f t="shared" si="7"/>
        <v>162</v>
      </c>
      <c r="D88" s="38">
        <f t="shared" si="8"/>
        <v>1</v>
      </c>
      <c r="G88" s="14" t="s">
        <v>79</v>
      </c>
      <c r="H88" s="12" t="s">
        <v>2543</v>
      </c>
      <c r="I88" s="12">
        <v>112121</v>
      </c>
      <c r="J88" s="12">
        <v>5154</v>
      </c>
      <c r="K88" s="38" t="s">
        <v>20</v>
      </c>
      <c r="L88" s="38">
        <v>1</v>
      </c>
      <c r="M88" s="17">
        <v>4760</v>
      </c>
      <c r="N88" s="56">
        <f t="shared" si="9"/>
        <v>4760</v>
      </c>
      <c r="P88" s="38">
        <f t="shared" si="10"/>
        <v>12</v>
      </c>
      <c r="T88"/>
      <c r="U88"/>
      <c r="V88"/>
      <c r="W88"/>
      <c r="X88"/>
      <c r="Y88"/>
    </row>
    <row r="89" spans="1:25" ht="15" hidden="1" customHeight="1" x14ac:dyDescent="0.25">
      <c r="A89" s="12" t="s">
        <v>309</v>
      </c>
      <c r="B89" s="36" t="s">
        <v>437</v>
      </c>
      <c r="C89" s="38">
        <f t="shared" si="7"/>
        <v>163</v>
      </c>
      <c r="D89" s="38">
        <f t="shared" si="8"/>
        <v>1</v>
      </c>
      <c r="G89" s="14" t="s">
        <v>71</v>
      </c>
      <c r="H89" s="12" t="s">
        <v>2658</v>
      </c>
      <c r="I89" s="12">
        <v>112121</v>
      </c>
      <c r="J89" s="12">
        <v>131</v>
      </c>
      <c r="K89" s="38" t="s">
        <v>20</v>
      </c>
      <c r="L89" s="38">
        <v>1</v>
      </c>
      <c r="M89" s="17">
        <v>6490208</v>
      </c>
      <c r="N89" s="56">
        <f t="shared" si="9"/>
        <v>6490208</v>
      </c>
      <c r="P89" s="38">
        <f t="shared" si="10"/>
        <v>21</v>
      </c>
      <c r="T89"/>
      <c r="U89"/>
      <c r="V89"/>
      <c r="W89"/>
      <c r="X89"/>
      <c r="Y89"/>
    </row>
    <row r="90" spans="1:25" ht="15" hidden="1" customHeight="1" x14ac:dyDescent="0.25">
      <c r="A90" s="12" t="s">
        <v>309</v>
      </c>
      <c r="B90" s="36" t="s">
        <v>545</v>
      </c>
      <c r="C90" s="38">
        <f t="shared" si="7"/>
        <v>164</v>
      </c>
      <c r="D90" s="38">
        <f t="shared" si="8"/>
        <v>1</v>
      </c>
      <c r="G90" s="14" t="s">
        <v>846</v>
      </c>
      <c r="H90" s="12" t="s">
        <v>2659</v>
      </c>
      <c r="I90" s="12">
        <v>112121</v>
      </c>
      <c r="J90" s="12">
        <v>131</v>
      </c>
      <c r="K90" s="38" t="s">
        <v>20</v>
      </c>
      <c r="L90" s="38">
        <v>1</v>
      </c>
      <c r="M90" s="17">
        <v>27000000</v>
      </c>
      <c r="N90" s="56">
        <f t="shared" si="9"/>
        <v>27000000</v>
      </c>
      <c r="P90" s="38">
        <f t="shared" si="10"/>
        <v>191</v>
      </c>
      <c r="T90"/>
      <c r="U90"/>
      <c r="V90"/>
      <c r="W90"/>
      <c r="X90"/>
      <c r="Y90"/>
    </row>
    <row r="91" spans="1:25" ht="15" hidden="1" customHeight="1" x14ac:dyDescent="0.25">
      <c r="A91" s="12" t="s">
        <v>308</v>
      </c>
      <c r="B91" s="36" t="s">
        <v>476</v>
      </c>
      <c r="C91" s="38">
        <f t="shared" si="7"/>
        <v>165</v>
      </c>
      <c r="D91" s="38">
        <f t="shared" si="8"/>
        <v>1</v>
      </c>
      <c r="G91" s="14" t="s">
        <v>79</v>
      </c>
      <c r="H91" s="12" t="s">
        <v>2611</v>
      </c>
      <c r="I91" s="12">
        <v>1111</v>
      </c>
      <c r="J91" s="12">
        <v>112121</v>
      </c>
      <c r="K91" s="38" t="s">
        <v>20</v>
      </c>
      <c r="L91" s="38">
        <v>1</v>
      </c>
      <c r="M91" s="17">
        <v>33000000</v>
      </c>
      <c r="N91" s="56">
        <f t="shared" si="9"/>
        <v>33000000</v>
      </c>
      <c r="P91" s="38">
        <f t="shared" si="10"/>
        <v>12</v>
      </c>
      <c r="T91"/>
      <c r="U91"/>
      <c r="V91"/>
      <c r="W91"/>
      <c r="X91"/>
      <c r="Y91"/>
    </row>
    <row r="92" spans="1:25" ht="15" hidden="1" customHeight="1" x14ac:dyDescent="0.25">
      <c r="A92" s="12" t="s">
        <v>309</v>
      </c>
      <c r="B92" s="36" t="s">
        <v>499</v>
      </c>
      <c r="C92" s="38">
        <f t="shared" si="7"/>
        <v>166</v>
      </c>
      <c r="D92" s="38">
        <f t="shared" si="8"/>
        <v>1</v>
      </c>
      <c r="G92" s="14" t="s">
        <v>79</v>
      </c>
      <c r="H92" s="12" t="s">
        <v>2543</v>
      </c>
      <c r="I92" s="12">
        <v>112121</v>
      </c>
      <c r="J92" s="12">
        <v>5154</v>
      </c>
      <c r="K92" s="38" t="s">
        <v>20</v>
      </c>
      <c r="L92" s="38">
        <v>1</v>
      </c>
      <c r="M92" s="17">
        <v>285</v>
      </c>
      <c r="N92" s="56">
        <f t="shared" si="9"/>
        <v>285</v>
      </c>
      <c r="P92" s="38">
        <f t="shared" si="10"/>
        <v>12</v>
      </c>
      <c r="T92"/>
      <c r="U92"/>
      <c r="V92"/>
      <c r="W92"/>
      <c r="X92"/>
      <c r="Y92"/>
    </row>
    <row r="93" spans="1:25" ht="15" hidden="1" customHeight="1" x14ac:dyDescent="0.25">
      <c r="A93" s="12" t="s">
        <v>309</v>
      </c>
      <c r="B93" s="36" t="s">
        <v>557</v>
      </c>
      <c r="C93" s="38">
        <f t="shared" si="7"/>
        <v>167</v>
      </c>
      <c r="D93" s="38">
        <f t="shared" si="8"/>
        <v>1</v>
      </c>
      <c r="G93" s="14" t="s">
        <v>79</v>
      </c>
      <c r="H93" s="12" t="s">
        <v>2660</v>
      </c>
      <c r="I93" s="12">
        <v>112121</v>
      </c>
      <c r="J93" s="12">
        <v>1111</v>
      </c>
      <c r="K93" s="38" t="s">
        <v>20</v>
      </c>
      <c r="L93" s="38">
        <v>1</v>
      </c>
      <c r="M93" s="17">
        <v>2200000</v>
      </c>
      <c r="N93" s="56">
        <f t="shared" si="9"/>
        <v>2200000</v>
      </c>
      <c r="P93" s="38">
        <f t="shared" si="10"/>
        <v>26</v>
      </c>
      <c r="T93"/>
      <c r="U93"/>
      <c r="V93"/>
      <c r="W93"/>
      <c r="X93"/>
      <c r="Y93"/>
    </row>
    <row r="94" spans="1:25" ht="15" hidden="1" customHeight="1" x14ac:dyDescent="0.25">
      <c r="A94" s="12" t="s">
        <v>308</v>
      </c>
      <c r="B94" s="36" t="s">
        <v>557</v>
      </c>
      <c r="C94" s="38">
        <f t="shared" si="7"/>
        <v>168</v>
      </c>
      <c r="D94" s="38">
        <f t="shared" si="8"/>
        <v>1</v>
      </c>
      <c r="G94" s="14" t="s">
        <v>79</v>
      </c>
      <c r="H94" s="12" t="s">
        <v>2613</v>
      </c>
      <c r="I94" s="12">
        <v>64275</v>
      </c>
      <c r="J94" s="12">
        <v>112121</v>
      </c>
      <c r="K94" s="38" t="s">
        <v>20</v>
      </c>
      <c r="L94" s="38">
        <v>1</v>
      </c>
      <c r="M94" s="17">
        <v>2200000</v>
      </c>
      <c r="N94" s="56">
        <f t="shared" si="9"/>
        <v>2200000</v>
      </c>
      <c r="P94" s="38">
        <f t="shared" si="10"/>
        <v>13</v>
      </c>
      <c r="T94"/>
      <c r="U94"/>
      <c r="V94"/>
      <c r="W94"/>
      <c r="X94"/>
      <c r="Y94"/>
    </row>
    <row r="95" spans="1:25" ht="15" hidden="1" customHeight="1" x14ac:dyDescent="0.2">
      <c r="A95" s="12" t="s">
        <v>309</v>
      </c>
      <c r="B95" s="36" t="s">
        <v>664</v>
      </c>
      <c r="C95" s="38">
        <f t="shared" si="7"/>
        <v>169</v>
      </c>
      <c r="D95" s="38">
        <f t="shared" si="8"/>
        <v>1</v>
      </c>
      <c r="G95" s="14" t="s">
        <v>79</v>
      </c>
      <c r="H95" s="12" t="s">
        <v>2543</v>
      </c>
      <c r="I95" s="12">
        <v>112121</v>
      </c>
      <c r="J95" s="12">
        <v>5154</v>
      </c>
      <c r="K95" s="38" t="s">
        <v>20</v>
      </c>
      <c r="L95" s="38">
        <v>1</v>
      </c>
      <c r="M95" s="17">
        <v>101</v>
      </c>
      <c r="N95" s="56">
        <f t="shared" si="9"/>
        <v>101</v>
      </c>
      <c r="P95" s="38">
        <f t="shared" si="10"/>
        <v>12</v>
      </c>
    </row>
    <row r="96" spans="1:25" ht="15" hidden="1" customHeight="1" x14ac:dyDescent="0.2">
      <c r="A96" s="12" t="s">
        <v>309</v>
      </c>
      <c r="B96" s="36" t="s">
        <v>506</v>
      </c>
      <c r="C96" s="38">
        <f t="shared" si="7"/>
        <v>170</v>
      </c>
      <c r="D96" s="38">
        <f t="shared" si="8"/>
        <v>1</v>
      </c>
      <c r="G96" s="14" t="s">
        <v>717</v>
      </c>
      <c r="H96" s="12" t="s">
        <v>2661</v>
      </c>
      <c r="I96" s="12">
        <v>112122</v>
      </c>
      <c r="J96" s="12">
        <v>131</v>
      </c>
      <c r="K96" s="38" t="s">
        <v>20</v>
      </c>
      <c r="L96" s="38">
        <v>1</v>
      </c>
      <c r="M96" s="17">
        <v>39960000</v>
      </c>
      <c r="N96" s="56">
        <f t="shared" si="9"/>
        <v>39960000</v>
      </c>
      <c r="P96" s="38">
        <f t="shared" si="10"/>
        <v>105</v>
      </c>
    </row>
    <row r="97" spans="1:16" ht="15" hidden="1" customHeight="1" x14ac:dyDescent="0.2">
      <c r="A97" s="12" t="s">
        <v>309</v>
      </c>
      <c r="B97" s="36" t="s">
        <v>507</v>
      </c>
      <c r="C97" s="38">
        <f t="shared" si="7"/>
        <v>171</v>
      </c>
      <c r="D97" s="38">
        <f t="shared" si="8"/>
        <v>1</v>
      </c>
      <c r="G97" s="14" t="s">
        <v>53</v>
      </c>
      <c r="H97" s="12" t="s">
        <v>2662</v>
      </c>
      <c r="I97" s="12">
        <v>112122</v>
      </c>
      <c r="J97" s="12">
        <v>131</v>
      </c>
      <c r="K97" s="38" t="s">
        <v>20</v>
      </c>
      <c r="L97" s="38">
        <v>1</v>
      </c>
      <c r="M97" s="17">
        <v>19800000</v>
      </c>
      <c r="N97" s="56">
        <f t="shared" si="9"/>
        <v>19800000</v>
      </c>
      <c r="P97" s="38">
        <f t="shared" si="10"/>
        <v>179</v>
      </c>
    </row>
  </sheetData>
  <autoFilter ref="A3:Q97" xr:uid="{00000000-0009-0000-0000-000007000000}">
    <filterColumn colId="8">
      <filters>
        <filter val="333821"/>
      </filters>
    </filterColumn>
    <filterColumn colId="9">
      <filters>
        <filter val="131"/>
      </filters>
    </filterColumn>
    <sortState xmlns:xlrd2="http://schemas.microsoft.com/office/spreadsheetml/2017/richdata2" ref="A4:Q75">
      <sortCondition ref="A4:A75"/>
      <sortCondition ref="B4:B75"/>
      <sortCondition ref="H4:H75"/>
    </sortState>
  </autoFilter>
  <mergeCells count="13">
    <mergeCell ref="F1:F2"/>
    <mergeCell ref="A1:A2"/>
    <mergeCell ref="B1:B2"/>
    <mergeCell ref="C1:C2"/>
    <mergeCell ref="D1:D2"/>
    <mergeCell ref="E1:E2"/>
    <mergeCell ref="N1:N2"/>
    <mergeCell ref="G1:G2"/>
    <mergeCell ref="H1:H2"/>
    <mergeCell ref="I1:J1"/>
    <mergeCell ref="K1:K2"/>
    <mergeCell ref="L1:L2"/>
    <mergeCell ref="M1:M2"/>
  </mergeCells>
  <hyperlinks>
    <hyperlink ref="P1" location="Summary!A1" display="Back to summary" xr:uid="{00000000-0004-0000-0700-000000000000}"/>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tabColor rgb="FF92D050"/>
  </sheetPr>
  <dimension ref="A1:AA86"/>
  <sheetViews>
    <sheetView workbookViewId="0">
      <selection activeCell="M17" sqref="M17:M53"/>
    </sheetView>
  </sheetViews>
  <sheetFormatPr defaultRowHeight="15" customHeight="1" x14ac:dyDescent="0.2"/>
  <cols>
    <col min="1" max="1" width="9.140625" style="12"/>
    <col min="2" max="2" width="9.140625" style="36"/>
    <col min="3" max="6" width="9.140625" style="12"/>
    <col min="7" max="7" width="9.140625" style="14"/>
    <col min="8" max="8" width="35.42578125" style="12" customWidth="1"/>
    <col min="9" max="12" width="9.140625" style="12"/>
    <col min="13" max="14" width="9.85546875" style="17" bestFit="1" customWidth="1"/>
    <col min="15" max="17" width="9.140625" style="12"/>
    <col min="18" max="27" width="9.140625" style="14"/>
    <col min="28" max="16384" width="9.140625" style="12"/>
  </cols>
  <sheetData>
    <row r="1" spans="1:16" ht="15" customHeight="1" thickBot="1" x14ac:dyDescent="0.25">
      <c r="A1" s="247" t="s">
        <v>0</v>
      </c>
      <c r="B1" s="219" t="s">
        <v>1</v>
      </c>
      <c r="C1" s="247" t="s">
        <v>2</v>
      </c>
      <c r="D1" s="249" t="s">
        <v>3</v>
      </c>
      <c r="E1" s="249" t="s">
        <v>4</v>
      </c>
      <c r="F1" s="249" t="s">
        <v>257</v>
      </c>
      <c r="G1" s="241" t="s">
        <v>6</v>
      </c>
      <c r="H1" s="243" t="s">
        <v>7</v>
      </c>
      <c r="I1" s="245" t="s">
        <v>8</v>
      </c>
      <c r="J1" s="246"/>
      <c r="K1" s="247" t="s">
        <v>9</v>
      </c>
      <c r="L1" s="247" t="s">
        <v>10</v>
      </c>
      <c r="M1" s="254" t="s">
        <v>76</v>
      </c>
      <c r="N1" s="254" t="s">
        <v>77</v>
      </c>
      <c r="O1" s="45" t="s">
        <v>78</v>
      </c>
      <c r="P1" s="146" t="s">
        <v>356</v>
      </c>
    </row>
    <row r="2" spans="1:16" ht="15" customHeight="1" thickBot="1" x14ac:dyDescent="0.25">
      <c r="A2" s="248"/>
      <c r="B2" s="220"/>
      <c r="C2" s="248"/>
      <c r="D2" s="253"/>
      <c r="E2" s="253"/>
      <c r="F2" s="250"/>
      <c r="G2" s="242"/>
      <c r="H2" s="244"/>
      <c r="I2" s="46" t="s">
        <v>13</v>
      </c>
      <c r="J2" s="47" t="s">
        <v>14</v>
      </c>
      <c r="K2" s="248"/>
      <c r="L2" s="248"/>
      <c r="M2" s="255"/>
      <c r="N2" s="255"/>
      <c r="O2" s="38" t="s">
        <v>78</v>
      </c>
      <c r="P2" s="38"/>
    </row>
    <row r="3" spans="1:16" ht="15" customHeight="1" x14ac:dyDescent="0.2">
      <c r="A3" s="48"/>
      <c r="B3" s="81"/>
      <c r="C3" s="48">
        <v>221</v>
      </c>
      <c r="D3" s="49"/>
      <c r="E3" s="49"/>
      <c r="F3" s="49"/>
      <c r="G3" s="51" t="s">
        <v>15</v>
      </c>
      <c r="H3" s="52"/>
      <c r="I3" s="52"/>
      <c r="J3" s="52"/>
      <c r="K3" s="48"/>
      <c r="L3" s="48"/>
      <c r="M3" s="82"/>
      <c r="N3" s="82"/>
      <c r="O3" s="38" t="s">
        <v>16</v>
      </c>
      <c r="P3" s="38" t="s">
        <v>17</v>
      </c>
    </row>
    <row r="4" spans="1:16" ht="15" hidden="1" customHeight="1" x14ac:dyDescent="0.2">
      <c r="A4" s="12" t="s">
        <v>310</v>
      </c>
      <c r="B4" s="36" t="s">
        <v>469</v>
      </c>
      <c r="C4" s="12">
        <f t="shared" ref="C4:C35" si="0">C3+D4</f>
        <v>222</v>
      </c>
      <c r="D4" s="38">
        <f t="shared" ref="D4:D35" si="1">IF(H4=H3,0,1)</f>
        <v>1</v>
      </c>
      <c r="G4" s="14" t="s">
        <v>35</v>
      </c>
      <c r="H4" s="12" t="s">
        <v>3981</v>
      </c>
      <c r="I4" s="12">
        <v>331</v>
      </c>
      <c r="J4" s="12">
        <v>1111</v>
      </c>
      <c r="K4" s="12" t="s">
        <v>20</v>
      </c>
      <c r="L4" s="12">
        <v>1</v>
      </c>
      <c r="M4" s="17">
        <v>2700000</v>
      </c>
      <c r="N4" s="17">
        <f t="shared" ref="N4:N35" si="2">L4*M4</f>
        <v>2700000</v>
      </c>
      <c r="P4" s="12">
        <f>LEN(H4)</f>
        <v>51</v>
      </c>
    </row>
    <row r="5" spans="1:16" ht="15" hidden="1" customHeight="1" x14ac:dyDescent="0.2">
      <c r="A5" s="12" t="s">
        <v>310</v>
      </c>
      <c r="B5" s="36" t="s">
        <v>498</v>
      </c>
      <c r="C5" s="12">
        <f t="shared" si="0"/>
        <v>223</v>
      </c>
      <c r="D5" s="38">
        <f t="shared" si="1"/>
        <v>1</v>
      </c>
      <c r="G5" s="14" t="s">
        <v>856</v>
      </c>
      <c r="H5" s="12" t="s">
        <v>3982</v>
      </c>
      <c r="I5" s="12">
        <v>331</v>
      </c>
      <c r="J5" s="12">
        <v>1111</v>
      </c>
      <c r="K5" s="12" t="s">
        <v>20</v>
      </c>
      <c r="L5" s="12">
        <v>1</v>
      </c>
      <c r="M5" s="17">
        <v>8000000</v>
      </c>
      <c r="N5" s="17">
        <f t="shared" si="2"/>
        <v>8000000</v>
      </c>
      <c r="P5" s="12">
        <f t="shared" ref="P5:P68" si="3">LEN(H5)</f>
        <v>68</v>
      </c>
    </row>
    <row r="6" spans="1:16" ht="15" hidden="1" customHeight="1" x14ac:dyDescent="0.2">
      <c r="A6" s="12" t="s">
        <v>310</v>
      </c>
      <c r="B6" s="36" t="s">
        <v>543</v>
      </c>
      <c r="C6" s="12">
        <f t="shared" si="0"/>
        <v>224</v>
      </c>
      <c r="D6" s="38">
        <f t="shared" si="1"/>
        <v>1</v>
      </c>
      <c r="G6" s="14" t="s">
        <v>52</v>
      </c>
      <c r="H6" s="12" t="s">
        <v>4013</v>
      </c>
      <c r="I6" s="12">
        <v>331</v>
      </c>
      <c r="J6" s="12">
        <v>1111</v>
      </c>
      <c r="K6" s="12" t="s">
        <v>20</v>
      </c>
      <c r="L6" s="12">
        <v>1</v>
      </c>
      <c r="M6" s="17">
        <v>1356480</v>
      </c>
      <c r="N6" s="17">
        <f t="shared" si="2"/>
        <v>1356480</v>
      </c>
      <c r="P6" s="12">
        <f t="shared" si="3"/>
        <v>52</v>
      </c>
    </row>
    <row r="7" spans="1:16" ht="15" hidden="1" customHeight="1" x14ac:dyDescent="0.2">
      <c r="A7" s="12" t="s">
        <v>310</v>
      </c>
      <c r="B7" s="36" t="s">
        <v>438</v>
      </c>
      <c r="C7" s="12">
        <f t="shared" si="0"/>
        <v>225</v>
      </c>
      <c r="D7" s="38">
        <f t="shared" si="1"/>
        <v>1</v>
      </c>
      <c r="G7" s="14" t="s">
        <v>35</v>
      </c>
      <c r="H7" s="12" t="s">
        <v>3983</v>
      </c>
      <c r="I7" s="12">
        <v>331</v>
      </c>
      <c r="J7" s="12">
        <v>1111</v>
      </c>
      <c r="K7" s="12" t="s">
        <v>20</v>
      </c>
      <c r="L7" s="12">
        <v>1</v>
      </c>
      <c r="M7" s="17">
        <v>2700000</v>
      </c>
      <c r="N7" s="17">
        <f t="shared" si="2"/>
        <v>2700000</v>
      </c>
      <c r="P7" s="12">
        <f t="shared" si="3"/>
        <v>52</v>
      </c>
    </row>
    <row r="8" spans="1:16" ht="15" hidden="1" customHeight="1" x14ac:dyDescent="0.2">
      <c r="A8" s="12" t="s">
        <v>310</v>
      </c>
      <c r="B8" s="36" t="s">
        <v>439</v>
      </c>
      <c r="C8" s="12">
        <f t="shared" si="0"/>
        <v>226</v>
      </c>
      <c r="D8" s="38">
        <f t="shared" si="1"/>
        <v>1</v>
      </c>
      <c r="G8" s="14" t="s">
        <v>857</v>
      </c>
      <c r="H8" s="12" t="s">
        <v>3984</v>
      </c>
      <c r="I8" s="12">
        <v>331</v>
      </c>
      <c r="J8" s="12">
        <v>1111</v>
      </c>
      <c r="K8" s="12" t="s">
        <v>20</v>
      </c>
      <c r="L8" s="12">
        <v>1</v>
      </c>
      <c r="M8" s="17">
        <v>717400</v>
      </c>
      <c r="N8" s="17">
        <f t="shared" si="2"/>
        <v>717400</v>
      </c>
      <c r="P8" s="12">
        <f t="shared" si="3"/>
        <v>93</v>
      </c>
    </row>
    <row r="9" spans="1:16" ht="15" hidden="1" customHeight="1" x14ac:dyDescent="0.2">
      <c r="A9" s="12" t="s">
        <v>310</v>
      </c>
      <c r="B9" s="36" t="s">
        <v>440</v>
      </c>
      <c r="C9" s="12">
        <f t="shared" si="0"/>
        <v>227</v>
      </c>
      <c r="D9" s="38">
        <f t="shared" si="1"/>
        <v>1</v>
      </c>
      <c r="G9" s="14" t="s">
        <v>858</v>
      </c>
      <c r="H9" s="12" t="s">
        <v>3985</v>
      </c>
      <c r="I9" s="12">
        <v>331</v>
      </c>
      <c r="J9" s="12">
        <v>1111</v>
      </c>
      <c r="K9" s="12" t="s">
        <v>20</v>
      </c>
      <c r="L9" s="12">
        <v>1</v>
      </c>
      <c r="M9" s="17">
        <v>1600000</v>
      </c>
      <c r="N9" s="17">
        <f t="shared" si="2"/>
        <v>1600000</v>
      </c>
      <c r="P9" s="12">
        <f t="shared" si="3"/>
        <v>129</v>
      </c>
    </row>
    <row r="10" spans="1:16" ht="15" hidden="1" customHeight="1" x14ac:dyDescent="0.2">
      <c r="A10" s="12" t="s">
        <v>310</v>
      </c>
      <c r="B10" s="36" t="s">
        <v>660</v>
      </c>
      <c r="C10" s="12">
        <f t="shared" si="0"/>
        <v>228</v>
      </c>
      <c r="D10" s="38">
        <f t="shared" si="1"/>
        <v>1</v>
      </c>
      <c r="G10" s="14" t="s">
        <v>19</v>
      </c>
      <c r="H10" s="12" t="s">
        <v>3986</v>
      </c>
      <c r="I10" s="12">
        <v>331</v>
      </c>
      <c r="J10" s="12">
        <v>1111</v>
      </c>
      <c r="K10" s="12" t="s">
        <v>20</v>
      </c>
      <c r="L10" s="12">
        <v>1</v>
      </c>
      <c r="M10" s="17">
        <v>218000</v>
      </c>
      <c r="N10" s="17">
        <f t="shared" si="2"/>
        <v>218000</v>
      </c>
      <c r="P10" s="12">
        <f t="shared" si="3"/>
        <v>75</v>
      </c>
    </row>
    <row r="11" spans="1:16" ht="15" hidden="1" customHeight="1" x14ac:dyDescent="0.2">
      <c r="A11" s="12" t="s">
        <v>310</v>
      </c>
      <c r="B11" s="36" t="s">
        <v>500</v>
      </c>
      <c r="C11" s="12">
        <f t="shared" si="0"/>
        <v>229</v>
      </c>
      <c r="D11" s="38">
        <f t="shared" si="1"/>
        <v>1</v>
      </c>
      <c r="G11" s="14" t="s">
        <v>40</v>
      </c>
      <c r="H11" s="12" t="s">
        <v>3987</v>
      </c>
      <c r="I11" s="12">
        <v>331</v>
      </c>
      <c r="J11" s="12">
        <v>1111</v>
      </c>
      <c r="K11" s="12" t="s">
        <v>20</v>
      </c>
      <c r="L11" s="12">
        <v>1</v>
      </c>
      <c r="M11" s="17">
        <v>3549000</v>
      </c>
      <c r="N11" s="17">
        <f t="shared" si="2"/>
        <v>3549000</v>
      </c>
      <c r="P11" s="12">
        <f t="shared" si="3"/>
        <v>72</v>
      </c>
    </row>
    <row r="12" spans="1:16" ht="15" hidden="1" customHeight="1" x14ac:dyDescent="0.2">
      <c r="A12" s="12" t="s">
        <v>310</v>
      </c>
      <c r="B12" s="36" t="s">
        <v>555</v>
      </c>
      <c r="C12" s="12">
        <f t="shared" si="0"/>
        <v>230</v>
      </c>
      <c r="D12" s="38">
        <f t="shared" si="1"/>
        <v>1</v>
      </c>
      <c r="G12" s="32" t="s">
        <v>35</v>
      </c>
      <c r="H12" s="12" t="s">
        <v>3988</v>
      </c>
      <c r="I12" s="12">
        <v>331</v>
      </c>
      <c r="J12" s="12">
        <v>1111</v>
      </c>
      <c r="K12" s="12" t="s">
        <v>20</v>
      </c>
      <c r="L12" s="12">
        <v>1</v>
      </c>
      <c r="M12" s="17">
        <v>2700000</v>
      </c>
      <c r="N12" s="17">
        <f t="shared" si="2"/>
        <v>2700000</v>
      </c>
      <c r="P12" s="12">
        <f t="shared" si="3"/>
        <v>52</v>
      </c>
    </row>
    <row r="13" spans="1:16" ht="15" hidden="1" customHeight="1" x14ac:dyDescent="0.2">
      <c r="A13" s="12" t="s">
        <v>310</v>
      </c>
      <c r="B13" s="36" t="s">
        <v>665</v>
      </c>
      <c r="C13" s="12">
        <f t="shared" si="0"/>
        <v>231</v>
      </c>
      <c r="D13" s="38">
        <f t="shared" si="1"/>
        <v>1</v>
      </c>
      <c r="G13" s="32" t="s">
        <v>859</v>
      </c>
      <c r="H13" s="12" t="s">
        <v>3989</v>
      </c>
      <c r="I13" s="12">
        <v>331</v>
      </c>
      <c r="J13" s="12">
        <v>1111</v>
      </c>
      <c r="K13" s="12" t="s">
        <v>20</v>
      </c>
      <c r="L13" s="12">
        <v>1</v>
      </c>
      <c r="M13" s="17">
        <v>2100000</v>
      </c>
      <c r="N13" s="17">
        <f t="shared" si="2"/>
        <v>2100000</v>
      </c>
      <c r="P13" s="12">
        <f t="shared" si="3"/>
        <v>75</v>
      </c>
    </row>
    <row r="14" spans="1:16" ht="15" hidden="1" customHeight="1" x14ac:dyDescent="0.2">
      <c r="A14" s="12" t="s">
        <v>18</v>
      </c>
      <c r="B14" s="36" t="s">
        <v>469</v>
      </c>
      <c r="C14" s="12">
        <f t="shared" si="0"/>
        <v>232</v>
      </c>
      <c r="D14" s="38">
        <f t="shared" si="1"/>
        <v>1</v>
      </c>
      <c r="G14" s="14" t="s">
        <v>35</v>
      </c>
      <c r="H14" s="12" t="s">
        <v>860</v>
      </c>
      <c r="I14" s="12">
        <v>64277</v>
      </c>
      <c r="J14" s="12">
        <v>331</v>
      </c>
      <c r="K14" s="12" t="s">
        <v>20</v>
      </c>
      <c r="L14" s="12">
        <v>1</v>
      </c>
      <c r="M14" s="17">
        <v>2500000</v>
      </c>
      <c r="N14" s="17">
        <f t="shared" si="2"/>
        <v>2500000</v>
      </c>
      <c r="P14" s="12">
        <f t="shared" si="3"/>
        <v>40</v>
      </c>
    </row>
    <row r="15" spans="1:16" ht="15" hidden="1" customHeight="1" x14ac:dyDescent="0.2">
      <c r="A15" s="12" t="s">
        <v>18</v>
      </c>
      <c r="B15" s="36" t="s">
        <v>469</v>
      </c>
      <c r="C15" s="12">
        <f t="shared" si="0"/>
        <v>232</v>
      </c>
      <c r="D15" s="38">
        <f t="shared" si="1"/>
        <v>0</v>
      </c>
      <c r="G15" s="14" t="s">
        <v>35</v>
      </c>
      <c r="H15" s="12" t="s">
        <v>860</v>
      </c>
      <c r="I15" s="12">
        <v>1331</v>
      </c>
      <c r="J15" s="12">
        <v>331</v>
      </c>
      <c r="K15" s="12" t="s">
        <v>20</v>
      </c>
      <c r="L15" s="12">
        <v>1</v>
      </c>
      <c r="M15" s="17">
        <v>200000</v>
      </c>
      <c r="N15" s="17">
        <f t="shared" si="2"/>
        <v>200000</v>
      </c>
      <c r="P15" s="12">
        <f t="shared" si="3"/>
        <v>40</v>
      </c>
    </row>
    <row r="16" spans="1:16" ht="15" hidden="1" customHeight="1" x14ac:dyDescent="0.2">
      <c r="A16" s="12" t="s">
        <v>18</v>
      </c>
      <c r="B16" s="36" t="s">
        <v>471</v>
      </c>
      <c r="C16" s="12">
        <f t="shared" si="0"/>
        <v>233</v>
      </c>
      <c r="D16" s="38">
        <f t="shared" si="1"/>
        <v>1</v>
      </c>
      <c r="G16" s="32" t="s">
        <v>235</v>
      </c>
      <c r="H16" s="12" t="s">
        <v>870</v>
      </c>
      <c r="I16" s="12">
        <v>131</v>
      </c>
      <c r="J16" s="12">
        <v>5113</v>
      </c>
      <c r="K16" s="12" t="s">
        <v>20</v>
      </c>
      <c r="L16" s="12">
        <v>1</v>
      </c>
      <c r="M16" s="17">
        <v>28630320</v>
      </c>
      <c r="N16" s="17">
        <f t="shared" si="2"/>
        <v>28630320</v>
      </c>
      <c r="P16" s="12">
        <f t="shared" si="3"/>
        <v>143</v>
      </c>
    </row>
    <row r="17" spans="1:16" ht="15" customHeight="1" x14ac:dyDescent="0.2">
      <c r="A17" s="12" t="s">
        <v>18</v>
      </c>
      <c r="B17" s="36" t="s">
        <v>471</v>
      </c>
      <c r="C17" s="12">
        <f t="shared" si="0"/>
        <v>234</v>
      </c>
      <c r="D17" s="38">
        <f t="shared" si="1"/>
        <v>1</v>
      </c>
      <c r="G17" s="14" t="s">
        <v>235</v>
      </c>
      <c r="H17" s="12" t="s">
        <v>3990</v>
      </c>
      <c r="I17" s="12">
        <v>333821</v>
      </c>
      <c r="J17" s="12">
        <v>131</v>
      </c>
      <c r="K17" s="12" t="s">
        <v>20</v>
      </c>
      <c r="L17" s="12">
        <v>1</v>
      </c>
      <c r="M17" s="17">
        <v>286303</v>
      </c>
      <c r="N17" s="17">
        <f t="shared" si="2"/>
        <v>286303</v>
      </c>
      <c r="P17" s="12">
        <f t="shared" si="3"/>
        <v>159</v>
      </c>
    </row>
    <row r="18" spans="1:16" ht="15" hidden="1" customHeight="1" x14ac:dyDescent="0.2">
      <c r="A18" s="12" t="s">
        <v>18</v>
      </c>
      <c r="B18" s="36" t="s">
        <v>498</v>
      </c>
      <c r="C18" s="12">
        <f t="shared" si="0"/>
        <v>235</v>
      </c>
      <c r="D18" s="38">
        <f t="shared" si="1"/>
        <v>1</v>
      </c>
      <c r="G18" s="14" t="s">
        <v>856</v>
      </c>
      <c r="H18" s="12" t="s">
        <v>861</v>
      </c>
      <c r="I18" s="12">
        <v>64277</v>
      </c>
      <c r="J18" s="12">
        <v>331</v>
      </c>
      <c r="K18" s="12" t="s">
        <v>20</v>
      </c>
      <c r="L18" s="12">
        <v>1</v>
      </c>
      <c r="M18" s="17">
        <v>8000000</v>
      </c>
      <c r="N18" s="17">
        <f t="shared" si="2"/>
        <v>8000000</v>
      </c>
      <c r="P18" s="12">
        <f t="shared" si="3"/>
        <v>57</v>
      </c>
    </row>
    <row r="19" spans="1:16" ht="15" hidden="1" customHeight="1" x14ac:dyDescent="0.2">
      <c r="A19" s="12" t="s">
        <v>18</v>
      </c>
      <c r="B19" s="36" t="s">
        <v>498</v>
      </c>
      <c r="C19" s="12">
        <f t="shared" si="0"/>
        <v>235</v>
      </c>
      <c r="D19" s="38">
        <f t="shared" si="1"/>
        <v>0</v>
      </c>
      <c r="G19" s="14" t="s">
        <v>856</v>
      </c>
      <c r="H19" s="12" t="s">
        <v>861</v>
      </c>
      <c r="I19" s="12">
        <v>1331</v>
      </c>
      <c r="J19" s="12">
        <v>331</v>
      </c>
      <c r="K19" s="12" t="s">
        <v>20</v>
      </c>
      <c r="L19" s="12">
        <v>1</v>
      </c>
      <c r="M19" s="17">
        <v>0</v>
      </c>
      <c r="N19" s="17">
        <f t="shared" si="2"/>
        <v>0</v>
      </c>
      <c r="P19" s="12">
        <f t="shared" si="3"/>
        <v>57</v>
      </c>
    </row>
    <row r="20" spans="1:16" ht="15" hidden="1" customHeight="1" x14ac:dyDescent="0.2">
      <c r="A20" s="12" t="s">
        <v>18</v>
      </c>
      <c r="B20" s="36">
        <v>46053</v>
      </c>
      <c r="C20" s="12">
        <f t="shared" si="0"/>
        <v>236</v>
      </c>
      <c r="D20" s="38">
        <f t="shared" si="1"/>
        <v>1</v>
      </c>
      <c r="G20" s="14" t="s">
        <v>71</v>
      </c>
      <c r="H20" s="12" t="s">
        <v>455</v>
      </c>
      <c r="I20" s="12">
        <v>64271</v>
      </c>
      <c r="J20" s="12">
        <v>3383</v>
      </c>
      <c r="K20" s="12" t="s">
        <v>20</v>
      </c>
      <c r="L20" s="12">
        <v>1</v>
      </c>
      <c r="M20" s="17">
        <v>690300</v>
      </c>
      <c r="N20" s="17">
        <f t="shared" si="2"/>
        <v>690300</v>
      </c>
      <c r="P20" s="12">
        <f t="shared" si="3"/>
        <v>30</v>
      </c>
    </row>
    <row r="21" spans="1:16" ht="15" hidden="1" customHeight="1" x14ac:dyDescent="0.2">
      <c r="A21" s="12" t="s">
        <v>18</v>
      </c>
      <c r="B21" s="36" t="s">
        <v>542</v>
      </c>
      <c r="C21" s="12">
        <f t="shared" si="0"/>
        <v>237</v>
      </c>
      <c r="D21" s="38">
        <f t="shared" si="1"/>
        <v>1</v>
      </c>
      <c r="G21" s="14" t="s">
        <v>235</v>
      </c>
      <c r="H21" s="12" t="s">
        <v>871</v>
      </c>
      <c r="I21" s="12">
        <v>131</v>
      </c>
      <c r="J21" s="12">
        <v>5113</v>
      </c>
      <c r="K21" s="12" t="s">
        <v>20</v>
      </c>
      <c r="L21" s="12">
        <v>1</v>
      </c>
      <c r="M21" s="17">
        <v>24193548</v>
      </c>
      <c r="N21" s="17">
        <f t="shared" si="2"/>
        <v>24193548</v>
      </c>
      <c r="P21" s="12">
        <f t="shared" si="3"/>
        <v>151</v>
      </c>
    </row>
    <row r="22" spans="1:16" ht="15" customHeight="1" x14ac:dyDescent="0.2">
      <c r="A22" s="12" t="s">
        <v>18</v>
      </c>
      <c r="B22" s="36" t="s">
        <v>542</v>
      </c>
      <c r="C22" s="12">
        <f t="shared" si="0"/>
        <v>238</v>
      </c>
      <c r="D22" s="38">
        <f t="shared" si="1"/>
        <v>1</v>
      </c>
      <c r="G22" s="14" t="s">
        <v>235</v>
      </c>
      <c r="H22" s="12" t="s">
        <v>3991</v>
      </c>
      <c r="I22" s="12">
        <v>333821</v>
      </c>
      <c r="J22" s="12">
        <v>131</v>
      </c>
      <c r="K22" s="12" t="s">
        <v>20</v>
      </c>
      <c r="L22" s="12">
        <v>1</v>
      </c>
      <c r="M22" s="17">
        <v>241935</v>
      </c>
      <c r="N22" s="17">
        <f t="shared" si="2"/>
        <v>241935</v>
      </c>
      <c r="P22" s="12">
        <f t="shared" si="3"/>
        <v>167</v>
      </c>
    </row>
    <row r="23" spans="1:16" ht="15" hidden="1" customHeight="1" x14ac:dyDescent="0.2">
      <c r="A23" s="12" t="s">
        <v>18</v>
      </c>
      <c r="B23" s="36" t="s">
        <v>543</v>
      </c>
      <c r="C23" s="12">
        <f t="shared" si="0"/>
        <v>239</v>
      </c>
      <c r="D23" s="38">
        <f t="shared" si="1"/>
        <v>1</v>
      </c>
      <c r="G23" s="14" t="s">
        <v>52</v>
      </c>
      <c r="H23" s="12" t="s">
        <v>4014</v>
      </c>
      <c r="I23" s="12">
        <v>64277</v>
      </c>
      <c r="J23" s="12">
        <v>331</v>
      </c>
      <c r="K23" s="12" t="s">
        <v>20</v>
      </c>
      <c r="L23" s="12">
        <v>1</v>
      </c>
      <c r="M23" s="17">
        <v>1256000</v>
      </c>
      <c r="N23" s="17">
        <f t="shared" si="2"/>
        <v>1256000</v>
      </c>
      <c r="P23" s="12">
        <f t="shared" si="3"/>
        <v>41</v>
      </c>
    </row>
    <row r="24" spans="1:16" ht="15" hidden="1" customHeight="1" x14ac:dyDescent="0.2">
      <c r="A24" s="12" t="s">
        <v>18</v>
      </c>
      <c r="B24" s="36" t="s">
        <v>543</v>
      </c>
      <c r="C24" s="12">
        <f t="shared" si="0"/>
        <v>239</v>
      </c>
      <c r="D24" s="38">
        <f t="shared" si="1"/>
        <v>0</v>
      </c>
      <c r="G24" s="14" t="s">
        <v>52</v>
      </c>
      <c r="H24" s="12" t="s">
        <v>4014</v>
      </c>
      <c r="I24" s="12">
        <v>1331</v>
      </c>
      <c r="J24" s="12">
        <v>331</v>
      </c>
      <c r="K24" s="12" t="s">
        <v>20</v>
      </c>
      <c r="L24" s="12">
        <v>1</v>
      </c>
      <c r="M24" s="17">
        <v>100480</v>
      </c>
      <c r="N24" s="17">
        <f t="shared" si="2"/>
        <v>100480</v>
      </c>
      <c r="P24" s="12">
        <f t="shared" si="3"/>
        <v>41</v>
      </c>
    </row>
    <row r="25" spans="1:16" ht="15" hidden="1" customHeight="1" x14ac:dyDescent="0.2">
      <c r="A25" s="12" t="s">
        <v>18</v>
      </c>
      <c r="B25" s="36" t="s">
        <v>543</v>
      </c>
      <c r="C25" s="12">
        <f t="shared" si="0"/>
        <v>240</v>
      </c>
      <c r="D25" s="38">
        <f t="shared" si="1"/>
        <v>1</v>
      </c>
      <c r="G25" s="14" t="s">
        <v>275</v>
      </c>
      <c r="H25" s="12" t="s">
        <v>872</v>
      </c>
      <c r="I25" s="12">
        <v>131</v>
      </c>
      <c r="J25" s="12">
        <v>5113</v>
      </c>
      <c r="K25" s="12" t="s">
        <v>20</v>
      </c>
      <c r="L25" s="12">
        <v>1</v>
      </c>
      <c r="M25" s="17">
        <v>8888889</v>
      </c>
      <c r="N25" s="17">
        <f t="shared" si="2"/>
        <v>8888889</v>
      </c>
      <c r="P25" s="12">
        <f t="shared" si="3"/>
        <v>149</v>
      </c>
    </row>
    <row r="26" spans="1:16" ht="15" customHeight="1" x14ac:dyDescent="0.2">
      <c r="A26" s="12" t="s">
        <v>18</v>
      </c>
      <c r="B26" s="36" t="s">
        <v>543</v>
      </c>
      <c r="C26" s="12">
        <f t="shared" si="0"/>
        <v>241</v>
      </c>
      <c r="D26" s="38">
        <f t="shared" si="1"/>
        <v>1</v>
      </c>
      <c r="G26" s="14" t="s">
        <v>275</v>
      </c>
      <c r="H26" s="12" t="s">
        <v>3992</v>
      </c>
      <c r="I26" s="12">
        <v>333821</v>
      </c>
      <c r="J26" s="12">
        <v>131</v>
      </c>
      <c r="K26" s="12" t="s">
        <v>20</v>
      </c>
      <c r="L26" s="12">
        <v>1</v>
      </c>
      <c r="M26" s="17">
        <v>88889</v>
      </c>
      <c r="N26" s="17">
        <f t="shared" si="2"/>
        <v>88889</v>
      </c>
      <c r="P26" s="12">
        <f t="shared" si="3"/>
        <v>165</v>
      </c>
    </row>
    <row r="27" spans="1:16" ht="15" hidden="1" customHeight="1" x14ac:dyDescent="0.2">
      <c r="A27" s="12" t="s">
        <v>18</v>
      </c>
      <c r="B27" s="36" t="s">
        <v>437</v>
      </c>
      <c r="C27" s="12">
        <f t="shared" si="0"/>
        <v>242</v>
      </c>
      <c r="D27" s="38">
        <f t="shared" si="1"/>
        <v>1</v>
      </c>
      <c r="G27" s="14" t="s">
        <v>235</v>
      </c>
      <c r="H27" s="12" t="s">
        <v>873</v>
      </c>
      <c r="I27" s="12">
        <v>131</v>
      </c>
      <c r="J27" s="12">
        <v>5113</v>
      </c>
      <c r="K27" s="12" t="s">
        <v>20</v>
      </c>
      <c r="L27" s="12">
        <v>1</v>
      </c>
      <c r="M27" s="17">
        <v>47222222</v>
      </c>
      <c r="N27" s="17">
        <f t="shared" si="2"/>
        <v>47222222</v>
      </c>
      <c r="P27" s="12">
        <f t="shared" si="3"/>
        <v>143</v>
      </c>
    </row>
    <row r="28" spans="1:16" ht="15" customHeight="1" x14ac:dyDescent="0.2">
      <c r="A28" s="12" t="s">
        <v>18</v>
      </c>
      <c r="B28" s="36" t="s">
        <v>437</v>
      </c>
      <c r="C28" s="12">
        <f t="shared" si="0"/>
        <v>243</v>
      </c>
      <c r="D28" s="38">
        <f t="shared" si="1"/>
        <v>1</v>
      </c>
      <c r="G28" s="14" t="s">
        <v>235</v>
      </c>
      <c r="H28" s="12" t="s">
        <v>3993</v>
      </c>
      <c r="I28" s="12">
        <v>333821</v>
      </c>
      <c r="J28" s="12">
        <v>131</v>
      </c>
      <c r="K28" s="12" t="s">
        <v>20</v>
      </c>
      <c r="L28" s="12">
        <v>1</v>
      </c>
      <c r="M28" s="17">
        <v>472222</v>
      </c>
      <c r="N28" s="17">
        <f t="shared" si="2"/>
        <v>472222</v>
      </c>
      <c r="P28" s="12">
        <f t="shared" si="3"/>
        <v>159</v>
      </c>
    </row>
    <row r="29" spans="1:16" ht="15" hidden="1" customHeight="1" x14ac:dyDescent="0.2">
      <c r="A29" s="12" t="s">
        <v>18</v>
      </c>
      <c r="B29" s="36" t="s">
        <v>438</v>
      </c>
      <c r="C29" s="12">
        <f t="shared" si="0"/>
        <v>244</v>
      </c>
      <c r="D29" s="38">
        <f t="shared" si="1"/>
        <v>1</v>
      </c>
      <c r="G29" s="14" t="s">
        <v>35</v>
      </c>
      <c r="H29" s="12" t="s">
        <v>862</v>
      </c>
      <c r="I29" s="12">
        <v>64277</v>
      </c>
      <c r="J29" s="12">
        <v>331</v>
      </c>
      <c r="K29" s="12" t="s">
        <v>20</v>
      </c>
      <c r="L29" s="12">
        <v>1</v>
      </c>
      <c r="M29" s="17">
        <v>2500000</v>
      </c>
      <c r="N29" s="17">
        <f t="shared" si="2"/>
        <v>2500000</v>
      </c>
      <c r="P29" s="12">
        <f t="shared" si="3"/>
        <v>41</v>
      </c>
    </row>
    <row r="30" spans="1:16" ht="15" hidden="1" customHeight="1" x14ac:dyDescent="0.2">
      <c r="A30" s="12" t="s">
        <v>18</v>
      </c>
      <c r="B30" s="36" t="s">
        <v>438</v>
      </c>
      <c r="C30" s="12">
        <f t="shared" si="0"/>
        <v>244</v>
      </c>
      <c r="D30" s="38">
        <f t="shared" si="1"/>
        <v>0</v>
      </c>
      <c r="G30" s="14" t="s">
        <v>35</v>
      </c>
      <c r="H30" s="12" t="s">
        <v>862</v>
      </c>
      <c r="I30" s="12">
        <v>1331</v>
      </c>
      <c r="J30" s="12">
        <v>331</v>
      </c>
      <c r="K30" s="12" t="s">
        <v>20</v>
      </c>
      <c r="L30" s="12">
        <v>1</v>
      </c>
      <c r="M30" s="17">
        <v>200000</v>
      </c>
      <c r="N30" s="17">
        <f t="shared" si="2"/>
        <v>200000</v>
      </c>
      <c r="P30" s="12">
        <f t="shared" si="3"/>
        <v>41</v>
      </c>
    </row>
    <row r="31" spans="1:16" ht="15" hidden="1" customHeight="1" x14ac:dyDescent="0.2">
      <c r="A31" s="12" t="s">
        <v>18</v>
      </c>
      <c r="B31" s="36" t="s">
        <v>439</v>
      </c>
      <c r="C31" s="12">
        <f t="shared" si="0"/>
        <v>245</v>
      </c>
      <c r="D31" s="38">
        <f t="shared" si="1"/>
        <v>1</v>
      </c>
      <c r="G31" s="14" t="s">
        <v>857</v>
      </c>
      <c r="H31" s="12" t="s">
        <v>863</v>
      </c>
      <c r="I31" s="12">
        <v>64277</v>
      </c>
      <c r="J31" s="12">
        <v>331</v>
      </c>
      <c r="K31" s="12" t="s">
        <v>20</v>
      </c>
      <c r="L31" s="12">
        <v>1</v>
      </c>
      <c r="M31" s="17">
        <v>664259</v>
      </c>
      <c r="N31" s="17">
        <f t="shared" si="2"/>
        <v>664259</v>
      </c>
      <c r="P31" s="12">
        <f t="shared" si="3"/>
        <v>82</v>
      </c>
    </row>
    <row r="32" spans="1:16" ht="15" hidden="1" customHeight="1" x14ac:dyDescent="0.2">
      <c r="A32" s="12" t="s">
        <v>18</v>
      </c>
      <c r="B32" s="36" t="s">
        <v>439</v>
      </c>
      <c r="C32" s="12">
        <f t="shared" si="0"/>
        <v>245</v>
      </c>
      <c r="D32" s="38">
        <f t="shared" si="1"/>
        <v>0</v>
      </c>
      <c r="G32" s="14" t="s">
        <v>857</v>
      </c>
      <c r="H32" s="12" t="s">
        <v>863</v>
      </c>
      <c r="I32" s="12">
        <v>1331</v>
      </c>
      <c r="J32" s="12">
        <v>331</v>
      </c>
      <c r="K32" s="12" t="s">
        <v>20</v>
      </c>
      <c r="L32" s="12">
        <v>1</v>
      </c>
      <c r="M32" s="17">
        <v>53141</v>
      </c>
      <c r="N32" s="17">
        <f t="shared" si="2"/>
        <v>53141</v>
      </c>
      <c r="P32" s="12">
        <f t="shared" si="3"/>
        <v>82</v>
      </c>
    </row>
    <row r="33" spans="1:16" ht="15" hidden="1" customHeight="1" x14ac:dyDescent="0.2">
      <c r="A33" s="12" t="s">
        <v>18</v>
      </c>
      <c r="B33" s="36" t="s">
        <v>440</v>
      </c>
      <c r="C33" s="12">
        <f t="shared" si="0"/>
        <v>246</v>
      </c>
      <c r="D33" s="38">
        <f t="shared" si="1"/>
        <v>1</v>
      </c>
      <c r="G33" s="14" t="s">
        <v>858</v>
      </c>
      <c r="H33" s="12" t="s">
        <v>864</v>
      </c>
      <c r="I33" s="12">
        <v>64277</v>
      </c>
      <c r="J33" s="12">
        <v>331</v>
      </c>
      <c r="K33" s="12" t="s">
        <v>20</v>
      </c>
      <c r="L33" s="12">
        <v>1</v>
      </c>
      <c r="M33" s="17">
        <v>1481482</v>
      </c>
      <c r="N33" s="17">
        <f t="shared" si="2"/>
        <v>1481482</v>
      </c>
      <c r="P33" s="12">
        <f t="shared" si="3"/>
        <v>118</v>
      </c>
    </row>
    <row r="34" spans="1:16" ht="15" hidden="1" customHeight="1" x14ac:dyDescent="0.2">
      <c r="A34" s="12" t="s">
        <v>18</v>
      </c>
      <c r="B34" s="36" t="s">
        <v>440</v>
      </c>
      <c r="C34" s="12">
        <f t="shared" si="0"/>
        <v>246</v>
      </c>
      <c r="D34" s="38">
        <f t="shared" si="1"/>
        <v>0</v>
      </c>
      <c r="G34" s="14" t="s">
        <v>858</v>
      </c>
      <c r="H34" s="12" t="s">
        <v>864</v>
      </c>
      <c r="I34" s="12">
        <v>1331</v>
      </c>
      <c r="J34" s="12">
        <v>331</v>
      </c>
      <c r="K34" s="12" t="s">
        <v>20</v>
      </c>
      <c r="L34" s="12">
        <v>1</v>
      </c>
      <c r="M34" s="17">
        <v>118518</v>
      </c>
      <c r="N34" s="17">
        <f t="shared" si="2"/>
        <v>118518</v>
      </c>
      <c r="P34" s="12">
        <f t="shared" si="3"/>
        <v>118</v>
      </c>
    </row>
    <row r="35" spans="1:16" ht="15" hidden="1" customHeight="1" x14ac:dyDescent="0.2">
      <c r="A35" s="12" t="s">
        <v>18</v>
      </c>
      <c r="B35" s="36" t="s">
        <v>660</v>
      </c>
      <c r="C35" s="12">
        <f t="shared" si="0"/>
        <v>247</v>
      </c>
      <c r="D35" s="38">
        <f t="shared" si="1"/>
        <v>1</v>
      </c>
      <c r="G35" s="14" t="s">
        <v>19</v>
      </c>
      <c r="H35" s="12" t="s">
        <v>865</v>
      </c>
      <c r="I35" s="12">
        <v>64277</v>
      </c>
      <c r="J35" s="12">
        <v>331</v>
      </c>
      <c r="K35" s="12" t="s">
        <v>20</v>
      </c>
      <c r="L35" s="12">
        <v>1</v>
      </c>
      <c r="M35" s="17">
        <v>201852</v>
      </c>
      <c r="N35" s="17">
        <f t="shared" si="2"/>
        <v>201852</v>
      </c>
      <c r="P35" s="12">
        <f t="shared" si="3"/>
        <v>64</v>
      </c>
    </row>
    <row r="36" spans="1:16" ht="15" hidden="1" customHeight="1" x14ac:dyDescent="0.2">
      <c r="A36" s="12" t="s">
        <v>18</v>
      </c>
      <c r="B36" s="36" t="s">
        <v>660</v>
      </c>
      <c r="C36" s="12">
        <f t="shared" ref="C36:C67" si="4">C35+D36</f>
        <v>247</v>
      </c>
      <c r="D36" s="38">
        <f t="shared" ref="D36:D67" si="5">IF(H36=H35,0,1)</f>
        <v>0</v>
      </c>
      <c r="G36" s="14" t="s">
        <v>19</v>
      </c>
      <c r="H36" s="12" t="s">
        <v>865</v>
      </c>
      <c r="I36" s="12">
        <v>1331</v>
      </c>
      <c r="J36" s="12">
        <v>331</v>
      </c>
      <c r="K36" s="12" t="s">
        <v>20</v>
      </c>
      <c r="L36" s="12">
        <v>1</v>
      </c>
      <c r="M36" s="17">
        <v>16148</v>
      </c>
      <c r="N36" s="17">
        <f t="shared" ref="N36:N67" si="6">L36*M36</f>
        <v>16148</v>
      </c>
      <c r="P36" s="12">
        <f t="shared" si="3"/>
        <v>64</v>
      </c>
    </row>
    <row r="37" spans="1:16" ht="15" hidden="1" customHeight="1" x14ac:dyDescent="0.2">
      <c r="A37" s="12" t="s">
        <v>18</v>
      </c>
      <c r="B37" s="36" t="s">
        <v>500</v>
      </c>
      <c r="C37" s="12">
        <f t="shared" si="4"/>
        <v>248</v>
      </c>
      <c r="D37" s="38">
        <f t="shared" si="5"/>
        <v>1</v>
      </c>
      <c r="G37" s="14" t="s">
        <v>40</v>
      </c>
      <c r="H37" s="12" t="s">
        <v>866</v>
      </c>
      <c r="I37" s="12">
        <v>64277</v>
      </c>
      <c r="J37" s="12">
        <v>331</v>
      </c>
      <c r="K37" s="12" t="s">
        <v>20</v>
      </c>
      <c r="L37" s="12">
        <v>1</v>
      </c>
      <c r="M37" s="17">
        <v>3100926</v>
      </c>
      <c r="N37" s="17">
        <f t="shared" si="6"/>
        <v>3100926</v>
      </c>
      <c r="P37" s="12">
        <f t="shared" si="3"/>
        <v>61</v>
      </c>
    </row>
    <row r="38" spans="1:16" ht="15" hidden="1" customHeight="1" x14ac:dyDescent="0.2">
      <c r="A38" s="12" t="s">
        <v>18</v>
      </c>
      <c r="B38" s="36" t="s">
        <v>500</v>
      </c>
      <c r="C38" s="12">
        <f t="shared" si="4"/>
        <v>248</v>
      </c>
      <c r="D38" s="38">
        <f t="shared" si="5"/>
        <v>0</v>
      </c>
      <c r="G38" s="14" t="s">
        <v>40</v>
      </c>
      <c r="H38" s="12" t="s">
        <v>866</v>
      </c>
      <c r="I38" s="12">
        <v>1331</v>
      </c>
      <c r="J38" s="12">
        <v>331</v>
      </c>
      <c r="K38" s="12" t="s">
        <v>20</v>
      </c>
      <c r="L38" s="12">
        <v>1</v>
      </c>
      <c r="M38" s="17">
        <v>248074</v>
      </c>
      <c r="N38" s="17">
        <f t="shared" si="6"/>
        <v>248074</v>
      </c>
      <c r="P38" s="12">
        <f t="shared" si="3"/>
        <v>61</v>
      </c>
    </row>
    <row r="39" spans="1:16" ht="15" hidden="1" customHeight="1" x14ac:dyDescent="0.2">
      <c r="A39" s="12" t="s">
        <v>18</v>
      </c>
      <c r="B39" s="36">
        <v>46081</v>
      </c>
      <c r="C39" s="12">
        <f t="shared" si="4"/>
        <v>249</v>
      </c>
      <c r="D39" s="38">
        <f t="shared" si="5"/>
        <v>1</v>
      </c>
      <c r="G39" s="14" t="s">
        <v>71</v>
      </c>
      <c r="H39" s="12" t="s">
        <v>456</v>
      </c>
      <c r="I39" s="12">
        <v>64271</v>
      </c>
      <c r="J39" s="12">
        <v>3383</v>
      </c>
      <c r="K39" s="12" t="s">
        <v>20</v>
      </c>
      <c r="L39" s="12">
        <v>1</v>
      </c>
      <c r="M39" s="17">
        <v>690300</v>
      </c>
      <c r="N39" s="17">
        <f t="shared" si="6"/>
        <v>690300</v>
      </c>
      <c r="P39" s="12">
        <f t="shared" si="3"/>
        <v>30</v>
      </c>
    </row>
    <row r="40" spans="1:16" ht="15" hidden="1" customHeight="1" x14ac:dyDescent="0.2">
      <c r="A40" s="12" t="s">
        <v>18</v>
      </c>
      <c r="B40" s="36" t="s">
        <v>552</v>
      </c>
      <c r="C40" s="12">
        <f t="shared" si="4"/>
        <v>250</v>
      </c>
      <c r="D40" s="38">
        <f t="shared" si="5"/>
        <v>1</v>
      </c>
      <c r="G40" s="14" t="s">
        <v>375</v>
      </c>
      <c r="H40" s="12" t="s">
        <v>875</v>
      </c>
      <c r="I40" s="12">
        <v>131</v>
      </c>
      <c r="J40" s="12">
        <v>5113</v>
      </c>
      <c r="K40" s="12" t="s">
        <v>20</v>
      </c>
      <c r="L40" s="12">
        <v>1</v>
      </c>
      <c r="M40" s="17">
        <v>13333333</v>
      </c>
      <c r="N40" s="17">
        <f t="shared" si="6"/>
        <v>13333333</v>
      </c>
      <c r="P40" s="12">
        <f t="shared" si="3"/>
        <v>162</v>
      </c>
    </row>
    <row r="41" spans="1:16" ht="15" customHeight="1" x14ac:dyDescent="0.2">
      <c r="A41" s="12" t="s">
        <v>18</v>
      </c>
      <c r="B41" s="36" t="s">
        <v>552</v>
      </c>
      <c r="C41" s="12">
        <f t="shared" si="4"/>
        <v>251</v>
      </c>
      <c r="D41" s="38">
        <f t="shared" si="5"/>
        <v>1</v>
      </c>
      <c r="G41" s="14" t="s">
        <v>375</v>
      </c>
      <c r="H41" s="12" t="s">
        <v>3994</v>
      </c>
      <c r="I41" s="12">
        <v>333821</v>
      </c>
      <c r="J41" s="12">
        <v>131</v>
      </c>
      <c r="K41" s="12" t="s">
        <v>20</v>
      </c>
      <c r="L41" s="12">
        <v>1</v>
      </c>
      <c r="M41" s="17">
        <v>133333</v>
      </c>
      <c r="N41" s="17">
        <f t="shared" si="6"/>
        <v>133333</v>
      </c>
      <c r="P41" s="12">
        <f t="shared" si="3"/>
        <v>178</v>
      </c>
    </row>
    <row r="42" spans="1:16" ht="15" hidden="1" customHeight="1" x14ac:dyDescent="0.2">
      <c r="A42" s="12" t="s">
        <v>18</v>
      </c>
      <c r="B42" s="36" t="s">
        <v>552</v>
      </c>
      <c r="C42" s="12">
        <f t="shared" si="4"/>
        <v>252</v>
      </c>
      <c r="D42" s="38">
        <f t="shared" si="5"/>
        <v>1</v>
      </c>
      <c r="G42" s="14" t="s">
        <v>375</v>
      </c>
      <c r="H42" s="12" t="s">
        <v>874</v>
      </c>
      <c r="I42" s="12">
        <v>131</v>
      </c>
      <c r="J42" s="12">
        <v>5113</v>
      </c>
      <c r="K42" s="12" t="s">
        <v>20</v>
      </c>
      <c r="L42" s="12">
        <v>1</v>
      </c>
      <c r="M42" s="17">
        <v>13333333</v>
      </c>
      <c r="N42" s="17">
        <f t="shared" si="6"/>
        <v>13333333</v>
      </c>
      <c r="P42" s="12">
        <f t="shared" si="3"/>
        <v>165</v>
      </c>
    </row>
    <row r="43" spans="1:16" ht="15" customHeight="1" x14ac:dyDescent="0.2">
      <c r="A43" s="12" t="s">
        <v>18</v>
      </c>
      <c r="B43" s="36" t="s">
        <v>552</v>
      </c>
      <c r="C43" s="12">
        <f t="shared" si="4"/>
        <v>253</v>
      </c>
      <c r="D43" s="38">
        <f t="shared" si="5"/>
        <v>1</v>
      </c>
      <c r="G43" s="14" t="s">
        <v>375</v>
      </c>
      <c r="H43" s="12" t="s">
        <v>3995</v>
      </c>
      <c r="I43" s="12">
        <v>333821</v>
      </c>
      <c r="J43" s="12">
        <v>131</v>
      </c>
      <c r="K43" s="12" t="s">
        <v>20</v>
      </c>
      <c r="L43" s="12">
        <v>1</v>
      </c>
      <c r="M43" s="17">
        <v>133333</v>
      </c>
      <c r="N43" s="17">
        <f t="shared" si="6"/>
        <v>133333</v>
      </c>
      <c r="P43" s="12">
        <f t="shared" si="3"/>
        <v>181</v>
      </c>
    </row>
    <row r="44" spans="1:16" ht="15" hidden="1" customHeight="1" x14ac:dyDescent="0.2">
      <c r="A44" s="12" t="s">
        <v>18</v>
      </c>
      <c r="B44" s="36" t="s">
        <v>552</v>
      </c>
      <c r="C44" s="12">
        <f t="shared" si="4"/>
        <v>254</v>
      </c>
      <c r="D44" s="38">
        <f t="shared" si="5"/>
        <v>1</v>
      </c>
      <c r="G44" s="14" t="s">
        <v>375</v>
      </c>
      <c r="H44" s="12" t="s">
        <v>876</v>
      </c>
      <c r="I44" s="12">
        <v>131</v>
      </c>
      <c r="J44" s="12">
        <v>5113</v>
      </c>
      <c r="K44" s="12" t="s">
        <v>20</v>
      </c>
      <c r="L44" s="12">
        <v>1</v>
      </c>
      <c r="M44" s="17">
        <v>11111111</v>
      </c>
      <c r="N44" s="17">
        <f t="shared" si="6"/>
        <v>11111111</v>
      </c>
      <c r="P44" s="12">
        <f t="shared" si="3"/>
        <v>163</v>
      </c>
    </row>
    <row r="45" spans="1:16" ht="15" customHeight="1" x14ac:dyDescent="0.2">
      <c r="A45" s="12" t="s">
        <v>18</v>
      </c>
      <c r="B45" s="36" t="s">
        <v>552</v>
      </c>
      <c r="C45" s="12">
        <f t="shared" si="4"/>
        <v>255</v>
      </c>
      <c r="D45" s="38">
        <f t="shared" si="5"/>
        <v>1</v>
      </c>
      <c r="G45" s="14" t="s">
        <v>375</v>
      </c>
      <c r="H45" s="12" t="s">
        <v>3996</v>
      </c>
      <c r="I45" s="12">
        <v>333821</v>
      </c>
      <c r="J45" s="12">
        <v>131</v>
      </c>
      <c r="K45" s="12" t="s">
        <v>20</v>
      </c>
      <c r="L45" s="12">
        <v>1</v>
      </c>
      <c r="M45" s="17">
        <v>111111</v>
      </c>
      <c r="N45" s="17">
        <f t="shared" si="6"/>
        <v>111111</v>
      </c>
      <c r="P45" s="12">
        <f t="shared" si="3"/>
        <v>179</v>
      </c>
    </row>
    <row r="46" spans="1:16" ht="15" hidden="1" customHeight="1" x14ac:dyDescent="0.2">
      <c r="A46" s="12" t="s">
        <v>18</v>
      </c>
      <c r="B46" s="36" t="s">
        <v>553</v>
      </c>
      <c r="C46" s="12">
        <f t="shared" si="4"/>
        <v>256</v>
      </c>
      <c r="D46" s="38">
        <f t="shared" si="5"/>
        <v>1</v>
      </c>
      <c r="G46" s="14" t="s">
        <v>235</v>
      </c>
      <c r="H46" s="12" t="s">
        <v>877</v>
      </c>
      <c r="I46" s="12">
        <v>131</v>
      </c>
      <c r="J46" s="12">
        <v>5113</v>
      </c>
      <c r="K46" s="12" t="s">
        <v>20</v>
      </c>
      <c r="L46" s="12">
        <v>1</v>
      </c>
      <c r="M46" s="17">
        <v>9259259</v>
      </c>
      <c r="N46" s="17">
        <f t="shared" si="6"/>
        <v>9259259</v>
      </c>
      <c r="P46" s="12">
        <f t="shared" si="3"/>
        <v>143</v>
      </c>
    </row>
    <row r="47" spans="1:16" ht="15" customHeight="1" x14ac:dyDescent="0.2">
      <c r="A47" s="12" t="s">
        <v>18</v>
      </c>
      <c r="B47" s="36" t="s">
        <v>553</v>
      </c>
      <c r="C47" s="12">
        <f t="shared" si="4"/>
        <v>257</v>
      </c>
      <c r="D47" s="38">
        <f t="shared" si="5"/>
        <v>1</v>
      </c>
      <c r="G47" s="14" t="s">
        <v>235</v>
      </c>
      <c r="H47" s="12" t="s">
        <v>3997</v>
      </c>
      <c r="I47" s="12">
        <v>333821</v>
      </c>
      <c r="J47" s="12">
        <v>131</v>
      </c>
      <c r="K47" s="12" t="s">
        <v>20</v>
      </c>
      <c r="L47" s="12">
        <v>1</v>
      </c>
      <c r="M47" s="17">
        <v>92593</v>
      </c>
      <c r="N47" s="17">
        <f t="shared" si="6"/>
        <v>92593</v>
      </c>
      <c r="P47" s="12">
        <f t="shared" si="3"/>
        <v>159</v>
      </c>
    </row>
    <row r="48" spans="1:16" ht="15" hidden="1" customHeight="1" x14ac:dyDescent="0.2">
      <c r="A48" s="12" t="s">
        <v>18</v>
      </c>
      <c r="B48" s="36" t="s">
        <v>555</v>
      </c>
      <c r="C48" s="12">
        <f t="shared" si="4"/>
        <v>258</v>
      </c>
      <c r="D48" s="38">
        <f t="shared" si="5"/>
        <v>1</v>
      </c>
      <c r="G48" s="14" t="s">
        <v>35</v>
      </c>
      <c r="H48" s="12" t="s">
        <v>867</v>
      </c>
      <c r="I48" s="12">
        <v>64277</v>
      </c>
      <c r="J48" s="12">
        <v>331</v>
      </c>
      <c r="K48" s="12" t="s">
        <v>20</v>
      </c>
      <c r="L48" s="12">
        <v>1</v>
      </c>
      <c r="M48" s="17">
        <v>2500000</v>
      </c>
      <c r="N48" s="17">
        <f t="shared" si="6"/>
        <v>2500000</v>
      </c>
      <c r="P48" s="12">
        <f t="shared" si="3"/>
        <v>41</v>
      </c>
    </row>
    <row r="49" spans="1:16" ht="15" hidden="1" customHeight="1" x14ac:dyDescent="0.2">
      <c r="A49" s="12" t="s">
        <v>18</v>
      </c>
      <c r="B49" s="36" t="s">
        <v>555</v>
      </c>
      <c r="C49" s="12">
        <f t="shared" si="4"/>
        <v>258</v>
      </c>
      <c r="D49" s="38">
        <f t="shared" si="5"/>
        <v>0</v>
      </c>
      <c r="G49" s="14" t="s">
        <v>35</v>
      </c>
      <c r="H49" s="12" t="s">
        <v>867</v>
      </c>
      <c r="I49" s="12">
        <v>1331</v>
      </c>
      <c r="J49" s="12">
        <v>331</v>
      </c>
      <c r="K49" s="12" t="s">
        <v>20</v>
      </c>
      <c r="L49" s="12">
        <v>1</v>
      </c>
      <c r="M49" s="17">
        <v>200000</v>
      </c>
      <c r="N49" s="17">
        <f t="shared" si="6"/>
        <v>200000</v>
      </c>
      <c r="P49" s="12">
        <f t="shared" si="3"/>
        <v>41</v>
      </c>
    </row>
    <row r="50" spans="1:16" ht="15" hidden="1" customHeight="1" x14ac:dyDescent="0.2">
      <c r="A50" s="12" t="s">
        <v>18</v>
      </c>
      <c r="B50" s="36" t="s">
        <v>480</v>
      </c>
      <c r="C50" s="12">
        <f t="shared" si="4"/>
        <v>259</v>
      </c>
      <c r="D50" s="38">
        <f t="shared" si="5"/>
        <v>1</v>
      </c>
      <c r="G50" s="14" t="s">
        <v>869</v>
      </c>
      <c r="H50" s="12" t="s">
        <v>878</v>
      </c>
      <c r="I50" s="12">
        <v>131</v>
      </c>
      <c r="J50" s="12">
        <v>5113</v>
      </c>
      <c r="K50" s="12" t="s">
        <v>20</v>
      </c>
      <c r="L50" s="12">
        <v>1</v>
      </c>
      <c r="M50" s="17">
        <v>8888889</v>
      </c>
      <c r="N50" s="17">
        <f t="shared" si="6"/>
        <v>8888889</v>
      </c>
      <c r="P50" s="12">
        <f t="shared" si="3"/>
        <v>103</v>
      </c>
    </row>
    <row r="51" spans="1:16" ht="15" customHeight="1" x14ac:dyDescent="0.2">
      <c r="A51" s="12" t="s">
        <v>18</v>
      </c>
      <c r="B51" s="36" t="s">
        <v>480</v>
      </c>
      <c r="C51" s="12">
        <f t="shared" si="4"/>
        <v>260</v>
      </c>
      <c r="D51" s="38">
        <f t="shared" si="5"/>
        <v>1</v>
      </c>
      <c r="G51" s="32" t="s">
        <v>869</v>
      </c>
      <c r="H51" s="12" t="s">
        <v>3998</v>
      </c>
      <c r="I51" s="12">
        <v>333821</v>
      </c>
      <c r="J51" s="12">
        <v>131</v>
      </c>
      <c r="K51" s="12" t="s">
        <v>20</v>
      </c>
      <c r="L51" s="12">
        <v>1</v>
      </c>
      <c r="M51" s="17">
        <v>88889</v>
      </c>
      <c r="N51" s="17">
        <f t="shared" si="6"/>
        <v>88889</v>
      </c>
      <c r="P51" s="12">
        <f t="shared" si="3"/>
        <v>119</v>
      </c>
    </row>
    <row r="52" spans="1:16" ht="15" hidden="1" customHeight="1" x14ac:dyDescent="0.2">
      <c r="A52" s="12" t="s">
        <v>18</v>
      </c>
      <c r="B52" s="36" t="s">
        <v>662</v>
      </c>
      <c r="C52" s="12">
        <f t="shared" si="4"/>
        <v>261</v>
      </c>
      <c r="D52" s="38">
        <f t="shared" si="5"/>
        <v>1</v>
      </c>
      <c r="G52" s="32" t="s">
        <v>275</v>
      </c>
      <c r="H52" s="12" t="s">
        <v>879</v>
      </c>
      <c r="I52" s="12">
        <v>131</v>
      </c>
      <c r="J52" s="12">
        <v>5113</v>
      </c>
      <c r="K52" s="12" t="s">
        <v>20</v>
      </c>
      <c r="L52" s="12">
        <v>1</v>
      </c>
      <c r="M52" s="17">
        <v>8888889</v>
      </c>
      <c r="N52" s="17">
        <f t="shared" si="6"/>
        <v>8888889</v>
      </c>
      <c r="P52" s="12">
        <f t="shared" si="3"/>
        <v>150</v>
      </c>
    </row>
    <row r="53" spans="1:16" ht="15" customHeight="1" x14ac:dyDescent="0.2">
      <c r="A53" s="12" t="s">
        <v>18</v>
      </c>
      <c r="B53" s="36" t="s">
        <v>662</v>
      </c>
      <c r="C53" s="12">
        <f t="shared" si="4"/>
        <v>262</v>
      </c>
      <c r="D53" s="38">
        <f t="shared" si="5"/>
        <v>1</v>
      </c>
      <c r="G53" s="14" t="s">
        <v>275</v>
      </c>
      <c r="H53" s="12" t="s">
        <v>3999</v>
      </c>
      <c r="I53" s="12">
        <v>333821</v>
      </c>
      <c r="J53" s="12">
        <v>131</v>
      </c>
      <c r="K53" s="12" t="s">
        <v>20</v>
      </c>
      <c r="L53" s="12">
        <v>1</v>
      </c>
      <c r="M53" s="17">
        <v>88889</v>
      </c>
      <c r="N53" s="17">
        <f t="shared" si="6"/>
        <v>88889</v>
      </c>
      <c r="P53" s="12">
        <f t="shared" si="3"/>
        <v>166</v>
      </c>
    </row>
    <row r="54" spans="1:16" ht="15" hidden="1" customHeight="1" x14ac:dyDescent="0.2">
      <c r="A54" s="12" t="s">
        <v>18</v>
      </c>
      <c r="B54" s="36" t="s">
        <v>665</v>
      </c>
      <c r="C54" s="12">
        <f t="shared" si="4"/>
        <v>263</v>
      </c>
      <c r="D54" s="38">
        <f t="shared" si="5"/>
        <v>1</v>
      </c>
      <c r="G54" s="14" t="s">
        <v>859</v>
      </c>
      <c r="H54" s="12" t="s">
        <v>868</v>
      </c>
      <c r="I54" s="12">
        <v>64277</v>
      </c>
      <c r="J54" s="12">
        <v>331</v>
      </c>
      <c r="K54" s="12" t="s">
        <v>20</v>
      </c>
      <c r="L54" s="12">
        <v>1</v>
      </c>
      <c r="M54" s="17">
        <v>1944444</v>
      </c>
      <c r="N54" s="17">
        <f t="shared" si="6"/>
        <v>1944444</v>
      </c>
      <c r="P54" s="12">
        <f t="shared" si="3"/>
        <v>64</v>
      </c>
    </row>
    <row r="55" spans="1:16" ht="15" hidden="1" customHeight="1" x14ac:dyDescent="0.2">
      <c r="A55" s="12" t="s">
        <v>18</v>
      </c>
      <c r="B55" s="36" t="s">
        <v>665</v>
      </c>
      <c r="C55" s="12">
        <f t="shared" si="4"/>
        <v>263</v>
      </c>
      <c r="D55" s="38">
        <f t="shared" si="5"/>
        <v>0</v>
      </c>
      <c r="G55" s="14" t="s">
        <v>859</v>
      </c>
      <c r="H55" s="12" t="s">
        <v>868</v>
      </c>
      <c r="I55" s="12">
        <v>1331</v>
      </c>
      <c r="J55" s="12">
        <v>331</v>
      </c>
      <c r="K55" s="12" t="s">
        <v>20</v>
      </c>
      <c r="L55" s="12">
        <v>1</v>
      </c>
      <c r="M55" s="17">
        <v>155556</v>
      </c>
      <c r="N55" s="17">
        <f t="shared" si="6"/>
        <v>155556</v>
      </c>
      <c r="P55" s="12">
        <f t="shared" si="3"/>
        <v>64</v>
      </c>
    </row>
    <row r="56" spans="1:16" ht="15" hidden="1" customHeight="1" x14ac:dyDescent="0.2">
      <c r="A56" s="12" t="s">
        <v>18</v>
      </c>
      <c r="B56" s="36">
        <v>46112</v>
      </c>
      <c r="C56" s="12">
        <f t="shared" si="4"/>
        <v>264</v>
      </c>
      <c r="D56" s="38">
        <f t="shared" si="5"/>
        <v>1</v>
      </c>
      <c r="G56" s="14" t="s">
        <v>71</v>
      </c>
      <c r="H56" s="12" t="s">
        <v>457</v>
      </c>
      <c r="I56" s="12">
        <v>64271</v>
      </c>
      <c r="J56" s="12">
        <v>3383</v>
      </c>
      <c r="K56" s="12" t="s">
        <v>20</v>
      </c>
      <c r="L56" s="12">
        <v>1</v>
      </c>
      <c r="M56" s="17">
        <v>690300</v>
      </c>
      <c r="N56" s="17">
        <f t="shared" si="6"/>
        <v>690300</v>
      </c>
      <c r="P56" s="12">
        <f t="shared" si="3"/>
        <v>30</v>
      </c>
    </row>
    <row r="57" spans="1:16" ht="15" hidden="1" customHeight="1" x14ac:dyDescent="0.2">
      <c r="A57" s="12" t="s">
        <v>308</v>
      </c>
      <c r="B57" s="36">
        <v>46030</v>
      </c>
      <c r="C57" s="12">
        <f t="shared" si="4"/>
        <v>265</v>
      </c>
      <c r="D57" s="38">
        <f t="shared" si="5"/>
        <v>1</v>
      </c>
      <c r="G57" s="174" t="s">
        <v>162</v>
      </c>
      <c r="H57" s="12" t="s">
        <v>4000</v>
      </c>
      <c r="I57" s="12">
        <v>1111</v>
      </c>
      <c r="J57" s="12">
        <v>112111</v>
      </c>
      <c r="K57" s="12" t="s">
        <v>20</v>
      </c>
      <c r="L57" s="12">
        <v>1</v>
      </c>
      <c r="M57" s="17">
        <v>10000000</v>
      </c>
      <c r="N57" s="17">
        <f t="shared" si="6"/>
        <v>10000000</v>
      </c>
      <c r="P57" s="12">
        <f t="shared" si="3"/>
        <v>30</v>
      </c>
    </row>
    <row r="58" spans="1:16" ht="15" hidden="1" customHeight="1" x14ac:dyDescent="0.2">
      <c r="A58" s="12" t="s">
        <v>309</v>
      </c>
      <c r="B58" s="36">
        <v>46031</v>
      </c>
      <c r="C58" s="12">
        <f t="shared" si="4"/>
        <v>266</v>
      </c>
      <c r="D58" s="38">
        <f t="shared" si="5"/>
        <v>1</v>
      </c>
      <c r="G58" s="174" t="s">
        <v>306</v>
      </c>
      <c r="H58" s="12" t="s">
        <v>4001</v>
      </c>
      <c r="I58" s="12">
        <v>112111</v>
      </c>
      <c r="J58" s="12">
        <v>131</v>
      </c>
      <c r="K58" s="12" t="s">
        <v>20</v>
      </c>
      <c r="L58" s="12">
        <v>1</v>
      </c>
      <c r="M58" s="17">
        <v>5322561</v>
      </c>
      <c r="N58" s="17">
        <f t="shared" si="6"/>
        <v>5322561</v>
      </c>
      <c r="P58" s="12">
        <f t="shared" si="3"/>
        <v>156</v>
      </c>
    </row>
    <row r="59" spans="1:16" ht="15" hidden="1" customHeight="1" x14ac:dyDescent="0.2">
      <c r="A59" s="12" t="s">
        <v>308</v>
      </c>
      <c r="B59" s="182">
        <v>46037</v>
      </c>
      <c r="C59" s="12">
        <f t="shared" si="4"/>
        <v>267</v>
      </c>
      <c r="D59" s="38">
        <f t="shared" si="5"/>
        <v>1</v>
      </c>
      <c r="G59" s="174" t="s">
        <v>162</v>
      </c>
      <c r="H59" s="12" t="s">
        <v>4000</v>
      </c>
      <c r="I59" s="12">
        <v>1111</v>
      </c>
      <c r="J59" s="12">
        <v>112111</v>
      </c>
      <c r="K59" s="12" t="s">
        <v>20</v>
      </c>
      <c r="L59" s="12">
        <v>1</v>
      </c>
      <c r="M59" s="17">
        <v>9500000</v>
      </c>
      <c r="N59" s="17">
        <f t="shared" si="6"/>
        <v>9500000</v>
      </c>
      <c r="P59" s="12">
        <f t="shared" si="3"/>
        <v>30</v>
      </c>
    </row>
    <row r="60" spans="1:16" ht="15" hidden="1" customHeight="1" x14ac:dyDescent="0.2">
      <c r="A60" s="12" t="s">
        <v>309</v>
      </c>
      <c r="B60" s="182">
        <v>46037</v>
      </c>
      <c r="C60" s="12">
        <f t="shared" si="4"/>
        <v>268</v>
      </c>
      <c r="D60" s="38">
        <f t="shared" si="5"/>
        <v>1</v>
      </c>
      <c r="G60" s="174" t="s">
        <v>4002</v>
      </c>
      <c r="H60" s="12" t="s">
        <v>4003</v>
      </c>
      <c r="I60" s="12">
        <v>112111</v>
      </c>
      <c r="J60" s="12">
        <v>131</v>
      </c>
      <c r="K60" s="12" t="s">
        <v>20</v>
      </c>
      <c r="L60" s="12">
        <v>1</v>
      </c>
      <c r="M60" s="17">
        <v>5322581</v>
      </c>
      <c r="N60" s="17">
        <f t="shared" si="6"/>
        <v>5322581</v>
      </c>
      <c r="P60" s="12">
        <f t="shared" si="3"/>
        <v>161</v>
      </c>
    </row>
    <row r="61" spans="1:16" ht="15" hidden="1" customHeight="1" x14ac:dyDescent="0.2">
      <c r="A61" s="12" t="s">
        <v>308</v>
      </c>
      <c r="B61" s="36">
        <v>46048</v>
      </c>
      <c r="C61" s="12">
        <f t="shared" si="4"/>
        <v>269</v>
      </c>
      <c r="D61" s="38">
        <f t="shared" si="5"/>
        <v>1</v>
      </c>
      <c r="G61" s="174" t="s">
        <v>162</v>
      </c>
      <c r="H61" s="12" t="s">
        <v>4000</v>
      </c>
      <c r="I61" s="12">
        <v>1111</v>
      </c>
      <c r="J61" s="12">
        <v>112111</v>
      </c>
      <c r="K61" s="12" t="s">
        <v>20</v>
      </c>
      <c r="L61" s="12">
        <v>1</v>
      </c>
      <c r="M61" s="17">
        <v>20000000</v>
      </c>
      <c r="N61" s="17">
        <f t="shared" si="6"/>
        <v>20000000</v>
      </c>
      <c r="P61" s="12">
        <f t="shared" si="3"/>
        <v>30</v>
      </c>
    </row>
    <row r="62" spans="1:16" ht="15" hidden="1" customHeight="1" x14ac:dyDescent="0.2">
      <c r="A62" s="12" t="s">
        <v>309</v>
      </c>
      <c r="B62" s="36">
        <v>46053</v>
      </c>
      <c r="C62" s="12">
        <f t="shared" si="4"/>
        <v>270</v>
      </c>
      <c r="D62" s="38">
        <f t="shared" si="5"/>
        <v>1</v>
      </c>
      <c r="G62" s="174" t="s">
        <v>162</v>
      </c>
      <c r="H62" s="12" t="s">
        <v>3561</v>
      </c>
      <c r="I62" s="12">
        <v>112111</v>
      </c>
      <c r="J62" s="12">
        <v>5154</v>
      </c>
      <c r="K62" s="12" t="s">
        <v>20</v>
      </c>
      <c r="L62" s="12">
        <v>1</v>
      </c>
      <c r="M62" s="17">
        <v>1896</v>
      </c>
      <c r="N62" s="17">
        <f t="shared" si="6"/>
        <v>1896</v>
      </c>
      <c r="P62" s="12">
        <f t="shared" si="3"/>
        <v>22</v>
      </c>
    </row>
    <row r="63" spans="1:16" ht="15" hidden="1" customHeight="1" x14ac:dyDescent="0.2">
      <c r="A63" s="12" t="s">
        <v>308</v>
      </c>
      <c r="B63" s="36">
        <v>46062</v>
      </c>
      <c r="C63" s="12">
        <f t="shared" si="4"/>
        <v>271</v>
      </c>
      <c r="D63" s="38">
        <f t="shared" si="5"/>
        <v>1</v>
      </c>
      <c r="G63" s="174" t="s">
        <v>162</v>
      </c>
      <c r="H63" s="12" t="s">
        <v>4000</v>
      </c>
      <c r="I63" s="12">
        <v>1111</v>
      </c>
      <c r="J63" s="12">
        <v>112111</v>
      </c>
      <c r="K63" s="12" t="s">
        <v>20</v>
      </c>
      <c r="L63" s="12">
        <v>1</v>
      </c>
      <c r="M63" s="17">
        <v>10000000</v>
      </c>
      <c r="N63" s="17">
        <f t="shared" si="6"/>
        <v>10000000</v>
      </c>
      <c r="P63" s="12">
        <f t="shared" si="3"/>
        <v>30</v>
      </c>
    </row>
    <row r="64" spans="1:16" ht="15" hidden="1" customHeight="1" x14ac:dyDescent="0.2">
      <c r="A64" s="12" t="s">
        <v>309</v>
      </c>
      <c r="B64" s="36">
        <v>46081</v>
      </c>
      <c r="C64" s="12">
        <f t="shared" si="4"/>
        <v>272</v>
      </c>
      <c r="D64" s="38">
        <f t="shared" si="5"/>
        <v>1</v>
      </c>
      <c r="G64" s="174" t="s">
        <v>162</v>
      </c>
      <c r="H64" s="12" t="s">
        <v>3561</v>
      </c>
      <c r="I64" s="12">
        <v>112111</v>
      </c>
      <c r="J64" s="12">
        <v>5154</v>
      </c>
      <c r="K64" s="12" t="s">
        <v>20</v>
      </c>
      <c r="L64" s="12">
        <v>1</v>
      </c>
      <c r="M64" s="17">
        <v>314</v>
      </c>
      <c r="N64" s="17">
        <f t="shared" si="6"/>
        <v>314</v>
      </c>
      <c r="P64" s="12">
        <f t="shared" si="3"/>
        <v>22</v>
      </c>
    </row>
    <row r="65" spans="1:16" ht="15" hidden="1" customHeight="1" x14ac:dyDescent="0.2">
      <c r="A65" s="12" t="s">
        <v>308</v>
      </c>
      <c r="B65" s="36">
        <v>46086</v>
      </c>
      <c r="C65" s="12">
        <f t="shared" si="4"/>
        <v>273</v>
      </c>
      <c r="D65" s="38">
        <f t="shared" si="5"/>
        <v>1</v>
      </c>
      <c r="G65" s="174" t="s">
        <v>162</v>
      </c>
      <c r="H65" s="12" t="s">
        <v>4000</v>
      </c>
      <c r="I65" s="12">
        <v>1111</v>
      </c>
      <c r="J65" s="12">
        <v>112111</v>
      </c>
      <c r="K65" s="12" t="s">
        <v>20</v>
      </c>
      <c r="L65" s="12">
        <v>1</v>
      </c>
      <c r="M65" s="17">
        <v>5000000</v>
      </c>
      <c r="N65" s="17">
        <f t="shared" si="6"/>
        <v>5000000</v>
      </c>
      <c r="P65" s="12">
        <f t="shared" si="3"/>
        <v>30</v>
      </c>
    </row>
    <row r="66" spans="1:16" ht="15" hidden="1" customHeight="1" x14ac:dyDescent="0.2">
      <c r="A66" s="12" t="s">
        <v>309</v>
      </c>
      <c r="B66" s="36">
        <v>46109</v>
      </c>
      <c r="C66" s="12">
        <f t="shared" si="4"/>
        <v>274</v>
      </c>
      <c r="D66" s="38">
        <f t="shared" si="5"/>
        <v>1</v>
      </c>
      <c r="G66" s="174" t="s">
        <v>162</v>
      </c>
      <c r="H66" s="12" t="s">
        <v>3561</v>
      </c>
      <c r="I66" s="12">
        <v>112111</v>
      </c>
      <c r="J66" s="12">
        <v>5154</v>
      </c>
      <c r="K66" s="12" t="s">
        <v>20</v>
      </c>
      <c r="L66" s="12">
        <v>1</v>
      </c>
      <c r="M66" s="17">
        <v>40</v>
      </c>
      <c r="N66" s="17">
        <f t="shared" si="6"/>
        <v>40</v>
      </c>
      <c r="P66" s="12">
        <f t="shared" si="3"/>
        <v>22</v>
      </c>
    </row>
    <row r="67" spans="1:16" ht="15" hidden="1" customHeight="1" x14ac:dyDescent="0.2">
      <c r="A67" s="12" t="s">
        <v>308</v>
      </c>
      <c r="B67" s="36">
        <v>46034</v>
      </c>
      <c r="C67" s="12">
        <f t="shared" si="4"/>
        <v>275</v>
      </c>
      <c r="D67" s="38">
        <f t="shared" si="5"/>
        <v>1</v>
      </c>
      <c r="G67" s="14" t="s">
        <v>162</v>
      </c>
      <c r="H67" s="12" t="s">
        <v>3032</v>
      </c>
      <c r="I67" s="12">
        <v>1111</v>
      </c>
      <c r="J67" s="12">
        <v>112121</v>
      </c>
      <c r="K67" s="12" t="s">
        <v>20</v>
      </c>
      <c r="L67" s="12">
        <v>1</v>
      </c>
      <c r="M67" s="17">
        <v>40000000</v>
      </c>
      <c r="N67" s="17">
        <f t="shared" si="6"/>
        <v>40000000</v>
      </c>
      <c r="P67" s="12">
        <f t="shared" si="3"/>
        <v>40</v>
      </c>
    </row>
    <row r="68" spans="1:16" ht="15" hidden="1" customHeight="1" x14ac:dyDescent="0.2">
      <c r="A68" s="12" t="s">
        <v>309</v>
      </c>
      <c r="B68" s="36">
        <v>46041</v>
      </c>
      <c r="C68" s="12">
        <f t="shared" ref="C68:C80" si="7">C67+D68</f>
        <v>276</v>
      </c>
      <c r="D68" s="38">
        <f t="shared" ref="D68:D80" si="8">IF(H68=H67,0,1)</f>
        <v>1</v>
      </c>
      <c r="G68" s="14" t="s">
        <v>235</v>
      </c>
      <c r="H68" s="12" t="s">
        <v>4004</v>
      </c>
      <c r="I68" s="12">
        <v>112121</v>
      </c>
      <c r="J68" s="12">
        <v>131</v>
      </c>
      <c r="K68" s="12" t="s">
        <v>20</v>
      </c>
      <c r="L68" s="12">
        <v>1</v>
      </c>
      <c r="M68" s="17">
        <v>28344017</v>
      </c>
      <c r="N68" s="17">
        <f t="shared" ref="N68:N86" si="9">L68*M68</f>
        <v>28344017</v>
      </c>
      <c r="P68" s="12">
        <f t="shared" si="3"/>
        <v>148</v>
      </c>
    </row>
    <row r="69" spans="1:16" ht="15" hidden="1" customHeight="1" x14ac:dyDescent="0.2">
      <c r="A69" s="12" t="s">
        <v>308</v>
      </c>
      <c r="B69" s="36">
        <v>46053</v>
      </c>
      <c r="C69" s="12">
        <f t="shared" si="7"/>
        <v>277</v>
      </c>
      <c r="D69" s="38">
        <f t="shared" si="8"/>
        <v>1</v>
      </c>
      <c r="G69" s="14" t="s">
        <v>162</v>
      </c>
      <c r="H69" s="12" t="s">
        <v>4005</v>
      </c>
      <c r="I69" s="12">
        <v>333821</v>
      </c>
      <c r="J69" s="12">
        <v>112121</v>
      </c>
      <c r="K69" s="12" t="s">
        <v>20</v>
      </c>
      <c r="L69" s="12">
        <v>1</v>
      </c>
      <c r="M69" s="17">
        <v>16247310</v>
      </c>
      <c r="N69" s="17">
        <f t="shared" si="9"/>
        <v>16247310</v>
      </c>
      <c r="P69" s="12">
        <f t="shared" ref="P69:P86" si="10">LEN(H69)</f>
        <v>19</v>
      </c>
    </row>
    <row r="70" spans="1:16" ht="15" hidden="1" customHeight="1" x14ac:dyDescent="0.2">
      <c r="A70" s="12" t="s">
        <v>309</v>
      </c>
      <c r="B70" s="36">
        <v>46063</v>
      </c>
      <c r="C70" s="12">
        <f t="shared" si="7"/>
        <v>278</v>
      </c>
      <c r="D70" s="38">
        <f t="shared" si="8"/>
        <v>1</v>
      </c>
      <c r="G70" s="14" t="s">
        <v>235</v>
      </c>
      <c r="H70" s="12" t="s">
        <v>4006</v>
      </c>
      <c r="I70" s="12">
        <v>112121</v>
      </c>
      <c r="J70" s="12">
        <v>131</v>
      </c>
      <c r="K70" s="12" t="s">
        <v>20</v>
      </c>
      <c r="L70" s="12">
        <v>1</v>
      </c>
      <c r="M70" s="17">
        <v>46750000</v>
      </c>
      <c r="N70" s="17">
        <f t="shared" si="9"/>
        <v>46750000</v>
      </c>
      <c r="P70" s="12">
        <f t="shared" si="10"/>
        <v>148</v>
      </c>
    </row>
    <row r="71" spans="1:16" ht="15" hidden="1" customHeight="1" x14ac:dyDescent="0.2">
      <c r="A71" s="12" t="s">
        <v>308</v>
      </c>
      <c r="B71" s="36">
        <v>46064</v>
      </c>
      <c r="C71" s="12">
        <f t="shared" si="7"/>
        <v>279</v>
      </c>
      <c r="D71" s="38">
        <f t="shared" si="8"/>
        <v>1</v>
      </c>
      <c r="G71" s="14" t="s">
        <v>162</v>
      </c>
      <c r="H71" s="12" t="s">
        <v>3032</v>
      </c>
      <c r="I71" s="12">
        <v>1111</v>
      </c>
      <c r="J71" s="12">
        <v>112121</v>
      </c>
      <c r="K71" s="12" t="s">
        <v>20</v>
      </c>
      <c r="L71" s="12">
        <v>1</v>
      </c>
      <c r="M71" s="17">
        <v>40000000</v>
      </c>
      <c r="N71" s="17">
        <f t="shared" si="9"/>
        <v>40000000</v>
      </c>
      <c r="P71" s="12">
        <f t="shared" si="10"/>
        <v>40</v>
      </c>
    </row>
    <row r="72" spans="1:16" ht="15" hidden="1" customHeight="1" x14ac:dyDescent="0.2">
      <c r="A72" s="12" t="s">
        <v>309</v>
      </c>
      <c r="B72" s="36">
        <v>46067</v>
      </c>
      <c r="C72" s="12">
        <f t="shared" si="7"/>
        <v>280</v>
      </c>
      <c r="D72" s="38">
        <f t="shared" si="8"/>
        <v>1</v>
      </c>
      <c r="G72" s="14" t="s">
        <v>235</v>
      </c>
      <c r="H72" s="12" t="s">
        <v>4007</v>
      </c>
      <c r="I72" s="12">
        <v>112121</v>
      </c>
      <c r="J72" s="12">
        <v>131</v>
      </c>
      <c r="K72" s="12" t="s">
        <v>20</v>
      </c>
      <c r="L72" s="12">
        <v>1</v>
      </c>
      <c r="M72" s="17">
        <v>23951613</v>
      </c>
      <c r="N72" s="17">
        <f t="shared" si="9"/>
        <v>23951613</v>
      </c>
      <c r="P72" s="12">
        <f t="shared" si="10"/>
        <v>156</v>
      </c>
    </row>
    <row r="73" spans="1:16" ht="15" hidden="1" customHeight="1" x14ac:dyDescent="0.2">
      <c r="A73" s="12" t="s">
        <v>308</v>
      </c>
      <c r="B73" s="36">
        <v>46069</v>
      </c>
      <c r="C73" s="12">
        <f t="shared" si="7"/>
        <v>281</v>
      </c>
      <c r="D73" s="38">
        <f t="shared" si="8"/>
        <v>1</v>
      </c>
      <c r="G73" s="14" t="s">
        <v>162</v>
      </c>
      <c r="H73" s="12" t="s">
        <v>3032</v>
      </c>
      <c r="I73" s="12">
        <v>1111</v>
      </c>
      <c r="J73" s="12">
        <v>112121</v>
      </c>
      <c r="K73" s="12" t="s">
        <v>20</v>
      </c>
      <c r="L73" s="12">
        <v>1</v>
      </c>
      <c r="M73" s="17">
        <v>20000000</v>
      </c>
      <c r="N73" s="17">
        <f t="shared" si="9"/>
        <v>20000000</v>
      </c>
      <c r="P73" s="12">
        <f t="shared" si="10"/>
        <v>40</v>
      </c>
    </row>
    <row r="74" spans="1:16" ht="15" hidden="1" customHeight="1" x14ac:dyDescent="0.2">
      <c r="A74" s="12" t="s">
        <v>308</v>
      </c>
      <c r="B74" s="36">
        <v>46080</v>
      </c>
      <c r="C74" s="12">
        <f t="shared" si="7"/>
        <v>282</v>
      </c>
      <c r="D74" s="38">
        <f t="shared" si="8"/>
        <v>1</v>
      </c>
      <c r="G74" s="14" t="s">
        <v>162</v>
      </c>
      <c r="H74" s="12" t="s">
        <v>4008</v>
      </c>
      <c r="I74" s="12">
        <v>3383</v>
      </c>
      <c r="J74" s="12">
        <v>112121</v>
      </c>
      <c r="K74" s="12" t="s">
        <v>20</v>
      </c>
      <c r="L74" s="12">
        <v>1</v>
      </c>
      <c r="M74" s="17">
        <v>1421102</v>
      </c>
      <c r="N74" s="17">
        <f t="shared" si="9"/>
        <v>1421102</v>
      </c>
      <c r="P74" s="12">
        <f t="shared" si="10"/>
        <v>13</v>
      </c>
    </row>
    <row r="75" spans="1:16" ht="15" hidden="1" customHeight="1" x14ac:dyDescent="0.2">
      <c r="A75" s="12" t="s">
        <v>309</v>
      </c>
      <c r="B75" s="36">
        <v>46094</v>
      </c>
      <c r="C75" s="12">
        <f t="shared" si="7"/>
        <v>283</v>
      </c>
      <c r="D75" s="38">
        <f t="shared" si="8"/>
        <v>1</v>
      </c>
      <c r="G75" s="14" t="s">
        <v>275</v>
      </c>
      <c r="H75" s="12" t="s">
        <v>4009</v>
      </c>
      <c r="I75" s="12">
        <v>112121</v>
      </c>
      <c r="J75" s="12">
        <v>131</v>
      </c>
      <c r="K75" s="12" t="s">
        <v>20</v>
      </c>
      <c r="L75" s="12">
        <v>1</v>
      </c>
      <c r="M75" s="17">
        <v>8800000</v>
      </c>
      <c r="N75" s="17">
        <f t="shared" si="9"/>
        <v>8800000</v>
      </c>
      <c r="P75" s="12">
        <f t="shared" si="10"/>
        <v>154</v>
      </c>
    </row>
    <row r="76" spans="1:16" ht="15" hidden="1" customHeight="1" x14ac:dyDescent="0.2">
      <c r="A76" s="12" t="s">
        <v>308</v>
      </c>
      <c r="B76" s="36">
        <v>46094</v>
      </c>
      <c r="C76" s="12">
        <f t="shared" si="7"/>
        <v>284</v>
      </c>
      <c r="D76" s="38">
        <f t="shared" si="8"/>
        <v>1</v>
      </c>
      <c r="G76" s="14" t="s">
        <v>162</v>
      </c>
      <c r="H76" s="12" t="s">
        <v>3032</v>
      </c>
      <c r="I76" s="12">
        <v>1111</v>
      </c>
      <c r="J76" s="12">
        <v>112121</v>
      </c>
      <c r="K76" s="12" t="s">
        <v>20</v>
      </c>
      <c r="L76" s="12">
        <v>1</v>
      </c>
      <c r="M76" s="17">
        <v>20022000</v>
      </c>
      <c r="N76" s="17">
        <f t="shared" si="9"/>
        <v>20022000</v>
      </c>
      <c r="P76" s="12">
        <f t="shared" si="10"/>
        <v>40</v>
      </c>
    </row>
    <row r="77" spans="1:16" ht="15" hidden="1" customHeight="1" x14ac:dyDescent="0.2">
      <c r="A77" s="12" t="s">
        <v>309</v>
      </c>
      <c r="B77" s="36">
        <v>46094</v>
      </c>
      <c r="C77" s="12">
        <f t="shared" si="7"/>
        <v>285</v>
      </c>
      <c r="D77" s="38">
        <f t="shared" si="8"/>
        <v>1</v>
      </c>
      <c r="G77" s="14" t="s">
        <v>235</v>
      </c>
      <c r="H77" s="12" t="s">
        <v>4010</v>
      </c>
      <c r="I77" s="12">
        <v>112121</v>
      </c>
      <c r="J77" s="12">
        <v>131</v>
      </c>
      <c r="K77" s="12" t="s">
        <v>20</v>
      </c>
      <c r="L77" s="12">
        <v>1</v>
      </c>
      <c r="M77" s="17">
        <v>9166666</v>
      </c>
      <c r="N77" s="17">
        <f t="shared" si="9"/>
        <v>9166666</v>
      </c>
      <c r="P77" s="12">
        <f t="shared" si="10"/>
        <v>148</v>
      </c>
    </row>
    <row r="78" spans="1:16" ht="15" hidden="1" customHeight="1" x14ac:dyDescent="0.2">
      <c r="A78" s="12" t="s">
        <v>308</v>
      </c>
      <c r="B78" s="36">
        <v>46097</v>
      </c>
      <c r="C78" s="12">
        <f t="shared" si="7"/>
        <v>286</v>
      </c>
      <c r="D78" s="38">
        <f t="shared" si="8"/>
        <v>1</v>
      </c>
      <c r="G78" s="14" t="s">
        <v>162</v>
      </c>
      <c r="H78" s="12" t="s">
        <v>3032</v>
      </c>
      <c r="I78" s="12">
        <v>1111</v>
      </c>
      <c r="J78" s="12">
        <v>112121</v>
      </c>
      <c r="K78" s="12" t="s">
        <v>20</v>
      </c>
      <c r="L78" s="12">
        <v>1</v>
      </c>
      <c r="M78" s="17">
        <v>10022000</v>
      </c>
      <c r="N78" s="17">
        <f t="shared" si="9"/>
        <v>10022000</v>
      </c>
      <c r="P78" s="12">
        <f t="shared" si="10"/>
        <v>40</v>
      </c>
    </row>
    <row r="79" spans="1:16" ht="15" hidden="1" customHeight="1" x14ac:dyDescent="0.2">
      <c r="A79" s="12" t="s">
        <v>308</v>
      </c>
      <c r="B79" s="36">
        <v>46100</v>
      </c>
      <c r="C79" s="12">
        <f t="shared" si="7"/>
        <v>286</v>
      </c>
      <c r="D79" s="38">
        <f t="shared" si="8"/>
        <v>0</v>
      </c>
      <c r="G79" s="14" t="s">
        <v>162</v>
      </c>
      <c r="H79" s="12" t="s">
        <v>3032</v>
      </c>
      <c r="I79" s="12">
        <v>1111</v>
      </c>
      <c r="J79" s="12">
        <v>112121</v>
      </c>
      <c r="K79" s="12" t="s">
        <v>20</v>
      </c>
      <c r="L79" s="12">
        <v>1</v>
      </c>
      <c r="M79" s="17">
        <v>15000000</v>
      </c>
      <c r="N79" s="17">
        <f t="shared" si="9"/>
        <v>15000000</v>
      </c>
      <c r="P79" s="12">
        <f t="shared" si="10"/>
        <v>40</v>
      </c>
    </row>
    <row r="80" spans="1:16" ht="15" hidden="1" customHeight="1" x14ac:dyDescent="0.2">
      <c r="A80" s="12" t="s">
        <v>309</v>
      </c>
      <c r="B80" s="36">
        <v>46102</v>
      </c>
      <c r="C80" s="12">
        <f t="shared" si="7"/>
        <v>287</v>
      </c>
      <c r="D80" s="38">
        <f t="shared" si="8"/>
        <v>1</v>
      </c>
      <c r="G80" s="14" t="s">
        <v>869</v>
      </c>
      <c r="H80" s="12" t="s">
        <v>4011</v>
      </c>
      <c r="I80" s="12">
        <v>112121</v>
      </c>
      <c r="J80" s="12">
        <v>131</v>
      </c>
      <c r="K80" s="12" t="s">
        <v>20</v>
      </c>
      <c r="L80" s="12">
        <v>1</v>
      </c>
      <c r="M80" s="17">
        <v>8800000</v>
      </c>
      <c r="N80" s="17">
        <f t="shared" si="9"/>
        <v>8800000</v>
      </c>
      <c r="P80" s="12">
        <f t="shared" si="10"/>
        <v>108</v>
      </c>
    </row>
    <row r="81" spans="1:16" ht="15" hidden="1" customHeight="1" x14ac:dyDescent="0.2">
      <c r="A81" s="12" t="s">
        <v>308</v>
      </c>
      <c r="B81" s="36">
        <v>46103</v>
      </c>
      <c r="C81" s="12">
        <f t="shared" ref="C81:C86" si="11">C80+D81</f>
        <v>288</v>
      </c>
      <c r="D81" s="38">
        <f t="shared" ref="D81:D86" si="12">IF(H81=H80,0,1)</f>
        <v>1</v>
      </c>
      <c r="G81" s="14" t="s">
        <v>162</v>
      </c>
      <c r="H81" s="12" t="s">
        <v>3032</v>
      </c>
      <c r="I81" s="12">
        <v>1111</v>
      </c>
      <c r="J81" s="12">
        <v>112121</v>
      </c>
      <c r="K81" s="12" t="s">
        <v>20</v>
      </c>
      <c r="L81" s="12">
        <v>1</v>
      </c>
      <c r="M81" s="17">
        <v>9000000</v>
      </c>
      <c r="N81" s="17">
        <f t="shared" si="9"/>
        <v>9000000</v>
      </c>
      <c r="P81" s="12">
        <f t="shared" si="10"/>
        <v>40</v>
      </c>
    </row>
    <row r="82" spans="1:16" ht="15" hidden="1" customHeight="1" x14ac:dyDescent="0.2">
      <c r="A82" s="12" t="s">
        <v>308</v>
      </c>
      <c r="B82" s="36">
        <v>46107</v>
      </c>
      <c r="C82" s="12">
        <f t="shared" si="11"/>
        <v>288</v>
      </c>
      <c r="D82" s="38">
        <f t="shared" si="12"/>
        <v>0</v>
      </c>
      <c r="G82" s="14" t="s">
        <v>162</v>
      </c>
      <c r="H82" s="12" t="s">
        <v>3032</v>
      </c>
      <c r="I82" s="12">
        <v>1111</v>
      </c>
      <c r="J82" s="12">
        <v>112121</v>
      </c>
      <c r="K82" s="12" t="s">
        <v>20</v>
      </c>
      <c r="L82" s="12">
        <v>1</v>
      </c>
      <c r="M82" s="17">
        <v>10022000</v>
      </c>
      <c r="N82" s="17">
        <f t="shared" si="9"/>
        <v>10022000</v>
      </c>
      <c r="P82" s="12">
        <f t="shared" si="10"/>
        <v>40</v>
      </c>
    </row>
    <row r="83" spans="1:16" ht="15" hidden="1" customHeight="1" x14ac:dyDescent="0.2">
      <c r="A83" s="12" t="s">
        <v>309</v>
      </c>
      <c r="B83" s="36">
        <v>46108</v>
      </c>
      <c r="C83" s="12">
        <f t="shared" si="11"/>
        <v>289</v>
      </c>
      <c r="D83" s="38">
        <f t="shared" si="12"/>
        <v>1</v>
      </c>
      <c r="G83" s="14" t="s">
        <v>375</v>
      </c>
      <c r="H83" s="12" t="s">
        <v>4012</v>
      </c>
      <c r="I83" s="12">
        <v>112121</v>
      </c>
      <c r="J83" s="12">
        <v>131</v>
      </c>
      <c r="K83" s="12" t="s">
        <v>20</v>
      </c>
      <c r="L83" s="12">
        <v>1</v>
      </c>
      <c r="M83" s="17">
        <v>11000000</v>
      </c>
      <c r="N83" s="17">
        <f t="shared" si="9"/>
        <v>11000000</v>
      </c>
      <c r="P83" s="12">
        <f t="shared" si="10"/>
        <v>168</v>
      </c>
    </row>
    <row r="84" spans="1:16" ht="15" hidden="1" customHeight="1" x14ac:dyDescent="0.2">
      <c r="A84" s="12" t="s">
        <v>308</v>
      </c>
      <c r="B84" s="36">
        <v>46112</v>
      </c>
      <c r="C84" s="12">
        <f t="shared" si="11"/>
        <v>290</v>
      </c>
      <c r="D84" s="38">
        <f t="shared" si="12"/>
        <v>1</v>
      </c>
      <c r="G84" s="14" t="s">
        <v>162</v>
      </c>
      <c r="H84" s="12" t="s">
        <v>3032</v>
      </c>
      <c r="I84" s="12">
        <v>1111</v>
      </c>
      <c r="J84" s="12">
        <v>112121</v>
      </c>
      <c r="K84" s="12" t="s">
        <v>20</v>
      </c>
      <c r="L84" s="12">
        <v>1</v>
      </c>
      <c r="M84" s="17">
        <v>10022000</v>
      </c>
      <c r="N84" s="17">
        <f t="shared" si="9"/>
        <v>10022000</v>
      </c>
      <c r="P84" s="12">
        <f t="shared" si="10"/>
        <v>40</v>
      </c>
    </row>
    <row r="85" spans="1:16" ht="15" hidden="1" customHeight="1" x14ac:dyDescent="0.2">
      <c r="A85" s="12" t="s">
        <v>308</v>
      </c>
      <c r="B85" s="36">
        <v>46114</v>
      </c>
      <c r="C85" s="12">
        <f t="shared" si="11"/>
        <v>290</v>
      </c>
      <c r="D85" s="38">
        <f t="shared" si="12"/>
        <v>0</v>
      </c>
      <c r="G85" s="14" t="s">
        <v>162</v>
      </c>
      <c r="H85" s="12" t="s">
        <v>3032</v>
      </c>
      <c r="I85" s="12">
        <v>1111</v>
      </c>
      <c r="J85" s="12">
        <v>112121</v>
      </c>
      <c r="K85" s="12" t="s">
        <v>20</v>
      </c>
      <c r="L85" s="12">
        <v>1</v>
      </c>
      <c r="M85" s="17">
        <v>712300</v>
      </c>
      <c r="N85" s="17">
        <f t="shared" si="9"/>
        <v>712300</v>
      </c>
      <c r="P85" s="12">
        <f t="shared" si="10"/>
        <v>40</v>
      </c>
    </row>
    <row r="86" spans="1:16" ht="15" hidden="1" customHeight="1" x14ac:dyDescent="0.2">
      <c r="A86" s="12" t="s">
        <v>309</v>
      </c>
      <c r="B86" s="36">
        <v>46114</v>
      </c>
      <c r="C86" s="12">
        <f t="shared" si="11"/>
        <v>291</v>
      </c>
      <c r="D86" s="38">
        <f t="shared" si="12"/>
        <v>1</v>
      </c>
      <c r="G86" s="14" t="s">
        <v>275</v>
      </c>
      <c r="H86" s="12" t="s">
        <v>4009</v>
      </c>
      <c r="I86" s="12">
        <v>112121</v>
      </c>
      <c r="J86" s="12">
        <v>131</v>
      </c>
      <c r="K86" s="12" t="s">
        <v>20</v>
      </c>
      <c r="L86" s="12">
        <v>1</v>
      </c>
      <c r="M86" s="17">
        <v>8800000</v>
      </c>
      <c r="N86" s="17">
        <f t="shared" si="9"/>
        <v>8800000</v>
      </c>
      <c r="P86" s="12">
        <f t="shared" si="10"/>
        <v>154</v>
      </c>
    </row>
  </sheetData>
  <autoFilter ref="A3:P86" xr:uid="{00000000-0009-0000-0000-000008000000}">
    <filterColumn colId="8">
      <filters>
        <filter val="333821"/>
      </filters>
    </filterColumn>
    <filterColumn colId="9">
      <filters>
        <filter val="131"/>
      </filters>
    </filterColumn>
    <sortState xmlns:xlrd2="http://schemas.microsoft.com/office/spreadsheetml/2017/richdata2" ref="A4:P80">
      <sortCondition ref="A4:A80"/>
      <sortCondition ref="B4:B80"/>
      <sortCondition ref="H4:H80"/>
    </sortState>
  </autoFilter>
  <mergeCells count="13">
    <mergeCell ref="N1:N2"/>
    <mergeCell ref="G1:G2"/>
    <mergeCell ref="H1:H2"/>
    <mergeCell ref="I1:J1"/>
    <mergeCell ref="K1:K2"/>
    <mergeCell ref="L1:L2"/>
    <mergeCell ref="M1:M2"/>
    <mergeCell ref="F1:F2"/>
    <mergeCell ref="A1:A2"/>
    <mergeCell ref="B1:B2"/>
    <mergeCell ref="C1:C2"/>
    <mergeCell ref="D1:D2"/>
    <mergeCell ref="E1:E2"/>
  </mergeCells>
  <hyperlinks>
    <hyperlink ref="P1" location="Summary!A1" display="Back to summary" xr:uid="{00000000-0004-0000-0800-000000000000}"/>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tabColor rgb="FF92D050"/>
  </sheetPr>
  <dimension ref="A1:R113"/>
  <sheetViews>
    <sheetView workbookViewId="0">
      <selection activeCell="M48" sqref="M48:M94"/>
    </sheetView>
  </sheetViews>
  <sheetFormatPr defaultRowHeight="15" customHeight="1" x14ac:dyDescent="0.25"/>
  <cols>
    <col min="1" max="1" width="8.7109375" style="108" customWidth="1"/>
    <col min="2" max="2" width="10.7109375" style="118" customWidth="1"/>
    <col min="3" max="3" width="10.7109375" style="108" customWidth="1"/>
    <col min="4" max="4" width="9.140625" style="108"/>
    <col min="5" max="5" width="10.5703125" style="113" bestFit="1" customWidth="1"/>
    <col min="6" max="6" width="10.7109375" style="108" customWidth="1"/>
    <col min="7" max="7" width="14.7109375" style="113" bestFit="1" customWidth="1"/>
    <col min="8" max="8" width="33.28515625" style="108" customWidth="1"/>
    <col min="9" max="10" width="7.7109375" style="108" customWidth="1"/>
    <col min="11" max="11" width="10.85546875" style="108" bestFit="1" customWidth="1"/>
    <col min="12" max="12" width="6.85546875" style="108" bestFit="1" customWidth="1"/>
    <col min="13" max="13" width="11.5703125" style="114" bestFit="1" customWidth="1"/>
    <col min="14" max="14" width="12.140625" style="114" bestFit="1" customWidth="1"/>
    <col min="15" max="15" width="5.85546875" style="108" bestFit="1" customWidth="1"/>
    <col min="16" max="17" width="9.140625" style="108"/>
    <col min="18" max="18" width="9.85546875" style="108" bestFit="1" customWidth="1"/>
    <col min="19" max="20" width="9.140625" style="108"/>
    <col min="21" max="21" width="17.28515625" style="108" bestFit="1" customWidth="1"/>
    <col min="22" max="22" width="62.42578125" style="108" bestFit="1" customWidth="1"/>
    <col min="23" max="23" width="13.42578125" style="108" bestFit="1" customWidth="1"/>
    <col min="24" max="16384" width="9.140625" style="108"/>
  </cols>
  <sheetData>
    <row r="1" spans="1:18" ht="15" customHeight="1" thickBot="1" x14ac:dyDescent="0.25">
      <c r="A1" s="215" t="s">
        <v>0</v>
      </c>
      <c r="B1" s="215" t="s">
        <v>1</v>
      </c>
      <c r="C1" s="215" t="s">
        <v>2</v>
      </c>
      <c r="D1" s="221" t="s">
        <v>3</v>
      </c>
      <c r="E1" s="217" t="s">
        <v>4</v>
      </c>
      <c r="F1" s="221" t="s">
        <v>257</v>
      </c>
      <c r="G1" s="209" t="s">
        <v>6</v>
      </c>
      <c r="H1" s="257" t="s">
        <v>7</v>
      </c>
      <c r="I1" s="213" t="s">
        <v>8</v>
      </c>
      <c r="J1" s="214"/>
      <c r="K1" s="215" t="s">
        <v>9</v>
      </c>
      <c r="L1" s="215" t="s">
        <v>10</v>
      </c>
      <c r="M1" s="207" t="s">
        <v>11</v>
      </c>
      <c r="N1" s="207" t="s">
        <v>12</v>
      </c>
      <c r="O1" s="107"/>
      <c r="P1" s="146" t="s">
        <v>356</v>
      </c>
    </row>
    <row r="2" spans="1:18" ht="15" customHeight="1" thickBot="1" x14ac:dyDescent="0.3">
      <c r="A2" s="216"/>
      <c r="B2" s="216"/>
      <c r="C2" s="216"/>
      <c r="D2" s="222"/>
      <c r="E2" s="223"/>
      <c r="F2" s="256"/>
      <c r="G2" s="210"/>
      <c r="H2" s="258"/>
      <c r="I2" s="109" t="s">
        <v>13</v>
      </c>
      <c r="J2" s="110" t="s">
        <v>14</v>
      </c>
      <c r="K2" s="216"/>
      <c r="L2" s="216"/>
      <c r="M2" s="208"/>
      <c r="N2" s="208"/>
      <c r="O2" s="111"/>
    </row>
    <row r="3" spans="1:18" ht="15" customHeight="1" x14ac:dyDescent="0.25">
      <c r="A3" s="4"/>
      <c r="B3" s="5"/>
      <c r="C3" s="4" t="s">
        <v>3632</v>
      </c>
      <c r="D3" s="6"/>
      <c r="E3" s="6"/>
      <c r="F3" s="6"/>
      <c r="G3" s="4" t="s">
        <v>15</v>
      </c>
      <c r="H3" s="7"/>
      <c r="I3" s="112"/>
      <c r="J3" s="112"/>
      <c r="K3" s="9"/>
      <c r="L3" s="10"/>
      <c r="M3" s="16"/>
      <c r="N3" s="16"/>
      <c r="O3" s="108" t="s">
        <v>16</v>
      </c>
      <c r="P3" s="108" t="s">
        <v>17</v>
      </c>
    </row>
    <row r="4" spans="1:18" ht="15" hidden="1" customHeight="1" x14ac:dyDescent="0.2">
      <c r="A4" s="108" t="s">
        <v>309</v>
      </c>
      <c r="B4" s="117" t="s">
        <v>494</v>
      </c>
      <c r="C4" s="113">
        <f t="shared" ref="C4:C35" si="0">C3+D4</f>
        <v>313</v>
      </c>
      <c r="D4" s="38">
        <f t="shared" ref="D4:D35" si="1">IF(H4=H3,0,1)</f>
        <v>1</v>
      </c>
      <c r="G4" s="113" t="s">
        <v>87</v>
      </c>
      <c r="H4" s="108" t="s">
        <v>3605</v>
      </c>
      <c r="I4" s="108">
        <v>112111</v>
      </c>
      <c r="J4" s="108">
        <v>131</v>
      </c>
      <c r="K4" s="108" t="s">
        <v>20</v>
      </c>
      <c r="L4" s="108">
        <v>1</v>
      </c>
      <c r="M4" s="114">
        <v>15967742</v>
      </c>
      <c r="N4" s="114">
        <f t="shared" ref="N4:N35" si="2">M4*L4</f>
        <v>15967742</v>
      </c>
      <c r="P4" s="108">
        <f t="shared" ref="P4:P35" si="3">LEN(H4)</f>
        <v>163</v>
      </c>
    </row>
    <row r="5" spans="1:18" ht="15" hidden="1" customHeight="1" x14ac:dyDescent="0.2">
      <c r="A5" s="108" t="s">
        <v>309</v>
      </c>
      <c r="B5" s="117" t="s">
        <v>494</v>
      </c>
      <c r="C5" s="113">
        <f t="shared" si="0"/>
        <v>314</v>
      </c>
      <c r="D5" s="38">
        <f t="shared" si="1"/>
        <v>1</v>
      </c>
      <c r="G5" s="113" t="s">
        <v>29</v>
      </c>
      <c r="H5" s="108" t="s">
        <v>3604</v>
      </c>
      <c r="I5" s="108">
        <v>112111</v>
      </c>
      <c r="J5" s="108">
        <v>131</v>
      </c>
      <c r="K5" s="108" t="s">
        <v>20</v>
      </c>
      <c r="L5" s="108">
        <v>1</v>
      </c>
      <c r="M5" s="114">
        <v>27956989</v>
      </c>
      <c r="N5" s="114">
        <f t="shared" si="2"/>
        <v>27956989</v>
      </c>
      <c r="P5" s="108">
        <f t="shared" si="3"/>
        <v>150</v>
      </c>
    </row>
    <row r="6" spans="1:18" ht="15" hidden="1" customHeight="1" x14ac:dyDescent="0.2">
      <c r="A6" s="108" t="s">
        <v>309</v>
      </c>
      <c r="B6" s="117" t="s">
        <v>711</v>
      </c>
      <c r="C6" s="113">
        <f t="shared" si="0"/>
        <v>315</v>
      </c>
      <c r="D6" s="38">
        <f t="shared" si="1"/>
        <v>1</v>
      </c>
      <c r="G6" s="113" t="s">
        <v>50</v>
      </c>
      <c r="H6" s="108" t="s">
        <v>3606</v>
      </c>
      <c r="I6" s="108">
        <v>112111</v>
      </c>
      <c r="J6" s="108">
        <v>131</v>
      </c>
      <c r="K6" s="108" t="s">
        <v>20</v>
      </c>
      <c r="L6" s="108">
        <v>1</v>
      </c>
      <c r="M6" s="114">
        <v>24483871</v>
      </c>
      <c r="N6" s="114">
        <f t="shared" si="2"/>
        <v>24483871</v>
      </c>
      <c r="P6" s="108">
        <f t="shared" si="3"/>
        <v>159</v>
      </c>
    </row>
    <row r="7" spans="1:18" ht="15" hidden="1" customHeight="1" x14ac:dyDescent="0.2">
      <c r="A7" s="108" t="s">
        <v>309</v>
      </c>
      <c r="B7" s="117" t="s">
        <v>659</v>
      </c>
      <c r="C7" s="113">
        <f t="shared" si="0"/>
        <v>316</v>
      </c>
      <c r="D7" s="38">
        <f t="shared" si="1"/>
        <v>1</v>
      </c>
      <c r="G7" s="113" t="s">
        <v>48</v>
      </c>
      <c r="H7" s="108" t="s">
        <v>3561</v>
      </c>
      <c r="I7" s="108">
        <v>112111</v>
      </c>
      <c r="J7" s="108">
        <v>5154</v>
      </c>
      <c r="K7" s="108" t="s">
        <v>20</v>
      </c>
      <c r="L7" s="108">
        <v>1</v>
      </c>
      <c r="M7" s="114">
        <v>12833</v>
      </c>
      <c r="N7" s="114">
        <f t="shared" si="2"/>
        <v>12833</v>
      </c>
      <c r="P7" s="108">
        <f t="shared" si="3"/>
        <v>22</v>
      </c>
    </row>
    <row r="8" spans="1:18" ht="15" hidden="1" customHeight="1" x14ac:dyDescent="0.2">
      <c r="A8" s="108" t="s">
        <v>309</v>
      </c>
      <c r="B8" s="117" t="s">
        <v>472</v>
      </c>
      <c r="C8" s="113">
        <f t="shared" si="0"/>
        <v>317</v>
      </c>
      <c r="D8" s="38">
        <f t="shared" si="1"/>
        <v>1</v>
      </c>
      <c r="G8" s="113" t="s">
        <v>880</v>
      </c>
      <c r="H8" s="108" t="s">
        <v>3607</v>
      </c>
      <c r="I8" s="108">
        <v>112111</v>
      </c>
      <c r="J8" s="108">
        <v>131</v>
      </c>
      <c r="K8" s="108" t="s">
        <v>20</v>
      </c>
      <c r="L8" s="108">
        <v>1</v>
      </c>
      <c r="M8" s="114">
        <v>17600000</v>
      </c>
      <c r="N8" s="114">
        <f t="shared" si="2"/>
        <v>17600000</v>
      </c>
      <c r="P8" s="108">
        <f t="shared" si="3"/>
        <v>156</v>
      </c>
      <c r="R8" s="114"/>
    </row>
    <row r="9" spans="1:18" ht="15" hidden="1" customHeight="1" x14ac:dyDescent="0.2">
      <c r="A9" s="108" t="s">
        <v>309</v>
      </c>
      <c r="B9" s="117" t="s">
        <v>498</v>
      </c>
      <c r="C9" s="113">
        <f t="shared" si="0"/>
        <v>318</v>
      </c>
      <c r="D9" s="38">
        <f t="shared" si="1"/>
        <v>1</v>
      </c>
      <c r="G9" s="113" t="s">
        <v>881</v>
      </c>
      <c r="H9" s="108" t="s">
        <v>3608</v>
      </c>
      <c r="I9" s="108">
        <v>112111</v>
      </c>
      <c r="J9" s="108">
        <v>131</v>
      </c>
      <c r="K9" s="108" t="s">
        <v>20</v>
      </c>
      <c r="L9" s="108">
        <v>1</v>
      </c>
      <c r="M9" s="114">
        <v>17600000</v>
      </c>
      <c r="N9" s="114">
        <f t="shared" si="2"/>
        <v>17600000</v>
      </c>
      <c r="P9" s="108">
        <f t="shared" si="3"/>
        <v>144</v>
      </c>
    </row>
    <row r="10" spans="1:18" ht="15" hidden="1" customHeight="1" x14ac:dyDescent="0.2">
      <c r="A10" s="108" t="s">
        <v>309</v>
      </c>
      <c r="B10" s="117" t="s">
        <v>498</v>
      </c>
      <c r="C10" s="113">
        <f t="shared" si="0"/>
        <v>319</v>
      </c>
      <c r="D10" s="38">
        <f t="shared" si="1"/>
        <v>1</v>
      </c>
      <c r="G10" s="113" t="s">
        <v>29</v>
      </c>
      <c r="H10" s="108" t="s">
        <v>3609</v>
      </c>
      <c r="I10" s="108">
        <v>112111</v>
      </c>
      <c r="J10" s="108">
        <v>131</v>
      </c>
      <c r="K10" s="108" t="s">
        <v>20</v>
      </c>
      <c r="L10" s="108">
        <v>1</v>
      </c>
      <c r="M10" s="114">
        <v>24731183</v>
      </c>
      <c r="N10" s="114">
        <f t="shared" si="2"/>
        <v>24731183</v>
      </c>
      <c r="P10" s="108">
        <f t="shared" si="3"/>
        <v>178</v>
      </c>
    </row>
    <row r="11" spans="1:18" ht="15" hidden="1" customHeight="1" x14ac:dyDescent="0.2">
      <c r="A11" s="108" t="s">
        <v>309</v>
      </c>
      <c r="B11" s="117" t="s">
        <v>542</v>
      </c>
      <c r="C11" s="113">
        <f t="shared" si="0"/>
        <v>320</v>
      </c>
      <c r="D11" s="38">
        <f t="shared" si="1"/>
        <v>1</v>
      </c>
      <c r="G11" s="113" t="s">
        <v>98</v>
      </c>
      <c r="H11" s="108" t="s">
        <v>3610</v>
      </c>
      <c r="I11" s="108">
        <v>112111</v>
      </c>
      <c r="J11" s="108">
        <v>131</v>
      </c>
      <c r="K11" s="108" t="s">
        <v>20</v>
      </c>
      <c r="L11" s="108">
        <v>1</v>
      </c>
      <c r="M11" s="114">
        <v>14903226</v>
      </c>
      <c r="N11" s="114">
        <f t="shared" si="2"/>
        <v>14903226</v>
      </c>
      <c r="P11" s="108">
        <f t="shared" si="3"/>
        <v>163</v>
      </c>
    </row>
    <row r="12" spans="1:18" ht="15" hidden="1" customHeight="1" x14ac:dyDescent="0.2">
      <c r="A12" s="108" t="s">
        <v>309</v>
      </c>
      <c r="B12" s="117" t="s">
        <v>438</v>
      </c>
      <c r="C12" s="113">
        <f t="shared" si="0"/>
        <v>321</v>
      </c>
      <c r="D12" s="38">
        <f t="shared" si="1"/>
        <v>1</v>
      </c>
      <c r="G12" s="113" t="s">
        <v>29</v>
      </c>
      <c r="H12" s="108" t="s">
        <v>3611</v>
      </c>
      <c r="I12" s="108">
        <v>112111</v>
      </c>
      <c r="J12" s="108">
        <v>131</v>
      </c>
      <c r="K12" s="108" t="s">
        <v>20</v>
      </c>
      <c r="L12" s="108">
        <v>1</v>
      </c>
      <c r="M12" s="114">
        <v>16500000</v>
      </c>
      <c r="N12" s="114">
        <f t="shared" si="2"/>
        <v>16500000</v>
      </c>
      <c r="P12" s="108">
        <f t="shared" si="3"/>
        <v>140</v>
      </c>
    </row>
    <row r="13" spans="1:18" ht="15" hidden="1" customHeight="1" x14ac:dyDescent="0.2">
      <c r="A13" s="108" t="s">
        <v>309</v>
      </c>
      <c r="B13" s="117" t="s">
        <v>438</v>
      </c>
      <c r="C13" s="113">
        <f t="shared" si="0"/>
        <v>322</v>
      </c>
      <c r="D13" s="38">
        <f t="shared" si="1"/>
        <v>1</v>
      </c>
      <c r="G13" s="113" t="s">
        <v>29</v>
      </c>
      <c r="H13" s="108" t="s">
        <v>3613</v>
      </c>
      <c r="I13" s="108">
        <v>112111</v>
      </c>
      <c r="J13" s="108">
        <v>131</v>
      </c>
      <c r="K13" s="108" t="s">
        <v>20</v>
      </c>
      <c r="L13" s="108">
        <v>1</v>
      </c>
      <c r="M13" s="114">
        <v>39600000</v>
      </c>
      <c r="N13" s="114">
        <f t="shared" si="2"/>
        <v>39600000</v>
      </c>
      <c r="P13" s="108">
        <f t="shared" si="3"/>
        <v>137</v>
      </c>
    </row>
    <row r="14" spans="1:18" ht="15" hidden="1" customHeight="1" x14ac:dyDescent="0.2">
      <c r="A14" s="108" t="s">
        <v>309</v>
      </c>
      <c r="B14" s="117" t="s">
        <v>438</v>
      </c>
      <c r="C14" s="113">
        <f t="shared" si="0"/>
        <v>323</v>
      </c>
      <c r="D14" s="38">
        <f t="shared" si="1"/>
        <v>1</v>
      </c>
      <c r="G14" s="113" t="s">
        <v>29</v>
      </c>
      <c r="H14" s="108" t="s">
        <v>3612</v>
      </c>
      <c r="I14" s="108">
        <v>112111</v>
      </c>
      <c r="J14" s="108">
        <v>131</v>
      </c>
      <c r="K14" s="108" t="s">
        <v>20</v>
      </c>
      <c r="L14" s="108">
        <v>1</v>
      </c>
      <c r="M14" s="114">
        <v>12100000</v>
      </c>
      <c r="N14" s="114">
        <f t="shared" si="2"/>
        <v>12100000</v>
      </c>
      <c r="P14" s="108">
        <f t="shared" si="3"/>
        <v>145</v>
      </c>
    </row>
    <row r="15" spans="1:18" ht="15" hidden="1" customHeight="1" x14ac:dyDescent="0.2">
      <c r="A15" s="108" t="s">
        <v>309</v>
      </c>
      <c r="B15" s="117" t="s">
        <v>500</v>
      </c>
      <c r="C15" s="113">
        <f t="shared" si="0"/>
        <v>324</v>
      </c>
      <c r="D15" s="38">
        <f t="shared" si="1"/>
        <v>1</v>
      </c>
      <c r="G15" s="113" t="s">
        <v>48</v>
      </c>
      <c r="H15" s="108" t="s">
        <v>3561</v>
      </c>
      <c r="I15" s="108">
        <v>112111</v>
      </c>
      <c r="J15" s="108">
        <v>5154</v>
      </c>
      <c r="K15" s="108" t="s">
        <v>20</v>
      </c>
      <c r="L15" s="108">
        <v>1</v>
      </c>
      <c r="M15" s="114">
        <v>28057</v>
      </c>
      <c r="N15" s="114">
        <f t="shared" si="2"/>
        <v>28057</v>
      </c>
      <c r="P15" s="108">
        <f t="shared" si="3"/>
        <v>22</v>
      </c>
    </row>
    <row r="16" spans="1:18" ht="15" hidden="1" customHeight="1" x14ac:dyDescent="0.2">
      <c r="A16" s="108" t="s">
        <v>309</v>
      </c>
      <c r="B16" s="117" t="s">
        <v>478</v>
      </c>
      <c r="C16" s="113">
        <f t="shared" si="0"/>
        <v>325</v>
      </c>
      <c r="D16" s="38">
        <f t="shared" si="1"/>
        <v>1</v>
      </c>
      <c r="G16" s="113" t="s">
        <v>714</v>
      </c>
      <c r="H16" s="108" t="s">
        <v>3614</v>
      </c>
      <c r="I16" s="108">
        <v>112111</v>
      </c>
      <c r="J16" s="108">
        <v>131</v>
      </c>
      <c r="K16" s="108" t="s">
        <v>20</v>
      </c>
      <c r="L16" s="108">
        <v>1</v>
      </c>
      <c r="M16" s="114">
        <v>16500000</v>
      </c>
      <c r="N16" s="114">
        <f t="shared" si="2"/>
        <v>16500000</v>
      </c>
      <c r="P16" s="108">
        <f t="shared" si="3"/>
        <v>144</v>
      </c>
    </row>
    <row r="17" spans="1:16" ht="15" hidden="1" customHeight="1" x14ac:dyDescent="0.2">
      <c r="A17" s="108" t="s">
        <v>309</v>
      </c>
      <c r="B17" s="117" t="s">
        <v>554</v>
      </c>
      <c r="C17" s="113">
        <f t="shared" si="0"/>
        <v>326</v>
      </c>
      <c r="D17" s="38">
        <f t="shared" si="1"/>
        <v>1</v>
      </c>
      <c r="G17" s="113" t="s">
        <v>29</v>
      </c>
      <c r="H17" s="108" t="s">
        <v>3615</v>
      </c>
      <c r="I17" s="108">
        <v>112111</v>
      </c>
      <c r="J17" s="108">
        <v>131</v>
      </c>
      <c r="K17" s="108" t="s">
        <v>20</v>
      </c>
      <c r="L17" s="108">
        <v>1</v>
      </c>
      <c r="M17" s="114">
        <v>25806452</v>
      </c>
      <c r="N17" s="114">
        <f t="shared" si="2"/>
        <v>25806452</v>
      </c>
      <c r="P17" s="108">
        <f t="shared" si="3"/>
        <v>136</v>
      </c>
    </row>
    <row r="18" spans="1:16" ht="15" hidden="1" customHeight="1" x14ac:dyDescent="0.2">
      <c r="A18" s="108" t="s">
        <v>309</v>
      </c>
      <c r="B18" s="117" t="s">
        <v>480</v>
      </c>
      <c r="C18" s="113">
        <f t="shared" si="0"/>
        <v>327</v>
      </c>
      <c r="D18" s="38">
        <f t="shared" si="1"/>
        <v>1</v>
      </c>
      <c r="G18" s="113" t="s">
        <v>254</v>
      </c>
      <c r="H18" s="108" t="s">
        <v>3616</v>
      </c>
      <c r="I18" s="108">
        <v>112111</v>
      </c>
      <c r="J18" s="108">
        <v>131</v>
      </c>
      <c r="K18" s="108" t="s">
        <v>20</v>
      </c>
      <c r="L18" s="108">
        <v>1</v>
      </c>
      <c r="M18" s="114">
        <v>10000000</v>
      </c>
      <c r="N18" s="114">
        <f t="shared" si="2"/>
        <v>10000000</v>
      </c>
      <c r="P18" s="108">
        <f t="shared" si="3"/>
        <v>127</v>
      </c>
    </row>
    <row r="19" spans="1:16" ht="15" hidden="1" customHeight="1" x14ac:dyDescent="0.2">
      <c r="A19" s="108" t="s">
        <v>309</v>
      </c>
      <c r="B19" s="117" t="s">
        <v>662</v>
      </c>
      <c r="C19" s="113">
        <f t="shared" si="0"/>
        <v>328</v>
      </c>
      <c r="D19" s="38">
        <f t="shared" si="1"/>
        <v>1</v>
      </c>
      <c r="G19" s="113" t="s">
        <v>51</v>
      </c>
      <c r="H19" s="108" t="s">
        <v>3617</v>
      </c>
      <c r="I19" s="108">
        <v>112111</v>
      </c>
      <c r="J19" s="108">
        <v>131</v>
      </c>
      <c r="K19" s="108" t="s">
        <v>20</v>
      </c>
      <c r="L19" s="108">
        <v>1</v>
      </c>
      <c r="M19" s="114">
        <v>7222222</v>
      </c>
      <c r="N19" s="114">
        <f t="shared" si="2"/>
        <v>7222222</v>
      </c>
      <c r="P19" s="108">
        <f t="shared" si="3"/>
        <v>118</v>
      </c>
    </row>
    <row r="20" spans="1:16" ht="15" hidden="1" customHeight="1" x14ac:dyDescent="0.2">
      <c r="A20" s="108" t="s">
        <v>309</v>
      </c>
      <c r="B20" s="117" t="s">
        <v>506</v>
      </c>
      <c r="C20" s="113">
        <f t="shared" si="0"/>
        <v>329</v>
      </c>
      <c r="D20" s="38">
        <f t="shared" si="1"/>
        <v>1</v>
      </c>
      <c r="G20" s="113" t="s">
        <v>48</v>
      </c>
      <c r="H20" s="108" t="s">
        <v>3561</v>
      </c>
      <c r="I20" s="108">
        <v>112111</v>
      </c>
      <c r="J20" s="108">
        <v>5154</v>
      </c>
      <c r="K20" s="108" t="s">
        <v>20</v>
      </c>
      <c r="L20" s="108">
        <v>1</v>
      </c>
      <c r="M20" s="114">
        <v>8373</v>
      </c>
      <c r="N20" s="114">
        <f t="shared" si="2"/>
        <v>8373</v>
      </c>
      <c r="P20" s="108">
        <f t="shared" si="3"/>
        <v>22</v>
      </c>
    </row>
    <row r="21" spans="1:16" ht="15" hidden="1" customHeight="1" x14ac:dyDescent="0.2">
      <c r="A21" s="108" t="s">
        <v>309</v>
      </c>
      <c r="B21" s="117" t="s">
        <v>507</v>
      </c>
      <c r="C21" s="113">
        <f t="shared" si="0"/>
        <v>330</v>
      </c>
      <c r="D21" s="38">
        <f t="shared" si="1"/>
        <v>1</v>
      </c>
      <c r="G21" s="113" t="s">
        <v>29</v>
      </c>
      <c r="H21" s="108" t="s">
        <v>3618</v>
      </c>
      <c r="I21" s="108">
        <v>112111</v>
      </c>
      <c r="J21" s="108">
        <v>131</v>
      </c>
      <c r="K21" s="108" t="s">
        <v>20</v>
      </c>
      <c r="L21" s="108">
        <v>1</v>
      </c>
      <c r="M21" s="114">
        <v>5500000</v>
      </c>
      <c r="N21" s="114">
        <f t="shared" si="2"/>
        <v>5500000</v>
      </c>
      <c r="P21" s="108">
        <f t="shared" si="3"/>
        <v>142</v>
      </c>
    </row>
    <row r="22" spans="1:16" ht="15" hidden="1" customHeight="1" x14ac:dyDescent="0.2">
      <c r="A22" s="108" t="s">
        <v>308</v>
      </c>
      <c r="B22" s="117" t="s">
        <v>432</v>
      </c>
      <c r="C22" s="113">
        <f t="shared" si="0"/>
        <v>331</v>
      </c>
      <c r="D22" s="38">
        <f t="shared" si="1"/>
        <v>1</v>
      </c>
      <c r="G22" s="113" t="s">
        <v>48</v>
      </c>
      <c r="H22" s="108" t="s">
        <v>3603</v>
      </c>
      <c r="I22" s="108">
        <v>1111</v>
      </c>
      <c r="J22" s="108">
        <v>112111</v>
      </c>
      <c r="K22" s="108" t="s">
        <v>20</v>
      </c>
      <c r="L22" s="108">
        <v>1</v>
      </c>
      <c r="M22" s="114">
        <v>40000000</v>
      </c>
      <c r="N22" s="114">
        <f t="shared" si="2"/>
        <v>40000000</v>
      </c>
      <c r="P22" s="108">
        <f t="shared" si="3"/>
        <v>41</v>
      </c>
    </row>
    <row r="23" spans="1:16" ht="15" hidden="1" customHeight="1" x14ac:dyDescent="0.2">
      <c r="A23" s="108" t="s">
        <v>308</v>
      </c>
      <c r="B23" s="117" t="s">
        <v>470</v>
      </c>
      <c r="C23" s="113">
        <f t="shared" si="0"/>
        <v>331</v>
      </c>
      <c r="D23" s="38">
        <f t="shared" si="1"/>
        <v>0</v>
      </c>
      <c r="G23" s="113" t="s">
        <v>48</v>
      </c>
      <c r="H23" s="108" t="s">
        <v>3603</v>
      </c>
      <c r="I23" s="108">
        <v>1111</v>
      </c>
      <c r="J23" s="108">
        <v>112111</v>
      </c>
      <c r="K23" s="108" t="s">
        <v>20</v>
      </c>
      <c r="L23" s="108">
        <v>1</v>
      </c>
      <c r="M23" s="114">
        <v>2916000</v>
      </c>
      <c r="N23" s="114">
        <f t="shared" si="2"/>
        <v>2916000</v>
      </c>
      <c r="P23" s="108">
        <f t="shared" si="3"/>
        <v>41</v>
      </c>
    </row>
    <row r="24" spans="1:16" ht="15" hidden="1" customHeight="1" x14ac:dyDescent="0.2">
      <c r="A24" s="108" t="s">
        <v>308</v>
      </c>
      <c r="B24" s="117" t="s">
        <v>541</v>
      </c>
      <c r="C24" s="113">
        <f t="shared" si="0"/>
        <v>331</v>
      </c>
      <c r="D24" s="38">
        <f t="shared" si="1"/>
        <v>0</v>
      </c>
      <c r="G24" s="113" t="s">
        <v>48</v>
      </c>
      <c r="H24" s="108" t="s">
        <v>3603</v>
      </c>
      <c r="I24" s="108">
        <v>1111</v>
      </c>
      <c r="J24" s="108">
        <v>112111</v>
      </c>
      <c r="K24" s="108" t="s">
        <v>20</v>
      </c>
      <c r="L24" s="108">
        <v>1</v>
      </c>
      <c r="M24" s="114">
        <v>100000000</v>
      </c>
      <c r="N24" s="114">
        <f t="shared" si="2"/>
        <v>100000000</v>
      </c>
      <c r="P24" s="108">
        <f t="shared" si="3"/>
        <v>41</v>
      </c>
    </row>
    <row r="25" spans="1:16" ht="15" hidden="1" customHeight="1" x14ac:dyDescent="0.2">
      <c r="A25" s="108" t="s">
        <v>308</v>
      </c>
      <c r="B25" s="117" t="s">
        <v>438</v>
      </c>
      <c r="C25" s="113">
        <f t="shared" si="0"/>
        <v>331</v>
      </c>
      <c r="D25" s="38">
        <f t="shared" si="1"/>
        <v>0</v>
      </c>
      <c r="G25" s="113" t="s">
        <v>48</v>
      </c>
      <c r="H25" s="108" t="s">
        <v>3603</v>
      </c>
      <c r="I25" s="108">
        <v>1111</v>
      </c>
      <c r="J25" s="108">
        <v>112111</v>
      </c>
      <c r="K25" s="108" t="s">
        <v>20</v>
      </c>
      <c r="L25" s="108">
        <v>1</v>
      </c>
      <c r="M25" s="114">
        <v>40000000</v>
      </c>
      <c r="N25" s="114">
        <f t="shared" si="2"/>
        <v>40000000</v>
      </c>
      <c r="P25" s="108">
        <f t="shared" si="3"/>
        <v>41</v>
      </c>
    </row>
    <row r="26" spans="1:16" ht="15" hidden="1" customHeight="1" x14ac:dyDescent="0.2">
      <c r="A26" s="108" t="s">
        <v>308</v>
      </c>
      <c r="B26" s="117" t="s">
        <v>3602</v>
      </c>
      <c r="C26" s="113">
        <f t="shared" si="0"/>
        <v>331</v>
      </c>
      <c r="D26" s="38">
        <f t="shared" si="1"/>
        <v>0</v>
      </c>
      <c r="G26" s="113" t="s">
        <v>48</v>
      </c>
      <c r="H26" s="108" t="s">
        <v>3603</v>
      </c>
      <c r="I26" s="108">
        <v>1111</v>
      </c>
      <c r="J26" s="108">
        <v>112111</v>
      </c>
      <c r="K26" s="108" t="s">
        <v>20</v>
      </c>
      <c r="L26" s="108">
        <v>1</v>
      </c>
      <c r="M26" s="114">
        <v>70000000</v>
      </c>
      <c r="N26" s="114">
        <f t="shared" si="2"/>
        <v>70000000</v>
      </c>
      <c r="P26" s="108">
        <f t="shared" si="3"/>
        <v>41</v>
      </c>
    </row>
    <row r="27" spans="1:16" ht="15" hidden="1" customHeight="1" x14ac:dyDescent="0.2">
      <c r="A27" s="108" t="s">
        <v>308</v>
      </c>
      <c r="B27" s="117" t="s">
        <v>479</v>
      </c>
      <c r="C27" s="113">
        <f t="shared" si="0"/>
        <v>331</v>
      </c>
      <c r="D27" s="38">
        <f t="shared" si="1"/>
        <v>0</v>
      </c>
      <c r="G27" s="113" t="s">
        <v>48</v>
      </c>
      <c r="H27" s="108" t="s">
        <v>3603</v>
      </c>
      <c r="I27" s="108">
        <v>1111</v>
      </c>
      <c r="J27" s="108">
        <v>112111</v>
      </c>
      <c r="K27" s="108" t="s">
        <v>20</v>
      </c>
      <c r="L27" s="108">
        <v>1</v>
      </c>
      <c r="M27" s="114">
        <v>16000000</v>
      </c>
      <c r="N27" s="114">
        <f t="shared" si="2"/>
        <v>16000000</v>
      </c>
      <c r="P27" s="108">
        <f t="shared" si="3"/>
        <v>41</v>
      </c>
    </row>
    <row r="28" spans="1:16" ht="15" hidden="1" customHeight="1" x14ac:dyDescent="0.2">
      <c r="A28" s="108" t="s">
        <v>308</v>
      </c>
      <c r="B28" s="117" t="s">
        <v>553</v>
      </c>
      <c r="C28" s="113">
        <f t="shared" si="0"/>
        <v>331</v>
      </c>
      <c r="D28" s="38">
        <f t="shared" si="1"/>
        <v>0</v>
      </c>
      <c r="G28" s="113" t="s">
        <v>48</v>
      </c>
      <c r="H28" s="108" t="s">
        <v>3603</v>
      </c>
      <c r="I28" s="108">
        <v>1111</v>
      </c>
      <c r="J28" s="108">
        <v>112111</v>
      </c>
      <c r="K28" s="108" t="s">
        <v>20</v>
      </c>
      <c r="L28" s="108">
        <v>1</v>
      </c>
      <c r="M28" s="114">
        <v>5000000</v>
      </c>
      <c r="N28" s="114">
        <f t="shared" si="2"/>
        <v>5000000</v>
      </c>
      <c r="P28" s="108">
        <f t="shared" si="3"/>
        <v>41</v>
      </c>
    </row>
    <row r="29" spans="1:16" ht="15" hidden="1" customHeight="1" x14ac:dyDescent="0.2">
      <c r="A29" s="108" t="s">
        <v>308</v>
      </c>
      <c r="B29" s="117" t="s">
        <v>555</v>
      </c>
      <c r="C29" s="113">
        <f t="shared" si="0"/>
        <v>331</v>
      </c>
      <c r="D29" s="38">
        <f t="shared" si="1"/>
        <v>0</v>
      </c>
      <c r="G29" s="113" t="s">
        <v>48</v>
      </c>
      <c r="H29" s="108" t="s">
        <v>3603</v>
      </c>
      <c r="I29" s="108">
        <v>1111</v>
      </c>
      <c r="J29" s="108">
        <v>112111</v>
      </c>
      <c r="K29" s="108" t="s">
        <v>20</v>
      </c>
      <c r="L29" s="108">
        <v>1</v>
      </c>
      <c r="M29" s="114">
        <v>5000000</v>
      </c>
      <c r="N29" s="114">
        <f t="shared" si="2"/>
        <v>5000000</v>
      </c>
      <c r="P29" s="108">
        <f t="shared" si="3"/>
        <v>41</v>
      </c>
    </row>
    <row r="30" spans="1:16" ht="15" hidden="1" customHeight="1" x14ac:dyDescent="0.2">
      <c r="A30" s="108" t="s">
        <v>310</v>
      </c>
      <c r="B30" s="117" t="s">
        <v>643</v>
      </c>
      <c r="C30" s="113">
        <f t="shared" si="0"/>
        <v>332</v>
      </c>
      <c r="D30" s="38">
        <f t="shared" si="1"/>
        <v>1</v>
      </c>
      <c r="G30" s="113" t="s">
        <v>35</v>
      </c>
      <c r="H30" s="108" t="s">
        <v>3619</v>
      </c>
      <c r="I30" s="108">
        <v>331</v>
      </c>
      <c r="J30" s="108">
        <v>1111</v>
      </c>
      <c r="K30" s="108" t="s">
        <v>20</v>
      </c>
      <c r="L30" s="108">
        <v>1</v>
      </c>
      <c r="M30" s="114">
        <v>2916000</v>
      </c>
      <c r="N30" s="114">
        <f t="shared" si="2"/>
        <v>2916000</v>
      </c>
      <c r="P30" s="108">
        <f t="shared" si="3"/>
        <v>51</v>
      </c>
    </row>
    <row r="31" spans="1:16" ht="15" hidden="1" customHeight="1" x14ac:dyDescent="0.2">
      <c r="A31" s="108" t="s">
        <v>310</v>
      </c>
      <c r="B31" s="117" t="s">
        <v>493</v>
      </c>
      <c r="C31" s="113">
        <f t="shared" si="0"/>
        <v>333</v>
      </c>
      <c r="D31" s="38">
        <f t="shared" si="1"/>
        <v>1</v>
      </c>
      <c r="G31" s="113" t="s">
        <v>25</v>
      </c>
      <c r="H31" s="108" t="s">
        <v>3629</v>
      </c>
      <c r="I31" s="108">
        <v>331</v>
      </c>
      <c r="J31" s="108">
        <v>1111</v>
      </c>
      <c r="K31" s="108" t="s">
        <v>20</v>
      </c>
      <c r="L31" s="108">
        <v>1</v>
      </c>
      <c r="M31" s="114">
        <v>1320840</v>
      </c>
      <c r="N31" s="114">
        <f t="shared" si="2"/>
        <v>1320840</v>
      </c>
      <c r="P31" s="108">
        <f t="shared" si="3"/>
        <v>53</v>
      </c>
    </row>
    <row r="32" spans="1:16" ht="15" hidden="1" customHeight="1" x14ac:dyDescent="0.2">
      <c r="A32" s="108" t="s">
        <v>310</v>
      </c>
      <c r="B32" s="117" t="s">
        <v>534</v>
      </c>
      <c r="C32" s="113">
        <f t="shared" si="0"/>
        <v>334</v>
      </c>
      <c r="D32" s="38">
        <f t="shared" si="1"/>
        <v>1</v>
      </c>
      <c r="G32" s="113" t="s">
        <v>899</v>
      </c>
      <c r="H32" s="108" t="s">
        <v>3620</v>
      </c>
      <c r="I32" s="108">
        <v>331</v>
      </c>
      <c r="J32" s="108">
        <v>1111</v>
      </c>
      <c r="K32" s="108" t="s">
        <v>20</v>
      </c>
      <c r="L32" s="108">
        <v>1</v>
      </c>
      <c r="M32" s="114">
        <v>6622000</v>
      </c>
      <c r="N32" s="114">
        <f t="shared" si="2"/>
        <v>6622000</v>
      </c>
      <c r="P32" s="108">
        <f t="shared" si="3"/>
        <v>167</v>
      </c>
    </row>
    <row r="33" spans="1:16" ht="15" hidden="1" customHeight="1" x14ac:dyDescent="0.2">
      <c r="A33" s="108" t="s">
        <v>310</v>
      </c>
      <c r="B33" s="117" t="s">
        <v>658</v>
      </c>
      <c r="C33" s="113">
        <f t="shared" si="0"/>
        <v>335</v>
      </c>
      <c r="D33" s="38">
        <f t="shared" si="1"/>
        <v>1</v>
      </c>
      <c r="G33" s="113" t="s">
        <v>94</v>
      </c>
      <c r="H33" s="108" t="s">
        <v>3630</v>
      </c>
      <c r="I33" s="108">
        <v>331</v>
      </c>
      <c r="J33" s="108">
        <v>1111</v>
      </c>
      <c r="K33" s="108" t="s">
        <v>20</v>
      </c>
      <c r="L33" s="108">
        <v>1</v>
      </c>
      <c r="M33" s="114">
        <v>1852200</v>
      </c>
      <c r="N33" s="114">
        <f t="shared" si="2"/>
        <v>1852200</v>
      </c>
      <c r="P33" s="108">
        <f t="shared" si="3"/>
        <v>51</v>
      </c>
    </row>
    <row r="34" spans="1:16" ht="15" hidden="1" customHeight="1" x14ac:dyDescent="0.2">
      <c r="A34" s="108" t="s">
        <v>310</v>
      </c>
      <c r="B34" s="117" t="s">
        <v>495</v>
      </c>
      <c r="C34" s="113">
        <f t="shared" si="0"/>
        <v>336</v>
      </c>
      <c r="D34" s="38">
        <f t="shared" si="1"/>
        <v>1</v>
      </c>
      <c r="G34" s="113" t="s">
        <v>19</v>
      </c>
      <c r="H34" s="108" t="s">
        <v>3621</v>
      </c>
      <c r="I34" s="108">
        <v>331</v>
      </c>
      <c r="J34" s="108">
        <v>1111</v>
      </c>
      <c r="K34" s="108" t="s">
        <v>20</v>
      </c>
      <c r="L34" s="108">
        <v>1</v>
      </c>
      <c r="M34" s="114">
        <v>117000</v>
      </c>
      <c r="N34" s="114">
        <f t="shared" si="2"/>
        <v>117000</v>
      </c>
      <c r="P34" s="108">
        <f t="shared" si="3"/>
        <v>136</v>
      </c>
    </row>
    <row r="35" spans="1:16" ht="15" hidden="1" customHeight="1" x14ac:dyDescent="0.2">
      <c r="A35" s="108" t="s">
        <v>310</v>
      </c>
      <c r="B35" s="117" t="s">
        <v>645</v>
      </c>
      <c r="C35" s="113">
        <f t="shared" si="0"/>
        <v>337</v>
      </c>
      <c r="D35" s="38">
        <f t="shared" si="1"/>
        <v>1</v>
      </c>
      <c r="G35" s="113" t="s">
        <v>25</v>
      </c>
      <c r="H35" s="108" t="s">
        <v>3622</v>
      </c>
      <c r="I35" s="108">
        <v>331</v>
      </c>
      <c r="J35" s="108">
        <v>1111</v>
      </c>
      <c r="K35" s="108" t="s">
        <v>20</v>
      </c>
      <c r="L35" s="108">
        <v>1</v>
      </c>
      <c r="M35" s="114">
        <v>1046520</v>
      </c>
      <c r="N35" s="114">
        <f t="shared" si="2"/>
        <v>1046520</v>
      </c>
      <c r="P35" s="108">
        <f t="shared" si="3"/>
        <v>92</v>
      </c>
    </row>
    <row r="36" spans="1:16" ht="15" hidden="1" customHeight="1" x14ac:dyDescent="0.2">
      <c r="A36" s="108" t="s">
        <v>310</v>
      </c>
      <c r="B36" s="117" t="s">
        <v>435</v>
      </c>
      <c r="C36" s="113">
        <f t="shared" ref="C36:C67" si="4">C35+D36</f>
        <v>338</v>
      </c>
      <c r="D36" s="38">
        <f t="shared" ref="D36:D67" si="5">IF(H36=H35,0,1)</f>
        <v>1</v>
      </c>
      <c r="G36" s="113" t="s">
        <v>25</v>
      </c>
      <c r="H36" s="108" t="s">
        <v>3623</v>
      </c>
      <c r="I36" s="108">
        <v>331</v>
      </c>
      <c r="J36" s="108">
        <v>1111</v>
      </c>
      <c r="K36" s="108" t="s">
        <v>20</v>
      </c>
      <c r="L36" s="108">
        <v>1</v>
      </c>
      <c r="M36" s="114">
        <v>872640</v>
      </c>
      <c r="N36" s="114">
        <f t="shared" ref="N36:N67" si="6">M36*L36</f>
        <v>872640</v>
      </c>
      <c r="P36" s="108">
        <f t="shared" ref="P36:P67" si="7">LEN(H36)</f>
        <v>111</v>
      </c>
    </row>
    <row r="37" spans="1:16" ht="15" hidden="1" customHeight="1" x14ac:dyDescent="0.2">
      <c r="A37" s="108" t="s">
        <v>310</v>
      </c>
      <c r="B37" s="117" t="s">
        <v>498</v>
      </c>
      <c r="C37" s="113">
        <f t="shared" si="4"/>
        <v>339</v>
      </c>
      <c r="D37" s="38">
        <f t="shared" si="5"/>
        <v>1</v>
      </c>
      <c r="G37" s="113" t="s">
        <v>35</v>
      </c>
      <c r="H37" s="108" t="s">
        <v>3624</v>
      </c>
      <c r="I37" s="108">
        <v>331</v>
      </c>
      <c r="J37" s="108">
        <v>1111</v>
      </c>
      <c r="K37" s="108" t="s">
        <v>20</v>
      </c>
      <c r="L37" s="108">
        <v>1</v>
      </c>
      <c r="M37" s="114">
        <v>2916000</v>
      </c>
      <c r="N37" s="114">
        <f t="shared" si="6"/>
        <v>2916000</v>
      </c>
      <c r="P37" s="108">
        <f t="shared" si="7"/>
        <v>52</v>
      </c>
    </row>
    <row r="38" spans="1:16" ht="15" hidden="1" customHeight="1" x14ac:dyDescent="0.2">
      <c r="A38" s="108" t="s">
        <v>310</v>
      </c>
      <c r="B38" s="117" t="s">
        <v>552</v>
      </c>
      <c r="C38" s="113">
        <f t="shared" si="4"/>
        <v>340</v>
      </c>
      <c r="D38" s="38">
        <f t="shared" si="5"/>
        <v>1</v>
      </c>
      <c r="G38" s="113" t="s">
        <v>19</v>
      </c>
      <c r="H38" s="108" t="s">
        <v>3625</v>
      </c>
      <c r="I38" s="108">
        <v>331</v>
      </c>
      <c r="J38" s="108">
        <v>1111</v>
      </c>
      <c r="K38" s="108" t="s">
        <v>20</v>
      </c>
      <c r="L38" s="108">
        <v>1</v>
      </c>
      <c r="M38" s="114">
        <v>57000</v>
      </c>
      <c r="N38" s="114">
        <f t="shared" si="6"/>
        <v>57000</v>
      </c>
      <c r="P38" s="108">
        <f t="shared" si="7"/>
        <v>137</v>
      </c>
    </row>
    <row r="39" spans="1:16" ht="15" hidden="1" customHeight="1" x14ac:dyDescent="0.2">
      <c r="A39" s="108" t="s">
        <v>310</v>
      </c>
      <c r="B39" s="117" t="s">
        <v>555</v>
      </c>
      <c r="C39" s="113">
        <f t="shared" si="4"/>
        <v>341</v>
      </c>
      <c r="D39" s="38">
        <f t="shared" si="5"/>
        <v>1</v>
      </c>
      <c r="G39" s="113" t="s">
        <v>35</v>
      </c>
      <c r="H39" s="108" t="s">
        <v>3626</v>
      </c>
      <c r="I39" s="108">
        <v>331</v>
      </c>
      <c r="J39" s="108">
        <v>1111</v>
      </c>
      <c r="K39" s="108" t="s">
        <v>20</v>
      </c>
      <c r="L39" s="108">
        <v>1</v>
      </c>
      <c r="M39" s="114">
        <v>2916000</v>
      </c>
      <c r="N39" s="114">
        <f t="shared" si="6"/>
        <v>2916000</v>
      </c>
      <c r="P39" s="108">
        <f t="shared" si="7"/>
        <v>52</v>
      </c>
    </row>
    <row r="40" spans="1:16" ht="15" hidden="1" customHeight="1" x14ac:dyDescent="0.2">
      <c r="A40" s="108" t="s">
        <v>310</v>
      </c>
      <c r="B40" s="117" t="s">
        <v>480</v>
      </c>
      <c r="C40" s="113">
        <f t="shared" si="4"/>
        <v>342</v>
      </c>
      <c r="D40" s="38">
        <f t="shared" si="5"/>
        <v>1</v>
      </c>
      <c r="G40" s="113" t="s">
        <v>900</v>
      </c>
      <c r="H40" s="108" t="s">
        <v>3631</v>
      </c>
      <c r="I40" s="108">
        <v>331</v>
      </c>
      <c r="J40" s="108">
        <v>1111</v>
      </c>
      <c r="K40" s="108" t="s">
        <v>20</v>
      </c>
      <c r="L40" s="108">
        <v>1</v>
      </c>
      <c r="M40" s="114">
        <v>10154820</v>
      </c>
      <c r="N40" s="114">
        <f t="shared" si="6"/>
        <v>10154820</v>
      </c>
      <c r="P40" s="108">
        <f t="shared" si="7"/>
        <v>52</v>
      </c>
    </row>
    <row r="41" spans="1:16" ht="15" hidden="1" customHeight="1" x14ac:dyDescent="0.2">
      <c r="A41" s="108" t="s">
        <v>18</v>
      </c>
      <c r="B41" s="117" t="s">
        <v>643</v>
      </c>
      <c r="C41" s="113">
        <f t="shared" si="4"/>
        <v>343</v>
      </c>
      <c r="D41" s="38">
        <f t="shared" si="5"/>
        <v>1</v>
      </c>
      <c r="G41" s="113" t="s">
        <v>35</v>
      </c>
      <c r="H41" s="108" t="s">
        <v>901</v>
      </c>
      <c r="I41" s="108">
        <v>64277</v>
      </c>
      <c r="J41" s="108">
        <v>331</v>
      </c>
      <c r="K41" s="108" t="s">
        <v>20</v>
      </c>
      <c r="L41" s="108">
        <v>1</v>
      </c>
      <c r="M41" s="114">
        <v>2700000</v>
      </c>
      <c r="N41" s="114">
        <f t="shared" si="6"/>
        <v>2700000</v>
      </c>
      <c r="P41" s="108">
        <f t="shared" si="7"/>
        <v>40</v>
      </c>
    </row>
    <row r="42" spans="1:16" ht="15" hidden="1" customHeight="1" x14ac:dyDescent="0.2">
      <c r="A42" s="108" t="s">
        <v>18</v>
      </c>
      <c r="B42" s="117" t="s">
        <v>643</v>
      </c>
      <c r="C42" s="113">
        <f t="shared" si="4"/>
        <v>343</v>
      </c>
      <c r="D42" s="38">
        <f t="shared" si="5"/>
        <v>0</v>
      </c>
      <c r="F42" s="114"/>
      <c r="G42" s="113" t="s">
        <v>35</v>
      </c>
      <c r="H42" s="108" t="s">
        <v>901</v>
      </c>
      <c r="I42" s="108">
        <v>1331</v>
      </c>
      <c r="J42" s="108">
        <v>331</v>
      </c>
      <c r="K42" s="108" t="s">
        <v>20</v>
      </c>
      <c r="L42" s="108">
        <v>1</v>
      </c>
      <c r="M42" s="114">
        <v>216000</v>
      </c>
      <c r="N42" s="114">
        <f t="shared" si="6"/>
        <v>216000</v>
      </c>
      <c r="P42" s="108">
        <f t="shared" si="7"/>
        <v>40</v>
      </c>
    </row>
    <row r="43" spans="1:16" ht="15" hidden="1" customHeight="1" x14ac:dyDescent="0.2">
      <c r="A43" s="108" t="s">
        <v>18</v>
      </c>
      <c r="B43" s="117" t="s">
        <v>493</v>
      </c>
      <c r="C43" s="113">
        <f t="shared" si="4"/>
        <v>344</v>
      </c>
      <c r="D43" s="38">
        <f t="shared" si="5"/>
        <v>1</v>
      </c>
      <c r="F43" s="114"/>
      <c r="G43" s="113" t="s">
        <v>25</v>
      </c>
      <c r="H43" s="108" t="s">
        <v>902</v>
      </c>
      <c r="I43" s="108">
        <v>64277</v>
      </c>
      <c r="J43" s="108">
        <v>331</v>
      </c>
      <c r="K43" s="108" t="s">
        <v>20</v>
      </c>
      <c r="L43" s="108">
        <v>1</v>
      </c>
      <c r="M43" s="114">
        <v>1223000</v>
      </c>
      <c r="N43" s="114">
        <f t="shared" si="6"/>
        <v>1223000</v>
      </c>
      <c r="P43" s="108">
        <f t="shared" si="7"/>
        <v>192</v>
      </c>
    </row>
    <row r="44" spans="1:16" ht="15" hidden="1" customHeight="1" x14ac:dyDescent="0.2">
      <c r="A44" s="108" t="s">
        <v>18</v>
      </c>
      <c r="B44" s="117" t="s">
        <v>493</v>
      </c>
      <c r="C44" s="113">
        <f t="shared" si="4"/>
        <v>344</v>
      </c>
      <c r="D44" s="38">
        <f t="shared" si="5"/>
        <v>0</v>
      </c>
      <c r="G44" s="113" t="s">
        <v>25</v>
      </c>
      <c r="H44" s="108" t="s">
        <v>902</v>
      </c>
      <c r="I44" s="108">
        <v>1331</v>
      </c>
      <c r="J44" s="108">
        <v>331</v>
      </c>
      <c r="K44" s="108" t="s">
        <v>20</v>
      </c>
      <c r="L44" s="108">
        <v>1</v>
      </c>
      <c r="M44" s="114">
        <v>97840</v>
      </c>
      <c r="N44" s="114">
        <f t="shared" si="6"/>
        <v>97840</v>
      </c>
      <c r="P44" s="108">
        <f t="shared" si="7"/>
        <v>192</v>
      </c>
    </row>
    <row r="45" spans="1:16" ht="15" hidden="1" customHeight="1" x14ac:dyDescent="0.2">
      <c r="A45" s="108" t="s">
        <v>18</v>
      </c>
      <c r="B45" s="117" t="s">
        <v>534</v>
      </c>
      <c r="C45" s="113">
        <f t="shared" si="4"/>
        <v>345</v>
      </c>
      <c r="D45" s="38">
        <f t="shared" si="5"/>
        <v>1</v>
      </c>
      <c r="G45" s="113" t="s">
        <v>899</v>
      </c>
      <c r="H45" s="108" t="s">
        <v>903</v>
      </c>
      <c r="I45" s="108">
        <v>64277</v>
      </c>
      <c r="J45" s="108">
        <v>331</v>
      </c>
      <c r="K45" s="108" t="s">
        <v>20</v>
      </c>
      <c r="L45" s="108">
        <v>1</v>
      </c>
      <c r="M45" s="114">
        <v>6131482</v>
      </c>
      <c r="N45" s="114">
        <f t="shared" si="6"/>
        <v>6131482</v>
      </c>
      <c r="P45" s="108">
        <f t="shared" si="7"/>
        <v>156</v>
      </c>
    </row>
    <row r="46" spans="1:16" ht="15" hidden="1" customHeight="1" x14ac:dyDescent="0.2">
      <c r="A46" s="108" t="s">
        <v>18</v>
      </c>
      <c r="B46" s="117" t="s">
        <v>534</v>
      </c>
      <c r="C46" s="113">
        <f t="shared" si="4"/>
        <v>345</v>
      </c>
      <c r="D46" s="38">
        <f t="shared" si="5"/>
        <v>0</v>
      </c>
      <c r="F46" s="114"/>
      <c r="G46" s="113" t="s">
        <v>899</v>
      </c>
      <c r="H46" s="108" t="s">
        <v>903</v>
      </c>
      <c r="I46" s="108">
        <v>1331</v>
      </c>
      <c r="J46" s="108">
        <v>331</v>
      </c>
      <c r="K46" s="108" t="s">
        <v>20</v>
      </c>
      <c r="L46" s="108">
        <v>1</v>
      </c>
      <c r="M46" s="114">
        <v>490518</v>
      </c>
      <c r="N46" s="114">
        <f t="shared" si="6"/>
        <v>490518</v>
      </c>
      <c r="P46" s="108">
        <f t="shared" si="7"/>
        <v>156</v>
      </c>
    </row>
    <row r="47" spans="1:16" ht="15" hidden="1" customHeight="1" x14ac:dyDescent="0.2">
      <c r="A47" s="108" t="s">
        <v>18</v>
      </c>
      <c r="B47" s="117" t="s">
        <v>535</v>
      </c>
      <c r="C47" s="113">
        <f t="shared" si="4"/>
        <v>346</v>
      </c>
      <c r="D47" s="38">
        <f t="shared" si="5"/>
        <v>1</v>
      </c>
      <c r="G47" s="113" t="s">
        <v>98</v>
      </c>
      <c r="H47" s="108" t="s">
        <v>883</v>
      </c>
      <c r="I47" s="108">
        <v>131</v>
      </c>
      <c r="J47" s="108">
        <v>5113</v>
      </c>
      <c r="K47" s="108" t="s">
        <v>20</v>
      </c>
      <c r="L47" s="108">
        <v>1</v>
      </c>
      <c r="M47" s="114">
        <v>15053764</v>
      </c>
      <c r="N47" s="114">
        <f t="shared" si="6"/>
        <v>15053764</v>
      </c>
      <c r="P47" s="108">
        <f t="shared" si="7"/>
        <v>158</v>
      </c>
    </row>
    <row r="48" spans="1:16" ht="15" customHeight="1" x14ac:dyDescent="0.2">
      <c r="A48" s="108" t="s">
        <v>18</v>
      </c>
      <c r="B48" s="117" t="s">
        <v>535</v>
      </c>
      <c r="C48" s="113">
        <f t="shared" si="4"/>
        <v>347</v>
      </c>
      <c r="D48" s="38">
        <f t="shared" si="5"/>
        <v>1</v>
      </c>
      <c r="G48" s="113" t="s">
        <v>98</v>
      </c>
      <c r="H48" s="108" t="s">
        <v>3586</v>
      </c>
      <c r="I48" s="108">
        <v>333821</v>
      </c>
      <c r="J48" s="108">
        <v>131</v>
      </c>
      <c r="K48" s="108" t="s">
        <v>20</v>
      </c>
      <c r="L48" s="108">
        <v>1</v>
      </c>
      <c r="M48" s="114">
        <v>150538</v>
      </c>
      <c r="N48" s="114">
        <f t="shared" si="6"/>
        <v>150538</v>
      </c>
      <c r="P48" s="108">
        <f t="shared" si="7"/>
        <v>174</v>
      </c>
    </row>
    <row r="49" spans="1:16" ht="15" hidden="1" customHeight="1" x14ac:dyDescent="0.2">
      <c r="A49" s="108" t="s">
        <v>18</v>
      </c>
      <c r="B49" s="117" t="s">
        <v>658</v>
      </c>
      <c r="C49" s="113">
        <f t="shared" si="4"/>
        <v>348</v>
      </c>
      <c r="D49" s="38">
        <f t="shared" si="5"/>
        <v>1</v>
      </c>
      <c r="F49" s="114"/>
      <c r="G49" s="113" t="s">
        <v>94</v>
      </c>
      <c r="H49" s="108" t="s">
        <v>3627</v>
      </c>
      <c r="I49" s="108">
        <v>64277</v>
      </c>
      <c r="J49" s="108">
        <v>331</v>
      </c>
      <c r="K49" s="108" t="s">
        <v>20</v>
      </c>
      <c r="L49" s="108">
        <v>1</v>
      </c>
      <c r="M49" s="114">
        <v>1715000</v>
      </c>
      <c r="N49" s="114">
        <f t="shared" si="6"/>
        <v>1715000</v>
      </c>
      <c r="P49" s="108">
        <f t="shared" si="7"/>
        <v>41</v>
      </c>
    </row>
    <row r="50" spans="1:16" ht="15" hidden="1" customHeight="1" x14ac:dyDescent="0.2">
      <c r="A50" s="108" t="s">
        <v>18</v>
      </c>
      <c r="B50" s="117" t="s">
        <v>658</v>
      </c>
      <c r="C50" s="113">
        <f t="shared" si="4"/>
        <v>348</v>
      </c>
      <c r="D50" s="38">
        <f t="shared" si="5"/>
        <v>0</v>
      </c>
      <c r="G50" s="113" t="s">
        <v>94</v>
      </c>
      <c r="H50" s="108" t="s">
        <v>3627</v>
      </c>
      <c r="I50" s="108">
        <v>1331</v>
      </c>
      <c r="J50" s="108">
        <v>331</v>
      </c>
      <c r="K50" s="108" t="s">
        <v>20</v>
      </c>
      <c r="L50" s="108">
        <v>1</v>
      </c>
      <c r="M50" s="114">
        <v>137200</v>
      </c>
      <c r="N50" s="114">
        <f t="shared" si="6"/>
        <v>137200</v>
      </c>
      <c r="P50" s="108">
        <f t="shared" si="7"/>
        <v>41</v>
      </c>
    </row>
    <row r="51" spans="1:16" ht="15" customHeight="1" x14ac:dyDescent="0.2">
      <c r="A51" s="108" t="s">
        <v>18</v>
      </c>
      <c r="B51" s="117" t="s">
        <v>537</v>
      </c>
      <c r="C51" s="113">
        <f t="shared" si="4"/>
        <v>349</v>
      </c>
      <c r="D51" s="38">
        <f t="shared" si="5"/>
        <v>1</v>
      </c>
      <c r="G51" s="113" t="s">
        <v>29</v>
      </c>
      <c r="H51" s="108" t="s">
        <v>3587</v>
      </c>
      <c r="I51" s="108">
        <v>333821</v>
      </c>
      <c r="J51" s="108">
        <v>131</v>
      </c>
      <c r="K51" s="108" t="s">
        <v>20</v>
      </c>
      <c r="L51" s="108">
        <v>1</v>
      </c>
      <c r="M51" s="114">
        <v>400000</v>
      </c>
      <c r="N51" s="115">
        <f t="shared" si="6"/>
        <v>400000</v>
      </c>
      <c r="P51" s="108">
        <f t="shared" si="7"/>
        <v>148</v>
      </c>
    </row>
    <row r="52" spans="1:16" ht="15" customHeight="1" x14ac:dyDescent="0.2">
      <c r="A52" s="108" t="s">
        <v>18</v>
      </c>
      <c r="B52" s="117" t="s">
        <v>537</v>
      </c>
      <c r="C52" s="113">
        <f t="shared" si="4"/>
        <v>350</v>
      </c>
      <c r="D52" s="38">
        <f t="shared" si="5"/>
        <v>1</v>
      </c>
      <c r="G52" s="113" t="s">
        <v>29</v>
      </c>
      <c r="H52" s="108" t="s">
        <v>3588</v>
      </c>
      <c r="I52" s="108">
        <v>333821</v>
      </c>
      <c r="J52" s="108">
        <v>131</v>
      </c>
      <c r="K52" s="108" t="s">
        <v>20</v>
      </c>
      <c r="L52" s="108">
        <v>1</v>
      </c>
      <c r="M52" s="116">
        <v>266667</v>
      </c>
      <c r="N52" s="115">
        <f t="shared" si="6"/>
        <v>266667</v>
      </c>
      <c r="P52" s="108">
        <f t="shared" si="7"/>
        <v>147</v>
      </c>
    </row>
    <row r="53" spans="1:16" ht="15" hidden="1" customHeight="1" x14ac:dyDescent="0.2">
      <c r="A53" s="108" t="s">
        <v>18</v>
      </c>
      <c r="B53" s="117" t="s">
        <v>537</v>
      </c>
      <c r="C53" s="113">
        <f t="shared" si="4"/>
        <v>351</v>
      </c>
      <c r="D53" s="38">
        <f t="shared" si="5"/>
        <v>1</v>
      </c>
      <c r="F53" s="114"/>
      <c r="G53" s="113" t="s">
        <v>29</v>
      </c>
      <c r="H53" s="108" t="s">
        <v>884</v>
      </c>
      <c r="I53" s="108">
        <v>131</v>
      </c>
      <c r="J53" s="108">
        <v>5113</v>
      </c>
      <c r="K53" s="108" t="s">
        <v>20</v>
      </c>
      <c r="L53" s="108">
        <v>1</v>
      </c>
      <c r="M53" s="114">
        <v>40000000</v>
      </c>
      <c r="N53" s="114">
        <f t="shared" si="6"/>
        <v>40000000</v>
      </c>
      <c r="P53" s="108">
        <f t="shared" si="7"/>
        <v>132</v>
      </c>
    </row>
    <row r="54" spans="1:16" ht="15" hidden="1" customHeight="1" x14ac:dyDescent="0.2">
      <c r="A54" s="108" t="s">
        <v>18</v>
      </c>
      <c r="B54" s="117" t="s">
        <v>537</v>
      </c>
      <c r="C54" s="113">
        <f t="shared" si="4"/>
        <v>352</v>
      </c>
      <c r="D54" s="38">
        <f t="shared" si="5"/>
        <v>1</v>
      </c>
      <c r="G54" s="113" t="s">
        <v>29</v>
      </c>
      <c r="H54" s="108" t="s">
        <v>885</v>
      </c>
      <c r="I54" s="108">
        <v>131</v>
      </c>
      <c r="J54" s="108">
        <v>5113</v>
      </c>
      <c r="K54" s="108" t="s">
        <v>20</v>
      </c>
      <c r="L54" s="108">
        <v>1</v>
      </c>
      <c r="M54" s="116">
        <v>26666667</v>
      </c>
      <c r="N54" s="114">
        <f t="shared" si="6"/>
        <v>26666667</v>
      </c>
      <c r="P54" s="108">
        <f t="shared" si="7"/>
        <v>131</v>
      </c>
    </row>
    <row r="55" spans="1:16" ht="15" hidden="1" customHeight="1" x14ac:dyDescent="0.2">
      <c r="A55" s="108" t="s">
        <v>18</v>
      </c>
      <c r="B55" s="117" t="s">
        <v>495</v>
      </c>
      <c r="C55" s="113">
        <f t="shared" si="4"/>
        <v>353</v>
      </c>
      <c r="D55" s="38">
        <f t="shared" si="5"/>
        <v>1</v>
      </c>
      <c r="G55" s="113" t="s">
        <v>19</v>
      </c>
      <c r="H55" s="108" t="s">
        <v>904</v>
      </c>
      <c r="I55" s="108">
        <v>64277</v>
      </c>
      <c r="J55" s="108">
        <v>331</v>
      </c>
      <c r="K55" s="108" t="s">
        <v>20</v>
      </c>
      <c r="L55" s="108">
        <v>1</v>
      </c>
      <c r="M55" s="114">
        <v>117000</v>
      </c>
      <c r="N55" s="114">
        <f t="shared" si="6"/>
        <v>117000</v>
      </c>
      <c r="P55" s="108">
        <f t="shared" si="7"/>
        <v>125</v>
      </c>
    </row>
    <row r="56" spans="1:16" ht="15" hidden="1" customHeight="1" x14ac:dyDescent="0.2">
      <c r="A56" s="108" t="s">
        <v>18</v>
      </c>
      <c r="B56" s="117" t="s">
        <v>495</v>
      </c>
      <c r="C56" s="113">
        <f t="shared" si="4"/>
        <v>353</v>
      </c>
      <c r="D56" s="38">
        <f t="shared" si="5"/>
        <v>0</v>
      </c>
      <c r="G56" s="113" t="s">
        <v>19</v>
      </c>
      <c r="H56" s="108" t="s">
        <v>904</v>
      </c>
      <c r="I56" s="108">
        <v>1331</v>
      </c>
      <c r="J56" s="108">
        <v>331</v>
      </c>
      <c r="K56" s="108" t="s">
        <v>20</v>
      </c>
      <c r="L56" s="108">
        <v>1</v>
      </c>
      <c r="M56" s="114">
        <v>8667</v>
      </c>
      <c r="N56" s="114">
        <f t="shared" si="6"/>
        <v>8667</v>
      </c>
      <c r="P56" s="108">
        <f t="shared" si="7"/>
        <v>125</v>
      </c>
    </row>
    <row r="57" spans="1:16" ht="15" hidden="1" customHeight="1" x14ac:dyDescent="0.2">
      <c r="A57" s="108" t="s">
        <v>18</v>
      </c>
      <c r="B57" s="117" t="s">
        <v>645</v>
      </c>
      <c r="C57" s="113">
        <f t="shared" si="4"/>
        <v>354</v>
      </c>
      <c r="D57" s="38">
        <f t="shared" si="5"/>
        <v>1</v>
      </c>
      <c r="F57" s="114"/>
      <c r="G57" s="113" t="s">
        <v>25</v>
      </c>
      <c r="H57" s="108" t="s">
        <v>905</v>
      </c>
      <c r="I57" s="108">
        <v>64277</v>
      </c>
      <c r="J57" s="108">
        <v>331</v>
      </c>
      <c r="K57" s="108" t="s">
        <v>20</v>
      </c>
      <c r="L57" s="108">
        <v>1</v>
      </c>
      <c r="M57" s="114">
        <v>969000</v>
      </c>
      <c r="N57" s="114">
        <f t="shared" si="6"/>
        <v>969000</v>
      </c>
      <c r="P57" s="108">
        <f t="shared" si="7"/>
        <v>81</v>
      </c>
    </row>
    <row r="58" spans="1:16" ht="15" hidden="1" customHeight="1" x14ac:dyDescent="0.2">
      <c r="A58" s="108" t="s">
        <v>18</v>
      </c>
      <c r="B58" s="117" t="s">
        <v>645</v>
      </c>
      <c r="C58" s="113">
        <f t="shared" si="4"/>
        <v>354</v>
      </c>
      <c r="D58" s="38">
        <f t="shared" si="5"/>
        <v>0</v>
      </c>
      <c r="G58" s="113" t="s">
        <v>25</v>
      </c>
      <c r="H58" s="108" t="s">
        <v>905</v>
      </c>
      <c r="I58" s="108">
        <v>1331</v>
      </c>
      <c r="J58" s="108">
        <v>331</v>
      </c>
      <c r="K58" s="108" t="s">
        <v>20</v>
      </c>
      <c r="L58" s="108">
        <v>1</v>
      </c>
      <c r="M58" s="114">
        <v>77520</v>
      </c>
      <c r="N58" s="114">
        <f t="shared" si="6"/>
        <v>77520</v>
      </c>
      <c r="P58" s="108">
        <f t="shared" si="7"/>
        <v>81</v>
      </c>
    </row>
    <row r="59" spans="1:16" ht="15" customHeight="1" x14ac:dyDescent="0.2">
      <c r="A59" s="108" t="s">
        <v>18</v>
      </c>
      <c r="B59" s="117" t="s">
        <v>645</v>
      </c>
      <c r="C59" s="113">
        <f t="shared" si="4"/>
        <v>355</v>
      </c>
      <c r="D59" s="38">
        <f t="shared" si="5"/>
        <v>1</v>
      </c>
      <c r="G59" s="113" t="s">
        <v>29</v>
      </c>
      <c r="H59" s="108" t="s">
        <v>3589</v>
      </c>
      <c r="I59" s="108">
        <v>333821</v>
      </c>
      <c r="J59" s="108">
        <v>131</v>
      </c>
      <c r="K59" s="108" t="s">
        <v>20</v>
      </c>
      <c r="L59" s="108">
        <v>1</v>
      </c>
      <c r="M59" s="114">
        <v>111111</v>
      </c>
      <c r="N59" s="114">
        <f t="shared" si="6"/>
        <v>111111</v>
      </c>
      <c r="P59" s="108">
        <f t="shared" si="7"/>
        <v>156</v>
      </c>
    </row>
    <row r="60" spans="1:16" ht="15" customHeight="1" x14ac:dyDescent="0.2">
      <c r="A60" s="108" t="s">
        <v>18</v>
      </c>
      <c r="B60" s="117" t="s">
        <v>645</v>
      </c>
      <c r="C60" s="113">
        <f t="shared" si="4"/>
        <v>356</v>
      </c>
      <c r="D60" s="38">
        <f t="shared" si="5"/>
        <v>1</v>
      </c>
      <c r="G60" s="113" t="s">
        <v>29</v>
      </c>
      <c r="H60" s="108" t="s">
        <v>3590</v>
      </c>
      <c r="I60" s="108">
        <v>333821</v>
      </c>
      <c r="J60" s="108">
        <v>131</v>
      </c>
      <c r="K60" s="108" t="s">
        <v>20</v>
      </c>
      <c r="L60" s="108">
        <v>1</v>
      </c>
      <c r="M60" s="114">
        <v>122222</v>
      </c>
      <c r="N60" s="115">
        <f t="shared" si="6"/>
        <v>122222</v>
      </c>
      <c r="P60" s="108">
        <f t="shared" si="7"/>
        <v>156</v>
      </c>
    </row>
    <row r="61" spans="1:16" ht="15" hidden="1" customHeight="1" x14ac:dyDescent="0.2">
      <c r="A61" s="108" t="s">
        <v>18</v>
      </c>
      <c r="B61" s="117" t="s">
        <v>645</v>
      </c>
      <c r="C61" s="113">
        <f t="shared" si="4"/>
        <v>357</v>
      </c>
      <c r="D61" s="38">
        <f t="shared" si="5"/>
        <v>1</v>
      </c>
      <c r="G61" s="113" t="s">
        <v>29</v>
      </c>
      <c r="H61" s="108" t="s">
        <v>887</v>
      </c>
      <c r="I61" s="108">
        <v>131</v>
      </c>
      <c r="J61" s="108">
        <v>5113</v>
      </c>
      <c r="K61" s="108" t="s">
        <v>20</v>
      </c>
      <c r="L61" s="108">
        <v>1</v>
      </c>
      <c r="M61" s="114">
        <v>11111111</v>
      </c>
      <c r="N61" s="114">
        <f t="shared" si="6"/>
        <v>11111111</v>
      </c>
      <c r="P61" s="108">
        <f t="shared" si="7"/>
        <v>140</v>
      </c>
    </row>
    <row r="62" spans="1:16" ht="15" hidden="1" customHeight="1" x14ac:dyDescent="0.2">
      <c r="A62" s="108" t="s">
        <v>18</v>
      </c>
      <c r="B62" s="117" t="s">
        <v>645</v>
      </c>
      <c r="C62" s="113">
        <f t="shared" si="4"/>
        <v>358</v>
      </c>
      <c r="D62" s="38">
        <f t="shared" si="5"/>
        <v>1</v>
      </c>
      <c r="F62" s="114"/>
      <c r="G62" s="113" t="s">
        <v>29</v>
      </c>
      <c r="H62" s="108" t="s">
        <v>886</v>
      </c>
      <c r="I62" s="108">
        <v>131</v>
      </c>
      <c r="J62" s="108">
        <v>5113</v>
      </c>
      <c r="K62" s="108" t="s">
        <v>20</v>
      </c>
      <c r="L62" s="108">
        <v>1</v>
      </c>
      <c r="M62" s="114">
        <v>12222222</v>
      </c>
      <c r="N62" s="114">
        <f t="shared" si="6"/>
        <v>12222222</v>
      </c>
      <c r="P62" s="108">
        <f t="shared" si="7"/>
        <v>140</v>
      </c>
    </row>
    <row r="63" spans="1:16" ht="15" customHeight="1" x14ac:dyDescent="0.2">
      <c r="A63" s="108" t="s">
        <v>18</v>
      </c>
      <c r="B63" s="117" t="s">
        <v>711</v>
      </c>
      <c r="C63" s="113">
        <f t="shared" si="4"/>
        <v>359</v>
      </c>
      <c r="D63" s="38">
        <f t="shared" si="5"/>
        <v>1</v>
      </c>
      <c r="G63" s="113" t="s">
        <v>29</v>
      </c>
      <c r="H63" s="108" t="s">
        <v>3591</v>
      </c>
      <c r="I63" s="108">
        <v>333821</v>
      </c>
      <c r="J63" s="108">
        <v>131</v>
      </c>
      <c r="K63" s="108" t="s">
        <v>20</v>
      </c>
      <c r="L63" s="108">
        <v>1</v>
      </c>
      <c r="M63" s="114">
        <v>0</v>
      </c>
      <c r="N63" s="115">
        <f t="shared" si="6"/>
        <v>0</v>
      </c>
      <c r="P63" s="108">
        <f t="shared" si="7"/>
        <v>181</v>
      </c>
    </row>
    <row r="64" spans="1:16" ht="15" hidden="1" customHeight="1" x14ac:dyDescent="0.2">
      <c r="A64" s="108" t="s">
        <v>18</v>
      </c>
      <c r="B64" s="117" t="s">
        <v>711</v>
      </c>
      <c r="C64" s="113">
        <f t="shared" si="4"/>
        <v>360</v>
      </c>
      <c r="D64" s="38">
        <f t="shared" si="5"/>
        <v>1</v>
      </c>
      <c r="F64" s="114"/>
      <c r="G64" s="113" t="s">
        <v>29</v>
      </c>
      <c r="H64" s="108" t="s">
        <v>888</v>
      </c>
      <c r="I64" s="108">
        <v>131</v>
      </c>
      <c r="J64" s="108">
        <v>5113</v>
      </c>
      <c r="K64" s="108" t="s">
        <v>20</v>
      </c>
      <c r="L64" s="108">
        <v>1</v>
      </c>
      <c r="M64" s="114">
        <v>-11111111</v>
      </c>
      <c r="N64" s="114">
        <f t="shared" si="6"/>
        <v>-11111111</v>
      </c>
      <c r="P64" s="108">
        <f t="shared" si="7"/>
        <v>165</v>
      </c>
    </row>
    <row r="65" spans="1:16" ht="15" hidden="1" customHeight="1" x14ac:dyDescent="0.2">
      <c r="A65" s="108" t="s">
        <v>18</v>
      </c>
      <c r="B65" s="117" t="s">
        <v>435</v>
      </c>
      <c r="C65" s="113">
        <f t="shared" si="4"/>
        <v>361</v>
      </c>
      <c r="D65" s="38">
        <f t="shared" si="5"/>
        <v>1</v>
      </c>
      <c r="G65" s="113" t="s">
        <v>25</v>
      </c>
      <c r="H65" s="108" t="s">
        <v>906</v>
      </c>
      <c r="I65" s="108">
        <v>64277</v>
      </c>
      <c r="J65" s="108">
        <v>331</v>
      </c>
      <c r="K65" s="108" t="s">
        <v>20</v>
      </c>
      <c r="L65" s="108">
        <v>1</v>
      </c>
      <c r="M65" s="114">
        <v>808000</v>
      </c>
      <c r="N65" s="114">
        <f t="shared" si="6"/>
        <v>808000</v>
      </c>
      <c r="P65" s="108">
        <f t="shared" si="7"/>
        <v>100</v>
      </c>
    </row>
    <row r="66" spans="1:16" ht="15" hidden="1" customHeight="1" x14ac:dyDescent="0.2">
      <c r="A66" s="108" t="s">
        <v>18</v>
      </c>
      <c r="B66" s="117" t="s">
        <v>435</v>
      </c>
      <c r="C66" s="113">
        <f t="shared" si="4"/>
        <v>361</v>
      </c>
      <c r="D66" s="38">
        <f t="shared" si="5"/>
        <v>0</v>
      </c>
      <c r="G66" s="113" t="s">
        <v>25</v>
      </c>
      <c r="H66" s="108" t="s">
        <v>906</v>
      </c>
      <c r="I66" s="108">
        <v>1331</v>
      </c>
      <c r="J66" s="108">
        <v>331</v>
      </c>
      <c r="K66" s="108" t="s">
        <v>20</v>
      </c>
      <c r="L66" s="108">
        <v>1</v>
      </c>
      <c r="M66" s="114">
        <v>64640</v>
      </c>
      <c r="N66" s="114">
        <f t="shared" si="6"/>
        <v>64640</v>
      </c>
      <c r="P66" s="108">
        <f t="shared" si="7"/>
        <v>100</v>
      </c>
    </row>
    <row r="67" spans="1:16" ht="15" customHeight="1" x14ac:dyDescent="0.2">
      <c r="A67" s="108" t="s">
        <v>18</v>
      </c>
      <c r="B67" s="117" t="s">
        <v>496</v>
      </c>
      <c r="C67" s="113">
        <f t="shared" si="4"/>
        <v>362</v>
      </c>
      <c r="D67" s="38">
        <f t="shared" si="5"/>
        <v>1</v>
      </c>
      <c r="G67" s="113" t="s">
        <v>29</v>
      </c>
      <c r="H67" s="108" t="s">
        <v>3592</v>
      </c>
      <c r="I67" s="108">
        <v>333821</v>
      </c>
      <c r="J67" s="108">
        <v>131</v>
      </c>
      <c r="K67" s="108" t="s">
        <v>20</v>
      </c>
      <c r="L67" s="108">
        <v>1</v>
      </c>
      <c r="M67" s="114">
        <v>166667</v>
      </c>
      <c r="N67" s="114">
        <f t="shared" si="6"/>
        <v>166667</v>
      </c>
      <c r="P67" s="108">
        <f t="shared" si="7"/>
        <v>151</v>
      </c>
    </row>
    <row r="68" spans="1:16" ht="15" hidden="1" customHeight="1" x14ac:dyDescent="0.2">
      <c r="A68" s="108" t="s">
        <v>18</v>
      </c>
      <c r="B68" s="117" t="s">
        <v>496</v>
      </c>
      <c r="C68" s="113">
        <f t="shared" ref="C68:C97" si="8">C67+D68</f>
        <v>363</v>
      </c>
      <c r="D68" s="38">
        <f t="shared" ref="D68:D97" si="9">IF(H68=H67,0,1)</f>
        <v>1</v>
      </c>
      <c r="G68" s="113" t="s">
        <v>29</v>
      </c>
      <c r="H68" s="108" t="s">
        <v>889</v>
      </c>
      <c r="I68" s="108">
        <v>131</v>
      </c>
      <c r="J68" s="108">
        <v>5113</v>
      </c>
      <c r="K68" s="108" t="s">
        <v>20</v>
      </c>
      <c r="L68" s="108">
        <v>1</v>
      </c>
      <c r="M68" s="114">
        <v>16666667</v>
      </c>
      <c r="N68" s="114">
        <f t="shared" ref="N68:N113" si="10">M68*L68</f>
        <v>16666667</v>
      </c>
      <c r="P68" s="108">
        <f t="shared" ref="P68:P113" si="11">LEN(H68)</f>
        <v>135</v>
      </c>
    </row>
    <row r="69" spans="1:16" ht="15" hidden="1" customHeight="1" x14ac:dyDescent="0.2">
      <c r="A69" s="108" t="s">
        <v>18</v>
      </c>
      <c r="B69" s="117" t="s">
        <v>498</v>
      </c>
      <c r="C69" s="113">
        <f t="shared" si="8"/>
        <v>364</v>
      </c>
      <c r="D69" s="38">
        <f t="shared" si="9"/>
        <v>1</v>
      </c>
      <c r="F69" s="114"/>
      <c r="G69" s="113" t="s">
        <v>35</v>
      </c>
      <c r="H69" s="108" t="s">
        <v>907</v>
      </c>
      <c r="I69" s="108">
        <v>64277</v>
      </c>
      <c r="J69" s="108">
        <v>331</v>
      </c>
      <c r="K69" s="108" t="s">
        <v>20</v>
      </c>
      <c r="L69" s="108">
        <v>1</v>
      </c>
      <c r="M69" s="114">
        <v>2700000</v>
      </c>
      <c r="N69" s="114">
        <f t="shared" si="10"/>
        <v>2700000</v>
      </c>
      <c r="P69" s="108">
        <f t="shared" si="11"/>
        <v>41</v>
      </c>
    </row>
    <row r="70" spans="1:16" ht="15" hidden="1" customHeight="1" x14ac:dyDescent="0.2">
      <c r="A70" s="108" t="s">
        <v>18</v>
      </c>
      <c r="B70" s="117" t="s">
        <v>498</v>
      </c>
      <c r="C70" s="113">
        <f t="shared" si="8"/>
        <v>364</v>
      </c>
      <c r="D70" s="38">
        <f t="shared" si="9"/>
        <v>0</v>
      </c>
      <c r="G70" s="113" t="s">
        <v>35</v>
      </c>
      <c r="H70" s="108" t="s">
        <v>907</v>
      </c>
      <c r="I70" s="108">
        <v>1331</v>
      </c>
      <c r="J70" s="108">
        <v>331</v>
      </c>
      <c r="K70" s="108" t="s">
        <v>20</v>
      </c>
      <c r="L70" s="108">
        <v>1</v>
      </c>
      <c r="M70" s="114">
        <v>216000</v>
      </c>
      <c r="N70" s="114">
        <f t="shared" si="10"/>
        <v>216000</v>
      </c>
      <c r="P70" s="108">
        <f t="shared" si="11"/>
        <v>41</v>
      </c>
    </row>
    <row r="71" spans="1:16" ht="15" hidden="1" customHeight="1" x14ac:dyDescent="0.2">
      <c r="A71" s="108" t="s">
        <v>18</v>
      </c>
      <c r="B71" s="117">
        <v>46053</v>
      </c>
      <c r="C71" s="113">
        <f t="shared" si="8"/>
        <v>365</v>
      </c>
      <c r="D71" s="38">
        <f t="shared" si="9"/>
        <v>1</v>
      </c>
      <c r="F71" s="114"/>
      <c r="G71" s="113" t="s">
        <v>39</v>
      </c>
      <c r="H71" s="108" t="s">
        <v>455</v>
      </c>
      <c r="I71" s="108">
        <v>64271</v>
      </c>
      <c r="J71" s="108">
        <v>3383</v>
      </c>
      <c r="K71" s="108" t="s">
        <v>20</v>
      </c>
      <c r="L71" s="108">
        <v>1</v>
      </c>
      <c r="M71" s="114">
        <v>690300</v>
      </c>
      <c r="N71" s="114">
        <f t="shared" si="10"/>
        <v>690300</v>
      </c>
      <c r="P71" s="108">
        <f t="shared" si="11"/>
        <v>30</v>
      </c>
    </row>
    <row r="72" spans="1:16" ht="15" hidden="1" customHeight="1" x14ac:dyDescent="0.2">
      <c r="A72" s="108" t="s">
        <v>18</v>
      </c>
      <c r="B72" s="117" t="s">
        <v>543</v>
      </c>
      <c r="C72" s="113">
        <f t="shared" si="8"/>
        <v>366</v>
      </c>
      <c r="D72" s="38">
        <f t="shared" si="9"/>
        <v>1</v>
      </c>
      <c r="G72" s="113" t="s">
        <v>714</v>
      </c>
      <c r="H72" s="108" t="s">
        <v>891</v>
      </c>
      <c r="I72" s="108">
        <v>131</v>
      </c>
      <c r="J72" s="108">
        <v>5113</v>
      </c>
      <c r="K72" s="108" t="s">
        <v>20</v>
      </c>
      <c r="L72" s="108">
        <v>1</v>
      </c>
      <c r="M72" s="114">
        <v>16666667</v>
      </c>
      <c r="N72" s="114">
        <f t="shared" si="10"/>
        <v>16666667</v>
      </c>
      <c r="P72" s="108">
        <f t="shared" si="11"/>
        <v>139</v>
      </c>
    </row>
    <row r="73" spans="1:16" ht="15" hidden="1" customHeight="1" x14ac:dyDescent="0.2">
      <c r="A73" s="108" t="s">
        <v>18</v>
      </c>
      <c r="B73" s="117" t="s">
        <v>543</v>
      </c>
      <c r="C73" s="113">
        <f t="shared" si="8"/>
        <v>367</v>
      </c>
      <c r="D73" s="38">
        <f t="shared" si="9"/>
        <v>1</v>
      </c>
      <c r="F73" s="114"/>
      <c r="G73" s="113" t="s">
        <v>880</v>
      </c>
      <c r="H73" s="108" t="s">
        <v>890</v>
      </c>
      <c r="I73" s="108">
        <v>131</v>
      </c>
      <c r="J73" s="108">
        <v>5113</v>
      </c>
      <c r="K73" s="108" t="s">
        <v>20</v>
      </c>
      <c r="L73" s="108">
        <v>1</v>
      </c>
      <c r="M73" s="114">
        <v>17777778</v>
      </c>
      <c r="N73" s="115">
        <f t="shared" si="10"/>
        <v>17777778</v>
      </c>
      <c r="P73" s="108">
        <f t="shared" si="11"/>
        <v>151</v>
      </c>
    </row>
    <row r="74" spans="1:16" ht="15" customHeight="1" x14ac:dyDescent="0.2">
      <c r="A74" s="108" t="s">
        <v>18</v>
      </c>
      <c r="B74" s="117" t="s">
        <v>543</v>
      </c>
      <c r="C74" s="113">
        <f t="shared" si="8"/>
        <v>368</v>
      </c>
      <c r="D74" s="38">
        <f t="shared" si="9"/>
        <v>1</v>
      </c>
      <c r="G74" s="113" t="s">
        <v>714</v>
      </c>
      <c r="H74" s="108" t="s">
        <v>3593</v>
      </c>
      <c r="I74" s="108">
        <v>333821</v>
      </c>
      <c r="J74" s="108">
        <v>131</v>
      </c>
      <c r="K74" s="108" t="s">
        <v>20</v>
      </c>
      <c r="L74" s="108">
        <v>1</v>
      </c>
      <c r="M74" s="114">
        <v>166667</v>
      </c>
      <c r="N74" s="114">
        <f t="shared" si="10"/>
        <v>166667</v>
      </c>
      <c r="P74" s="108">
        <f t="shared" si="11"/>
        <v>155</v>
      </c>
    </row>
    <row r="75" spans="1:16" ht="15" customHeight="1" x14ac:dyDescent="0.2">
      <c r="A75" s="108" t="s">
        <v>18</v>
      </c>
      <c r="B75" s="117" t="s">
        <v>543</v>
      </c>
      <c r="C75" s="113">
        <f t="shared" si="8"/>
        <v>369</v>
      </c>
      <c r="D75" s="38">
        <f t="shared" si="9"/>
        <v>1</v>
      </c>
      <c r="G75" s="113" t="s">
        <v>880</v>
      </c>
      <c r="H75" s="108" t="s">
        <v>3594</v>
      </c>
      <c r="I75" s="108">
        <v>333821</v>
      </c>
      <c r="J75" s="108">
        <v>131</v>
      </c>
      <c r="K75" s="108" t="s">
        <v>20</v>
      </c>
      <c r="L75" s="108">
        <v>1</v>
      </c>
      <c r="M75" s="114">
        <v>177778</v>
      </c>
      <c r="N75" s="115">
        <f t="shared" si="10"/>
        <v>177778</v>
      </c>
      <c r="P75" s="108">
        <f t="shared" si="11"/>
        <v>167</v>
      </c>
    </row>
    <row r="76" spans="1:16" ht="15" hidden="1" customHeight="1" x14ac:dyDescent="0.2">
      <c r="A76" s="108" t="s">
        <v>18</v>
      </c>
      <c r="B76" s="117" t="s">
        <v>476</v>
      </c>
      <c r="C76" s="113">
        <f t="shared" si="8"/>
        <v>370</v>
      </c>
      <c r="D76" s="38">
        <f t="shared" si="9"/>
        <v>1</v>
      </c>
      <c r="F76" s="114"/>
      <c r="G76" s="113" t="s">
        <v>881</v>
      </c>
      <c r="H76" s="108" t="s">
        <v>892</v>
      </c>
      <c r="I76" s="108">
        <v>131</v>
      </c>
      <c r="J76" s="108">
        <v>5113</v>
      </c>
      <c r="K76" s="108" t="s">
        <v>20</v>
      </c>
      <c r="L76" s="108">
        <v>1</v>
      </c>
      <c r="M76" s="114">
        <v>17777778</v>
      </c>
      <c r="N76" s="114">
        <f t="shared" si="10"/>
        <v>17777778</v>
      </c>
      <c r="P76" s="108">
        <f t="shared" si="11"/>
        <v>139</v>
      </c>
    </row>
    <row r="77" spans="1:16" ht="15" customHeight="1" x14ac:dyDescent="0.2">
      <c r="A77" s="108" t="s">
        <v>18</v>
      </c>
      <c r="B77" s="117" t="s">
        <v>476</v>
      </c>
      <c r="C77" s="113">
        <f t="shared" si="8"/>
        <v>371</v>
      </c>
      <c r="D77" s="38">
        <f t="shared" si="9"/>
        <v>1</v>
      </c>
      <c r="G77" s="113" t="s">
        <v>881</v>
      </c>
      <c r="H77" s="108" t="s">
        <v>3595</v>
      </c>
      <c r="I77" s="108">
        <v>333821</v>
      </c>
      <c r="J77" s="108">
        <v>131</v>
      </c>
      <c r="K77" s="108" t="s">
        <v>20</v>
      </c>
      <c r="L77" s="108">
        <v>1</v>
      </c>
      <c r="M77" s="114">
        <v>177778</v>
      </c>
      <c r="N77" s="114">
        <f t="shared" si="10"/>
        <v>177778</v>
      </c>
      <c r="P77" s="108">
        <f t="shared" si="11"/>
        <v>155</v>
      </c>
    </row>
    <row r="78" spans="1:16" ht="15" hidden="1" customHeight="1" x14ac:dyDescent="0.2">
      <c r="A78" s="108" t="s">
        <v>18</v>
      </c>
      <c r="B78" s="117">
        <v>46081</v>
      </c>
      <c r="C78" s="113">
        <f t="shared" si="8"/>
        <v>372</v>
      </c>
      <c r="D78" s="38">
        <f t="shared" si="9"/>
        <v>1</v>
      </c>
      <c r="G78" s="113" t="s">
        <v>39</v>
      </c>
      <c r="H78" s="108" t="s">
        <v>456</v>
      </c>
      <c r="I78" s="108">
        <v>64271</v>
      </c>
      <c r="J78" s="108">
        <v>3383</v>
      </c>
      <c r="K78" s="108" t="s">
        <v>20</v>
      </c>
      <c r="L78" s="108">
        <v>1</v>
      </c>
      <c r="M78" s="114">
        <v>690300</v>
      </c>
      <c r="N78" s="114">
        <f t="shared" si="10"/>
        <v>690300</v>
      </c>
      <c r="P78" s="108">
        <f t="shared" si="11"/>
        <v>30</v>
      </c>
    </row>
    <row r="79" spans="1:16" ht="15" customHeight="1" x14ac:dyDescent="0.2">
      <c r="A79" s="108" t="s">
        <v>18</v>
      </c>
      <c r="B79" s="117" t="s">
        <v>504</v>
      </c>
      <c r="C79" s="113">
        <f t="shared" si="8"/>
        <v>373</v>
      </c>
      <c r="D79" s="38">
        <f t="shared" si="9"/>
        <v>1</v>
      </c>
      <c r="G79" s="113" t="s">
        <v>29</v>
      </c>
      <c r="H79" s="108" t="s">
        <v>3596</v>
      </c>
      <c r="I79" s="108">
        <v>333821</v>
      </c>
      <c r="J79" s="108">
        <v>131</v>
      </c>
      <c r="K79" s="108" t="s">
        <v>20</v>
      </c>
      <c r="L79" s="108">
        <v>1</v>
      </c>
      <c r="M79" s="114">
        <v>55556</v>
      </c>
      <c r="N79" s="114">
        <f t="shared" si="10"/>
        <v>55556</v>
      </c>
      <c r="P79" s="108">
        <f t="shared" si="11"/>
        <v>153</v>
      </c>
    </row>
    <row r="80" spans="1:16" ht="15" hidden="1" customHeight="1" x14ac:dyDescent="0.2">
      <c r="A80" s="108" t="s">
        <v>18</v>
      </c>
      <c r="B80" s="117" t="s">
        <v>504</v>
      </c>
      <c r="C80" s="113">
        <f t="shared" si="8"/>
        <v>374</v>
      </c>
      <c r="D80" s="38">
        <f t="shared" si="9"/>
        <v>1</v>
      </c>
      <c r="G80" s="113" t="s">
        <v>29</v>
      </c>
      <c r="H80" s="108" t="s">
        <v>893</v>
      </c>
      <c r="I80" s="108">
        <v>131</v>
      </c>
      <c r="J80" s="108">
        <v>5113</v>
      </c>
      <c r="K80" s="108" t="s">
        <v>20</v>
      </c>
      <c r="L80" s="108">
        <v>1</v>
      </c>
      <c r="M80" s="114">
        <v>5555556</v>
      </c>
      <c r="N80" s="114">
        <f t="shared" si="10"/>
        <v>5555556</v>
      </c>
      <c r="P80" s="108">
        <f t="shared" si="11"/>
        <v>137</v>
      </c>
    </row>
    <row r="81" spans="1:16" ht="15" hidden="1" customHeight="1" x14ac:dyDescent="0.2">
      <c r="A81" s="108" t="s">
        <v>18</v>
      </c>
      <c r="B81" s="117" t="s">
        <v>552</v>
      </c>
      <c r="C81" s="113">
        <f t="shared" si="8"/>
        <v>375</v>
      </c>
      <c r="D81" s="38">
        <f t="shared" si="9"/>
        <v>1</v>
      </c>
      <c r="G81" s="113" t="s">
        <v>19</v>
      </c>
      <c r="H81" s="108" t="s">
        <v>908</v>
      </c>
      <c r="I81" s="108">
        <v>64277</v>
      </c>
      <c r="J81" s="108">
        <v>331</v>
      </c>
      <c r="K81" s="108" t="s">
        <v>20</v>
      </c>
      <c r="L81" s="108">
        <v>1</v>
      </c>
      <c r="M81" s="114">
        <v>57000</v>
      </c>
      <c r="N81" s="114">
        <f t="shared" si="10"/>
        <v>57000</v>
      </c>
      <c r="P81" s="108">
        <f t="shared" si="11"/>
        <v>126</v>
      </c>
    </row>
    <row r="82" spans="1:16" ht="15" hidden="1" customHeight="1" x14ac:dyDescent="0.2">
      <c r="A82" s="108" t="s">
        <v>18</v>
      </c>
      <c r="B82" s="117" t="s">
        <v>552</v>
      </c>
      <c r="C82" s="113">
        <f t="shared" si="8"/>
        <v>375</v>
      </c>
      <c r="D82" s="38">
        <f t="shared" si="9"/>
        <v>0</v>
      </c>
      <c r="G82" s="113" t="s">
        <v>19</v>
      </c>
      <c r="H82" s="108" t="s">
        <v>908</v>
      </c>
      <c r="I82" s="108">
        <v>1331</v>
      </c>
      <c r="J82" s="108">
        <v>331</v>
      </c>
      <c r="K82" s="108" t="s">
        <v>20</v>
      </c>
      <c r="L82" s="108">
        <v>1</v>
      </c>
      <c r="M82" s="114">
        <v>4222</v>
      </c>
      <c r="N82" s="114">
        <f t="shared" si="10"/>
        <v>4222</v>
      </c>
      <c r="P82" s="108">
        <f t="shared" si="11"/>
        <v>126</v>
      </c>
    </row>
    <row r="83" spans="1:16" ht="15" hidden="1" customHeight="1" x14ac:dyDescent="0.2">
      <c r="A83" s="108" t="s">
        <v>18</v>
      </c>
      <c r="B83" s="117" t="s">
        <v>555</v>
      </c>
      <c r="C83" s="113">
        <f t="shared" si="8"/>
        <v>376</v>
      </c>
      <c r="D83" s="38">
        <f t="shared" si="9"/>
        <v>1</v>
      </c>
      <c r="F83" s="114"/>
      <c r="G83" s="113" t="s">
        <v>35</v>
      </c>
      <c r="H83" s="108" t="s">
        <v>909</v>
      </c>
      <c r="I83" s="108">
        <v>64277</v>
      </c>
      <c r="J83" s="108">
        <v>331</v>
      </c>
      <c r="K83" s="108" t="s">
        <v>20</v>
      </c>
      <c r="L83" s="108">
        <v>1</v>
      </c>
      <c r="M83" s="114">
        <v>2700000</v>
      </c>
      <c r="N83" s="114">
        <f t="shared" si="10"/>
        <v>2700000</v>
      </c>
      <c r="P83" s="108">
        <f t="shared" si="11"/>
        <v>41</v>
      </c>
    </row>
    <row r="84" spans="1:16" ht="15" hidden="1" customHeight="1" x14ac:dyDescent="0.2">
      <c r="A84" s="108" t="s">
        <v>18</v>
      </c>
      <c r="B84" s="117" t="s">
        <v>555</v>
      </c>
      <c r="C84" s="113">
        <f t="shared" si="8"/>
        <v>376</v>
      </c>
      <c r="D84" s="38">
        <f t="shared" si="9"/>
        <v>0</v>
      </c>
      <c r="G84" s="113" t="s">
        <v>35</v>
      </c>
      <c r="H84" s="108" t="s">
        <v>909</v>
      </c>
      <c r="I84" s="108">
        <v>1331</v>
      </c>
      <c r="J84" s="108">
        <v>331</v>
      </c>
      <c r="K84" s="108" t="s">
        <v>20</v>
      </c>
      <c r="L84" s="108">
        <v>1</v>
      </c>
      <c r="M84" s="114">
        <v>216000</v>
      </c>
      <c r="N84" s="114">
        <f t="shared" si="10"/>
        <v>216000</v>
      </c>
      <c r="P84" s="108">
        <f t="shared" si="11"/>
        <v>41</v>
      </c>
    </row>
    <row r="85" spans="1:16" ht="15" hidden="1" customHeight="1" x14ac:dyDescent="0.2">
      <c r="A85" s="108" t="s">
        <v>18</v>
      </c>
      <c r="B85" s="117" t="s">
        <v>480</v>
      </c>
      <c r="C85" s="113">
        <f t="shared" si="8"/>
        <v>377</v>
      </c>
      <c r="D85" s="38">
        <f t="shared" si="9"/>
        <v>1</v>
      </c>
      <c r="G85" s="113" t="s">
        <v>900</v>
      </c>
      <c r="H85" s="108" t="s">
        <v>3628</v>
      </c>
      <c r="I85" s="108">
        <v>64277</v>
      </c>
      <c r="J85" s="108">
        <v>331</v>
      </c>
      <c r="K85" s="108" t="s">
        <v>20</v>
      </c>
      <c r="L85" s="108">
        <v>1</v>
      </c>
      <c r="M85" s="114">
        <v>9381000</v>
      </c>
      <c r="N85" s="114">
        <f t="shared" si="10"/>
        <v>9381000</v>
      </c>
      <c r="P85" s="108">
        <f t="shared" si="11"/>
        <v>41</v>
      </c>
    </row>
    <row r="86" spans="1:16" ht="15" hidden="1" customHeight="1" x14ac:dyDescent="0.2">
      <c r="A86" s="108" t="s">
        <v>18</v>
      </c>
      <c r="B86" s="117" t="s">
        <v>480</v>
      </c>
      <c r="C86" s="113">
        <f t="shared" si="8"/>
        <v>377</v>
      </c>
      <c r="D86" s="38">
        <f t="shared" si="9"/>
        <v>0</v>
      </c>
      <c r="G86" s="113" t="s">
        <v>900</v>
      </c>
      <c r="H86" s="108" t="s">
        <v>3628</v>
      </c>
      <c r="I86" s="108">
        <v>1331</v>
      </c>
      <c r="J86" s="108">
        <v>331</v>
      </c>
      <c r="K86" s="108" t="s">
        <v>20</v>
      </c>
      <c r="L86" s="108">
        <v>1</v>
      </c>
      <c r="M86" s="114">
        <v>773820</v>
      </c>
      <c r="N86" s="114">
        <f t="shared" si="10"/>
        <v>773820</v>
      </c>
      <c r="P86" s="108">
        <f t="shared" si="11"/>
        <v>41</v>
      </c>
    </row>
    <row r="87" spans="1:16" ht="15" hidden="1" customHeight="1" x14ac:dyDescent="0.2">
      <c r="A87" s="108" t="s">
        <v>18</v>
      </c>
      <c r="B87" s="117" t="s">
        <v>480</v>
      </c>
      <c r="C87" s="113">
        <f t="shared" si="8"/>
        <v>378</v>
      </c>
      <c r="D87" s="38">
        <f t="shared" si="9"/>
        <v>1</v>
      </c>
      <c r="F87" s="114"/>
      <c r="G87" s="113" t="s">
        <v>51</v>
      </c>
      <c r="H87" s="108" t="s">
        <v>894</v>
      </c>
      <c r="I87" s="108">
        <v>131</v>
      </c>
      <c r="J87" s="108">
        <v>5113</v>
      </c>
      <c r="K87" s="108" t="s">
        <v>20</v>
      </c>
      <c r="L87" s="108">
        <v>1</v>
      </c>
      <c r="M87" s="114">
        <v>7222222</v>
      </c>
      <c r="N87" s="114">
        <f t="shared" si="10"/>
        <v>7222222</v>
      </c>
      <c r="P87" s="108">
        <f t="shared" si="11"/>
        <v>113</v>
      </c>
    </row>
    <row r="88" spans="1:16" ht="15" customHeight="1" x14ac:dyDescent="0.2">
      <c r="A88" s="108" t="s">
        <v>18</v>
      </c>
      <c r="B88" s="117" t="s">
        <v>480</v>
      </c>
      <c r="C88" s="113">
        <f t="shared" si="8"/>
        <v>379</v>
      </c>
      <c r="D88" s="38">
        <f t="shared" si="9"/>
        <v>1</v>
      </c>
      <c r="G88" s="113" t="s">
        <v>51</v>
      </c>
      <c r="H88" s="108" t="s">
        <v>3597</v>
      </c>
      <c r="I88" s="108">
        <v>333821</v>
      </c>
      <c r="J88" s="108">
        <v>131</v>
      </c>
      <c r="K88" s="108" t="s">
        <v>20</v>
      </c>
      <c r="L88" s="108">
        <v>1</v>
      </c>
      <c r="M88" s="114">
        <v>0</v>
      </c>
      <c r="N88" s="115">
        <f t="shared" si="10"/>
        <v>0</v>
      </c>
      <c r="P88" s="108">
        <f t="shared" si="11"/>
        <v>129</v>
      </c>
    </row>
    <row r="89" spans="1:16" ht="15" hidden="1" customHeight="1" x14ac:dyDescent="0.2">
      <c r="A89" s="108" t="s">
        <v>18</v>
      </c>
      <c r="B89" s="117" t="s">
        <v>664</v>
      </c>
      <c r="C89" s="113">
        <f t="shared" si="8"/>
        <v>380</v>
      </c>
      <c r="D89" s="38">
        <f t="shared" si="9"/>
        <v>1</v>
      </c>
      <c r="G89" s="113" t="s">
        <v>254</v>
      </c>
      <c r="H89" s="108" t="s">
        <v>895</v>
      </c>
      <c r="I89" s="108">
        <v>131</v>
      </c>
      <c r="J89" s="108">
        <v>5113</v>
      </c>
      <c r="K89" s="108" t="s">
        <v>20</v>
      </c>
      <c r="L89" s="108">
        <v>1</v>
      </c>
      <c r="M89" s="114">
        <v>10101010</v>
      </c>
      <c r="N89" s="114">
        <f t="shared" si="10"/>
        <v>10101010</v>
      </c>
      <c r="P89" s="108">
        <f t="shared" si="11"/>
        <v>122</v>
      </c>
    </row>
    <row r="90" spans="1:16" ht="15" hidden="1" customHeight="1" x14ac:dyDescent="0.2">
      <c r="A90" s="108" t="s">
        <v>18</v>
      </c>
      <c r="B90" s="117" t="s">
        <v>664</v>
      </c>
      <c r="C90" s="113">
        <f t="shared" si="8"/>
        <v>381</v>
      </c>
      <c r="D90" s="38">
        <f t="shared" si="9"/>
        <v>1</v>
      </c>
      <c r="F90" s="114"/>
      <c r="G90" s="113" t="s">
        <v>882</v>
      </c>
      <c r="H90" s="108" t="s">
        <v>896</v>
      </c>
      <c r="I90" s="108">
        <v>131</v>
      </c>
      <c r="J90" s="108">
        <v>5113</v>
      </c>
      <c r="K90" s="108" t="s">
        <v>20</v>
      </c>
      <c r="L90" s="108">
        <v>1</v>
      </c>
      <c r="M90" s="114">
        <v>16666667</v>
      </c>
      <c r="N90" s="115">
        <f t="shared" si="10"/>
        <v>16666667</v>
      </c>
      <c r="P90" s="108">
        <f t="shared" si="11"/>
        <v>147</v>
      </c>
    </row>
    <row r="91" spans="1:16" ht="15" customHeight="1" x14ac:dyDescent="0.2">
      <c r="A91" s="108" t="s">
        <v>18</v>
      </c>
      <c r="B91" s="117" t="s">
        <v>664</v>
      </c>
      <c r="C91" s="113">
        <f t="shared" si="8"/>
        <v>382</v>
      </c>
      <c r="D91" s="38">
        <f t="shared" si="9"/>
        <v>1</v>
      </c>
      <c r="G91" s="113" t="s">
        <v>254</v>
      </c>
      <c r="H91" s="108" t="s">
        <v>3598</v>
      </c>
      <c r="I91" s="108">
        <v>333821</v>
      </c>
      <c r="J91" s="108">
        <v>131</v>
      </c>
      <c r="K91" s="108" t="s">
        <v>20</v>
      </c>
      <c r="L91" s="108">
        <v>1</v>
      </c>
      <c r="M91" s="114">
        <v>101010</v>
      </c>
      <c r="N91" s="114">
        <f t="shared" si="10"/>
        <v>101010</v>
      </c>
      <c r="P91" s="108">
        <f t="shared" si="11"/>
        <v>138</v>
      </c>
    </row>
    <row r="92" spans="1:16" ht="15" customHeight="1" x14ac:dyDescent="0.2">
      <c r="A92" s="108" t="s">
        <v>18</v>
      </c>
      <c r="B92" s="117" t="s">
        <v>664</v>
      </c>
      <c r="C92" s="113">
        <f t="shared" si="8"/>
        <v>383</v>
      </c>
      <c r="D92" s="38">
        <f t="shared" si="9"/>
        <v>1</v>
      </c>
      <c r="G92" s="113" t="s">
        <v>882</v>
      </c>
      <c r="H92" s="108" t="s">
        <v>3599</v>
      </c>
      <c r="I92" s="108">
        <v>333821</v>
      </c>
      <c r="J92" s="108">
        <v>131</v>
      </c>
      <c r="K92" s="108" t="s">
        <v>20</v>
      </c>
      <c r="L92" s="108">
        <v>1</v>
      </c>
      <c r="M92" s="114">
        <v>166667</v>
      </c>
      <c r="N92" s="114">
        <f t="shared" si="10"/>
        <v>166667</v>
      </c>
      <c r="P92" s="108">
        <f t="shared" si="11"/>
        <v>163</v>
      </c>
    </row>
    <row r="93" spans="1:16" ht="15" customHeight="1" x14ac:dyDescent="0.2">
      <c r="A93" s="108" t="s">
        <v>18</v>
      </c>
      <c r="B93" s="117" t="s">
        <v>560</v>
      </c>
      <c r="C93" s="113">
        <f t="shared" si="8"/>
        <v>384</v>
      </c>
      <c r="D93" s="38">
        <f t="shared" si="9"/>
        <v>1</v>
      </c>
      <c r="G93" s="113" t="s">
        <v>29</v>
      </c>
      <c r="H93" s="108" t="s">
        <v>3600</v>
      </c>
      <c r="I93" s="108">
        <v>333821</v>
      </c>
      <c r="J93" s="108">
        <v>131</v>
      </c>
      <c r="K93" s="108" t="s">
        <v>20</v>
      </c>
      <c r="L93" s="108">
        <v>1</v>
      </c>
      <c r="M93" s="114">
        <v>333333</v>
      </c>
      <c r="N93" s="114">
        <f t="shared" si="10"/>
        <v>333333</v>
      </c>
      <c r="P93" s="108">
        <f t="shared" si="11"/>
        <v>150</v>
      </c>
    </row>
    <row r="94" spans="1:16" ht="15" customHeight="1" x14ac:dyDescent="0.2">
      <c r="A94" s="108" t="s">
        <v>18</v>
      </c>
      <c r="B94" s="117" t="s">
        <v>560</v>
      </c>
      <c r="C94" s="113">
        <f t="shared" si="8"/>
        <v>385</v>
      </c>
      <c r="D94" s="38">
        <f t="shared" si="9"/>
        <v>1</v>
      </c>
      <c r="G94" s="113" t="s">
        <v>29</v>
      </c>
      <c r="H94" s="108" t="s">
        <v>3601</v>
      </c>
      <c r="I94" s="108">
        <v>333821</v>
      </c>
      <c r="J94" s="108">
        <v>131</v>
      </c>
      <c r="K94" s="108" t="s">
        <v>20</v>
      </c>
      <c r="L94" s="108">
        <v>1</v>
      </c>
      <c r="M94" s="114">
        <v>222222</v>
      </c>
      <c r="N94" s="114">
        <f t="shared" si="10"/>
        <v>222222</v>
      </c>
      <c r="P94" s="108">
        <f t="shared" si="11"/>
        <v>147</v>
      </c>
    </row>
    <row r="95" spans="1:16" ht="15" hidden="1" customHeight="1" x14ac:dyDescent="0.2">
      <c r="A95" s="108" t="s">
        <v>18</v>
      </c>
      <c r="B95" s="117" t="s">
        <v>560</v>
      </c>
      <c r="C95" s="113">
        <f t="shared" si="8"/>
        <v>386</v>
      </c>
      <c r="D95" s="38">
        <f t="shared" si="9"/>
        <v>1</v>
      </c>
      <c r="G95" s="113" t="s">
        <v>29</v>
      </c>
      <c r="H95" s="108" t="s">
        <v>897</v>
      </c>
      <c r="I95" s="108">
        <v>131</v>
      </c>
      <c r="J95" s="108">
        <v>5113</v>
      </c>
      <c r="K95" s="108" t="s">
        <v>20</v>
      </c>
      <c r="L95" s="108">
        <v>1</v>
      </c>
      <c r="M95" s="114">
        <v>33333333</v>
      </c>
      <c r="N95" s="114">
        <f t="shared" si="10"/>
        <v>33333333</v>
      </c>
      <c r="P95" s="108">
        <f t="shared" si="11"/>
        <v>134</v>
      </c>
    </row>
    <row r="96" spans="1:16" ht="15" hidden="1" customHeight="1" x14ac:dyDescent="0.2">
      <c r="A96" s="108" t="s">
        <v>18</v>
      </c>
      <c r="B96" s="117" t="s">
        <v>560</v>
      </c>
      <c r="C96" s="113">
        <f t="shared" si="8"/>
        <v>387</v>
      </c>
      <c r="D96" s="38">
        <f t="shared" si="9"/>
        <v>1</v>
      </c>
      <c r="F96" s="114"/>
      <c r="G96" s="113" t="s">
        <v>29</v>
      </c>
      <c r="H96" s="108" t="s">
        <v>898</v>
      </c>
      <c r="I96" s="108">
        <v>131</v>
      </c>
      <c r="J96" s="108">
        <v>5113</v>
      </c>
      <c r="K96" s="108" t="s">
        <v>20</v>
      </c>
      <c r="L96" s="108">
        <v>1</v>
      </c>
      <c r="M96" s="114">
        <v>22222222</v>
      </c>
      <c r="N96" s="115">
        <f t="shared" si="10"/>
        <v>22222222</v>
      </c>
      <c r="P96" s="108">
        <f t="shared" si="11"/>
        <v>131</v>
      </c>
    </row>
    <row r="97" spans="1:16" ht="15" hidden="1" customHeight="1" x14ac:dyDescent="0.2">
      <c r="A97" s="108" t="s">
        <v>18</v>
      </c>
      <c r="B97" s="117">
        <v>46112</v>
      </c>
      <c r="C97" s="113">
        <f t="shared" si="8"/>
        <v>388</v>
      </c>
      <c r="D97" s="38">
        <f t="shared" si="9"/>
        <v>1</v>
      </c>
      <c r="F97" s="114"/>
      <c r="G97" s="113" t="s">
        <v>39</v>
      </c>
      <c r="H97" s="108" t="s">
        <v>457</v>
      </c>
      <c r="I97" s="108">
        <v>64271</v>
      </c>
      <c r="J97" s="108">
        <v>3383</v>
      </c>
      <c r="K97" s="108" t="s">
        <v>20</v>
      </c>
      <c r="L97" s="108">
        <v>1</v>
      </c>
      <c r="M97" s="114">
        <v>690300</v>
      </c>
      <c r="N97" s="114">
        <f t="shared" si="10"/>
        <v>690300</v>
      </c>
      <c r="P97" s="108">
        <f t="shared" si="11"/>
        <v>30</v>
      </c>
    </row>
    <row r="98" spans="1:16" ht="15" hidden="1" customHeight="1" x14ac:dyDescent="0.2">
      <c r="A98" s="108" t="s">
        <v>308</v>
      </c>
      <c r="B98" s="117">
        <v>46024</v>
      </c>
      <c r="C98" s="113">
        <f t="shared" ref="C98:C113" si="12">C97+D98</f>
        <v>389</v>
      </c>
      <c r="D98" s="38">
        <f t="shared" ref="D98:D113" si="13">IF(H98=H97,0,1)</f>
        <v>1</v>
      </c>
      <c r="F98" s="114"/>
      <c r="G98" s="113" t="s">
        <v>48</v>
      </c>
      <c r="H98" s="108" t="s">
        <v>3032</v>
      </c>
      <c r="I98" s="108">
        <v>1111</v>
      </c>
      <c r="J98" s="108">
        <v>112111</v>
      </c>
      <c r="K98" s="108" t="s">
        <v>20</v>
      </c>
      <c r="L98" s="108">
        <v>1</v>
      </c>
      <c r="M98" s="114">
        <v>7000000</v>
      </c>
      <c r="N98" s="114">
        <f t="shared" si="10"/>
        <v>7000000</v>
      </c>
      <c r="P98" s="108">
        <f t="shared" si="11"/>
        <v>40</v>
      </c>
    </row>
    <row r="99" spans="1:16" ht="15" hidden="1" customHeight="1" x14ac:dyDescent="0.2">
      <c r="A99" s="108" t="s">
        <v>308</v>
      </c>
      <c r="B99" s="117">
        <v>46048</v>
      </c>
      <c r="C99" s="113">
        <f t="shared" si="12"/>
        <v>390</v>
      </c>
      <c r="D99" s="38">
        <f t="shared" si="13"/>
        <v>1</v>
      </c>
      <c r="F99" s="114"/>
      <c r="G99" s="113" t="s">
        <v>2629</v>
      </c>
      <c r="H99" s="108" t="s">
        <v>3368</v>
      </c>
      <c r="I99" s="108">
        <v>333821</v>
      </c>
      <c r="J99" s="108">
        <v>112111</v>
      </c>
      <c r="K99" s="108" t="s">
        <v>20</v>
      </c>
      <c r="L99" s="108">
        <v>1</v>
      </c>
      <c r="M99" s="114">
        <v>31859840</v>
      </c>
      <c r="N99" s="114">
        <f t="shared" si="10"/>
        <v>31859840</v>
      </c>
      <c r="P99" s="108">
        <f t="shared" si="11"/>
        <v>27</v>
      </c>
    </row>
    <row r="100" spans="1:16" ht="15" hidden="1" customHeight="1" x14ac:dyDescent="0.2">
      <c r="A100" s="108" t="s">
        <v>308</v>
      </c>
      <c r="B100" s="117">
        <v>46048</v>
      </c>
      <c r="C100" s="113">
        <f t="shared" si="12"/>
        <v>390</v>
      </c>
      <c r="D100" s="38">
        <f t="shared" si="13"/>
        <v>0</v>
      </c>
      <c r="F100" s="114"/>
      <c r="G100" s="113" t="s">
        <v>2629</v>
      </c>
      <c r="H100" s="108" t="s">
        <v>3368</v>
      </c>
      <c r="I100" s="108">
        <v>8118</v>
      </c>
      <c r="J100" s="108">
        <v>112111</v>
      </c>
      <c r="K100" s="108" t="s">
        <v>20</v>
      </c>
      <c r="L100" s="108">
        <v>1</v>
      </c>
      <c r="M100" s="114">
        <v>50200</v>
      </c>
      <c r="N100" s="114">
        <f t="shared" si="10"/>
        <v>50200</v>
      </c>
      <c r="P100" s="108">
        <f t="shared" si="11"/>
        <v>27</v>
      </c>
    </row>
    <row r="101" spans="1:16" ht="15" hidden="1" customHeight="1" x14ac:dyDescent="0.2">
      <c r="A101" s="108" t="s">
        <v>308</v>
      </c>
      <c r="B101" s="117">
        <v>46048</v>
      </c>
      <c r="C101" s="113">
        <f t="shared" si="12"/>
        <v>391</v>
      </c>
      <c r="D101" s="38">
        <f t="shared" si="13"/>
        <v>1</v>
      </c>
      <c r="F101" s="114"/>
      <c r="G101" s="113" t="s">
        <v>2629</v>
      </c>
      <c r="H101" s="108" t="s">
        <v>3880</v>
      </c>
      <c r="I101" s="108">
        <v>8118</v>
      </c>
      <c r="J101" s="108">
        <v>112111</v>
      </c>
      <c r="K101" s="108" t="s">
        <v>20</v>
      </c>
      <c r="L101" s="108">
        <v>1</v>
      </c>
      <c r="M101" s="114">
        <v>19729</v>
      </c>
      <c r="N101" s="114">
        <f t="shared" si="10"/>
        <v>19729</v>
      </c>
      <c r="P101" s="108">
        <f t="shared" si="11"/>
        <v>39</v>
      </c>
    </row>
    <row r="102" spans="1:16" ht="15" hidden="1" customHeight="1" x14ac:dyDescent="0.2">
      <c r="A102" s="108" t="s">
        <v>308</v>
      </c>
      <c r="B102" s="117">
        <v>46048</v>
      </c>
      <c r="C102" s="113">
        <f t="shared" si="12"/>
        <v>391</v>
      </c>
      <c r="D102" s="38">
        <f t="shared" si="13"/>
        <v>0</v>
      </c>
      <c r="F102" s="114"/>
      <c r="G102" s="113" t="s">
        <v>2629</v>
      </c>
      <c r="H102" s="108" t="s">
        <v>3880</v>
      </c>
      <c r="I102" s="108">
        <v>333822</v>
      </c>
      <c r="J102" s="108">
        <v>112111</v>
      </c>
      <c r="K102" s="108" t="s">
        <v>20</v>
      </c>
      <c r="L102" s="108">
        <v>1</v>
      </c>
      <c r="M102" s="114">
        <v>675474</v>
      </c>
      <c r="N102" s="114">
        <f t="shared" si="10"/>
        <v>675474</v>
      </c>
      <c r="P102" s="108">
        <f t="shared" si="11"/>
        <v>39</v>
      </c>
    </row>
    <row r="103" spans="1:16" ht="15" hidden="1" customHeight="1" x14ac:dyDescent="0.2">
      <c r="A103" s="108" t="s">
        <v>308</v>
      </c>
      <c r="B103" s="117">
        <v>46048</v>
      </c>
      <c r="C103" s="113">
        <f t="shared" si="12"/>
        <v>392</v>
      </c>
      <c r="D103" s="38">
        <f t="shared" si="13"/>
        <v>1</v>
      </c>
      <c r="F103" s="114"/>
      <c r="G103" s="113" t="s">
        <v>2629</v>
      </c>
      <c r="H103" s="108" t="s">
        <v>3368</v>
      </c>
      <c r="I103" s="108">
        <v>333821</v>
      </c>
      <c r="J103" s="108">
        <v>112111</v>
      </c>
      <c r="K103" s="108" t="s">
        <v>20</v>
      </c>
      <c r="L103" s="108">
        <v>1</v>
      </c>
      <c r="M103" s="114">
        <v>5219013</v>
      </c>
      <c r="N103" s="114">
        <f t="shared" si="10"/>
        <v>5219013</v>
      </c>
      <c r="P103" s="108">
        <f t="shared" si="11"/>
        <v>27</v>
      </c>
    </row>
    <row r="104" spans="1:16" ht="15" hidden="1" customHeight="1" x14ac:dyDescent="0.2">
      <c r="A104" s="108" t="s">
        <v>309</v>
      </c>
      <c r="B104" s="117">
        <v>46048</v>
      </c>
      <c r="C104" s="113">
        <f t="shared" si="12"/>
        <v>393</v>
      </c>
      <c r="D104" s="38">
        <f t="shared" si="13"/>
        <v>1</v>
      </c>
      <c r="F104" s="114"/>
      <c r="G104" s="113" t="s">
        <v>311</v>
      </c>
      <c r="H104" s="108" t="s">
        <v>3499</v>
      </c>
      <c r="I104" s="108">
        <v>112111</v>
      </c>
      <c r="J104" s="108">
        <v>131</v>
      </c>
      <c r="K104" s="108" t="s">
        <v>20</v>
      </c>
      <c r="L104" s="108">
        <v>1</v>
      </c>
      <c r="M104" s="114">
        <v>13440723</v>
      </c>
      <c r="N104" s="114">
        <f t="shared" si="10"/>
        <v>13440723</v>
      </c>
      <c r="P104" s="108">
        <f t="shared" si="11"/>
        <v>48</v>
      </c>
    </row>
    <row r="105" spans="1:16" ht="15" hidden="1" customHeight="1" x14ac:dyDescent="0.2">
      <c r="A105" s="108" t="s">
        <v>309</v>
      </c>
      <c r="B105" s="117">
        <v>46048</v>
      </c>
      <c r="C105" s="113">
        <f t="shared" si="12"/>
        <v>394</v>
      </c>
      <c r="D105" s="38">
        <f t="shared" si="13"/>
        <v>1</v>
      </c>
      <c r="F105" s="114"/>
      <c r="G105" s="113" t="s">
        <v>48</v>
      </c>
      <c r="H105" s="108" t="s">
        <v>2660</v>
      </c>
      <c r="I105" s="108">
        <v>112111</v>
      </c>
      <c r="J105" s="108">
        <v>1111</v>
      </c>
      <c r="K105" s="108" t="s">
        <v>20</v>
      </c>
      <c r="L105" s="108">
        <v>1</v>
      </c>
      <c r="M105" s="114">
        <v>38000000</v>
      </c>
      <c r="N105" s="114">
        <f t="shared" si="10"/>
        <v>38000000</v>
      </c>
      <c r="P105" s="108">
        <f t="shared" si="11"/>
        <v>26</v>
      </c>
    </row>
    <row r="106" spans="1:16" ht="15" hidden="1" customHeight="1" x14ac:dyDescent="0.2">
      <c r="A106" s="108" t="s">
        <v>309</v>
      </c>
      <c r="B106" s="117">
        <v>46054</v>
      </c>
      <c r="C106" s="113">
        <f t="shared" si="12"/>
        <v>395</v>
      </c>
      <c r="D106" s="38">
        <f t="shared" si="13"/>
        <v>1</v>
      </c>
      <c r="F106" s="114"/>
      <c r="G106" s="113" t="s">
        <v>48</v>
      </c>
      <c r="H106" s="108" t="s">
        <v>3561</v>
      </c>
      <c r="I106" s="108">
        <v>112111</v>
      </c>
      <c r="J106" s="108">
        <v>5154</v>
      </c>
      <c r="K106" s="108" t="s">
        <v>20</v>
      </c>
      <c r="L106" s="108">
        <v>1</v>
      </c>
      <c r="M106" s="114">
        <v>708</v>
      </c>
      <c r="N106" s="114">
        <f t="shared" si="10"/>
        <v>708</v>
      </c>
      <c r="P106" s="108">
        <f t="shared" si="11"/>
        <v>22</v>
      </c>
    </row>
    <row r="107" spans="1:16" ht="15" hidden="1" customHeight="1" x14ac:dyDescent="0.2">
      <c r="A107" s="108" t="s">
        <v>308</v>
      </c>
      <c r="B107" s="117">
        <v>46078</v>
      </c>
      <c r="C107" s="113">
        <f t="shared" si="12"/>
        <v>396</v>
      </c>
      <c r="D107" s="38">
        <f t="shared" si="13"/>
        <v>1</v>
      </c>
      <c r="F107" s="114"/>
      <c r="G107" s="113" t="s">
        <v>48</v>
      </c>
      <c r="H107" s="108" t="s">
        <v>2612</v>
      </c>
      <c r="I107" s="108">
        <v>3383</v>
      </c>
      <c r="J107" s="108">
        <v>112111</v>
      </c>
      <c r="K107" s="108" t="s">
        <v>20</v>
      </c>
      <c r="L107" s="108">
        <v>1</v>
      </c>
      <c r="M107" s="114">
        <v>2100000</v>
      </c>
      <c r="N107" s="114">
        <f t="shared" si="10"/>
        <v>2100000</v>
      </c>
      <c r="P107" s="108">
        <f t="shared" si="11"/>
        <v>8</v>
      </c>
    </row>
    <row r="108" spans="1:16" ht="15" hidden="1" customHeight="1" x14ac:dyDescent="0.2">
      <c r="A108" s="108" t="s">
        <v>309</v>
      </c>
      <c r="B108" s="117">
        <v>46082</v>
      </c>
      <c r="C108" s="113">
        <f t="shared" si="12"/>
        <v>397</v>
      </c>
      <c r="D108" s="38">
        <f t="shared" si="13"/>
        <v>1</v>
      </c>
      <c r="F108" s="114"/>
      <c r="G108" s="113" t="s">
        <v>48</v>
      </c>
      <c r="H108" s="108" t="s">
        <v>3561</v>
      </c>
      <c r="I108" s="108">
        <v>112111</v>
      </c>
      <c r="J108" s="108">
        <v>5154</v>
      </c>
      <c r="K108" s="108" t="s">
        <v>20</v>
      </c>
      <c r="L108" s="108">
        <v>1</v>
      </c>
      <c r="M108" s="114">
        <v>743</v>
      </c>
      <c r="N108" s="114">
        <f t="shared" si="10"/>
        <v>743</v>
      </c>
      <c r="P108" s="108">
        <f t="shared" si="11"/>
        <v>22</v>
      </c>
    </row>
    <row r="109" spans="1:16" ht="15" hidden="1" customHeight="1" x14ac:dyDescent="0.2">
      <c r="A109" s="108" t="s">
        <v>308</v>
      </c>
      <c r="B109" s="117">
        <v>46084</v>
      </c>
      <c r="C109" s="113">
        <f t="shared" si="12"/>
        <v>398</v>
      </c>
      <c r="D109" s="38">
        <f t="shared" si="13"/>
        <v>1</v>
      </c>
      <c r="F109" s="114"/>
      <c r="G109" s="113" t="s">
        <v>48</v>
      </c>
      <c r="H109" s="108" t="s">
        <v>3032</v>
      </c>
      <c r="I109" s="108">
        <v>1111</v>
      </c>
      <c r="J109" s="108">
        <v>112111</v>
      </c>
      <c r="K109" s="108" t="s">
        <v>20</v>
      </c>
      <c r="L109" s="108">
        <v>1</v>
      </c>
      <c r="M109" s="114">
        <v>10000000</v>
      </c>
      <c r="N109" s="114">
        <f t="shared" si="10"/>
        <v>10000000</v>
      </c>
      <c r="P109" s="108">
        <f t="shared" si="11"/>
        <v>40</v>
      </c>
    </row>
    <row r="110" spans="1:16" ht="15" hidden="1" customHeight="1" x14ac:dyDescent="0.2">
      <c r="A110" s="108" t="s">
        <v>308</v>
      </c>
      <c r="B110" s="117">
        <v>46090</v>
      </c>
      <c r="C110" s="113">
        <f t="shared" si="12"/>
        <v>399</v>
      </c>
      <c r="D110" s="38">
        <f t="shared" si="13"/>
        <v>1</v>
      </c>
      <c r="F110" s="114"/>
      <c r="G110" s="113" t="s">
        <v>2629</v>
      </c>
      <c r="H110" s="108" t="s">
        <v>2628</v>
      </c>
      <c r="I110" s="108">
        <v>8118</v>
      </c>
      <c r="J110" s="108">
        <v>112111</v>
      </c>
      <c r="K110" s="108" t="s">
        <v>20</v>
      </c>
      <c r="L110" s="108">
        <v>1</v>
      </c>
      <c r="M110" s="114">
        <v>10132</v>
      </c>
      <c r="N110" s="114">
        <f t="shared" si="10"/>
        <v>10132</v>
      </c>
      <c r="P110" s="108">
        <f t="shared" si="11"/>
        <v>28</v>
      </c>
    </row>
    <row r="111" spans="1:16" ht="15" hidden="1" customHeight="1" x14ac:dyDescent="0.2">
      <c r="A111" s="108" t="s">
        <v>308</v>
      </c>
      <c r="B111" s="117">
        <v>46090</v>
      </c>
      <c r="C111" s="113">
        <f t="shared" si="12"/>
        <v>399</v>
      </c>
      <c r="D111" s="38">
        <f t="shared" si="13"/>
        <v>0</v>
      </c>
      <c r="F111" s="114"/>
      <c r="G111" s="113" t="s">
        <v>2629</v>
      </c>
      <c r="H111" s="108" t="s">
        <v>2628</v>
      </c>
      <c r="I111" s="108">
        <v>8118</v>
      </c>
      <c r="J111" s="108">
        <v>112111</v>
      </c>
      <c r="K111" s="108" t="s">
        <v>20</v>
      </c>
      <c r="L111" s="108">
        <v>1</v>
      </c>
      <c r="M111" s="114">
        <v>5066</v>
      </c>
      <c r="N111" s="114">
        <f t="shared" si="10"/>
        <v>5066</v>
      </c>
      <c r="P111" s="108">
        <f t="shared" si="11"/>
        <v>28</v>
      </c>
    </row>
    <row r="112" spans="1:16" ht="15" hidden="1" customHeight="1" x14ac:dyDescent="0.2">
      <c r="A112" s="108" t="s">
        <v>308</v>
      </c>
      <c r="B112" s="117">
        <v>46090</v>
      </c>
      <c r="C112" s="113">
        <f t="shared" si="12"/>
        <v>399</v>
      </c>
      <c r="D112" s="38">
        <f t="shared" si="13"/>
        <v>0</v>
      </c>
      <c r="F112" s="114"/>
      <c r="G112" s="113" t="s">
        <v>2629</v>
      </c>
      <c r="H112" s="108" t="s">
        <v>2628</v>
      </c>
      <c r="I112" s="108">
        <v>333822</v>
      </c>
      <c r="J112" s="108">
        <v>112111</v>
      </c>
      <c r="K112" s="108" t="s">
        <v>20</v>
      </c>
      <c r="L112" s="108">
        <v>1</v>
      </c>
      <c r="M112" s="114">
        <v>815634</v>
      </c>
      <c r="N112" s="114">
        <f t="shared" si="10"/>
        <v>815634</v>
      </c>
      <c r="P112" s="108">
        <f t="shared" si="11"/>
        <v>28</v>
      </c>
    </row>
    <row r="113" spans="1:16" ht="15" hidden="1" customHeight="1" x14ac:dyDescent="0.2">
      <c r="A113" s="108" t="s">
        <v>309</v>
      </c>
      <c r="B113" s="117">
        <v>46110</v>
      </c>
      <c r="C113" s="113">
        <f t="shared" si="12"/>
        <v>400</v>
      </c>
      <c r="D113" s="38">
        <f t="shared" si="13"/>
        <v>1</v>
      </c>
      <c r="F113" s="114"/>
      <c r="G113" s="113" t="s">
        <v>48</v>
      </c>
      <c r="H113" s="108" t="s">
        <v>3561</v>
      </c>
      <c r="I113" s="108">
        <v>112111</v>
      </c>
      <c r="J113" s="108">
        <v>5154</v>
      </c>
      <c r="K113" s="108" t="s">
        <v>20</v>
      </c>
      <c r="L113" s="108">
        <v>1</v>
      </c>
      <c r="M113" s="114">
        <v>292</v>
      </c>
      <c r="N113" s="114">
        <f t="shared" si="10"/>
        <v>292</v>
      </c>
      <c r="P113" s="108">
        <f t="shared" si="11"/>
        <v>22</v>
      </c>
    </row>
  </sheetData>
  <autoFilter ref="A3:P113" xr:uid="{00000000-0009-0000-0000-000009000000}">
    <filterColumn colId="8">
      <filters>
        <filter val="333821"/>
      </filters>
    </filterColumn>
    <filterColumn colId="9">
      <filters>
        <filter val="131"/>
      </filters>
    </filterColumn>
    <sortState xmlns:xlrd2="http://schemas.microsoft.com/office/spreadsheetml/2017/richdata2" ref="A4:P97">
      <sortCondition ref="A4:A97"/>
      <sortCondition ref="B4:B97"/>
      <sortCondition ref="H4:H97"/>
    </sortState>
  </autoFilter>
  <mergeCells count="13">
    <mergeCell ref="N1:N2"/>
    <mergeCell ref="G1:G2"/>
    <mergeCell ref="H1:H2"/>
    <mergeCell ref="I1:J1"/>
    <mergeCell ref="K1:K2"/>
    <mergeCell ref="L1:L2"/>
    <mergeCell ref="M1:M2"/>
    <mergeCell ref="F1:F2"/>
    <mergeCell ref="A1:A2"/>
    <mergeCell ref="B1:B2"/>
    <mergeCell ref="C1:C2"/>
    <mergeCell ref="D1:D2"/>
    <mergeCell ref="E1:E2"/>
  </mergeCells>
  <hyperlinks>
    <hyperlink ref="P1" location="Summary!A1" display="Back to summary" xr:uid="{00000000-0004-0000-0900-000000000000}"/>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tabColor rgb="FF92D050"/>
  </sheetPr>
  <dimension ref="A1:V167"/>
  <sheetViews>
    <sheetView workbookViewId="0">
      <selection activeCell="M98" sqref="M98:M152"/>
    </sheetView>
  </sheetViews>
  <sheetFormatPr defaultRowHeight="15" customHeight="1" x14ac:dyDescent="0.2"/>
  <cols>
    <col min="1" max="1" width="9.140625" style="20"/>
    <col min="2" max="2" width="10.7109375" style="106" bestFit="1" customWidth="1"/>
    <col min="3" max="5" width="9.140625" style="20"/>
    <col min="6" max="6" width="11.28515625" style="20" bestFit="1" customWidth="1"/>
    <col min="7" max="7" width="12.7109375" style="32" bestFit="1" customWidth="1"/>
    <col min="8" max="8" width="37.42578125" style="20" customWidth="1"/>
    <col min="9" max="12" width="9.140625" style="20"/>
    <col min="13" max="14" width="13.28515625" style="173" bestFit="1" customWidth="1"/>
    <col min="15" max="15" width="10.42578125" style="20" bestFit="1" customWidth="1"/>
    <col min="16" max="19" width="9.140625" style="20"/>
    <col min="20" max="21" width="9.85546875" style="20" bestFit="1" customWidth="1"/>
    <col min="22" max="16384" width="9.140625" style="20"/>
  </cols>
  <sheetData>
    <row r="1" spans="1:22" ht="15" customHeight="1" thickBot="1" x14ac:dyDescent="0.25">
      <c r="A1" s="194" t="s">
        <v>0</v>
      </c>
      <c r="B1" s="259" t="s">
        <v>1</v>
      </c>
      <c r="C1" s="194" t="s">
        <v>2</v>
      </c>
      <c r="D1" s="192" t="s">
        <v>3</v>
      </c>
      <c r="E1" s="192" t="s">
        <v>4</v>
      </c>
      <c r="F1" s="192" t="s">
        <v>257</v>
      </c>
      <c r="G1" s="201" t="s">
        <v>6</v>
      </c>
      <c r="H1" s="203" t="s">
        <v>7</v>
      </c>
      <c r="I1" s="205" t="s">
        <v>8</v>
      </c>
      <c r="J1" s="206"/>
      <c r="K1" s="194" t="s">
        <v>9</v>
      </c>
      <c r="L1" s="194" t="s">
        <v>10</v>
      </c>
      <c r="M1" s="261" t="s">
        <v>76</v>
      </c>
      <c r="N1" s="261" t="s">
        <v>77</v>
      </c>
      <c r="O1" s="39" t="s">
        <v>78</v>
      </c>
      <c r="P1" s="146" t="s">
        <v>356</v>
      </c>
    </row>
    <row r="2" spans="1:22" ht="15" customHeight="1" thickBot="1" x14ac:dyDescent="0.25">
      <c r="A2" s="195"/>
      <c r="B2" s="260"/>
      <c r="C2" s="195"/>
      <c r="D2" s="198"/>
      <c r="E2" s="198"/>
      <c r="F2" s="193"/>
      <c r="G2" s="202"/>
      <c r="H2" s="204"/>
      <c r="I2" s="40" t="s">
        <v>13</v>
      </c>
      <c r="J2" s="41" t="s">
        <v>14</v>
      </c>
      <c r="K2" s="195"/>
      <c r="L2" s="195"/>
      <c r="M2" s="262"/>
      <c r="N2" s="262"/>
      <c r="O2" s="37" t="s">
        <v>78</v>
      </c>
      <c r="P2" s="37"/>
    </row>
    <row r="3" spans="1:22" ht="15" customHeight="1" x14ac:dyDescent="0.2">
      <c r="A3" s="42"/>
      <c r="B3" s="63"/>
      <c r="C3" s="42">
        <v>381</v>
      </c>
      <c r="D3" s="43"/>
      <c r="E3" s="43"/>
      <c r="F3" s="43"/>
      <c r="G3" s="58" t="s">
        <v>15</v>
      </c>
      <c r="H3" s="44"/>
      <c r="I3" s="44"/>
      <c r="J3" s="44"/>
      <c r="K3" s="42"/>
      <c r="L3" s="42"/>
      <c r="M3" s="163"/>
      <c r="N3" s="163"/>
      <c r="O3" s="37" t="s">
        <v>16</v>
      </c>
      <c r="P3" s="37" t="s">
        <v>17</v>
      </c>
      <c r="Q3" s="20" t="s">
        <v>376</v>
      </c>
    </row>
    <row r="4" spans="1:22" ht="15" hidden="1" customHeight="1" x14ac:dyDescent="0.2">
      <c r="A4" s="20" t="s">
        <v>309</v>
      </c>
      <c r="B4" s="61">
        <v>46030</v>
      </c>
      <c r="C4" s="20">
        <f t="shared" ref="C4:C35" si="0">C3+D4</f>
        <v>382</v>
      </c>
      <c r="D4" s="38">
        <f t="shared" ref="D4:D35" si="1">IF(H4=H3,0,1)</f>
        <v>1</v>
      </c>
      <c r="G4" s="32" t="s">
        <v>39</v>
      </c>
      <c r="H4" s="20" t="s">
        <v>3499</v>
      </c>
      <c r="I4" s="20">
        <v>112121</v>
      </c>
      <c r="J4" s="20">
        <v>131</v>
      </c>
      <c r="K4" s="20" t="s">
        <v>20</v>
      </c>
      <c r="L4" s="20">
        <v>1</v>
      </c>
      <c r="M4" s="173">
        <v>12260038</v>
      </c>
      <c r="N4" s="173">
        <f t="shared" ref="N4:N35" si="2">L4*M4</f>
        <v>12260038</v>
      </c>
      <c r="Q4" s="20">
        <f t="shared" ref="Q4:Q35" si="3">LEN(H4)</f>
        <v>48</v>
      </c>
      <c r="S4" s="20">
        <v>331</v>
      </c>
      <c r="T4" s="173">
        <f>SUMIFS($N$4:$N$154,$I$4:$I$154,S4)</f>
        <v>58897767</v>
      </c>
      <c r="U4" s="173">
        <f>SUMIFS($N$4:$N$154,$J$4:$J$154,S4)</f>
        <v>58897767</v>
      </c>
      <c r="V4" s="173">
        <f>U4-T4</f>
        <v>0</v>
      </c>
    </row>
    <row r="5" spans="1:22" ht="15" hidden="1" customHeight="1" x14ac:dyDescent="0.2">
      <c r="A5" s="20" t="s">
        <v>309</v>
      </c>
      <c r="B5" s="61">
        <v>46030</v>
      </c>
      <c r="C5" s="20">
        <f t="shared" si="0"/>
        <v>382</v>
      </c>
      <c r="D5" s="38">
        <f t="shared" si="1"/>
        <v>0</v>
      </c>
      <c r="G5" s="32" t="s">
        <v>39</v>
      </c>
      <c r="H5" s="20" t="s">
        <v>3499</v>
      </c>
      <c r="I5" s="20">
        <v>112121</v>
      </c>
      <c r="J5" s="20">
        <v>131</v>
      </c>
      <c r="K5" s="20" t="s">
        <v>20</v>
      </c>
      <c r="L5" s="20">
        <v>1</v>
      </c>
      <c r="M5" s="173">
        <v>13051238</v>
      </c>
      <c r="N5" s="173">
        <f t="shared" si="2"/>
        <v>13051238</v>
      </c>
      <c r="Q5" s="20">
        <f t="shared" si="3"/>
        <v>48</v>
      </c>
    </row>
    <row r="6" spans="1:22" ht="15" hidden="1" customHeight="1" x14ac:dyDescent="0.2">
      <c r="A6" s="20" t="s">
        <v>309</v>
      </c>
      <c r="B6" s="61">
        <v>46031</v>
      </c>
      <c r="C6" s="20">
        <f t="shared" si="0"/>
        <v>383</v>
      </c>
      <c r="D6" s="38">
        <f t="shared" si="1"/>
        <v>1</v>
      </c>
      <c r="G6" s="32" t="s">
        <v>924</v>
      </c>
      <c r="H6" s="20" t="s">
        <v>3774</v>
      </c>
      <c r="I6" s="20">
        <v>112121</v>
      </c>
      <c r="J6" s="20">
        <v>131</v>
      </c>
      <c r="K6" s="20" t="s">
        <v>20</v>
      </c>
      <c r="L6" s="20">
        <v>1</v>
      </c>
      <c r="M6" s="173">
        <v>21290332</v>
      </c>
      <c r="N6" s="173">
        <f t="shared" si="2"/>
        <v>21290332</v>
      </c>
      <c r="Q6" s="20">
        <f t="shared" si="3"/>
        <v>154</v>
      </c>
    </row>
    <row r="7" spans="1:22" ht="15" hidden="1" customHeight="1" x14ac:dyDescent="0.2">
      <c r="A7" s="20" t="s">
        <v>309</v>
      </c>
      <c r="B7" s="61">
        <v>46034</v>
      </c>
      <c r="C7" s="20">
        <f t="shared" si="0"/>
        <v>384</v>
      </c>
      <c r="D7" s="38">
        <f t="shared" si="1"/>
        <v>1</v>
      </c>
      <c r="G7" s="32" t="s">
        <v>928</v>
      </c>
      <c r="H7" s="20" t="s">
        <v>3775</v>
      </c>
      <c r="I7" s="20">
        <v>112121</v>
      </c>
      <c r="J7" s="20">
        <v>131</v>
      </c>
      <c r="K7" s="20" t="s">
        <v>20</v>
      </c>
      <c r="L7" s="20">
        <v>1</v>
      </c>
      <c r="M7" s="173">
        <v>22000000</v>
      </c>
      <c r="N7" s="173">
        <f t="shared" si="2"/>
        <v>22000000</v>
      </c>
      <c r="Q7" s="20">
        <f t="shared" si="3"/>
        <v>107</v>
      </c>
    </row>
    <row r="8" spans="1:22" ht="15" hidden="1" customHeight="1" x14ac:dyDescent="0.2">
      <c r="A8" s="20" t="s">
        <v>309</v>
      </c>
      <c r="B8" s="61">
        <v>46037</v>
      </c>
      <c r="C8" s="20">
        <f t="shared" si="0"/>
        <v>385</v>
      </c>
      <c r="D8" s="38">
        <f t="shared" si="1"/>
        <v>1</v>
      </c>
      <c r="G8" s="32" t="s">
        <v>56</v>
      </c>
      <c r="H8" s="20" t="s">
        <v>3776</v>
      </c>
      <c r="I8" s="20">
        <v>112121</v>
      </c>
      <c r="J8" s="20">
        <v>131</v>
      </c>
      <c r="K8" s="20" t="s">
        <v>20</v>
      </c>
      <c r="L8" s="20">
        <v>1</v>
      </c>
      <c r="M8" s="173">
        <v>21290322</v>
      </c>
      <c r="N8" s="173">
        <f t="shared" si="2"/>
        <v>21290322</v>
      </c>
      <c r="Q8" s="20">
        <f t="shared" si="3"/>
        <v>174</v>
      </c>
    </row>
    <row r="9" spans="1:22" ht="15" hidden="1" customHeight="1" x14ac:dyDescent="0.2">
      <c r="A9" s="20" t="s">
        <v>309</v>
      </c>
      <c r="B9" s="61">
        <v>46038</v>
      </c>
      <c r="C9" s="20">
        <f t="shared" si="0"/>
        <v>386</v>
      </c>
      <c r="D9" s="38">
        <f t="shared" si="1"/>
        <v>1</v>
      </c>
      <c r="G9" s="32" t="s">
        <v>57</v>
      </c>
      <c r="H9" s="20" t="s">
        <v>3777</v>
      </c>
      <c r="I9" s="20">
        <v>112121</v>
      </c>
      <c r="J9" s="20">
        <v>131</v>
      </c>
      <c r="K9" s="20" t="s">
        <v>20</v>
      </c>
      <c r="L9" s="20">
        <v>1</v>
      </c>
      <c r="M9" s="173">
        <v>21290322</v>
      </c>
      <c r="N9" s="173">
        <f t="shared" si="2"/>
        <v>21290322</v>
      </c>
      <c r="Q9" s="20">
        <f t="shared" si="3"/>
        <v>164</v>
      </c>
    </row>
    <row r="10" spans="1:22" ht="15" hidden="1" customHeight="1" x14ac:dyDescent="0.2">
      <c r="A10" s="20" t="s">
        <v>309</v>
      </c>
      <c r="B10" s="61">
        <v>46041</v>
      </c>
      <c r="C10" s="20">
        <f t="shared" si="0"/>
        <v>387</v>
      </c>
      <c r="D10" s="38">
        <f t="shared" si="1"/>
        <v>1</v>
      </c>
      <c r="G10" s="32" t="s">
        <v>39</v>
      </c>
      <c r="H10" s="20" t="s">
        <v>3499</v>
      </c>
      <c r="I10" s="20">
        <v>112121</v>
      </c>
      <c r="J10" s="20">
        <v>131</v>
      </c>
      <c r="K10" s="20" t="s">
        <v>20</v>
      </c>
      <c r="L10" s="20">
        <v>1</v>
      </c>
      <c r="M10" s="173">
        <v>11864439</v>
      </c>
      <c r="N10" s="173">
        <f t="shared" si="2"/>
        <v>11864439</v>
      </c>
      <c r="Q10" s="20">
        <f t="shared" si="3"/>
        <v>48</v>
      </c>
    </row>
    <row r="11" spans="1:22" ht="15" hidden="1" customHeight="1" x14ac:dyDescent="0.2">
      <c r="A11" s="20" t="s">
        <v>309</v>
      </c>
      <c r="B11" s="61">
        <v>46041</v>
      </c>
      <c r="C11" s="20">
        <f t="shared" si="0"/>
        <v>387</v>
      </c>
      <c r="D11" s="38">
        <f t="shared" si="1"/>
        <v>0</v>
      </c>
      <c r="G11" s="32" t="s">
        <v>39</v>
      </c>
      <c r="H11" s="20" t="s">
        <v>3499</v>
      </c>
      <c r="I11" s="20">
        <v>112121</v>
      </c>
      <c r="J11" s="20">
        <v>131</v>
      </c>
      <c r="K11" s="20" t="s">
        <v>20</v>
      </c>
      <c r="L11" s="20">
        <v>1</v>
      </c>
      <c r="M11" s="173">
        <v>23732439</v>
      </c>
      <c r="N11" s="173">
        <f t="shared" si="2"/>
        <v>23732439</v>
      </c>
      <c r="Q11" s="20">
        <f t="shared" si="3"/>
        <v>48</v>
      </c>
    </row>
    <row r="12" spans="1:22" ht="15" hidden="1" customHeight="1" x14ac:dyDescent="0.2">
      <c r="A12" s="20" t="s">
        <v>309</v>
      </c>
      <c r="B12" s="61">
        <v>46049</v>
      </c>
      <c r="C12" s="20">
        <f t="shared" si="0"/>
        <v>387</v>
      </c>
      <c r="D12" s="38">
        <f t="shared" si="1"/>
        <v>0</v>
      </c>
      <c r="G12" s="32" t="s">
        <v>39</v>
      </c>
      <c r="H12" s="20" t="s">
        <v>3499</v>
      </c>
      <c r="I12" s="20">
        <v>112121</v>
      </c>
      <c r="J12" s="20">
        <v>131</v>
      </c>
      <c r="K12" s="20" t="s">
        <v>20</v>
      </c>
      <c r="L12" s="20">
        <v>1</v>
      </c>
      <c r="M12" s="173">
        <v>13842450</v>
      </c>
      <c r="N12" s="173">
        <f t="shared" si="2"/>
        <v>13842450</v>
      </c>
      <c r="Q12" s="20">
        <f t="shared" si="3"/>
        <v>48</v>
      </c>
    </row>
    <row r="13" spans="1:22" ht="15" hidden="1" customHeight="1" x14ac:dyDescent="0.2">
      <c r="A13" s="20" t="s">
        <v>309</v>
      </c>
      <c r="B13" s="61">
        <v>46049</v>
      </c>
      <c r="C13" s="20">
        <f t="shared" si="0"/>
        <v>387</v>
      </c>
      <c r="D13" s="38">
        <f t="shared" si="1"/>
        <v>0</v>
      </c>
      <c r="G13" s="32" t="s">
        <v>39</v>
      </c>
      <c r="H13" s="20" t="s">
        <v>3499</v>
      </c>
      <c r="I13" s="20">
        <v>112121</v>
      </c>
      <c r="J13" s="20">
        <v>131</v>
      </c>
      <c r="K13" s="20" t="s">
        <v>20</v>
      </c>
      <c r="L13" s="20">
        <v>1</v>
      </c>
      <c r="M13" s="173">
        <v>9886450</v>
      </c>
      <c r="N13" s="173">
        <f t="shared" si="2"/>
        <v>9886450</v>
      </c>
      <c r="Q13" s="20">
        <f t="shared" si="3"/>
        <v>48</v>
      </c>
    </row>
    <row r="14" spans="1:22" ht="15" hidden="1" customHeight="1" x14ac:dyDescent="0.2">
      <c r="A14" s="20" t="s">
        <v>309</v>
      </c>
      <c r="B14" s="61">
        <v>46052</v>
      </c>
      <c r="C14" s="20">
        <f t="shared" si="0"/>
        <v>387</v>
      </c>
      <c r="D14" s="38">
        <f t="shared" si="1"/>
        <v>0</v>
      </c>
      <c r="G14" s="32" t="s">
        <v>39</v>
      </c>
      <c r="H14" s="20" t="s">
        <v>3499</v>
      </c>
      <c r="I14" s="20">
        <v>112121</v>
      </c>
      <c r="J14" s="20">
        <v>131</v>
      </c>
      <c r="K14" s="20" t="s">
        <v>20</v>
      </c>
      <c r="L14" s="20">
        <v>1</v>
      </c>
      <c r="M14" s="173">
        <v>5732671</v>
      </c>
      <c r="N14" s="173">
        <f t="shared" si="2"/>
        <v>5732671</v>
      </c>
      <c r="Q14" s="20">
        <f t="shared" si="3"/>
        <v>48</v>
      </c>
    </row>
    <row r="15" spans="1:22" ht="15" hidden="1" customHeight="1" x14ac:dyDescent="0.2">
      <c r="A15" s="20" t="s">
        <v>309</v>
      </c>
      <c r="B15" s="61">
        <v>46052</v>
      </c>
      <c r="C15" s="20">
        <f t="shared" si="0"/>
        <v>387</v>
      </c>
      <c r="D15" s="38">
        <f t="shared" si="1"/>
        <v>0</v>
      </c>
      <c r="G15" s="32" t="s">
        <v>39</v>
      </c>
      <c r="H15" s="20" t="s">
        <v>3499</v>
      </c>
      <c r="I15" s="20">
        <v>112121</v>
      </c>
      <c r="J15" s="20">
        <v>131</v>
      </c>
      <c r="K15" s="20" t="s">
        <v>20</v>
      </c>
      <c r="L15" s="20">
        <v>1</v>
      </c>
      <c r="M15" s="173">
        <v>4545871</v>
      </c>
      <c r="N15" s="173">
        <f t="shared" si="2"/>
        <v>4545871</v>
      </c>
      <c r="Q15" s="20">
        <f t="shared" si="3"/>
        <v>48</v>
      </c>
    </row>
    <row r="16" spans="1:22" ht="15" hidden="1" customHeight="1" x14ac:dyDescent="0.2">
      <c r="A16" s="20" t="s">
        <v>309</v>
      </c>
      <c r="B16" s="61">
        <v>46053</v>
      </c>
      <c r="C16" s="20">
        <f t="shared" si="0"/>
        <v>388</v>
      </c>
      <c r="D16" s="38">
        <f t="shared" si="1"/>
        <v>1</v>
      </c>
      <c r="G16" s="32" t="s">
        <v>100</v>
      </c>
      <c r="H16" s="20" t="s">
        <v>3561</v>
      </c>
      <c r="I16" s="20">
        <v>112121</v>
      </c>
      <c r="J16" s="20">
        <v>5154</v>
      </c>
      <c r="K16" s="20" t="s">
        <v>20</v>
      </c>
      <c r="L16" s="20">
        <v>1</v>
      </c>
      <c r="M16" s="173">
        <v>1443</v>
      </c>
      <c r="N16" s="173">
        <f t="shared" si="2"/>
        <v>1443</v>
      </c>
      <c r="Q16" s="20">
        <f t="shared" si="3"/>
        <v>22</v>
      </c>
    </row>
    <row r="17" spans="1:17" ht="15" hidden="1" customHeight="1" x14ac:dyDescent="0.2">
      <c r="A17" s="20" t="s">
        <v>309</v>
      </c>
      <c r="B17" s="61">
        <v>46055</v>
      </c>
      <c r="C17" s="20">
        <f t="shared" si="0"/>
        <v>389</v>
      </c>
      <c r="D17" s="38">
        <f t="shared" si="1"/>
        <v>1</v>
      </c>
      <c r="G17" s="32" t="s">
        <v>39</v>
      </c>
      <c r="H17" s="20" t="s">
        <v>3499</v>
      </c>
      <c r="I17" s="20">
        <v>112121</v>
      </c>
      <c r="J17" s="20">
        <v>131</v>
      </c>
      <c r="K17" s="20" t="s">
        <v>20</v>
      </c>
      <c r="L17" s="20">
        <v>1</v>
      </c>
      <c r="M17" s="173">
        <v>4249185</v>
      </c>
      <c r="N17" s="173">
        <f t="shared" si="2"/>
        <v>4249185</v>
      </c>
      <c r="Q17" s="20">
        <f t="shared" si="3"/>
        <v>48</v>
      </c>
    </row>
    <row r="18" spans="1:17" ht="15" hidden="1" customHeight="1" x14ac:dyDescent="0.2">
      <c r="A18" s="20" t="s">
        <v>309</v>
      </c>
      <c r="B18" s="61">
        <v>46055</v>
      </c>
      <c r="C18" s="20">
        <f t="shared" si="0"/>
        <v>389</v>
      </c>
      <c r="D18" s="38">
        <f t="shared" si="1"/>
        <v>0</v>
      </c>
      <c r="G18" s="32" t="s">
        <v>39</v>
      </c>
      <c r="H18" s="20" t="s">
        <v>3499</v>
      </c>
      <c r="I18" s="20">
        <v>112121</v>
      </c>
      <c r="J18" s="20">
        <v>131</v>
      </c>
      <c r="K18" s="20" t="s">
        <v>20</v>
      </c>
      <c r="L18" s="20">
        <v>1</v>
      </c>
      <c r="M18" s="173">
        <v>6622785</v>
      </c>
      <c r="N18" s="173">
        <f t="shared" si="2"/>
        <v>6622785</v>
      </c>
      <c r="Q18" s="20">
        <f t="shared" si="3"/>
        <v>48</v>
      </c>
    </row>
    <row r="19" spans="1:17" ht="15" hidden="1" customHeight="1" x14ac:dyDescent="0.2">
      <c r="A19" s="20" t="s">
        <v>309</v>
      </c>
      <c r="B19" s="61">
        <v>46057</v>
      </c>
      <c r="C19" s="20">
        <f t="shared" si="0"/>
        <v>390</v>
      </c>
      <c r="D19" s="38">
        <f t="shared" si="1"/>
        <v>1</v>
      </c>
      <c r="G19" s="32" t="s">
        <v>107</v>
      </c>
      <c r="H19" s="20" t="s">
        <v>3787</v>
      </c>
      <c r="I19" s="20">
        <v>112121</v>
      </c>
      <c r="J19" s="20">
        <v>131</v>
      </c>
      <c r="K19" s="20" t="s">
        <v>20</v>
      </c>
      <c r="L19" s="20">
        <v>1</v>
      </c>
      <c r="M19" s="173">
        <v>33000000</v>
      </c>
      <c r="N19" s="173">
        <f t="shared" si="2"/>
        <v>33000000</v>
      </c>
      <c r="Q19" s="20">
        <f t="shared" si="3"/>
        <v>166</v>
      </c>
    </row>
    <row r="20" spans="1:17" ht="15" hidden="1" customHeight="1" x14ac:dyDescent="0.2">
      <c r="A20" s="20" t="s">
        <v>309</v>
      </c>
      <c r="B20" s="61">
        <v>46057</v>
      </c>
      <c r="C20" s="20">
        <f t="shared" si="0"/>
        <v>391</v>
      </c>
      <c r="D20" s="38">
        <f t="shared" si="1"/>
        <v>1</v>
      </c>
      <c r="G20" s="32" t="s">
        <v>107</v>
      </c>
      <c r="H20" s="20" t="s">
        <v>3788</v>
      </c>
      <c r="I20" s="20">
        <v>112121</v>
      </c>
      <c r="J20" s="20">
        <v>131</v>
      </c>
      <c r="K20" s="20" t="s">
        <v>20</v>
      </c>
      <c r="L20" s="20">
        <v>1</v>
      </c>
      <c r="M20" s="173">
        <v>55000000</v>
      </c>
      <c r="N20" s="173">
        <f t="shared" si="2"/>
        <v>55000000</v>
      </c>
      <c r="Q20" s="20">
        <f t="shared" si="3"/>
        <v>166</v>
      </c>
    </row>
    <row r="21" spans="1:17" ht="15" hidden="1" customHeight="1" x14ac:dyDescent="0.2">
      <c r="A21" s="20" t="s">
        <v>309</v>
      </c>
      <c r="B21" s="61">
        <v>46058</v>
      </c>
      <c r="C21" s="20">
        <f t="shared" si="0"/>
        <v>392</v>
      </c>
      <c r="D21" s="38">
        <f t="shared" si="1"/>
        <v>1</v>
      </c>
      <c r="G21" s="32" t="s">
        <v>106</v>
      </c>
      <c r="H21" s="20" t="s">
        <v>3778</v>
      </c>
      <c r="I21" s="20">
        <v>112121</v>
      </c>
      <c r="J21" s="20">
        <v>131</v>
      </c>
      <c r="K21" s="20" t="s">
        <v>20</v>
      </c>
      <c r="L21" s="20">
        <v>1</v>
      </c>
      <c r="M21" s="173">
        <v>66000000</v>
      </c>
      <c r="N21" s="173">
        <f t="shared" si="2"/>
        <v>66000000</v>
      </c>
      <c r="Q21" s="20">
        <f t="shared" si="3"/>
        <v>178</v>
      </c>
    </row>
    <row r="22" spans="1:17" ht="15" hidden="1" customHeight="1" x14ac:dyDescent="0.2">
      <c r="A22" s="20" t="s">
        <v>309</v>
      </c>
      <c r="B22" s="61">
        <v>46065</v>
      </c>
      <c r="C22" s="20">
        <f t="shared" si="0"/>
        <v>393</v>
      </c>
      <c r="D22" s="38">
        <f t="shared" si="1"/>
        <v>1</v>
      </c>
      <c r="G22" s="32" t="s">
        <v>39</v>
      </c>
      <c r="H22" s="20" t="s">
        <v>3499</v>
      </c>
      <c r="I22" s="20">
        <v>112121</v>
      </c>
      <c r="J22" s="20">
        <v>131</v>
      </c>
      <c r="K22" s="20" t="s">
        <v>20</v>
      </c>
      <c r="L22" s="20">
        <v>1</v>
      </c>
      <c r="M22" s="173">
        <v>16430796</v>
      </c>
      <c r="N22" s="173">
        <f t="shared" si="2"/>
        <v>16430796</v>
      </c>
      <c r="Q22" s="20">
        <f t="shared" si="3"/>
        <v>48</v>
      </c>
    </row>
    <row r="23" spans="1:17" ht="15" hidden="1" customHeight="1" x14ac:dyDescent="0.2">
      <c r="A23" s="20" t="s">
        <v>309</v>
      </c>
      <c r="B23" s="61">
        <v>46065</v>
      </c>
      <c r="C23" s="20">
        <f t="shared" si="0"/>
        <v>393</v>
      </c>
      <c r="D23" s="38">
        <f t="shared" si="1"/>
        <v>0</v>
      </c>
      <c r="G23" s="32" t="s">
        <v>39</v>
      </c>
      <c r="H23" s="20" t="s">
        <v>3499</v>
      </c>
      <c r="I23" s="20">
        <v>112121</v>
      </c>
      <c r="J23" s="20">
        <v>131</v>
      </c>
      <c r="K23" s="20" t="s">
        <v>20</v>
      </c>
      <c r="L23" s="20">
        <v>1</v>
      </c>
      <c r="M23" s="173">
        <v>20786796</v>
      </c>
      <c r="N23" s="173">
        <f t="shared" si="2"/>
        <v>20786796</v>
      </c>
      <c r="Q23" s="20">
        <f t="shared" si="3"/>
        <v>48</v>
      </c>
    </row>
    <row r="24" spans="1:17" ht="15" hidden="1" customHeight="1" x14ac:dyDescent="0.2">
      <c r="A24" s="20" t="s">
        <v>309</v>
      </c>
      <c r="B24" s="61">
        <v>46066</v>
      </c>
      <c r="C24" s="20">
        <f t="shared" si="0"/>
        <v>394</v>
      </c>
      <c r="D24" s="38">
        <f t="shared" si="1"/>
        <v>1</v>
      </c>
      <c r="G24" s="32" t="s">
        <v>106</v>
      </c>
      <c r="H24" s="20" t="s">
        <v>3779</v>
      </c>
      <c r="I24" s="20">
        <v>112121</v>
      </c>
      <c r="J24" s="20">
        <v>131</v>
      </c>
      <c r="K24" s="20" t="s">
        <v>20</v>
      </c>
      <c r="L24" s="20">
        <v>1</v>
      </c>
      <c r="M24" s="173">
        <v>22000000</v>
      </c>
      <c r="N24" s="173">
        <f t="shared" si="2"/>
        <v>22000000</v>
      </c>
      <c r="Q24" s="20">
        <f t="shared" si="3"/>
        <v>178</v>
      </c>
    </row>
    <row r="25" spans="1:17" ht="15" hidden="1" customHeight="1" x14ac:dyDescent="0.2">
      <c r="A25" s="20" t="s">
        <v>309</v>
      </c>
      <c r="B25" s="61">
        <v>46072</v>
      </c>
      <c r="C25" s="20">
        <f t="shared" si="0"/>
        <v>395</v>
      </c>
      <c r="D25" s="38">
        <f t="shared" si="1"/>
        <v>1</v>
      </c>
      <c r="G25" s="32" t="s">
        <v>39</v>
      </c>
      <c r="H25" s="20" t="s">
        <v>3499</v>
      </c>
      <c r="I25" s="20">
        <v>112121</v>
      </c>
      <c r="J25" s="20">
        <v>131</v>
      </c>
      <c r="K25" s="20" t="s">
        <v>20</v>
      </c>
      <c r="L25" s="20">
        <v>1</v>
      </c>
      <c r="M25" s="173">
        <v>6431799</v>
      </c>
      <c r="N25" s="173">
        <f t="shared" si="2"/>
        <v>6431799</v>
      </c>
      <c r="Q25" s="20">
        <f t="shared" si="3"/>
        <v>48</v>
      </c>
    </row>
    <row r="26" spans="1:17" ht="15" hidden="1" customHeight="1" x14ac:dyDescent="0.2">
      <c r="A26" s="20" t="s">
        <v>309</v>
      </c>
      <c r="B26" s="61">
        <v>46072</v>
      </c>
      <c r="C26" s="20">
        <f t="shared" si="0"/>
        <v>395</v>
      </c>
      <c r="D26" s="38">
        <f t="shared" si="1"/>
        <v>0</v>
      </c>
      <c r="G26" s="32" t="s">
        <v>39</v>
      </c>
      <c r="H26" s="20" t="s">
        <v>3499</v>
      </c>
      <c r="I26" s="20">
        <v>112121</v>
      </c>
      <c r="J26" s="20">
        <v>131</v>
      </c>
      <c r="K26" s="20" t="s">
        <v>20</v>
      </c>
      <c r="L26" s="20">
        <v>1</v>
      </c>
      <c r="M26" s="173">
        <v>6728799</v>
      </c>
      <c r="N26" s="173">
        <f t="shared" si="2"/>
        <v>6728799</v>
      </c>
      <c r="Q26" s="20">
        <f t="shared" si="3"/>
        <v>48</v>
      </c>
    </row>
    <row r="27" spans="1:17" ht="15" hidden="1" customHeight="1" x14ac:dyDescent="0.2">
      <c r="A27" s="20" t="s">
        <v>309</v>
      </c>
      <c r="B27" s="61">
        <v>46081</v>
      </c>
      <c r="C27" s="20">
        <f t="shared" si="0"/>
        <v>396</v>
      </c>
      <c r="D27" s="38">
        <f t="shared" si="1"/>
        <v>1</v>
      </c>
      <c r="G27" s="32" t="s">
        <v>100</v>
      </c>
      <c r="H27" s="20" t="s">
        <v>3561</v>
      </c>
      <c r="I27" s="20">
        <v>112121</v>
      </c>
      <c r="J27" s="20">
        <v>5154</v>
      </c>
      <c r="K27" s="20" t="s">
        <v>20</v>
      </c>
      <c r="L27" s="20">
        <v>1</v>
      </c>
      <c r="M27" s="173">
        <v>4815</v>
      </c>
      <c r="N27" s="173">
        <f t="shared" si="2"/>
        <v>4815</v>
      </c>
      <c r="Q27" s="20">
        <f t="shared" si="3"/>
        <v>22</v>
      </c>
    </row>
    <row r="28" spans="1:17" ht="15" hidden="1" customHeight="1" x14ac:dyDescent="0.2">
      <c r="A28" s="20" t="s">
        <v>309</v>
      </c>
      <c r="B28" s="61">
        <v>46081</v>
      </c>
      <c r="C28" s="20">
        <f t="shared" si="0"/>
        <v>397</v>
      </c>
      <c r="D28" s="38">
        <f t="shared" si="1"/>
        <v>1</v>
      </c>
      <c r="G28" s="32" t="s">
        <v>39</v>
      </c>
      <c r="H28" s="20" t="s">
        <v>3499</v>
      </c>
      <c r="I28" s="20">
        <v>112121</v>
      </c>
      <c r="J28" s="20">
        <v>131</v>
      </c>
      <c r="K28" s="20" t="s">
        <v>20</v>
      </c>
      <c r="L28" s="20">
        <v>1</v>
      </c>
      <c r="M28" s="173">
        <v>7124790</v>
      </c>
      <c r="N28" s="173">
        <f t="shared" si="2"/>
        <v>7124790</v>
      </c>
      <c r="Q28" s="20">
        <f t="shared" si="3"/>
        <v>48</v>
      </c>
    </row>
    <row r="29" spans="1:17" ht="15" hidden="1" customHeight="1" x14ac:dyDescent="0.2">
      <c r="A29" s="20" t="s">
        <v>309</v>
      </c>
      <c r="B29" s="61">
        <v>46081</v>
      </c>
      <c r="C29" s="20">
        <f t="shared" si="0"/>
        <v>397</v>
      </c>
      <c r="D29" s="38">
        <f t="shared" si="1"/>
        <v>0</v>
      </c>
      <c r="G29" s="32" t="s">
        <v>39</v>
      </c>
      <c r="H29" s="20" t="s">
        <v>3499</v>
      </c>
      <c r="I29" s="20">
        <v>112121</v>
      </c>
      <c r="J29" s="20">
        <v>131</v>
      </c>
      <c r="K29" s="20" t="s">
        <v>20</v>
      </c>
      <c r="L29" s="20">
        <v>1</v>
      </c>
      <c r="M29" s="173">
        <v>3758790</v>
      </c>
      <c r="N29" s="173">
        <f t="shared" si="2"/>
        <v>3758790</v>
      </c>
      <c r="Q29" s="20">
        <f t="shared" si="3"/>
        <v>48</v>
      </c>
    </row>
    <row r="30" spans="1:17" ht="15" hidden="1" customHeight="1" x14ac:dyDescent="0.2">
      <c r="A30" s="20" t="s">
        <v>309</v>
      </c>
      <c r="B30" s="61">
        <v>46084</v>
      </c>
      <c r="C30" s="20">
        <f t="shared" si="0"/>
        <v>397</v>
      </c>
      <c r="D30" s="38">
        <f t="shared" si="1"/>
        <v>0</v>
      </c>
      <c r="G30" s="32" t="s">
        <v>39</v>
      </c>
      <c r="H30" s="20" t="s">
        <v>3499</v>
      </c>
      <c r="I30" s="20">
        <v>112121</v>
      </c>
      <c r="J30" s="20">
        <v>131</v>
      </c>
      <c r="K30" s="20" t="s">
        <v>20</v>
      </c>
      <c r="L30" s="20">
        <v>1</v>
      </c>
      <c r="M30" s="173">
        <v>3956775</v>
      </c>
      <c r="N30" s="173">
        <f t="shared" si="2"/>
        <v>3956775</v>
      </c>
      <c r="Q30" s="20">
        <f t="shared" si="3"/>
        <v>48</v>
      </c>
    </row>
    <row r="31" spans="1:17" ht="15" hidden="1" customHeight="1" x14ac:dyDescent="0.2">
      <c r="A31" s="20" t="s">
        <v>309</v>
      </c>
      <c r="B31" s="61">
        <v>46084</v>
      </c>
      <c r="C31" s="20">
        <f t="shared" si="0"/>
        <v>397</v>
      </c>
      <c r="D31" s="38">
        <f t="shared" si="1"/>
        <v>0</v>
      </c>
      <c r="G31" s="32" t="s">
        <v>39</v>
      </c>
      <c r="H31" s="20" t="s">
        <v>3499</v>
      </c>
      <c r="I31" s="20">
        <v>112121</v>
      </c>
      <c r="J31" s="20">
        <v>131</v>
      </c>
      <c r="K31" s="20" t="s">
        <v>20</v>
      </c>
      <c r="L31" s="20">
        <v>1</v>
      </c>
      <c r="M31" s="173">
        <v>6926775</v>
      </c>
      <c r="N31" s="173">
        <f t="shared" si="2"/>
        <v>6926775</v>
      </c>
      <c r="Q31" s="20">
        <f t="shared" si="3"/>
        <v>48</v>
      </c>
    </row>
    <row r="32" spans="1:17" ht="15" hidden="1" customHeight="1" x14ac:dyDescent="0.2">
      <c r="A32" s="20" t="s">
        <v>309</v>
      </c>
      <c r="B32" s="61">
        <v>46087</v>
      </c>
      <c r="C32" s="20">
        <f t="shared" si="0"/>
        <v>398</v>
      </c>
      <c r="D32" s="38">
        <f t="shared" si="1"/>
        <v>1</v>
      </c>
      <c r="G32" s="32" t="s">
        <v>3773</v>
      </c>
      <c r="H32" s="20" t="s">
        <v>3780</v>
      </c>
      <c r="I32" s="20">
        <v>112121</v>
      </c>
      <c r="J32" s="20">
        <v>131</v>
      </c>
      <c r="K32" s="20" t="s">
        <v>20</v>
      </c>
      <c r="L32" s="20">
        <v>1</v>
      </c>
      <c r="M32" s="173">
        <v>21290322</v>
      </c>
      <c r="N32" s="173">
        <f t="shared" si="2"/>
        <v>21290322</v>
      </c>
      <c r="Q32" s="20">
        <f t="shared" si="3"/>
        <v>198</v>
      </c>
    </row>
    <row r="33" spans="1:17" ht="15" hidden="1" customHeight="1" x14ac:dyDescent="0.2">
      <c r="A33" s="20" t="s">
        <v>309</v>
      </c>
      <c r="B33" s="61">
        <v>46093</v>
      </c>
      <c r="C33" s="20">
        <f t="shared" si="0"/>
        <v>399</v>
      </c>
      <c r="D33" s="38">
        <f t="shared" si="1"/>
        <v>1</v>
      </c>
      <c r="G33" s="32" t="s">
        <v>107</v>
      </c>
      <c r="H33" s="20" t="s">
        <v>3789</v>
      </c>
      <c r="I33" s="20">
        <v>112121</v>
      </c>
      <c r="J33" s="20">
        <v>131</v>
      </c>
      <c r="K33" s="20" t="s">
        <v>20</v>
      </c>
      <c r="L33" s="20">
        <v>1</v>
      </c>
      <c r="M33" s="173">
        <v>16500000</v>
      </c>
      <c r="N33" s="173">
        <f t="shared" si="2"/>
        <v>16500000</v>
      </c>
      <c r="Q33" s="20">
        <f t="shared" si="3"/>
        <v>167</v>
      </c>
    </row>
    <row r="34" spans="1:17" ht="15" hidden="1" customHeight="1" x14ac:dyDescent="0.2">
      <c r="A34" s="20" t="s">
        <v>309</v>
      </c>
      <c r="B34" s="61">
        <v>46094</v>
      </c>
      <c r="C34" s="20">
        <f t="shared" si="0"/>
        <v>400</v>
      </c>
      <c r="D34" s="38">
        <f t="shared" si="1"/>
        <v>1</v>
      </c>
      <c r="G34" s="32" t="s">
        <v>252</v>
      </c>
      <c r="H34" s="20" t="s">
        <v>3790</v>
      </c>
      <c r="I34" s="20">
        <v>112121</v>
      </c>
      <c r="J34" s="20">
        <v>131</v>
      </c>
      <c r="K34" s="20" t="s">
        <v>20</v>
      </c>
      <c r="L34" s="20">
        <v>1</v>
      </c>
      <c r="M34" s="173">
        <v>13200000</v>
      </c>
      <c r="N34" s="173">
        <f t="shared" si="2"/>
        <v>13200000</v>
      </c>
      <c r="Q34" s="20">
        <f t="shared" si="3"/>
        <v>125</v>
      </c>
    </row>
    <row r="35" spans="1:17" ht="15" hidden="1" customHeight="1" x14ac:dyDescent="0.2">
      <c r="A35" s="20" t="s">
        <v>309</v>
      </c>
      <c r="B35" s="61">
        <v>46094</v>
      </c>
      <c r="C35" s="20">
        <f t="shared" si="0"/>
        <v>401</v>
      </c>
      <c r="D35" s="38">
        <f t="shared" si="1"/>
        <v>1</v>
      </c>
      <c r="G35" s="32" t="s">
        <v>39</v>
      </c>
      <c r="H35" s="20" t="s">
        <v>3499</v>
      </c>
      <c r="I35" s="20">
        <v>112121</v>
      </c>
      <c r="J35" s="20">
        <v>131</v>
      </c>
      <c r="K35" s="20" t="s">
        <v>20</v>
      </c>
      <c r="L35" s="20">
        <v>1</v>
      </c>
      <c r="M35" s="173">
        <v>14846762</v>
      </c>
      <c r="N35" s="173">
        <f t="shared" si="2"/>
        <v>14846762</v>
      </c>
      <c r="Q35" s="20">
        <f t="shared" si="3"/>
        <v>48</v>
      </c>
    </row>
    <row r="36" spans="1:17" ht="15" hidden="1" customHeight="1" x14ac:dyDescent="0.2">
      <c r="A36" s="20" t="s">
        <v>309</v>
      </c>
      <c r="B36" s="61">
        <v>46094</v>
      </c>
      <c r="C36" s="20">
        <f t="shared" ref="C36:C67" si="4">C35+D36</f>
        <v>401</v>
      </c>
      <c r="D36" s="38">
        <f t="shared" ref="D36:D67" si="5">IF(H36=H35,0,1)</f>
        <v>0</v>
      </c>
      <c r="G36" s="32" t="s">
        <v>39</v>
      </c>
      <c r="H36" s="20" t="s">
        <v>3499</v>
      </c>
      <c r="I36" s="20">
        <v>112121</v>
      </c>
      <c r="J36" s="20">
        <v>131</v>
      </c>
      <c r="K36" s="20" t="s">
        <v>20</v>
      </c>
      <c r="L36" s="20">
        <v>1</v>
      </c>
      <c r="M36" s="173">
        <v>9896762</v>
      </c>
      <c r="N36" s="173">
        <f t="shared" ref="N36:N67" si="6">L36*M36</f>
        <v>9896762</v>
      </c>
      <c r="Q36" s="20">
        <f t="shared" ref="Q36:Q67" si="7">LEN(H36)</f>
        <v>48</v>
      </c>
    </row>
    <row r="37" spans="1:17" ht="15" hidden="1" customHeight="1" x14ac:dyDescent="0.2">
      <c r="A37" s="20" t="s">
        <v>309</v>
      </c>
      <c r="B37" s="61">
        <v>46099</v>
      </c>
      <c r="C37" s="20">
        <f t="shared" si="4"/>
        <v>402</v>
      </c>
      <c r="D37" s="38">
        <f t="shared" si="5"/>
        <v>1</v>
      </c>
      <c r="G37" s="32" t="s">
        <v>936</v>
      </c>
      <c r="H37" s="20" t="s">
        <v>3781</v>
      </c>
      <c r="I37" s="20">
        <v>112121</v>
      </c>
      <c r="J37" s="20">
        <v>131</v>
      </c>
      <c r="K37" s="20" t="s">
        <v>20</v>
      </c>
      <c r="L37" s="20">
        <v>1</v>
      </c>
      <c r="M37" s="173">
        <v>22000000</v>
      </c>
      <c r="N37" s="173">
        <f t="shared" si="6"/>
        <v>22000000</v>
      </c>
      <c r="Q37" s="20">
        <f t="shared" si="7"/>
        <v>167</v>
      </c>
    </row>
    <row r="38" spans="1:17" ht="15" hidden="1" customHeight="1" x14ac:dyDescent="0.2">
      <c r="A38" s="20" t="s">
        <v>309</v>
      </c>
      <c r="B38" s="61">
        <v>46100</v>
      </c>
      <c r="C38" s="20">
        <f t="shared" si="4"/>
        <v>403</v>
      </c>
      <c r="D38" s="38">
        <f t="shared" si="5"/>
        <v>1</v>
      </c>
      <c r="G38" s="32" t="s">
        <v>56</v>
      </c>
      <c r="H38" s="20" t="s">
        <v>3782</v>
      </c>
      <c r="I38" s="20">
        <v>112121</v>
      </c>
      <c r="J38" s="20">
        <v>131</v>
      </c>
      <c r="K38" s="20" t="s">
        <v>20</v>
      </c>
      <c r="L38" s="20">
        <v>1</v>
      </c>
      <c r="M38" s="173">
        <v>22000000</v>
      </c>
      <c r="N38" s="173">
        <f t="shared" si="6"/>
        <v>22000000</v>
      </c>
      <c r="Q38" s="20">
        <f t="shared" si="7"/>
        <v>175</v>
      </c>
    </row>
    <row r="39" spans="1:17" ht="15" hidden="1" customHeight="1" x14ac:dyDescent="0.2">
      <c r="A39" s="20" t="s">
        <v>309</v>
      </c>
      <c r="B39" s="61">
        <v>46103</v>
      </c>
      <c r="C39" s="20">
        <f t="shared" si="4"/>
        <v>404</v>
      </c>
      <c r="D39" s="38">
        <f t="shared" si="5"/>
        <v>1</v>
      </c>
      <c r="G39" s="32" t="s">
        <v>39</v>
      </c>
      <c r="H39" s="20" t="s">
        <v>3499</v>
      </c>
      <c r="I39" s="20">
        <v>112121</v>
      </c>
      <c r="J39" s="20">
        <v>131</v>
      </c>
      <c r="K39" s="20" t="s">
        <v>20</v>
      </c>
      <c r="L39" s="20">
        <v>1</v>
      </c>
      <c r="M39" s="173">
        <v>12866758</v>
      </c>
      <c r="N39" s="173">
        <f t="shared" si="6"/>
        <v>12866758</v>
      </c>
      <c r="Q39" s="20">
        <f t="shared" si="7"/>
        <v>48</v>
      </c>
    </row>
    <row r="40" spans="1:17" ht="15" hidden="1" customHeight="1" x14ac:dyDescent="0.2">
      <c r="A40" s="20" t="s">
        <v>309</v>
      </c>
      <c r="B40" s="61">
        <v>46103</v>
      </c>
      <c r="C40" s="20">
        <f t="shared" si="4"/>
        <v>404</v>
      </c>
      <c r="D40" s="38">
        <f t="shared" si="5"/>
        <v>0</v>
      </c>
      <c r="G40" s="32" t="s">
        <v>39</v>
      </c>
      <c r="H40" s="20" t="s">
        <v>3499</v>
      </c>
      <c r="I40" s="20">
        <v>112121</v>
      </c>
      <c r="J40" s="20">
        <v>131</v>
      </c>
      <c r="K40" s="20" t="s">
        <v>20</v>
      </c>
      <c r="L40" s="20">
        <v>1</v>
      </c>
      <c r="M40" s="173">
        <v>6431758</v>
      </c>
      <c r="N40" s="173">
        <f t="shared" si="6"/>
        <v>6431758</v>
      </c>
      <c r="Q40" s="20">
        <f t="shared" si="7"/>
        <v>48</v>
      </c>
    </row>
    <row r="41" spans="1:17" ht="15" hidden="1" customHeight="1" x14ac:dyDescent="0.2">
      <c r="A41" s="20" t="s">
        <v>309</v>
      </c>
      <c r="B41" s="61">
        <v>46105</v>
      </c>
      <c r="C41" s="20">
        <f t="shared" si="4"/>
        <v>405</v>
      </c>
      <c r="D41" s="38">
        <f t="shared" si="5"/>
        <v>1</v>
      </c>
      <c r="G41" s="32" t="s">
        <v>934</v>
      </c>
      <c r="H41" s="20" t="s">
        <v>3783</v>
      </c>
      <c r="I41" s="20">
        <v>112121</v>
      </c>
      <c r="J41" s="20">
        <v>131</v>
      </c>
      <c r="K41" s="20" t="s">
        <v>20</v>
      </c>
      <c r="L41" s="20">
        <v>1</v>
      </c>
      <c r="M41" s="173">
        <v>13200000</v>
      </c>
      <c r="N41" s="173">
        <f t="shared" si="6"/>
        <v>13200000</v>
      </c>
      <c r="Q41" s="20">
        <f t="shared" si="7"/>
        <v>162</v>
      </c>
    </row>
    <row r="42" spans="1:17" ht="15" hidden="1" customHeight="1" x14ac:dyDescent="0.2">
      <c r="A42" s="20" t="s">
        <v>309</v>
      </c>
      <c r="B42" s="61">
        <v>46105</v>
      </c>
      <c r="C42" s="20">
        <f t="shared" si="4"/>
        <v>406</v>
      </c>
      <c r="D42" s="38">
        <f t="shared" si="5"/>
        <v>1</v>
      </c>
      <c r="G42" s="32" t="s">
        <v>56</v>
      </c>
      <c r="H42" s="20" t="s">
        <v>3784</v>
      </c>
      <c r="I42" s="20">
        <v>112121</v>
      </c>
      <c r="J42" s="20">
        <v>131</v>
      </c>
      <c r="K42" s="20" t="s">
        <v>20</v>
      </c>
      <c r="L42" s="20">
        <v>1</v>
      </c>
      <c r="M42" s="173">
        <v>33000000</v>
      </c>
      <c r="N42" s="173">
        <f t="shared" si="6"/>
        <v>33000000</v>
      </c>
      <c r="Q42" s="20">
        <f t="shared" si="7"/>
        <v>184</v>
      </c>
    </row>
    <row r="43" spans="1:17" ht="15" hidden="1" customHeight="1" x14ac:dyDescent="0.2">
      <c r="A43" s="20" t="s">
        <v>309</v>
      </c>
      <c r="B43" s="61">
        <v>46111</v>
      </c>
      <c r="C43" s="20">
        <f t="shared" si="4"/>
        <v>407</v>
      </c>
      <c r="D43" s="38">
        <f t="shared" si="5"/>
        <v>1</v>
      </c>
      <c r="G43" s="32" t="s">
        <v>39</v>
      </c>
      <c r="H43" s="20" t="s">
        <v>3499</v>
      </c>
      <c r="I43" s="20">
        <v>112121</v>
      </c>
      <c r="J43" s="20">
        <v>131</v>
      </c>
      <c r="K43" s="20" t="s">
        <v>20</v>
      </c>
      <c r="L43" s="20">
        <v>1</v>
      </c>
      <c r="M43" s="173">
        <v>9896754</v>
      </c>
      <c r="N43" s="173">
        <f t="shared" si="6"/>
        <v>9896754</v>
      </c>
      <c r="Q43" s="20">
        <f t="shared" si="7"/>
        <v>48</v>
      </c>
    </row>
    <row r="44" spans="1:17" ht="15" hidden="1" customHeight="1" x14ac:dyDescent="0.2">
      <c r="A44" s="20" t="s">
        <v>309</v>
      </c>
      <c r="B44" s="61">
        <v>46111</v>
      </c>
      <c r="C44" s="20">
        <f t="shared" si="4"/>
        <v>407</v>
      </c>
      <c r="D44" s="38">
        <f t="shared" si="5"/>
        <v>0</v>
      </c>
      <c r="G44" s="32" t="s">
        <v>39</v>
      </c>
      <c r="H44" s="20" t="s">
        <v>3499</v>
      </c>
      <c r="I44" s="20">
        <v>112121</v>
      </c>
      <c r="J44" s="20">
        <v>131</v>
      </c>
      <c r="K44" s="20" t="s">
        <v>20</v>
      </c>
      <c r="L44" s="20">
        <v>1</v>
      </c>
      <c r="M44" s="173">
        <v>6530754</v>
      </c>
      <c r="N44" s="173">
        <f t="shared" si="6"/>
        <v>6530754</v>
      </c>
      <c r="Q44" s="20">
        <f t="shared" si="7"/>
        <v>48</v>
      </c>
    </row>
    <row r="45" spans="1:17" ht="15" hidden="1" customHeight="1" x14ac:dyDescent="0.2">
      <c r="A45" s="20" t="s">
        <v>309</v>
      </c>
      <c r="B45" s="61">
        <v>46112</v>
      </c>
      <c r="C45" s="20">
        <f t="shared" si="4"/>
        <v>408</v>
      </c>
      <c r="D45" s="38">
        <f t="shared" si="5"/>
        <v>1</v>
      </c>
      <c r="G45" s="32" t="s">
        <v>100</v>
      </c>
      <c r="H45" s="20" t="s">
        <v>3561</v>
      </c>
      <c r="I45" s="20">
        <v>112121</v>
      </c>
      <c r="J45" s="20">
        <v>5154</v>
      </c>
      <c r="K45" s="20" t="s">
        <v>20</v>
      </c>
      <c r="L45" s="20">
        <v>1</v>
      </c>
      <c r="M45" s="173">
        <v>3440</v>
      </c>
      <c r="N45" s="173">
        <f t="shared" si="6"/>
        <v>3440</v>
      </c>
      <c r="Q45" s="20">
        <f t="shared" si="7"/>
        <v>22</v>
      </c>
    </row>
    <row r="46" spans="1:17" ht="15" hidden="1" customHeight="1" x14ac:dyDescent="0.2">
      <c r="A46" s="20" t="s">
        <v>309</v>
      </c>
      <c r="B46" s="61">
        <v>46112</v>
      </c>
      <c r="C46" s="20">
        <f t="shared" si="4"/>
        <v>409</v>
      </c>
      <c r="D46" s="38">
        <f t="shared" si="5"/>
        <v>1</v>
      </c>
      <c r="G46" s="32" t="s">
        <v>939</v>
      </c>
      <c r="H46" s="20" t="s">
        <v>3785</v>
      </c>
      <c r="I46" s="20">
        <v>112121</v>
      </c>
      <c r="J46" s="20">
        <v>131</v>
      </c>
      <c r="K46" s="20" t="s">
        <v>20</v>
      </c>
      <c r="L46" s="20">
        <v>1</v>
      </c>
      <c r="M46" s="173">
        <v>22000000</v>
      </c>
      <c r="N46" s="173">
        <f t="shared" si="6"/>
        <v>22000000</v>
      </c>
      <c r="Q46" s="20">
        <f t="shared" si="7"/>
        <v>163</v>
      </c>
    </row>
    <row r="47" spans="1:17" ht="15" hidden="1" customHeight="1" x14ac:dyDescent="0.2">
      <c r="A47" s="20" t="s">
        <v>308</v>
      </c>
      <c r="B47" s="61">
        <v>46024</v>
      </c>
      <c r="C47" s="20">
        <f t="shared" si="4"/>
        <v>410</v>
      </c>
      <c r="D47" s="38">
        <f t="shared" si="5"/>
        <v>1</v>
      </c>
      <c r="G47" s="32" t="s">
        <v>100</v>
      </c>
      <c r="H47" s="20" t="s">
        <v>3032</v>
      </c>
      <c r="I47" s="20">
        <v>1111</v>
      </c>
      <c r="J47" s="20">
        <v>112121</v>
      </c>
      <c r="K47" s="20" t="s">
        <v>20</v>
      </c>
      <c r="L47" s="20">
        <v>1</v>
      </c>
      <c r="M47" s="173">
        <v>10000000</v>
      </c>
      <c r="N47" s="173">
        <f t="shared" si="6"/>
        <v>10000000</v>
      </c>
      <c r="Q47" s="20">
        <f t="shared" si="7"/>
        <v>40</v>
      </c>
    </row>
    <row r="48" spans="1:17" ht="15" hidden="1" customHeight="1" x14ac:dyDescent="0.2">
      <c r="A48" s="20" t="s">
        <v>308</v>
      </c>
      <c r="B48" s="61">
        <v>46030</v>
      </c>
      <c r="C48" s="20">
        <f t="shared" si="4"/>
        <v>410</v>
      </c>
      <c r="D48" s="38">
        <f t="shared" si="5"/>
        <v>0</v>
      </c>
      <c r="G48" s="32" t="s">
        <v>100</v>
      </c>
      <c r="H48" s="20" t="s">
        <v>3032</v>
      </c>
      <c r="I48" s="20">
        <v>1111</v>
      </c>
      <c r="J48" s="20">
        <v>112121</v>
      </c>
      <c r="K48" s="20" t="s">
        <v>20</v>
      </c>
      <c r="L48" s="20">
        <v>1</v>
      </c>
      <c r="M48" s="173">
        <v>20000000</v>
      </c>
      <c r="N48" s="173">
        <f t="shared" si="6"/>
        <v>20000000</v>
      </c>
      <c r="Q48" s="20">
        <f t="shared" si="7"/>
        <v>40</v>
      </c>
    </row>
    <row r="49" spans="1:17" ht="15" hidden="1" customHeight="1" x14ac:dyDescent="0.2">
      <c r="A49" s="20" t="s">
        <v>308</v>
      </c>
      <c r="B49" s="61">
        <v>46032</v>
      </c>
      <c r="C49" s="20">
        <f t="shared" si="4"/>
        <v>411</v>
      </c>
      <c r="D49" s="38">
        <f t="shared" si="5"/>
        <v>1</v>
      </c>
      <c r="G49" s="32" t="s">
        <v>100</v>
      </c>
      <c r="H49" s="20" t="s">
        <v>2613</v>
      </c>
      <c r="I49" s="20">
        <v>64275</v>
      </c>
      <c r="J49" s="20">
        <v>112121</v>
      </c>
      <c r="K49" s="20" t="s">
        <v>20</v>
      </c>
      <c r="L49" s="20">
        <v>1</v>
      </c>
      <c r="M49" s="173">
        <v>5000</v>
      </c>
      <c r="N49" s="173">
        <f t="shared" si="6"/>
        <v>5000</v>
      </c>
      <c r="Q49" s="20">
        <f t="shared" si="7"/>
        <v>13</v>
      </c>
    </row>
    <row r="50" spans="1:17" ht="15" hidden="1" customHeight="1" x14ac:dyDescent="0.2">
      <c r="A50" s="20" t="s">
        <v>308</v>
      </c>
      <c r="B50" s="61">
        <v>46035</v>
      </c>
      <c r="C50" s="20">
        <f t="shared" si="4"/>
        <v>412</v>
      </c>
      <c r="D50" s="38">
        <f t="shared" si="5"/>
        <v>1</v>
      </c>
      <c r="G50" s="32" t="s">
        <v>100</v>
      </c>
      <c r="H50" s="20" t="s">
        <v>3032</v>
      </c>
      <c r="I50" s="20">
        <v>1111</v>
      </c>
      <c r="J50" s="20">
        <v>112121</v>
      </c>
      <c r="K50" s="20" t="s">
        <v>20</v>
      </c>
      <c r="L50" s="20">
        <v>1</v>
      </c>
      <c r="M50" s="173">
        <v>30000000</v>
      </c>
      <c r="N50" s="173">
        <f t="shared" si="6"/>
        <v>30000000</v>
      </c>
      <c r="Q50" s="20">
        <f t="shared" si="7"/>
        <v>40</v>
      </c>
    </row>
    <row r="51" spans="1:17" ht="15" hidden="1" customHeight="1" x14ac:dyDescent="0.2">
      <c r="A51" s="20" t="s">
        <v>308</v>
      </c>
      <c r="B51" s="61">
        <v>46038</v>
      </c>
      <c r="C51" s="20">
        <f t="shared" si="4"/>
        <v>412</v>
      </c>
      <c r="D51" s="38">
        <f t="shared" si="5"/>
        <v>0</v>
      </c>
      <c r="G51" s="32" t="s">
        <v>100</v>
      </c>
      <c r="H51" s="20" t="s">
        <v>3032</v>
      </c>
      <c r="I51" s="20">
        <v>1111</v>
      </c>
      <c r="J51" s="20">
        <v>112121</v>
      </c>
      <c r="K51" s="20" t="s">
        <v>20</v>
      </c>
      <c r="L51" s="20">
        <v>1</v>
      </c>
      <c r="M51" s="173">
        <v>30000000</v>
      </c>
      <c r="N51" s="173">
        <f t="shared" si="6"/>
        <v>30000000</v>
      </c>
      <c r="Q51" s="20">
        <f t="shared" si="7"/>
        <v>40</v>
      </c>
    </row>
    <row r="52" spans="1:17" ht="15" hidden="1" customHeight="1" x14ac:dyDescent="0.2">
      <c r="A52" s="20" t="s">
        <v>308</v>
      </c>
      <c r="B52" s="61">
        <v>46041</v>
      </c>
      <c r="C52" s="20">
        <f t="shared" si="4"/>
        <v>412</v>
      </c>
      <c r="D52" s="38">
        <f t="shared" si="5"/>
        <v>0</v>
      </c>
      <c r="G52" s="32" t="s">
        <v>100</v>
      </c>
      <c r="H52" s="20" t="s">
        <v>3032</v>
      </c>
      <c r="I52" s="20">
        <v>1111</v>
      </c>
      <c r="J52" s="20">
        <v>112121</v>
      </c>
      <c r="K52" s="20" t="s">
        <v>20</v>
      </c>
      <c r="L52" s="20">
        <v>1</v>
      </c>
      <c r="M52" s="173">
        <v>20000000</v>
      </c>
      <c r="N52" s="173">
        <f t="shared" si="6"/>
        <v>20000000</v>
      </c>
      <c r="Q52" s="20">
        <f t="shared" si="7"/>
        <v>40</v>
      </c>
    </row>
    <row r="53" spans="1:17" ht="15" hidden="1" customHeight="1" x14ac:dyDescent="0.2">
      <c r="A53" s="20" t="s">
        <v>308</v>
      </c>
      <c r="B53" s="61">
        <v>46041</v>
      </c>
      <c r="C53" s="20">
        <f t="shared" si="4"/>
        <v>412</v>
      </c>
      <c r="D53" s="38">
        <f t="shared" si="5"/>
        <v>0</v>
      </c>
      <c r="G53" s="32" t="s">
        <v>100</v>
      </c>
      <c r="H53" s="20" t="s">
        <v>3032</v>
      </c>
      <c r="I53" s="20">
        <v>1111</v>
      </c>
      <c r="J53" s="20">
        <v>112121</v>
      </c>
      <c r="K53" s="20" t="s">
        <v>20</v>
      </c>
      <c r="L53" s="20">
        <v>1</v>
      </c>
      <c r="M53" s="173">
        <v>30000000</v>
      </c>
      <c r="N53" s="173">
        <f t="shared" si="6"/>
        <v>30000000</v>
      </c>
      <c r="Q53" s="20">
        <f t="shared" si="7"/>
        <v>40</v>
      </c>
    </row>
    <row r="54" spans="1:17" ht="15" hidden="1" customHeight="1" x14ac:dyDescent="0.2">
      <c r="A54" s="20" t="s">
        <v>308</v>
      </c>
      <c r="B54" s="61">
        <v>46049</v>
      </c>
      <c r="C54" s="20">
        <f t="shared" si="4"/>
        <v>412</v>
      </c>
      <c r="D54" s="38">
        <f t="shared" si="5"/>
        <v>0</v>
      </c>
      <c r="G54" s="32" t="s">
        <v>100</v>
      </c>
      <c r="H54" s="20" t="s">
        <v>3032</v>
      </c>
      <c r="I54" s="20">
        <v>1111</v>
      </c>
      <c r="J54" s="20">
        <v>112121</v>
      </c>
      <c r="K54" s="20" t="s">
        <v>20</v>
      </c>
      <c r="L54" s="20">
        <v>1</v>
      </c>
      <c r="M54" s="173">
        <v>40000000</v>
      </c>
      <c r="N54" s="173">
        <f t="shared" si="6"/>
        <v>40000000</v>
      </c>
      <c r="Q54" s="20">
        <f t="shared" si="7"/>
        <v>40</v>
      </c>
    </row>
    <row r="55" spans="1:17" ht="15" hidden="1" customHeight="1" x14ac:dyDescent="0.2">
      <c r="A55" s="20" t="s">
        <v>308</v>
      </c>
      <c r="B55" s="61">
        <v>46051</v>
      </c>
      <c r="C55" s="20">
        <f t="shared" si="4"/>
        <v>412</v>
      </c>
      <c r="D55" s="38">
        <f t="shared" si="5"/>
        <v>0</v>
      </c>
      <c r="G55" s="32" t="s">
        <v>100</v>
      </c>
      <c r="H55" s="20" t="s">
        <v>3032</v>
      </c>
      <c r="I55" s="20">
        <v>1111</v>
      </c>
      <c r="J55" s="20">
        <v>112121</v>
      </c>
      <c r="K55" s="20" t="s">
        <v>20</v>
      </c>
      <c r="L55" s="20">
        <v>1</v>
      </c>
      <c r="M55" s="173">
        <v>2000000</v>
      </c>
      <c r="N55" s="173">
        <f t="shared" si="6"/>
        <v>2000000</v>
      </c>
      <c r="Q55" s="20">
        <f t="shared" si="7"/>
        <v>40</v>
      </c>
    </row>
    <row r="56" spans="1:17" ht="15" hidden="1" customHeight="1" x14ac:dyDescent="0.2">
      <c r="A56" s="20" t="s">
        <v>308</v>
      </c>
      <c r="B56" s="61">
        <v>46052</v>
      </c>
      <c r="C56" s="20">
        <f t="shared" si="4"/>
        <v>412</v>
      </c>
      <c r="D56" s="38">
        <f t="shared" si="5"/>
        <v>0</v>
      </c>
      <c r="G56" s="32" t="s">
        <v>100</v>
      </c>
      <c r="H56" s="20" t="s">
        <v>3032</v>
      </c>
      <c r="I56" s="20">
        <v>1111</v>
      </c>
      <c r="J56" s="20">
        <v>112121</v>
      </c>
      <c r="K56" s="20" t="s">
        <v>20</v>
      </c>
      <c r="L56" s="20">
        <v>1</v>
      </c>
      <c r="M56" s="173">
        <v>10000000</v>
      </c>
      <c r="N56" s="173">
        <f t="shared" si="6"/>
        <v>10000000</v>
      </c>
      <c r="Q56" s="20">
        <f t="shared" si="7"/>
        <v>40</v>
      </c>
    </row>
    <row r="57" spans="1:17" ht="15" hidden="1" customHeight="1" x14ac:dyDescent="0.2">
      <c r="A57" s="20" t="s">
        <v>308</v>
      </c>
      <c r="B57" s="61">
        <v>46054</v>
      </c>
      <c r="C57" s="20">
        <f t="shared" si="4"/>
        <v>412</v>
      </c>
      <c r="D57" s="38">
        <f t="shared" si="5"/>
        <v>0</v>
      </c>
      <c r="G57" s="32" t="s">
        <v>100</v>
      </c>
      <c r="H57" s="20" t="s">
        <v>3032</v>
      </c>
      <c r="I57" s="20">
        <v>1111</v>
      </c>
      <c r="J57" s="20">
        <v>112121</v>
      </c>
      <c r="K57" s="20" t="s">
        <v>20</v>
      </c>
      <c r="L57" s="20">
        <v>1</v>
      </c>
      <c r="M57" s="173">
        <v>1000000</v>
      </c>
      <c r="N57" s="173">
        <f t="shared" si="6"/>
        <v>1000000</v>
      </c>
      <c r="Q57" s="20">
        <f t="shared" si="7"/>
        <v>40</v>
      </c>
    </row>
    <row r="58" spans="1:17" ht="15" hidden="1" customHeight="1" x14ac:dyDescent="0.2">
      <c r="A58" s="20" t="s">
        <v>308</v>
      </c>
      <c r="B58" s="61">
        <v>46055</v>
      </c>
      <c r="C58" s="20">
        <f t="shared" si="4"/>
        <v>412</v>
      </c>
      <c r="D58" s="38">
        <f t="shared" si="5"/>
        <v>0</v>
      </c>
      <c r="G58" s="32" t="s">
        <v>100</v>
      </c>
      <c r="H58" s="20" t="s">
        <v>3032</v>
      </c>
      <c r="I58" s="20">
        <v>1111</v>
      </c>
      <c r="J58" s="20">
        <v>112121</v>
      </c>
      <c r="K58" s="20" t="s">
        <v>20</v>
      </c>
      <c r="L58" s="20">
        <v>1</v>
      </c>
      <c r="M58" s="173">
        <v>10000000</v>
      </c>
      <c r="N58" s="173">
        <f t="shared" si="6"/>
        <v>10000000</v>
      </c>
      <c r="Q58" s="20">
        <f t="shared" si="7"/>
        <v>40</v>
      </c>
    </row>
    <row r="59" spans="1:17" ht="15" hidden="1" customHeight="1" x14ac:dyDescent="0.2">
      <c r="A59" s="20" t="s">
        <v>308</v>
      </c>
      <c r="B59" s="61">
        <v>46057</v>
      </c>
      <c r="C59" s="20">
        <f t="shared" si="4"/>
        <v>412</v>
      </c>
      <c r="D59" s="38">
        <f t="shared" si="5"/>
        <v>0</v>
      </c>
      <c r="G59" s="32" t="s">
        <v>100</v>
      </c>
      <c r="H59" s="20" t="s">
        <v>3032</v>
      </c>
      <c r="I59" s="20">
        <v>1111</v>
      </c>
      <c r="J59" s="20">
        <v>112121</v>
      </c>
      <c r="K59" s="20" t="s">
        <v>20</v>
      </c>
      <c r="L59" s="20">
        <v>1</v>
      </c>
      <c r="M59" s="173">
        <v>38000000</v>
      </c>
      <c r="N59" s="173">
        <f t="shared" si="6"/>
        <v>38000000</v>
      </c>
      <c r="Q59" s="20">
        <f t="shared" si="7"/>
        <v>40</v>
      </c>
    </row>
    <row r="60" spans="1:17" ht="15" hidden="1" customHeight="1" x14ac:dyDescent="0.2">
      <c r="A60" s="20" t="s">
        <v>308</v>
      </c>
      <c r="B60" s="61">
        <v>46059</v>
      </c>
      <c r="C60" s="20">
        <f t="shared" si="4"/>
        <v>412</v>
      </c>
      <c r="D60" s="38">
        <f t="shared" si="5"/>
        <v>0</v>
      </c>
      <c r="G60" s="32" t="s">
        <v>100</v>
      </c>
      <c r="H60" s="20" t="s">
        <v>3032</v>
      </c>
      <c r="I60" s="20">
        <v>1111</v>
      </c>
      <c r="J60" s="20">
        <v>112121</v>
      </c>
      <c r="K60" s="20" t="s">
        <v>20</v>
      </c>
      <c r="L60" s="20">
        <v>1</v>
      </c>
      <c r="M60" s="173">
        <v>30000000</v>
      </c>
      <c r="N60" s="173">
        <f t="shared" si="6"/>
        <v>30000000</v>
      </c>
      <c r="Q60" s="20">
        <f t="shared" si="7"/>
        <v>40</v>
      </c>
    </row>
    <row r="61" spans="1:17" ht="15" hidden="1" customHeight="1" x14ac:dyDescent="0.2">
      <c r="A61" s="20" t="s">
        <v>308</v>
      </c>
      <c r="B61" s="61">
        <v>46062</v>
      </c>
      <c r="C61" s="20">
        <f t="shared" si="4"/>
        <v>413</v>
      </c>
      <c r="D61" s="38">
        <f t="shared" si="5"/>
        <v>1</v>
      </c>
      <c r="G61" s="32" t="s">
        <v>100</v>
      </c>
      <c r="H61" s="20" t="s">
        <v>2613</v>
      </c>
      <c r="I61" s="20">
        <v>64275</v>
      </c>
      <c r="J61" s="20">
        <v>112121</v>
      </c>
      <c r="K61" s="20" t="s">
        <v>20</v>
      </c>
      <c r="L61" s="20">
        <v>1</v>
      </c>
      <c r="M61" s="173">
        <v>5000</v>
      </c>
      <c r="N61" s="173">
        <f t="shared" si="6"/>
        <v>5000</v>
      </c>
      <c r="Q61" s="20">
        <f t="shared" si="7"/>
        <v>13</v>
      </c>
    </row>
    <row r="62" spans="1:17" ht="15" hidden="1" customHeight="1" x14ac:dyDescent="0.2">
      <c r="A62" s="20" t="s">
        <v>308</v>
      </c>
      <c r="B62" s="61">
        <v>46062</v>
      </c>
      <c r="C62" s="20">
        <f t="shared" si="4"/>
        <v>414</v>
      </c>
      <c r="D62" s="38">
        <f t="shared" si="5"/>
        <v>1</v>
      </c>
      <c r="G62" s="32" t="s">
        <v>100</v>
      </c>
      <c r="H62" s="20" t="s">
        <v>3032</v>
      </c>
      <c r="I62" s="20">
        <v>1111</v>
      </c>
      <c r="J62" s="20">
        <v>112121</v>
      </c>
      <c r="K62" s="20" t="s">
        <v>20</v>
      </c>
      <c r="L62" s="20">
        <v>1</v>
      </c>
      <c r="M62" s="173">
        <v>36000000</v>
      </c>
      <c r="N62" s="173">
        <f t="shared" si="6"/>
        <v>36000000</v>
      </c>
      <c r="Q62" s="20">
        <f t="shared" si="7"/>
        <v>40</v>
      </c>
    </row>
    <row r="63" spans="1:17" ht="15" hidden="1" customHeight="1" x14ac:dyDescent="0.2">
      <c r="A63" s="20" t="s">
        <v>308</v>
      </c>
      <c r="B63" s="61">
        <v>46067</v>
      </c>
      <c r="C63" s="20">
        <f t="shared" si="4"/>
        <v>415</v>
      </c>
      <c r="D63" s="38">
        <f t="shared" si="5"/>
        <v>1</v>
      </c>
      <c r="G63" s="32" t="s">
        <v>2629</v>
      </c>
      <c r="H63" s="20" t="s">
        <v>2628</v>
      </c>
      <c r="I63" s="20">
        <v>333822</v>
      </c>
      <c r="J63" s="20">
        <v>112121</v>
      </c>
      <c r="K63" s="20" t="s">
        <v>20</v>
      </c>
      <c r="L63" s="20">
        <v>1</v>
      </c>
      <c r="M63" s="173">
        <v>1408000</v>
      </c>
      <c r="N63" s="173">
        <f t="shared" si="6"/>
        <v>1408000</v>
      </c>
      <c r="Q63" s="20">
        <f t="shared" si="7"/>
        <v>28</v>
      </c>
    </row>
    <row r="64" spans="1:17" ht="15" hidden="1" customHeight="1" x14ac:dyDescent="0.2">
      <c r="A64" s="20" t="s">
        <v>308</v>
      </c>
      <c r="B64" s="61">
        <v>46067</v>
      </c>
      <c r="C64" s="20">
        <f t="shared" si="4"/>
        <v>415</v>
      </c>
      <c r="D64" s="38">
        <f t="shared" si="5"/>
        <v>0</v>
      </c>
      <c r="G64" s="32" t="s">
        <v>2629</v>
      </c>
      <c r="H64" s="20" t="s">
        <v>2628</v>
      </c>
      <c r="I64" s="20">
        <v>8118</v>
      </c>
      <c r="J64" s="20">
        <v>112121</v>
      </c>
      <c r="K64" s="20" t="s">
        <v>20</v>
      </c>
      <c r="L64" s="20">
        <v>1</v>
      </c>
      <c r="M64" s="173">
        <v>228</v>
      </c>
      <c r="N64" s="173">
        <f t="shared" si="6"/>
        <v>228</v>
      </c>
      <c r="Q64" s="20">
        <f t="shared" si="7"/>
        <v>28</v>
      </c>
    </row>
    <row r="65" spans="1:17" ht="15" hidden="1" customHeight="1" x14ac:dyDescent="0.2">
      <c r="A65" s="20" t="s">
        <v>308</v>
      </c>
      <c r="B65" s="61">
        <v>46067</v>
      </c>
      <c r="C65" s="20">
        <f t="shared" si="4"/>
        <v>415</v>
      </c>
      <c r="D65" s="38">
        <f t="shared" si="5"/>
        <v>0</v>
      </c>
      <c r="G65" s="32" t="s">
        <v>2629</v>
      </c>
      <c r="H65" s="20" t="s">
        <v>2628</v>
      </c>
      <c r="I65" s="20">
        <v>333822</v>
      </c>
      <c r="J65" s="20">
        <v>112121</v>
      </c>
      <c r="K65" s="20" t="s">
        <v>20</v>
      </c>
      <c r="L65" s="20">
        <v>1</v>
      </c>
      <c r="M65" s="173">
        <v>2816000</v>
      </c>
      <c r="N65" s="173">
        <f t="shared" si="6"/>
        <v>2816000</v>
      </c>
      <c r="Q65" s="20">
        <f t="shared" si="7"/>
        <v>28</v>
      </c>
    </row>
    <row r="66" spans="1:17" ht="15" hidden="1" customHeight="1" x14ac:dyDescent="0.2">
      <c r="A66" s="20" t="s">
        <v>308</v>
      </c>
      <c r="B66" s="61">
        <v>46067</v>
      </c>
      <c r="C66" s="20">
        <f t="shared" si="4"/>
        <v>415</v>
      </c>
      <c r="D66" s="38">
        <f t="shared" si="5"/>
        <v>0</v>
      </c>
      <c r="G66" s="32" t="s">
        <v>2629</v>
      </c>
      <c r="H66" s="20" t="s">
        <v>2628</v>
      </c>
      <c r="I66" s="20">
        <v>8118</v>
      </c>
      <c r="J66" s="20">
        <v>112121</v>
      </c>
      <c r="K66" s="20" t="s">
        <v>20</v>
      </c>
      <c r="L66" s="20">
        <v>1</v>
      </c>
      <c r="M66" s="173">
        <v>456</v>
      </c>
      <c r="N66" s="173">
        <f t="shared" si="6"/>
        <v>456</v>
      </c>
      <c r="Q66" s="20">
        <f t="shared" si="7"/>
        <v>28</v>
      </c>
    </row>
    <row r="67" spans="1:17" ht="15" hidden="1" customHeight="1" x14ac:dyDescent="0.2">
      <c r="A67" s="20" t="s">
        <v>308</v>
      </c>
      <c r="B67" s="61">
        <v>46072</v>
      </c>
      <c r="C67" s="20">
        <f t="shared" si="4"/>
        <v>416</v>
      </c>
      <c r="D67" s="38">
        <f t="shared" si="5"/>
        <v>1</v>
      </c>
      <c r="G67" s="32" t="s">
        <v>100</v>
      </c>
      <c r="H67" s="20" t="s">
        <v>3032</v>
      </c>
      <c r="I67" s="20">
        <v>1111</v>
      </c>
      <c r="J67" s="20">
        <v>112121</v>
      </c>
      <c r="K67" s="20" t="s">
        <v>20</v>
      </c>
      <c r="L67" s="20">
        <v>1</v>
      </c>
      <c r="M67" s="173">
        <v>30000000</v>
      </c>
      <c r="N67" s="173">
        <f t="shared" si="6"/>
        <v>30000000</v>
      </c>
      <c r="Q67" s="20">
        <f t="shared" si="7"/>
        <v>40</v>
      </c>
    </row>
    <row r="68" spans="1:17" ht="15" hidden="1" customHeight="1" x14ac:dyDescent="0.2">
      <c r="A68" s="20" t="s">
        <v>308</v>
      </c>
      <c r="B68" s="61">
        <v>46077</v>
      </c>
      <c r="C68" s="20">
        <f t="shared" ref="C68:C99" si="8">C67+D68</f>
        <v>416</v>
      </c>
      <c r="D68" s="38">
        <f t="shared" ref="D68:D99" si="9">IF(H68=H67,0,1)</f>
        <v>0</v>
      </c>
      <c r="G68" s="32" t="s">
        <v>100</v>
      </c>
      <c r="H68" s="20" t="s">
        <v>3032</v>
      </c>
      <c r="I68" s="20">
        <v>1111</v>
      </c>
      <c r="J68" s="20">
        <v>112121</v>
      </c>
      <c r="K68" s="20" t="s">
        <v>20</v>
      </c>
      <c r="L68" s="20">
        <v>1</v>
      </c>
      <c r="M68" s="173">
        <v>89000000</v>
      </c>
      <c r="N68" s="173">
        <f t="shared" ref="N68:N99" si="10">L68*M68</f>
        <v>89000000</v>
      </c>
      <c r="Q68" s="20">
        <f t="shared" ref="Q68:Q99" si="11">LEN(H68)</f>
        <v>40</v>
      </c>
    </row>
    <row r="69" spans="1:17" ht="15" hidden="1" customHeight="1" x14ac:dyDescent="0.2">
      <c r="A69" s="20" t="s">
        <v>308</v>
      </c>
      <c r="B69" s="61">
        <v>46081</v>
      </c>
      <c r="C69" s="20">
        <f t="shared" si="8"/>
        <v>417</v>
      </c>
      <c r="D69" s="38">
        <f t="shared" si="9"/>
        <v>1</v>
      </c>
      <c r="G69" s="32" t="s">
        <v>2629</v>
      </c>
      <c r="H69" s="20" t="s">
        <v>2628</v>
      </c>
      <c r="I69" s="20">
        <v>333822</v>
      </c>
      <c r="J69" s="20">
        <v>112121</v>
      </c>
      <c r="K69" s="20" t="s">
        <v>20</v>
      </c>
      <c r="L69" s="20">
        <v>1</v>
      </c>
      <c r="M69" s="173">
        <v>7700000</v>
      </c>
      <c r="N69" s="173">
        <f t="shared" si="10"/>
        <v>7700000</v>
      </c>
      <c r="Q69" s="20">
        <f t="shared" si="11"/>
        <v>28</v>
      </c>
    </row>
    <row r="70" spans="1:17" ht="15" hidden="1" customHeight="1" x14ac:dyDescent="0.2">
      <c r="A70" s="20" t="s">
        <v>308</v>
      </c>
      <c r="B70" s="61">
        <v>46084</v>
      </c>
      <c r="C70" s="20">
        <f t="shared" si="8"/>
        <v>418</v>
      </c>
      <c r="D70" s="38">
        <f t="shared" si="9"/>
        <v>1</v>
      </c>
      <c r="G70" s="32" t="s">
        <v>100</v>
      </c>
      <c r="H70" s="20" t="s">
        <v>3032</v>
      </c>
      <c r="I70" s="20">
        <v>1111</v>
      </c>
      <c r="J70" s="20">
        <v>112121</v>
      </c>
      <c r="K70" s="20" t="s">
        <v>20</v>
      </c>
      <c r="L70" s="20">
        <v>1</v>
      </c>
      <c r="M70" s="173">
        <v>14000000</v>
      </c>
      <c r="N70" s="173">
        <f t="shared" si="10"/>
        <v>14000000</v>
      </c>
      <c r="Q70" s="20">
        <f t="shared" si="11"/>
        <v>40</v>
      </c>
    </row>
    <row r="71" spans="1:17" ht="15" hidden="1" customHeight="1" x14ac:dyDescent="0.2">
      <c r="A71" s="20" t="s">
        <v>308</v>
      </c>
      <c r="B71" s="61">
        <v>46088</v>
      </c>
      <c r="C71" s="20">
        <f t="shared" si="8"/>
        <v>418</v>
      </c>
      <c r="D71" s="38">
        <f t="shared" si="9"/>
        <v>0</v>
      </c>
      <c r="G71" s="32" t="s">
        <v>100</v>
      </c>
      <c r="H71" s="20" t="s">
        <v>3032</v>
      </c>
      <c r="I71" s="20">
        <v>1111</v>
      </c>
      <c r="J71" s="20">
        <v>112121</v>
      </c>
      <c r="K71" s="20" t="s">
        <v>20</v>
      </c>
      <c r="L71" s="20">
        <v>1</v>
      </c>
      <c r="M71" s="173">
        <v>20000000</v>
      </c>
      <c r="N71" s="173">
        <f t="shared" si="10"/>
        <v>20000000</v>
      </c>
      <c r="Q71" s="20">
        <f t="shared" si="11"/>
        <v>40</v>
      </c>
    </row>
    <row r="72" spans="1:17" ht="15" hidden="1" customHeight="1" x14ac:dyDescent="0.2">
      <c r="A72" s="20" t="s">
        <v>308</v>
      </c>
      <c r="B72" s="61">
        <v>46092</v>
      </c>
      <c r="C72" s="20">
        <f t="shared" si="8"/>
        <v>419</v>
      </c>
      <c r="D72" s="38">
        <f t="shared" si="9"/>
        <v>1</v>
      </c>
      <c r="G72" s="32" t="s">
        <v>100</v>
      </c>
      <c r="H72" s="20" t="s">
        <v>2613</v>
      </c>
      <c r="I72" s="20">
        <v>64275</v>
      </c>
      <c r="J72" s="20">
        <v>112121</v>
      </c>
      <c r="K72" s="20" t="s">
        <v>20</v>
      </c>
      <c r="L72" s="20">
        <v>1</v>
      </c>
      <c r="M72" s="173">
        <v>5000</v>
      </c>
      <c r="N72" s="173">
        <f t="shared" si="10"/>
        <v>5000</v>
      </c>
      <c r="Q72" s="20">
        <f t="shared" si="11"/>
        <v>13</v>
      </c>
    </row>
    <row r="73" spans="1:17" ht="15" hidden="1" customHeight="1" x14ac:dyDescent="0.2">
      <c r="A73" s="20" t="s">
        <v>308</v>
      </c>
      <c r="B73" s="61">
        <v>46103</v>
      </c>
      <c r="C73" s="20">
        <f t="shared" si="8"/>
        <v>420</v>
      </c>
      <c r="D73" s="38">
        <f t="shared" si="9"/>
        <v>1</v>
      </c>
      <c r="G73" s="32" t="s">
        <v>100</v>
      </c>
      <c r="H73" s="20" t="s">
        <v>3032</v>
      </c>
      <c r="I73" s="20">
        <v>1111</v>
      </c>
      <c r="J73" s="20">
        <v>112121</v>
      </c>
      <c r="K73" s="20" t="s">
        <v>20</v>
      </c>
      <c r="L73" s="20">
        <v>1</v>
      </c>
      <c r="M73" s="173">
        <v>50000000</v>
      </c>
      <c r="N73" s="173">
        <f t="shared" si="10"/>
        <v>50000000</v>
      </c>
      <c r="Q73" s="20">
        <f t="shared" si="11"/>
        <v>40</v>
      </c>
    </row>
    <row r="74" spans="1:17" ht="15" hidden="1" customHeight="1" x14ac:dyDescent="0.2">
      <c r="A74" s="20" t="s">
        <v>308</v>
      </c>
      <c r="B74" s="61">
        <v>46108</v>
      </c>
      <c r="C74" s="20">
        <f t="shared" si="8"/>
        <v>420</v>
      </c>
      <c r="D74" s="38">
        <f t="shared" si="9"/>
        <v>0</v>
      </c>
      <c r="G74" s="32" t="s">
        <v>100</v>
      </c>
      <c r="H74" s="20" t="s">
        <v>3032</v>
      </c>
      <c r="I74" s="20">
        <v>1111</v>
      </c>
      <c r="J74" s="20">
        <v>112121</v>
      </c>
      <c r="K74" s="20" t="s">
        <v>20</v>
      </c>
      <c r="L74" s="20">
        <v>1</v>
      </c>
      <c r="M74" s="173">
        <v>60000000</v>
      </c>
      <c r="N74" s="173">
        <f t="shared" si="10"/>
        <v>60000000</v>
      </c>
      <c r="Q74" s="20">
        <f t="shared" si="11"/>
        <v>40</v>
      </c>
    </row>
    <row r="75" spans="1:17" ht="15" hidden="1" customHeight="1" x14ac:dyDescent="0.2">
      <c r="A75" s="20" t="s">
        <v>308</v>
      </c>
      <c r="B75" s="61">
        <v>46108</v>
      </c>
      <c r="C75" s="20">
        <f t="shared" si="8"/>
        <v>420</v>
      </c>
      <c r="D75" s="38">
        <f t="shared" si="9"/>
        <v>0</v>
      </c>
      <c r="G75" s="32" t="s">
        <v>100</v>
      </c>
      <c r="H75" s="20" t="s">
        <v>3032</v>
      </c>
      <c r="I75" s="20">
        <v>1111</v>
      </c>
      <c r="J75" s="20">
        <v>112121</v>
      </c>
      <c r="K75" s="20" t="s">
        <v>20</v>
      </c>
      <c r="L75" s="20">
        <v>1</v>
      </c>
      <c r="M75" s="173">
        <v>40000000</v>
      </c>
      <c r="N75" s="173">
        <f t="shared" si="10"/>
        <v>40000000</v>
      </c>
      <c r="Q75" s="20">
        <f t="shared" si="11"/>
        <v>40</v>
      </c>
    </row>
    <row r="76" spans="1:17" ht="15" hidden="1" customHeight="1" x14ac:dyDescent="0.2">
      <c r="A76" s="20" t="s">
        <v>308</v>
      </c>
      <c r="B76" s="61">
        <v>46111</v>
      </c>
      <c r="C76" s="20">
        <f t="shared" si="8"/>
        <v>420</v>
      </c>
      <c r="D76" s="38">
        <f t="shared" si="9"/>
        <v>0</v>
      </c>
      <c r="G76" s="32" t="s">
        <v>100</v>
      </c>
      <c r="H76" s="20" t="s">
        <v>3032</v>
      </c>
      <c r="I76" s="20">
        <v>1111</v>
      </c>
      <c r="J76" s="20">
        <v>112121</v>
      </c>
      <c r="K76" s="20" t="s">
        <v>20</v>
      </c>
      <c r="L76" s="20">
        <v>1</v>
      </c>
      <c r="M76" s="173">
        <v>20000000</v>
      </c>
      <c r="N76" s="173">
        <f t="shared" si="10"/>
        <v>20000000</v>
      </c>
      <c r="Q76" s="20">
        <f t="shared" si="11"/>
        <v>40</v>
      </c>
    </row>
    <row r="77" spans="1:17" ht="15" hidden="1" customHeight="1" x14ac:dyDescent="0.2">
      <c r="A77" s="20" t="s">
        <v>310</v>
      </c>
      <c r="B77" s="61">
        <v>46025</v>
      </c>
      <c r="C77" s="20">
        <f t="shared" si="8"/>
        <v>421</v>
      </c>
      <c r="D77" s="38">
        <f t="shared" si="9"/>
        <v>1</v>
      </c>
      <c r="F77" s="33"/>
      <c r="G77" s="32" t="s">
        <v>233</v>
      </c>
      <c r="H77" s="20" t="s">
        <v>3745</v>
      </c>
      <c r="I77" s="20">
        <v>331</v>
      </c>
      <c r="J77" s="20">
        <v>1111</v>
      </c>
      <c r="K77" s="20" t="s">
        <v>20</v>
      </c>
      <c r="L77" s="20">
        <v>1</v>
      </c>
      <c r="M77" s="173">
        <v>23929</v>
      </c>
      <c r="N77" s="173">
        <f t="shared" si="10"/>
        <v>23929</v>
      </c>
      <c r="Q77" s="20">
        <f t="shared" si="11"/>
        <v>82</v>
      </c>
    </row>
    <row r="78" spans="1:17" ht="15" hidden="1" customHeight="1" x14ac:dyDescent="0.2">
      <c r="A78" s="20" t="s">
        <v>310</v>
      </c>
      <c r="B78" s="61">
        <v>46025</v>
      </c>
      <c r="C78" s="20">
        <f t="shared" si="8"/>
        <v>422</v>
      </c>
      <c r="D78" s="38">
        <f t="shared" si="9"/>
        <v>1</v>
      </c>
      <c r="F78" s="33"/>
      <c r="G78" s="32" t="s">
        <v>233</v>
      </c>
      <c r="H78" s="20" t="s">
        <v>3744</v>
      </c>
      <c r="I78" s="20">
        <v>331</v>
      </c>
      <c r="J78" s="20">
        <v>1111</v>
      </c>
      <c r="K78" s="20" t="s">
        <v>20</v>
      </c>
      <c r="L78" s="20">
        <v>1</v>
      </c>
      <c r="M78" s="173">
        <v>16676</v>
      </c>
      <c r="N78" s="173">
        <f t="shared" si="10"/>
        <v>16676</v>
      </c>
      <c r="Q78" s="20">
        <f t="shared" si="11"/>
        <v>82</v>
      </c>
    </row>
    <row r="79" spans="1:17" ht="15" hidden="1" customHeight="1" x14ac:dyDescent="0.2">
      <c r="A79" s="20" t="s">
        <v>310</v>
      </c>
      <c r="B79" s="61">
        <v>46028</v>
      </c>
      <c r="C79" s="20">
        <f t="shared" si="8"/>
        <v>423</v>
      </c>
      <c r="D79" s="38">
        <f t="shared" si="9"/>
        <v>1</v>
      </c>
      <c r="F79" s="33"/>
      <c r="G79" s="32" t="s">
        <v>37</v>
      </c>
      <c r="H79" s="20" t="s">
        <v>3746</v>
      </c>
      <c r="I79" s="20">
        <v>331</v>
      </c>
      <c r="J79" s="20">
        <v>1111</v>
      </c>
      <c r="K79" s="20" t="s">
        <v>20</v>
      </c>
      <c r="L79" s="20">
        <v>1</v>
      </c>
      <c r="M79" s="173">
        <v>2273400</v>
      </c>
      <c r="N79" s="173">
        <f t="shared" si="10"/>
        <v>2273400</v>
      </c>
      <c r="Q79" s="20">
        <f t="shared" si="11"/>
        <v>53</v>
      </c>
    </row>
    <row r="80" spans="1:17" ht="15" hidden="1" customHeight="1" x14ac:dyDescent="0.2">
      <c r="A80" s="20" t="s">
        <v>310</v>
      </c>
      <c r="B80" s="61">
        <v>46030</v>
      </c>
      <c r="C80" s="20">
        <f t="shared" si="8"/>
        <v>424</v>
      </c>
      <c r="D80" s="38">
        <f t="shared" si="9"/>
        <v>1</v>
      </c>
      <c r="F80" s="33"/>
      <c r="G80" s="32" t="s">
        <v>35</v>
      </c>
      <c r="H80" s="20" t="s">
        <v>3747</v>
      </c>
      <c r="I80" s="20">
        <v>331</v>
      </c>
      <c r="J80" s="20">
        <v>1111</v>
      </c>
      <c r="K80" s="20" t="s">
        <v>20</v>
      </c>
      <c r="L80" s="20">
        <v>1</v>
      </c>
      <c r="M80" s="173">
        <v>3240000</v>
      </c>
      <c r="N80" s="173">
        <f t="shared" si="10"/>
        <v>3240000</v>
      </c>
      <c r="Q80" s="20">
        <f t="shared" si="11"/>
        <v>52</v>
      </c>
    </row>
    <row r="81" spans="1:17" ht="15" hidden="1" customHeight="1" x14ac:dyDescent="0.2">
      <c r="A81" s="20" t="s">
        <v>310</v>
      </c>
      <c r="B81" s="61">
        <v>46032</v>
      </c>
      <c r="C81" s="20">
        <f t="shared" si="8"/>
        <v>425</v>
      </c>
      <c r="D81" s="38">
        <f t="shared" si="9"/>
        <v>1</v>
      </c>
      <c r="F81" s="33"/>
      <c r="G81" s="32" t="s">
        <v>233</v>
      </c>
      <c r="H81" s="20" t="s">
        <v>3748</v>
      </c>
      <c r="I81" s="20">
        <v>331</v>
      </c>
      <c r="J81" s="20">
        <v>1111</v>
      </c>
      <c r="K81" s="20" t="s">
        <v>20</v>
      </c>
      <c r="L81" s="20">
        <v>1</v>
      </c>
      <c r="M81" s="173">
        <v>1316224</v>
      </c>
      <c r="N81" s="173">
        <f t="shared" si="10"/>
        <v>1316224</v>
      </c>
      <c r="Q81" s="20">
        <f t="shared" si="11"/>
        <v>32</v>
      </c>
    </row>
    <row r="82" spans="1:17" ht="15" hidden="1" customHeight="1" x14ac:dyDescent="0.2">
      <c r="A82" s="20" t="s">
        <v>310</v>
      </c>
      <c r="B82" s="61">
        <v>46041</v>
      </c>
      <c r="C82" s="20">
        <f t="shared" si="8"/>
        <v>426</v>
      </c>
      <c r="D82" s="38">
        <f t="shared" si="9"/>
        <v>1</v>
      </c>
      <c r="F82" s="33"/>
      <c r="G82" s="32" t="s">
        <v>915</v>
      </c>
      <c r="H82" s="20" t="s">
        <v>3750</v>
      </c>
      <c r="I82" s="20">
        <v>331</v>
      </c>
      <c r="J82" s="20">
        <v>1111</v>
      </c>
      <c r="K82" s="20" t="s">
        <v>20</v>
      </c>
      <c r="L82" s="20">
        <v>1</v>
      </c>
      <c r="M82" s="173">
        <v>5810000</v>
      </c>
      <c r="N82" s="173">
        <f t="shared" si="10"/>
        <v>5810000</v>
      </c>
      <c r="Q82" s="20">
        <f t="shared" si="11"/>
        <v>46</v>
      </c>
    </row>
    <row r="83" spans="1:17" ht="15" hidden="1" customHeight="1" x14ac:dyDescent="0.2">
      <c r="A83" s="20" t="s">
        <v>310</v>
      </c>
      <c r="B83" s="61">
        <v>46041</v>
      </c>
      <c r="C83" s="20">
        <f t="shared" si="8"/>
        <v>427</v>
      </c>
      <c r="D83" s="38">
        <f t="shared" si="9"/>
        <v>1</v>
      </c>
      <c r="F83" s="33"/>
      <c r="G83" s="32" t="s">
        <v>914</v>
      </c>
      <c r="H83" s="20" t="s">
        <v>3749</v>
      </c>
      <c r="I83" s="20">
        <v>331</v>
      </c>
      <c r="J83" s="20">
        <v>1111</v>
      </c>
      <c r="K83" s="20" t="s">
        <v>20</v>
      </c>
      <c r="L83" s="20">
        <v>1</v>
      </c>
      <c r="M83" s="173">
        <v>34100000</v>
      </c>
      <c r="N83" s="173">
        <f t="shared" si="10"/>
        <v>34100000</v>
      </c>
      <c r="Q83" s="20">
        <f t="shared" si="11"/>
        <v>47</v>
      </c>
    </row>
    <row r="84" spans="1:17" ht="15" hidden="1" customHeight="1" x14ac:dyDescent="0.2">
      <c r="A84" s="20" t="s">
        <v>310</v>
      </c>
      <c r="B84" s="61">
        <v>46049</v>
      </c>
      <c r="C84" s="20">
        <f t="shared" si="8"/>
        <v>428</v>
      </c>
      <c r="D84" s="38">
        <f t="shared" si="9"/>
        <v>1</v>
      </c>
      <c r="F84" s="33"/>
      <c r="G84" s="32" t="s">
        <v>233</v>
      </c>
      <c r="H84" s="20" t="s">
        <v>3751</v>
      </c>
      <c r="I84" s="20">
        <v>331</v>
      </c>
      <c r="J84" s="20">
        <v>1111</v>
      </c>
      <c r="K84" s="20" t="s">
        <v>20</v>
      </c>
      <c r="L84" s="20">
        <v>1</v>
      </c>
      <c r="M84" s="173">
        <v>28675</v>
      </c>
      <c r="N84" s="173">
        <f t="shared" si="10"/>
        <v>28675</v>
      </c>
      <c r="Q84" s="20">
        <f t="shared" si="11"/>
        <v>85</v>
      </c>
    </row>
    <row r="85" spans="1:17" ht="15" hidden="1" customHeight="1" x14ac:dyDescent="0.2">
      <c r="A85" s="20" t="s">
        <v>310</v>
      </c>
      <c r="B85" s="61">
        <v>46051</v>
      </c>
      <c r="C85" s="20">
        <f t="shared" si="8"/>
        <v>429</v>
      </c>
      <c r="D85" s="38">
        <f t="shared" si="9"/>
        <v>1</v>
      </c>
      <c r="F85" s="33"/>
      <c r="G85" s="32" t="s">
        <v>917</v>
      </c>
      <c r="H85" s="20" t="s">
        <v>3752</v>
      </c>
      <c r="I85" s="20">
        <v>331</v>
      </c>
      <c r="J85" s="20">
        <v>1111</v>
      </c>
      <c r="K85" s="20" t="s">
        <v>20</v>
      </c>
      <c r="L85" s="20">
        <v>1</v>
      </c>
      <c r="M85" s="173">
        <v>4499000</v>
      </c>
      <c r="N85" s="173">
        <f t="shared" si="10"/>
        <v>4499000</v>
      </c>
      <c r="Q85" s="20">
        <f t="shared" si="11"/>
        <v>91</v>
      </c>
    </row>
    <row r="86" spans="1:17" ht="15" hidden="1" customHeight="1" x14ac:dyDescent="0.2">
      <c r="A86" s="20" t="s">
        <v>310</v>
      </c>
      <c r="B86" s="61">
        <v>46060</v>
      </c>
      <c r="C86" s="20">
        <f t="shared" si="8"/>
        <v>430</v>
      </c>
      <c r="D86" s="38">
        <f t="shared" si="9"/>
        <v>1</v>
      </c>
      <c r="F86" s="33"/>
      <c r="G86" s="32" t="s">
        <v>35</v>
      </c>
      <c r="H86" s="20" t="s">
        <v>3753</v>
      </c>
      <c r="I86" s="20">
        <v>331</v>
      </c>
      <c r="J86" s="20">
        <v>1111</v>
      </c>
      <c r="K86" s="20" t="s">
        <v>20</v>
      </c>
      <c r="L86" s="20">
        <v>1</v>
      </c>
      <c r="M86" s="173">
        <v>3240000</v>
      </c>
      <c r="N86" s="173">
        <f t="shared" si="10"/>
        <v>3240000</v>
      </c>
      <c r="Q86" s="20">
        <f t="shared" si="11"/>
        <v>52</v>
      </c>
    </row>
    <row r="87" spans="1:17" ht="15" hidden="1" customHeight="1" x14ac:dyDescent="0.2">
      <c r="A87" s="20" t="s">
        <v>310</v>
      </c>
      <c r="B87" s="61">
        <v>46083</v>
      </c>
      <c r="C87" s="20">
        <f t="shared" si="8"/>
        <v>431</v>
      </c>
      <c r="D87" s="38">
        <f t="shared" si="9"/>
        <v>1</v>
      </c>
      <c r="F87" s="33"/>
      <c r="G87" s="32" t="s">
        <v>233</v>
      </c>
      <c r="H87" s="20" t="s">
        <v>3754</v>
      </c>
      <c r="I87" s="20">
        <v>331</v>
      </c>
      <c r="J87" s="20">
        <v>1111</v>
      </c>
      <c r="K87" s="20" t="s">
        <v>20</v>
      </c>
      <c r="L87" s="20">
        <v>1</v>
      </c>
      <c r="M87" s="173">
        <v>16612</v>
      </c>
      <c r="N87" s="173">
        <f t="shared" si="10"/>
        <v>16612</v>
      </c>
      <c r="Q87" s="20">
        <f t="shared" si="11"/>
        <v>83</v>
      </c>
    </row>
    <row r="88" spans="1:17" ht="15" hidden="1" customHeight="1" x14ac:dyDescent="0.2">
      <c r="A88" s="20" t="s">
        <v>310</v>
      </c>
      <c r="B88" s="61">
        <v>46085</v>
      </c>
      <c r="C88" s="20">
        <f t="shared" si="8"/>
        <v>432</v>
      </c>
      <c r="D88" s="38">
        <f t="shared" si="9"/>
        <v>1</v>
      </c>
      <c r="F88" s="33"/>
      <c r="G88" s="32" t="s">
        <v>35</v>
      </c>
      <c r="H88" s="20" t="s">
        <v>3755</v>
      </c>
      <c r="I88" s="20">
        <v>331</v>
      </c>
      <c r="J88" s="20">
        <v>1111</v>
      </c>
      <c r="K88" s="20" t="s">
        <v>20</v>
      </c>
      <c r="L88" s="20">
        <v>1</v>
      </c>
      <c r="M88" s="173">
        <v>3240000</v>
      </c>
      <c r="N88" s="173">
        <f t="shared" si="10"/>
        <v>3240000</v>
      </c>
      <c r="Q88" s="20">
        <f t="shared" si="11"/>
        <v>52</v>
      </c>
    </row>
    <row r="89" spans="1:17" ht="15" hidden="1" customHeight="1" x14ac:dyDescent="0.2">
      <c r="A89" s="20" t="s">
        <v>310</v>
      </c>
      <c r="B89" s="61">
        <v>46088</v>
      </c>
      <c r="C89" s="20">
        <f t="shared" si="8"/>
        <v>433</v>
      </c>
      <c r="D89" s="38">
        <f t="shared" si="9"/>
        <v>1</v>
      </c>
      <c r="F89" s="33"/>
      <c r="G89" s="32" t="s">
        <v>233</v>
      </c>
      <c r="H89" s="20" t="s">
        <v>3756</v>
      </c>
      <c r="I89" s="20">
        <v>331</v>
      </c>
      <c r="J89" s="20">
        <v>1111</v>
      </c>
      <c r="K89" s="20" t="s">
        <v>20</v>
      </c>
      <c r="L89" s="20">
        <v>1</v>
      </c>
      <c r="M89" s="173">
        <v>23868</v>
      </c>
      <c r="N89" s="173">
        <f t="shared" si="10"/>
        <v>23868</v>
      </c>
      <c r="Q89" s="20">
        <f t="shared" si="11"/>
        <v>83</v>
      </c>
    </row>
    <row r="90" spans="1:17" ht="15" hidden="1" customHeight="1" x14ac:dyDescent="0.2">
      <c r="A90" s="20" t="s">
        <v>310</v>
      </c>
      <c r="B90" s="61">
        <v>46091</v>
      </c>
      <c r="C90" s="20">
        <f t="shared" si="8"/>
        <v>434</v>
      </c>
      <c r="D90" s="38">
        <f t="shared" si="9"/>
        <v>1</v>
      </c>
      <c r="F90" s="33"/>
      <c r="G90" s="32" t="s">
        <v>233</v>
      </c>
      <c r="H90" s="20" t="s">
        <v>3757</v>
      </c>
      <c r="I90" s="20">
        <v>331</v>
      </c>
      <c r="J90" s="20">
        <v>1111</v>
      </c>
      <c r="K90" s="20" t="s">
        <v>20</v>
      </c>
      <c r="L90" s="20">
        <v>1</v>
      </c>
      <c r="M90" s="173">
        <v>1069383</v>
      </c>
      <c r="N90" s="173">
        <f t="shared" si="10"/>
        <v>1069383</v>
      </c>
      <c r="Q90" s="20">
        <f t="shared" si="11"/>
        <v>32</v>
      </c>
    </row>
    <row r="91" spans="1:17" ht="15" hidden="1" customHeight="1" x14ac:dyDescent="0.2">
      <c r="A91" s="20" t="s">
        <v>18</v>
      </c>
      <c r="B91" s="61">
        <v>46025</v>
      </c>
      <c r="C91" s="20">
        <f t="shared" si="8"/>
        <v>435</v>
      </c>
      <c r="D91" s="38">
        <f t="shared" si="9"/>
        <v>1</v>
      </c>
      <c r="G91" s="32" t="s">
        <v>233</v>
      </c>
      <c r="H91" s="20" t="s">
        <v>911</v>
      </c>
      <c r="I91" s="20">
        <v>64277</v>
      </c>
      <c r="J91" s="20">
        <v>331</v>
      </c>
      <c r="K91" s="20" t="s">
        <v>20</v>
      </c>
      <c r="L91" s="20">
        <v>1</v>
      </c>
      <c r="M91" s="173">
        <v>21754</v>
      </c>
      <c r="N91" s="173">
        <f t="shared" si="10"/>
        <v>21754</v>
      </c>
      <c r="Q91" s="20">
        <f t="shared" si="11"/>
        <v>71</v>
      </c>
    </row>
    <row r="92" spans="1:17" ht="15" hidden="1" customHeight="1" x14ac:dyDescent="0.2">
      <c r="A92" s="20" t="s">
        <v>18</v>
      </c>
      <c r="B92" s="61">
        <v>46025</v>
      </c>
      <c r="C92" s="20">
        <f t="shared" si="8"/>
        <v>435</v>
      </c>
      <c r="D92" s="38">
        <f t="shared" si="9"/>
        <v>0</v>
      </c>
      <c r="F92" s="33"/>
      <c r="G92" s="32" t="s">
        <v>233</v>
      </c>
      <c r="H92" s="20" t="s">
        <v>911</v>
      </c>
      <c r="I92" s="20">
        <v>1331</v>
      </c>
      <c r="J92" s="20">
        <v>331</v>
      </c>
      <c r="K92" s="20" t="s">
        <v>20</v>
      </c>
      <c r="L92" s="20">
        <v>1</v>
      </c>
      <c r="M92" s="173">
        <v>2175</v>
      </c>
      <c r="N92" s="173">
        <f t="shared" si="10"/>
        <v>2175</v>
      </c>
      <c r="Q92" s="20">
        <f t="shared" si="11"/>
        <v>71</v>
      </c>
    </row>
    <row r="93" spans="1:17" ht="15" hidden="1" customHeight="1" x14ac:dyDescent="0.2">
      <c r="A93" s="20" t="s">
        <v>18</v>
      </c>
      <c r="B93" s="61">
        <v>46025</v>
      </c>
      <c r="C93" s="20">
        <f t="shared" si="8"/>
        <v>436</v>
      </c>
      <c r="D93" s="38">
        <f t="shared" si="9"/>
        <v>1</v>
      </c>
      <c r="F93" s="33"/>
      <c r="G93" s="32" t="s">
        <v>233</v>
      </c>
      <c r="H93" s="20" t="s">
        <v>910</v>
      </c>
      <c r="I93" s="20">
        <v>64277</v>
      </c>
      <c r="J93" s="20">
        <v>331</v>
      </c>
      <c r="K93" s="20" t="s">
        <v>20</v>
      </c>
      <c r="L93" s="20">
        <v>1</v>
      </c>
      <c r="M93" s="173">
        <v>15160</v>
      </c>
      <c r="N93" s="173">
        <f t="shared" si="10"/>
        <v>15160</v>
      </c>
      <c r="Q93" s="20">
        <f t="shared" si="11"/>
        <v>71</v>
      </c>
    </row>
    <row r="94" spans="1:17" ht="15" hidden="1" customHeight="1" x14ac:dyDescent="0.2">
      <c r="A94" s="20" t="s">
        <v>18</v>
      </c>
      <c r="B94" s="61">
        <v>46025</v>
      </c>
      <c r="C94" s="20">
        <f t="shared" si="8"/>
        <v>436</v>
      </c>
      <c r="D94" s="38">
        <f t="shared" si="9"/>
        <v>0</v>
      </c>
      <c r="G94" s="32" t="s">
        <v>233</v>
      </c>
      <c r="H94" s="20" t="s">
        <v>910</v>
      </c>
      <c r="I94" s="20">
        <v>1331</v>
      </c>
      <c r="J94" s="20">
        <v>331</v>
      </c>
      <c r="K94" s="20" t="s">
        <v>20</v>
      </c>
      <c r="L94" s="20">
        <v>1</v>
      </c>
      <c r="M94" s="173">
        <v>1516</v>
      </c>
      <c r="N94" s="173">
        <f t="shared" si="10"/>
        <v>1516</v>
      </c>
      <c r="Q94" s="20">
        <f t="shared" si="11"/>
        <v>71</v>
      </c>
    </row>
    <row r="95" spans="1:17" ht="15" hidden="1" customHeight="1" x14ac:dyDescent="0.2">
      <c r="A95" s="20" t="s">
        <v>18</v>
      </c>
      <c r="B95" s="61">
        <v>46027</v>
      </c>
      <c r="C95" s="20">
        <f t="shared" si="8"/>
        <v>437</v>
      </c>
      <c r="D95" s="38">
        <f t="shared" si="9"/>
        <v>1</v>
      </c>
      <c r="G95" s="32" t="s">
        <v>924</v>
      </c>
      <c r="H95" s="20" t="s">
        <v>925</v>
      </c>
      <c r="I95" s="20">
        <v>131</v>
      </c>
      <c r="J95" s="20">
        <v>5113</v>
      </c>
      <c r="K95" s="20" t="s">
        <v>20</v>
      </c>
      <c r="L95" s="20">
        <v>1</v>
      </c>
      <c r="M95" s="173">
        <v>21505376</v>
      </c>
      <c r="N95" s="173">
        <f t="shared" si="10"/>
        <v>21505376</v>
      </c>
      <c r="Q95" s="20">
        <f t="shared" si="11"/>
        <v>149</v>
      </c>
    </row>
    <row r="96" spans="1:17" ht="15" hidden="1" customHeight="1" x14ac:dyDescent="0.2">
      <c r="A96" s="20" t="s">
        <v>18</v>
      </c>
      <c r="B96" s="61">
        <v>46027</v>
      </c>
      <c r="C96" s="20">
        <f t="shared" si="8"/>
        <v>438</v>
      </c>
      <c r="D96" s="38">
        <f t="shared" si="9"/>
        <v>1</v>
      </c>
      <c r="G96" s="164" t="s">
        <v>3773</v>
      </c>
      <c r="H96" s="20" t="s">
        <v>926</v>
      </c>
      <c r="I96" s="20">
        <v>131</v>
      </c>
      <c r="J96" s="20">
        <v>5113</v>
      </c>
      <c r="K96" s="20" t="s">
        <v>20</v>
      </c>
      <c r="L96" s="20">
        <v>1</v>
      </c>
      <c r="M96" s="173">
        <v>21505376</v>
      </c>
      <c r="N96" s="173">
        <f t="shared" si="10"/>
        <v>21505376</v>
      </c>
      <c r="Q96" s="20">
        <f t="shared" si="11"/>
        <v>193</v>
      </c>
    </row>
    <row r="97" spans="1:17" ht="15" hidden="1" customHeight="1" x14ac:dyDescent="0.2">
      <c r="A97" s="20" t="s">
        <v>18</v>
      </c>
      <c r="B97" s="61">
        <v>46027</v>
      </c>
      <c r="C97" s="20">
        <f t="shared" si="8"/>
        <v>439</v>
      </c>
      <c r="D97" s="38">
        <f t="shared" si="9"/>
        <v>1</v>
      </c>
      <c r="G97" s="32" t="s">
        <v>107</v>
      </c>
      <c r="H97" s="20" t="s">
        <v>3740</v>
      </c>
      <c r="I97" s="20">
        <v>131</v>
      </c>
      <c r="J97" s="20">
        <v>5113</v>
      </c>
      <c r="K97" s="20" t="s">
        <v>20</v>
      </c>
      <c r="L97" s="20">
        <v>1</v>
      </c>
      <c r="M97" s="173">
        <v>33333333</v>
      </c>
      <c r="N97" s="173">
        <f t="shared" si="10"/>
        <v>33333333</v>
      </c>
      <c r="Q97" s="20">
        <f t="shared" si="11"/>
        <v>161</v>
      </c>
    </row>
    <row r="98" spans="1:17" ht="15" customHeight="1" x14ac:dyDescent="0.2">
      <c r="A98" s="20" t="s">
        <v>18</v>
      </c>
      <c r="B98" s="61">
        <v>46027</v>
      </c>
      <c r="C98" s="20">
        <f t="shared" si="8"/>
        <v>440</v>
      </c>
      <c r="D98" s="38">
        <f t="shared" si="9"/>
        <v>1</v>
      </c>
      <c r="G98" s="32" t="s">
        <v>924</v>
      </c>
      <c r="H98" s="20" t="s">
        <v>3758</v>
      </c>
      <c r="I98" s="20">
        <v>333821</v>
      </c>
      <c r="J98" s="20">
        <v>131</v>
      </c>
      <c r="K98" s="20" t="s">
        <v>20</v>
      </c>
      <c r="L98" s="20">
        <v>1</v>
      </c>
      <c r="M98" s="173">
        <v>215054</v>
      </c>
      <c r="N98" s="173">
        <f t="shared" si="10"/>
        <v>215054</v>
      </c>
      <c r="Q98" s="20">
        <f t="shared" si="11"/>
        <v>165</v>
      </c>
    </row>
    <row r="99" spans="1:17" ht="15" customHeight="1" x14ac:dyDescent="0.2">
      <c r="A99" s="20" t="s">
        <v>18</v>
      </c>
      <c r="B99" s="61">
        <v>46027</v>
      </c>
      <c r="C99" s="20">
        <f t="shared" si="8"/>
        <v>441</v>
      </c>
      <c r="D99" s="38">
        <f t="shared" si="9"/>
        <v>1</v>
      </c>
      <c r="G99" s="164" t="s">
        <v>3773</v>
      </c>
      <c r="H99" s="20" t="s">
        <v>3786</v>
      </c>
      <c r="I99" s="20">
        <v>333821</v>
      </c>
      <c r="J99" s="20">
        <v>131</v>
      </c>
      <c r="K99" s="20" t="s">
        <v>20</v>
      </c>
      <c r="L99" s="20">
        <v>1</v>
      </c>
      <c r="M99" s="173">
        <v>215054</v>
      </c>
      <c r="N99" s="173">
        <f t="shared" si="10"/>
        <v>215054</v>
      </c>
      <c r="Q99" s="20">
        <f t="shared" si="11"/>
        <v>113</v>
      </c>
    </row>
    <row r="100" spans="1:17" ht="15" customHeight="1" x14ac:dyDescent="0.2">
      <c r="A100" s="20" t="s">
        <v>18</v>
      </c>
      <c r="B100" s="61">
        <v>46027</v>
      </c>
      <c r="C100" s="20">
        <f t="shared" ref="C100:C131" si="12">C99+D100</f>
        <v>442</v>
      </c>
      <c r="D100" s="38">
        <f t="shared" ref="D100:D131" si="13">IF(H100=H99,0,1)</f>
        <v>1</v>
      </c>
      <c r="G100" s="32" t="s">
        <v>107</v>
      </c>
      <c r="H100" s="20" t="s">
        <v>3759</v>
      </c>
      <c r="I100" s="20">
        <v>333821</v>
      </c>
      <c r="J100" s="20">
        <v>131</v>
      </c>
      <c r="K100" s="20" t="s">
        <v>20</v>
      </c>
      <c r="L100" s="20">
        <v>1</v>
      </c>
      <c r="M100" s="173">
        <v>333333</v>
      </c>
      <c r="N100" s="173">
        <f t="shared" ref="N100:N131" si="14">L100*M100</f>
        <v>333333</v>
      </c>
      <c r="Q100" s="20">
        <f t="shared" ref="Q100:Q131" si="15">LEN(H100)</f>
        <v>177</v>
      </c>
    </row>
    <row r="101" spans="1:17" ht="15" hidden="1" customHeight="1" x14ac:dyDescent="0.2">
      <c r="A101" s="20" t="s">
        <v>18</v>
      </c>
      <c r="B101" s="61">
        <v>46028</v>
      </c>
      <c r="C101" s="20">
        <f t="shared" si="12"/>
        <v>443</v>
      </c>
      <c r="D101" s="38">
        <f t="shared" si="13"/>
        <v>1</v>
      </c>
      <c r="F101" s="33"/>
      <c r="G101" s="32" t="s">
        <v>37</v>
      </c>
      <c r="H101" s="20" t="s">
        <v>3737</v>
      </c>
      <c r="I101" s="20">
        <v>64277</v>
      </c>
      <c r="J101" s="20">
        <v>331</v>
      </c>
      <c r="K101" s="20" t="s">
        <v>20</v>
      </c>
      <c r="L101" s="20">
        <v>1</v>
      </c>
      <c r="M101" s="173">
        <v>2105000</v>
      </c>
      <c r="N101" s="173">
        <f t="shared" si="14"/>
        <v>2105000</v>
      </c>
      <c r="Q101" s="20">
        <f t="shared" si="15"/>
        <v>42</v>
      </c>
    </row>
    <row r="102" spans="1:17" ht="15" hidden="1" customHeight="1" x14ac:dyDescent="0.2">
      <c r="A102" s="20" t="s">
        <v>18</v>
      </c>
      <c r="B102" s="61">
        <v>46028</v>
      </c>
      <c r="C102" s="20">
        <f t="shared" si="12"/>
        <v>443</v>
      </c>
      <c r="D102" s="38">
        <f t="shared" si="13"/>
        <v>0</v>
      </c>
      <c r="G102" s="32" t="s">
        <v>37</v>
      </c>
      <c r="H102" s="20" t="s">
        <v>3737</v>
      </c>
      <c r="I102" s="20">
        <v>1331</v>
      </c>
      <c r="J102" s="20">
        <v>331</v>
      </c>
      <c r="K102" s="20" t="s">
        <v>20</v>
      </c>
      <c r="L102" s="20">
        <v>1</v>
      </c>
      <c r="M102" s="173">
        <v>168400</v>
      </c>
      <c r="N102" s="173">
        <f t="shared" si="14"/>
        <v>168400</v>
      </c>
      <c r="Q102" s="20">
        <f t="shared" si="15"/>
        <v>42</v>
      </c>
    </row>
    <row r="103" spans="1:17" ht="15" customHeight="1" x14ac:dyDescent="0.2">
      <c r="A103" s="20" t="s">
        <v>18</v>
      </c>
      <c r="B103" s="61">
        <v>46028</v>
      </c>
      <c r="C103" s="20">
        <f t="shared" si="12"/>
        <v>444</v>
      </c>
      <c r="D103" s="38">
        <f t="shared" si="13"/>
        <v>1</v>
      </c>
      <c r="G103" s="32" t="s">
        <v>57</v>
      </c>
      <c r="H103" s="20" t="s">
        <v>3760</v>
      </c>
      <c r="I103" s="20">
        <v>333821</v>
      </c>
      <c r="J103" s="20">
        <v>131</v>
      </c>
      <c r="K103" s="20" t="s">
        <v>20</v>
      </c>
      <c r="L103" s="20">
        <v>1</v>
      </c>
      <c r="M103" s="173">
        <v>222222</v>
      </c>
      <c r="N103" s="173">
        <f t="shared" si="14"/>
        <v>222222</v>
      </c>
      <c r="Q103" s="20">
        <f t="shared" si="15"/>
        <v>175</v>
      </c>
    </row>
    <row r="104" spans="1:17" ht="15" hidden="1" customHeight="1" x14ac:dyDescent="0.2">
      <c r="A104" s="20" t="s">
        <v>18</v>
      </c>
      <c r="B104" s="61">
        <v>46028</v>
      </c>
      <c r="C104" s="20">
        <f t="shared" si="12"/>
        <v>445</v>
      </c>
      <c r="D104" s="38">
        <f t="shared" si="13"/>
        <v>1</v>
      </c>
      <c r="G104" s="32" t="s">
        <v>57</v>
      </c>
      <c r="H104" s="20" t="s">
        <v>927</v>
      </c>
      <c r="I104" s="20">
        <v>131</v>
      </c>
      <c r="J104" s="20">
        <v>5113</v>
      </c>
      <c r="K104" s="20" t="s">
        <v>20</v>
      </c>
      <c r="L104" s="20">
        <v>1</v>
      </c>
      <c r="M104" s="173">
        <v>22222222</v>
      </c>
      <c r="N104" s="173">
        <f t="shared" si="14"/>
        <v>22222222</v>
      </c>
      <c r="Q104" s="20">
        <f t="shared" si="15"/>
        <v>159</v>
      </c>
    </row>
    <row r="105" spans="1:17" ht="15" hidden="1" customHeight="1" x14ac:dyDescent="0.2">
      <c r="A105" s="20" t="s">
        <v>18</v>
      </c>
      <c r="B105" s="61">
        <v>46030</v>
      </c>
      <c r="C105" s="20">
        <f t="shared" si="12"/>
        <v>446</v>
      </c>
      <c r="D105" s="38">
        <f t="shared" si="13"/>
        <v>1</v>
      </c>
      <c r="G105" s="32" t="s">
        <v>35</v>
      </c>
      <c r="H105" s="20" t="s">
        <v>912</v>
      </c>
      <c r="I105" s="20">
        <v>64277</v>
      </c>
      <c r="J105" s="20">
        <v>331</v>
      </c>
      <c r="K105" s="20" t="s">
        <v>20</v>
      </c>
      <c r="L105" s="20">
        <v>1</v>
      </c>
      <c r="M105" s="173">
        <v>3000000</v>
      </c>
      <c r="N105" s="173">
        <f t="shared" si="14"/>
        <v>3000000</v>
      </c>
      <c r="Q105" s="20">
        <f t="shared" si="15"/>
        <v>41</v>
      </c>
    </row>
    <row r="106" spans="1:17" ht="15" hidden="1" customHeight="1" x14ac:dyDescent="0.2">
      <c r="A106" s="20" t="s">
        <v>18</v>
      </c>
      <c r="B106" s="61">
        <v>46030</v>
      </c>
      <c r="C106" s="20">
        <f t="shared" si="12"/>
        <v>446</v>
      </c>
      <c r="D106" s="38">
        <f t="shared" si="13"/>
        <v>0</v>
      </c>
      <c r="F106" s="33"/>
      <c r="G106" s="32" t="s">
        <v>35</v>
      </c>
      <c r="H106" s="20" t="s">
        <v>912</v>
      </c>
      <c r="I106" s="20">
        <v>1331</v>
      </c>
      <c r="J106" s="20">
        <v>331</v>
      </c>
      <c r="K106" s="20" t="s">
        <v>20</v>
      </c>
      <c r="L106" s="20">
        <v>1</v>
      </c>
      <c r="M106" s="173">
        <v>240000</v>
      </c>
      <c r="N106" s="173">
        <f t="shared" si="14"/>
        <v>240000</v>
      </c>
      <c r="Q106" s="20">
        <f t="shared" si="15"/>
        <v>41</v>
      </c>
    </row>
    <row r="107" spans="1:17" ht="15" hidden="1" customHeight="1" x14ac:dyDescent="0.2">
      <c r="A107" s="20" t="s">
        <v>18</v>
      </c>
      <c r="B107" s="61">
        <v>46032</v>
      </c>
      <c r="C107" s="20">
        <f t="shared" si="12"/>
        <v>447</v>
      </c>
      <c r="D107" s="38">
        <f t="shared" si="13"/>
        <v>1</v>
      </c>
      <c r="F107" s="33"/>
      <c r="G107" s="32" t="s">
        <v>233</v>
      </c>
      <c r="H107" s="20" t="s">
        <v>913</v>
      </c>
      <c r="I107" s="20">
        <v>64277</v>
      </c>
      <c r="J107" s="20">
        <v>331</v>
      </c>
      <c r="K107" s="20" t="s">
        <v>20</v>
      </c>
      <c r="L107" s="20">
        <v>1</v>
      </c>
      <c r="M107" s="173">
        <v>1316224</v>
      </c>
      <c r="N107" s="173">
        <f t="shared" si="14"/>
        <v>1316224</v>
      </c>
      <c r="Q107" s="20">
        <f t="shared" si="15"/>
        <v>21</v>
      </c>
    </row>
    <row r="108" spans="1:17" ht="15" hidden="1" customHeight="1" x14ac:dyDescent="0.2">
      <c r="A108" s="20" t="s">
        <v>18</v>
      </c>
      <c r="B108" s="61">
        <v>46032</v>
      </c>
      <c r="C108" s="20">
        <f t="shared" si="12"/>
        <v>447</v>
      </c>
      <c r="D108" s="38">
        <f t="shared" si="13"/>
        <v>0</v>
      </c>
      <c r="G108" s="32" t="s">
        <v>233</v>
      </c>
      <c r="H108" s="20" t="s">
        <v>913</v>
      </c>
      <c r="I108" s="20">
        <v>1331</v>
      </c>
      <c r="J108" s="20">
        <v>331</v>
      </c>
      <c r="K108" s="20" t="s">
        <v>20</v>
      </c>
      <c r="L108" s="20">
        <v>1</v>
      </c>
      <c r="M108" s="173">
        <v>0</v>
      </c>
      <c r="N108" s="173">
        <f t="shared" si="14"/>
        <v>0</v>
      </c>
      <c r="Q108" s="20">
        <f t="shared" si="15"/>
        <v>21</v>
      </c>
    </row>
    <row r="109" spans="1:17" ht="15" hidden="1" customHeight="1" x14ac:dyDescent="0.2">
      <c r="A109" s="20" t="s">
        <v>18</v>
      </c>
      <c r="B109" s="61">
        <v>46034</v>
      </c>
      <c r="C109" s="20">
        <f t="shared" si="12"/>
        <v>448</v>
      </c>
      <c r="D109" s="38">
        <f t="shared" si="13"/>
        <v>1</v>
      </c>
      <c r="G109" s="32" t="s">
        <v>928</v>
      </c>
      <c r="H109" s="20" t="s">
        <v>929</v>
      </c>
      <c r="I109" s="20">
        <v>131</v>
      </c>
      <c r="J109" s="20">
        <v>5113</v>
      </c>
      <c r="K109" s="20" t="s">
        <v>20</v>
      </c>
      <c r="L109" s="20">
        <v>1</v>
      </c>
      <c r="M109" s="173">
        <v>22222222</v>
      </c>
      <c r="N109" s="173">
        <f t="shared" si="14"/>
        <v>22222222</v>
      </c>
      <c r="Q109" s="20">
        <f t="shared" si="15"/>
        <v>102</v>
      </c>
    </row>
    <row r="110" spans="1:17" ht="15" customHeight="1" x14ac:dyDescent="0.2">
      <c r="A110" s="20" t="s">
        <v>18</v>
      </c>
      <c r="B110" s="61">
        <v>46034</v>
      </c>
      <c r="C110" s="20">
        <f t="shared" si="12"/>
        <v>449</v>
      </c>
      <c r="D110" s="38">
        <f t="shared" si="13"/>
        <v>1</v>
      </c>
      <c r="G110" s="32" t="s">
        <v>928</v>
      </c>
      <c r="H110" s="20" t="s">
        <v>3761</v>
      </c>
      <c r="I110" s="20">
        <v>333821</v>
      </c>
      <c r="J110" s="20">
        <v>131</v>
      </c>
      <c r="K110" s="20" t="s">
        <v>20</v>
      </c>
      <c r="L110" s="20">
        <v>1</v>
      </c>
      <c r="M110" s="173">
        <v>222222</v>
      </c>
      <c r="N110" s="173">
        <f t="shared" si="14"/>
        <v>222222</v>
      </c>
      <c r="Q110" s="20">
        <f t="shared" si="15"/>
        <v>118</v>
      </c>
    </row>
    <row r="111" spans="1:17" ht="15" hidden="1" customHeight="1" x14ac:dyDescent="0.2">
      <c r="A111" s="20" t="s">
        <v>18</v>
      </c>
      <c r="B111" s="61">
        <v>46041</v>
      </c>
      <c r="C111" s="20">
        <f t="shared" si="12"/>
        <v>450</v>
      </c>
      <c r="D111" s="38">
        <f t="shared" si="13"/>
        <v>1</v>
      </c>
      <c r="F111" s="33"/>
      <c r="G111" s="32" t="s">
        <v>915</v>
      </c>
      <c r="H111" s="20" t="s">
        <v>3739</v>
      </c>
      <c r="I111" s="20">
        <v>64277</v>
      </c>
      <c r="J111" s="20">
        <v>331</v>
      </c>
      <c r="K111" s="20" t="s">
        <v>20</v>
      </c>
      <c r="L111" s="20">
        <v>1</v>
      </c>
      <c r="M111" s="173">
        <v>5379629</v>
      </c>
      <c r="N111" s="173">
        <f t="shared" si="14"/>
        <v>5379629</v>
      </c>
      <c r="Q111" s="20">
        <f t="shared" si="15"/>
        <v>35</v>
      </c>
    </row>
    <row r="112" spans="1:17" ht="15" hidden="1" customHeight="1" x14ac:dyDescent="0.2">
      <c r="A112" s="20" t="s">
        <v>18</v>
      </c>
      <c r="B112" s="61">
        <v>46041</v>
      </c>
      <c r="C112" s="20">
        <f t="shared" si="12"/>
        <v>450</v>
      </c>
      <c r="D112" s="38">
        <f t="shared" si="13"/>
        <v>0</v>
      </c>
      <c r="G112" s="32" t="s">
        <v>915</v>
      </c>
      <c r="H112" s="20" t="s">
        <v>3739</v>
      </c>
      <c r="I112" s="20">
        <v>1331</v>
      </c>
      <c r="J112" s="20">
        <v>331</v>
      </c>
      <c r="K112" s="20" t="s">
        <v>20</v>
      </c>
      <c r="L112" s="20">
        <v>1</v>
      </c>
      <c r="M112" s="173">
        <v>430371</v>
      </c>
      <c r="N112" s="173">
        <f t="shared" si="14"/>
        <v>430371</v>
      </c>
      <c r="Q112" s="20">
        <f t="shared" si="15"/>
        <v>35</v>
      </c>
    </row>
    <row r="113" spans="1:17" ht="15" hidden="1" customHeight="1" x14ac:dyDescent="0.2">
      <c r="A113" s="20" t="s">
        <v>18</v>
      </c>
      <c r="B113" s="61">
        <v>46041</v>
      </c>
      <c r="C113" s="20">
        <f t="shared" si="12"/>
        <v>451</v>
      </c>
      <c r="D113" s="38">
        <f t="shared" si="13"/>
        <v>1</v>
      </c>
      <c r="G113" s="32" t="s">
        <v>914</v>
      </c>
      <c r="H113" s="20" t="s">
        <v>3738</v>
      </c>
      <c r="I113" s="20">
        <v>64277</v>
      </c>
      <c r="J113" s="20">
        <v>331</v>
      </c>
      <c r="K113" s="20" t="s">
        <v>20</v>
      </c>
      <c r="L113" s="20">
        <v>1</v>
      </c>
      <c r="M113" s="173">
        <v>31574074</v>
      </c>
      <c r="N113" s="173">
        <f t="shared" si="14"/>
        <v>31574074</v>
      </c>
      <c r="Q113" s="20">
        <f t="shared" si="15"/>
        <v>36</v>
      </c>
    </row>
    <row r="114" spans="1:17" ht="15" hidden="1" customHeight="1" x14ac:dyDescent="0.2">
      <c r="A114" s="20" t="s">
        <v>18</v>
      </c>
      <c r="B114" s="61">
        <v>46041</v>
      </c>
      <c r="C114" s="20">
        <f t="shared" si="12"/>
        <v>451</v>
      </c>
      <c r="D114" s="38">
        <f t="shared" si="13"/>
        <v>0</v>
      </c>
      <c r="F114" s="33"/>
      <c r="G114" s="32" t="s">
        <v>914</v>
      </c>
      <c r="H114" s="20" t="s">
        <v>3738</v>
      </c>
      <c r="I114" s="20">
        <v>1331</v>
      </c>
      <c r="J114" s="20">
        <v>331</v>
      </c>
      <c r="K114" s="20" t="s">
        <v>20</v>
      </c>
      <c r="L114" s="20">
        <v>1</v>
      </c>
      <c r="M114" s="173">
        <v>2525926</v>
      </c>
      <c r="N114" s="173">
        <f t="shared" si="14"/>
        <v>2525926</v>
      </c>
      <c r="Q114" s="20">
        <f t="shared" si="15"/>
        <v>36</v>
      </c>
    </row>
    <row r="115" spans="1:17" ht="15" hidden="1" customHeight="1" x14ac:dyDescent="0.2">
      <c r="A115" s="20" t="s">
        <v>18</v>
      </c>
      <c r="B115" s="61">
        <v>46049</v>
      </c>
      <c r="C115" s="20">
        <f t="shared" si="12"/>
        <v>452</v>
      </c>
      <c r="D115" s="38">
        <f t="shared" si="13"/>
        <v>1</v>
      </c>
      <c r="G115" s="32" t="s">
        <v>56</v>
      </c>
      <c r="H115" s="20" t="s">
        <v>930</v>
      </c>
      <c r="I115" s="20">
        <v>131</v>
      </c>
      <c r="J115" s="20">
        <v>5113</v>
      </c>
      <c r="K115" s="20" t="s">
        <v>20</v>
      </c>
      <c r="L115" s="20">
        <v>1</v>
      </c>
      <c r="M115" s="173">
        <v>22222222</v>
      </c>
      <c r="N115" s="173">
        <f t="shared" si="14"/>
        <v>22222222</v>
      </c>
      <c r="Q115" s="20">
        <f t="shared" si="15"/>
        <v>170</v>
      </c>
    </row>
    <row r="116" spans="1:17" ht="15" hidden="1" customHeight="1" x14ac:dyDescent="0.2">
      <c r="A116" s="20" t="s">
        <v>18</v>
      </c>
      <c r="B116" s="61">
        <v>46049</v>
      </c>
      <c r="C116" s="20">
        <f t="shared" si="12"/>
        <v>453</v>
      </c>
      <c r="D116" s="38">
        <f t="shared" si="13"/>
        <v>1</v>
      </c>
      <c r="G116" s="32" t="s">
        <v>107</v>
      </c>
      <c r="H116" s="20" t="s">
        <v>3741</v>
      </c>
      <c r="I116" s="20">
        <v>131</v>
      </c>
      <c r="J116" s="20">
        <v>5113</v>
      </c>
      <c r="K116" s="20" t="s">
        <v>20</v>
      </c>
      <c r="L116" s="20">
        <v>1</v>
      </c>
      <c r="M116" s="173">
        <v>55555556</v>
      </c>
      <c r="N116" s="173">
        <f t="shared" si="14"/>
        <v>55555556</v>
      </c>
      <c r="Q116" s="20">
        <f t="shared" si="15"/>
        <v>161</v>
      </c>
    </row>
    <row r="117" spans="1:17" ht="15" customHeight="1" x14ac:dyDescent="0.2">
      <c r="A117" s="20" t="s">
        <v>18</v>
      </c>
      <c r="B117" s="61">
        <v>46049</v>
      </c>
      <c r="C117" s="20">
        <f t="shared" si="12"/>
        <v>454</v>
      </c>
      <c r="D117" s="38">
        <f t="shared" si="13"/>
        <v>1</v>
      </c>
      <c r="G117" s="32" t="s">
        <v>56</v>
      </c>
      <c r="H117" s="20" t="s">
        <v>3763</v>
      </c>
      <c r="I117" s="20">
        <v>333821</v>
      </c>
      <c r="J117" s="20">
        <v>131</v>
      </c>
      <c r="K117" s="20" t="s">
        <v>20</v>
      </c>
      <c r="L117" s="20">
        <v>1</v>
      </c>
      <c r="M117" s="173">
        <v>222222</v>
      </c>
      <c r="N117" s="173">
        <f t="shared" si="14"/>
        <v>222222</v>
      </c>
      <c r="Q117" s="20">
        <f t="shared" si="15"/>
        <v>186</v>
      </c>
    </row>
    <row r="118" spans="1:17" ht="15" customHeight="1" x14ac:dyDescent="0.2">
      <c r="A118" s="20" t="s">
        <v>18</v>
      </c>
      <c r="B118" s="61">
        <v>46049</v>
      </c>
      <c r="C118" s="20">
        <f t="shared" si="12"/>
        <v>455</v>
      </c>
      <c r="D118" s="38">
        <f t="shared" si="13"/>
        <v>1</v>
      </c>
      <c r="G118" s="32" t="s">
        <v>107</v>
      </c>
      <c r="H118" s="20" t="s">
        <v>3762</v>
      </c>
      <c r="I118" s="20">
        <v>333821</v>
      </c>
      <c r="J118" s="20">
        <v>131</v>
      </c>
      <c r="K118" s="20" t="s">
        <v>20</v>
      </c>
      <c r="L118" s="20">
        <v>1</v>
      </c>
      <c r="M118" s="173">
        <v>555556</v>
      </c>
      <c r="N118" s="173">
        <f t="shared" si="14"/>
        <v>555556</v>
      </c>
      <c r="Q118" s="20">
        <f t="shared" si="15"/>
        <v>177</v>
      </c>
    </row>
    <row r="119" spans="1:17" ht="15" hidden="1" customHeight="1" x14ac:dyDescent="0.2">
      <c r="A119" s="20" t="s">
        <v>18</v>
      </c>
      <c r="B119" s="61">
        <v>46049</v>
      </c>
      <c r="C119" s="20">
        <f t="shared" si="12"/>
        <v>456</v>
      </c>
      <c r="D119" s="38">
        <f t="shared" si="13"/>
        <v>1</v>
      </c>
      <c r="G119" s="32" t="s">
        <v>233</v>
      </c>
      <c r="H119" s="20" t="s">
        <v>916</v>
      </c>
      <c r="I119" s="20">
        <v>64277</v>
      </c>
      <c r="J119" s="20">
        <v>331</v>
      </c>
      <c r="K119" s="20" t="s">
        <v>20</v>
      </c>
      <c r="L119" s="20">
        <v>1</v>
      </c>
      <c r="M119" s="173">
        <v>26068</v>
      </c>
      <c r="N119" s="173">
        <f t="shared" si="14"/>
        <v>26068</v>
      </c>
      <c r="Q119" s="20">
        <f t="shared" si="15"/>
        <v>74</v>
      </c>
    </row>
    <row r="120" spans="1:17" ht="15" hidden="1" customHeight="1" x14ac:dyDescent="0.2">
      <c r="A120" s="20" t="s">
        <v>18</v>
      </c>
      <c r="B120" s="61">
        <v>46049</v>
      </c>
      <c r="C120" s="20">
        <f t="shared" si="12"/>
        <v>456</v>
      </c>
      <c r="D120" s="38">
        <f t="shared" si="13"/>
        <v>0</v>
      </c>
      <c r="F120" s="33"/>
      <c r="G120" s="32" t="s">
        <v>233</v>
      </c>
      <c r="H120" s="20" t="s">
        <v>916</v>
      </c>
      <c r="I120" s="20">
        <v>1331</v>
      </c>
      <c r="J120" s="20">
        <v>331</v>
      </c>
      <c r="K120" s="20" t="s">
        <v>20</v>
      </c>
      <c r="L120" s="20">
        <v>1</v>
      </c>
      <c r="M120" s="173">
        <v>2607</v>
      </c>
      <c r="N120" s="173">
        <f t="shared" si="14"/>
        <v>2607</v>
      </c>
      <c r="Q120" s="20">
        <f t="shared" si="15"/>
        <v>74</v>
      </c>
    </row>
    <row r="121" spans="1:17" ht="15" hidden="1" customHeight="1" x14ac:dyDescent="0.2">
      <c r="A121" s="20" t="s">
        <v>18</v>
      </c>
      <c r="B121" s="61">
        <v>46051</v>
      </c>
      <c r="C121" s="20">
        <f t="shared" si="12"/>
        <v>457</v>
      </c>
      <c r="D121" s="38">
        <f t="shared" si="13"/>
        <v>1</v>
      </c>
      <c r="G121" s="32" t="s">
        <v>106</v>
      </c>
      <c r="H121" s="20" t="s">
        <v>931</v>
      </c>
      <c r="I121" s="20">
        <v>131</v>
      </c>
      <c r="J121" s="20">
        <v>5113</v>
      </c>
      <c r="K121" s="20" t="s">
        <v>20</v>
      </c>
      <c r="L121" s="20">
        <v>1</v>
      </c>
      <c r="M121" s="173">
        <v>22222222</v>
      </c>
      <c r="N121" s="173">
        <f t="shared" si="14"/>
        <v>22222222</v>
      </c>
      <c r="Q121" s="20">
        <f t="shared" si="15"/>
        <v>173</v>
      </c>
    </row>
    <row r="122" spans="1:17" ht="15" customHeight="1" x14ac:dyDescent="0.2">
      <c r="A122" s="20" t="s">
        <v>18</v>
      </c>
      <c r="B122" s="61">
        <v>46051</v>
      </c>
      <c r="C122" s="20">
        <f t="shared" si="12"/>
        <v>458</v>
      </c>
      <c r="D122" s="38">
        <f t="shared" si="13"/>
        <v>1</v>
      </c>
      <c r="G122" s="32" t="s">
        <v>106</v>
      </c>
      <c r="H122" s="20" t="s">
        <v>3764</v>
      </c>
      <c r="I122" s="20">
        <v>333821</v>
      </c>
      <c r="J122" s="20">
        <v>131</v>
      </c>
      <c r="K122" s="20" t="s">
        <v>20</v>
      </c>
      <c r="L122" s="20">
        <v>1</v>
      </c>
      <c r="M122" s="173">
        <v>222222</v>
      </c>
      <c r="N122" s="173">
        <f t="shared" si="14"/>
        <v>222222</v>
      </c>
      <c r="Q122" s="20">
        <f t="shared" si="15"/>
        <v>189</v>
      </c>
    </row>
    <row r="123" spans="1:17" ht="15" hidden="1" customHeight="1" x14ac:dyDescent="0.2">
      <c r="A123" s="20" t="s">
        <v>18</v>
      </c>
      <c r="B123" s="61">
        <v>46051</v>
      </c>
      <c r="C123" s="20">
        <f t="shared" si="12"/>
        <v>459</v>
      </c>
      <c r="D123" s="38">
        <f t="shared" si="13"/>
        <v>1</v>
      </c>
      <c r="F123" s="33"/>
      <c r="G123" s="32" t="s">
        <v>917</v>
      </c>
      <c r="H123" s="20" t="s">
        <v>918</v>
      </c>
      <c r="I123" s="20">
        <v>64277</v>
      </c>
      <c r="J123" s="20">
        <v>331</v>
      </c>
      <c r="K123" s="20" t="s">
        <v>20</v>
      </c>
      <c r="L123" s="20">
        <v>1</v>
      </c>
      <c r="M123" s="173">
        <v>4090000</v>
      </c>
      <c r="N123" s="173">
        <f t="shared" si="14"/>
        <v>4090000</v>
      </c>
      <c r="Q123" s="20">
        <f t="shared" si="15"/>
        <v>80</v>
      </c>
    </row>
    <row r="124" spans="1:17" ht="15" hidden="1" customHeight="1" x14ac:dyDescent="0.2">
      <c r="A124" s="20" t="s">
        <v>18</v>
      </c>
      <c r="B124" s="61">
        <v>46051</v>
      </c>
      <c r="C124" s="20">
        <f t="shared" si="12"/>
        <v>459</v>
      </c>
      <c r="D124" s="38">
        <f t="shared" si="13"/>
        <v>0</v>
      </c>
      <c r="G124" s="32" t="s">
        <v>917</v>
      </c>
      <c r="H124" s="20" t="s">
        <v>918</v>
      </c>
      <c r="I124" s="20">
        <v>1331</v>
      </c>
      <c r="J124" s="20">
        <v>331</v>
      </c>
      <c r="K124" s="20" t="s">
        <v>20</v>
      </c>
      <c r="L124" s="20">
        <v>1</v>
      </c>
      <c r="M124" s="173">
        <v>409000</v>
      </c>
      <c r="N124" s="173">
        <f t="shared" si="14"/>
        <v>409000</v>
      </c>
      <c r="Q124" s="20">
        <f t="shared" si="15"/>
        <v>80</v>
      </c>
    </row>
    <row r="125" spans="1:17" ht="15" hidden="1" customHeight="1" x14ac:dyDescent="0.2">
      <c r="A125" s="20" t="s">
        <v>18</v>
      </c>
      <c r="B125" s="61">
        <v>46053</v>
      </c>
      <c r="C125" s="20">
        <f t="shared" si="12"/>
        <v>460</v>
      </c>
      <c r="D125" s="38">
        <f t="shared" si="13"/>
        <v>1</v>
      </c>
      <c r="G125" s="32" t="s">
        <v>71</v>
      </c>
      <c r="H125" s="20" t="s">
        <v>455</v>
      </c>
      <c r="I125" s="20">
        <v>64271</v>
      </c>
      <c r="J125" s="20">
        <v>3383</v>
      </c>
      <c r="K125" s="20" t="s">
        <v>20</v>
      </c>
      <c r="L125" s="20">
        <v>1</v>
      </c>
      <c r="M125" s="173">
        <v>690300</v>
      </c>
      <c r="N125" s="173">
        <f t="shared" si="14"/>
        <v>690300</v>
      </c>
      <c r="Q125" s="20">
        <f t="shared" si="15"/>
        <v>30</v>
      </c>
    </row>
    <row r="126" spans="1:17" ht="15" hidden="1" customHeight="1" x14ac:dyDescent="0.2">
      <c r="A126" s="20" t="s">
        <v>18</v>
      </c>
      <c r="B126" s="61">
        <v>46057</v>
      </c>
      <c r="C126" s="20">
        <f t="shared" si="12"/>
        <v>461</v>
      </c>
      <c r="D126" s="38">
        <f t="shared" si="13"/>
        <v>1</v>
      </c>
      <c r="G126" s="32" t="s">
        <v>106</v>
      </c>
      <c r="H126" s="20" t="s">
        <v>932</v>
      </c>
      <c r="I126" s="20">
        <v>131</v>
      </c>
      <c r="J126" s="20">
        <v>5113</v>
      </c>
      <c r="K126" s="20" t="s">
        <v>20</v>
      </c>
      <c r="L126" s="20">
        <v>1</v>
      </c>
      <c r="M126" s="173">
        <v>66666667</v>
      </c>
      <c r="N126" s="173">
        <f t="shared" si="14"/>
        <v>66666667</v>
      </c>
      <c r="Q126" s="20">
        <f t="shared" si="15"/>
        <v>173</v>
      </c>
    </row>
    <row r="127" spans="1:17" ht="15" customHeight="1" x14ac:dyDescent="0.2">
      <c r="A127" s="20" t="s">
        <v>18</v>
      </c>
      <c r="B127" s="61">
        <v>46057</v>
      </c>
      <c r="C127" s="20">
        <f t="shared" si="12"/>
        <v>462</v>
      </c>
      <c r="D127" s="38">
        <f t="shared" si="13"/>
        <v>1</v>
      </c>
      <c r="G127" s="32" t="s">
        <v>106</v>
      </c>
      <c r="H127" s="20" t="s">
        <v>3765</v>
      </c>
      <c r="I127" s="20">
        <v>333821</v>
      </c>
      <c r="J127" s="20">
        <v>131</v>
      </c>
      <c r="K127" s="20" t="s">
        <v>20</v>
      </c>
      <c r="L127" s="20">
        <v>1</v>
      </c>
      <c r="M127" s="173">
        <v>666667</v>
      </c>
      <c r="N127" s="173">
        <f t="shared" si="14"/>
        <v>666667</v>
      </c>
      <c r="Q127" s="20">
        <f t="shared" si="15"/>
        <v>189</v>
      </c>
    </row>
    <row r="128" spans="1:17" ht="15" hidden="1" customHeight="1" x14ac:dyDescent="0.2">
      <c r="A128" s="20" t="s">
        <v>18</v>
      </c>
      <c r="B128" s="61">
        <v>46060</v>
      </c>
      <c r="C128" s="20">
        <f t="shared" si="12"/>
        <v>463</v>
      </c>
      <c r="D128" s="38">
        <f t="shared" si="13"/>
        <v>1</v>
      </c>
      <c r="G128" s="32" t="s">
        <v>35</v>
      </c>
      <c r="H128" s="20" t="s">
        <v>919</v>
      </c>
      <c r="I128" s="20">
        <v>64277</v>
      </c>
      <c r="J128" s="20">
        <v>331</v>
      </c>
      <c r="K128" s="20" t="s">
        <v>20</v>
      </c>
      <c r="L128" s="20">
        <v>1</v>
      </c>
      <c r="M128" s="173">
        <v>3000000</v>
      </c>
      <c r="N128" s="173">
        <f t="shared" si="14"/>
        <v>3000000</v>
      </c>
      <c r="Q128" s="20">
        <f t="shared" si="15"/>
        <v>41</v>
      </c>
    </row>
    <row r="129" spans="1:17" ht="15" hidden="1" customHeight="1" x14ac:dyDescent="0.2">
      <c r="A129" s="20" t="s">
        <v>18</v>
      </c>
      <c r="B129" s="61">
        <v>46060</v>
      </c>
      <c r="C129" s="20">
        <f t="shared" si="12"/>
        <v>463</v>
      </c>
      <c r="D129" s="38">
        <f t="shared" si="13"/>
        <v>0</v>
      </c>
      <c r="F129" s="33"/>
      <c r="G129" s="32" t="s">
        <v>35</v>
      </c>
      <c r="H129" s="20" t="s">
        <v>919</v>
      </c>
      <c r="I129" s="20">
        <v>1331</v>
      </c>
      <c r="J129" s="20">
        <v>331</v>
      </c>
      <c r="K129" s="20" t="s">
        <v>20</v>
      </c>
      <c r="L129" s="20">
        <v>1</v>
      </c>
      <c r="M129" s="173">
        <v>240000</v>
      </c>
      <c r="N129" s="173">
        <f t="shared" si="14"/>
        <v>240000</v>
      </c>
      <c r="Q129" s="20">
        <f t="shared" si="15"/>
        <v>41</v>
      </c>
    </row>
    <row r="130" spans="1:17" ht="15" hidden="1" customHeight="1" x14ac:dyDescent="0.2">
      <c r="A130" s="20" t="s">
        <v>18</v>
      </c>
      <c r="B130" s="61">
        <v>46081</v>
      </c>
      <c r="C130" s="20">
        <f t="shared" si="12"/>
        <v>464</v>
      </c>
      <c r="D130" s="38">
        <f t="shared" si="13"/>
        <v>1</v>
      </c>
      <c r="G130" s="32" t="s">
        <v>71</v>
      </c>
      <c r="H130" s="20" t="s">
        <v>456</v>
      </c>
      <c r="I130" s="20">
        <v>64271</v>
      </c>
      <c r="J130" s="20">
        <v>3383</v>
      </c>
      <c r="K130" s="20" t="s">
        <v>20</v>
      </c>
      <c r="L130" s="20">
        <v>1</v>
      </c>
      <c r="M130" s="173">
        <v>690300</v>
      </c>
      <c r="N130" s="173">
        <f t="shared" si="14"/>
        <v>690300</v>
      </c>
      <c r="Q130" s="20">
        <f t="shared" si="15"/>
        <v>30</v>
      </c>
    </row>
    <row r="131" spans="1:17" ht="15" hidden="1" customHeight="1" x14ac:dyDescent="0.2">
      <c r="A131" s="20" t="s">
        <v>18</v>
      </c>
      <c r="B131" s="61">
        <v>46083</v>
      </c>
      <c r="C131" s="20">
        <f t="shared" si="12"/>
        <v>465</v>
      </c>
      <c r="D131" s="38">
        <f t="shared" si="13"/>
        <v>1</v>
      </c>
      <c r="F131" s="33"/>
      <c r="G131" s="32" t="s">
        <v>233</v>
      </c>
      <c r="H131" s="20" t="s">
        <v>920</v>
      </c>
      <c r="I131" s="20">
        <v>64277</v>
      </c>
      <c r="J131" s="20">
        <v>331</v>
      </c>
      <c r="K131" s="20" t="s">
        <v>20</v>
      </c>
      <c r="L131" s="20">
        <v>1</v>
      </c>
      <c r="M131" s="173">
        <v>15102</v>
      </c>
      <c r="N131" s="173">
        <f t="shared" si="14"/>
        <v>15102</v>
      </c>
      <c r="Q131" s="20">
        <f t="shared" si="15"/>
        <v>72</v>
      </c>
    </row>
    <row r="132" spans="1:17" ht="15" hidden="1" customHeight="1" x14ac:dyDescent="0.2">
      <c r="A132" s="20" t="s">
        <v>18</v>
      </c>
      <c r="B132" s="61">
        <v>46083</v>
      </c>
      <c r="C132" s="20">
        <f t="shared" ref="C132:C154" si="16">C131+D132</f>
        <v>465</v>
      </c>
      <c r="D132" s="38">
        <f t="shared" ref="D132:D154" si="17">IF(H132=H131,0,1)</f>
        <v>0</v>
      </c>
      <c r="G132" s="32" t="s">
        <v>233</v>
      </c>
      <c r="H132" s="20" t="s">
        <v>920</v>
      </c>
      <c r="I132" s="20">
        <v>1331</v>
      </c>
      <c r="J132" s="20">
        <v>331</v>
      </c>
      <c r="K132" s="20" t="s">
        <v>20</v>
      </c>
      <c r="L132" s="20">
        <v>1</v>
      </c>
      <c r="M132" s="173">
        <v>1510</v>
      </c>
      <c r="N132" s="173">
        <f t="shared" ref="N132:N154" si="18">L132*M132</f>
        <v>1510</v>
      </c>
      <c r="Q132" s="20">
        <f t="shared" ref="Q132:Q154" si="19">LEN(H132)</f>
        <v>72</v>
      </c>
    </row>
    <row r="133" spans="1:17" ht="15" hidden="1" customHeight="1" x14ac:dyDescent="0.2">
      <c r="A133" s="20" t="s">
        <v>18</v>
      </c>
      <c r="B133" s="61">
        <v>46085</v>
      </c>
      <c r="C133" s="20">
        <f t="shared" si="16"/>
        <v>466</v>
      </c>
      <c r="D133" s="38">
        <f t="shared" si="17"/>
        <v>1</v>
      </c>
      <c r="G133" s="32" t="s">
        <v>56</v>
      </c>
      <c r="H133" s="20" t="s">
        <v>933</v>
      </c>
      <c r="I133" s="20">
        <v>131</v>
      </c>
      <c r="J133" s="20">
        <v>5113</v>
      </c>
      <c r="K133" s="20" t="s">
        <v>20</v>
      </c>
      <c r="L133" s="20">
        <v>1</v>
      </c>
      <c r="M133" s="173">
        <v>33333333</v>
      </c>
      <c r="N133" s="173">
        <f t="shared" si="18"/>
        <v>33333333</v>
      </c>
      <c r="Q133" s="20">
        <f t="shared" si="19"/>
        <v>179</v>
      </c>
    </row>
    <row r="134" spans="1:17" ht="15" customHeight="1" x14ac:dyDescent="0.2">
      <c r="A134" s="20" t="s">
        <v>18</v>
      </c>
      <c r="B134" s="61">
        <v>46085</v>
      </c>
      <c r="C134" s="20">
        <f t="shared" si="16"/>
        <v>467</v>
      </c>
      <c r="D134" s="38">
        <f t="shared" si="17"/>
        <v>1</v>
      </c>
      <c r="G134" s="32" t="s">
        <v>56</v>
      </c>
      <c r="H134" s="20" t="s">
        <v>3766</v>
      </c>
      <c r="I134" s="20">
        <v>333821</v>
      </c>
      <c r="J134" s="20">
        <v>131</v>
      </c>
      <c r="K134" s="20" t="s">
        <v>20</v>
      </c>
      <c r="L134" s="20">
        <v>1</v>
      </c>
      <c r="M134" s="173">
        <v>333333</v>
      </c>
      <c r="N134" s="173">
        <f t="shared" si="18"/>
        <v>333333</v>
      </c>
      <c r="Q134" s="20">
        <f t="shared" si="19"/>
        <v>195</v>
      </c>
    </row>
    <row r="135" spans="1:17" ht="15" hidden="1" customHeight="1" x14ac:dyDescent="0.2">
      <c r="A135" s="20" t="s">
        <v>18</v>
      </c>
      <c r="B135" s="61">
        <v>46085</v>
      </c>
      <c r="C135" s="20">
        <f t="shared" si="16"/>
        <v>468</v>
      </c>
      <c r="D135" s="38">
        <f t="shared" si="17"/>
        <v>1</v>
      </c>
      <c r="G135" s="32" t="s">
        <v>35</v>
      </c>
      <c r="H135" s="20" t="s">
        <v>921</v>
      </c>
      <c r="I135" s="20">
        <v>64277</v>
      </c>
      <c r="J135" s="20">
        <v>331</v>
      </c>
      <c r="K135" s="20" t="s">
        <v>20</v>
      </c>
      <c r="L135" s="20">
        <v>1</v>
      </c>
      <c r="M135" s="173">
        <v>3000000</v>
      </c>
      <c r="N135" s="173">
        <f t="shared" si="18"/>
        <v>3000000</v>
      </c>
      <c r="Q135" s="20">
        <f t="shared" si="19"/>
        <v>41</v>
      </c>
    </row>
    <row r="136" spans="1:17" ht="15" hidden="1" customHeight="1" x14ac:dyDescent="0.2">
      <c r="A136" s="20" t="s">
        <v>18</v>
      </c>
      <c r="B136" s="61">
        <v>46085</v>
      </c>
      <c r="C136" s="20">
        <f t="shared" si="16"/>
        <v>468</v>
      </c>
      <c r="D136" s="38">
        <f t="shared" si="17"/>
        <v>0</v>
      </c>
      <c r="F136" s="33"/>
      <c r="G136" s="32" t="s">
        <v>35</v>
      </c>
      <c r="H136" s="20" t="s">
        <v>921</v>
      </c>
      <c r="I136" s="20">
        <v>1331</v>
      </c>
      <c r="J136" s="20">
        <v>331</v>
      </c>
      <c r="K136" s="20" t="s">
        <v>20</v>
      </c>
      <c r="L136" s="20">
        <v>1</v>
      </c>
      <c r="M136" s="173">
        <v>240000</v>
      </c>
      <c r="N136" s="173">
        <f t="shared" si="18"/>
        <v>240000</v>
      </c>
      <c r="Q136" s="20">
        <f t="shared" si="19"/>
        <v>41</v>
      </c>
    </row>
    <row r="137" spans="1:17" ht="15" hidden="1" customHeight="1" x14ac:dyDescent="0.2">
      <c r="A137" s="20" t="s">
        <v>18</v>
      </c>
      <c r="B137" s="61">
        <v>46088</v>
      </c>
      <c r="C137" s="20">
        <f t="shared" si="16"/>
        <v>469</v>
      </c>
      <c r="D137" s="38">
        <f t="shared" si="17"/>
        <v>1</v>
      </c>
      <c r="F137" s="33"/>
      <c r="G137" s="32" t="s">
        <v>233</v>
      </c>
      <c r="H137" s="20" t="s">
        <v>922</v>
      </c>
      <c r="I137" s="20">
        <v>64277</v>
      </c>
      <c r="J137" s="20">
        <v>331</v>
      </c>
      <c r="K137" s="20" t="s">
        <v>20</v>
      </c>
      <c r="L137" s="20">
        <v>1</v>
      </c>
      <c r="M137" s="173">
        <v>21698</v>
      </c>
      <c r="N137" s="173">
        <f t="shared" si="18"/>
        <v>21698</v>
      </c>
      <c r="Q137" s="20">
        <f t="shared" si="19"/>
        <v>72</v>
      </c>
    </row>
    <row r="138" spans="1:17" ht="15" hidden="1" customHeight="1" x14ac:dyDescent="0.2">
      <c r="A138" s="20" t="s">
        <v>18</v>
      </c>
      <c r="B138" s="61">
        <v>46088</v>
      </c>
      <c r="C138" s="20">
        <f t="shared" si="16"/>
        <v>469</v>
      </c>
      <c r="D138" s="38">
        <f t="shared" si="17"/>
        <v>0</v>
      </c>
      <c r="G138" s="32" t="s">
        <v>233</v>
      </c>
      <c r="H138" s="20" t="s">
        <v>922</v>
      </c>
      <c r="I138" s="20">
        <v>1331</v>
      </c>
      <c r="J138" s="20">
        <v>331</v>
      </c>
      <c r="K138" s="20" t="s">
        <v>20</v>
      </c>
      <c r="L138" s="20">
        <v>1</v>
      </c>
      <c r="M138" s="173">
        <v>2170</v>
      </c>
      <c r="N138" s="173">
        <f t="shared" si="18"/>
        <v>2170</v>
      </c>
      <c r="Q138" s="20">
        <f t="shared" si="19"/>
        <v>72</v>
      </c>
    </row>
    <row r="139" spans="1:17" ht="15" hidden="1" customHeight="1" x14ac:dyDescent="0.2">
      <c r="A139" s="20" t="s">
        <v>18</v>
      </c>
      <c r="B139" s="61">
        <v>46091</v>
      </c>
      <c r="C139" s="20">
        <f t="shared" si="16"/>
        <v>470</v>
      </c>
      <c r="D139" s="38">
        <f t="shared" si="17"/>
        <v>1</v>
      </c>
      <c r="G139" s="32" t="s">
        <v>934</v>
      </c>
      <c r="H139" s="20" t="s">
        <v>935</v>
      </c>
      <c r="I139" s="20">
        <v>131</v>
      </c>
      <c r="J139" s="20">
        <v>5113</v>
      </c>
      <c r="K139" s="20" t="s">
        <v>20</v>
      </c>
      <c r="L139" s="20">
        <v>1</v>
      </c>
      <c r="M139" s="173">
        <v>13333333</v>
      </c>
      <c r="N139" s="173">
        <f t="shared" si="18"/>
        <v>13333333</v>
      </c>
      <c r="Q139" s="20">
        <f t="shared" si="19"/>
        <v>157</v>
      </c>
    </row>
    <row r="140" spans="1:17" ht="15" hidden="1" customHeight="1" x14ac:dyDescent="0.2">
      <c r="A140" s="20" t="s">
        <v>18</v>
      </c>
      <c r="B140" s="61">
        <v>46091</v>
      </c>
      <c r="C140" s="20">
        <f t="shared" si="16"/>
        <v>471</v>
      </c>
      <c r="D140" s="38">
        <f t="shared" si="17"/>
        <v>1</v>
      </c>
      <c r="G140" s="32" t="s">
        <v>252</v>
      </c>
      <c r="H140" s="20" t="s">
        <v>3742</v>
      </c>
      <c r="I140" s="20">
        <v>131</v>
      </c>
      <c r="J140" s="20">
        <v>5113</v>
      </c>
      <c r="K140" s="20" t="s">
        <v>20</v>
      </c>
      <c r="L140" s="20">
        <v>1</v>
      </c>
      <c r="M140" s="173">
        <v>13333333</v>
      </c>
      <c r="N140" s="173">
        <f t="shared" si="18"/>
        <v>13333333</v>
      </c>
      <c r="Q140" s="20">
        <f t="shared" si="19"/>
        <v>120</v>
      </c>
    </row>
    <row r="141" spans="1:17" ht="15" hidden="1" customHeight="1" x14ac:dyDescent="0.2">
      <c r="A141" s="20" t="s">
        <v>18</v>
      </c>
      <c r="B141" s="61">
        <v>46091</v>
      </c>
      <c r="C141" s="20">
        <f t="shared" si="16"/>
        <v>472</v>
      </c>
      <c r="D141" s="38">
        <f t="shared" si="17"/>
        <v>1</v>
      </c>
      <c r="G141" s="32" t="s">
        <v>936</v>
      </c>
      <c r="H141" s="20" t="s">
        <v>937</v>
      </c>
      <c r="I141" s="20">
        <v>131</v>
      </c>
      <c r="J141" s="20">
        <v>5113</v>
      </c>
      <c r="K141" s="20" t="s">
        <v>20</v>
      </c>
      <c r="L141" s="20">
        <v>1</v>
      </c>
      <c r="M141" s="173">
        <v>22222222</v>
      </c>
      <c r="N141" s="173">
        <f t="shared" si="18"/>
        <v>22222222</v>
      </c>
      <c r="Q141" s="20">
        <f t="shared" si="19"/>
        <v>162</v>
      </c>
    </row>
    <row r="142" spans="1:17" ht="15" customHeight="1" x14ac:dyDescent="0.2">
      <c r="A142" s="20" t="s">
        <v>18</v>
      </c>
      <c r="B142" s="61">
        <v>46091</v>
      </c>
      <c r="C142" s="20">
        <f t="shared" si="16"/>
        <v>473</v>
      </c>
      <c r="D142" s="38">
        <f t="shared" si="17"/>
        <v>1</v>
      </c>
      <c r="G142" s="32" t="s">
        <v>934</v>
      </c>
      <c r="H142" s="20" t="s">
        <v>3768</v>
      </c>
      <c r="I142" s="20">
        <v>333821</v>
      </c>
      <c r="J142" s="20">
        <v>131</v>
      </c>
      <c r="K142" s="20" t="s">
        <v>20</v>
      </c>
      <c r="L142" s="20">
        <v>1</v>
      </c>
      <c r="M142" s="173">
        <v>133333</v>
      </c>
      <c r="N142" s="173">
        <f t="shared" si="18"/>
        <v>133333</v>
      </c>
      <c r="Q142" s="20">
        <f t="shared" si="19"/>
        <v>173</v>
      </c>
    </row>
    <row r="143" spans="1:17" ht="15" customHeight="1" x14ac:dyDescent="0.2">
      <c r="A143" s="20" t="s">
        <v>18</v>
      </c>
      <c r="B143" s="61">
        <v>46091</v>
      </c>
      <c r="C143" s="20">
        <f t="shared" si="16"/>
        <v>474</v>
      </c>
      <c r="D143" s="38">
        <f t="shared" si="17"/>
        <v>1</v>
      </c>
      <c r="G143" s="32" t="s">
        <v>252</v>
      </c>
      <c r="H143" s="20" t="s">
        <v>3767</v>
      </c>
      <c r="I143" s="20">
        <v>333821</v>
      </c>
      <c r="J143" s="20">
        <v>131</v>
      </c>
      <c r="K143" s="20" t="s">
        <v>20</v>
      </c>
      <c r="L143" s="20">
        <v>1</v>
      </c>
      <c r="M143" s="173">
        <v>133333</v>
      </c>
      <c r="N143" s="173">
        <f t="shared" si="18"/>
        <v>133333</v>
      </c>
      <c r="Q143" s="20">
        <f t="shared" si="19"/>
        <v>136</v>
      </c>
    </row>
    <row r="144" spans="1:17" ht="15" customHeight="1" x14ac:dyDescent="0.2">
      <c r="A144" s="20" t="s">
        <v>18</v>
      </c>
      <c r="B144" s="61">
        <v>46091</v>
      </c>
      <c r="C144" s="20">
        <f t="shared" si="16"/>
        <v>475</v>
      </c>
      <c r="D144" s="38">
        <f t="shared" si="17"/>
        <v>1</v>
      </c>
      <c r="G144" s="32" t="s">
        <v>936</v>
      </c>
      <c r="H144" s="20" t="s">
        <v>3769</v>
      </c>
      <c r="I144" s="20">
        <v>333821</v>
      </c>
      <c r="J144" s="20">
        <v>131</v>
      </c>
      <c r="K144" s="20" t="s">
        <v>20</v>
      </c>
      <c r="L144" s="20">
        <v>1</v>
      </c>
      <c r="M144" s="173">
        <v>222222</v>
      </c>
      <c r="N144" s="173">
        <f t="shared" si="18"/>
        <v>222222</v>
      </c>
      <c r="Q144" s="20">
        <f t="shared" si="19"/>
        <v>178</v>
      </c>
    </row>
    <row r="145" spans="1:17" ht="15" hidden="1" customHeight="1" x14ac:dyDescent="0.2">
      <c r="A145" s="20" t="s">
        <v>18</v>
      </c>
      <c r="B145" s="61">
        <v>46091</v>
      </c>
      <c r="C145" s="20">
        <f t="shared" si="16"/>
        <v>476</v>
      </c>
      <c r="D145" s="38">
        <f t="shared" si="17"/>
        <v>1</v>
      </c>
      <c r="G145" s="32" t="s">
        <v>233</v>
      </c>
      <c r="H145" s="20" t="s">
        <v>923</v>
      </c>
      <c r="I145" s="20">
        <v>64277</v>
      </c>
      <c r="J145" s="20">
        <v>331</v>
      </c>
      <c r="K145" s="20" t="s">
        <v>20</v>
      </c>
      <c r="L145" s="20">
        <v>1</v>
      </c>
      <c r="M145" s="173">
        <v>1069383</v>
      </c>
      <c r="N145" s="173">
        <f t="shared" si="18"/>
        <v>1069383</v>
      </c>
      <c r="Q145" s="20">
        <f t="shared" si="19"/>
        <v>21</v>
      </c>
    </row>
    <row r="146" spans="1:17" ht="15" hidden="1" customHeight="1" x14ac:dyDescent="0.2">
      <c r="A146" s="20" t="s">
        <v>18</v>
      </c>
      <c r="B146" s="61">
        <v>46091</v>
      </c>
      <c r="C146" s="20">
        <f t="shared" si="16"/>
        <v>476</v>
      </c>
      <c r="D146" s="38">
        <f t="shared" si="17"/>
        <v>0</v>
      </c>
      <c r="F146" s="33"/>
      <c r="G146" s="32" t="s">
        <v>233</v>
      </c>
      <c r="H146" s="20" t="s">
        <v>923</v>
      </c>
      <c r="I146" s="20">
        <v>1331</v>
      </c>
      <c r="J146" s="20">
        <v>331</v>
      </c>
      <c r="K146" s="20" t="s">
        <v>20</v>
      </c>
      <c r="L146" s="20">
        <v>1</v>
      </c>
      <c r="M146" s="173">
        <v>0</v>
      </c>
      <c r="N146" s="173">
        <f t="shared" si="18"/>
        <v>0</v>
      </c>
      <c r="Q146" s="20">
        <f t="shared" si="19"/>
        <v>21</v>
      </c>
    </row>
    <row r="147" spans="1:17" ht="15" hidden="1" customHeight="1" x14ac:dyDescent="0.2">
      <c r="A147" s="20" t="s">
        <v>18</v>
      </c>
      <c r="B147" s="61">
        <v>46093</v>
      </c>
      <c r="C147" s="20">
        <f t="shared" si="16"/>
        <v>477</v>
      </c>
      <c r="D147" s="38">
        <f t="shared" si="17"/>
        <v>1</v>
      </c>
      <c r="G147" s="32" t="s">
        <v>107</v>
      </c>
      <c r="H147" s="20" t="s">
        <v>3743</v>
      </c>
      <c r="I147" s="20">
        <v>131</v>
      </c>
      <c r="J147" s="20">
        <v>5113</v>
      </c>
      <c r="K147" s="20" t="s">
        <v>20</v>
      </c>
      <c r="L147" s="20">
        <v>1</v>
      </c>
      <c r="M147" s="173">
        <v>16666667</v>
      </c>
      <c r="N147" s="173">
        <f t="shared" si="18"/>
        <v>16666667</v>
      </c>
      <c r="Q147" s="20">
        <f t="shared" si="19"/>
        <v>162</v>
      </c>
    </row>
    <row r="148" spans="1:17" ht="15" customHeight="1" x14ac:dyDescent="0.2">
      <c r="A148" s="20" t="s">
        <v>18</v>
      </c>
      <c r="B148" s="61">
        <v>46093</v>
      </c>
      <c r="C148" s="20">
        <f t="shared" si="16"/>
        <v>478</v>
      </c>
      <c r="D148" s="38">
        <f t="shared" si="17"/>
        <v>1</v>
      </c>
      <c r="G148" s="32" t="s">
        <v>107</v>
      </c>
      <c r="H148" s="20" t="s">
        <v>3770</v>
      </c>
      <c r="I148" s="20">
        <v>333821</v>
      </c>
      <c r="J148" s="20">
        <v>131</v>
      </c>
      <c r="K148" s="20" t="s">
        <v>20</v>
      </c>
      <c r="L148" s="20">
        <v>1</v>
      </c>
      <c r="M148" s="173">
        <v>166667</v>
      </c>
      <c r="N148" s="173">
        <f t="shared" si="18"/>
        <v>166667</v>
      </c>
      <c r="Q148" s="20">
        <f t="shared" si="19"/>
        <v>178</v>
      </c>
    </row>
    <row r="149" spans="1:17" ht="15" hidden="1" customHeight="1" x14ac:dyDescent="0.2">
      <c r="A149" s="20" t="s">
        <v>18</v>
      </c>
      <c r="B149" s="61">
        <v>46104</v>
      </c>
      <c r="C149" s="20">
        <f t="shared" si="16"/>
        <v>479</v>
      </c>
      <c r="D149" s="38">
        <f t="shared" si="17"/>
        <v>1</v>
      </c>
      <c r="G149" s="32" t="s">
        <v>106</v>
      </c>
      <c r="H149" s="20" t="s">
        <v>938</v>
      </c>
      <c r="I149" s="20">
        <v>131</v>
      </c>
      <c r="J149" s="20">
        <v>5113</v>
      </c>
      <c r="K149" s="20" t="s">
        <v>20</v>
      </c>
      <c r="L149" s="20">
        <v>1</v>
      </c>
      <c r="M149" s="173">
        <v>22222222</v>
      </c>
      <c r="N149" s="173">
        <f t="shared" si="18"/>
        <v>22222222</v>
      </c>
      <c r="Q149" s="20">
        <f t="shared" si="19"/>
        <v>165</v>
      </c>
    </row>
    <row r="150" spans="1:17" ht="15" customHeight="1" x14ac:dyDescent="0.2">
      <c r="A150" s="20" t="s">
        <v>18</v>
      </c>
      <c r="B150" s="61">
        <v>46104</v>
      </c>
      <c r="C150" s="20">
        <f t="shared" si="16"/>
        <v>480</v>
      </c>
      <c r="D150" s="38">
        <f t="shared" si="17"/>
        <v>1</v>
      </c>
      <c r="G150" s="32" t="s">
        <v>106</v>
      </c>
      <c r="H150" s="20" t="s">
        <v>3771</v>
      </c>
      <c r="I150" s="20">
        <v>333821</v>
      </c>
      <c r="J150" s="20">
        <v>131</v>
      </c>
      <c r="K150" s="20" t="s">
        <v>20</v>
      </c>
      <c r="L150" s="20">
        <v>1</v>
      </c>
      <c r="M150" s="173">
        <v>222222</v>
      </c>
      <c r="N150" s="173">
        <f t="shared" si="18"/>
        <v>222222</v>
      </c>
      <c r="Q150" s="20">
        <f t="shared" si="19"/>
        <v>181</v>
      </c>
    </row>
    <row r="151" spans="1:17" ht="15" hidden="1" customHeight="1" x14ac:dyDescent="0.2">
      <c r="A151" s="20" t="s">
        <v>18</v>
      </c>
      <c r="B151" s="61">
        <v>46106</v>
      </c>
      <c r="C151" s="20">
        <f t="shared" si="16"/>
        <v>481</v>
      </c>
      <c r="D151" s="38">
        <f t="shared" si="17"/>
        <v>1</v>
      </c>
      <c r="G151" s="32" t="s">
        <v>939</v>
      </c>
      <c r="H151" s="20" t="s">
        <v>940</v>
      </c>
      <c r="I151" s="20">
        <v>131</v>
      </c>
      <c r="J151" s="20">
        <v>5113</v>
      </c>
      <c r="K151" s="20" t="s">
        <v>20</v>
      </c>
      <c r="L151" s="20">
        <v>1</v>
      </c>
      <c r="M151" s="173">
        <v>22222222</v>
      </c>
      <c r="N151" s="173">
        <f t="shared" si="18"/>
        <v>22222222</v>
      </c>
      <c r="Q151" s="20">
        <f t="shared" si="19"/>
        <v>158</v>
      </c>
    </row>
    <row r="152" spans="1:17" ht="15" customHeight="1" x14ac:dyDescent="0.2">
      <c r="A152" s="20" t="s">
        <v>18</v>
      </c>
      <c r="B152" s="61">
        <v>46106</v>
      </c>
      <c r="C152" s="20">
        <f t="shared" si="16"/>
        <v>482</v>
      </c>
      <c r="D152" s="38">
        <f t="shared" si="17"/>
        <v>1</v>
      </c>
      <c r="G152" s="32" t="s">
        <v>939</v>
      </c>
      <c r="H152" s="20" t="s">
        <v>3772</v>
      </c>
      <c r="I152" s="20">
        <v>333821</v>
      </c>
      <c r="J152" s="20">
        <v>131</v>
      </c>
      <c r="K152" s="20" t="s">
        <v>20</v>
      </c>
      <c r="L152" s="20">
        <v>1</v>
      </c>
      <c r="M152" s="173">
        <v>222222</v>
      </c>
      <c r="N152" s="173">
        <f t="shared" si="18"/>
        <v>222222</v>
      </c>
      <c r="Q152" s="20">
        <f t="shared" si="19"/>
        <v>174</v>
      </c>
    </row>
    <row r="153" spans="1:17" ht="15" hidden="1" customHeight="1" x14ac:dyDescent="0.2">
      <c r="A153" s="20" t="s">
        <v>18</v>
      </c>
      <c r="B153" s="61">
        <v>46112</v>
      </c>
      <c r="C153" s="20">
        <f t="shared" si="16"/>
        <v>483</v>
      </c>
      <c r="D153" s="38">
        <f t="shared" si="17"/>
        <v>1</v>
      </c>
      <c r="G153" s="32" t="s">
        <v>71</v>
      </c>
      <c r="H153" s="20" t="s">
        <v>457</v>
      </c>
      <c r="I153" s="20">
        <v>64271</v>
      </c>
      <c r="J153" s="20">
        <v>3383</v>
      </c>
      <c r="K153" s="20" t="s">
        <v>20</v>
      </c>
      <c r="L153" s="20">
        <v>1</v>
      </c>
      <c r="M153" s="173">
        <v>690300</v>
      </c>
      <c r="N153" s="173">
        <f t="shared" si="18"/>
        <v>690300</v>
      </c>
      <c r="Q153" s="20">
        <f t="shared" si="19"/>
        <v>30</v>
      </c>
    </row>
    <row r="154" spans="1:17" ht="15" hidden="1" customHeight="1" x14ac:dyDescent="0.2">
      <c r="A154" s="20" t="s">
        <v>18</v>
      </c>
      <c r="B154" s="61">
        <v>46030</v>
      </c>
      <c r="C154" s="20">
        <f t="shared" si="16"/>
        <v>484</v>
      </c>
      <c r="D154" s="38">
        <f t="shared" si="17"/>
        <v>1</v>
      </c>
      <c r="G154" s="164" t="s">
        <v>39</v>
      </c>
      <c r="H154" s="20" t="s">
        <v>3500</v>
      </c>
      <c r="I154" s="20">
        <v>131</v>
      </c>
      <c r="J154" s="20">
        <v>5118</v>
      </c>
      <c r="K154" s="20" t="s">
        <v>20</v>
      </c>
      <c r="L154" s="20">
        <v>1</v>
      </c>
      <c r="M154" s="173">
        <v>25311276</v>
      </c>
      <c r="N154" s="173">
        <f t="shared" si="18"/>
        <v>25311276</v>
      </c>
      <c r="Q154" s="20">
        <f t="shared" si="19"/>
        <v>43</v>
      </c>
    </row>
    <row r="155" spans="1:17" ht="15" hidden="1" customHeight="1" x14ac:dyDescent="0.2">
      <c r="A155" s="20" t="s">
        <v>18</v>
      </c>
      <c r="B155" s="61">
        <v>46041</v>
      </c>
      <c r="C155" s="20">
        <f t="shared" ref="C155:C158" si="20">C154+D155</f>
        <v>485</v>
      </c>
      <c r="D155" s="38">
        <v>1</v>
      </c>
      <c r="G155" s="164" t="s">
        <v>39</v>
      </c>
      <c r="H155" s="20" t="s">
        <v>3500</v>
      </c>
      <c r="I155" s="20">
        <v>131</v>
      </c>
      <c r="J155" s="20">
        <v>5118</v>
      </c>
      <c r="K155" s="20" t="s">
        <v>20</v>
      </c>
      <c r="L155" s="20">
        <v>1</v>
      </c>
      <c r="M155" s="173">
        <v>35596878</v>
      </c>
      <c r="N155" s="173">
        <f t="shared" ref="N155:N167" si="21">L155*M155</f>
        <v>35596878</v>
      </c>
      <c r="Q155" s="20">
        <f t="shared" ref="Q155:Q167" si="22">LEN(H155)</f>
        <v>43</v>
      </c>
    </row>
    <row r="156" spans="1:17" ht="15" hidden="1" customHeight="1" x14ac:dyDescent="0.2">
      <c r="A156" s="20" t="s">
        <v>18</v>
      </c>
      <c r="B156" s="61">
        <v>46049</v>
      </c>
      <c r="C156" s="20">
        <f t="shared" si="20"/>
        <v>486</v>
      </c>
      <c r="D156" s="38">
        <v>1</v>
      </c>
      <c r="G156" s="164" t="s">
        <v>39</v>
      </c>
      <c r="H156" s="20" t="s">
        <v>3500</v>
      </c>
      <c r="I156" s="20">
        <v>131</v>
      </c>
      <c r="J156" s="20">
        <v>5118</v>
      </c>
      <c r="K156" s="20" t="s">
        <v>20</v>
      </c>
      <c r="L156" s="20">
        <v>1</v>
      </c>
      <c r="M156" s="173">
        <v>23728900</v>
      </c>
      <c r="N156" s="173">
        <f t="shared" si="21"/>
        <v>23728900</v>
      </c>
      <c r="Q156" s="20">
        <f t="shared" si="22"/>
        <v>43</v>
      </c>
    </row>
    <row r="157" spans="1:17" ht="15" hidden="1" customHeight="1" x14ac:dyDescent="0.2">
      <c r="A157" s="20" t="s">
        <v>18</v>
      </c>
      <c r="B157" s="61">
        <v>46052</v>
      </c>
      <c r="C157" s="20">
        <f t="shared" si="20"/>
        <v>487</v>
      </c>
      <c r="D157" s="38">
        <v>1</v>
      </c>
      <c r="G157" s="164" t="s">
        <v>39</v>
      </c>
      <c r="H157" s="20" t="s">
        <v>3500</v>
      </c>
      <c r="I157" s="20">
        <v>131</v>
      </c>
      <c r="J157" s="20">
        <v>5118</v>
      </c>
      <c r="K157" s="20" t="s">
        <v>20</v>
      </c>
      <c r="L157" s="20">
        <v>1</v>
      </c>
      <c r="M157" s="173">
        <v>10278542</v>
      </c>
      <c r="N157" s="173">
        <f t="shared" si="21"/>
        <v>10278542</v>
      </c>
      <c r="Q157" s="20">
        <f t="shared" si="22"/>
        <v>43</v>
      </c>
    </row>
    <row r="158" spans="1:17" ht="15" hidden="1" customHeight="1" x14ac:dyDescent="0.2">
      <c r="A158" s="20" t="s">
        <v>18</v>
      </c>
      <c r="B158" s="61">
        <v>46055</v>
      </c>
      <c r="C158" s="20">
        <f t="shared" si="20"/>
        <v>488</v>
      </c>
      <c r="D158" s="38">
        <v>1</v>
      </c>
      <c r="G158" s="164" t="s">
        <v>39</v>
      </c>
      <c r="H158" s="20" t="s">
        <v>3500</v>
      </c>
      <c r="I158" s="20">
        <v>131</v>
      </c>
      <c r="J158" s="20">
        <v>5118</v>
      </c>
      <c r="K158" s="20" t="s">
        <v>20</v>
      </c>
      <c r="L158" s="20">
        <v>1</v>
      </c>
      <c r="M158" s="173">
        <v>10871970</v>
      </c>
      <c r="N158" s="173">
        <f t="shared" si="21"/>
        <v>10871970</v>
      </c>
      <c r="Q158" s="20">
        <f t="shared" si="22"/>
        <v>43</v>
      </c>
    </row>
    <row r="159" spans="1:17" ht="15" hidden="1" customHeight="1" x14ac:dyDescent="0.2">
      <c r="A159" s="20" t="s">
        <v>18</v>
      </c>
      <c r="B159" s="61">
        <v>46065</v>
      </c>
      <c r="C159" s="20">
        <f t="shared" ref="C159:C165" si="23">C158+D159</f>
        <v>489</v>
      </c>
      <c r="D159" s="38">
        <v>1</v>
      </c>
      <c r="G159" s="164" t="s">
        <v>39</v>
      </c>
      <c r="H159" s="20" t="s">
        <v>3500</v>
      </c>
      <c r="I159" s="20">
        <v>131</v>
      </c>
      <c r="J159" s="20">
        <v>5118</v>
      </c>
      <c r="K159" s="20" t="s">
        <v>20</v>
      </c>
      <c r="L159" s="20">
        <v>1</v>
      </c>
      <c r="M159" s="173">
        <v>37217592</v>
      </c>
      <c r="N159" s="173">
        <f t="shared" si="21"/>
        <v>37217592</v>
      </c>
      <c r="Q159" s="20">
        <f t="shared" si="22"/>
        <v>43</v>
      </c>
    </row>
    <row r="160" spans="1:17" ht="15" hidden="1" customHeight="1" x14ac:dyDescent="0.2">
      <c r="A160" s="20" t="s">
        <v>18</v>
      </c>
      <c r="B160" s="61">
        <v>46072</v>
      </c>
      <c r="C160" s="20">
        <f t="shared" si="23"/>
        <v>490</v>
      </c>
      <c r="D160" s="38">
        <v>1</v>
      </c>
      <c r="G160" s="164" t="s">
        <v>39</v>
      </c>
      <c r="H160" s="20" t="s">
        <v>3500</v>
      </c>
      <c r="I160" s="20">
        <v>131</v>
      </c>
      <c r="J160" s="20">
        <v>5118</v>
      </c>
      <c r="K160" s="20" t="s">
        <v>20</v>
      </c>
      <c r="L160" s="20">
        <v>1</v>
      </c>
      <c r="M160" s="173">
        <v>13160598</v>
      </c>
      <c r="N160" s="173">
        <f t="shared" si="21"/>
        <v>13160598</v>
      </c>
      <c r="Q160" s="20">
        <f t="shared" si="22"/>
        <v>43</v>
      </c>
    </row>
    <row r="161" spans="1:17" ht="15" hidden="1" customHeight="1" x14ac:dyDescent="0.2">
      <c r="A161" s="20" t="s">
        <v>18</v>
      </c>
      <c r="B161" s="61">
        <v>46081</v>
      </c>
      <c r="C161" s="20">
        <f t="shared" si="23"/>
        <v>491</v>
      </c>
      <c r="D161" s="38">
        <v>1</v>
      </c>
      <c r="G161" s="164" t="s">
        <v>39</v>
      </c>
      <c r="H161" s="20" t="s">
        <v>3500</v>
      </c>
      <c r="I161" s="20">
        <v>131</v>
      </c>
      <c r="J161" s="20">
        <v>5118</v>
      </c>
      <c r="K161" s="20" t="s">
        <v>20</v>
      </c>
      <c r="L161" s="20">
        <v>1</v>
      </c>
      <c r="M161" s="173">
        <v>10883580</v>
      </c>
      <c r="N161" s="173">
        <f t="shared" si="21"/>
        <v>10883580</v>
      </c>
      <c r="Q161" s="20">
        <f t="shared" si="22"/>
        <v>43</v>
      </c>
    </row>
    <row r="162" spans="1:17" ht="15" hidden="1" customHeight="1" x14ac:dyDescent="0.2">
      <c r="A162" s="20" t="s">
        <v>18</v>
      </c>
      <c r="B162" s="61">
        <v>46084</v>
      </c>
      <c r="C162" s="20">
        <f t="shared" si="23"/>
        <v>492</v>
      </c>
      <c r="D162" s="38">
        <v>1</v>
      </c>
      <c r="G162" s="164" t="s">
        <v>39</v>
      </c>
      <c r="H162" s="20" t="s">
        <v>3500</v>
      </c>
      <c r="I162" s="20">
        <v>131</v>
      </c>
      <c r="J162" s="20">
        <v>5118</v>
      </c>
      <c r="K162" s="20" t="s">
        <v>20</v>
      </c>
      <c r="L162" s="20">
        <v>1</v>
      </c>
      <c r="M162" s="173">
        <v>10883550</v>
      </c>
      <c r="N162" s="173">
        <f t="shared" si="21"/>
        <v>10883550</v>
      </c>
      <c r="Q162" s="20">
        <f t="shared" si="22"/>
        <v>43</v>
      </c>
    </row>
    <row r="163" spans="1:17" ht="15" hidden="1" customHeight="1" x14ac:dyDescent="0.2">
      <c r="A163" s="20" t="s">
        <v>18</v>
      </c>
      <c r="B163" s="61">
        <v>46094</v>
      </c>
      <c r="C163" s="20">
        <f t="shared" si="23"/>
        <v>493</v>
      </c>
      <c r="D163" s="38">
        <v>1</v>
      </c>
      <c r="G163" s="164" t="s">
        <v>39</v>
      </c>
      <c r="H163" s="20" t="s">
        <v>3500</v>
      </c>
      <c r="I163" s="20">
        <v>131</v>
      </c>
      <c r="J163" s="20">
        <v>5118</v>
      </c>
      <c r="K163" s="20" t="s">
        <v>20</v>
      </c>
      <c r="L163" s="20">
        <v>1</v>
      </c>
      <c r="M163" s="173">
        <v>24743524</v>
      </c>
      <c r="N163" s="173">
        <f t="shared" si="21"/>
        <v>24743524</v>
      </c>
      <c r="Q163" s="20">
        <f t="shared" si="22"/>
        <v>43</v>
      </c>
    </row>
    <row r="164" spans="1:17" ht="15" hidden="1" customHeight="1" x14ac:dyDescent="0.2">
      <c r="A164" s="20" t="s">
        <v>18</v>
      </c>
      <c r="B164" s="61">
        <v>46103</v>
      </c>
      <c r="C164" s="20">
        <f t="shared" si="23"/>
        <v>494</v>
      </c>
      <c r="D164" s="38">
        <v>1</v>
      </c>
      <c r="G164" s="164" t="s">
        <v>39</v>
      </c>
      <c r="H164" s="20" t="s">
        <v>3500</v>
      </c>
      <c r="I164" s="20">
        <v>131</v>
      </c>
      <c r="J164" s="20">
        <v>5118</v>
      </c>
      <c r="K164" s="20" t="s">
        <v>20</v>
      </c>
      <c r="L164" s="20">
        <v>1</v>
      </c>
      <c r="M164" s="173">
        <v>19298516</v>
      </c>
      <c r="N164" s="173">
        <f t="shared" si="21"/>
        <v>19298516</v>
      </c>
      <c r="Q164" s="20">
        <f t="shared" si="22"/>
        <v>43</v>
      </c>
    </row>
    <row r="165" spans="1:17" ht="15" hidden="1" customHeight="1" x14ac:dyDescent="0.2">
      <c r="A165" s="20" t="s">
        <v>18</v>
      </c>
      <c r="B165" s="61">
        <v>46111</v>
      </c>
      <c r="C165" s="20">
        <f t="shared" si="23"/>
        <v>495</v>
      </c>
      <c r="D165" s="38">
        <v>1</v>
      </c>
      <c r="G165" s="164" t="s">
        <v>39</v>
      </c>
      <c r="H165" s="20" t="s">
        <v>3500</v>
      </c>
      <c r="I165" s="20">
        <v>131</v>
      </c>
      <c r="J165" s="20">
        <v>5118</v>
      </c>
      <c r="K165" s="20" t="s">
        <v>20</v>
      </c>
      <c r="L165" s="20">
        <v>1</v>
      </c>
      <c r="M165" s="173">
        <v>16427508</v>
      </c>
      <c r="N165" s="173">
        <f t="shared" si="21"/>
        <v>16427508</v>
      </c>
      <c r="Q165" s="20">
        <f t="shared" si="22"/>
        <v>43</v>
      </c>
    </row>
    <row r="166" spans="1:17" ht="15" hidden="1" customHeight="1" x14ac:dyDescent="0.2">
      <c r="A166" s="20" t="s">
        <v>18</v>
      </c>
      <c r="B166" s="61">
        <v>46067</v>
      </c>
      <c r="C166" s="20">
        <f t="shared" ref="C166:C167" si="24">C165+D166</f>
        <v>496</v>
      </c>
      <c r="D166" s="38">
        <v>1</v>
      </c>
      <c r="G166" s="164" t="s">
        <v>2629</v>
      </c>
      <c r="H166" s="20" t="s">
        <v>2657</v>
      </c>
      <c r="I166" s="20">
        <v>6425</v>
      </c>
      <c r="J166" s="20">
        <v>333822</v>
      </c>
      <c r="K166" s="20" t="s">
        <v>20</v>
      </c>
      <c r="L166" s="20">
        <v>1</v>
      </c>
      <c r="M166" s="173">
        <v>4224000</v>
      </c>
      <c r="N166" s="173">
        <f t="shared" si="21"/>
        <v>4224000</v>
      </c>
      <c r="Q166" s="20">
        <f t="shared" si="22"/>
        <v>24</v>
      </c>
    </row>
    <row r="167" spans="1:17" ht="15" hidden="1" customHeight="1" x14ac:dyDescent="0.2">
      <c r="A167" s="20" t="s">
        <v>18</v>
      </c>
      <c r="B167" s="61">
        <v>46081</v>
      </c>
      <c r="C167" s="20">
        <f t="shared" si="24"/>
        <v>497</v>
      </c>
      <c r="D167" s="38">
        <v>1</v>
      </c>
      <c r="G167" s="164" t="s">
        <v>2629</v>
      </c>
      <c r="H167" s="20" t="s">
        <v>2657</v>
      </c>
      <c r="I167" s="20">
        <v>6425</v>
      </c>
      <c r="J167" s="20">
        <v>333822</v>
      </c>
      <c r="K167" s="20" t="s">
        <v>20</v>
      </c>
      <c r="L167" s="20">
        <v>1</v>
      </c>
      <c r="M167" s="173">
        <v>7700000</v>
      </c>
      <c r="N167" s="173">
        <f t="shared" si="21"/>
        <v>7700000</v>
      </c>
      <c r="Q167" s="20">
        <f t="shared" si="22"/>
        <v>24</v>
      </c>
    </row>
  </sheetData>
  <autoFilter ref="A3:Q167" xr:uid="{00000000-0009-0000-0000-00000A000000}">
    <filterColumn colId="8">
      <filters>
        <filter val="333821"/>
      </filters>
    </filterColumn>
    <filterColumn colId="9">
      <filters>
        <filter val="131"/>
      </filters>
    </filterColumn>
    <sortState xmlns:xlrd2="http://schemas.microsoft.com/office/spreadsheetml/2017/richdata2" ref="A4:Q154">
      <sortCondition ref="A4:A154"/>
      <sortCondition ref="B4:B154"/>
      <sortCondition ref="H4:H154"/>
    </sortState>
  </autoFilter>
  <mergeCells count="13">
    <mergeCell ref="N1:N2"/>
    <mergeCell ref="G1:G2"/>
    <mergeCell ref="H1:H2"/>
    <mergeCell ref="I1:J1"/>
    <mergeCell ref="K1:K2"/>
    <mergeCell ref="L1:L2"/>
    <mergeCell ref="M1:M2"/>
    <mergeCell ref="F1:F2"/>
    <mergeCell ref="A1:A2"/>
    <mergeCell ref="B1:B2"/>
    <mergeCell ref="C1:C2"/>
    <mergeCell ref="D1:D2"/>
    <mergeCell ref="E1:E2"/>
  </mergeCells>
  <hyperlinks>
    <hyperlink ref="P1" location="Summary!A1" display="Back to summary" xr:uid="{00000000-0004-0000-0A00-000000000000}"/>
  </hyperlink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filterMode="1">
    <tabColor rgb="FF92D050"/>
  </sheetPr>
  <dimension ref="A1:Z818"/>
  <sheetViews>
    <sheetView workbookViewId="0">
      <selection activeCell="M394" sqref="M394:M789"/>
    </sheetView>
  </sheetViews>
  <sheetFormatPr defaultRowHeight="15" customHeight="1" x14ac:dyDescent="0.25"/>
  <cols>
    <col min="1" max="1" width="9.140625" style="108" customWidth="1"/>
    <col min="2" max="2" width="10.7109375" style="117" customWidth="1"/>
    <col min="3" max="3" width="9.140625" style="108" customWidth="1"/>
    <col min="4" max="4" width="9.42578125" style="108" bestFit="1" customWidth="1"/>
    <col min="5" max="6" width="9.140625" style="108" customWidth="1"/>
    <col min="7" max="7" width="15.42578125" style="113" bestFit="1" customWidth="1"/>
    <col min="8" max="8" width="37.28515625" style="108" bestFit="1" customWidth="1"/>
    <col min="9" max="10" width="8.7109375" style="108" customWidth="1"/>
    <col min="11" max="11" width="11.42578125" style="108" bestFit="1" customWidth="1"/>
    <col min="12" max="12" width="7.28515625" style="108" bestFit="1" customWidth="1"/>
    <col min="13" max="14" width="14.85546875" style="133" bestFit="1" customWidth="1"/>
    <col min="15" max="15" width="10.7109375" style="108" customWidth="1"/>
    <col min="16" max="16" width="10.5703125" style="108" bestFit="1" customWidth="1"/>
    <col min="17" max="17" width="11.28515625" style="108" bestFit="1" customWidth="1"/>
    <col min="18" max="18" width="10.5703125" style="108" bestFit="1" customWidth="1"/>
    <col min="19" max="21" width="10.7109375" style="108" bestFit="1" customWidth="1"/>
    <col min="22" max="23" width="9.140625" style="108"/>
    <col min="24" max="24" width="9.5703125" style="108" bestFit="1" customWidth="1"/>
    <col min="25" max="25" width="10.7109375" style="108" bestFit="1" customWidth="1"/>
    <col min="26" max="26" width="9.85546875" style="108" bestFit="1" customWidth="1"/>
    <col min="27" max="16384" width="9.140625" style="108"/>
  </cols>
  <sheetData>
    <row r="1" spans="1:26" ht="15" customHeight="1" thickBot="1" x14ac:dyDescent="0.25">
      <c r="A1" s="215" t="s">
        <v>0</v>
      </c>
      <c r="B1" s="219" t="s">
        <v>1</v>
      </c>
      <c r="C1" s="215" t="s">
        <v>2</v>
      </c>
      <c r="D1" s="221" t="s">
        <v>3</v>
      </c>
      <c r="E1" s="221" t="s">
        <v>4</v>
      </c>
      <c r="F1" s="221" t="s">
        <v>5</v>
      </c>
      <c r="G1" s="209" t="s">
        <v>6</v>
      </c>
      <c r="H1" s="257" t="s">
        <v>7</v>
      </c>
      <c r="I1" s="213" t="s">
        <v>8</v>
      </c>
      <c r="J1" s="214"/>
      <c r="K1" s="215" t="s">
        <v>9</v>
      </c>
      <c r="L1" s="215" t="s">
        <v>10</v>
      </c>
      <c r="M1" s="263" t="s">
        <v>11</v>
      </c>
      <c r="N1" s="263" t="s">
        <v>12</v>
      </c>
      <c r="O1" s="107"/>
      <c r="P1" s="146" t="s">
        <v>356</v>
      </c>
    </row>
    <row r="2" spans="1:26" ht="15" customHeight="1" thickBot="1" x14ac:dyDescent="0.3">
      <c r="A2" s="216"/>
      <c r="B2" s="220"/>
      <c r="C2" s="216"/>
      <c r="D2" s="222"/>
      <c r="E2" s="222"/>
      <c r="F2" s="256"/>
      <c r="G2" s="210"/>
      <c r="H2" s="258"/>
      <c r="I2" s="110" t="s">
        <v>13</v>
      </c>
      <c r="J2" s="110" t="s">
        <v>14</v>
      </c>
      <c r="K2" s="216"/>
      <c r="L2" s="216"/>
      <c r="M2" s="264"/>
      <c r="N2" s="264"/>
      <c r="O2" s="111"/>
    </row>
    <row r="3" spans="1:26" ht="15" customHeight="1" x14ac:dyDescent="0.25">
      <c r="A3" s="4"/>
      <c r="B3" s="5"/>
      <c r="C3" s="4" t="s">
        <v>3732</v>
      </c>
      <c r="D3" s="6"/>
      <c r="E3" s="6"/>
      <c r="F3" s="6"/>
      <c r="G3" s="4" t="s">
        <v>15</v>
      </c>
      <c r="H3" s="7"/>
      <c r="I3" s="112"/>
      <c r="J3" s="112"/>
      <c r="K3" s="9"/>
      <c r="L3" s="10"/>
      <c r="M3" s="11"/>
      <c r="N3" s="11"/>
      <c r="O3" s="108" t="s">
        <v>16</v>
      </c>
      <c r="P3" s="108" t="s">
        <v>17</v>
      </c>
      <c r="U3" s="114"/>
    </row>
    <row r="4" spans="1:26" ht="15" hidden="1" customHeight="1" x14ac:dyDescent="0.2">
      <c r="A4" s="108" t="s">
        <v>309</v>
      </c>
      <c r="B4" s="117">
        <v>46028.386006944442</v>
      </c>
      <c r="C4" s="108">
        <f t="shared" ref="C4:C67" si="0">C3+D4</f>
        <v>1254</v>
      </c>
      <c r="D4" s="38">
        <f t="shared" ref="D4:D67" si="1">IF(H4=H3,0,1)</f>
        <v>1</v>
      </c>
      <c r="G4" s="172" t="s">
        <v>3721</v>
      </c>
      <c r="H4" s="108" t="s">
        <v>3722</v>
      </c>
      <c r="I4" s="12">
        <v>112111</v>
      </c>
      <c r="J4" s="12">
        <v>131</v>
      </c>
      <c r="K4" s="108" t="s">
        <v>20</v>
      </c>
      <c r="L4" s="108">
        <v>1</v>
      </c>
      <c r="M4" s="114">
        <v>26612903</v>
      </c>
      <c r="N4" s="116">
        <f t="shared" ref="N4:N67" si="2">M4*L4</f>
        <v>26612903</v>
      </c>
      <c r="P4" s="108">
        <f t="shared" ref="P4:P67" si="3">LEN(H4)</f>
        <v>148</v>
      </c>
      <c r="S4" s="114"/>
      <c r="T4" s="114"/>
      <c r="U4" s="114"/>
      <c r="X4" s="131"/>
      <c r="Y4" s="114"/>
    </row>
    <row r="5" spans="1:26" ht="15" hidden="1" customHeight="1" x14ac:dyDescent="0.2">
      <c r="A5" s="108" t="s">
        <v>309</v>
      </c>
      <c r="B5" s="117">
        <v>46035.910717592589</v>
      </c>
      <c r="C5" s="108">
        <f t="shared" si="0"/>
        <v>1255</v>
      </c>
      <c r="D5" s="38">
        <f t="shared" si="1"/>
        <v>1</v>
      </c>
      <c r="G5" s="172" t="s">
        <v>3723</v>
      </c>
      <c r="H5" s="108" t="s">
        <v>3724</v>
      </c>
      <c r="I5" s="12">
        <v>112111</v>
      </c>
      <c r="J5" s="12">
        <v>131</v>
      </c>
      <c r="K5" s="108" t="s">
        <v>20</v>
      </c>
      <c r="L5" s="108">
        <v>1</v>
      </c>
      <c r="M5" s="114">
        <v>42580645</v>
      </c>
      <c r="N5" s="116">
        <f t="shared" si="2"/>
        <v>42580645</v>
      </c>
      <c r="P5" s="108">
        <f t="shared" si="3"/>
        <v>154</v>
      </c>
      <c r="U5" s="114"/>
      <c r="W5" s="132"/>
      <c r="X5" s="131"/>
      <c r="Y5" s="131"/>
      <c r="Z5" s="114"/>
    </row>
    <row r="6" spans="1:26" ht="15" hidden="1" customHeight="1" x14ac:dyDescent="0.2">
      <c r="A6" s="108" t="s">
        <v>309</v>
      </c>
      <c r="B6" s="117">
        <v>46036.674629629626</v>
      </c>
      <c r="C6" s="108">
        <f t="shared" si="0"/>
        <v>1256</v>
      </c>
      <c r="D6" s="38">
        <f t="shared" si="1"/>
        <v>1</v>
      </c>
      <c r="G6" s="172" t="s">
        <v>87</v>
      </c>
      <c r="H6" s="108" t="s">
        <v>3725</v>
      </c>
      <c r="I6" s="12">
        <v>112111</v>
      </c>
      <c r="J6" s="12">
        <v>131</v>
      </c>
      <c r="K6" s="108" t="s">
        <v>20</v>
      </c>
      <c r="L6" s="108">
        <v>1</v>
      </c>
      <c r="M6" s="114">
        <v>10645161</v>
      </c>
      <c r="N6" s="116">
        <f t="shared" si="2"/>
        <v>10645161</v>
      </c>
      <c r="P6" s="108">
        <f t="shared" si="3"/>
        <v>165</v>
      </c>
      <c r="X6" s="131"/>
    </row>
    <row r="7" spans="1:26" ht="15" hidden="1" customHeight="1" x14ac:dyDescent="0.2">
      <c r="A7" s="108" t="s">
        <v>309</v>
      </c>
      <c r="B7" s="117">
        <v>46038.862523148149</v>
      </c>
      <c r="C7" s="108">
        <f t="shared" si="0"/>
        <v>1257</v>
      </c>
      <c r="D7" s="38">
        <f t="shared" si="1"/>
        <v>1</v>
      </c>
      <c r="G7" s="172" t="s">
        <v>3122</v>
      </c>
      <c r="H7" s="108" t="s">
        <v>3726</v>
      </c>
      <c r="I7" s="12">
        <v>112111</v>
      </c>
      <c r="J7" s="12">
        <v>131</v>
      </c>
      <c r="K7" s="108" t="s">
        <v>20</v>
      </c>
      <c r="L7" s="108">
        <v>1</v>
      </c>
      <c r="M7" s="114">
        <v>21290322</v>
      </c>
      <c r="N7" s="116">
        <f t="shared" si="2"/>
        <v>21290322</v>
      </c>
      <c r="P7" s="108">
        <f t="shared" si="3"/>
        <v>200</v>
      </c>
    </row>
    <row r="8" spans="1:26" ht="15" hidden="1" customHeight="1" x14ac:dyDescent="0.2">
      <c r="A8" s="108" t="s">
        <v>309</v>
      </c>
      <c r="B8" s="117">
        <v>46045.490682870368</v>
      </c>
      <c r="C8" s="108">
        <f t="shared" si="0"/>
        <v>1258</v>
      </c>
      <c r="D8" s="38">
        <f t="shared" si="1"/>
        <v>1</v>
      </c>
      <c r="G8" s="172" t="s">
        <v>51</v>
      </c>
      <c r="H8" s="108" t="s">
        <v>3729</v>
      </c>
      <c r="I8" s="12">
        <v>112111</v>
      </c>
      <c r="J8" s="12">
        <v>131</v>
      </c>
      <c r="K8" s="108" t="s">
        <v>20</v>
      </c>
      <c r="L8" s="108">
        <v>1</v>
      </c>
      <c r="M8" s="114">
        <v>15967742</v>
      </c>
      <c r="N8" s="116">
        <f t="shared" si="2"/>
        <v>15967742</v>
      </c>
      <c r="P8" s="108">
        <f t="shared" si="3"/>
        <v>117</v>
      </c>
    </row>
    <row r="9" spans="1:26" ht="15" hidden="1" customHeight="1" x14ac:dyDescent="0.2">
      <c r="A9" s="108" t="s">
        <v>309</v>
      </c>
      <c r="B9" s="117">
        <v>46052.855821759258</v>
      </c>
      <c r="C9" s="108">
        <f t="shared" si="0"/>
        <v>1259</v>
      </c>
      <c r="D9" s="38">
        <f t="shared" si="1"/>
        <v>1</v>
      </c>
      <c r="G9" s="172" t="s">
        <v>29</v>
      </c>
      <c r="H9" s="108" t="s">
        <v>3728</v>
      </c>
      <c r="I9" s="12">
        <v>112111</v>
      </c>
      <c r="J9" s="12">
        <v>131</v>
      </c>
      <c r="K9" s="108" t="s">
        <v>20</v>
      </c>
      <c r="L9" s="108">
        <v>1</v>
      </c>
      <c r="M9" s="114">
        <v>37258065</v>
      </c>
      <c r="N9" s="116">
        <f t="shared" si="2"/>
        <v>37258065</v>
      </c>
      <c r="P9" s="108">
        <f t="shared" si="3"/>
        <v>142</v>
      </c>
    </row>
    <row r="10" spans="1:26" ht="15" hidden="1" customHeight="1" x14ac:dyDescent="0.2">
      <c r="A10" s="108" t="s">
        <v>309</v>
      </c>
      <c r="B10" s="117">
        <v>46052.856805555559</v>
      </c>
      <c r="C10" s="108">
        <f t="shared" si="0"/>
        <v>1260</v>
      </c>
      <c r="D10" s="38">
        <f t="shared" si="1"/>
        <v>1</v>
      </c>
      <c r="G10" s="172" t="s">
        <v>29</v>
      </c>
      <c r="H10" s="108" t="s">
        <v>3727</v>
      </c>
      <c r="I10" s="12">
        <v>112111</v>
      </c>
      <c r="J10" s="12">
        <v>131</v>
      </c>
      <c r="K10" s="108" t="s">
        <v>20</v>
      </c>
      <c r="L10" s="108">
        <v>1</v>
      </c>
      <c r="M10" s="114">
        <v>10752688</v>
      </c>
      <c r="N10" s="116">
        <f t="shared" si="2"/>
        <v>10752688</v>
      </c>
      <c r="P10" s="108">
        <f t="shared" si="3"/>
        <v>156</v>
      </c>
    </row>
    <row r="11" spans="1:26" ht="15" hidden="1" customHeight="1" x14ac:dyDescent="0.2">
      <c r="A11" s="108" t="s">
        <v>309</v>
      </c>
      <c r="B11" s="117">
        <v>46053.064803240741</v>
      </c>
      <c r="C11" s="108">
        <f t="shared" si="0"/>
        <v>1261</v>
      </c>
      <c r="D11" s="38">
        <f t="shared" si="1"/>
        <v>1</v>
      </c>
      <c r="G11" s="113" t="s">
        <v>174</v>
      </c>
      <c r="H11" s="108" t="s">
        <v>3561</v>
      </c>
      <c r="I11" s="12">
        <v>112111</v>
      </c>
      <c r="J11" s="12">
        <v>5154</v>
      </c>
      <c r="K11" s="108" t="s">
        <v>20</v>
      </c>
      <c r="L11" s="108">
        <v>1</v>
      </c>
      <c r="M11" s="114">
        <v>15456</v>
      </c>
      <c r="N11" s="116">
        <f t="shared" si="2"/>
        <v>15456</v>
      </c>
      <c r="P11" s="108">
        <f t="shared" si="3"/>
        <v>22</v>
      </c>
    </row>
    <row r="12" spans="1:26" ht="15" hidden="1" customHeight="1" x14ac:dyDescent="0.2">
      <c r="A12" s="108" t="s">
        <v>309</v>
      </c>
      <c r="B12" s="117">
        <v>46057.733136574076</v>
      </c>
      <c r="C12" s="108">
        <f t="shared" si="0"/>
        <v>1262</v>
      </c>
      <c r="D12" s="38">
        <f t="shared" si="1"/>
        <v>1</v>
      </c>
      <c r="G12" s="172" t="s">
        <v>311</v>
      </c>
      <c r="H12" s="108" t="s">
        <v>3499</v>
      </c>
      <c r="I12" s="12">
        <v>112111</v>
      </c>
      <c r="J12" s="12">
        <v>131</v>
      </c>
      <c r="K12" s="108" t="s">
        <v>20</v>
      </c>
      <c r="L12" s="108">
        <v>1</v>
      </c>
      <c r="M12" s="114">
        <v>49340504</v>
      </c>
      <c r="N12" s="116">
        <f t="shared" si="2"/>
        <v>49340504</v>
      </c>
      <c r="P12" s="108">
        <f t="shared" si="3"/>
        <v>48</v>
      </c>
    </row>
    <row r="13" spans="1:26" ht="15" hidden="1" customHeight="1" x14ac:dyDescent="0.2">
      <c r="A13" s="108" t="s">
        <v>309</v>
      </c>
      <c r="B13" s="117">
        <v>46081.078310185185</v>
      </c>
      <c r="C13" s="108">
        <f t="shared" si="0"/>
        <v>1263</v>
      </c>
      <c r="D13" s="38">
        <f t="shared" si="1"/>
        <v>1</v>
      </c>
      <c r="G13" s="113" t="s">
        <v>174</v>
      </c>
      <c r="H13" s="108" t="s">
        <v>3561</v>
      </c>
      <c r="I13" s="12">
        <v>112111</v>
      </c>
      <c r="J13" s="12">
        <v>5154</v>
      </c>
      <c r="K13" s="108" t="s">
        <v>20</v>
      </c>
      <c r="L13" s="108">
        <v>1</v>
      </c>
      <c r="M13" s="114">
        <v>22969</v>
      </c>
      <c r="N13" s="116">
        <f t="shared" si="2"/>
        <v>22969</v>
      </c>
      <c r="P13" s="108">
        <f t="shared" si="3"/>
        <v>22</v>
      </c>
    </row>
    <row r="14" spans="1:26" ht="15" hidden="1" customHeight="1" x14ac:dyDescent="0.2">
      <c r="A14" s="108" t="s">
        <v>309</v>
      </c>
      <c r="B14" s="117">
        <v>46087.655393518522</v>
      </c>
      <c r="C14" s="108">
        <f t="shared" si="0"/>
        <v>1264</v>
      </c>
      <c r="D14" s="38">
        <f t="shared" si="1"/>
        <v>1</v>
      </c>
      <c r="G14" s="172" t="s">
        <v>51</v>
      </c>
      <c r="H14" s="108" t="s">
        <v>3730</v>
      </c>
      <c r="I14" s="12">
        <v>112111</v>
      </c>
      <c r="J14" s="12">
        <v>131</v>
      </c>
      <c r="K14" s="108" t="s">
        <v>20</v>
      </c>
      <c r="L14" s="108">
        <v>1</v>
      </c>
      <c r="M14" s="114">
        <v>15967742</v>
      </c>
      <c r="N14" s="116">
        <f t="shared" si="2"/>
        <v>15967742</v>
      </c>
      <c r="P14" s="108">
        <f t="shared" si="3"/>
        <v>117</v>
      </c>
    </row>
    <row r="15" spans="1:26" ht="15" hidden="1" customHeight="1" x14ac:dyDescent="0.2">
      <c r="A15" s="108" t="s">
        <v>309</v>
      </c>
      <c r="B15" s="117">
        <v>46106.700983796298</v>
      </c>
      <c r="C15" s="108">
        <f t="shared" si="0"/>
        <v>1265</v>
      </c>
      <c r="D15" s="38">
        <f t="shared" si="1"/>
        <v>1</v>
      </c>
      <c r="G15" s="172" t="s">
        <v>50</v>
      </c>
      <c r="H15" s="108" t="s">
        <v>3731</v>
      </c>
      <c r="I15" s="12">
        <v>112111</v>
      </c>
      <c r="J15" s="12">
        <v>131</v>
      </c>
      <c r="K15" s="108" t="s">
        <v>20</v>
      </c>
      <c r="L15" s="108">
        <v>1</v>
      </c>
      <c r="M15" s="114">
        <v>19250000</v>
      </c>
      <c r="N15" s="116">
        <f t="shared" si="2"/>
        <v>19250000</v>
      </c>
      <c r="P15" s="108">
        <f t="shared" si="3"/>
        <v>117</v>
      </c>
    </row>
    <row r="16" spans="1:26" ht="15" hidden="1" customHeight="1" x14ac:dyDescent="0.2">
      <c r="A16" s="108" t="s">
        <v>309</v>
      </c>
      <c r="B16" s="117">
        <v>46112.057754629626</v>
      </c>
      <c r="C16" s="108">
        <f t="shared" si="0"/>
        <v>1266</v>
      </c>
      <c r="D16" s="38">
        <f t="shared" si="1"/>
        <v>1</v>
      </c>
      <c r="G16" s="113" t="s">
        <v>174</v>
      </c>
      <c r="H16" s="108" t="s">
        <v>3561</v>
      </c>
      <c r="I16" s="12">
        <v>112111</v>
      </c>
      <c r="J16" s="12">
        <v>5154</v>
      </c>
      <c r="K16" s="108" t="s">
        <v>20</v>
      </c>
      <c r="L16" s="108">
        <v>1</v>
      </c>
      <c r="M16" s="114">
        <v>21334</v>
      </c>
      <c r="N16" s="116">
        <f t="shared" si="2"/>
        <v>21334</v>
      </c>
      <c r="P16" s="108">
        <f t="shared" si="3"/>
        <v>22</v>
      </c>
    </row>
    <row r="17" spans="1:16" ht="15" hidden="1" customHeight="1" x14ac:dyDescent="0.2">
      <c r="A17" s="108" t="s">
        <v>308</v>
      </c>
      <c r="B17" s="117">
        <v>46034.631585648145</v>
      </c>
      <c r="C17" s="108">
        <f t="shared" si="0"/>
        <v>1267</v>
      </c>
      <c r="D17" s="38">
        <f t="shared" si="1"/>
        <v>1</v>
      </c>
      <c r="G17" s="113" t="s">
        <v>174</v>
      </c>
      <c r="H17" s="108" t="s">
        <v>3032</v>
      </c>
      <c r="I17" s="12">
        <v>1111</v>
      </c>
      <c r="J17" s="12">
        <v>112111</v>
      </c>
      <c r="K17" s="108" t="s">
        <v>20</v>
      </c>
      <c r="L17" s="108">
        <v>1</v>
      </c>
      <c r="M17" s="114">
        <v>47047000</v>
      </c>
      <c r="N17" s="116">
        <f t="shared" si="2"/>
        <v>47047000</v>
      </c>
      <c r="P17" s="108">
        <f t="shared" si="3"/>
        <v>40</v>
      </c>
    </row>
    <row r="18" spans="1:16" ht="15" hidden="1" customHeight="1" x14ac:dyDescent="0.2">
      <c r="A18" s="108" t="s">
        <v>308</v>
      </c>
      <c r="B18" s="117">
        <v>46079.65421296296</v>
      </c>
      <c r="C18" s="108">
        <f t="shared" si="0"/>
        <v>1267</v>
      </c>
      <c r="D18" s="38">
        <f t="shared" si="1"/>
        <v>0</v>
      </c>
      <c r="G18" s="113" t="s">
        <v>174</v>
      </c>
      <c r="H18" s="108" t="s">
        <v>3032</v>
      </c>
      <c r="I18" s="12">
        <v>1111</v>
      </c>
      <c r="J18" s="12">
        <v>112111</v>
      </c>
      <c r="K18" s="108" t="s">
        <v>20</v>
      </c>
      <c r="L18" s="108">
        <v>1</v>
      </c>
      <c r="M18" s="114">
        <v>45208000</v>
      </c>
      <c r="N18" s="116">
        <f t="shared" si="2"/>
        <v>45208000</v>
      </c>
      <c r="P18" s="108">
        <f t="shared" si="3"/>
        <v>40</v>
      </c>
    </row>
    <row r="19" spans="1:16" ht="15" hidden="1" customHeight="1" x14ac:dyDescent="0.2">
      <c r="A19" s="108" t="s">
        <v>308</v>
      </c>
      <c r="B19" s="117">
        <v>46079.765081018515</v>
      </c>
      <c r="C19" s="108">
        <f t="shared" si="0"/>
        <v>1267</v>
      </c>
      <c r="D19" s="38">
        <f t="shared" si="1"/>
        <v>0</v>
      </c>
      <c r="G19" s="113" t="s">
        <v>174</v>
      </c>
      <c r="H19" s="108" t="s">
        <v>3032</v>
      </c>
      <c r="I19" s="12">
        <v>1111</v>
      </c>
      <c r="J19" s="12">
        <v>112111</v>
      </c>
      <c r="K19" s="108" t="s">
        <v>20</v>
      </c>
      <c r="L19" s="108">
        <v>1</v>
      </c>
      <c r="M19" s="114">
        <v>7593300</v>
      </c>
      <c r="N19" s="116">
        <f t="shared" si="2"/>
        <v>7593300</v>
      </c>
      <c r="P19" s="108">
        <f t="shared" si="3"/>
        <v>40</v>
      </c>
    </row>
    <row r="20" spans="1:16" ht="15" hidden="1" customHeight="1" x14ac:dyDescent="0.2">
      <c r="A20" s="108" t="s">
        <v>308</v>
      </c>
      <c r="B20" s="117">
        <v>46083.690034722225</v>
      </c>
      <c r="C20" s="108">
        <f t="shared" si="0"/>
        <v>1267</v>
      </c>
      <c r="D20" s="38">
        <f t="shared" si="1"/>
        <v>0</v>
      </c>
      <c r="G20" s="113" t="s">
        <v>174</v>
      </c>
      <c r="H20" s="108" t="s">
        <v>3032</v>
      </c>
      <c r="I20" s="12">
        <v>1111</v>
      </c>
      <c r="J20" s="12">
        <v>112111</v>
      </c>
      <c r="K20" s="108" t="s">
        <v>20</v>
      </c>
      <c r="L20" s="108">
        <v>1</v>
      </c>
      <c r="M20" s="114">
        <v>24443000</v>
      </c>
      <c r="N20" s="116">
        <f t="shared" si="2"/>
        <v>24443000</v>
      </c>
      <c r="P20" s="108">
        <f t="shared" si="3"/>
        <v>40</v>
      </c>
    </row>
    <row r="21" spans="1:16" ht="15" hidden="1" customHeight="1" x14ac:dyDescent="0.2">
      <c r="A21" s="108" t="s">
        <v>310</v>
      </c>
      <c r="B21" s="117" t="s">
        <v>827</v>
      </c>
      <c r="C21" s="108">
        <f t="shared" si="0"/>
        <v>1268</v>
      </c>
      <c r="D21" s="38">
        <f t="shared" si="1"/>
        <v>1</v>
      </c>
      <c r="E21" s="113"/>
      <c r="G21" s="113" t="s">
        <v>269</v>
      </c>
      <c r="H21" s="108" t="s">
        <v>949</v>
      </c>
      <c r="I21" s="12">
        <v>331</v>
      </c>
      <c r="J21" s="12">
        <v>1111</v>
      </c>
      <c r="K21" s="108" t="s">
        <v>20</v>
      </c>
      <c r="L21" s="108">
        <v>1</v>
      </c>
      <c r="M21" s="116">
        <v>200000</v>
      </c>
      <c r="N21" s="116">
        <f t="shared" si="2"/>
        <v>200000</v>
      </c>
      <c r="P21" s="108">
        <f t="shared" si="3"/>
        <v>25</v>
      </c>
    </row>
    <row r="22" spans="1:16" ht="15" hidden="1" customHeight="1" x14ac:dyDescent="0.2">
      <c r="A22" s="108" t="s">
        <v>310</v>
      </c>
      <c r="B22" s="117" t="s">
        <v>827</v>
      </c>
      <c r="C22" s="108">
        <f t="shared" si="0"/>
        <v>1269</v>
      </c>
      <c r="D22" s="38">
        <f t="shared" si="1"/>
        <v>1</v>
      </c>
      <c r="E22" s="113"/>
      <c r="G22" s="113" t="s">
        <v>23</v>
      </c>
      <c r="H22" s="108" t="s">
        <v>948</v>
      </c>
      <c r="I22" s="12">
        <v>331</v>
      </c>
      <c r="J22" s="12">
        <v>1111</v>
      </c>
      <c r="K22" s="108" t="s">
        <v>20</v>
      </c>
      <c r="L22" s="108">
        <v>1</v>
      </c>
      <c r="M22" s="116">
        <v>173000</v>
      </c>
      <c r="N22" s="116">
        <f t="shared" si="2"/>
        <v>173000</v>
      </c>
      <c r="P22" s="108">
        <f t="shared" si="3"/>
        <v>158</v>
      </c>
    </row>
    <row r="23" spans="1:16" ht="15" hidden="1" customHeight="1" x14ac:dyDescent="0.2">
      <c r="A23" s="108" t="s">
        <v>310</v>
      </c>
      <c r="B23" s="117" t="s">
        <v>432</v>
      </c>
      <c r="C23" s="108">
        <f t="shared" si="0"/>
        <v>1270</v>
      </c>
      <c r="D23" s="38">
        <f t="shared" si="1"/>
        <v>1</v>
      </c>
      <c r="E23" s="113"/>
      <c r="G23" s="113" t="s">
        <v>44</v>
      </c>
      <c r="H23" s="108" t="s">
        <v>950</v>
      </c>
      <c r="I23" s="12">
        <v>331</v>
      </c>
      <c r="J23" s="12">
        <v>1111</v>
      </c>
      <c r="K23" s="108" t="s">
        <v>20</v>
      </c>
      <c r="L23" s="108">
        <v>1</v>
      </c>
      <c r="M23" s="116">
        <v>960694</v>
      </c>
      <c r="N23" s="116">
        <f t="shared" si="2"/>
        <v>960694</v>
      </c>
      <c r="P23" s="108">
        <f t="shared" si="3"/>
        <v>53</v>
      </c>
    </row>
    <row r="24" spans="1:16" ht="15" hidden="1" customHeight="1" x14ac:dyDescent="0.2">
      <c r="A24" s="108" t="s">
        <v>310</v>
      </c>
      <c r="B24" s="117" t="s">
        <v>432</v>
      </c>
      <c r="C24" s="108">
        <f t="shared" si="0"/>
        <v>1271</v>
      </c>
      <c r="D24" s="38">
        <f t="shared" si="1"/>
        <v>1</v>
      </c>
      <c r="E24" s="113"/>
      <c r="G24" s="113" t="s">
        <v>270</v>
      </c>
      <c r="H24" s="108" t="s">
        <v>3634</v>
      </c>
      <c r="I24" s="12">
        <v>331</v>
      </c>
      <c r="J24" s="12">
        <v>1111</v>
      </c>
      <c r="K24" s="108" t="s">
        <v>20</v>
      </c>
      <c r="L24" s="108">
        <v>1</v>
      </c>
      <c r="M24" s="116">
        <v>182000</v>
      </c>
      <c r="N24" s="116">
        <f t="shared" si="2"/>
        <v>182000</v>
      </c>
      <c r="P24" s="108">
        <f t="shared" si="3"/>
        <v>53</v>
      </c>
    </row>
    <row r="25" spans="1:16" ht="15" hidden="1" customHeight="1" x14ac:dyDescent="0.2">
      <c r="A25" s="108" t="s">
        <v>310</v>
      </c>
      <c r="B25" s="117" t="s">
        <v>433</v>
      </c>
      <c r="C25" s="108">
        <f t="shared" si="0"/>
        <v>1272</v>
      </c>
      <c r="D25" s="38">
        <f t="shared" si="1"/>
        <v>1</v>
      </c>
      <c r="E25" s="113"/>
      <c r="G25" s="113" t="s">
        <v>19</v>
      </c>
      <c r="H25" s="108" t="s">
        <v>951</v>
      </c>
      <c r="I25" s="12">
        <v>331</v>
      </c>
      <c r="J25" s="12">
        <v>1111</v>
      </c>
      <c r="K25" s="108" t="s">
        <v>20</v>
      </c>
      <c r="L25" s="108">
        <v>1</v>
      </c>
      <c r="M25" s="116">
        <v>19000</v>
      </c>
      <c r="N25" s="116">
        <f t="shared" si="2"/>
        <v>19000</v>
      </c>
      <c r="P25" s="108">
        <f t="shared" si="3"/>
        <v>167</v>
      </c>
    </row>
    <row r="26" spans="1:16" ht="15" hidden="1" customHeight="1" x14ac:dyDescent="0.2">
      <c r="A26" s="108" t="s">
        <v>310</v>
      </c>
      <c r="B26" s="117" t="s">
        <v>433</v>
      </c>
      <c r="C26" s="108">
        <f t="shared" si="0"/>
        <v>1273</v>
      </c>
      <c r="D26" s="38">
        <f t="shared" si="1"/>
        <v>1</v>
      </c>
      <c r="E26" s="113"/>
      <c r="G26" s="113" t="s">
        <v>23</v>
      </c>
      <c r="H26" s="108" t="s">
        <v>952</v>
      </c>
      <c r="I26" s="12">
        <v>331</v>
      </c>
      <c r="J26" s="12">
        <v>1111</v>
      </c>
      <c r="K26" s="108" t="s">
        <v>20</v>
      </c>
      <c r="L26" s="108">
        <v>1</v>
      </c>
      <c r="M26" s="116">
        <v>252000</v>
      </c>
      <c r="N26" s="116">
        <f t="shared" si="2"/>
        <v>252000</v>
      </c>
      <c r="P26" s="108">
        <f t="shared" si="3"/>
        <v>190</v>
      </c>
    </row>
    <row r="27" spans="1:16" ht="15" hidden="1" customHeight="1" x14ac:dyDescent="0.2">
      <c r="A27" s="108" t="s">
        <v>310</v>
      </c>
      <c r="B27" s="117" t="s">
        <v>433</v>
      </c>
      <c r="C27" s="108">
        <f t="shared" si="0"/>
        <v>1274</v>
      </c>
      <c r="D27" s="38">
        <f t="shared" si="1"/>
        <v>1</v>
      </c>
      <c r="E27" s="113"/>
      <c r="G27" s="113" t="s">
        <v>267</v>
      </c>
      <c r="H27" s="108" t="s">
        <v>953</v>
      </c>
      <c r="I27" s="12">
        <v>331</v>
      </c>
      <c r="J27" s="12">
        <v>1111</v>
      </c>
      <c r="K27" s="108" t="s">
        <v>20</v>
      </c>
      <c r="L27" s="108">
        <v>1</v>
      </c>
      <c r="M27" s="116">
        <v>670000</v>
      </c>
      <c r="N27" s="116">
        <f t="shared" si="2"/>
        <v>670000</v>
      </c>
      <c r="P27" s="108">
        <f t="shared" si="3"/>
        <v>54</v>
      </c>
    </row>
    <row r="28" spans="1:16" ht="15" hidden="1" customHeight="1" x14ac:dyDescent="0.2">
      <c r="A28" s="108" t="s">
        <v>310</v>
      </c>
      <c r="B28" s="117" t="s">
        <v>469</v>
      </c>
      <c r="C28" s="108">
        <f t="shared" si="0"/>
        <v>1275</v>
      </c>
      <c r="D28" s="38">
        <f t="shared" si="1"/>
        <v>1</v>
      </c>
      <c r="E28" s="113"/>
      <c r="G28" s="113" t="s">
        <v>19</v>
      </c>
      <c r="H28" s="108" t="s">
        <v>954</v>
      </c>
      <c r="I28" s="12">
        <v>331</v>
      </c>
      <c r="J28" s="12">
        <v>1111</v>
      </c>
      <c r="K28" s="108" t="s">
        <v>20</v>
      </c>
      <c r="L28" s="108">
        <v>1</v>
      </c>
      <c r="M28" s="116">
        <v>35000</v>
      </c>
      <c r="N28" s="116">
        <f t="shared" si="2"/>
        <v>35000</v>
      </c>
      <c r="P28" s="108">
        <f t="shared" si="3"/>
        <v>168</v>
      </c>
    </row>
    <row r="29" spans="1:16" ht="15" hidden="1" customHeight="1" x14ac:dyDescent="0.2">
      <c r="A29" s="108" t="s">
        <v>310</v>
      </c>
      <c r="B29" s="117" t="s">
        <v>469</v>
      </c>
      <c r="C29" s="108">
        <f t="shared" si="0"/>
        <v>1276</v>
      </c>
      <c r="D29" s="38">
        <f t="shared" si="1"/>
        <v>1</v>
      </c>
      <c r="E29" s="113"/>
      <c r="G29" s="113" t="s">
        <v>23</v>
      </c>
      <c r="H29" s="108" t="s">
        <v>955</v>
      </c>
      <c r="I29" s="12">
        <v>331</v>
      </c>
      <c r="J29" s="12">
        <v>1111</v>
      </c>
      <c r="K29" s="108" t="s">
        <v>20</v>
      </c>
      <c r="L29" s="108">
        <v>1</v>
      </c>
      <c r="M29" s="116">
        <v>90000</v>
      </c>
      <c r="N29" s="116">
        <f t="shared" si="2"/>
        <v>90000</v>
      </c>
      <c r="P29" s="108">
        <f t="shared" si="3"/>
        <v>105</v>
      </c>
    </row>
    <row r="30" spans="1:16" ht="15" hidden="1" customHeight="1" x14ac:dyDescent="0.2">
      <c r="A30" s="108" t="s">
        <v>310</v>
      </c>
      <c r="B30" s="117" t="s">
        <v>470</v>
      </c>
      <c r="C30" s="108">
        <f t="shared" si="0"/>
        <v>1277</v>
      </c>
      <c r="D30" s="38">
        <f t="shared" si="1"/>
        <v>1</v>
      </c>
      <c r="E30" s="113"/>
      <c r="G30" s="113" t="s">
        <v>19</v>
      </c>
      <c r="H30" s="108" t="s">
        <v>957</v>
      </c>
      <c r="I30" s="12">
        <v>331</v>
      </c>
      <c r="J30" s="12">
        <v>1111</v>
      </c>
      <c r="K30" s="108" t="s">
        <v>20</v>
      </c>
      <c r="L30" s="108">
        <v>1</v>
      </c>
      <c r="M30" s="116">
        <v>140000</v>
      </c>
      <c r="N30" s="116">
        <f t="shared" si="2"/>
        <v>140000</v>
      </c>
      <c r="P30" s="108">
        <f t="shared" si="3"/>
        <v>125</v>
      </c>
    </row>
    <row r="31" spans="1:16" ht="15" hidden="1" customHeight="1" x14ac:dyDescent="0.2">
      <c r="A31" s="108" t="s">
        <v>310</v>
      </c>
      <c r="B31" s="117" t="s">
        <v>470</v>
      </c>
      <c r="C31" s="108">
        <f t="shared" si="0"/>
        <v>1278</v>
      </c>
      <c r="D31" s="38">
        <f t="shared" si="1"/>
        <v>1</v>
      </c>
      <c r="E31" s="113"/>
      <c r="G31" s="113" t="s">
        <v>24</v>
      </c>
      <c r="H31" s="108" t="s">
        <v>956</v>
      </c>
      <c r="I31" s="12">
        <v>331</v>
      </c>
      <c r="J31" s="12">
        <v>1111</v>
      </c>
      <c r="K31" s="108" t="s">
        <v>20</v>
      </c>
      <c r="L31" s="108">
        <v>1</v>
      </c>
      <c r="M31" s="116">
        <v>122000</v>
      </c>
      <c r="N31" s="116">
        <f t="shared" si="2"/>
        <v>122000</v>
      </c>
      <c r="P31" s="108">
        <f t="shared" si="3"/>
        <v>168</v>
      </c>
    </row>
    <row r="32" spans="1:16" ht="15" hidden="1" customHeight="1" x14ac:dyDescent="0.2">
      <c r="A32" s="108" t="s">
        <v>310</v>
      </c>
      <c r="B32" s="117" t="s">
        <v>470</v>
      </c>
      <c r="C32" s="108">
        <f t="shared" si="0"/>
        <v>1279</v>
      </c>
      <c r="D32" s="38">
        <f t="shared" si="1"/>
        <v>1</v>
      </c>
      <c r="E32" s="113"/>
      <c r="G32" s="113" t="s">
        <v>443</v>
      </c>
      <c r="H32" s="108" t="s">
        <v>958</v>
      </c>
      <c r="I32" s="12">
        <v>331</v>
      </c>
      <c r="J32" s="12">
        <v>1111</v>
      </c>
      <c r="K32" s="108" t="s">
        <v>20</v>
      </c>
      <c r="L32" s="108">
        <v>1</v>
      </c>
      <c r="M32" s="116">
        <v>31000</v>
      </c>
      <c r="N32" s="116">
        <f t="shared" si="2"/>
        <v>31000</v>
      </c>
      <c r="P32" s="108">
        <f t="shared" si="3"/>
        <v>123</v>
      </c>
    </row>
    <row r="33" spans="1:16" ht="15" hidden="1" customHeight="1" x14ac:dyDescent="0.2">
      <c r="A33" s="108" t="s">
        <v>310</v>
      </c>
      <c r="B33" s="117" t="s">
        <v>470</v>
      </c>
      <c r="C33" s="108">
        <f t="shared" si="0"/>
        <v>1280</v>
      </c>
      <c r="D33" s="38">
        <f t="shared" si="1"/>
        <v>1</v>
      </c>
      <c r="E33" s="113"/>
      <c r="G33" s="113" t="s">
        <v>22</v>
      </c>
      <c r="H33" s="108" t="s">
        <v>3636</v>
      </c>
      <c r="I33" s="12">
        <v>331</v>
      </c>
      <c r="J33" s="12">
        <v>1111</v>
      </c>
      <c r="K33" s="108" t="s">
        <v>20</v>
      </c>
      <c r="L33" s="108">
        <v>1</v>
      </c>
      <c r="M33" s="116">
        <v>856440</v>
      </c>
      <c r="N33" s="116">
        <f t="shared" si="2"/>
        <v>856440</v>
      </c>
      <c r="P33" s="108">
        <f t="shared" si="3"/>
        <v>51</v>
      </c>
    </row>
    <row r="34" spans="1:16" ht="15" hidden="1" customHeight="1" x14ac:dyDescent="0.2">
      <c r="A34" s="108" t="s">
        <v>310</v>
      </c>
      <c r="B34" s="117" t="s">
        <v>643</v>
      </c>
      <c r="C34" s="108">
        <f t="shared" si="0"/>
        <v>1281</v>
      </c>
      <c r="D34" s="38">
        <f t="shared" si="1"/>
        <v>1</v>
      </c>
      <c r="E34" s="113"/>
      <c r="G34" s="113" t="s">
        <v>35</v>
      </c>
      <c r="H34" s="108" t="s">
        <v>959</v>
      </c>
      <c r="I34" s="12">
        <v>331</v>
      </c>
      <c r="J34" s="12">
        <v>1111</v>
      </c>
      <c r="K34" s="108" t="s">
        <v>20</v>
      </c>
      <c r="L34" s="108">
        <v>1</v>
      </c>
      <c r="M34" s="116">
        <v>3240000</v>
      </c>
      <c r="N34" s="116">
        <f t="shared" si="2"/>
        <v>3240000</v>
      </c>
      <c r="P34" s="108">
        <f t="shared" si="3"/>
        <v>41</v>
      </c>
    </row>
    <row r="35" spans="1:16" ht="15" hidden="1" customHeight="1" x14ac:dyDescent="0.2">
      <c r="A35" s="108" t="s">
        <v>310</v>
      </c>
      <c r="B35" s="117" t="s">
        <v>493</v>
      </c>
      <c r="C35" s="108">
        <f t="shared" si="0"/>
        <v>1282</v>
      </c>
      <c r="D35" s="38">
        <f t="shared" si="1"/>
        <v>1</v>
      </c>
      <c r="E35" s="113"/>
      <c r="G35" s="113" t="s">
        <v>24</v>
      </c>
      <c r="H35" s="108" t="s">
        <v>960</v>
      </c>
      <c r="I35" s="12">
        <v>331</v>
      </c>
      <c r="J35" s="12">
        <v>1111</v>
      </c>
      <c r="K35" s="108" t="s">
        <v>20</v>
      </c>
      <c r="L35" s="108">
        <v>1</v>
      </c>
      <c r="M35" s="116">
        <v>122000</v>
      </c>
      <c r="N35" s="116">
        <f t="shared" si="2"/>
        <v>122000</v>
      </c>
      <c r="P35" s="108">
        <f t="shared" si="3"/>
        <v>168</v>
      </c>
    </row>
    <row r="36" spans="1:16" ht="15" hidden="1" customHeight="1" x14ac:dyDescent="0.2">
      <c r="A36" s="108" t="s">
        <v>310</v>
      </c>
      <c r="B36" s="117" t="s">
        <v>493</v>
      </c>
      <c r="C36" s="108">
        <f t="shared" si="0"/>
        <v>1283</v>
      </c>
      <c r="D36" s="38">
        <f t="shared" si="1"/>
        <v>1</v>
      </c>
      <c r="E36" s="113"/>
      <c r="G36" s="113" t="s">
        <v>19</v>
      </c>
      <c r="H36" s="108" t="s">
        <v>963</v>
      </c>
      <c r="I36" s="12">
        <v>331</v>
      </c>
      <c r="J36" s="12">
        <v>1111</v>
      </c>
      <c r="K36" s="108" t="s">
        <v>20</v>
      </c>
      <c r="L36" s="108">
        <v>1</v>
      </c>
      <c r="M36" s="116">
        <v>14000</v>
      </c>
      <c r="N36" s="116">
        <f t="shared" si="2"/>
        <v>14000</v>
      </c>
      <c r="P36" s="108">
        <f t="shared" si="3"/>
        <v>168</v>
      </c>
    </row>
    <row r="37" spans="1:16" ht="15" hidden="1" customHeight="1" x14ac:dyDescent="0.2">
      <c r="A37" s="108" t="s">
        <v>310</v>
      </c>
      <c r="B37" s="117" t="s">
        <v>493</v>
      </c>
      <c r="C37" s="108">
        <f t="shared" si="0"/>
        <v>1284</v>
      </c>
      <c r="D37" s="38">
        <f t="shared" si="1"/>
        <v>1</v>
      </c>
      <c r="E37" s="113"/>
      <c r="G37" s="113" t="s">
        <v>19</v>
      </c>
      <c r="H37" s="108" t="s">
        <v>962</v>
      </c>
      <c r="I37" s="12">
        <v>331</v>
      </c>
      <c r="J37" s="12">
        <v>1111</v>
      </c>
      <c r="K37" s="108" t="s">
        <v>20</v>
      </c>
      <c r="L37" s="108">
        <v>1</v>
      </c>
      <c r="M37" s="116">
        <v>30000</v>
      </c>
      <c r="N37" s="116">
        <f t="shared" si="2"/>
        <v>30000</v>
      </c>
      <c r="P37" s="108">
        <f t="shared" si="3"/>
        <v>125</v>
      </c>
    </row>
    <row r="38" spans="1:16" ht="15" hidden="1" customHeight="1" x14ac:dyDescent="0.2">
      <c r="A38" s="108" t="s">
        <v>310</v>
      </c>
      <c r="B38" s="117" t="s">
        <v>493</v>
      </c>
      <c r="C38" s="108">
        <f t="shared" si="0"/>
        <v>1285</v>
      </c>
      <c r="D38" s="38">
        <f t="shared" si="1"/>
        <v>1</v>
      </c>
      <c r="E38" s="113"/>
      <c r="G38" s="113" t="s">
        <v>19</v>
      </c>
      <c r="H38" s="108" t="s">
        <v>961</v>
      </c>
      <c r="I38" s="12">
        <v>331</v>
      </c>
      <c r="J38" s="12">
        <v>1111</v>
      </c>
      <c r="K38" s="108" t="s">
        <v>20</v>
      </c>
      <c r="L38" s="108">
        <v>1</v>
      </c>
      <c r="M38" s="116">
        <v>134000</v>
      </c>
      <c r="N38" s="116">
        <f t="shared" si="2"/>
        <v>134000</v>
      </c>
      <c r="P38" s="108">
        <f t="shared" si="3"/>
        <v>125</v>
      </c>
    </row>
    <row r="39" spans="1:16" ht="15" hidden="1" customHeight="1" x14ac:dyDescent="0.2">
      <c r="A39" s="108" t="s">
        <v>310</v>
      </c>
      <c r="B39" s="117" t="s">
        <v>493</v>
      </c>
      <c r="C39" s="108">
        <f t="shared" si="0"/>
        <v>1286</v>
      </c>
      <c r="D39" s="38">
        <f t="shared" si="1"/>
        <v>1</v>
      </c>
      <c r="E39" s="113"/>
      <c r="G39" s="113" t="s">
        <v>265</v>
      </c>
      <c r="H39" s="108" t="s">
        <v>967</v>
      </c>
      <c r="I39" s="12">
        <v>331</v>
      </c>
      <c r="J39" s="12">
        <v>1111</v>
      </c>
      <c r="K39" s="108" t="s">
        <v>20</v>
      </c>
      <c r="L39" s="108">
        <v>1</v>
      </c>
      <c r="M39" s="116">
        <v>345600</v>
      </c>
      <c r="N39" s="116">
        <f t="shared" si="2"/>
        <v>345600</v>
      </c>
      <c r="P39" s="108">
        <f t="shared" si="3"/>
        <v>82</v>
      </c>
    </row>
    <row r="40" spans="1:16" ht="15" hidden="1" customHeight="1" x14ac:dyDescent="0.2">
      <c r="A40" s="108" t="s">
        <v>310</v>
      </c>
      <c r="B40" s="117" t="s">
        <v>493</v>
      </c>
      <c r="C40" s="108">
        <f t="shared" si="0"/>
        <v>1287</v>
      </c>
      <c r="D40" s="38">
        <f t="shared" si="1"/>
        <v>1</v>
      </c>
      <c r="E40" s="113"/>
      <c r="G40" s="113" t="s">
        <v>965</v>
      </c>
      <c r="H40" s="108" t="s">
        <v>966</v>
      </c>
      <c r="I40" s="12">
        <v>331</v>
      </c>
      <c r="J40" s="12">
        <v>1111</v>
      </c>
      <c r="K40" s="108" t="s">
        <v>20</v>
      </c>
      <c r="L40" s="108">
        <v>1</v>
      </c>
      <c r="M40" s="116">
        <v>286200</v>
      </c>
      <c r="N40" s="116">
        <f t="shared" si="2"/>
        <v>286200</v>
      </c>
      <c r="P40" s="108">
        <f t="shared" si="3"/>
        <v>46</v>
      </c>
    </row>
    <row r="41" spans="1:16" ht="15" hidden="1" customHeight="1" x14ac:dyDescent="0.2">
      <c r="A41" s="108" t="s">
        <v>310</v>
      </c>
      <c r="B41" s="117" t="s">
        <v>493</v>
      </c>
      <c r="C41" s="108">
        <f t="shared" si="0"/>
        <v>1288</v>
      </c>
      <c r="D41" s="38">
        <f t="shared" si="1"/>
        <v>1</v>
      </c>
      <c r="E41" s="113"/>
      <c r="G41" s="113" t="s">
        <v>964</v>
      </c>
      <c r="H41" s="108" t="s">
        <v>3638</v>
      </c>
      <c r="I41" s="12">
        <v>331</v>
      </c>
      <c r="J41" s="12">
        <v>1111</v>
      </c>
      <c r="K41" s="108" t="s">
        <v>20</v>
      </c>
      <c r="L41" s="108">
        <v>1</v>
      </c>
      <c r="M41" s="116">
        <v>30000</v>
      </c>
      <c r="N41" s="116">
        <f t="shared" si="2"/>
        <v>30000</v>
      </c>
      <c r="P41" s="108">
        <f t="shared" si="3"/>
        <v>41</v>
      </c>
    </row>
    <row r="42" spans="1:16" ht="15" hidden="1" customHeight="1" x14ac:dyDescent="0.2">
      <c r="A42" s="108" t="s">
        <v>310</v>
      </c>
      <c r="B42" s="117" t="s">
        <v>471</v>
      </c>
      <c r="C42" s="108">
        <f t="shared" si="0"/>
        <v>1289</v>
      </c>
      <c r="D42" s="38">
        <f t="shared" si="1"/>
        <v>1</v>
      </c>
      <c r="E42" s="113"/>
      <c r="G42" s="113" t="s">
        <v>19</v>
      </c>
      <c r="H42" s="108" t="s">
        <v>970</v>
      </c>
      <c r="I42" s="12">
        <v>331</v>
      </c>
      <c r="J42" s="12">
        <v>1111</v>
      </c>
      <c r="K42" s="108" t="s">
        <v>20</v>
      </c>
      <c r="L42" s="108">
        <v>1</v>
      </c>
      <c r="M42" s="116">
        <v>74000</v>
      </c>
      <c r="N42" s="116">
        <f t="shared" si="2"/>
        <v>74000</v>
      </c>
      <c r="P42" s="108">
        <f t="shared" si="3"/>
        <v>125</v>
      </c>
    </row>
    <row r="43" spans="1:16" ht="15" hidden="1" customHeight="1" x14ac:dyDescent="0.2">
      <c r="A43" s="108" t="s">
        <v>310</v>
      </c>
      <c r="B43" s="117" t="s">
        <v>471</v>
      </c>
      <c r="C43" s="108">
        <f t="shared" si="0"/>
        <v>1290</v>
      </c>
      <c r="D43" s="38">
        <f t="shared" si="1"/>
        <v>1</v>
      </c>
      <c r="E43" s="113"/>
      <c r="G43" s="113" t="s">
        <v>19</v>
      </c>
      <c r="H43" s="108" t="s">
        <v>969</v>
      </c>
      <c r="I43" s="12">
        <v>331</v>
      </c>
      <c r="J43" s="12">
        <v>1111</v>
      </c>
      <c r="K43" s="108" t="s">
        <v>20</v>
      </c>
      <c r="L43" s="108">
        <v>1</v>
      </c>
      <c r="M43" s="116">
        <v>27000</v>
      </c>
      <c r="N43" s="116">
        <f t="shared" si="2"/>
        <v>27000</v>
      </c>
      <c r="P43" s="108">
        <f t="shared" si="3"/>
        <v>125</v>
      </c>
    </row>
    <row r="44" spans="1:16" ht="15" hidden="1" customHeight="1" x14ac:dyDescent="0.2">
      <c r="A44" s="108" t="s">
        <v>310</v>
      </c>
      <c r="B44" s="117" t="s">
        <v>471</v>
      </c>
      <c r="C44" s="108">
        <f t="shared" si="0"/>
        <v>1291</v>
      </c>
      <c r="D44" s="38">
        <f t="shared" si="1"/>
        <v>1</v>
      </c>
      <c r="E44" s="113"/>
      <c r="G44" s="113" t="s">
        <v>19</v>
      </c>
      <c r="H44" s="108" t="s">
        <v>968</v>
      </c>
      <c r="I44" s="12">
        <v>331</v>
      </c>
      <c r="J44" s="12">
        <v>1111</v>
      </c>
      <c r="K44" s="108" t="s">
        <v>20</v>
      </c>
      <c r="L44" s="108">
        <v>1</v>
      </c>
      <c r="M44" s="116">
        <v>158000</v>
      </c>
      <c r="N44" s="116">
        <f t="shared" si="2"/>
        <v>158000</v>
      </c>
      <c r="P44" s="108">
        <f t="shared" si="3"/>
        <v>125</v>
      </c>
    </row>
    <row r="45" spans="1:16" ht="15" hidden="1" customHeight="1" x14ac:dyDescent="0.2">
      <c r="A45" s="108" t="s">
        <v>310</v>
      </c>
      <c r="B45" s="117" t="s">
        <v>471</v>
      </c>
      <c r="C45" s="108">
        <f t="shared" si="0"/>
        <v>1292</v>
      </c>
      <c r="D45" s="38">
        <f t="shared" si="1"/>
        <v>1</v>
      </c>
      <c r="E45" s="113"/>
      <c r="G45" s="113" t="s">
        <v>971</v>
      </c>
      <c r="H45" s="108" t="s">
        <v>972</v>
      </c>
      <c r="I45" s="12">
        <v>331</v>
      </c>
      <c r="J45" s="12">
        <v>1111</v>
      </c>
      <c r="K45" s="108" t="s">
        <v>20</v>
      </c>
      <c r="L45" s="108">
        <v>1</v>
      </c>
      <c r="M45" s="116">
        <v>637200</v>
      </c>
      <c r="N45" s="116">
        <f t="shared" si="2"/>
        <v>637200</v>
      </c>
      <c r="P45" s="108">
        <f t="shared" si="3"/>
        <v>77</v>
      </c>
    </row>
    <row r="46" spans="1:16" ht="15" hidden="1" customHeight="1" x14ac:dyDescent="0.2">
      <c r="A46" s="108" t="s">
        <v>310</v>
      </c>
      <c r="B46" s="117" t="s">
        <v>534</v>
      </c>
      <c r="C46" s="108">
        <f t="shared" si="0"/>
        <v>1293</v>
      </c>
      <c r="D46" s="38">
        <f t="shared" si="1"/>
        <v>1</v>
      </c>
      <c r="E46" s="113"/>
      <c r="G46" s="113" t="s">
        <v>30</v>
      </c>
      <c r="H46" s="108" t="s">
        <v>973</v>
      </c>
      <c r="I46" s="12">
        <v>331</v>
      </c>
      <c r="J46" s="12">
        <v>1111</v>
      </c>
      <c r="K46" s="108" t="s">
        <v>20</v>
      </c>
      <c r="L46" s="108">
        <v>1</v>
      </c>
      <c r="M46" s="116">
        <v>-1199000</v>
      </c>
      <c r="N46" s="116">
        <f t="shared" si="2"/>
        <v>-1199000</v>
      </c>
      <c r="P46" s="108">
        <f t="shared" si="3"/>
        <v>28</v>
      </c>
    </row>
    <row r="47" spans="1:16" ht="15" hidden="1" customHeight="1" x14ac:dyDescent="0.2">
      <c r="A47" s="108" t="s">
        <v>310</v>
      </c>
      <c r="B47" s="117" t="s">
        <v>534</v>
      </c>
      <c r="C47" s="108">
        <f t="shared" si="0"/>
        <v>1294</v>
      </c>
      <c r="D47" s="38">
        <f t="shared" si="1"/>
        <v>1</v>
      </c>
      <c r="E47" s="113"/>
      <c r="G47" s="113" t="s">
        <v>30</v>
      </c>
      <c r="H47" s="108" t="s">
        <v>974</v>
      </c>
      <c r="I47" s="12">
        <v>331</v>
      </c>
      <c r="J47" s="12">
        <v>1111</v>
      </c>
      <c r="K47" s="108" t="s">
        <v>20</v>
      </c>
      <c r="L47" s="108">
        <v>1</v>
      </c>
      <c r="M47" s="116">
        <v>1399000</v>
      </c>
      <c r="N47" s="116">
        <f t="shared" si="2"/>
        <v>1399000</v>
      </c>
      <c r="P47" s="108">
        <f t="shared" si="3"/>
        <v>13</v>
      </c>
    </row>
    <row r="48" spans="1:16" ht="15" hidden="1" customHeight="1" x14ac:dyDescent="0.2">
      <c r="A48" s="108" t="s">
        <v>310</v>
      </c>
      <c r="B48" s="117" t="s">
        <v>534</v>
      </c>
      <c r="C48" s="108">
        <f t="shared" si="0"/>
        <v>1295</v>
      </c>
      <c r="D48" s="38">
        <f t="shared" si="1"/>
        <v>1</v>
      </c>
      <c r="E48" s="113"/>
      <c r="G48" s="113" t="s">
        <v>33</v>
      </c>
      <c r="H48" s="108" t="s">
        <v>3642</v>
      </c>
      <c r="I48" s="12">
        <v>331</v>
      </c>
      <c r="J48" s="12">
        <v>1111</v>
      </c>
      <c r="K48" s="108" t="s">
        <v>20</v>
      </c>
      <c r="L48" s="108">
        <v>1</v>
      </c>
      <c r="M48" s="116">
        <v>1180000</v>
      </c>
      <c r="N48" s="116">
        <f t="shared" si="2"/>
        <v>1180000</v>
      </c>
      <c r="P48" s="108">
        <f t="shared" si="3"/>
        <v>52</v>
      </c>
    </row>
    <row r="49" spans="1:16" ht="15" hidden="1" customHeight="1" x14ac:dyDescent="0.2">
      <c r="A49" s="108" t="s">
        <v>310</v>
      </c>
      <c r="B49" s="117" t="s">
        <v>534</v>
      </c>
      <c r="C49" s="108">
        <f t="shared" si="0"/>
        <v>1296</v>
      </c>
      <c r="D49" s="38">
        <f t="shared" si="1"/>
        <v>1</v>
      </c>
      <c r="E49" s="113"/>
      <c r="G49" s="113" t="s">
        <v>31</v>
      </c>
      <c r="H49" s="108" t="s">
        <v>3640</v>
      </c>
      <c r="I49" s="12">
        <v>331</v>
      </c>
      <c r="J49" s="12">
        <v>1111</v>
      </c>
      <c r="K49" s="108" t="s">
        <v>20</v>
      </c>
      <c r="L49" s="108">
        <v>1</v>
      </c>
      <c r="M49" s="116">
        <v>2764800</v>
      </c>
      <c r="N49" s="116">
        <f t="shared" si="2"/>
        <v>2764800</v>
      </c>
      <c r="P49" s="108">
        <f t="shared" si="3"/>
        <v>53</v>
      </c>
    </row>
    <row r="50" spans="1:16" ht="15" hidden="1" customHeight="1" x14ac:dyDescent="0.2">
      <c r="A50" s="108" t="s">
        <v>310</v>
      </c>
      <c r="B50" s="117" t="s">
        <v>536</v>
      </c>
      <c r="C50" s="108">
        <f t="shared" si="0"/>
        <v>1297</v>
      </c>
      <c r="D50" s="38">
        <f t="shared" si="1"/>
        <v>1</v>
      </c>
      <c r="E50" s="113"/>
      <c r="G50" s="113" t="s">
        <v>975</v>
      </c>
      <c r="H50" s="108" t="s">
        <v>3644</v>
      </c>
      <c r="I50" s="12">
        <v>331</v>
      </c>
      <c r="J50" s="12">
        <v>1111</v>
      </c>
      <c r="K50" s="108" t="s">
        <v>20</v>
      </c>
      <c r="L50" s="108">
        <v>1</v>
      </c>
      <c r="M50" s="116">
        <v>47047000</v>
      </c>
      <c r="N50" s="116">
        <f t="shared" si="2"/>
        <v>47047000</v>
      </c>
      <c r="P50" s="108">
        <f t="shared" si="3"/>
        <v>48</v>
      </c>
    </row>
    <row r="51" spans="1:16" ht="15" hidden="1" customHeight="1" x14ac:dyDescent="0.2">
      <c r="A51" s="108" t="s">
        <v>310</v>
      </c>
      <c r="B51" s="117" t="s">
        <v>536</v>
      </c>
      <c r="C51" s="108">
        <f t="shared" si="0"/>
        <v>1298</v>
      </c>
      <c r="D51" s="38">
        <f t="shared" si="1"/>
        <v>1</v>
      </c>
      <c r="E51" s="113"/>
      <c r="G51" s="113" t="s">
        <v>262</v>
      </c>
      <c r="H51" s="108" t="s">
        <v>976</v>
      </c>
      <c r="I51" s="12">
        <v>331</v>
      </c>
      <c r="J51" s="12">
        <v>1111</v>
      </c>
      <c r="K51" s="108" t="s">
        <v>20</v>
      </c>
      <c r="L51" s="108">
        <v>1</v>
      </c>
      <c r="M51" s="116">
        <v>195000</v>
      </c>
      <c r="N51" s="116">
        <f t="shared" si="2"/>
        <v>195000</v>
      </c>
      <c r="P51" s="108">
        <f t="shared" si="3"/>
        <v>114</v>
      </c>
    </row>
    <row r="52" spans="1:16" ht="15" hidden="1" customHeight="1" x14ac:dyDescent="0.2">
      <c r="A52" s="108" t="s">
        <v>310</v>
      </c>
      <c r="B52" s="117" t="s">
        <v>644</v>
      </c>
      <c r="C52" s="108">
        <f t="shared" si="0"/>
        <v>1299</v>
      </c>
      <c r="D52" s="38">
        <f t="shared" si="1"/>
        <v>1</v>
      </c>
      <c r="E52" s="113"/>
      <c r="G52" s="113" t="s">
        <v>19</v>
      </c>
      <c r="H52" s="108" t="s">
        <v>977</v>
      </c>
      <c r="I52" s="12">
        <v>331</v>
      </c>
      <c r="J52" s="12">
        <v>1111</v>
      </c>
      <c r="K52" s="108" t="s">
        <v>20</v>
      </c>
      <c r="L52" s="108">
        <v>1</v>
      </c>
      <c r="M52" s="116">
        <v>157000</v>
      </c>
      <c r="N52" s="116">
        <f t="shared" si="2"/>
        <v>157000</v>
      </c>
      <c r="P52" s="108">
        <f t="shared" si="3"/>
        <v>125</v>
      </c>
    </row>
    <row r="53" spans="1:16" ht="15" hidden="1" customHeight="1" x14ac:dyDescent="0.2">
      <c r="A53" s="108" t="s">
        <v>310</v>
      </c>
      <c r="B53" s="117" t="s">
        <v>494</v>
      </c>
      <c r="C53" s="108">
        <f t="shared" si="0"/>
        <v>1300</v>
      </c>
      <c r="D53" s="38">
        <f t="shared" si="1"/>
        <v>1</v>
      </c>
      <c r="E53" s="113"/>
      <c r="G53" s="113" t="s">
        <v>19</v>
      </c>
      <c r="H53" s="108" t="s">
        <v>979</v>
      </c>
      <c r="I53" s="12">
        <v>331</v>
      </c>
      <c r="J53" s="12">
        <v>1111</v>
      </c>
      <c r="K53" s="108" t="s">
        <v>20</v>
      </c>
      <c r="L53" s="108">
        <v>1</v>
      </c>
      <c r="M53" s="116">
        <v>35000</v>
      </c>
      <c r="N53" s="116">
        <f t="shared" si="2"/>
        <v>35000</v>
      </c>
      <c r="P53" s="108">
        <f t="shared" si="3"/>
        <v>125</v>
      </c>
    </row>
    <row r="54" spans="1:16" ht="15" hidden="1" customHeight="1" x14ac:dyDescent="0.2">
      <c r="A54" s="108" t="s">
        <v>310</v>
      </c>
      <c r="B54" s="117" t="s">
        <v>494</v>
      </c>
      <c r="C54" s="108">
        <f t="shared" si="0"/>
        <v>1301</v>
      </c>
      <c r="D54" s="38">
        <f t="shared" si="1"/>
        <v>1</v>
      </c>
      <c r="E54" s="113"/>
      <c r="G54" s="113" t="s">
        <v>19</v>
      </c>
      <c r="H54" s="108" t="s">
        <v>978</v>
      </c>
      <c r="I54" s="12">
        <v>331</v>
      </c>
      <c r="J54" s="12">
        <v>1111</v>
      </c>
      <c r="K54" s="108" t="s">
        <v>20</v>
      </c>
      <c r="L54" s="108">
        <v>1</v>
      </c>
      <c r="M54" s="116">
        <v>28000</v>
      </c>
      <c r="N54" s="116">
        <f t="shared" si="2"/>
        <v>28000</v>
      </c>
      <c r="P54" s="108">
        <f t="shared" si="3"/>
        <v>125</v>
      </c>
    </row>
    <row r="55" spans="1:16" ht="15" hidden="1" customHeight="1" x14ac:dyDescent="0.2">
      <c r="A55" s="108" t="s">
        <v>310</v>
      </c>
      <c r="B55" s="117" t="s">
        <v>494</v>
      </c>
      <c r="C55" s="108">
        <f t="shared" si="0"/>
        <v>1302</v>
      </c>
      <c r="D55" s="38">
        <f t="shared" si="1"/>
        <v>1</v>
      </c>
      <c r="E55" s="113"/>
      <c r="G55" s="113" t="s">
        <v>965</v>
      </c>
      <c r="H55" s="108" t="s">
        <v>980</v>
      </c>
      <c r="I55" s="12">
        <v>331</v>
      </c>
      <c r="J55" s="12">
        <v>1111</v>
      </c>
      <c r="K55" s="108" t="s">
        <v>20</v>
      </c>
      <c r="L55" s="108">
        <v>1</v>
      </c>
      <c r="M55" s="116">
        <v>961200</v>
      </c>
      <c r="N55" s="116">
        <f t="shared" si="2"/>
        <v>961200</v>
      </c>
      <c r="P55" s="108">
        <f t="shared" si="3"/>
        <v>76</v>
      </c>
    </row>
    <row r="56" spans="1:16" ht="15" hidden="1" customHeight="1" x14ac:dyDescent="0.2">
      <c r="A56" s="108" t="s">
        <v>310</v>
      </c>
      <c r="B56" s="117" t="s">
        <v>658</v>
      </c>
      <c r="C56" s="108">
        <f t="shared" si="0"/>
        <v>1303</v>
      </c>
      <c r="D56" s="38">
        <f t="shared" si="1"/>
        <v>1</v>
      </c>
      <c r="E56" s="113"/>
      <c r="G56" s="113" t="s">
        <v>19</v>
      </c>
      <c r="H56" s="108" t="s">
        <v>982</v>
      </c>
      <c r="I56" s="12">
        <v>331</v>
      </c>
      <c r="J56" s="12">
        <v>1111</v>
      </c>
      <c r="K56" s="108" t="s">
        <v>20</v>
      </c>
      <c r="L56" s="108">
        <v>1</v>
      </c>
      <c r="M56" s="116">
        <v>69000</v>
      </c>
      <c r="N56" s="116">
        <f t="shared" si="2"/>
        <v>69000</v>
      </c>
      <c r="P56" s="108">
        <f t="shared" si="3"/>
        <v>125</v>
      </c>
    </row>
    <row r="57" spans="1:16" ht="15" hidden="1" customHeight="1" x14ac:dyDescent="0.2">
      <c r="A57" s="108" t="s">
        <v>310</v>
      </c>
      <c r="B57" s="117" t="s">
        <v>658</v>
      </c>
      <c r="C57" s="108">
        <f t="shared" si="0"/>
        <v>1304</v>
      </c>
      <c r="D57" s="38">
        <f t="shared" si="1"/>
        <v>1</v>
      </c>
      <c r="E57" s="113"/>
      <c r="G57" s="113" t="s">
        <v>19</v>
      </c>
      <c r="H57" s="108" t="s">
        <v>981</v>
      </c>
      <c r="I57" s="12">
        <v>331</v>
      </c>
      <c r="J57" s="12">
        <v>1111</v>
      </c>
      <c r="K57" s="108" t="s">
        <v>20</v>
      </c>
      <c r="L57" s="108">
        <v>1</v>
      </c>
      <c r="M57" s="116">
        <v>92000</v>
      </c>
      <c r="N57" s="116">
        <f t="shared" si="2"/>
        <v>92000</v>
      </c>
      <c r="P57" s="108">
        <f t="shared" si="3"/>
        <v>125</v>
      </c>
    </row>
    <row r="58" spans="1:16" ht="15" hidden="1" customHeight="1" x14ac:dyDescent="0.2">
      <c r="A58" s="108" t="s">
        <v>310</v>
      </c>
      <c r="B58" s="117" t="s">
        <v>537</v>
      </c>
      <c r="C58" s="108">
        <f t="shared" si="0"/>
        <v>1305</v>
      </c>
      <c r="D58" s="38">
        <f t="shared" si="1"/>
        <v>1</v>
      </c>
      <c r="E58" s="113"/>
      <c r="G58" s="113" t="s">
        <v>23</v>
      </c>
      <c r="H58" s="108" t="s">
        <v>983</v>
      </c>
      <c r="I58" s="12">
        <v>331</v>
      </c>
      <c r="J58" s="12">
        <v>1111</v>
      </c>
      <c r="K58" s="108" t="s">
        <v>20</v>
      </c>
      <c r="L58" s="108">
        <v>1</v>
      </c>
      <c r="M58" s="116">
        <v>342000</v>
      </c>
      <c r="N58" s="116">
        <f t="shared" si="2"/>
        <v>342000</v>
      </c>
      <c r="P58" s="108">
        <f t="shared" si="3"/>
        <v>198</v>
      </c>
    </row>
    <row r="59" spans="1:16" ht="15" hidden="1" customHeight="1" x14ac:dyDescent="0.2">
      <c r="A59" s="108" t="s">
        <v>310</v>
      </c>
      <c r="B59" s="117" t="s">
        <v>537</v>
      </c>
      <c r="C59" s="108">
        <f t="shared" si="0"/>
        <v>1306</v>
      </c>
      <c r="D59" s="38">
        <f t="shared" si="1"/>
        <v>1</v>
      </c>
      <c r="E59" s="113"/>
      <c r="G59" s="113" t="s">
        <v>984</v>
      </c>
      <c r="H59" s="108" t="s">
        <v>3646</v>
      </c>
      <c r="I59" s="12">
        <v>331</v>
      </c>
      <c r="J59" s="12">
        <v>1111</v>
      </c>
      <c r="K59" s="108" t="s">
        <v>20</v>
      </c>
      <c r="L59" s="108">
        <v>1</v>
      </c>
      <c r="M59" s="116">
        <v>1361934</v>
      </c>
      <c r="N59" s="116">
        <f t="shared" si="2"/>
        <v>1361934</v>
      </c>
      <c r="P59" s="108">
        <f t="shared" si="3"/>
        <v>51</v>
      </c>
    </row>
    <row r="60" spans="1:16" ht="15" hidden="1" customHeight="1" x14ac:dyDescent="0.2">
      <c r="A60" s="108" t="s">
        <v>310</v>
      </c>
      <c r="B60" s="117" t="s">
        <v>538</v>
      </c>
      <c r="C60" s="108">
        <f t="shared" si="0"/>
        <v>1307</v>
      </c>
      <c r="D60" s="38">
        <f t="shared" si="1"/>
        <v>1</v>
      </c>
      <c r="E60" s="113"/>
      <c r="G60" s="113" t="s">
        <v>19</v>
      </c>
      <c r="H60" s="108" t="s">
        <v>985</v>
      </c>
      <c r="I60" s="12">
        <v>331</v>
      </c>
      <c r="J60" s="12">
        <v>1111</v>
      </c>
      <c r="K60" s="108" t="s">
        <v>20</v>
      </c>
      <c r="L60" s="108">
        <v>1</v>
      </c>
      <c r="M60" s="116">
        <v>119000</v>
      </c>
      <c r="N60" s="116">
        <f t="shared" si="2"/>
        <v>119000</v>
      </c>
      <c r="P60" s="108">
        <f t="shared" si="3"/>
        <v>125</v>
      </c>
    </row>
    <row r="61" spans="1:16" ht="15" hidden="1" customHeight="1" x14ac:dyDescent="0.2">
      <c r="A61" s="108" t="s">
        <v>310</v>
      </c>
      <c r="B61" s="117" t="s">
        <v>941</v>
      </c>
      <c r="C61" s="108">
        <f t="shared" si="0"/>
        <v>1308</v>
      </c>
      <c r="D61" s="38">
        <f t="shared" si="1"/>
        <v>1</v>
      </c>
      <c r="E61" s="113"/>
      <c r="G61" s="113" t="s">
        <v>263</v>
      </c>
      <c r="H61" s="108" t="s">
        <v>986</v>
      </c>
      <c r="I61" s="12">
        <v>331</v>
      </c>
      <c r="J61" s="12">
        <v>1111</v>
      </c>
      <c r="K61" s="108" t="s">
        <v>20</v>
      </c>
      <c r="L61" s="108">
        <v>1</v>
      </c>
      <c r="M61" s="116">
        <v>192000</v>
      </c>
      <c r="N61" s="116">
        <f t="shared" si="2"/>
        <v>192000</v>
      </c>
      <c r="P61" s="108">
        <f t="shared" si="3"/>
        <v>86</v>
      </c>
    </row>
    <row r="62" spans="1:16" ht="15" hidden="1" customHeight="1" x14ac:dyDescent="0.2">
      <c r="A62" s="108" t="s">
        <v>310</v>
      </c>
      <c r="B62" s="117" t="s">
        <v>495</v>
      </c>
      <c r="C62" s="108">
        <f t="shared" si="0"/>
        <v>1309</v>
      </c>
      <c r="D62" s="38">
        <f t="shared" si="1"/>
        <v>1</v>
      </c>
      <c r="E62" s="113"/>
      <c r="G62" s="113" t="s">
        <v>19</v>
      </c>
      <c r="H62" s="108" t="s">
        <v>987</v>
      </c>
      <c r="I62" s="12">
        <v>331</v>
      </c>
      <c r="J62" s="12">
        <v>1111</v>
      </c>
      <c r="K62" s="108" t="s">
        <v>20</v>
      </c>
      <c r="L62" s="108">
        <v>1</v>
      </c>
      <c r="M62" s="116">
        <v>18000</v>
      </c>
      <c r="N62" s="116">
        <f t="shared" si="2"/>
        <v>18000</v>
      </c>
      <c r="P62" s="108">
        <f t="shared" si="3"/>
        <v>168</v>
      </c>
    </row>
    <row r="63" spans="1:16" ht="15" hidden="1" customHeight="1" x14ac:dyDescent="0.2">
      <c r="A63" s="108" t="s">
        <v>310</v>
      </c>
      <c r="B63" s="117" t="s">
        <v>495</v>
      </c>
      <c r="C63" s="108">
        <f t="shared" si="0"/>
        <v>1310</v>
      </c>
      <c r="D63" s="38">
        <f t="shared" si="1"/>
        <v>1</v>
      </c>
      <c r="E63" s="113"/>
      <c r="G63" s="113" t="s">
        <v>260</v>
      </c>
      <c r="H63" s="108" t="s">
        <v>988</v>
      </c>
      <c r="I63" s="12">
        <v>331</v>
      </c>
      <c r="J63" s="12">
        <v>1111</v>
      </c>
      <c r="K63" s="108" t="s">
        <v>20</v>
      </c>
      <c r="L63" s="108">
        <v>1</v>
      </c>
      <c r="M63" s="116">
        <v>328000</v>
      </c>
      <c r="N63" s="116">
        <f t="shared" si="2"/>
        <v>328000</v>
      </c>
      <c r="P63" s="108">
        <f t="shared" si="3"/>
        <v>70</v>
      </c>
    </row>
    <row r="64" spans="1:16" ht="15" hidden="1" customHeight="1" x14ac:dyDescent="0.2">
      <c r="A64" s="108" t="s">
        <v>310</v>
      </c>
      <c r="B64" s="117" t="s">
        <v>710</v>
      </c>
      <c r="C64" s="108">
        <f t="shared" si="0"/>
        <v>1311</v>
      </c>
      <c r="D64" s="38">
        <f t="shared" si="1"/>
        <v>1</v>
      </c>
      <c r="E64" s="113"/>
      <c r="G64" s="113" t="s">
        <v>19</v>
      </c>
      <c r="H64" s="108" t="s">
        <v>989</v>
      </c>
      <c r="I64" s="12">
        <v>331</v>
      </c>
      <c r="J64" s="12">
        <v>1111</v>
      </c>
      <c r="K64" s="108" t="s">
        <v>20</v>
      </c>
      <c r="L64" s="108">
        <v>1</v>
      </c>
      <c r="M64" s="116">
        <v>63000</v>
      </c>
      <c r="N64" s="116">
        <f t="shared" si="2"/>
        <v>63000</v>
      </c>
      <c r="P64" s="108">
        <f t="shared" si="3"/>
        <v>168</v>
      </c>
    </row>
    <row r="65" spans="1:16" ht="15" hidden="1" customHeight="1" x14ac:dyDescent="0.2">
      <c r="A65" s="108" t="s">
        <v>310</v>
      </c>
      <c r="B65" s="117" t="s">
        <v>645</v>
      </c>
      <c r="C65" s="108">
        <f t="shared" si="0"/>
        <v>1312</v>
      </c>
      <c r="D65" s="38">
        <f t="shared" si="1"/>
        <v>1</v>
      </c>
      <c r="E65" s="113"/>
      <c r="G65" s="113" t="s">
        <v>990</v>
      </c>
      <c r="H65" s="108" t="s">
        <v>991</v>
      </c>
      <c r="I65" s="12">
        <v>331</v>
      </c>
      <c r="J65" s="12">
        <v>1111</v>
      </c>
      <c r="K65" s="108" t="s">
        <v>20</v>
      </c>
      <c r="L65" s="108">
        <v>1</v>
      </c>
      <c r="M65" s="116">
        <v>1270000</v>
      </c>
      <c r="N65" s="116">
        <f t="shared" si="2"/>
        <v>1270000</v>
      </c>
      <c r="P65" s="108">
        <f t="shared" si="3"/>
        <v>52</v>
      </c>
    </row>
    <row r="66" spans="1:16" ht="15" hidden="1" customHeight="1" x14ac:dyDescent="0.2">
      <c r="A66" s="108" t="s">
        <v>310</v>
      </c>
      <c r="B66" s="117" t="s">
        <v>645</v>
      </c>
      <c r="C66" s="108">
        <f t="shared" si="0"/>
        <v>1313</v>
      </c>
      <c r="D66" s="38">
        <f t="shared" si="1"/>
        <v>1</v>
      </c>
      <c r="E66" s="113"/>
      <c r="G66" s="113" t="s">
        <v>19</v>
      </c>
      <c r="H66" s="108" t="s">
        <v>995</v>
      </c>
      <c r="I66" s="12">
        <v>331</v>
      </c>
      <c r="J66" s="12">
        <v>1111</v>
      </c>
      <c r="K66" s="108" t="s">
        <v>20</v>
      </c>
      <c r="L66" s="108">
        <v>1</v>
      </c>
      <c r="M66" s="116">
        <v>114000</v>
      </c>
      <c r="N66" s="116">
        <f t="shared" si="2"/>
        <v>114000</v>
      </c>
      <c r="P66" s="108">
        <f t="shared" si="3"/>
        <v>125</v>
      </c>
    </row>
    <row r="67" spans="1:16" ht="15" hidden="1" customHeight="1" x14ac:dyDescent="0.2">
      <c r="A67" s="108" t="s">
        <v>310</v>
      </c>
      <c r="B67" s="117" t="s">
        <v>645</v>
      </c>
      <c r="C67" s="108">
        <f t="shared" si="0"/>
        <v>1314</v>
      </c>
      <c r="D67" s="38">
        <f t="shared" si="1"/>
        <v>1</v>
      </c>
      <c r="E67" s="113"/>
      <c r="G67" s="113" t="s">
        <v>19</v>
      </c>
      <c r="H67" s="108" t="s">
        <v>994</v>
      </c>
      <c r="I67" s="12">
        <v>331</v>
      </c>
      <c r="J67" s="12">
        <v>1111</v>
      </c>
      <c r="K67" s="108" t="s">
        <v>20</v>
      </c>
      <c r="L67" s="108">
        <v>1</v>
      </c>
      <c r="M67" s="116">
        <v>82000</v>
      </c>
      <c r="N67" s="116">
        <f t="shared" si="2"/>
        <v>82000</v>
      </c>
      <c r="P67" s="108">
        <f t="shared" si="3"/>
        <v>125</v>
      </c>
    </row>
    <row r="68" spans="1:16" ht="15" hidden="1" customHeight="1" x14ac:dyDescent="0.2">
      <c r="A68" s="108" t="s">
        <v>310</v>
      </c>
      <c r="B68" s="117" t="s">
        <v>645</v>
      </c>
      <c r="C68" s="108">
        <f t="shared" ref="C68:C131" si="4">C67+D68</f>
        <v>1315</v>
      </c>
      <c r="D68" s="38">
        <f t="shared" ref="D68:D131" si="5">IF(H68=H67,0,1)</f>
        <v>1</v>
      </c>
      <c r="E68" s="113"/>
      <c r="G68" s="113" t="s">
        <v>19</v>
      </c>
      <c r="H68" s="108" t="s">
        <v>993</v>
      </c>
      <c r="I68" s="12">
        <v>331</v>
      </c>
      <c r="J68" s="12">
        <v>1111</v>
      </c>
      <c r="K68" s="108" t="s">
        <v>20</v>
      </c>
      <c r="L68" s="108">
        <v>1</v>
      </c>
      <c r="M68" s="116">
        <v>36000</v>
      </c>
      <c r="N68" s="116">
        <f t="shared" ref="N68:N131" si="6">M68*L68</f>
        <v>36000</v>
      </c>
      <c r="P68" s="108">
        <f t="shared" ref="P68:P131" si="7">LEN(H68)</f>
        <v>125</v>
      </c>
    </row>
    <row r="69" spans="1:16" ht="15" hidden="1" customHeight="1" x14ac:dyDescent="0.2">
      <c r="A69" s="108" t="s">
        <v>310</v>
      </c>
      <c r="B69" s="117" t="s">
        <v>645</v>
      </c>
      <c r="C69" s="108">
        <f t="shared" si="4"/>
        <v>1316</v>
      </c>
      <c r="D69" s="38">
        <f t="shared" si="5"/>
        <v>1</v>
      </c>
      <c r="E69" s="113"/>
      <c r="G69" s="113" t="s">
        <v>24</v>
      </c>
      <c r="H69" s="108" t="s">
        <v>992</v>
      </c>
      <c r="I69" s="12">
        <v>331</v>
      </c>
      <c r="J69" s="12">
        <v>1111</v>
      </c>
      <c r="K69" s="108" t="s">
        <v>20</v>
      </c>
      <c r="L69" s="108">
        <v>1</v>
      </c>
      <c r="M69" s="116">
        <v>90000</v>
      </c>
      <c r="N69" s="116">
        <f t="shared" si="6"/>
        <v>90000</v>
      </c>
      <c r="P69" s="108">
        <f t="shared" si="7"/>
        <v>168</v>
      </c>
    </row>
    <row r="70" spans="1:16" ht="15" hidden="1" customHeight="1" x14ac:dyDescent="0.2">
      <c r="A70" s="108" t="s">
        <v>310</v>
      </c>
      <c r="B70" s="117" t="s">
        <v>645</v>
      </c>
      <c r="C70" s="108">
        <f t="shared" si="4"/>
        <v>1317</v>
      </c>
      <c r="D70" s="38">
        <f t="shared" si="5"/>
        <v>1</v>
      </c>
      <c r="E70" s="113"/>
      <c r="G70" s="113" t="s">
        <v>266</v>
      </c>
      <c r="H70" s="108" t="s">
        <v>996</v>
      </c>
      <c r="I70" s="12">
        <v>331</v>
      </c>
      <c r="J70" s="12">
        <v>1111</v>
      </c>
      <c r="K70" s="108" t="s">
        <v>20</v>
      </c>
      <c r="L70" s="108">
        <v>1</v>
      </c>
      <c r="M70" s="116">
        <v>254000</v>
      </c>
      <c r="N70" s="116">
        <f t="shared" si="6"/>
        <v>254000</v>
      </c>
      <c r="P70" s="108">
        <f t="shared" si="7"/>
        <v>87</v>
      </c>
    </row>
    <row r="71" spans="1:16" ht="15" hidden="1" customHeight="1" x14ac:dyDescent="0.2">
      <c r="A71" s="108" t="s">
        <v>310</v>
      </c>
      <c r="B71" s="117" t="s">
        <v>539</v>
      </c>
      <c r="C71" s="108">
        <f t="shared" si="4"/>
        <v>1318</v>
      </c>
      <c r="D71" s="38">
        <f t="shared" si="5"/>
        <v>1</v>
      </c>
      <c r="E71" s="113"/>
      <c r="G71" s="113" t="s">
        <v>19</v>
      </c>
      <c r="H71" s="108" t="s">
        <v>998</v>
      </c>
      <c r="I71" s="12">
        <v>331</v>
      </c>
      <c r="J71" s="12">
        <v>1111</v>
      </c>
      <c r="K71" s="108" t="s">
        <v>20</v>
      </c>
      <c r="L71" s="108">
        <v>1</v>
      </c>
      <c r="M71" s="116">
        <v>113000</v>
      </c>
      <c r="N71" s="116">
        <f t="shared" si="6"/>
        <v>113000</v>
      </c>
      <c r="P71" s="108">
        <f t="shared" si="7"/>
        <v>125</v>
      </c>
    </row>
    <row r="72" spans="1:16" ht="15" hidden="1" customHeight="1" x14ac:dyDescent="0.2">
      <c r="A72" s="108" t="s">
        <v>310</v>
      </c>
      <c r="B72" s="117" t="s">
        <v>539</v>
      </c>
      <c r="C72" s="108">
        <f t="shared" si="4"/>
        <v>1319</v>
      </c>
      <c r="D72" s="38">
        <f t="shared" si="5"/>
        <v>1</v>
      </c>
      <c r="E72" s="113"/>
      <c r="G72" s="113" t="s">
        <v>24</v>
      </c>
      <c r="H72" s="108" t="s">
        <v>997</v>
      </c>
      <c r="I72" s="12">
        <v>331</v>
      </c>
      <c r="J72" s="12">
        <v>1111</v>
      </c>
      <c r="K72" s="108" t="s">
        <v>20</v>
      </c>
      <c r="L72" s="108">
        <v>1</v>
      </c>
      <c r="M72" s="116">
        <v>130000</v>
      </c>
      <c r="N72" s="116">
        <f t="shared" si="6"/>
        <v>130000</v>
      </c>
      <c r="P72" s="108">
        <f t="shared" si="7"/>
        <v>168</v>
      </c>
    </row>
    <row r="73" spans="1:16" ht="15" hidden="1" customHeight="1" x14ac:dyDescent="0.2">
      <c r="A73" s="108" t="s">
        <v>310</v>
      </c>
      <c r="B73" s="117" t="s">
        <v>539</v>
      </c>
      <c r="C73" s="108">
        <f t="shared" si="4"/>
        <v>1320</v>
      </c>
      <c r="D73" s="38">
        <f t="shared" si="5"/>
        <v>1</v>
      </c>
      <c r="E73" s="113"/>
      <c r="G73" s="113" t="s">
        <v>999</v>
      </c>
      <c r="H73" s="108" t="s">
        <v>3648</v>
      </c>
      <c r="I73" s="12">
        <v>331</v>
      </c>
      <c r="J73" s="12">
        <v>1111</v>
      </c>
      <c r="K73" s="108" t="s">
        <v>20</v>
      </c>
      <c r="L73" s="108">
        <v>1</v>
      </c>
      <c r="M73" s="116">
        <v>975450</v>
      </c>
      <c r="N73" s="116">
        <f t="shared" si="6"/>
        <v>975450</v>
      </c>
      <c r="P73" s="108">
        <f t="shared" si="7"/>
        <v>51</v>
      </c>
    </row>
    <row r="74" spans="1:16" ht="15" hidden="1" customHeight="1" x14ac:dyDescent="0.2">
      <c r="A74" s="108" t="s">
        <v>310</v>
      </c>
      <c r="B74" s="117" t="s">
        <v>711</v>
      </c>
      <c r="C74" s="108">
        <f t="shared" si="4"/>
        <v>1321</v>
      </c>
      <c r="D74" s="38">
        <f t="shared" si="5"/>
        <v>1</v>
      </c>
      <c r="E74" s="113"/>
      <c r="G74" s="113" t="s">
        <v>19</v>
      </c>
      <c r="H74" s="108" t="s">
        <v>1002</v>
      </c>
      <c r="I74" s="12">
        <v>331</v>
      </c>
      <c r="J74" s="12">
        <v>1111</v>
      </c>
      <c r="K74" s="108" t="s">
        <v>20</v>
      </c>
      <c r="L74" s="108">
        <v>1</v>
      </c>
      <c r="M74" s="116">
        <v>94000</v>
      </c>
      <c r="N74" s="116">
        <f t="shared" si="6"/>
        <v>94000</v>
      </c>
      <c r="P74" s="108">
        <f t="shared" si="7"/>
        <v>125</v>
      </c>
    </row>
    <row r="75" spans="1:16" ht="15" hidden="1" customHeight="1" x14ac:dyDescent="0.2">
      <c r="A75" s="108" t="s">
        <v>310</v>
      </c>
      <c r="B75" s="117" t="s">
        <v>711</v>
      </c>
      <c r="C75" s="108">
        <f t="shared" si="4"/>
        <v>1322</v>
      </c>
      <c r="D75" s="38">
        <f t="shared" si="5"/>
        <v>1</v>
      </c>
      <c r="E75" s="113"/>
      <c r="G75" s="113" t="s">
        <v>19</v>
      </c>
      <c r="H75" s="108" t="s">
        <v>1001</v>
      </c>
      <c r="I75" s="12">
        <v>331</v>
      </c>
      <c r="J75" s="12">
        <v>1111</v>
      </c>
      <c r="K75" s="108" t="s">
        <v>20</v>
      </c>
      <c r="L75" s="108">
        <v>1</v>
      </c>
      <c r="M75" s="116">
        <v>122000</v>
      </c>
      <c r="N75" s="116">
        <f t="shared" si="6"/>
        <v>122000</v>
      </c>
      <c r="P75" s="108">
        <f t="shared" si="7"/>
        <v>125</v>
      </c>
    </row>
    <row r="76" spans="1:16" ht="15" hidden="1" customHeight="1" x14ac:dyDescent="0.2">
      <c r="A76" s="108" t="s">
        <v>310</v>
      </c>
      <c r="B76" s="117" t="s">
        <v>711</v>
      </c>
      <c r="C76" s="108">
        <f t="shared" si="4"/>
        <v>1323</v>
      </c>
      <c r="D76" s="38">
        <f t="shared" si="5"/>
        <v>1</v>
      </c>
      <c r="E76" s="113"/>
      <c r="G76" s="113" t="s">
        <v>27</v>
      </c>
      <c r="H76" s="108" t="s">
        <v>1000</v>
      </c>
      <c r="I76" s="12">
        <v>331</v>
      </c>
      <c r="J76" s="12">
        <v>1111</v>
      </c>
      <c r="K76" s="108" t="s">
        <v>20</v>
      </c>
      <c r="L76" s="108">
        <v>1</v>
      </c>
      <c r="M76" s="116">
        <v>155520</v>
      </c>
      <c r="N76" s="116">
        <f t="shared" si="6"/>
        <v>155520</v>
      </c>
      <c r="P76" s="108">
        <f t="shared" si="7"/>
        <v>47</v>
      </c>
    </row>
    <row r="77" spans="1:16" ht="15" hidden="1" customHeight="1" x14ac:dyDescent="0.2">
      <c r="A77" s="108" t="s">
        <v>310</v>
      </c>
      <c r="B77" s="117" t="s">
        <v>711</v>
      </c>
      <c r="C77" s="108">
        <f t="shared" si="4"/>
        <v>1324</v>
      </c>
      <c r="D77" s="38">
        <f t="shared" si="5"/>
        <v>1</v>
      </c>
      <c r="E77" s="113"/>
      <c r="G77" s="113" t="s">
        <v>971</v>
      </c>
      <c r="H77" s="108" t="s">
        <v>1003</v>
      </c>
      <c r="I77" s="12">
        <v>331</v>
      </c>
      <c r="J77" s="12">
        <v>1111</v>
      </c>
      <c r="K77" s="108" t="s">
        <v>20</v>
      </c>
      <c r="L77" s="108">
        <v>1</v>
      </c>
      <c r="M77" s="116">
        <v>491400</v>
      </c>
      <c r="N77" s="116">
        <f t="shared" si="6"/>
        <v>491400</v>
      </c>
      <c r="P77" s="108">
        <f t="shared" si="7"/>
        <v>44</v>
      </c>
    </row>
    <row r="78" spans="1:16" ht="15" hidden="1" customHeight="1" x14ac:dyDescent="0.2">
      <c r="A78" s="108" t="s">
        <v>310</v>
      </c>
      <c r="B78" s="117" t="s">
        <v>942</v>
      </c>
      <c r="C78" s="108">
        <f t="shared" si="4"/>
        <v>1325</v>
      </c>
      <c r="D78" s="38">
        <f t="shared" si="5"/>
        <v>1</v>
      </c>
      <c r="E78" s="113"/>
      <c r="G78" s="113" t="s">
        <v>269</v>
      </c>
      <c r="H78" s="108" t="s">
        <v>1005</v>
      </c>
      <c r="I78" s="12">
        <v>331</v>
      </c>
      <c r="J78" s="12">
        <v>1111</v>
      </c>
      <c r="K78" s="108" t="s">
        <v>20</v>
      </c>
      <c r="L78" s="108">
        <v>1</v>
      </c>
      <c r="M78" s="116">
        <v>200000</v>
      </c>
      <c r="N78" s="116">
        <f t="shared" si="6"/>
        <v>200000</v>
      </c>
      <c r="P78" s="108">
        <f t="shared" si="7"/>
        <v>26</v>
      </c>
    </row>
    <row r="79" spans="1:16" ht="15" hidden="1" customHeight="1" x14ac:dyDescent="0.2">
      <c r="A79" s="108" t="s">
        <v>310</v>
      </c>
      <c r="B79" s="117" t="s">
        <v>942</v>
      </c>
      <c r="C79" s="108">
        <f t="shared" si="4"/>
        <v>1326</v>
      </c>
      <c r="D79" s="38">
        <f t="shared" si="5"/>
        <v>1</v>
      </c>
      <c r="E79" s="113"/>
      <c r="G79" s="113" t="s">
        <v>23</v>
      </c>
      <c r="H79" s="108" t="s">
        <v>1004</v>
      </c>
      <c r="I79" s="12">
        <v>331</v>
      </c>
      <c r="J79" s="12">
        <v>1111</v>
      </c>
      <c r="K79" s="108" t="s">
        <v>20</v>
      </c>
      <c r="L79" s="108">
        <v>1</v>
      </c>
      <c r="M79" s="116">
        <v>193000</v>
      </c>
      <c r="N79" s="116">
        <f t="shared" si="6"/>
        <v>193000</v>
      </c>
      <c r="P79" s="108">
        <f t="shared" si="7"/>
        <v>194</v>
      </c>
    </row>
    <row r="80" spans="1:16" ht="15" hidden="1" customHeight="1" x14ac:dyDescent="0.2">
      <c r="A80" s="108" t="s">
        <v>310</v>
      </c>
      <c r="B80" s="117" t="s">
        <v>435</v>
      </c>
      <c r="C80" s="108">
        <f t="shared" si="4"/>
        <v>1327</v>
      </c>
      <c r="D80" s="38">
        <f t="shared" si="5"/>
        <v>1</v>
      </c>
      <c r="E80" s="113"/>
      <c r="G80" s="113" t="s">
        <v>19</v>
      </c>
      <c r="H80" s="108" t="s">
        <v>1006</v>
      </c>
      <c r="I80" s="12">
        <v>331</v>
      </c>
      <c r="J80" s="12">
        <v>1111</v>
      </c>
      <c r="K80" s="108" t="s">
        <v>20</v>
      </c>
      <c r="L80" s="108">
        <v>1</v>
      </c>
      <c r="M80" s="116">
        <v>34000</v>
      </c>
      <c r="N80" s="116">
        <f t="shared" si="6"/>
        <v>34000</v>
      </c>
      <c r="P80" s="108">
        <f t="shared" si="7"/>
        <v>125</v>
      </c>
    </row>
    <row r="81" spans="1:16" ht="15" hidden="1" customHeight="1" x14ac:dyDescent="0.2">
      <c r="A81" s="108" t="s">
        <v>310</v>
      </c>
      <c r="B81" s="117" t="s">
        <v>659</v>
      </c>
      <c r="C81" s="108">
        <f t="shared" si="4"/>
        <v>1328</v>
      </c>
      <c r="D81" s="38">
        <f t="shared" si="5"/>
        <v>1</v>
      </c>
      <c r="E81" s="113"/>
      <c r="G81" s="113" t="s">
        <v>19</v>
      </c>
      <c r="H81" s="108" t="s">
        <v>1009</v>
      </c>
      <c r="I81" s="12">
        <v>331</v>
      </c>
      <c r="J81" s="12">
        <v>1111</v>
      </c>
      <c r="K81" s="108" t="s">
        <v>20</v>
      </c>
      <c r="L81" s="108">
        <v>1</v>
      </c>
      <c r="M81" s="116">
        <v>21000</v>
      </c>
      <c r="N81" s="116">
        <f t="shared" si="6"/>
        <v>21000</v>
      </c>
      <c r="P81" s="108">
        <f t="shared" si="7"/>
        <v>168</v>
      </c>
    </row>
    <row r="82" spans="1:16" ht="15" hidden="1" customHeight="1" x14ac:dyDescent="0.2">
      <c r="A82" s="108" t="s">
        <v>310</v>
      </c>
      <c r="B82" s="117" t="s">
        <v>659</v>
      </c>
      <c r="C82" s="108">
        <f t="shared" si="4"/>
        <v>1329</v>
      </c>
      <c r="D82" s="38">
        <f t="shared" si="5"/>
        <v>1</v>
      </c>
      <c r="E82" s="113"/>
      <c r="G82" s="113" t="s">
        <v>1007</v>
      </c>
      <c r="H82" s="108" t="s">
        <v>1008</v>
      </c>
      <c r="I82" s="12">
        <v>331</v>
      </c>
      <c r="J82" s="12">
        <v>1111</v>
      </c>
      <c r="K82" s="108" t="s">
        <v>20</v>
      </c>
      <c r="L82" s="108">
        <v>1</v>
      </c>
      <c r="M82" s="116">
        <v>539000</v>
      </c>
      <c r="N82" s="116">
        <f t="shared" si="6"/>
        <v>539000</v>
      </c>
      <c r="P82" s="108">
        <f t="shared" si="7"/>
        <v>37</v>
      </c>
    </row>
    <row r="83" spans="1:16" ht="15" hidden="1" customHeight="1" x14ac:dyDescent="0.2">
      <c r="A83" s="108" t="s">
        <v>310</v>
      </c>
      <c r="B83" s="117" t="s">
        <v>659</v>
      </c>
      <c r="C83" s="108">
        <f t="shared" si="4"/>
        <v>1330</v>
      </c>
      <c r="D83" s="38">
        <f t="shared" si="5"/>
        <v>1</v>
      </c>
      <c r="E83" s="113"/>
      <c r="G83" s="113" t="s">
        <v>1010</v>
      </c>
      <c r="H83" s="108" t="s">
        <v>3650</v>
      </c>
      <c r="I83" s="12">
        <v>331</v>
      </c>
      <c r="J83" s="12">
        <v>1111</v>
      </c>
      <c r="K83" s="108" t="s">
        <v>20</v>
      </c>
      <c r="L83" s="108">
        <v>1</v>
      </c>
      <c r="M83" s="116">
        <v>35000</v>
      </c>
      <c r="N83" s="116">
        <f t="shared" si="6"/>
        <v>35000</v>
      </c>
      <c r="P83" s="108">
        <f t="shared" si="7"/>
        <v>45</v>
      </c>
    </row>
    <row r="84" spans="1:16" ht="15" hidden="1" customHeight="1" x14ac:dyDescent="0.2">
      <c r="A84" s="108" t="s">
        <v>310</v>
      </c>
      <c r="B84" s="117" t="s">
        <v>659</v>
      </c>
      <c r="C84" s="108">
        <f t="shared" si="4"/>
        <v>1331</v>
      </c>
      <c r="D84" s="38">
        <f t="shared" si="5"/>
        <v>1</v>
      </c>
      <c r="E84" s="113"/>
      <c r="G84" s="113" t="s">
        <v>262</v>
      </c>
      <c r="H84" s="108" t="s">
        <v>1011</v>
      </c>
      <c r="I84" s="12">
        <v>331</v>
      </c>
      <c r="J84" s="12">
        <v>1111</v>
      </c>
      <c r="K84" s="108" t="s">
        <v>20</v>
      </c>
      <c r="L84" s="108">
        <v>1</v>
      </c>
      <c r="M84" s="116">
        <v>220000</v>
      </c>
      <c r="N84" s="116">
        <f t="shared" si="6"/>
        <v>220000</v>
      </c>
      <c r="P84" s="108">
        <f t="shared" si="7"/>
        <v>98</v>
      </c>
    </row>
    <row r="85" spans="1:16" ht="15" hidden="1" customHeight="1" x14ac:dyDescent="0.2">
      <c r="A85" s="108" t="s">
        <v>310</v>
      </c>
      <c r="B85" s="117" t="s">
        <v>496</v>
      </c>
      <c r="C85" s="108">
        <f t="shared" si="4"/>
        <v>1332</v>
      </c>
      <c r="D85" s="38">
        <f t="shared" si="5"/>
        <v>1</v>
      </c>
      <c r="E85" s="113"/>
      <c r="G85" s="113" t="s">
        <v>261</v>
      </c>
      <c r="H85" s="108" t="s">
        <v>1013</v>
      </c>
      <c r="I85" s="12">
        <v>331</v>
      </c>
      <c r="J85" s="12">
        <v>1111</v>
      </c>
      <c r="K85" s="108" t="s">
        <v>20</v>
      </c>
      <c r="L85" s="108">
        <v>1</v>
      </c>
      <c r="M85" s="116">
        <v>4050000</v>
      </c>
      <c r="N85" s="116">
        <f t="shared" si="6"/>
        <v>4050000</v>
      </c>
      <c r="P85" s="108">
        <f t="shared" si="7"/>
        <v>52</v>
      </c>
    </row>
    <row r="86" spans="1:16" ht="15" hidden="1" customHeight="1" x14ac:dyDescent="0.2">
      <c r="A86" s="108" t="s">
        <v>310</v>
      </c>
      <c r="B86" s="117" t="s">
        <v>496</v>
      </c>
      <c r="C86" s="108">
        <f t="shared" si="4"/>
        <v>1333</v>
      </c>
      <c r="D86" s="38">
        <f t="shared" si="5"/>
        <v>1</v>
      </c>
      <c r="E86" s="113"/>
      <c r="G86" s="113" t="s">
        <v>19</v>
      </c>
      <c r="H86" s="108" t="s">
        <v>1012</v>
      </c>
      <c r="I86" s="12">
        <v>331</v>
      </c>
      <c r="J86" s="12">
        <v>1111</v>
      </c>
      <c r="K86" s="108" t="s">
        <v>20</v>
      </c>
      <c r="L86" s="108">
        <v>1</v>
      </c>
      <c r="M86" s="116">
        <v>19000</v>
      </c>
      <c r="N86" s="116">
        <f t="shared" si="6"/>
        <v>19000</v>
      </c>
      <c r="P86" s="108">
        <f t="shared" si="7"/>
        <v>168</v>
      </c>
    </row>
    <row r="87" spans="1:16" ht="15" hidden="1" customHeight="1" x14ac:dyDescent="0.2">
      <c r="A87" s="108" t="s">
        <v>310</v>
      </c>
      <c r="B87" s="117" t="s">
        <v>496</v>
      </c>
      <c r="C87" s="108">
        <f t="shared" si="4"/>
        <v>1334</v>
      </c>
      <c r="D87" s="38">
        <f t="shared" si="5"/>
        <v>1</v>
      </c>
      <c r="E87" s="113"/>
      <c r="G87" s="113" t="s">
        <v>23</v>
      </c>
      <c r="H87" s="108" t="s">
        <v>1014</v>
      </c>
      <c r="I87" s="12">
        <v>331</v>
      </c>
      <c r="J87" s="12">
        <v>1111</v>
      </c>
      <c r="K87" s="108" t="s">
        <v>20</v>
      </c>
      <c r="L87" s="108">
        <v>1</v>
      </c>
      <c r="M87" s="116">
        <v>188000</v>
      </c>
      <c r="N87" s="116">
        <f t="shared" si="6"/>
        <v>188000</v>
      </c>
      <c r="P87" s="108">
        <f t="shared" si="7"/>
        <v>140</v>
      </c>
    </row>
    <row r="88" spans="1:16" ht="15" hidden="1" customHeight="1" x14ac:dyDescent="0.2">
      <c r="A88" s="108" t="s">
        <v>310</v>
      </c>
      <c r="B88" s="117" t="s">
        <v>472</v>
      </c>
      <c r="C88" s="108">
        <f t="shared" si="4"/>
        <v>1335</v>
      </c>
      <c r="D88" s="38">
        <f t="shared" si="5"/>
        <v>1</v>
      </c>
      <c r="E88" s="113"/>
      <c r="G88" s="113" t="s">
        <v>19</v>
      </c>
      <c r="H88" s="108" t="s">
        <v>1015</v>
      </c>
      <c r="I88" s="12">
        <v>331</v>
      </c>
      <c r="J88" s="12">
        <v>1111</v>
      </c>
      <c r="K88" s="108" t="s">
        <v>20</v>
      </c>
      <c r="L88" s="108">
        <v>1</v>
      </c>
      <c r="M88" s="116">
        <v>19000</v>
      </c>
      <c r="N88" s="116">
        <f t="shared" si="6"/>
        <v>19000</v>
      </c>
      <c r="P88" s="108">
        <f t="shared" si="7"/>
        <v>168</v>
      </c>
    </row>
    <row r="89" spans="1:16" ht="15" hidden="1" customHeight="1" x14ac:dyDescent="0.2">
      <c r="A89" s="108" t="s">
        <v>310</v>
      </c>
      <c r="B89" s="117" t="s">
        <v>472</v>
      </c>
      <c r="C89" s="108">
        <f t="shared" si="4"/>
        <v>1336</v>
      </c>
      <c r="D89" s="38">
        <f t="shared" si="5"/>
        <v>1</v>
      </c>
      <c r="E89" s="113"/>
      <c r="G89" s="113" t="s">
        <v>1017</v>
      </c>
      <c r="H89" s="108" t="s">
        <v>1018</v>
      </c>
      <c r="I89" s="12">
        <v>331</v>
      </c>
      <c r="J89" s="12">
        <v>1111</v>
      </c>
      <c r="K89" s="108" t="s">
        <v>20</v>
      </c>
      <c r="L89" s="108">
        <v>1</v>
      </c>
      <c r="M89" s="116">
        <v>2445358</v>
      </c>
      <c r="N89" s="116">
        <f t="shared" si="6"/>
        <v>2445358</v>
      </c>
      <c r="P89" s="108">
        <f t="shared" si="7"/>
        <v>65</v>
      </c>
    </row>
    <row r="90" spans="1:16" ht="15" hidden="1" customHeight="1" x14ac:dyDescent="0.2">
      <c r="A90" s="108" t="s">
        <v>310</v>
      </c>
      <c r="B90" s="117" t="s">
        <v>472</v>
      </c>
      <c r="C90" s="108">
        <f t="shared" si="4"/>
        <v>1337</v>
      </c>
      <c r="D90" s="38">
        <f t="shared" si="5"/>
        <v>1</v>
      </c>
      <c r="E90" s="113"/>
      <c r="G90" s="113" t="s">
        <v>23</v>
      </c>
      <c r="H90" s="108" t="s">
        <v>1016</v>
      </c>
      <c r="I90" s="12">
        <v>331</v>
      </c>
      <c r="J90" s="12">
        <v>1111</v>
      </c>
      <c r="K90" s="108" t="s">
        <v>20</v>
      </c>
      <c r="L90" s="108">
        <v>1</v>
      </c>
      <c r="M90" s="116">
        <v>173000</v>
      </c>
      <c r="N90" s="116">
        <f t="shared" si="6"/>
        <v>173000</v>
      </c>
      <c r="P90" s="108">
        <f t="shared" si="7"/>
        <v>160</v>
      </c>
    </row>
    <row r="91" spans="1:16" ht="15" hidden="1" customHeight="1" x14ac:dyDescent="0.2">
      <c r="A91" s="108" t="s">
        <v>310</v>
      </c>
      <c r="B91" s="117" t="s">
        <v>472</v>
      </c>
      <c r="C91" s="108">
        <f t="shared" si="4"/>
        <v>1338</v>
      </c>
      <c r="D91" s="38">
        <f t="shared" si="5"/>
        <v>1</v>
      </c>
      <c r="E91" s="113"/>
      <c r="G91" s="113" t="s">
        <v>28</v>
      </c>
      <c r="H91" s="108" t="s">
        <v>3652</v>
      </c>
      <c r="I91" s="12">
        <v>331</v>
      </c>
      <c r="J91" s="12">
        <v>1111</v>
      </c>
      <c r="K91" s="108" t="s">
        <v>20</v>
      </c>
      <c r="L91" s="108">
        <v>1</v>
      </c>
      <c r="M91" s="116">
        <v>1572534</v>
      </c>
      <c r="N91" s="116">
        <f t="shared" si="6"/>
        <v>1572534</v>
      </c>
      <c r="P91" s="108">
        <f t="shared" si="7"/>
        <v>52</v>
      </c>
    </row>
    <row r="92" spans="1:16" ht="15" hidden="1" customHeight="1" x14ac:dyDescent="0.2">
      <c r="A92" s="108" t="s">
        <v>310</v>
      </c>
      <c r="B92" s="117" t="s">
        <v>498</v>
      </c>
      <c r="C92" s="108">
        <f t="shared" si="4"/>
        <v>1339</v>
      </c>
      <c r="D92" s="38">
        <f t="shared" si="5"/>
        <v>1</v>
      </c>
      <c r="E92" s="113"/>
      <c r="G92" s="113" t="s">
        <v>19</v>
      </c>
      <c r="H92" s="108" t="s">
        <v>1022</v>
      </c>
      <c r="I92" s="12">
        <v>331</v>
      </c>
      <c r="J92" s="12">
        <v>1111</v>
      </c>
      <c r="K92" s="108" t="s">
        <v>20</v>
      </c>
      <c r="L92" s="108">
        <v>1</v>
      </c>
      <c r="M92" s="116">
        <v>167000</v>
      </c>
      <c r="N92" s="116">
        <f t="shared" si="6"/>
        <v>167000</v>
      </c>
      <c r="P92" s="108">
        <f t="shared" si="7"/>
        <v>125</v>
      </c>
    </row>
    <row r="93" spans="1:16" ht="15" hidden="1" customHeight="1" x14ac:dyDescent="0.2">
      <c r="A93" s="108" t="s">
        <v>310</v>
      </c>
      <c r="B93" s="117" t="s">
        <v>498</v>
      </c>
      <c r="C93" s="108">
        <f t="shared" si="4"/>
        <v>1340</v>
      </c>
      <c r="D93" s="38">
        <f t="shared" si="5"/>
        <v>1</v>
      </c>
      <c r="E93" s="113"/>
      <c r="G93" s="113" t="s">
        <v>19</v>
      </c>
      <c r="H93" s="108" t="s">
        <v>1021</v>
      </c>
      <c r="I93" s="12">
        <v>331</v>
      </c>
      <c r="J93" s="12">
        <v>1111</v>
      </c>
      <c r="K93" s="108" t="s">
        <v>20</v>
      </c>
      <c r="L93" s="108">
        <v>1</v>
      </c>
      <c r="M93" s="116">
        <v>14000</v>
      </c>
      <c r="N93" s="116">
        <f t="shared" si="6"/>
        <v>14000</v>
      </c>
      <c r="P93" s="108">
        <f t="shared" si="7"/>
        <v>106</v>
      </c>
    </row>
    <row r="94" spans="1:16" ht="15" hidden="1" customHeight="1" x14ac:dyDescent="0.2">
      <c r="A94" s="108" t="s">
        <v>310</v>
      </c>
      <c r="B94" s="117" t="s">
        <v>498</v>
      </c>
      <c r="C94" s="108">
        <f t="shared" si="4"/>
        <v>1341</v>
      </c>
      <c r="D94" s="38">
        <f t="shared" si="5"/>
        <v>1</v>
      </c>
      <c r="E94" s="113"/>
      <c r="G94" s="113" t="s">
        <v>19</v>
      </c>
      <c r="H94" s="108" t="s">
        <v>1020</v>
      </c>
      <c r="I94" s="12">
        <v>331</v>
      </c>
      <c r="J94" s="12">
        <v>1111</v>
      </c>
      <c r="K94" s="108" t="s">
        <v>20</v>
      </c>
      <c r="L94" s="108">
        <v>1</v>
      </c>
      <c r="M94" s="116">
        <v>114000</v>
      </c>
      <c r="N94" s="116">
        <f t="shared" si="6"/>
        <v>114000</v>
      </c>
      <c r="P94" s="108">
        <f t="shared" si="7"/>
        <v>168</v>
      </c>
    </row>
    <row r="95" spans="1:16" ht="15" hidden="1" customHeight="1" x14ac:dyDescent="0.2">
      <c r="A95" s="108" t="s">
        <v>310</v>
      </c>
      <c r="B95" s="117" t="s">
        <v>498</v>
      </c>
      <c r="C95" s="108">
        <f t="shared" si="4"/>
        <v>1342</v>
      </c>
      <c r="D95" s="38">
        <f t="shared" si="5"/>
        <v>1</v>
      </c>
      <c r="E95" s="113"/>
      <c r="G95" s="113" t="s">
        <v>24</v>
      </c>
      <c r="H95" s="108" t="s">
        <v>1019</v>
      </c>
      <c r="I95" s="12">
        <v>331</v>
      </c>
      <c r="J95" s="12">
        <v>1111</v>
      </c>
      <c r="K95" s="108" t="s">
        <v>20</v>
      </c>
      <c r="L95" s="108">
        <v>1</v>
      </c>
      <c r="M95" s="116">
        <v>50000</v>
      </c>
      <c r="N95" s="116">
        <f t="shared" si="6"/>
        <v>50000</v>
      </c>
      <c r="P95" s="108">
        <f t="shared" si="7"/>
        <v>169</v>
      </c>
    </row>
    <row r="96" spans="1:16" ht="15" hidden="1" customHeight="1" x14ac:dyDescent="0.2">
      <c r="A96" s="108" t="s">
        <v>310</v>
      </c>
      <c r="B96" s="117" t="s">
        <v>498</v>
      </c>
      <c r="C96" s="108">
        <f t="shared" si="4"/>
        <v>1343</v>
      </c>
      <c r="D96" s="38">
        <f t="shared" si="5"/>
        <v>1</v>
      </c>
      <c r="E96" s="113"/>
      <c r="G96" s="113" t="s">
        <v>37</v>
      </c>
      <c r="H96" s="108" t="s">
        <v>3654</v>
      </c>
      <c r="I96" s="12">
        <v>331</v>
      </c>
      <c r="J96" s="12">
        <v>1111</v>
      </c>
      <c r="K96" s="108" t="s">
        <v>20</v>
      </c>
      <c r="L96" s="108">
        <v>1</v>
      </c>
      <c r="M96" s="116">
        <v>2387880</v>
      </c>
      <c r="N96" s="116">
        <f t="shared" si="6"/>
        <v>2387880</v>
      </c>
      <c r="P96" s="108">
        <f t="shared" si="7"/>
        <v>54</v>
      </c>
    </row>
    <row r="97" spans="1:16" ht="15" hidden="1" customHeight="1" x14ac:dyDescent="0.2">
      <c r="A97" s="108" t="s">
        <v>310</v>
      </c>
      <c r="B97" s="117" t="s">
        <v>498</v>
      </c>
      <c r="C97" s="108">
        <f t="shared" si="4"/>
        <v>1344</v>
      </c>
      <c r="D97" s="38">
        <f t="shared" si="5"/>
        <v>1</v>
      </c>
      <c r="E97" s="113"/>
      <c r="G97" s="113" t="s">
        <v>1023</v>
      </c>
      <c r="H97" s="108" t="s">
        <v>1024</v>
      </c>
      <c r="I97" s="12">
        <v>331</v>
      </c>
      <c r="J97" s="12">
        <v>1111</v>
      </c>
      <c r="K97" s="108" t="s">
        <v>20</v>
      </c>
      <c r="L97" s="108">
        <v>1</v>
      </c>
      <c r="M97" s="116">
        <v>557230</v>
      </c>
      <c r="N97" s="116">
        <f t="shared" si="6"/>
        <v>557230</v>
      </c>
      <c r="P97" s="108">
        <f t="shared" si="7"/>
        <v>145</v>
      </c>
    </row>
    <row r="98" spans="1:16" ht="15" hidden="1" customHeight="1" x14ac:dyDescent="0.2">
      <c r="A98" s="108" t="s">
        <v>310</v>
      </c>
      <c r="B98" s="117" t="s">
        <v>473</v>
      </c>
      <c r="C98" s="108">
        <f t="shared" si="4"/>
        <v>1345</v>
      </c>
      <c r="D98" s="38">
        <f t="shared" si="5"/>
        <v>1</v>
      </c>
      <c r="E98" s="113"/>
      <c r="G98" s="113" t="s">
        <v>19</v>
      </c>
      <c r="H98" s="108" t="s">
        <v>1025</v>
      </c>
      <c r="I98" s="12">
        <v>331</v>
      </c>
      <c r="J98" s="12">
        <v>1111</v>
      </c>
      <c r="K98" s="108" t="s">
        <v>20</v>
      </c>
      <c r="L98" s="108">
        <v>1</v>
      </c>
      <c r="M98" s="116">
        <v>31000</v>
      </c>
      <c r="N98" s="116">
        <f t="shared" si="6"/>
        <v>31000</v>
      </c>
      <c r="P98" s="108">
        <f t="shared" si="7"/>
        <v>168</v>
      </c>
    </row>
    <row r="99" spans="1:16" ht="15" hidden="1" customHeight="1" x14ac:dyDescent="0.2">
      <c r="A99" s="108" t="s">
        <v>310</v>
      </c>
      <c r="B99" s="117" t="s">
        <v>473</v>
      </c>
      <c r="C99" s="108">
        <f t="shared" si="4"/>
        <v>1346</v>
      </c>
      <c r="D99" s="38">
        <f t="shared" si="5"/>
        <v>1</v>
      </c>
      <c r="E99" s="113"/>
      <c r="G99" s="113" t="s">
        <v>32</v>
      </c>
      <c r="H99" s="108" t="s">
        <v>3656</v>
      </c>
      <c r="I99" s="12">
        <v>331</v>
      </c>
      <c r="J99" s="12">
        <v>1111</v>
      </c>
      <c r="K99" s="108" t="s">
        <v>20</v>
      </c>
      <c r="L99" s="108">
        <v>1</v>
      </c>
      <c r="M99" s="116">
        <v>2166661</v>
      </c>
      <c r="N99" s="116">
        <f t="shared" si="6"/>
        <v>2166661</v>
      </c>
      <c r="P99" s="108">
        <f t="shared" si="7"/>
        <v>53</v>
      </c>
    </row>
    <row r="100" spans="1:16" ht="15" hidden="1" customHeight="1" x14ac:dyDescent="0.2">
      <c r="A100" s="108" t="s">
        <v>310</v>
      </c>
      <c r="B100" s="117" t="s">
        <v>473</v>
      </c>
      <c r="C100" s="108">
        <f t="shared" si="4"/>
        <v>1347</v>
      </c>
      <c r="D100" s="38">
        <f t="shared" si="5"/>
        <v>1</v>
      </c>
      <c r="E100" s="113"/>
      <c r="G100" s="113" t="s">
        <v>1010</v>
      </c>
      <c r="H100" s="108" t="s">
        <v>3658</v>
      </c>
      <c r="I100" s="12">
        <v>331</v>
      </c>
      <c r="J100" s="12">
        <v>1111</v>
      </c>
      <c r="K100" s="108" t="s">
        <v>20</v>
      </c>
      <c r="L100" s="108">
        <v>1</v>
      </c>
      <c r="M100" s="116">
        <v>346000</v>
      </c>
      <c r="N100" s="116">
        <f t="shared" si="6"/>
        <v>346000</v>
      </c>
      <c r="P100" s="108">
        <f t="shared" si="7"/>
        <v>45</v>
      </c>
    </row>
    <row r="101" spans="1:16" ht="15" hidden="1" customHeight="1" x14ac:dyDescent="0.2">
      <c r="A101" s="108" t="s">
        <v>310</v>
      </c>
      <c r="B101" s="117" t="s">
        <v>540</v>
      </c>
      <c r="C101" s="108">
        <f t="shared" si="4"/>
        <v>1348</v>
      </c>
      <c r="D101" s="38">
        <f t="shared" si="5"/>
        <v>1</v>
      </c>
      <c r="E101" s="113"/>
      <c r="G101" s="113" t="s">
        <v>31</v>
      </c>
      <c r="H101" s="108" t="s">
        <v>3660</v>
      </c>
      <c r="I101" s="12">
        <v>331</v>
      </c>
      <c r="J101" s="12">
        <v>1111</v>
      </c>
      <c r="K101" s="108" t="s">
        <v>20</v>
      </c>
      <c r="L101" s="108">
        <v>1</v>
      </c>
      <c r="M101" s="116">
        <v>3548400</v>
      </c>
      <c r="N101" s="116">
        <f t="shared" si="6"/>
        <v>3548400</v>
      </c>
      <c r="P101" s="108">
        <f t="shared" si="7"/>
        <v>54</v>
      </c>
    </row>
    <row r="102" spans="1:16" ht="15" hidden="1" customHeight="1" x14ac:dyDescent="0.2">
      <c r="A102" s="108" t="s">
        <v>310</v>
      </c>
      <c r="B102" s="117" t="s">
        <v>540</v>
      </c>
      <c r="C102" s="108">
        <f t="shared" si="4"/>
        <v>1349</v>
      </c>
      <c r="D102" s="38">
        <f t="shared" si="5"/>
        <v>1</v>
      </c>
      <c r="E102" s="113"/>
      <c r="G102" s="113" t="s">
        <v>23</v>
      </c>
      <c r="H102" s="108" t="s">
        <v>3662</v>
      </c>
      <c r="I102" s="12">
        <v>331</v>
      </c>
      <c r="J102" s="12">
        <v>1111</v>
      </c>
      <c r="K102" s="108" t="s">
        <v>20</v>
      </c>
      <c r="L102" s="108">
        <v>1</v>
      </c>
      <c r="M102" s="116">
        <v>184000</v>
      </c>
      <c r="N102" s="116">
        <f t="shared" si="6"/>
        <v>184000</v>
      </c>
      <c r="P102" s="108">
        <f t="shared" si="7"/>
        <v>52</v>
      </c>
    </row>
    <row r="103" spans="1:16" ht="15" hidden="1" customHeight="1" x14ac:dyDescent="0.2">
      <c r="A103" s="108" t="s">
        <v>310</v>
      </c>
      <c r="B103" s="117" t="s">
        <v>436</v>
      </c>
      <c r="C103" s="108">
        <f t="shared" si="4"/>
        <v>1350</v>
      </c>
      <c r="D103" s="38">
        <f t="shared" si="5"/>
        <v>1</v>
      </c>
      <c r="E103" s="113"/>
      <c r="G103" s="113" t="s">
        <v>19</v>
      </c>
      <c r="H103" s="108" t="s">
        <v>1027</v>
      </c>
      <c r="I103" s="12">
        <v>331</v>
      </c>
      <c r="J103" s="12">
        <v>1111</v>
      </c>
      <c r="K103" s="108" t="s">
        <v>20</v>
      </c>
      <c r="L103" s="108">
        <v>1</v>
      </c>
      <c r="M103" s="116">
        <v>34000</v>
      </c>
      <c r="N103" s="116">
        <f t="shared" si="6"/>
        <v>34000</v>
      </c>
      <c r="P103" s="108">
        <f t="shared" si="7"/>
        <v>126</v>
      </c>
    </row>
    <row r="104" spans="1:16" ht="15" hidden="1" customHeight="1" x14ac:dyDescent="0.2">
      <c r="A104" s="108" t="s">
        <v>310</v>
      </c>
      <c r="B104" s="117" t="s">
        <v>436</v>
      </c>
      <c r="C104" s="108">
        <f t="shared" si="4"/>
        <v>1351</v>
      </c>
      <c r="D104" s="38">
        <f t="shared" si="5"/>
        <v>1</v>
      </c>
      <c r="E104" s="113"/>
      <c r="G104" s="113" t="s">
        <v>307</v>
      </c>
      <c r="H104" s="108" t="s">
        <v>1028</v>
      </c>
      <c r="I104" s="12">
        <v>331</v>
      </c>
      <c r="J104" s="12">
        <v>1111</v>
      </c>
      <c r="K104" s="108" t="s">
        <v>20</v>
      </c>
      <c r="L104" s="108">
        <v>1</v>
      </c>
      <c r="M104" s="116">
        <v>300000</v>
      </c>
      <c r="N104" s="116">
        <f t="shared" si="6"/>
        <v>300000</v>
      </c>
      <c r="P104" s="108">
        <f t="shared" si="7"/>
        <v>73</v>
      </c>
    </row>
    <row r="105" spans="1:16" ht="15" hidden="1" customHeight="1" x14ac:dyDescent="0.2">
      <c r="A105" s="108" t="s">
        <v>310</v>
      </c>
      <c r="B105" s="117" t="s">
        <v>436</v>
      </c>
      <c r="C105" s="108">
        <f t="shared" si="4"/>
        <v>1352</v>
      </c>
      <c r="D105" s="38">
        <f t="shared" si="5"/>
        <v>1</v>
      </c>
      <c r="E105" s="113"/>
      <c r="G105" s="113" t="s">
        <v>44</v>
      </c>
      <c r="H105" s="108" t="s">
        <v>1026</v>
      </c>
      <c r="I105" s="12">
        <v>331</v>
      </c>
      <c r="J105" s="12">
        <v>1111</v>
      </c>
      <c r="K105" s="108" t="s">
        <v>20</v>
      </c>
      <c r="L105" s="108">
        <v>1</v>
      </c>
      <c r="M105" s="116">
        <v>659711</v>
      </c>
      <c r="N105" s="116">
        <f t="shared" si="6"/>
        <v>659711</v>
      </c>
      <c r="P105" s="108">
        <f t="shared" si="7"/>
        <v>98</v>
      </c>
    </row>
    <row r="106" spans="1:16" ht="15" hidden="1" customHeight="1" x14ac:dyDescent="0.2">
      <c r="A106" s="108" t="s">
        <v>310</v>
      </c>
      <c r="B106" s="117" t="s">
        <v>436</v>
      </c>
      <c r="C106" s="108">
        <f t="shared" si="4"/>
        <v>1353</v>
      </c>
      <c r="D106" s="38">
        <f t="shared" si="5"/>
        <v>1</v>
      </c>
      <c r="E106" s="113"/>
      <c r="G106" s="113" t="s">
        <v>273</v>
      </c>
      <c r="H106" s="108" t="s">
        <v>3664</v>
      </c>
      <c r="I106" s="12">
        <v>331</v>
      </c>
      <c r="J106" s="12">
        <v>1111</v>
      </c>
      <c r="K106" s="108" t="s">
        <v>20</v>
      </c>
      <c r="L106" s="108">
        <v>1</v>
      </c>
      <c r="M106" s="116">
        <v>2749840</v>
      </c>
      <c r="N106" s="116">
        <f t="shared" si="6"/>
        <v>2749840</v>
      </c>
      <c r="P106" s="108">
        <f t="shared" si="7"/>
        <v>51</v>
      </c>
    </row>
    <row r="107" spans="1:16" ht="15" hidden="1" customHeight="1" x14ac:dyDescent="0.2">
      <c r="A107" s="108" t="s">
        <v>310</v>
      </c>
      <c r="B107" s="117" t="s">
        <v>541</v>
      </c>
      <c r="C107" s="108">
        <f t="shared" si="4"/>
        <v>1354</v>
      </c>
      <c r="D107" s="38">
        <f t="shared" si="5"/>
        <v>1</v>
      </c>
      <c r="E107" s="113"/>
      <c r="G107" s="113" t="s">
        <v>1029</v>
      </c>
      <c r="H107" s="108" t="s">
        <v>1030</v>
      </c>
      <c r="I107" s="12">
        <v>331</v>
      </c>
      <c r="J107" s="12">
        <v>1111</v>
      </c>
      <c r="K107" s="108" t="s">
        <v>20</v>
      </c>
      <c r="L107" s="108">
        <v>1</v>
      </c>
      <c r="M107" s="116">
        <v>219000</v>
      </c>
      <c r="N107" s="116">
        <f t="shared" si="6"/>
        <v>219000</v>
      </c>
      <c r="P107" s="108">
        <f t="shared" si="7"/>
        <v>67</v>
      </c>
    </row>
    <row r="108" spans="1:16" ht="15" hidden="1" customHeight="1" x14ac:dyDescent="0.2">
      <c r="A108" s="108" t="s">
        <v>310</v>
      </c>
      <c r="B108" s="117" t="s">
        <v>542</v>
      </c>
      <c r="C108" s="108">
        <f t="shared" si="4"/>
        <v>1355</v>
      </c>
      <c r="D108" s="38">
        <f t="shared" si="5"/>
        <v>1</v>
      </c>
      <c r="E108" s="113"/>
      <c r="G108" s="113" t="s">
        <v>35</v>
      </c>
      <c r="H108" s="108" t="s">
        <v>1031</v>
      </c>
      <c r="I108" s="12">
        <v>331</v>
      </c>
      <c r="J108" s="12">
        <v>1111</v>
      </c>
      <c r="K108" s="108" t="s">
        <v>20</v>
      </c>
      <c r="L108" s="108">
        <v>1</v>
      </c>
      <c r="M108" s="116">
        <v>3240000</v>
      </c>
      <c r="N108" s="116">
        <f t="shared" si="6"/>
        <v>3240000</v>
      </c>
      <c r="P108" s="108">
        <f t="shared" si="7"/>
        <v>41</v>
      </c>
    </row>
    <row r="109" spans="1:16" ht="15" hidden="1" customHeight="1" x14ac:dyDescent="0.2">
      <c r="A109" s="108" t="s">
        <v>310</v>
      </c>
      <c r="B109" s="117" t="s">
        <v>542</v>
      </c>
      <c r="C109" s="108">
        <f t="shared" si="4"/>
        <v>1356</v>
      </c>
      <c r="D109" s="38">
        <f t="shared" si="5"/>
        <v>1</v>
      </c>
      <c r="E109" s="113"/>
      <c r="G109" s="113" t="s">
        <v>23</v>
      </c>
      <c r="H109" s="108" t="s">
        <v>3666</v>
      </c>
      <c r="I109" s="12">
        <v>331</v>
      </c>
      <c r="J109" s="12">
        <v>1111</v>
      </c>
      <c r="K109" s="108" t="s">
        <v>20</v>
      </c>
      <c r="L109" s="108">
        <v>1</v>
      </c>
      <c r="M109" s="116">
        <v>233000</v>
      </c>
      <c r="N109" s="116">
        <f t="shared" si="6"/>
        <v>233000</v>
      </c>
      <c r="P109" s="108">
        <f t="shared" si="7"/>
        <v>53</v>
      </c>
    </row>
    <row r="110" spans="1:16" ht="15" hidden="1" customHeight="1" x14ac:dyDescent="0.2">
      <c r="A110" s="108" t="s">
        <v>310</v>
      </c>
      <c r="B110" s="117" t="s">
        <v>474</v>
      </c>
      <c r="C110" s="108">
        <f t="shared" si="4"/>
        <v>1357</v>
      </c>
      <c r="D110" s="38">
        <f t="shared" si="5"/>
        <v>1</v>
      </c>
      <c r="E110" s="113"/>
      <c r="G110" s="113" t="s">
        <v>19</v>
      </c>
      <c r="H110" s="108" t="s">
        <v>1033</v>
      </c>
      <c r="I110" s="12">
        <v>331</v>
      </c>
      <c r="J110" s="12">
        <v>1111</v>
      </c>
      <c r="K110" s="108" t="s">
        <v>20</v>
      </c>
      <c r="L110" s="108">
        <v>1</v>
      </c>
      <c r="M110" s="116">
        <v>201000</v>
      </c>
      <c r="N110" s="116">
        <f t="shared" si="6"/>
        <v>201000</v>
      </c>
      <c r="P110" s="108">
        <f t="shared" si="7"/>
        <v>126</v>
      </c>
    </row>
    <row r="111" spans="1:16" ht="15" hidden="1" customHeight="1" x14ac:dyDescent="0.2">
      <c r="A111" s="108" t="s">
        <v>310</v>
      </c>
      <c r="B111" s="117" t="s">
        <v>474</v>
      </c>
      <c r="C111" s="108">
        <f t="shared" si="4"/>
        <v>1358</v>
      </c>
      <c r="D111" s="38">
        <f t="shared" si="5"/>
        <v>1</v>
      </c>
      <c r="E111" s="113"/>
      <c r="G111" s="113" t="s">
        <v>24</v>
      </c>
      <c r="H111" s="108" t="s">
        <v>1032</v>
      </c>
      <c r="I111" s="12">
        <v>331</v>
      </c>
      <c r="J111" s="12">
        <v>1111</v>
      </c>
      <c r="K111" s="108" t="s">
        <v>20</v>
      </c>
      <c r="L111" s="108">
        <v>1</v>
      </c>
      <c r="M111" s="116">
        <v>34000</v>
      </c>
      <c r="N111" s="116">
        <f t="shared" si="6"/>
        <v>34000</v>
      </c>
      <c r="P111" s="108">
        <f t="shared" si="7"/>
        <v>169</v>
      </c>
    </row>
    <row r="112" spans="1:16" ht="15" hidden="1" customHeight="1" x14ac:dyDescent="0.2">
      <c r="A112" s="108" t="s">
        <v>310</v>
      </c>
      <c r="B112" s="117" t="s">
        <v>474</v>
      </c>
      <c r="C112" s="108">
        <f t="shared" si="4"/>
        <v>1359</v>
      </c>
      <c r="D112" s="38">
        <f t="shared" si="5"/>
        <v>1</v>
      </c>
      <c r="E112" s="113"/>
      <c r="G112" s="113" t="s">
        <v>25</v>
      </c>
      <c r="H112" s="108" t="s">
        <v>1034</v>
      </c>
      <c r="I112" s="12">
        <v>331</v>
      </c>
      <c r="J112" s="12">
        <v>1111</v>
      </c>
      <c r="K112" s="108" t="s">
        <v>20</v>
      </c>
      <c r="L112" s="108">
        <v>1</v>
      </c>
      <c r="M112" s="116">
        <v>895320</v>
      </c>
      <c r="N112" s="116">
        <f t="shared" si="6"/>
        <v>895320</v>
      </c>
      <c r="P112" s="108">
        <f t="shared" si="7"/>
        <v>173</v>
      </c>
    </row>
    <row r="113" spans="1:16" ht="15" hidden="1" customHeight="1" x14ac:dyDescent="0.2">
      <c r="A113" s="108" t="s">
        <v>310</v>
      </c>
      <c r="B113" s="117" t="s">
        <v>543</v>
      </c>
      <c r="C113" s="108">
        <f t="shared" si="4"/>
        <v>1360</v>
      </c>
      <c r="D113" s="38">
        <f t="shared" si="5"/>
        <v>1</v>
      </c>
      <c r="E113" s="113"/>
      <c r="G113" s="113" t="s">
        <v>19</v>
      </c>
      <c r="H113" s="108" t="s">
        <v>1038</v>
      </c>
      <c r="I113" s="12">
        <v>331</v>
      </c>
      <c r="J113" s="12">
        <v>1111</v>
      </c>
      <c r="K113" s="108" t="s">
        <v>20</v>
      </c>
      <c r="L113" s="108">
        <v>1</v>
      </c>
      <c r="M113" s="116">
        <v>108000</v>
      </c>
      <c r="N113" s="116">
        <f t="shared" si="6"/>
        <v>108000</v>
      </c>
      <c r="P113" s="108">
        <f t="shared" si="7"/>
        <v>126</v>
      </c>
    </row>
    <row r="114" spans="1:16" ht="15" hidden="1" customHeight="1" x14ac:dyDescent="0.2">
      <c r="A114" s="108" t="s">
        <v>310</v>
      </c>
      <c r="B114" s="117" t="s">
        <v>543</v>
      </c>
      <c r="C114" s="108">
        <f t="shared" si="4"/>
        <v>1361</v>
      </c>
      <c r="D114" s="38">
        <f t="shared" si="5"/>
        <v>1</v>
      </c>
      <c r="E114" s="113"/>
      <c r="G114" s="113" t="s">
        <v>24</v>
      </c>
      <c r="H114" s="108" t="s">
        <v>1035</v>
      </c>
      <c r="I114" s="12">
        <v>331</v>
      </c>
      <c r="J114" s="12">
        <v>1111</v>
      </c>
      <c r="K114" s="108" t="s">
        <v>20</v>
      </c>
      <c r="L114" s="108">
        <v>1</v>
      </c>
      <c r="M114" s="116">
        <v>52000</v>
      </c>
      <c r="N114" s="116">
        <f t="shared" si="6"/>
        <v>52000</v>
      </c>
      <c r="P114" s="108">
        <f t="shared" si="7"/>
        <v>169</v>
      </c>
    </row>
    <row r="115" spans="1:16" ht="15" hidden="1" customHeight="1" x14ac:dyDescent="0.2">
      <c r="A115" s="108" t="s">
        <v>310</v>
      </c>
      <c r="B115" s="117" t="s">
        <v>543</v>
      </c>
      <c r="C115" s="108">
        <f t="shared" si="4"/>
        <v>1362</v>
      </c>
      <c r="D115" s="38">
        <f t="shared" si="5"/>
        <v>1</v>
      </c>
      <c r="E115" s="113"/>
      <c r="G115" s="113" t="s">
        <v>19</v>
      </c>
      <c r="H115" s="108" t="s">
        <v>1037</v>
      </c>
      <c r="I115" s="12">
        <v>331</v>
      </c>
      <c r="J115" s="12">
        <v>1111</v>
      </c>
      <c r="K115" s="108" t="s">
        <v>20</v>
      </c>
      <c r="L115" s="108">
        <v>1</v>
      </c>
      <c r="M115" s="116">
        <v>292000</v>
      </c>
      <c r="N115" s="116">
        <f t="shared" si="6"/>
        <v>292000</v>
      </c>
      <c r="P115" s="108">
        <f t="shared" si="7"/>
        <v>126</v>
      </c>
    </row>
    <row r="116" spans="1:16" ht="15" hidden="1" customHeight="1" x14ac:dyDescent="0.2">
      <c r="A116" s="108" t="s">
        <v>310</v>
      </c>
      <c r="B116" s="117" t="s">
        <v>543</v>
      </c>
      <c r="C116" s="108">
        <f t="shared" si="4"/>
        <v>1363</v>
      </c>
      <c r="D116" s="38">
        <f t="shared" si="5"/>
        <v>1</v>
      </c>
      <c r="E116" s="113"/>
      <c r="G116" s="113" t="s">
        <v>19</v>
      </c>
      <c r="H116" s="108" t="s">
        <v>1036</v>
      </c>
      <c r="I116" s="12">
        <v>331</v>
      </c>
      <c r="J116" s="12">
        <v>1111</v>
      </c>
      <c r="K116" s="108" t="s">
        <v>20</v>
      </c>
      <c r="L116" s="108">
        <v>1</v>
      </c>
      <c r="M116" s="116">
        <v>128000</v>
      </c>
      <c r="N116" s="116">
        <f t="shared" si="6"/>
        <v>128000</v>
      </c>
      <c r="P116" s="108">
        <f t="shared" si="7"/>
        <v>126</v>
      </c>
    </row>
    <row r="117" spans="1:16" ht="15" hidden="1" customHeight="1" x14ac:dyDescent="0.2">
      <c r="A117" s="108" t="s">
        <v>310</v>
      </c>
      <c r="B117" s="117" t="s">
        <v>543</v>
      </c>
      <c r="C117" s="108">
        <f t="shared" si="4"/>
        <v>1364</v>
      </c>
      <c r="D117" s="38">
        <f t="shared" si="5"/>
        <v>1</v>
      </c>
      <c r="E117" s="113"/>
      <c r="G117" s="113" t="s">
        <v>1040</v>
      </c>
      <c r="H117" s="108" t="s">
        <v>1041</v>
      </c>
      <c r="I117" s="12">
        <v>331</v>
      </c>
      <c r="J117" s="12">
        <v>1111</v>
      </c>
      <c r="K117" s="108" t="s">
        <v>20</v>
      </c>
      <c r="L117" s="108">
        <v>1</v>
      </c>
      <c r="M117" s="116">
        <v>324324</v>
      </c>
      <c r="N117" s="116">
        <f t="shared" si="6"/>
        <v>324324</v>
      </c>
      <c r="P117" s="108">
        <f t="shared" si="7"/>
        <v>105</v>
      </c>
    </row>
    <row r="118" spans="1:16" ht="15" hidden="1" customHeight="1" x14ac:dyDescent="0.2">
      <c r="A118" s="108" t="s">
        <v>310</v>
      </c>
      <c r="B118" s="117" t="s">
        <v>543</v>
      </c>
      <c r="C118" s="108">
        <f t="shared" si="4"/>
        <v>1365</v>
      </c>
      <c r="D118" s="38">
        <f t="shared" si="5"/>
        <v>1</v>
      </c>
      <c r="E118" s="113"/>
      <c r="G118" s="113" t="s">
        <v>1042</v>
      </c>
      <c r="H118" s="108" t="s">
        <v>3668</v>
      </c>
      <c r="I118" s="12">
        <v>331</v>
      </c>
      <c r="J118" s="12">
        <v>1111</v>
      </c>
      <c r="K118" s="108" t="s">
        <v>20</v>
      </c>
      <c r="L118" s="108">
        <v>1</v>
      </c>
      <c r="M118" s="116">
        <v>1155000</v>
      </c>
      <c r="N118" s="116">
        <f t="shared" si="6"/>
        <v>1155000</v>
      </c>
      <c r="P118" s="108">
        <f t="shared" si="7"/>
        <v>51</v>
      </c>
    </row>
    <row r="119" spans="1:16" ht="15" hidden="1" customHeight="1" x14ac:dyDescent="0.2">
      <c r="A119" s="108" t="s">
        <v>310</v>
      </c>
      <c r="B119" s="117" t="s">
        <v>543</v>
      </c>
      <c r="C119" s="108">
        <f t="shared" si="4"/>
        <v>1366</v>
      </c>
      <c r="D119" s="38">
        <f t="shared" si="5"/>
        <v>1</v>
      </c>
      <c r="E119" s="113"/>
      <c r="G119" s="113" t="s">
        <v>263</v>
      </c>
      <c r="H119" s="108" t="s">
        <v>1039</v>
      </c>
      <c r="I119" s="12">
        <v>331</v>
      </c>
      <c r="J119" s="12">
        <v>1111</v>
      </c>
      <c r="K119" s="108" t="s">
        <v>20</v>
      </c>
      <c r="L119" s="108">
        <v>1</v>
      </c>
      <c r="M119" s="116">
        <v>330000</v>
      </c>
      <c r="N119" s="116">
        <f t="shared" si="6"/>
        <v>330000</v>
      </c>
      <c r="P119" s="108">
        <f t="shared" si="7"/>
        <v>63</v>
      </c>
    </row>
    <row r="120" spans="1:16" ht="15" hidden="1" customHeight="1" x14ac:dyDescent="0.2">
      <c r="A120" s="108" t="s">
        <v>310</v>
      </c>
      <c r="B120" s="117" t="s">
        <v>475</v>
      </c>
      <c r="C120" s="108">
        <f t="shared" si="4"/>
        <v>1367</v>
      </c>
      <c r="D120" s="38">
        <f t="shared" si="5"/>
        <v>1</v>
      </c>
      <c r="E120" s="113"/>
      <c r="G120" s="113" t="s">
        <v>19</v>
      </c>
      <c r="H120" s="108" t="s">
        <v>1043</v>
      </c>
      <c r="I120" s="12">
        <v>331</v>
      </c>
      <c r="J120" s="12">
        <v>1111</v>
      </c>
      <c r="K120" s="108" t="s">
        <v>20</v>
      </c>
      <c r="L120" s="108">
        <v>1</v>
      </c>
      <c r="M120" s="116">
        <v>96000</v>
      </c>
      <c r="N120" s="116">
        <f t="shared" si="6"/>
        <v>96000</v>
      </c>
      <c r="P120" s="108">
        <f t="shared" si="7"/>
        <v>169</v>
      </c>
    </row>
    <row r="121" spans="1:16" ht="15" hidden="1" customHeight="1" x14ac:dyDescent="0.2">
      <c r="A121" s="108" t="s">
        <v>310</v>
      </c>
      <c r="B121" s="117" t="s">
        <v>475</v>
      </c>
      <c r="C121" s="108">
        <f t="shared" si="4"/>
        <v>1368</v>
      </c>
      <c r="D121" s="38">
        <f t="shared" si="5"/>
        <v>1</v>
      </c>
      <c r="E121" s="113"/>
      <c r="G121" s="113" t="s">
        <v>1044</v>
      </c>
      <c r="H121" s="108" t="s">
        <v>3672</v>
      </c>
      <c r="I121" s="12">
        <v>331</v>
      </c>
      <c r="J121" s="12">
        <v>1111</v>
      </c>
      <c r="K121" s="108" t="s">
        <v>20</v>
      </c>
      <c r="L121" s="108">
        <v>1</v>
      </c>
      <c r="M121" s="116">
        <v>3073728</v>
      </c>
      <c r="N121" s="116">
        <f t="shared" si="6"/>
        <v>3073728</v>
      </c>
      <c r="P121" s="108">
        <f t="shared" si="7"/>
        <v>52</v>
      </c>
    </row>
    <row r="122" spans="1:16" ht="15" hidden="1" customHeight="1" x14ac:dyDescent="0.2">
      <c r="A122" s="108" t="s">
        <v>310</v>
      </c>
      <c r="B122" s="117" t="s">
        <v>475</v>
      </c>
      <c r="C122" s="108">
        <f t="shared" si="4"/>
        <v>1369</v>
      </c>
      <c r="D122" s="38">
        <f t="shared" si="5"/>
        <v>1</v>
      </c>
      <c r="E122" s="113"/>
      <c r="G122" s="113" t="s">
        <v>25</v>
      </c>
      <c r="H122" s="108" t="s">
        <v>3670</v>
      </c>
      <c r="I122" s="12">
        <v>331</v>
      </c>
      <c r="J122" s="12">
        <v>1111</v>
      </c>
      <c r="K122" s="108" t="s">
        <v>20</v>
      </c>
      <c r="L122" s="108">
        <v>1</v>
      </c>
      <c r="M122" s="116">
        <v>2346408</v>
      </c>
      <c r="N122" s="116">
        <f t="shared" si="6"/>
        <v>2346408</v>
      </c>
      <c r="P122" s="108">
        <f t="shared" si="7"/>
        <v>54</v>
      </c>
    </row>
    <row r="123" spans="1:16" ht="15" hidden="1" customHeight="1" x14ac:dyDescent="0.2">
      <c r="A123" s="108" t="s">
        <v>310</v>
      </c>
      <c r="B123" s="117" t="s">
        <v>544</v>
      </c>
      <c r="C123" s="108">
        <f t="shared" si="4"/>
        <v>1370</v>
      </c>
      <c r="D123" s="38">
        <f t="shared" si="5"/>
        <v>1</v>
      </c>
      <c r="E123" s="113"/>
      <c r="G123" s="113" t="s">
        <v>19</v>
      </c>
      <c r="H123" s="108" t="s">
        <v>1047</v>
      </c>
      <c r="I123" s="12">
        <v>331</v>
      </c>
      <c r="J123" s="12">
        <v>1111</v>
      </c>
      <c r="K123" s="108" t="s">
        <v>20</v>
      </c>
      <c r="L123" s="108">
        <v>1</v>
      </c>
      <c r="M123" s="116">
        <v>177000</v>
      </c>
      <c r="N123" s="116">
        <f t="shared" si="6"/>
        <v>177000</v>
      </c>
      <c r="P123" s="108">
        <f t="shared" si="7"/>
        <v>126</v>
      </c>
    </row>
    <row r="124" spans="1:16" ht="15" hidden="1" customHeight="1" x14ac:dyDescent="0.2">
      <c r="A124" s="108" t="s">
        <v>310</v>
      </c>
      <c r="B124" s="117" t="s">
        <v>544</v>
      </c>
      <c r="C124" s="108">
        <f t="shared" si="4"/>
        <v>1371</v>
      </c>
      <c r="D124" s="38">
        <f t="shared" si="5"/>
        <v>1</v>
      </c>
      <c r="E124" s="113"/>
      <c r="G124" s="113" t="s">
        <v>19</v>
      </c>
      <c r="H124" s="108" t="s">
        <v>1046</v>
      </c>
      <c r="I124" s="12">
        <v>331</v>
      </c>
      <c r="J124" s="12">
        <v>1111</v>
      </c>
      <c r="K124" s="108" t="s">
        <v>20</v>
      </c>
      <c r="L124" s="108">
        <v>1</v>
      </c>
      <c r="M124" s="116">
        <v>187000</v>
      </c>
      <c r="N124" s="116">
        <f t="shared" si="6"/>
        <v>187000</v>
      </c>
      <c r="P124" s="108">
        <f t="shared" si="7"/>
        <v>126</v>
      </c>
    </row>
    <row r="125" spans="1:16" ht="15" hidden="1" customHeight="1" x14ac:dyDescent="0.2">
      <c r="A125" s="108" t="s">
        <v>310</v>
      </c>
      <c r="B125" s="117" t="s">
        <v>544</v>
      </c>
      <c r="C125" s="108">
        <f t="shared" si="4"/>
        <v>1372</v>
      </c>
      <c r="D125" s="38">
        <f t="shared" si="5"/>
        <v>1</v>
      </c>
      <c r="E125" s="113"/>
      <c r="G125" s="113" t="s">
        <v>19</v>
      </c>
      <c r="H125" s="108" t="s">
        <v>1045</v>
      </c>
      <c r="I125" s="12">
        <v>331</v>
      </c>
      <c r="J125" s="12">
        <v>1111</v>
      </c>
      <c r="K125" s="108" t="s">
        <v>20</v>
      </c>
      <c r="L125" s="108">
        <v>1</v>
      </c>
      <c r="M125" s="116">
        <v>151000</v>
      </c>
      <c r="N125" s="116">
        <f t="shared" si="6"/>
        <v>151000</v>
      </c>
      <c r="P125" s="108">
        <f t="shared" si="7"/>
        <v>126</v>
      </c>
    </row>
    <row r="126" spans="1:16" ht="15" hidden="1" customHeight="1" x14ac:dyDescent="0.2">
      <c r="A126" s="108" t="s">
        <v>310</v>
      </c>
      <c r="B126" s="117" t="s">
        <v>437</v>
      </c>
      <c r="C126" s="108">
        <f t="shared" si="4"/>
        <v>1373</v>
      </c>
      <c r="D126" s="38">
        <f t="shared" si="5"/>
        <v>1</v>
      </c>
      <c r="E126" s="113"/>
      <c r="G126" s="113" t="s">
        <v>1048</v>
      </c>
      <c r="H126" s="108" t="s">
        <v>1049</v>
      </c>
      <c r="I126" s="12">
        <v>331</v>
      </c>
      <c r="J126" s="12">
        <v>1111</v>
      </c>
      <c r="K126" s="108" t="s">
        <v>20</v>
      </c>
      <c r="L126" s="108">
        <v>1</v>
      </c>
      <c r="M126" s="116">
        <v>353300</v>
      </c>
      <c r="N126" s="116">
        <f t="shared" si="6"/>
        <v>353300</v>
      </c>
      <c r="P126" s="108">
        <f t="shared" si="7"/>
        <v>99</v>
      </c>
    </row>
    <row r="127" spans="1:16" ht="15" hidden="1" customHeight="1" x14ac:dyDescent="0.2">
      <c r="A127" s="108" t="s">
        <v>310</v>
      </c>
      <c r="B127" s="117" t="s">
        <v>545</v>
      </c>
      <c r="C127" s="108">
        <f t="shared" si="4"/>
        <v>1374</v>
      </c>
      <c r="D127" s="38">
        <f t="shared" si="5"/>
        <v>1</v>
      </c>
      <c r="E127" s="113"/>
      <c r="G127" s="113" t="s">
        <v>19</v>
      </c>
      <c r="H127" s="108" t="s">
        <v>1055</v>
      </c>
      <c r="I127" s="12">
        <v>331</v>
      </c>
      <c r="J127" s="12">
        <v>1111</v>
      </c>
      <c r="K127" s="108" t="s">
        <v>20</v>
      </c>
      <c r="L127" s="108">
        <v>1</v>
      </c>
      <c r="M127" s="116">
        <v>114000</v>
      </c>
      <c r="N127" s="116">
        <f t="shared" si="6"/>
        <v>114000</v>
      </c>
      <c r="P127" s="108">
        <f t="shared" si="7"/>
        <v>126</v>
      </c>
    </row>
    <row r="128" spans="1:16" ht="15" hidden="1" customHeight="1" x14ac:dyDescent="0.2">
      <c r="A128" s="108" t="s">
        <v>310</v>
      </c>
      <c r="B128" s="117" t="s">
        <v>545</v>
      </c>
      <c r="C128" s="108">
        <f t="shared" si="4"/>
        <v>1375</v>
      </c>
      <c r="D128" s="38">
        <f t="shared" si="5"/>
        <v>1</v>
      </c>
      <c r="E128" s="113"/>
      <c r="G128" s="113" t="s">
        <v>19</v>
      </c>
      <c r="H128" s="108" t="s">
        <v>1054</v>
      </c>
      <c r="I128" s="12">
        <v>331</v>
      </c>
      <c r="J128" s="12">
        <v>1111</v>
      </c>
      <c r="K128" s="108" t="s">
        <v>20</v>
      </c>
      <c r="L128" s="108">
        <v>1</v>
      </c>
      <c r="M128" s="116">
        <v>131000</v>
      </c>
      <c r="N128" s="116">
        <f t="shared" si="6"/>
        <v>131000</v>
      </c>
      <c r="P128" s="108">
        <f t="shared" si="7"/>
        <v>64</v>
      </c>
    </row>
    <row r="129" spans="1:16" ht="15" hidden="1" customHeight="1" x14ac:dyDescent="0.2">
      <c r="A129" s="108" t="s">
        <v>310</v>
      </c>
      <c r="B129" s="117" t="s">
        <v>545</v>
      </c>
      <c r="C129" s="108">
        <f t="shared" si="4"/>
        <v>1376</v>
      </c>
      <c r="D129" s="38">
        <f t="shared" si="5"/>
        <v>1</v>
      </c>
      <c r="E129" s="113"/>
      <c r="G129" s="113" t="s">
        <v>19</v>
      </c>
      <c r="H129" s="108" t="s">
        <v>1053</v>
      </c>
      <c r="I129" s="12">
        <v>331</v>
      </c>
      <c r="J129" s="12">
        <v>1111</v>
      </c>
      <c r="K129" s="108" t="s">
        <v>20</v>
      </c>
      <c r="L129" s="108">
        <v>1</v>
      </c>
      <c r="M129" s="116">
        <v>342000</v>
      </c>
      <c r="N129" s="116">
        <f t="shared" si="6"/>
        <v>342000</v>
      </c>
      <c r="P129" s="108">
        <f t="shared" si="7"/>
        <v>126</v>
      </c>
    </row>
    <row r="130" spans="1:16" ht="15" hidden="1" customHeight="1" x14ac:dyDescent="0.2">
      <c r="A130" s="108" t="s">
        <v>310</v>
      </c>
      <c r="B130" s="117" t="s">
        <v>545</v>
      </c>
      <c r="C130" s="108">
        <f t="shared" si="4"/>
        <v>1377</v>
      </c>
      <c r="D130" s="38">
        <f t="shared" si="5"/>
        <v>1</v>
      </c>
      <c r="E130" s="113"/>
      <c r="G130" s="113" t="s">
        <v>27</v>
      </c>
      <c r="H130" s="108" t="s">
        <v>1050</v>
      </c>
      <c r="I130" s="12">
        <v>331</v>
      </c>
      <c r="J130" s="12">
        <v>1111</v>
      </c>
      <c r="K130" s="108" t="s">
        <v>20</v>
      </c>
      <c r="L130" s="108">
        <v>1</v>
      </c>
      <c r="M130" s="116">
        <v>113400</v>
      </c>
      <c r="N130" s="116">
        <f t="shared" si="6"/>
        <v>113400</v>
      </c>
      <c r="P130" s="108">
        <f t="shared" si="7"/>
        <v>48</v>
      </c>
    </row>
    <row r="131" spans="1:16" ht="15" hidden="1" customHeight="1" x14ac:dyDescent="0.2">
      <c r="A131" s="108" t="s">
        <v>310</v>
      </c>
      <c r="B131" s="117" t="s">
        <v>545</v>
      </c>
      <c r="C131" s="108">
        <f t="shared" si="4"/>
        <v>1378</v>
      </c>
      <c r="D131" s="38">
        <f t="shared" si="5"/>
        <v>1</v>
      </c>
      <c r="E131" s="113"/>
      <c r="G131" s="113" t="s">
        <v>27</v>
      </c>
      <c r="H131" s="108" t="s">
        <v>1051</v>
      </c>
      <c r="I131" s="12">
        <v>331</v>
      </c>
      <c r="J131" s="12">
        <v>1111</v>
      </c>
      <c r="K131" s="108" t="s">
        <v>20</v>
      </c>
      <c r="L131" s="108">
        <v>1</v>
      </c>
      <c r="M131" s="116">
        <v>113400</v>
      </c>
      <c r="N131" s="116">
        <f t="shared" si="6"/>
        <v>113400</v>
      </c>
      <c r="P131" s="108">
        <f t="shared" si="7"/>
        <v>48</v>
      </c>
    </row>
    <row r="132" spans="1:16" ht="15" hidden="1" customHeight="1" x14ac:dyDescent="0.2">
      <c r="A132" s="108" t="s">
        <v>310</v>
      </c>
      <c r="B132" s="117" t="s">
        <v>545</v>
      </c>
      <c r="C132" s="108">
        <f t="shared" ref="C132:C195" si="8">C131+D132</f>
        <v>1379</v>
      </c>
      <c r="D132" s="38">
        <f t="shared" ref="D132:D195" si="9">IF(H132=H131,0,1)</f>
        <v>1</v>
      </c>
      <c r="E132" s="113"/>
      <c r="G132" s="113" t="s">
        <v>27</v>
      </c>
      <c r="H132" s="108" t="s">
        <v>1052</v>
      </c>
      <c r="I132" s="12">
        <v>331</v>
      </c>
      <c r="J132" s="12">
        <v>1111</v>
      </c>
      <c r="K132" s="108" t="s">
        <v>20</v>
      </c>
      <c r="L132" s="108">
        <v>1</v>
      </c>
      <c r="M132" s="116">
        <v>113400</v>
      </c>
      <c r="N132" s="116">
        <f t="shared" ref="N132:N195" si="10">M132*L132</f>
        <v>113400</v>
      </c>
      <c r="P132" s="108">
        <f t="shared" ref="P132:P195" si="11">LEN(H132)</f>
        <v>48</v>
      </c>
    </row>
    <row r="133" spans="1:16" ht="15" hidden="1" customHeight="1" x14ac:dyDescent="0.2">
      <c r="A133" s="108" t="s">
        <v>310</v>
      </c>
      <c r="B133" s="117" t="s">
        <v>476</v>
      </c>
      <c r="C133" s="108">
        <f t="shared" si="8"/>
        <v>1380</v>
      </c>
      <c r="D133" s="38">
        <f t="shared" si="9"/>
        <v>1</v>
      </c>
      <c r="E133" s="113"/>
      <c r="G133" s="113" t="s">
        <v>269</v>
      </c>
      <c r="H133" s="108" t="s">
        <v>1056</v>
      </c>
      <c r="I133" s="12">
        <v>331</v>
      </c>
      <c r="J133" s="12">
        <v>1111</v>
      </c>
      <c r="K133" s="108" t="s">
        <v>20</v>
      </c>
      <c r="L133" s="108">
        <v>1</v>
      </c>
      <c r="M133" s="116">
        <v>305000</v>
      </c>
      <c r="N133" s="116">
        <f t="shared" si="10"/>
        <v>305000</v>
      </c>
      <c r="P133" s="108">
        <f t="shared" si="11"/>
        <v>39</v>
      </c>
    </row>
    <row r="134" spans="1:16" ht="15" hidden="1" customHeight="1" x14ac:dyDescent="0.2">
      <c r="A134" s="108" t="s">
        <v>310</v>
      </c>
      <c r="B134" s="117" t="s">
        <v>476</v>
      </c>
      <c r="C134" s="108">
        <f t="shared" si="8"/>
        <v>1381</v>
      </c>
      <c r="D134" s="38">
        <f t="shared" si="9"/>
        <v>1</v>
      </c>
      <c r="E134" s="113"/>
      <c r="G134" s="113" t="s">
        <v>23</v>
      </c>
      <c r="H134" s="108" t="s">
        <v>3674</v>
      </c>
      <c r="I134" s="12">
        <v>331</v>
      </c>
      <c r="J134" s="12">
        <v>1111</v>
      </c>
      <c r="K134" s="108" t="s">
        <v>20</v>
      </c>
      <c r="L134" s="108">
        <v>1</v>
      </c>
      <c r="M134" s="116">
        <v>307000</v>
      </c>
      <c r="N134" s="116">
        <f t="shared" si="10"/>
        <v>307000</v>
      </c>
      <c r="P134" s="108">
        <f t="shared" si="11"/>
        <v>53</v>
      </c>
    </row>
    <row r="135" spans="1:16" ht="15" hidden="1" customHeight="1" x14ac:dyDescent="0.2">
      <c r="A135" s="108" t="s">
        <v>310</v>
      </c>
      <c r="B135" s="117" t="s">
        <v>438</v>
      </c>
      <c r="C135" s="108">
        <f t="shared" si="8"/>
        <v>1382</v>
      </c>
      <c r="D135" s="38">
        <f t="shared" si="9"/>
        <v>1</v>
      </c>
      <c r="E135" s="113"/>
      <c r="G135" s="113" t="s">
        <v>971</v>
      </c>
      <c r="H135" s="108" t="s">
        <v>1057</v>
      </c>
      <c r="I135" s="12">
        <v>331</v>
      </c>
      <c r="J135" s="12">
        <v>1111</v>
      </c>
      <c r="K135" s="108" t="s">
        <v>20</v>
      </c>
      <c r="L135" s="108">
        <v>1</v>
      </c>
      <c r="M135" s="116">
        <v>550800</v>
      </c>
      <c r="N135" s="116">
        <f t="shared" si="10"/>
        <v>550800</v>
      </c>
      <c r="P135" s="108">
        <f t="shared" si="11"/>
        <v>30</v>
      </c>
    </row>
    <row r="136" spans="1:16" ht="15" hidden="1" customHeight="1" x14ac:dyDescent="0.2">
      <c r="A136" s="108" t="s">
        <v>310</v>
      </c>
      <c r="B136" s="117" t="s">
        <v>712</v>
      </c>
      <c r="C136" s="108">
        <f t="shared" si="8"/>
        <v>1383</v>
      </c>
      <c r="D136" s="38">
        <f t="shared" si="9"/>
        <v>1</v>
      </c>
      <c r="E136" s="113"/>
      <c r="G136" s="113" t="s">
        <v>23</v>
      </c>
      <c r="H136" s="108" t="s">
        <v>3678</v>
      </c>
      <c r="I136" s="12">
        <v>331</v>
      </c>
      <c r="J136" s="12">
        <v>1111</v>
      </c>
      <c r="K136" s="108" t="s">
        <v>20</v>
      </c>
      <c r="L136" s="108">
        <v>1</v>
      </c>
      <c r="M136" s="116">
        <v>328000</v>
      </c>
      <c r="N136" s="116">
        <f t="shared" si="10"/>
        <v>328000</v>
      </c>
      <c r="P136" s="108">
        <f t="shared" si="11"/>
        <v>53</v>
      </c>
    </row>
    <row r="137" spans="1:16" ht="15" hidden="1" customHeight="1" x14ac:dyDescent="0.2">
      <c r="A137" s="108" t="s">
        <v>310</v>
      </c>
      <c r="B137" s="117" t="s">
        <v>712</v>
      </c>
      <c r="C137" s="108">
        <f t="shared" si="8"/>
        <v>1384</v>
      </c>
      <c r="D137" s="38">
        <f t="shared" si="9"/>
        <v>1</v>
      </c>
      <c r="E137" s="113"/>
      <c r="G137" s="113" t="s">
        <v>32</v>
      </c>
      <c r="H137" s="108" t="s">
        <v>3676</v>
      </c>
      <c r="I137" s="12">
        <v>331</v>
      </c>
      <c r="J137" s="12">
        <v>1111</v>
      </c>
      <c r="K137" s="108" t="s">
        <v>20</v>
      </c>
      <c r="L137" s="108">
        <v>1</v>
      </c>
      <c r="M137" s="116">
        <v>1750000</v>
      </c>
      <c r="N137" s="116">
        <f t="shared" si="10"/>
        <v>1750000</v>
      </c>
      <c r="P137" s="108">
        <f t="shared" si="11"/>
        <v>53</v>
      </c>
    </row>
    <row r="138" spans="1:16" ht="15" hidden="1" customHeight="1" x14ac:dyDescent="0.2">
      <c r="A138" s="108" t="s">
        <v>310</v>
      </c>
      <c r="B138" s="117" t="s">
        <v>477</v>
      </c>
      <c r="C138" s="108">
        <f t="shared" si="8"/>
        <v>1385</v>
      </c>
      <c r="D138" s="38">
        <f t="shared" si="9"/>
        <v>1</v>
      </c>
      <c r="E138" s="113"/>
      <c r="G138" s="113" t="s">
        <v>263</v>
      </c>
      <c r="H138" s="108" t="s">
        <v>1058</v>
      </c>
      <c r="I138" s="12">
        <v>331</v>
      </c>
      <c r="J138" s="12">
        <v>1111</v>
      </c>
      <c r="K138" s="108" t="s">
        <v>20</v>
      </c>
      <c r="L138" s="108">
        <v>1</v>
      </c>
      <c r="M138" s="116">
        <v>1560000</v>
      </c>
      <c r="N138" s="116">
        <f t="shared" si="10"/>
        <v>1560000</v>
      </c>
      <c r="P138" s="108">
        <f t="shared" si="11"/>
        <v>126</v>
      </c>
    </row>
    <row r="139" spans="1:16" ht="15" hidden="1" customHeight="1" x14ac:dyDescent="0.2">
      <c r="A139" s="108" t="s">
        <v>310</v>
      </c>
      <c r="B139" s="117" t="s">
        <v>477</v>
      </c>
      <c r="C139" s="108">
        <f t="shared" si="8"/>
        <v>1386</v>
      </c>
      <c r="D139" s="38">
        <f t="shared" si="9"/>
        <v>1</v>
      </c>
      <c r="E139" s="113"/>
      <c r="G139" s="113" t="s">
        <v>263</v>
      </c>
      <c r="H139" s="108" t="s">
        <v>1059</v>
      </c>
      <c r="I139" s="12">
        <v>331</v>
      </c>
      <c r="J139" s="12">
        <v>1111</v>
      </c>
      <c r="K139" s="108" t="s">
        <v>20</v>
      </c>
      <c r="L139" s="108">
        <v>1</v>
      </c>
      <c r="M139" s="116">
        <v>330000</v>
      </c>
      <c r="N139" s="116">
        <f t="shared" si="10"/>
        <v>330000</v>
      </c>
      <c r="P139" s="108">
        <f t="shared" si="11"/>
        <v>134</v>
      </c>
    </row>
    <row r="140" spans="1:16" ht="15" hidden="1" customHeight="1" x14ac:dyDescent="0.2">
      <c r="A140" s="108" t="s">
        <v>310</v>
      </c>
      <c r="B140" s="117" t="s">
        <v>439</v>
      </c>
      <c r="C140" s="108">
        <f t="shared" si="8"/>
        <v>1387</v>
      </c>
      <c r="D140" s="38">
        <f t="shared" si="9"/>
        <v>1</v>
      </c>
      <c r="E140" s="113"/>
      <c r="G140" s="113" t="s">
        <v>22</v>
      </c>
      <c r="H140" s="108" t="s">
        <v>1061</v>
      </c>
      <c r="I140" s="12">
        <v>331</v>
      </c>
      <c r="J140" s="12">
        <v>1111</v>
      </c>
      <c r="K140" s="108" t="s">
        <v>20</v>
      </c>
      <c r="L140" s="108">
        <v>1</v>
      </c>
      <c r="M140" s="116">
        <v>271080</v>
      </c>
      <c r="N140" s="116">
        <f t="shared" si="10"/>
        <v>271080</v>
      </c>
      <c r="P140" s="108">
        <f t="shared" si="11"/>
        <v>110</v>
      </c>
    </row>
    <row r="141" spans="1:16" ht="15" hidden="1" customHeight="1" x14ac:dyDescent="0.2">
      <c r="A141" s="108" t="s">
        <v>310</v>
      </c>
      <c r="B141" s="117" t="s">
        <v>439</v>
      </c>
      <c r="C141" s="108">
        <f t="shared" si="8"/>
        <v>1388</v>
      </c>
      <c r="D141" s="38">
        <f t="shared" si="9"/>
        <v>1</v>
      </c>
      <c r="E141" s="113"/>
      <c r="G141" s="113" t="s">
        <v>23</v>
      </c>
      <c r="H141" s="108" t="s">
        <v>1060</v>
      </c>
      <c r="I141" s="12">
        <v>331</v>
      </c>
      <c r="J141" s="12">
        <v>1111</v>
      </c>
      <c r="K141" s="108" t="s">
        <v>20</v>
      </c>
      <c r="L141" s="108">
        <v>1</v>
      </c>
      <c r="M141" s="116">
        <v>184000</v>
      </c>
      <c r="N141" s="116">
        <f t="shared" si="10"/>
        <v>184000</v>
      </c>
      <c r="P141" s="108">
        <f t="shared" si="11"/>
        <v>148</v>
      </c>
    </row>
    <row r="142" spans="1:16" ht="15" hidden="1" customHeight="1" x14ac:dyDescent="0.2">
      <c r="A142" s="108" t="s">
        <v>310</v>
      </c>
      <c r="B142" s="117" t="s">
        <v>943</v>
      </c>
      <c r="C142" s="108">
        <f t="shared" si="8"/>
        <v>1389</v>
      </c>
      <c r="D142" s="38">
        <f t="shared" si="9"/>
        <v>1</v>
      </c>
      <c r="E142" s="113"/>
      <c r="G142" s="113" t="s">
        <v>266</v>
      </c>
      <c r="H142" s="108" t="s">
        <v>1062</v>
      </c>
      <c r="I142" s="12">
        <v>331</v>
      </c>
      <c r="J142" s="12">
        <v>1111</v>
      </c>
      <c r="K142" s="108" t="s">
        <v>20</v>
      </c>
      <c r="L142" s="108">
        <v>1</v>
      </c>
      <c r="M142" s="116">
        <v>55000</v>
      </c>
      <c r="N142" s="116">
        <f t="shared" si="10"/>
        <v>55000</v>
      </c>
      <c r="P142" s="108">
        <f t="shared" si="11"/>
        <v>30</v>
      </c>
    </row>
    <row r="143" spans="1:16" ht="15" hidden="1" customHeight="1" x14ac:dyDescent="0.2">
      <c r="A143" s="108" t="s">
        <v>310</v>
      </c>
      <c r="B143" s="117" t="s">
        <v>944</v>
      </c>
      <c r="C143" s="108">
        <f t="shared" si="8"/>
        <v>1390</v>
      </c>
      <c r="D143" s="38">
        <f t="shared" si="9"/>
        <v>1</v>
      </c>
      <c r="G143" s="113" t="s">
        <v>19</v>
      </c>
      <c r="H143" s="108" t="s">
        <v>1063</v>
      </c>
      <c r="I143" s="12">
        <v>331</v>
      </c>
      <c r="J143" s="12">
        <v>1111</v>
      </c>
      <c r="K143" s="108" t="s">
        <v>20</v>
      </c>
      <c r="L143" s="108">
        <v>1</v>
      </c>
      <c r="M143" s="116">
        <v>361000</v>
      </c>
      <c r="N143" s="116">
        <f t="shared" si="10"/>
        <v>361000</v>
      </c>
      <c r="P143" s="108">
        <f t="shared" si="11"/>
        <v>64</v>
      </c>
    </row>
    <row r="144" spans="1:16" ht="15" hidden="1" customHeight="1" x14ac:dyDescent="0.2">
      <c r="A144" s="108" t="s">
        <v>310</v>
      </c>
      <c r="B144" s="117" t="s">
        <v>945</v>
      </c>
      <c r="C144" s="108">
        <f t="shared" si="8"/>
        <v>1391</v>
      </c>
      <c r="D144" s="38">
        <f t="shared" si="9"/>
        <v>1</v>
      </c>
      <c r="G144" s="113" t="s">
        <v>19</v>
      </c>
      <c r="H144" s="108" t="s">
        <v>1064</v>
      </c>
      <c r="I144" s="12">
        <v>331</v>
      </c>
      <c r="J144" s="12">
        <v>1111</v>
      </c>
      <c r="K144" s="108" t="s">
        <v>20</v>
      </c>
      <c r="L144" s="108">
        <v>1</v>
      </c>
      <c r="M144" s="116">
        <v>315000</v>
      </c>
      <c r="N144" s="116">
        <f t="shared" si="10"/>
        <v>315000</v>
      </c>
      <c r="P144" s="108">
        <f t="shared" si="11"/>
        <v>64</v>
      </c>
    </row>
    <row r="145" spans="1:16" ht="15" hidden="1" customHeight="1" x14ac:dyDescent="0.2">
      <c r="A145" s="108" t="s">
        <v>310</v>
      </c>
      <c r="B145" s="117" t="s">
        <v>440</v>
      </c>
      <c r="C145" s="108">
        <f t="shared" si="8"/>
        <v>1392</v>
      </c>
      <c r="D145" s="38">
        <f t="shared" si="9"/>
        <v>1</v>
      </c>
      <c r="G145" s="113" t="s">
        <v>19</v>
      </c>
      <c r="H145" s="108" t="s">
        <v>1065</v>
      </c>
      <c r="I145" s="12">
        <v>331</v>
      </c>
      <c r="J145" s="12">
        <v>1111</v>
      </c>
      <c r="K145" s="108" t="s">
        <v>20</v>
      </c>
      <c r="L145" s="108">
        <v>1</v>
      </c>
      <c r="M145" s="116">
        <v>286000</v>
      </c>
      <c r="N145" s="116">
        <f t="shared" si="10"/>
        <v>286000</v>
      </c>
      <c r="P145" s="108">
        <f t="shared" si="11"/>
        <v>64</v>
      </c>
    </row>
    <row r="146" spans="1:16" ht="15" hidden="1" customHeight="1" x14ac:dyDescent="0.2">
      <c r="A146" s="108" t="s">
        <v>310</v>
      </c>
      <c r="B146" s="117" t="s">
        <v>440</v>
      </c>
      <c r="C146" s="108">
        <f t="shared" si="8"/>
        <v>1393</v>
      </c>
      <c r="D146" s="38">
        <f t="shared" si="9"/>
        <v>1</v>
      </c>
      <c r="G146" s="113" t="s">
        <v>271</v>
      </c>
      <c r="H146" s="108" t="s">
        <v>1066</v>
      </c>
      <c r="I146" s="12">
        <v>331</v>
      </c>
      <c r="J146" s="12">
        <v>1111</v>
      </c>
      <c r="K146" s="108" t="s">
        <v>20</v>
      </c>
      <c r="L146" s="108">
        <v>1</v>
      </c>
      <c r="M146" s="116">
        <v>653000</v>
      </c>
      <c r="N146" s="116">
        <f t="shared" si="10"/>
        <v>653000</v>
      </c>
      <c r="P146" s="108">
        <f t="shared" si="11"/>
        <v>183</v>
      </c>
    </row>
    <row r="147" spans="1:16" ht="15" hidden="1" customHeight="1" x14ac:dyDescent="0.2">
      <c r="A147" s="108" t="s">
        <v>310</v>
      </c>
      <c r="B147" s="117" t="s">
        <v>946</v>
      </c>
      <c r="C147" s="108">
        <f t="shared" si="8"/>
        <v>1394</v>
      </c>
      <c r="D147" s="38">
        <f t="shared" si="9"/>
        <v>1</v>
      </c>
      <c r="G147" s="113" t="s">
        <v>19</v>
      </c>
      <c r="H147" s="108" t="s">
        <v>1071</v>
      </c>
      <c r="I147" s="12">
        <v>331</v>
      </c>
      <c r="J147" s="12">
        <v>1111</v>
      </c>
      <c r="K147" s="108" t="s">
        <v>20</v>
      </c>
      <c r="L147" s="108">
        <v>1</v>
      </c>
      <c r="M147" s="116">
        <v>142000</v>
      </c>
      <c r="N147" s="116">
        <f t="shared" si="10"/>
        <v>142000</v>
      </c>
      <c r="P147" s="108">
        <f t="shared" si="11"/>
        <v>126</v>
      </c>
    </row>
    <row r="148" spans="1:16" ht="15" hidden="1" customHeight="1" x14ac:dyDescent="0.2">
      <c r="A148" s="108" t="s">
        <v>310</v>
      </c>
      <c r="B148" s="117" t="s">
        <v>946</v>
      </c>
      <c r="C148" s="108">
        <f t="shared" si="8"/>
        <v>1395</v>
      </c>
      <c r="D148" s="38">
        <f t="shared" si="9"/>
        <v>1</v>
      </c>
      <c r="G148" s="113" t="s">
        <v>19</v>
      </c>
      <c r="H148" s="108" t="s">
        <v>1070</v>
      </c>
      <c r="I148" s="12">
        <v>331</v>
      </c>
      <c r="J148" s="12">
        <v>1111</v>
      </c>
      <c r="K148" s="108" t="s">
        <v>20</v>
      </c>
      <c r="L148" s="108">
        <v>1</v>
      </c>
      <c r="M148" s="116">
        <v>316000</v>
      </c>
      <c r="N148" s="116">
        <f t="shared" si="10"/>
        <v>316000</v>
      </c>
      <c r="P148" s="108">
        <f t="shared" si="11"/>
        <v>126</v>
      </c>
    </row>
    <row r="149" spans="1:16" ht="15" hidden="1" customHeight="1" x14ac:dyDescent="0.2">
      <c r="A149" s="108" t="s">
        <v>310</v>
      </c>
      <c r="B149" s="117" t="s">
        <v>946</v>
      </c>
      <c r="C149" s="108">
        <f t="shared" si="8"/>
        <v>1396</v>
      </c>
      <c r="D149" s="38">
        <f t="shared" si="9"/>
        <v>1</v>
      </c>
      <c r="G149" s="113" t="s">
        <v>24</v>
      </c>
      <c r="H149" s="108" t="s">
        <v>1069</v>
      </c>
      <c r="I149" s="12">
        <v>331</v>
      </c>
      <c r="J149" s="12">
        <v>1111</v>
      </c>
      <c r="K149" s="108" t="s">
        <v>20</v>
      </c>
      <c r="L149" s="108">
        <v>1</v>
      </c>
      <c r="M149" s="116">
        <v>162000</v>
      </c>
      <c r="N149" s="116">
        <f t="shared" si="10"/>
        <v>162000</v>
      </c>
      <c r="P149" s="108">
        <f t="shared" si="11"/>
        <v>169</v>
      </c>
    </row>
    <row r="150" spans="1:16" ht="15" hidden="1" customHeight="1" x14ac:dyDescent="0.2">
      <c r="A150" s="108" t="s">
        <v>310</v>
      </c>
      <c r="B150" s="117" t="s">
        <v>946</v>
      </c>
      <c r="C150" s="108">
        <f t="shared" si="8"/>
        <v>1397</v>
      </c>
      <c r="D150" s="38">
        <f t="shared" si="9"/>
        <v>1</v>
      </c>
      <c r="G150" s="113" t="s">
        <v>990</v>
      </c>
      <c r="H150" s="108" t="s">
        <v>1068</v>
      </c>
      <c r="I150" s="12">
        <v>331</v>
      </c>
      <c r="J150" s="12">
        <v>1111</v>
      </c>
      <c r="K150" s="108" t="s">
        <v>20</v>
      </c>
      <c r="L150" s="108">
        <v>1</v>
      </c>
      <c r="M150" s="116">
        <v>2394000</v>
      </c>
      <c r="N150" s="116">
        <f t="shared" si="10"/>
        <v>2394000</v>
      </c>
      <c r="P150" s="108">
        <f t="shared" si="11"/>
        <v>98</v>
      </c>
    </row>
    <row r="151" spans="1:16" ht="15" hidden="1" customHeight="1" x14ac:dyDescent="0.2">
      <c r="A151" s="108" t="s">
        <v>310</v>
      </c>
      <c r="B151" s="117" t="s">
        <v>946</v>
      </c>
      <c r="C151" s="108">
        <f t="shared" si="8"/>
        <v>1398</v>
      </c>
      <c r="D151" s="38">
        <f t="shared" si="9"/>
        <v>1</v>
      </c>
      <c r="G151" s="113" t="s">
        <v>990</v>
      </c>
      <c r="H151" s="108" t="s">
        <v>1067</v>
      </c>
      <c r="I151" s="12">
        <v>331</v>
      </c>
      <c r="J151" s="12">
        <v>1111</v>
      </c>
      <c r="K151" s="108" t="s">
        <v>20</v>
      </c>
      <c r="L151" s="108">
        <v>1</v>
      </c>
      <c r="M151" s="116">
        <v>489000</v>
      </c>
      <c r="N151" s="116">
        <f t="shared" si="10"/>
        <v>489000</v>
      </c>
      <c r="P151" s="108">
        <f t="shared" si="11"/>
        <v>23</v>
      </c>
    </row>
    <row r="152" spans="1:16" ht="15" hidden="1" customHeight="1" x14ac:dyDescent="0.2">
      <c r="A152" s="108" t="s">
        <v>310</v>
      </c>
      <c r="B152" s="117" t="s">
        <v>946</v>
      </c>
      <c r="C152" s="108">
        <f t="shared" si="8"/>
        <v>1399</v>
      </c>
      <c r="D152" s="38">
        <f t="shared" si="9"/>
        <v>1</v>
      </c>
      <c r="G152" s="113" t="s">
        <v>23</v>
      </c>
      <c r="H152" s="108" t="s">
        <v>3680</v>
      </c>
      <c r="I152" s="12">
        <v>331</v>
      </c>
      <c r="J152" s="12">
        <v>1111</v>
      </c>
      <c r="K152" s="108" t="s">
        <v>20</v>
      </c>
      <c r="L152" s="108">
        <v>1</v>
      </c>
      <c r="M152" s="116">
        <v>326000</v>
      </c>
      <c r="N152" s="116">
        <f t="shared" si="10"/>
        <v>326000</v>
      </c>
      <c r="P152" s="108">
        <f t="shared" si="11"/>
        <v>53</v>
      </c>
    </row>
    <row r="153" spans="1:16" ht="15" hidden="1" customHeight="1" x14ac:dyDescent="0.2">
      <c r="A153" s="108" t="s">
        <v>310</v>
      </c>
      <c r="B153" s="117" t="s">
        <v>946</v>
      </c>
      <c r="C153" s="108">
        <f t="shared" si="8"/>
        <v>1400</v>
      </c>
      <c r="D153" s="38">
        <f t="shared" si="9"/>
        <v>1</v>
      </c>
      <c r="G153" s="113" t="s">
        <v>94</v>
      </c>
      <c r="H153" s="108" t="s">
        <v>3682</v>
      </c>
      <c r="I153" s="12">
        <v>331</v>
      </c>
      <c r="J153" s="12">
        <v>1111</v>
      </c>
      <c r="K153" s="108" t="s">
        <v>20</v>
      </c>
      <c r="L153" s="108">
        <v>1</v>
      </c>
      <c r="M153" s="116">
        <v>2319970</v>
      </c>
      <c r="N153" s="116">
        <f t="shared" si="10"/>
        <v>2319970</v>
      </c>
      <c r="P153" s="108">
        <f t="shared" si="11"/>
        <v>52</v>
      </c>
    </row>
    <row r="154" spans="1:16" ht="15" hidden="1" customHeight="1" x14ac:dyDescent="0.2">
      <c r="A154" s="108" t="s">
        <v>310</v>
      </c>
      <c r="B154" s="117" t="s">
        <v>660</v>
      </c>
      <c r="C154" s="108">
        <f t="shared" si="8"/>
        <v>1401</v>
      </c>
      <c r="D154" s="38">
        <f t="shared" si="9"/>
        <v>1</v>
      </c>
      <c r="G154" s="113" t="s">
        <v>23</v>
      </c>
      <c r="H154" s="108" t="s">
        <v>1072</v>
      </c>
      <c r="I154" s="12">
        <v>331</v>
      </c>
      <c r="J154" s="12">
        <v>1111</v>
      </c>
      <c r="K154" s="108" t="s">
        <v>20</v>
      </c>
      <c r="L154" s="108">
        <v>1</v>
      </c>
      <c r="M154" s="116">
        <v>178000</v>
      </c>
      <c r="N154" s="116">
        <f t="shared" si="10"/>
        <v>178000</v>
      </c>
      <c r="P154" s="108">
        <f t="shared" si="11"/>
        <v>157</v>
      </c>
    </row>
    <row r="155" spans="1:16" ht="15" hidden="1" customHeight="1" x14ac:dyDescent="0.2">
      <c r="A155" s="108" t="s">
        <v>310</v>
      </c>
      <c r="B155" s="117" t="s">
        <v>660</v>
      </c>
      <c r="C155" s="108">
        <f t="shared" si="8"/>
        <v>1402</v>
      </c>
      <c r="D155" s="38">
        <f t="shared" si="9"/>
        <v>1</v>
      </c>
      <c r="G155" s="113" t="s">
        <v>1073</v>
      </c>
      <c r="H155" s="108" t="s">
        <v>3684</v>
      </c>
      <c r="I155" s="12">
        <v>331</v>
      </c>
      <c r="J155" s="12">
        <v>1111</v>
      </c>
      <c r="K155" s="108" t="s">
        <v>20</v>
      </c>
      <c r="L155" s="108">
        <v>1</v>
      </c>
      <c r="M155" s="116">
        <v>1137006</v>
      </c>
      <c r="N155" s="116">
        <f t="shared" si="10"/>
        <v>1137006</v>
      </c>
      <c r="P155" s="108">
        <f t="shared" si="11"/>
        <v>52</v>
      </c>
    </row>
    <row r="156" spans="1:16" ht="15" hidden="1" customHeight="1" x14ac:dyDescent="0.2">
      <c r="A156" s="108" t="s">
        <v>310</v>
      </c>
      <c r="B156" s="117" t="s">
        <v>547</v>
      </c>
      <c r="C156" s="108">
        <f t="shared" si="8"/>
        <v>1403</v>
      </c>
      <c r="D156" s="38">
        <f t="shared" si="9"/>
        <v>1</v>
      </c>
      <c r="G156" s="113" t="s">
        <v>1074</v>
      </c>
      <c r="H156" s="108" t="s">
        <v>1075</v>
      </c>
      <c r="I156" s="12">
        <v>331</v>
      </c>
      <c r="J156" s="12">
        <v>1111</v>
      </c>
      <c r="K156" s="108" t="s">
        <v>20</v>
      </c>
      <c r="L156" s="108">
        <v>1</v>
      </c>
      <c r="M156" s="116">
        <v>162999</v>
      </c>
      <c r="N156" s="116">
        <f t="shared" si="10"/>
        <v>162999</v>
      </c>
      <c r="P156" s="108">
        <f t="shared" si="11"/>
        <v>54</v>
      </c>
    </row>
    <row r="157" spans="1:16" ht="15" hidden="1" customHeight="1" x14ac:dyDescent="0.2">
      <c r="A157" s="108" t="s">
        <v>310</v>
      </c>
      <c r="B157" s="117" t="s">
        <v>499</v>
      </c>
      <c r="C157" s="108">
        <f t="shared" si="8"/>
        <v>1404</v>
      </c>
      <c r="D157" s="38">
        <f t="shared" si="9"/>
        <v>1</v>
      </c>
      <c r="G157" s="113" t="s">
        <v>1079</v>
      </c>
      <c r="H157" s="108" t="s">
        <v>1080</v>
      </c>
      <c r="I157" s="12">
        <v>331</v>
      </c>
      <c r="J157" s="12">
        <v>1111</v>
      </c>
      <c r="K157" s="108" t="s">
        <v>20</v>
      </c>
      <c r="L157" s="108">
        <v>1</v>
      </c>
      <c r="M157" s="116">
        <v>1009260</v>
      </c>
      <c r="N157" s="116">
        <f t="shared" si="10"/>
        <v>1009260</v>
      </c>
      <c r="P157" s="108">
        <f t="shared" si="11"/>
        <v>151</v>
      </c>
    </row>
    <row r="158" spans="1:16" ht="15" hidden="1" customHeight="1" x14ac:dyDescent="0.2">
      <c r="A158" s="108" t="s">
        <v>310</v>
      </c>
      <c r="B158" s="117" t="s">
        <v>499</v>
      </c>
      <c r="C158" s="108">
        <f t="shared" si="8"/>
        <v>1405</v>
      </c>
      <c r="D158" s="38">
        <f t="shared" si="9"/>
        <v>1</v>
      </c>
      <c r="G158" s="113" t="s">
        <v>23</v>
      </c>
      <c r="H158" s="108" t="s">
        <v>1076</v>
      </c>
      <c r="I158" s="12">
        <v>331</v>
      </c>
      <c r="J158" s="12">
        <v>1111</v>
      </c>
      <c r="K158" s="108" t="s">
        <v>20</v>
      </c>
      <c r="L158" s="108">
        <v>1</v>
      </c>
      <c r="M158" s="116">
        <v>94000</v>
      </c>
      <c r="N158" s="116">
        <f t="shared" si="10"/>
        <v>94000</v>
      </c>
      <c r="P158" s="108">
        <f t="shared" si="11"/>
        <v>176</v>
      </c>
    </row>
    <row r="159" spans="1:16" ht="15" hidden="1" customHeight="1" x14ac:dyDescent="0.2">
      <c r="A159" s="108" t="s">
        <v>310</v>
      </c>
      <c r="B159" s="117" t="s">
        <v>499</v>
      </c>
      <c r="C159" s="108">
        <f t="shared" si="8"/>
        <v>1406</v>
      </c>
      <c r="D159" s="38">
        <f t="shared" si="9"/>
        <v>1</v>
      </c>
      <c r="G159" s="113" t="s">
        <v>1077</v>
      </c>
      <c r="H159" s="108" t="s">
        <v>1078</v>
      </c>
      <c r="I159" s="12">
        <v>331</v>
      </c>
      <c r="J159" s="12">
        <v>1111</v>
      </c>
      <c r="K159" s="108" t="s">
        <v>20</v>
      </c>
      <c r="L159" s="108">
        <v>1</v>
      </c>
      <c r="M159" s="116">
        <v>550000</v>
      </c>
      <c r="N159" s="116">
        <f t="shared" si="10"/>
        <v>550000</v>
      </c>
      <c r="P159" s="108">
        <f t="shared" si="11"/>
        <v>23</v>
      </c>
    </row>
    <row r="160" spans="1:16" ht="15" hidden="1" customHeight="1" x14ac:dyDescent="0.2">
      <c r="A160" s="108" t="s">
        <v>310</v>
      </c>
      <c r="B160" s="117" t="s">
        <v>500</v>
      </c>
      <c r="C160" s="108">
        <f t="shared" si="8"/>
        <v>1407</v>
      </c>
      <c r="D160" s="38">
        <f t="shared" si="9"/>
        <v>1</v>
      </c>
      <c r="G160" s="113" t="s">
        <v>27</v>
      </c>
      <c r="H160" s="108" t="s">
        <v>1081</v>
      </c>
      <c r="I160" s="12">
        <v>331</v>
      </c>
      <c r="J160" s="12">
        <v>1111</v>
      </c>
      <c r="K160" s="108" t="s">
        <v>20</v>
      </c>
      <c r="L160" s="108">
        <v>1</v>
      </c>
      <c r="M160" s="116">
        <v>116100</v>
      </c>
      <c r="N160" s="116">
        <f t="shared" si="10"/>
        <v>116100</v>
      </c>
      <c r="P160" s="108">
        <f t="shared" si="11"/>
        <v>48</v>
      </c>
    </row>
    <row r="161" spans="1:16" ht="15" hidden="1" customHeight="1" x14ac:dyDescent="0.2">
      <c r="A161" s="108" t="s">
        <v>310</v>
      </c>
      <c r="B161" s="117" t="s">
        <v>500</v>
      </c>
      <c r="C161" s="108">
        <f t="shared" si="8"/>
        <v>1408</v>
      </c>
      <c r="D161" s="38">
        <f t="shared" si="9"/>
        <v>1</v>
      </c>
      <c r="G161" s="113" t="s">
        <v>27</v>
      </c>
      <c r="H161" s="108" t="s">
        <v>1082</v>
      </c>
      <c r="I161" s="12">
        <v>331</v>
      </c>
      <c r="J161" s="12">
        <v>1111</v>
      </c>
      <c r="K161" s="108" t="s">
        <v>20</v>
      </c>
      <c r="L161" s="108">
        <v>1</v>
      </c>
      <c r="M161" s="116">
        <v>116100</v>
      </c>
      <c r="N161" s="116">
        <f t="shared" si="10"/>
        <v>116100</v>
      </c>
      <c r="P161" s="108">
        <f t="shared" si="11"/>
        <v>48</v>
      </c>
    </row>
    <row r="162" spans="1:16" ht="15" hidden="1" customHeight="1" x14ac:dyDescent="0.2">
      <c r="A162" s="108" t="s">
        <v>310</v>
      </c>
      <c r="B162" s="117" t="s">
        <v>500</v>
      </c>
      <c r="C162" s="108">
        <f t="shared" si="8"/>
        <v>1409</v>
      </c>
      <c r="D162" s="38">
        <f t="shared" si="9"/>
        <v>1</v>
      </c>
      <c r="G162" s="113" t="s">
        <v>975</v>
      </c>
      <c r="H162" s="108" t="s">
        <v>3686</v>
      </c>
      <c r="I162" s="12">
        <v>331</v>
      </c>
      <c r="J162" s="12">
        <v>1111</v>
      </c>
      <c r="K162" s="108" t="s">
        <v>20</v>
      </c>
      <c r="L162" s="108">
        <v>1</v>
      </c>
      <c r="M162" s="116">
        <v>45208000</v>
      </c>
      <c r="N162" s="116">
        <f t="shared" si="10"/>
        <v>45208000</v>
      </c>
      <c r="P162" s="108">
        <f t="shared" si="11"/>
        <v>49</v>
      </c>
    </row>
    <row r="163" spans="1:16" ht="15" hidden="1" customHeight="1" x14ac:dyDescent="0.2">
      <c r="A163" s="108" t="s">
        <v>310</v>
      </c>
      <c r="B163" s="117" t="s">
        <v>500</v>
      </c>
      <c r="C163" s="108">
        <f t="shared" si="8"/>
        <v>1410</v>
      </c>
      <c r="D163" s="38">
        <f t="shared" si="9"/>
        <v>1</v>
      </c>
      <c r="G163" s="113" t="s">
        <v>1083</v>
      </c>
      <c r="H163" s="108" t="s">
        <v>3690</v>
      </c>
      <c r="I163" s="12">
        <v>331</v>
      </c>
      <c r="J163" s="12">
        <v>1111</v>
      </c>
      <c r="K163" s="108" t="s">
        <v>20</v>
      </c>
      <c r="L163" s="108">
        <v>1</v>
      </c>
      <c r="M163" s="116">
        <v>2117880</v>
      </c>
      <c r="N163" s="116">
        <f t="shared" si="10"/>
        <v>2117880</v>
      </c>
      <c r="P163" s="108">
        <f t="shared" si="11"/>
        <v>52</v>
      </c>
    </row>
    <row r="164" spans="1:16" ht="15" hidden="1" customHeight="1" x14ac:dyDescent="0.2">
      <c r="A164" s="108" t="s">
        <v>310</v>
      </c>
      <c r="B164" s="117" t="s">
        <v>500</v>
      </c>
      <c r="C164" s="108">
        <f t="shared" si="8"/>
        <v>1411</v>
      </c>
      <c r="D164" s="38">
        <f t="shared" si="9"/>
        <v>1</v>
      </c>
      <c r="G164" s="113" t="s">
        <v>23</v>
      </c>
      <c r="H164" s="108" t="s">
        <v>3688</v>
      </c>
      <c r="I164" s="12">
        <v>331</v>
      </c>
      <c r="J164" s="12">
        <v>1111</v>
      </c>
      <c r="K164" s="108" t="s">
        <v>20</v>
      </c>
      <c r="L164" s="108">
        <v>1</v>
      </c>
      <c r="M164" s="116">
        <v>272000</v>
      </c>
      <c r="N164" s="116">
        <f t="shared" si="10"/>
        <v>272000</v>
      </c>
      <c r="P164" s="108">
        <f t="shared" si="11"/>
        <v>53</v>
      </c>
    </row>
    <row r="165" spans="1:16" ht="15" hidden="1" customHeight="1" x14ac:dyDescent="0.2">
      <c r="A165" s="108" t="s">
        <v>310</v>
      </c>
      <c r="B165" s="117" t="s">
        <v>501</v>
      </c>
      <c r="C165" s="108">
        <f t="shared" si="8"/>
        <v>1412</v>
      </c>
      <c r="D165" s="38">
        <f t="shared" si="9"/>
        <v>1</v>
      </c>
      <c r="G165" s="113" t="s">
        <v>23</v>
      </c>
      <c r="H165" s="108" t="s">
        <v>1085</v>
      </c>
      <c r="I165" s="12">
        <v>331</v>
      </c>
      <c r="J165" s="12">
        <v>1111</v>
      </c>
      <c r="K165" s="108" t="s">
        <v>20</v>
      </c>
      <c r="L165" s="108">
        <v>1</v>
      </c>
      <c r="M165" s="116">
        <v>94000</v>
      </c>
      <c r="N165" s="116">
        <f t="shared" si="10"/>
        <v>94000</v>
      </c>
      <c r="P165" s="108">
        <f t="shared" si="11"/>
        <v>122</v>
      </c>
    </row>
    <row r="166" spans="1:16" ht="15" hidden="1" customHeight="1" x14ac:dyDescent="0.2">
      <c r="A166" s="108" t="s">
        <v>310</v>
      </c>
      <c r="B166" s="117" t="s">
        <v>501</v>
      </c>
      <c r="C166" s="108">
        <f t="shared" si="8"/>
        <v>1413</v>
      </c>
      <c r="D166" s="38">
        <f t="shared" si="9"/>
        <v>1</v>
      </c>
      <c r="G166" s="113" t="s">
        <v>62</v>
      </c>
      <c r="H166" s="108" t="s">
        <v>1084</v>
      </c>
      <c r="I166" s="12">
        <v>331</v>
      </c>
      <c r="J166" s="12">
        <v>1111</v>
      </c>
      <c r="K166" s="108" t="s">
        <v>20</v>
      </c>
      <c r="L166" s="108">
        <v>1</v>
      </c>
      <c r="M166" s="116">
        <v>2400000</v>
      </c>
      <c r="N166" s="116">
        <f t="shared" si="10"/>
        <v>2400000</v>
      </c>
      <c r="P166" s="108">
        <f t="shared" si="11"/>
        <v>22</v>
      </c>
    </row>
    <row r="167" spans="1:16" ht="15" hidden="1" customHeight="1" x14ac:dyDescent="0.2">
      <c r="A167" s="108" t="s">
        <v>310</v>
      </c>
      <c r="B167" s="117" t="s">
        <v>828</v>
      </c>
      <c r="C167" s="108">
        <f t="shared" si="8"/>
        <v>1414</v>
      </c>
      <c r="D167" s="38">
        <f t="shared" si="9"/>
        <v>1</v>
      </c>
      <c r="G167" s="113" t="s">
        <v>19</v>
      </c>
      <c r="H167" s="108" t="s">
        <v>1087</v>
      </c>
      <c r="I167" s="12">
        <v>331</v>
      </c>
      <c r="J167" s="12">
        <v>1111</v>
      </c>
      <c r="K167" s="108" t="s">
        <v>20</v>
      </c>
      <c r="L167" s="108">
        <v>1</v>
      </c>
      <c r="M167" s="116">
        <v>37000</v>
      </c>
      <c r="N167" s="116">
        <f t="shared" si="10"/>
        <v>37000</v>
      </c>
      <c r="P167" s="108">
        <f t="shared" si="11"/>
        <v>126</v>
      </c>
    </row>
    <row r="168" spans="1:16" ht="15" hidden="1" customHeight="1" x14ac:dyDescent="0.2">
      <c r="A168" s="108" t="s">
        <v>310</v>
      </c>
      <c r="B168" s="117" t="s">
        <v>828</v>
      </c>
      <c r="C168" s="108">
        <f t="shared" si="8"/>
        <v>1415</v>
      </c>
      <c r="D168" s="38">
        <f t="shared" si="9"/>
        <v>1</v>
      </c>
      <c r="G168" s="113" t="s">
        <v>19</v>
      </c>
      <c r="H168" s="108" t="s">
        <v>1086</v>
      </c>
      <c r="I168" s="12">
        <v>331</v>
      </c>
      <c r="J168" s="12">
        <v>1111</v>
      </c>
      <c r="K168" s="108" t="s">
        <v>20</v>
      </c>
      <c r="L168" s="108">
        <v>1</v>
      </c>
      <c r="M168" s="116">
        <v>172000</v>
      </c>
      <c r="N168" s="116">
        <f t="shared" si="10"/>
        <v>172000</v>
      </c>
      <c r="P168" s="108">
        <f t="shared" si="11"/>
        <v>126</v>
      </c>
    </row>
    <row r="169" spans="1:16" ht="15" hidden="1" customHeight="1" x14ac:dyDescent="0.2">
      <c r="A169" s="108" t="s">
        <v>310</v>
      </c>
      <c r="B169" s="117" t="s">
        <v>828</v>
      </c>
      <c r="C169" s="108">
        <f t="shared" si="8"/>
        <v>1416</v>
      </c>
      <c r="D169" s="38">
        <f t="shared" si="9"/>
        <v>1</v>
      </c>
      <c r="G169" s="113" t="s">
        <v>263</v>
      </c>
      <c r="H169" s="108" t="s">
        <v>1088</v>
      </c>
      <c r="I169" s="12">
        <v>331</v>
      </c>
      <c r="J169" s="12">
        <v>1111</v>
      </c>
      <c r="K169" s="108" t="s">
        <v>20</v>
      </c>
      <c r="L169" s="108">
        <v>1</v>
      </c>
      <c r="M169" s="116">
        <v>1609000</v>
      </c>
      <c r="N169" s="116">
        <f t="shared" si="10"/>
        <v>1609000</v>
      </c>
      <c r="P169" s="108">
        <f t="shared" si="11"/>
        <v>195</v>
      </c>
    </row>
    <row r="170" spans="1:16" ht="15" hidden="1" customHeight="1" x14ac:dyDescent="0.2">
      <c r="A170" s="108" t="s">
        <v>310</v>
      </c>
      <c r="B170" s="117" t="s">
        <v>828</v>
      </c>
      <c r="C170" s="108">
        <f t="shared" si="8"/>
        <v>1417</v>
      </c>
      <c r="D170" s="38">
        <f t="shared" si="9"/>
        <v>1</v>
      </c>
      <c r="G170" s="113" t="s">
        <v>1073</v>
      </c>
      <c r="H170" s="108" t="s">
        <v>3692</v>
      </c>
      <c r="I170" s="12">
        <v>331</v>
      </c>
      <c r="J170" s="12">
        <v>1111</v>
      </c>
      <c r="K170" s="108" t="s">
        <v>20</v>
      </c>
      <c r="L170" s="108">
        <v>1</v>
      </c>
      <c r="M170" s="116">
        <v>1748844</v>
      </c>
      <c r="N170" s="116">
        <f t="shared" si="10"/>
        <v>1748844</v>
      </c>
      <c r="P170" s="108">
        <f t="shared" si="11"/>
        <v>52</v>
      </c>
    </row>
    <row r="171" spans="1:16" ht="15" hidden="1" customHeight="1" x14ac:dyDescent="0.2">
      <c r="A171" s="108" t="s">
        <v>310</v>
      </c>
      <c r="B171" s="117" t="s">
        <v>548</v>
      </c>
      <c r="C171" s="108">
        <f t="shared" si="8"/>
        <v>1418</v>
      </c>
      <c r="D171" s="38">
        <f t="shared" si="9"/>
        <v>1</v>
      </c>
      <c r="G171" s="113" t="s">
        <v>1091</v>
      </c>
      <c r="H171" s="108" t="s">
        <v>1092</v>
      </c>
      <c r="I171" s="12">
        <v>331</v>
      </c>
      <c r="J171" s="12">
        <v>1111</v>
      </c>
      <c r="K171" s="108" t="s">
        <v>20</v>
      </c>
      <c r="L171" s="108">
        <v>1</v>
      </c>
      <c r="M171" s="116">
        <v>147000</v>
      </c>
      <c r="N171" s="116">
        <f t="shared" si="10"/>
        <v>147000</v>
      </c>
      <c r="P171" s="108">
        <f t="shared" si="11"/>
        <v>124</v>
      </c>
    </row>
    <row r="172" spans="1:16" ht="15" hidden="1" customHeight="1" x14ac:dyDescent="0.2">
      <c r="A172" s="108" t="s">
        <v>310</v>
      </c>
      <c r="B172" s="117" t="s">
        <v>548</v>
      </c>
      <c r="C172" s="108">
        <f t="shared" si="8"/>
        <v>1419</v>
      </c>
      <c r="D172" s="38">
        <f t="shared" si="9"/>
        <v>1</v>
      </c>
      <c r="G172" s="113" t="s">
        <v>19</v>
      </c>
      <c r="H172" s="108" t="s">
        <v>1090</v>
      </c>
      <c r="I172" s="12">
        <v>331</v>
      </c>
      <c r="J172" s="12">
        <v>1111</v>
      </c>
      <c r="K172" s="108" t="s">
        <v>20</v>
      </c>
      <c r="L172" s="108">
        <v>1</v>
      </c>
      <c r="M172" s="116">
        <v>65000</v>
      </c>
      <c r="N172" s="116">
        <f t="shared" si="10"/>
        <v>65000</v>
      </c>
      <c r="P172" s="108">
        <f t="shared" si="11"/>
        <v>126</v>
      </c>
    </row>
    <row r="173" spans="1:16" ht="15" hidden="1" customHeight="1" x14ac:dyDescent="0.2">
      <c r="A173" s="108" t="s">
        <v>310</v>
      </c>
      <c r="B173" s="117" t="s">
        <v>548</v>
      </c>
      <c r="C173" s="108">
        <f t="shared" si="8"/>
        <v>1420</v>
      </c>
      <c r="D173" s="38">
        <f t="shared" si="9"/>
        <v>1</v>
      </c>
      <c r="G173" s="113" t="s">
        <v>19</v>
      </c>
      <c r="H173" s="108" t="s">
        <v>1089</v>
      </c>
      <c r="I173" s="12">
        <v>331</v>
      </c>
      <c r="J173" s="12">
        <v>1111</v>
      </c>
      <c r="K173" s="108" t="s">
        <v>20</v>
      </c>
      <c r="L173" s="108">
        <v>1</v>
      </c>
      <c r="M173" s="116">
        <v>146000</v>
      </c>
      <c r="N173" s="116">
        <f t="shared" si="10"/>
        <v>146000</v>
      </c>
      <c r="P173" s="108">
        <f t="shared" si="11"/>
        <v>126</v>
      </c>
    </row>
    <row r="174" spans="1:16" ht="15" hidden="1" customHeight="1" x14ac:dyDescent="0.2">
      <c r="A174" s="108" t="s">
        <v>310</v>
      </c>
      <c r="B174" s="117" t="s">
        <v>441</v>
      </c>
      <c r="C174" s="108">
        <f t="shared" si="8"/>
        <v>1421</v>
      </c>
      <c r="D174" s="38">
        <f t="shared" si="9"/>
        <v>1</v>
      </c>
      <c r="G174" s="113" t="s">
        <v>24</v>
      </c>
      <c r="H174" s="108" t="s">
        <v>1095</v>
      </c>
      <c r="I174" s="12">
        <v>331</v>
      </c>
      <c r="J174" s="12">
        <v>1111</v>
      </c>
      <c r="K174" s="108" t="s">
        <v>20</v>
      </c>
      <c r="L174" s="108">
        <v>1</v>
      </c>
      <c r="M174" s="116">
        <v>112000</v>
      </c>
      <c r="N174" s="116">
        <f t="shared" si="10"/>
        <v>112000</v>
      </c>
      <c r="P174" s="108">
        <f t="shared" si="11"/>
        <v>169</v>
      </c>
    </row>
    <row r="175" spans="1:16" ht="15" hidden="1" customHeight="1" x14ac:dyDescent="0.2">
      <c r="A175" s="108" t="s">
        <v>310</v>
      </c>
      <c r="B175" s="117" t="s">
        <v>441</v>
      </c>
      <c r="C175" s="108">
        <f t="shared" si="8"/>
        <v>1422</v>
      </c>
      <c r="D175" s="38">
        <f t="shared" si="9"/>
        <v>1</v>
      </c>
      <c r="G175" s="113" t="s">
        <v>19</v>
      </c>
      <c r="H175" s="108" t="s">
        <v>1096</v>
      </c>
      <c r="I175" s="12">
        <v>331</v>
      </c>
      <c r="J175" s="12">
        <v>1111</v>
      </c>
      <c r="K175" s="108" t="s">
        <v>20</v>
      </c>
      <c r="L175" s="108">
        <v>1</v>
      </c>
      <c r="M175" s="116">
        <v>67000</v>
      </c>
      <c r="N175" s="116">
        <f t="shared" si="10"/>
        <v>67000</v>
      </c>
      <c r="P175" s="108">
        <f t="shared" si="11"/>
        <v>126</v>
      </c>
    </row>
    <row r="176" spans="1:16" ht="15" hidden="1" customHeight="1" x14ac:dyDescent="0.2">
      <c r="A176" s="108" t="s">
        <v>310</v>
      </c>
      <c r="B176" s="117" t="s">
        <v>441</v>
      </c>
      <c r="C176" s="108">
        <f t="shared" si="8"/>
        <v>1423</v>
      </c>
      <c r="D176" s="38">
        <f t="shared" si="9"/>
        <v>1</v>
      </c>
      <c r="G176" s="113" t="s">
        <v>23</v>
      </c>
      <c r="H176" s="108" t="s">
        <v>1098</v>
      </c>
      <c r="I176" s="12">
        <v>331</v>
      </c>
      <c r="J176" s="12">
        <v>1111</v>
      </c>
      <c r="K176" s="108" t="s">
        <v>20</v>
      </c>
      <c r="L176" s="108">
        <v>1</v>
      </c>
      <c r="M176" s="116">
        <v>173000</v>
      </c>
      <c r="N176" s="116">
        <f t="shared" si="10"/>
        <v>173000</v>
      </c>
      <c r="P176" s="108">
        <f t="shared" si="11"/>
        <v>160</v>
      </c>
    </row>
    <row r="177" spans="1:16" ht="15" hidden="1" customHeight="1" x14ac:dyDescent="0.2">
      <c r="A177" s="108" t="s">
        <v>310</v>
      </c>
      <c r="B177" s="117" t="s">
        <v>441</v>
      </c>
      <c r="C177" s="108">
        <f t="shared" si="8"/>
        <v>1424</v>
      </c>
      <c r="D177" s="38">
        <f t="shared" si="9"/>
        <v>1</v>
      </c>
      <c r="G177" s="113" t="s">
        <v>44</v>
      </c>
      <c r="H177" s="108" t="s">
        <v>1093</v>
      </c>
      <c r="I177" s="12">
        <v>331</v>
      </c>
      <c r="J177" s="12">
        <v>1111</v>
      </c>
      <c r="K177" s="108" t="s">
        <v>20</v>
      </c>
      <c r="L177" s="108">
        <v>1</v>
      </c>
      <c r="M177" s="116">
        <v>365653</v>
      </c>
      <c r="N177" s="116">
        <f t="shared" si="10"/>
        <v>365653</v>
      </c>
      <c r="P177" s="108">
        <f t="shared" si="11"/>
        <v>99</v>
      </c>
    </row>
    <row r="178" spans="1:16" ht="15" hidden="1" customHeight="1" x14ac:dyDescent="0.2">
      <c r="A178" s="108" t="s">
        <v>310</v>
      </c>
      <c r="B178" s="117" t="s">
        <v>441</v>
      </c>
      <c r="C178" s="108">
        <f t="shared" si="8"/>
        <v>1425</v>
      </c>
      <c r="D178" s="38">
        <f t="shared" si="9"/>
        <v>1</v>
      </c>
      <c r="G178" s="113" t="s">
        <v>1007</v>
      </c>
      <c r="H178" s="108" t="s">
        <v>1094</v>
      </c>
      <c r="I178" s="12">
        <v>331</v>
      </c>
      <c r="J178" s="12">
        <v>1111</v>
      </c>
      <c r="K178" s="108" t="s">
        <v>20</v>
      </c>
      <c r="L178" s="108">
        <v>1</v>
      </c>
      <c r="M178" s="116">
        <v>539000</v>
      </c>
      <c r="N178" s="116">
        <f t="shared" si="10"/>
        <v>539000</v>
      </c>
      <c r="P178" s="108">
        <f t="shared" si="11"/>
        <v>38</v>
      </c>
    </row>
    <row r="179" spans="1:16" ht="15" hidden="1" customHeight="1" x14ac:dyDescent="0.2">
      <c r="A179" s="108" t="s">
        <v>310</v>
      </c>
      <c r="B179" s="117" t="s">
        <v>441</v>
      </c>
      <c r="C179" s="108">
        <f t="shared" si="8"/>
        <v>1426</v>
      </c>
      <c r="D179" s="38">
        <f t="shared" si="9"/>
        <v>1</v>
      </c>
      <c r="G179" s="113" t="s">
        <v>975</v>
      </c>
      <c r="H179" s="108" t="s">
        <v>1097</v>
      </c>
      <c r="I179" s="12">
        <v>331</v>
      </c>
      <c r="J179" s="12">
        <v>1111</v>
      </c>
      <c r="K179" s="108" t="s">
        <v>20</v>
      </c>
      <c r="L179" s="108">
        <v>1</v>
      </c>
      <c r="M179" s="116">
        <v>24443000</v>
      </c>
      <c r="N179" s="116">
        <f t="shared" si="10"/>
        <v>24443000</v>
      </c>
      <c r="P179" s="108">
        <f t="shared" si="11"/>
        <v>88</v>
      </c>
    </row>
    <row r="180" spans="1:16" ht="15" hidden="1" customHeight="1" x14ac:dyDescent="0.2">
      <c r="A180" s="108" t="s">
        <v>310</v>
      </c>
      <c r="B180" s="117" t="s">
        <v>502</v>
      </c>
      <c r="C180" s="108">
        <f t="shared" si="8"/>
        <v>1427</v>
      </c>
      <c r="D180" s="38">
        <f t="shared" si="9"/>
        <v>1</v>
      </c>
      <c r="G180" s="113" t="s">
        <v>24</v>
      </c>
      <c r="H180" s="108" t="s">
        <v>1099</v>
      </c>
      <c r="I180" s="12">
        <v>331</v>
      </c>
      <c r="J180" s="12">
        <v>1111</v>
      </c>
      <c r="K180" s="108" t="s">
        <v>20</v>
      </c>
      <c r="L180" s="108">
        <v>1</v>
      </c>
      <c r="M180" s="116">
        <v>112000</v>
      </c>
      <c r="N180" s="116">
        <f t="shared" si="10"/>
        <v>112000</v>
      </c>
      <c r="P180" s="108">
        <f t="shared" si="11"/>
        <v>169</v>
      </c>
    </row>
    <row r="181" spans="1:16" ht="15" hidden="1" customHeight="1" x14ac:dyDescent="0.2">
      <c r="A181" s="108" t="s">
        <v>310</v>
      </c>
      <c r="B181" s="117" t="s">
        <v>502</v>
      </c>
      <c r="C181" s="108">
        <f t="shared" si="8"/>
        <v>1428</v>
      </c>
      <c r="D181" s="38">
        <f t="shared" si="9"/>
        <v>1</v>
      </c>
      <c r="G181" s="113" t="s">
        <v>19</v>
      </c>
      <c r="H181" s="108" t="s">
        <v>1100</v>
      </c>
      <c r="I181" s="12">
        <v>331</v>
      </c>
      <c r="J181" s="12">
        <v>1111</v>
      </c>
      <c r="K181" s="108" t="s">
        <v>20</v>
      </c>
      <c r="L181" s="108">
        <v>1</v>
      </c>
      <c r="M181" s="116">
        <v>21000</v>
      </c>
      <c r="N181" s="116">
        <f t="shared" si="10"/>
        <v>21000</v>
      </c>
      <c r="P181" s="108">
        <f t="shared" si="11"/>
        <v>169</v>
      </c>
    </row>
    <row r="182" spans="1:16" ht="15" hidden="1" customHeight="1" x14ac:dyDescent="0.2">
      <c r="A182" s="108" t="s">
        <v>310</v>
      </c>
      <c r="B182" s="117" t="s">
        <v>502</v>
      </c>
      <c r="C182" s="108">
        <f t="shared" si="8"/>
        <v>1429</v>
      </c>
      <c r="D182" s="38">
        <f t="shared" si="9"/>
        <v>1</v>
      </c>
      <c r="G182" s="113" t="s">
        <v>22</v>
      </c>
      <c r="H182" s="108" t="s">
        <v>1102</v>
      </c>
      <c r="I182" s="12">
        <v>331</v>
      </c>
      <c r="J182" s="12">
        <v>1111</v>
      </c>
      <c r="K182" s="108" t="s">
        <v>20</v>
      </c>
      <c r="L182" s="108">
        <v>1</v>
      </c>
      <c r="M182" s="116">
        <v>396120</v>
      </c>
      <c r="N182" s="116">
        <f t="shared" si="10"/>
        <v>396120</v>
      </c>
      <c r="P182" s="108">
        <f t="shared" si="11"/>
        <v>169</v>
      </c>
    </row>
    <row r="183" spans="1:16" ht="15" hidden="1" customHeight="1" x14ac:dyDescent="0.2">
      <c r="A183" s="108" t="s">
        <v>310</v>
      </c>
      <c r="B183" s="117" t="s">
        <v>502</v>
      </c>
      <c r="C183" s="108">
        <f t="shared" si="8"/>
        <v>1430</v>
      </c>
      <c r="D183" s="38">
        <f t="shared" si="9"/>
        <v>1</v>
      </c>
      <c r="G183" s="113" t="s">
        <v>23</v>
      </c>
      <c r="H183" s="108" t="s">
        <v>1101</v>
      </c>
      <c r="I183" s="12">
        <v>331</v>
      </c>
      <c r="J183" s="12">
        <v>1111</v>
      </c>
      <c r="K183" s="108" t="s">
        <v>20</v>
      </c>
      <c r="L183" s="108">
        <v>1</v>
      </c>
      <c r="M183" s="116">
        <v>174000</v>
      </c>
      <c r="N183" s="116">
        <f t="shared" si="10"/>
        <v>174000</v>
      </c>
      <c r="P183" s="108">
        <f t="shared" si="11"/>
        <v>127</v>
      </c>
    </row>
    <row r="184" spans="1:16" ht="15" hidden="1" customHeight="1" x14ac:dyDescent="0.2">
      <c r="A184" s="108" t="s">
        <v>310</v>
      </c>
      <c r="B184" s="117" t="s">
        <v>502</v>
      </c>
      <c r="C184" s="108">
        <f t="shared" si="8"/>
        <v>1431</v>
      </c>
      <c r="D184" s="38">
        <f t="shared" si="9"/>
        <v>1</v>
      </c>
      <c r="G184" s="113" t="s">
        <v>260</v>
      </c>
      <c r="H184" s="108" t="s">
        <v>1103</v>
      </c>
      <c r="I184" s="12">
        <v>331</v>
      </c>
      <c r="J184" s="12">
        <v>1111</v>
      </c>
      <c r="K184" s="108" t="s">
        <v>20</v>
      </c>
      <c r="L184" s="108">
        <v>1</v>
      </c>
      <c r="M184" s="116">
        <v>189000</v>
      </c>
      <c r="N184" s="116">
        <f t="shared" si="10"/>
        <v>189000</v>
      </c>
      <c r="P184" s="108">
        <f t="shared" si="11"/>
        <v>49</v>
      </c>
    </row>
    <row r="185" spans="1:16" ht="15" hidden="1" customHeight="1" x14ac:dyDescent="0.2">
      <c r="A185" s="108" t="s">
        <v>310</v>
      </c>
      <c r="B185" s="117" t="s">
        <v>478</v>
      </c>
      <c r="C185" s="108">
        <f t="shared" si="8"/>
        <v>1432</v>
      </c>
      <c r="D185" s="38">
        <f t="shared" si="9"/>
        <v>1</v>
      </c>
      <c r="G185" s="113" t="s">
        <v>19</v>
      </c>
      <c r="H185" s="108" t="s">
        <v>1104</v>
      </c>
      <c r="I185" s="12">
        <v>331</v>
      </c>
      <c r="J185" s="12">
        <v>1111</v>
      </c>
      <c r="K185" s="108" t="s">
        <v>20</v>
      </c>
      <c r="L185" s="108">
        <v>1</v>
      </c>
      <c r="M185" s="116">
        <v>218000</v>
      </c>
      <c r="N185" s="116">
        <f t="shared" si="10"/>
        <v>218000</v>
      </c>
      <c r="P185" s="108">
        <f t="shared" si="11"/>
        <v>126</v>
      </c>
    </row>
    <row r="186" spans="1:16" ht="15" hidden="1" customHeight="1" x14ac:dyDescent="0.2">
      <c r="A186" s="108" t="s">
        <v>310</v>
      </c>
      <c r="B186" s="117" t="s">
        <v>478</v>
      </c>
      <c r="C186" s="108">
        <f t="shared" si="8"/>
        <v>1433</v>
      </c>
      <c r="D186" s="38">
        <f t="shared" si="9"/>
        <v>1</v>
      </c>
      <c r="G186" s="113" t="s">
        <v>1105</v>
      </c>
      <c r="H186" s="108" t="s">
        <v>1106</v>
      </c>
      <c r="I186" s="12">
        <v>331</v>
      </c>
      <c r="J186" s="12">
        <v>1111</v>
      </c>
      <c r="K186" s="108" t="s">
        <v>20</v>
      </c>
      <c r="L186" s="108">
        <v>1</v>
      </c>
      <c r="M186" s="116">
        <v>160000</v>
      </c>
      <c r="N186" s="116">
        <f t="shared" si="10"/>
        <v>160000</v>
      </c>
      <c r="P186" s="108">
        <f t="shared" si="11"/>
        <v>68</v>
      </c>
    </row>
    <row r="187" spans="1:16" ht="15" hidden="1" customHeight="1" x14ac:dyDescent="0.2">
      <c r="A187" s="108" t="s">
        <v>310</v>
      </c>
      <c r="B187" s="117" t="s">
        <v>503</v>
      </c>
      <c r="C187" s="108">
        <f t="shared" si="8"/>
        <v>1434</v>
      </c>
      <c r="D187" s="38">
        <f t="shared" si="9"/>
        <v>1</v>
      </c>
      <c r="G187" s="113" t="s">
        <v>24</v>
      </c>
      <c r="H187" s="108" t="s">
        <v>1107</v>
      </c>
      <c r="I187" s="12">
        <v>331</v>
      </c>
      <c r="J187" s="12">
        <v>1111</v>
      </c>
      <c r="K187" s="108" t="s">
        <v>20</v>
      </c>
      <c r="L187" s="108">
        <v>1</v>
      </c>
      <c r="M187" s="116">
        <v>111000</v>
      </c>
      <c r="N187" s="116">
        <f t="shared" si="10"/>
        <v>111000</v>
      </c>
      <c r="P187" s="108">
        <f t="shared" si="11"/>
        <v>169</v>
      </c>
    </row>
    <row r="188" spans="1:16" ht="15" hidden="1" customHeight="1" x14ac:dyDescent="0.2">
      <c r="A188" s="108" t="s">
        <v>310</v>
      </c>
      <c r="B188" s="117" t="s">
        <v>503</v>
      </c>
      <c r="C188" s="108">
        <f t="shared" si="8"/>
        <v>1435</v>
      </c>
      <c r="D188" s="38">
        <f t="shared" si="9"/>
        <v>1</v>
      </c>
      <c r="G188" s="113" t="s">
        <v>19</v>
      </c>
      <c r="H188" s="108" t="s">
        <v>1109</v>
      </c>
      <c r="I188" s="12">
        <v>331</v>
      </c>
      <c r="J188" s="12">
        <v>1111</v>
      </c>
      <c r="K188" s="108" t="s">
        <v>20</v>
      </c>
      <c r="L188" s="108">
        <v>1</v>
      </c>
      <c r="M188" s="116">
        <v>105000</v>
      </c>
      <c r="N188" s="116">
        <f t="shared" si="10"/>
        <v>105000</v>
      </c>
      <c r="P188" s="108">
        <f t="shared" si="11"/>
        <v>126</v>
      </c>
    </row>
    <row r="189" spans="1:16" ht="15" hidden="1" customHeight="1" x14ac:dyDescent="0.2">
      <c r="A189" s="108" t="s">
        <v>310</v>
      </c>
      <c r="B189" s="117" t="s">
        <v>503</v>
      </c>
      <c r="C189" s="108">
        <f t="shared" si="8"/>
        <v>1436</v>
      </c>
      <c r="D189" s="38">
        <f t="shared" si="9"/>
        <v>1</v>
      </c>
      <c r="G189" s="113" t="s">
        <v>19</v>
      </c>
      <c r="H189" s="108" t="s">
        <v>1108</v>
      </c>
      <c r="I189" s="12">
        <v>331</v>
      </c>
      <c r="J189" s="12">
        <v>1111</v>
      </c>
      <c r="K189" s="108" t="s">
        <v>20</v>
      </c>
      <c r="L189" s="108">
        <v>1</v>
      </c>
      <c r="M189" s="116">
        <v>138000</v>
      </c>
      <c r="N189" s="116">
        <f t="shared" si="10"/>
        <v>138000</v>
      </c>
      <c r="P189" s="108">
        <f t="shared" si="11"/>
        <v>126</v>
      </c>
    </row>
    <row r="190" spans="1:16" ht="15" hidden="1" customHeight="1" x14ac:dyDescent="0.2">
      <c r="A190" s="108" t="s">
        <v>310</v>
      </c>
      <c r="B190" s="117" t="s">
        <v>503</v>
      </c>
      <c r="C190" s="108">
        <f t="shared" si="8"/>
        <v>1437</v>
      </c>
      <c r="D190" s="38">
        <f t="shared" si="9"/>
        <v>1</v>
      </c>
      <c r="G190" s="113" t="s">
        <v>293</v>
      </c>
      <c r="H190" s="108" t="s">
        <v>3694</v>
      </c>
      <c r="I190" s="12">
        <v>331</v>
      </c>
      <c r="J190" s="12">
        <v>1111</v>
      </c>
      <c r="K190" s="108" t="s">
        <v>20</v>
      </c>
      <c r="L190" s="108">
        <v>1</v>
      </c>
      <c r="M190" s="116">
        <v>932040</v>
      </c>
      <c r="N190" s="116">
        <f t="shared" si="10"/>
        <v>932040</v>
      </c>
      <c r="P190" s="108">
        <f t="shared" si="11"/>
        <v>53</v>
      </c>
    </row>
    <row r="191" spans="1:16" ht="15" hidden="1" customHeight="1" x14ac:dyDescent="0.2">
      <c r="A191" s="108" t="s">
        <v>310</v>
      </c>
      <c r="B191" s="117" t="s">
        <v>549</v>
      </c>
      <c r="C191" s="108">
        <f t="shared" si="8"/>
        <v>1438</v>
      </c>
      <c r="D191" s="38">
        <f t="shared" si="9"/>
        <v>1</v>
      </c>
      <c r="G191" s="113" t="s">
        <v>24</v>
      </c>
      <c r="H191" s="108" t="s">
        <v>1111</v>
      </c>
      <c r="I191" s="12">
        <v>331</v>
      </c>
      <c r="J191" s="12">
        <v>1111</v>
      </c>
      <c r="K191" s="108" t="s">
        <v>20</v>
      </c>
      <c r="L191" s="108">
        <v>1</v>
      </c>
      <c r="M191" s="116">
        <v>111000</v>
      </c>
      <c r="N191" s="116">
        <f t="shared" si="10"/>
        <v>111000</v>
      </c>
      <c r="P191" s="108">
        <f t="shared" si="11"/>
        <v>169</v>
      </c>
    </row>
    <row r="192" spans="1:16" ht="15" hidden="1" customHeight="1" x14ac:dyDescent="0.2">
      <c r="A192" s="108" t="s">
        <v>310</v>
      </c>
      <c r="B192" s="117" t="s">
        <v>549</v>
      </c>
      <c r="C192" s="108">
        <f t="shared" si="8"/>
        <v>1439</v>
      </c>
      <c r="D192" s="38">
        <f t="shared" si="9"/>
        <v>1</v>
      </c>
      <c r="G192" s="113" t="s">
        <v>19</v>
      </c>
      <c r="H192" s="108" t="s">
        <v>1113</v>
      </c>
      <c r="I192" s="12">
        <v>331</v>
      </c>
      <c r="J192" s="12">
        <v>1111</v>
      </c>
      <c r="K192" s="108" t="s">
        <v>20</v>
      </c>
      <c r="L192" s="108">
        <v>1</v>
      </c>
      <c r="M192" s="116">
        <v>34000</v>
      </c>
      <c r="N192" s="116">
        <f t="shared" si="10"/>
        <v>34000</v>
      </c>
      <c r="P192" s="108">
        <f t="shared" si="11"/>
        <v>126</v>
      </c>
    </row>
    <row r="193" spans="1:16" ht="15" hidden="1" customHeight="1" x14ac:dyDescent="0.2">
      <c r="A193" s="108" t="s">
        <v>310</v>
      </c>
      <c r="B193" s="117" t="s">
        <v>549</v>
      </c>
      <c r="C193" s="108">
        <f t="shared" si="8"/>
        <v>1440</v>
      </c>
      <c r="D193" s="38">
        <f t="shared" si="9"/>
        <v>1</v>
      </c>
      <c r="G193" s="113" t="s">
        <v>19</v>
      </c>
      <c r="H193" s="108" t="s">
        <v>1112</v>
      </c>
      <c r="I193" s="12">
        <v>331</v>
      </c>
      <c r="J193" s="12">
        <v>1111</v>
      </c>
      <c r="K193" s="108" t="s">
        <v>20</v>
      </c>
      <c r="L193" s="108">
        <v>1</v>
      </c>
      <c r="M193" s="116">
        <v>42000</v>
      </c>
      <c r="N193" s="116">
        <f t="shared" si="10"/>
        <v>42000</v>
      </c>
      <c r="P193" s="108">
        <f t="shared" si="11"/>
        <v>126</v>
      </c>
    </row>
    <row r="194" spans="1:16" ht="15" hidden="1" customHeight="1" x14ac:dyDescent="0.2">
      <c r="A194" s="108" t="s">
        <v>310</v>
      </c>
      <c r="B194" s="117" t="s">
        <v>549</v>
      </c>
      <c r="C194" s="108">
        <f t="shared" si="8"/>
        <v>1441</v>
      </c>
      <c r="D194" s="38">
        <f t="shared" si="9"/>
        <v>1</v>
      </c>
      <c r="G194" s="113" t="s">
        <v>32</v>
      </c>
      <c r="H194" s="108" t="s">
        <v>1114</v>
      </c>
      <c r="I194" s="12">
        <v>331</v>
      </c>
      <c r="J194" s="12">
        <v>1111</v>
      </c>
      <c r="K194" s="108" t="s">
        <v>20</v>
      </c>
      <c r="L194" s="108">
        <v>1</v>
      </c>
      <c r="M194" s="116">
        <v>3306700</v>
      </c>
      <c r="N194" s="116">
        <f t="shared" si="10"/>
        <v>3306700</v>
      </c>
      <c r="P194" s="108">
        <f t="shared" si="11"/>
        <v>139</v>
      </c>
    </row>
    <row r="195" spans="1:16" ht="15" hidden="1" customHeight="1" x14ac:dyDescent="0.2">
      <c r="A195" s="108" t="s">
        <v>310</v>
      </c>
      <c r="B195" s="117" t="s">
        <v>549</v>
      </c>
      <c r="C195" s="108">
        <f t="shared" si="8"/>
        <v>1442</v>
      </c>
      <c r="D195" s="38">
        <f t="shared" si="9"/>
        <v>1</v>
      </c>
      <c r="G195" s="113" t="s">
        <v>23</v>
      </c>
      <c r="H195" s="108" t="s">
        <v>1115</v>
      </c>
      <c r="I195" s="12">
        <v>331</v>
      </c>
      <c r="J195" s="12">
        <v>1111</v>
      </c>
      <c r="K195" s="108" t="s">
        <v>20</v>
      </c>
      <c r="L195" s="108">
        <v>1</v>
      </c>
      <c r="M195" s="116">
        <v>173000</v>
      </c>
      <c r="N195" s="116">
        <f t="shared" si="10"/>
        <v>173000</v>
      </c>
      <c r="P195" s="108">
        <f t="shared" si="11"/>
        <v>160</v>
      </c>
    </row>
    <row r="196" spans="1:16" ht="15" hidden="1" customHeight="1" x14ac:dyDescent="0.2">
      <c r="A196" s="108" t="s">
        <v>310</v>
      </c>
      <c r="B196" s="117" t="s">
        <v>549</v>
      </c>
      <c r="C196" s="108">
        <f t="shared" ref="C196:C259" si="12">C195+D196</f>
        <v>1443</v>
      </c>
      <c r="D196" s="38">
        <f t="shared" ref="D196:D259" si="13">IF(H196=H195,0,1)</f>
        <v>1</v>
      </c>
      <c r="G196" s="113" t="s">
        <v>27</v>
      </c>
      <c r="H196" s="108" t="s">
        <v>1110</v>
      </c>
      <c r="I196" s="12">
        <v>331</v>
      </c>
      <c r="J196" s="12">
        <v>1111</v>
      </c>
      <c r="K196" s="108" t="s">
        <v>20</v>
      </c>
      <c r="L196" s="108">
        <v>1</v>
      </c>
      <c r="M196" s="116">
        <v>271080</v>
      </c>
      <c r="N196" s="116">
        <f t="shared" ref="N196:N259" si="14">M196*L196</f>
        <v>271080</v>
      </c>
      <c r="P196" s="108">
        <f t="shared" ref="P196:P259" si="15">LEN(H196)</f>
        <v>48</v>
      </c>
    </row>
    <row r="197" spans="1:16" ht="15" hidden="1" customHeight="1" x14ac:dyDescent="0.2">
      <c r="A197" s="108" t="s">
        <v>310</v>
      </c>
      <c r="B197" s="117" t="s">
        <v>550</v>
      </c>
      <c r="C197" s="108">
        <f t="shared" si="12"/>
        <v>1444</v>
      </c>
      <c r="D197" s="38">
        <f t="shared" si="13"/>
        <v>1</v>
      </c>
      <c r="G197" s="113" t="s">
        <v>24</v>
      </c>
      <c r="H197" s="108" t="s">
        <v>1116</v>
      </c>
      <c r="I197" s="12">
        <v>331</v>
      </c>
      <c r="J197" s="12">
        <v>1111</v>
      </c>
      <c r="K197" s="108" t="s">
        <v>20</v>
      </c>
      <c r="L197" s="108">
        <v>1</v>
      </c>
      <c r="M197" s="116">
        <v>115000</v>
      </c>
      <c r="N197" s="116">
        <f t="shared" si="14"/>
        <v>115000</v>
      </c>
      <c r="P197" s="108">
        <f t="shared" si="15"/>
        <v>169</v>
      </c>
    </row>
    <row r="198" spans="1:16" ht="15" hidden="1" customHeight="1" x14ac:dyDescent="0.2">
      <c r="A198" s="108" t="s">
        <v>310</v>
      </c>
      <c r="B198" s="117" t="s">
        <v>550</v>
      </c>
      <c r="C198" s="108">
        <f t="shared" si="12"/>
        <v>1445</v>
      </c>
      <c r="D198" s="38">
        <f t="shared" si="13"/>
        <v>1</v>
      </c>
      <c r="G198" s="113" t="s">
        <v>19</v>
      </c>
      <c r="H198" s="108" t="s">
        <v>1117</v>
      </c>
      <c r="I198" s="12">
        <v>331</v>
      </c>
      <c r="J198" s="12">
        <v>1111</v>
      </c>
      <c r="K198" s="108" t="s">
        <v>20</v>
      </c>
      <c r="L198" s="108">
        <v>1</v>
      </c>
      <c r="M198" s="116">
        <v>153000</v>
      </c>
      <c r="N198" s="116">
        <f t="shared" si="14"/>
        <v>153000</v>
      </c>
      <c r="P198" s="108">
        <f t="shared" si="15"/>
        <v>126</v>
      </c>
    </row>
    <row r="199" spans="1:16" ht="15" hidden="1" customHeight="1" x14ac:dyDescent="0.2">
      <c r="A199" s="108" t="s">
        <v>310</v>
      </c>
      <c r="B199" s="117" t="s">
        <v>550</v>
      </c>
      <c r="C199" s="108">
        <f t="shared" si="12"/>
        <v>1446</v>
      </c>
      <c r="D199" s="38">
        <f t="shared" si="13"/>
        <v>1</v>
      </c>
      <c r="G199" s="113" t="s">
        <v>272</v>
      </c>
      <c r="H199" s="108" t="s">
        <v>1118</v>
      </c>
      <c r="I199" s="12">
        <v>331</v>
      </c>
      <c r="J199" s="12">
        <v>1111</v>
      </c>
      <c r="K199" s="108" t="s">
        <v>20</v>
      </c>
      <c r="L199" s="108">
        <v>1</v>
      </c>
      <c r="M199" s="116">
        <v>4952745</v>
      </c>
      <c r="N199" s="116">
        <f t="shared" si="14"/>
        <v>4952745</v>
      </c>
      <c r="P199" s="108">
        <f t="shared" si="15"/>
        <v>153</v>
      </c>
    </row>
    <row r="200" spans="1:16" ht="15" hidden="1" customHeight="1" x14ac:dyDescent="0.2">
      <c r="A200" s="108" t="s">
        <v>310</v>
      </c>
      <c r="B200" s="117" t="s">
        <v>479</v>
      </c>
      <c r="C200" s="108">
        <f t="shared" si="12"/>
        <v>1447</v>
      </c>
      <c r="D200" s="38">
        <f t="shared" si="13"/>
        <v>1</v>
      </c>
      <c r="G200" s="113" t="s">
        <v>19</v>
      </c>
      <c r="H200" s="108" t="s">
        <v>1123</v>
      </c>
      <c r="I200" s="12">
        <v>331</v>
      </c>
      <c r="J200" s="12">
        <v>1111</v>
      </c>
      <c r="K200" s="108" t="s">
        <v>20</v>
      </c>
      <c r="L200" s="108">
        <v>1</v>
      </c>
      <c r="M200" s="116">
        <v>42000</v>
      </c>
      <c r="N200" s="116">
        <f t="shared" si="14"/>
        <v>42000</v>
      </c>
      <c r="P200" s="108">
        <f t="shared" si="15"/>
        <v>126</v>
      </c>
    </row>
    <row r="201" spans="1:16" ht="15" hidden="1" customHeight="1" x14ac:dyDescent="0.2">
      <c r="A201" s="108" t="s">
        <v>310</v>
      </c>
      <c r="B201" s="117" t="s">
        <v>479</v>
      </c>
      <c r="C201" s="108">
        <f t="shared" si="12"/>
        <v>1448</v>
      </c>
      <c r="D201" s="38">
        <f t="shared" si="13"/>
        <v>1</v>
      </c>
      <c r="G201" s="113" t="s">
        <v>19</v>
      </c>
      <c r="H201" s="108" t="s">
        <v>1122</v>
      </c>
      <c r="I201" s="12">
        <v>331</v>
      </c>
      <c r="J201" s="12">
        <v>1111</v>
      </c>
      <c r="K201" s="108" t="s">
        <v>20</v>
      </c>
      <c r="L201" s="108">
        <v>1</v>
      </c>
      <c r="M201" s="116">
        <v>57000</v>
      </c>
      <c r="N201" s="116">
        <f t="shared" si="14"/>
        <v>57000</v>
      </c>
      <c r="P201" s="108">
        <f t="shared" si="15"/>
        <v>126</v>
      </c>
    </row>
    <row r="202" spans="1:16" ht="15" hidden="1" customHeight="1" x14ac:dyDescent="0.2">
      <c r="A202" s="108" t="s">
        <v>310</v>
      </c>
      <c r="B202" s="117" t="s">
        <v>479</v>
      </c>
      <c r="C202" s="108">
        <f t="shared" si="12"/>
        <v>1449</v>
      </c>
      <c r="D202" s="38">
        <f t="shared" si="13"/>
        <v>1</v>
      </c>
      <c r="G202" s="113" t="s">
        <v>19</v>
      </c>
      <c r="H202" s="108" t="s">
        <v>1121</v>
      </c>
      <c r="I202" s="12">
        <v>331</v>
      </c>
      <c r="J202" s="12">
        <v>1111</v>
      </c>
      <c r="K202" s="108" t="s">
        <v>20</v>
      </c>
      <c r="L202" s="108">
        <v>1</v>
      </c>
      <c r="M202" s="116">
        <v>78000</v>
      </c>
      <c r="N202" s="116">
        <f t="shared" si="14"/>
        <v>78000</v>
      </c>
      <c r="P202" s="108">
        <f t="shared" si="15"/>
        <v>126</v>
      </c>
    </row>
    <row r="203" spans="1:16" ht="15" hidden="1" customHeight="1" x14ac:dyDescent="0.2">
      <c r="A203" s="108" t="s">
        <v>310</v>
      </c>
      <c r="B203" s="117" t="s">
        <v>479</v>
      </c>
      <c r="C203" s="108">
        <f t="shared" si="12"/>
        <v>1450</v>
      </c>
      <c r="D203" s="38">
        <f t="shared" si="13"/>
        <v>1</v>
      </c>
      <c r="G203" s="113" t="s">
        <v>19</v>
      </c>
      <c r="H203" s="108" t="s">
        <v>1120</v>
      </c>
      <c r="I203" s="12">
        <v>331</v>
      </c>
      <c r="J203" s="12">
        <v>1111</v>
      </c>
      <c r="K203" s="108" t="s">
        <v>20</v>
      </c>
      <c r="L203" s="108">
        <v>1</v>
      </c>
      <c r="M203" s="116">
        <v>36000</v>
      </c>
      <c r="N203" s="116">
        <f t="shared" si="14"/>
        <v>36000</v>
      </c>
      <c r="P203" s="108">
        <f t="shared" si="15"/>
        <v>126</v>
      </c>
    </row>
    <row r="204" spans="1:16" ht="15" hidden="1" customHeight="1" x14ac:dyDescent="0.2">
      <c r="A204" s="108" t="s">
        <v>310</v>
      </c>
      <c r="B204" s="117" t="s">
        <v>479</v>
      </c>
      <c r="C204" s="108">
        <f t="shared" si="12"/>
        <v>1451</v>
      </c>
      <c r="D204" s="38">
        <f t="shared" si="13"/>
        <v>1</v>
      </c>
      <c r="G204" s="113" t="s">
        <v>19</v>
      </c>
      <c r="H204" s="108" t="s">
        <v>1119</v>
      </c>
      <c r="I204" s="12">
        <v>331</v>
      </c>
      <c r="J204" s="12">
        <v>1111</v>
      </c>
      <c r="K204" s="108" t="s">
        <v>20</v>
      </c>
      <c r="L204" s="108">
        <v>1</v>
      </c>
      <c r="M204" s="116">
        <v>208000</v>
      </c>
      <c r="N204" s="116">
        <f t="shared" si="14"/>
        <v>208000</v>
      </c>
      <c r="P204" s="108">
        <f t="shared" si="15"/>
        <v>126</v>
      </c>
    </row>
    <row r="205" spans="1:16" ht="15" hidden="1" customHeight="1" x14ac:dyDescent="0.2">
      <c r="A205" s="108" t="s">
        <v>310</v>
      </c>
      <c r="B205" s="117" t="s">
        <v>479</v>
      </c>
      <c r="C205" s="108">
        <f t="shared" si="12"/>
        <v>1452</v>
      </c>
      <c r="D205" s="38">
        <f t="shared" si="13"/>
        <v>1</v>
      </c>
      <c r="G205" s="113" t="s">
        <v>23</v>
      </c>
      <c r="H205" s="108" t="s">
        <v>1124</v>
      </c>
      <c r="I205" s="12">
        <v>331</v>
      </c>
      <c r="J205" s="12">
        <v>1111</v>
      </c>
      <c r="K205" s="108" t="s">
        <v>20</v>
      </c>
      <c r="L205" s="108">
        <v>1</v>
      </c>
      <c r="M205" s="116">
        <v>148000</v>
      </c>
      <c r="N205" s="116">
        <f t="shared" si="14"/>
        <v>148000</v>
      </c>
      <c r="P205" s="108">
        <f t="shared" si="15"/>
        <v>143</v>
      </c>
    </row>
    <row r="206" spans="1:16" ht="15" hidden="1" customHeight="1" x14ac:dyDescent="0.2">
      <c r="A206" s="108" t="s">
        <v>310</v>
      </c>
      <c r="B206" s="117" t="s">
        <v>479</v>
      </c>
      <c r="C206" s="108">
        <f t="shared" si="12"/>
        <v>1453</v>
      </c>
      <c r="D206" s="38">
        <f t="shared" si="13"/>
        <v>1</v>
      </c>
      <c r="G206" s="113" t="s">
        <v>23</v>
      </c>
      <c r="H206" s="108" t="s">
        <v>1125</v>
      </c>
      <c r="I206" s="12">
        <v>331</v>
      </c>
      <c r="J206" s="12">
        <v>1111</v>
      </c>
      <c r="K206" s="108" t="s">
        <v>20</v>
      </c>
      <c r="L206" s="108">
        <v>1</v>
      </c>
      <c r="M206" s="116">
        <v>193000</v>
      </c>
      <c r="N206" s="116">
        <f t="shared" si="14"/>
        <v>193000</v>
      </c>
      <c r="P206" s="108">
        <f t="shared" si="15"/>
        <v>160</v>
      </c>
    </row>
    <row r="207" spans="1:16" ht="15" hidden="1" customHeight="1" x14ac:dyDescent="0.2">
      <c r="A207" s="108" t="s">
        <v>310</v>
      </c>
      <c r="B207" s="117" t="s">
        <v>479</v>
      </c>
      <c r="C207" s="108">
        <f t="shared" si="12"/>
        <v>1454</v>
      </c>
      <c r="D207" s="38">
        <f t="shared" si="13"/>
        <v>1</v>
      </c>
      <c r="G207" s="113" t="s">
        <v>1126</v>
      </c>
      <c r="H207" s="108" t="s">
        <v>3698</v>
      </c>
      <c r="I207" s="12">
        <v>331</v>
      </c>
      <c r="J207" s="12">
        <v>1111</v>
      </c>
      <c r="K207" s="108" t="s">
        <v>20</v>
      </c>
      <c r="L207" s="108">
        <v>1</v>
      </c>
      <c r="M207" s="116">
        <v>2087274</v>
      </c>
      <c r="N207" s="116">
        <f t="shared" si="14"/>
        <v>2087274</v>
      </c>
      <c r="P207" s="108">
        <f t="shared" si="15"/>
        <v>52</v>
      </c>
    </row>
    <row r="208" spans="1:16" ht="15" hidden="1" customHeight="1" x14ac:dyDescent="0.2">
      <c r="A208" s="108" t="s">
        <v>310</v>
      </c>
      <c r="B208" s="117" t="s">
        <v>479</v>
      </c>
      <c r="C208" s="108">
        <f t="shared" si="12"/>
        <v>1455</v>
      </c>
      <c r="D208" s="38">
        <f t="shared" si="13"/>
        <v>1</v>
      </c>
      <c r="G208" s="113" t="s">
        <v>37</v>
      </c>
      <c r="H208" s="108" t="s">
        <v>3696</v>
      </c>
      <c r="I208" s="12">
        <v>331</v>
      </c>
      <c r="J208" s="12">
        <v>1111</v>
      </c>
      <c r="K208" s="108" t="s">
        <v>20</v>
      </c>
      <c r="L208" s="108">
        <v>1</v>
      </c>
      <c r="M208" s="116">
        <v>1250200</v>
      </c>
      <c r="N208" s="116">
        <f t="shared" si="14"/>
        <v>1250200</v>
      </c>
      <c r="P208" s="108">
        <f t="shared" si="15"/>
        <v>54</v>
      </c>
    </row>
    <row r="209" spans="1:16" ht="15" hidden="1" customHeight="1" x14ac:dyDescent="0.2">
      <c r="A209" s="108" t="s">
        <v>310</v>
      </c>
      <c r="B209" s="117" t="s">
        <v>552</v>
      </c>
      <c r="C209" s="108">
        <f t="shared" si="12"/>
        <v>1456</v>
      </c>
      <c r="D209" s="38">
        <f t="shared" si="13"/>
        <v>1</v>
      </c>
      <c r="G209" s="113" t="s">
        <v>19</v>
      </c>
      <c r="H209" s="108" t="s">
        <v>1128</v>
      </c>
      <c r="I209" s="12">
        <v>331</v>
      </c>
      <c r="J209" s="12">
        <v>1111</v>
      </c>
      <c r="K209" s="108" t="s">
        <v>20</v>
      </c>
      <c r="L209" s="108">
        <v>1</v>
      </c>
      <c r="M209" s="116">
        <v>57000</v>
      </c>
      <c r="N209" s="116">
        <f t="shared" si="14"/>
        <v>57000</v>
      </c>
      <c r="P209" s="108">
        <f t="shared" si="15"/>
        <v>126</v>
      </c>
    </row>
    <row r="210" spans="1:16" ht="15" hidden="1" customHeight="1" x14ac:dyDescent="0.2">
      <c r="A210" s="108" t="s">
        <v>310</v>
      </c>
      <c r="B210" s="117" t="s">
        <v>552</v>
      </c>
      <c r="C210" s="108">
        <f t="shared" si="12"/>
        <v>1457</v>
      </c>
      <c r="D210" s="38">
        <f t="shared" si="13"/>
        <v>1</v>
      </c>
      <c r="G210" s="113" t="s">
        <v>19</v>
      </c>
      <c r="H210" s="108" t="s">
        <v>1127</v>
      </c>
      <c r="I210" s="12">
        <v>331</v>
      </c>
      <c r="J210" s="12">
        <v>1111</v>
      </c>
      <c r="K210" s="108" t="s">
        <v>20</v>
      </c>
      <c r="L210" s="108">
        <v>1</v>
      </c>
      <c r="M210" s="116">
        <v>101000</v>
      </c>
      <c r="N210" s="116">
        <f t="shared" si="14"/>
        <v>101000</v>
      </c>
      <c r="P210" s="108">
        <f t="shared" si="15"/>
        <v>126</v>
      </c>
    </row>
    <row r="211" spans="1:16" ht="15" hidden="1" customHeight="1" x14ac:dyDescent="0.2">
      <c r="A211" s="108" t="s">
        <v>310</v>
      </c>
      <c r="B211" s="117" t="s">
        <v>552</v>
      </c>
      <c r="C211" s="108">
        <f t="shared" si="12"/>
        <v>1458</v>
      </c>
      <c r="D211" s="38">
        <f t="shared" si="13"/>
        <v>1</v>
      </c>
      <c r="G211" s="113" t="s">
        <v>37</v>
      </c>
      <c r="H211" s="108" t="s">
        <v>3702</v>
      </c>
      <c r="I211" s="12">
        <v>331</v>
      </c>
      <c r="J211" s="12">
        <v>1111</v>
      </c>
      <c r="K211" s="108" t="s">
        <v>20</v>
      </c>
      <c r="L211" s="108">
        <v>1</v>
      </c>
      <c r="M211" s="116">
        <v>1115000</v>
      </c>
      <c r="N211" s="116">
        <f t="shared" si="14"/>
        <v>1115000</v>
      </c>
      <c r="P211" s="108">
        <f t="shared" si="15"/>
        <v>54</v>
      </c>
    </row>
    <row r="212" spans="1:16" ht="15" hidden="1" customHeight="1" x14ac:dyDescent="0.2">
      <c r="A212" s="108" t="s">
        <v>310</v>
      </c>
      <c r="B212" s="117" t="s">
        <v>552</v>
      </c>
      <c r="C212" s="108">
        <f t="shared" si="12"/>
        <v>1459</v>
      </c>
      <c r="D212" s="38">
        <f t="shared" si="13"/>
        <v>1</v>
      </c>
      <c r="G212" s="113" t="s">
        <v>25</v>
      </c>
      <c r="H212" s="108" t="s">
        <v>3700</v>
      </c>
      <c r="I212" s="12">
        <v>331</v>
      </c>
      <c r="J212" s="12">
        <v>1111</v>
      </c>
      <c r="K212" s="108" t="s">
        <v>20</v>
      </c>
      <c r="L212" s="108">
        <v>1</v>
      </c>
      <c r="M212" s="116">
        <v>2462820</v>
      </c>
      <c r="N212" s="116">
        <f t="shared" si="14"/>
        <v>2462820</v>
      </c>
      <c r="P212" s="108">
        <f t="shared" si="15"/>
        <v>54</v>
      </c>
    </row>
    <row r="213" spans="1:16" ht="15" hidden="1" customHeight="1" x14ac:dyDescent="0.2">
      <c r="A213" s="108" t="s">
        <v>310</v>
      </c>
      <c r="B213" s="117" t="s">
        <v>553</v>
      </c>
      <c r="C213" s="108">
        <f t="shared" si="12"/>
        <v>1460</v>
      </c>
      <c r="D213" s="38">
        <f t="shared" si="13"/>
        <v>1</v>
      </c>
      <c r="G213" s="113" t="s">
        <v>24</v>
      </c>
      <c r="H213" s="108" t="s">
        <v>1130</v>
      </c>
      <c r="I213" s="12">
        <v>331</v>
      </c>
      <c r="J213" s="12">
        <v>1111</v>
      </c>
      <c r="K213" s="108" t="s">
        <v>20</v>
      </c>
      <c r="L213" s="108">
        <v>1</v>
      </c>
      <c r="M213" s="116">
        <v>58000</v>
      </c>
      <c r="N213" s="116">
        <f t="shared" si="14"/>
        <v>58000</v>
      </c>
      <c r="P213" s="108">
        <f t="shared" si="15"/>
        <v>169</v>
      </c>
    </row>
    <row r="214" spans="1:16" ht="15" hidden="1" customHeight="1" x14ac:dyDescent="0.2">
      <c r="A214" s="108" t="s">
        <v>310</v>
      </c>
      <c r="B214" s="117" t="s">
        <v>553</v>
      </c>
      <c r="C214" s="108">
        <f t="shared" si="12"/>
        <v>1461</v>
      </c>
      <c r="D214" s="38">
        <f t="shared" si="13"/>
        <v>1</v>
      </c>
      <c r="G214" s="113" t="s">
        <v>23</v>
      </c>
      <c r="H214" s="108" t="s">
        <v>1131</v>
      </c>
      <c r="I214" s="12">
        <v>331</v>
      </c>
      <c r="J214" s="12">
        <v>1111</v>
      </c>
      <c r="K214" s="108" t="s">
        <v>20</v>
      </c>
      <c r="L214" s="108">
        <v>1</v>
      </c>
      <c r="M214" s="116">
        <v>240000</v>
      </c>
      <c r="N214" s="116">
        <f t="shared" si="14"/>
        <v>240000</v>
      </c>
      <c r="P214" s="108">
        <f t="shared" si="15"/>
        <v>179</v>
      </c>
    </row>
    <row r="215" spans="1:16" ht="15" hidden="1" customHeight="1" x14ac:dyDescent="0.2">
      <c r="A215" s="108" t="s">
        <v>310</v>
      </c>
      <c r="B215" s="117" t="s">
        <v>553</v>
      </c>
      <c r="C215" s="108">
        <f t="shared" si="12"/>
        <v>1462</v>
      </c>
      <c r="D215" s="38">
        <f t="shared" si="13"/>
        <v>1</v>
      </c>
      <c r="G215" s="113" t="s">
        <v>35</v>
      </c>
      <c r="H215" s="108" t="s">
        <v>1129</v>
      </c>
      <c r="I215" s="12">
        <v>331</v>
      </c>
      <c r="J215" s="12">
        <v>1111</v>
      </c>
      <c r="K215" s="108" t="s">
        <v>20</v>
      </c>
      <c r="L215" s="108">
        <v>1</v>
      </c>
      <c r="M215" s="116">
        <v>3240000</v>
      </c>
      <c r="N215" s="116">
        <f t="shared" si="14"/>
        <v>3240000</v>
      </c>
      <c r="P215" s="108">
        <f t="shared" si="15"/>
        <v>41</v>
      </c>
    </row>
    <row r="216" spans="1:16" ht="15" hidden="1" customHeight="1" x14ac:dyDescent="0.2">
      <c r="A216" s="108" t="s">
        <v>310</v>
      </c>
      <c r="B216" s="117" t="s">
        <v>554</v>
      </c>
      <c r="C216" s="108">
        <f t="shared" si="12"/>
        <v>1463</v>
      </c>
      <c r="D216" s="38">
        <f t="shared" si="13"/>
        <v>1</v>
      </c>
      <c r="G216" s="113" t="s">
        <v>1139</v>
      </c>
      <c r="H216" s="108" t="s">
        <v>1140</v>
      </c>
      <c r="I216" s="12">
        <v>331</v>
      </c>
      <c r="J216" s="12">
        <v>1111</v>
      </c>
      <c r="K216" s="108" t="s">
        <v>20</v>
      </c>
      <c r="L216" s="108">
        <v>1</v>
      </c>
      <c r="M216" s="116">
        <v>138000</v>
      </c>
      <c r="N216" s="116">
        <f t="shared" si="14"/>
        <v>138000</v>
      </c>
      <c r="P216" s="108">
        <f t="shared" si="15"/>
        <v>22</v>
      </c>
    </row>
    <row r="217" spans="1:16" ht="15" hidden="1" customHeight="1" x14ac:dyDescent="0.2">
      <c r="A217" s="108" t="s">
        <v>310</v>
      </c>
      <c r="B217" s="117" t="s">
        <v>554</v>
      </c>
      <c r="C217" s="108">
        <f t="shared" si="12"/>
        <v>1464</v>
      </c>
      <c r="D217" s="38">
        <f t="shared" si="13"/>
        <v>1</v>
      </c>
      <c r="G217" s="113" t="s">
        <v>24</v>
      </c>
      <c r="H217" s="108" t="s">
        <v>1135</v>
      </c>
      <c r="I217" s="12">
        <v>331</v>
      </c>
      <c r="J217" s="12">
        <v>1111</v>
      </c>
      <c r="K217" s="108" t="s">
        <v>20</v>
      </c>
      <c r="L217" s="108">
        <v>1</v>
      </c>
      <c r="M217" s="116">
        <v>112000</v>
      </c>
      <c r="N217" s="116">
        <f t="shared" si="14"/>
        <v>112000</v>
      </c>
      <c r="P217" s="108">
        <f t="shared" si="15"/>
        <v>169</v>
      </c>
    </row>
    <row r="218" spans="1:16" ht="15" hidden="1" customHeight="1" x14ac:dyDescent="0.2">
      <c r="A218" s="108" t="s">
        <v>310</v>
      </c>
      <c r="B218" s="117" t="s">
        <v>554</v>
      </c>
      <c r="C218" s="108">
        <f t="shared" si="12"/>
        <v>1465</v>
      </c>
      <c r="D218" s="38">
        <f t="shared" si="13"/>
        <v>1</v>
      </c>
      <c r="G218" s="113" t="s">
        <v>19</v>
      </c>
      <c r="H218" s="108" t="s">
        <v>1137</v>
      </c>
      <c r="I218" s="12">
        <v>331</v>
      </c>
      <c r="J218" s="12">
        <v>1111</v>
      </c>
      <c r="K218" s="108" t="s">
        <v>20</v>
      </c>
      <c r="L218" s="108">
        <v>1</v>
      </c>
      <c r="M218" s="116">
        <v>28000</v>
      </c>
      <c r="N218" s="116">
        <f t="shared" si="14"/>
        <v>28000</v>
      </c>
      <c r="P218" s="108">
        <f t="shared" si="15"/>
        <v>126</v>
      </c>
    </row>
    <row r="219" spans="1:16" ht="15" hidden="1" customHeight="1" x14ac:dyDescent="0.2">
      <c r="A219" s="108" t="s">
        <v>310</v>
      </c>
      <c r="B219" s="117" t="s">
        <v>554</v>
      </c>
      <c r="C219" s="108">
        <f t="shared" si="12"/>
        <v>1466</v>
      </c>
      <c r="D219" s="38">
        <f t="shared" si="13"/>
        <v>1</v>
      </c>
      <c r="G219" s="113" t="s">
        <v>19</v>
      </c>
      <c r="H219" s="108" t="s">
        <v>1136</v>
      </c>
      <c r="I219" s="12">
        <v>331</v>
      </c>
      <c r="J219" s="12">
        <v>1111</v>
      </c>
      <c r="K219" s="108" t="s">
        <v>20</v>
      </c>
      <c r="L219" s="108">
        <v>1</v>
      </c>
      <c r="M219" s="116">
        <v>45000</v>
      </c>
      <c r="N219" s="116">
        <f t="shared" si="14"/>
        <v>45000</v>
      </c>
      <c r="P219" s="108">
        <f t="shared" si="15"/>
        <v>126</v>
      </c>
    </row>
    <row r="220" spans="1:16" ht="15" hidden="1" customHeight="1" x14ac:dyDescent="0.2">
      <c r="A220" s="108" t="s">
        <v>310</v>
      </c>
      <c r="B220" s="117" t="s">
        <v>554</v>
      </c>
      <c r="C220" s="108">
        <f t="shared" si="12"/>
        <v>1467</v>
      </c>
      <c r="D220" s="38">
        <f t="shared" si="13"/>
        <v>1</v>
      </c>
      <c r="G220" s="113" t="s">
        <v>1132</v>
      </c>
      <c r="H220" s="108" t="s">
        <v>1133</v>
      </c>
      <c r="I220" s="12">
        <v>331</v>
      </c>
      <c r="J220" s="12">
        <v>1111</v>
      </c>
      <c r="K220" s="108" t="s">
        <v>20</v>
      </c>
      <c r="L220" s="108">
        <v>1</v>
      </c>
      <c r="M220" s="116">
        <v>164000</v>
      </c>
      <c r="N220" s="116">
        <f t="shared" si="14"/>
        <v>164000</v>
      </c>
      <c r="P220" s="108">
        <f t="shared" si="15"/>
        <v>106</v>
      </c>
    </row>
    <row r="221" spans="1:16" ht="15" hidden="1" customHeight="1" x14ac:dyDescent="0.2">
      <c r="A221" s="108" t="s">
        <v>310</v>
      </c>
      <c r="B221" s="117" t="s">
        <v>554</v>
      </c>
      <c r="C221" s="108">
        <f t="shared" si="12"/>
        <v>1468</v>
      </c>
      <c r="D221" s="38">
        <f t="shared" si="13"/>
        <v>1</v>
      </c>
      <c r="G221" s="113" t="s">
        <v>23</v>
      </c>
      <c r="H221" s="108" t="s">
        <v>1138</v>
      </c>
      <c r="I221" s="12">
        <v>331</v>
      </c>
      <c r="J221" s="12">
        <v>1111</v>
      </c>
      <c r="K221" s="108" t="s">
        <v>20</v>
      </c>
      <c r="L221" s="108">
        <v>1</v>
      </c>
      <c r="M221" s="116">
        <v>173000</v>
      </c>
      <c r="N221" s="116">
        <f t="shared" si="14"/>
        <v>173000</v>
      </c>
      <c r="P221" s="108">
        <f t="shared" si="15"/>
        <v>161</v>
      </c>
    </row>
    <row r="222" spans="1:16" ht="15" hidden="1" customHeight="1" x14ac:dyDescent="0.2">
      <c r="A222" s="108" t="s">
        <v>310</v>
      </c>
      <c r="B222" s="117" t="s">
        <v>554</v>
      </c>
      <c r="C222" s="108">
        <f t="shared" si="12"/>
        <v>1469</v>
      </c>
      <c r="D222" s="38">
        <f t="shared" si="13"/>
        <v>1</v>
      </c>
      <c r="G222" s="113" t="s">
        <v>27</v>
      </c>
      <c r="H222" s="108" t="s">
        <v>1134</v>
      </c>
      <c r="I222" s="12">
        <v>331</v>
      </c>
      <c r="J222" s="12">
        <v>1111</v>
      </c>
      <c r="K222" s="108" t="s">
        <v>20</v>
      </c>
      <c r="L222" s="108">
        <v>1</v>
      </c>
      <c r="M222" s="116">
        <v>166320</v>
      </c>
      <c r="N222" s="116">
        <f t="shared" si="14"/>
        <v>166320</v>
      </c>
      <c r="P222" s="108">
        <f t="shared" si="15"/>
        <v>48</v>
      </c>
    </row>
    <row r="223" spans="1:16" ht="15" hidden="1" customHeight="1" x14ac:dyDescent="0.2">
      <c r="A223" s="108" t="s">
        <v>310</v>
      </c>
      <c r="B223" s="117" t="s">
        <v>661</v>
      </c>
      <c r="C223" s="108">
        <f t="shared" si="12"/>
        <v>1470</v>
      </c>
      <c r="D223" s="38">
        <f t="shared" si="13"/>
        <v>1</v>
      </c>
      <c r="G223" s="113" t="s">
        <v>19</v>
      </c>
      <c r="H223" s="108" t="s">
        <v>1146</v>
      </c>
      <c r="I223" s="12">
        <v>331</v>
      </c>
      <c r="J223" s="12">
        <v>1111</v>
      </c>
      <c r="K223" s="108" t="s">
        <v>20</v>
      </c>
      <c r="L223" s="108">
        <v>1</v>
      </c>
      <c r="M223" s="116">
        <v>76000</v>
      </c>
      <c r="N223" s="116">
        <f t="shared" si="14"/>
        <v>76000</v>
      </c>
      <c r="P223" s="108">
        <f t="shared" si="15"/>
        <v>126</v>
      </c>
    </row>
    <row r="224" spans="1:16" ht="15" hidden="1" customHeight="1" x14ac:dyDescent="0.2">
      <c r="A224" s="108" t="s">
        <v>310</v>
      </c>
      <c r="B224" s="117" t="s">
        <v>661</v>
      </c>
      <c r="C224" s="108">
        <f t="shared" si="12"/>
        <v>1471</v>
      </c>
      <c r="D224" s="38">
        <f t="shared" si="13"/>
        <v>1</v>
      </c>
      <c r="G224" s="113" t="s">
        <v>19</v>
      </c>
      <c r="H224" s="108" t="s">
        <v>1145</v>
      </c>
      <c r="I224" s="12">
        <v>331</v>
      </c>
      <c r="J224" s="12">
        <v>1111</v>
      </c>
      <c r="K224" s="108" t="s">
        <v>20</v>
      </c>
      <c r="L224" s="108">
        <v>1</v>
      </c>
      <c r="M224" s="116">
        <v>108000</v>
      </c>
      <c r="N224" s="116">
        <f t="shared" si="14"/>
        <v>108000</v>
      </c>
      <c r="P224" s="108">
        <f t="shared" si="15"/>
        <v>126</v>
      </c>
    </row>
    <row r="225" spans="1:16" ht="15" hidden="1" customHeight="1" x14ac:dyDescent="0.2">
      <c r="A225" s="108" t="s">
        <v>310</v>
      </c>
      <c r="B225" s="117" t="s">
        <v>661</v>
      </c>
      <c r="C225" s="108">
        <f t="shared" si="12"/>
        <v>1472</v>
      </c>
      <c r="D225" s="38">
        <f t="shared" si="13"/>
        <v>1</v>
      </c>
      <c r="G225" s="113" t="s">
        <v>19</v>
      </c>
      <c r="H225" s="108" t="s">
        <v>1144</v>
      </c>
      <c r="I225" s="12">
        <v>331</v>
      </c>
      <c r="J225" s="12">
        <v>1111</v>
      </c>
      <c r="K225" s="108" t="s">
        <v>20</v>
      </c>
      <c r="L225" s="108">
        <v>1</v>
      </c>
      <c r="M225" s="116">
        <v>105000</v>
      </c>
      <c r="N225" s="116">
        <f t="shared" si="14"/>
        <v>105000</v>
      </c>
      <c r="P225" s="108">
        <f t="shared" si="15"/>
        <v>126</v>
      </c>
    </row>
    <row r="226" spans="1:16" ht="15" hidden="1" customHeight="1" x14ac:dyDescent="0.2">
      <c r="A226" s="108" t="s">
        <v>310</v>
      </c>
      <c r="B226" s="117" t="s">
        <v>661</v>
      </c>
      <c r="C226" s="108">
        <f t="shared" si="12"/>
        <v>1473</v>
      </c>
      <c r="D226" s="38">
        <f t="shared" si="13"/>
        <v>1</v>
      </c>
      <c r="G226" s="113" t="s">
        <v>19</v>
      </c>
      <c r="H226" s="108" t="s">
        <v>1143</v>
      </c>
      <c r="I226" s="12">
        <v>331</v>
      </c>
      <c r="J226" s="12">
        <v>1111</v>
      </c>
      <c r="K226" s="108" t="s">
        <v>20</v>
      </c>
      <c r="L226" s="108">
        <v>1</v>
      </c>
      <c r="M226" s="116">
        <v>37000</v>
      </c>
      <c r="N226" s="116">
        <f t="shared" si="14"/>
        <v>37000</v>
      </c>
      <c r="P226" s="108">
        <f t="shared" si="15"/>
        <v>126</v>
      </c>
    </row>
    <row r="227" spans="1:16" ht="15" hidden="1" customHeight="1" x14ac:dyDescent="0.2">
      <c r="A227" s="108" t="s">
        <v>310</v>
      </c>
      <c r="B227" s="117" t="s">
        <v>661</v>
      </c>
      <c r="C227" s="108">
        <f t="shared" si="12"/>
        <v>1474</v>
      </c>
      <c r="D227" s="38">
        <f t="shared" si="13"/>
        <v>1</v>
      </c>
      <c r="G227" s="113" t="s">
        <v>19</v>
      </c>
      <c r="H227" s="108" t="s">
        <v>1142</v>
      </c>
      <c r="I227" s="12">
        <v>331</v>
      </c>
      <c r="J227" s="12">
        <v>1111</v>
      </c>
      <c r="K227" s="108" t="s">
        <v>20</v>
      </c>
      <c r="L227" s="108">
        <v>1</v>
      </c>
      <c r="M227" s="116">
        <v>67000</v>
      </c>
      <c r="N227" s="116">
        <f t="shared" si="14"/>
        <v>67000</v>
      </c>
      <c r="P227" s="108">
        <f t="shared" si="15"/>
        <v>126</v>
      </c>
    </row>
    <row r="228" spans="1:16" ht="15" hidden="1" customHeight="1" x14ac:dyDescent="0.2">
      <c r="A228" s="108" t="s">
        <v>310</v>
      </c>
      <c r="B228" s="117" t="s">
        <v>661</v>
      </c>
      <c r="C228" s="108">
        <f t="shared" si="12"/>
        <v>1475</v>
      </c>
      <c r="D228" s="38">
        <f t="shared" si="13"/>
        <v>1</v>
      </c>
      <c r="G228" s="113" t="s">
        <v>19</v>
      </c>
      <c r="H228" s="108" t="s">
        <v>1141</v>
      </c>
      <c r="I228" s="12">
        <v>331</v>
      </c>
      <c r="J228" s="12">
        <v>1111</v>
      </c>
      <c r="K228" s="108" t="s">
        <v>20</v>
      </c>
      <c r="L228" s="108">
        <v>1</v>
      </c>
      <c r="M228" s="116">
        <v>138000</v>
      </c>
      <c r="N228" s="116">
        <f t="shared" si="14"/>
        <v>138000</v>
      </c>
      <c r="P228" s="108">
        <f t="shared" si="15"/>
        <v>126</v>
      </c>
    </row>
    <row r="229" spans="1:16" ht="15" hidden="1" customHeight="1" x14ac:dyDescent="0.2">
      <c r="A229" s="108" t="s">
        <v>310</v>
      </c>
      <c r="B229" s="117" t="s">
        <v>661</v>
      </c>
      <c r="C229" s="108">
        <f t="shared" si="12"/>
        <v>1476</v>
      </c>
      <c r="D229" s="38">
        <f t="shared" si="13"/>
        <v>1</v>
      </c>
      <c r="G229" s="113" t="s">
        <v>23</v>
      </c>
      <c r="H229" s="108" t="s">
        <v>1147</v>
      </c>
      <c r="I229" s="12">
        <v>331</v>
      </c>
      <c r="J229" s="12">
        <v>1111</v>
      </c>
      <c r="K229" s="108" t="s">
        <v>20</v>
      </c>
      <c r="L229" s="108">
        <v>1</v>
      </c>
      <c r="M229" s="116">
        <v>94000</v>
      </c>
      <c r="N229" s="116">
        <f t="shared" si="14"/>
        <v>94000</v>
      </c>
      <c r="P229" s="108">
        <f t="shared" si="15"/>
        <v>123</v>
      </c>
    </row>
    <row r="230" spans="1:16" ht="15" hidden="1" customHeight="1" x14ac:dyDescent="0.2">
      <c r="A230" s="108" t="s">
        <v>310</v>
      </c>
      <c r="B230" s="117" t="s">
        <v>661</v>
      </c>
      <c r="C230" s="108">
        <f t="shared" si="12"/>
        <v>1477</v>
      </c>
      <c r="D230" s="38">
        <f t="shared" si="13"/>
        <v>1</v>
      </c>
      <c r="G230" s="113" t="s">
        <v>1148</v>
      </c>
      <c r="H230" s="108" t="s">
        <v>3704</v>
      </c>
      <c r="I230" s="12">
        <v>331</v>
      </c>
      <c r="J230" s="12">
        <v>1111</v>
      </c>
      <c r="K230" s="108" t="s">
        <v>20</v>
      </c>
      <c r="L230" s="108">
        <v>1</v>
      </c>
      <c r="M230" s="116">
        <v>1177205</v>
      </c>
      <c r="N230" s="116">
        <f t="shared" si="14"/>
        <v>1177205</v>
      </c>
      <c r="P230" s="108">
        <f t="shared" si="15"/>
        <v>52</v>
      </c>
    </row>
    <row r="231" spans="1:16" ht="15" hidden="1" customHeight="1" x14ac:dyDescent="0.2">
      <c r="A231" s="108" t="s">
        <v>310</v>
      </c>
      <c r="B231" s="117" t="s">
        <v>947</v>
      </c>
      <c r="C231" s="108">
        <f t="shared" si="12"/>
        <v>1478</v>
      </c>
      <c r="D231" s="38">
        <f t="shared" si="13"/>
        <v>1</v>
      </c>
      <c r="G231" s="113" t="s">
        <v>19</v>
      </c>
      <c r="H231" s="108" t="s">
        <v>1152</v>
      </c>
      <c r="I231" s="12">
        <v>331</v>
      </c>
      <c r="J231" s="12">
        <v>1111</v>
      </c>
      <c r="K231" s="108" t="s">
        <v>20</v>
      </c>
      <c r="L231" s="108">
        <v>1</v>
      </c>
      <c r="M231" s="116">
        <v>88000</v>
      </c>
      <c r="N231" s="116">
        <f t="shared" si="14"/>
        <v>88000</v>
      </c>
      <c r="P231" s="108">
        <f t="shared" si="15"/>
        <v>126</v>
      </c>
    </row>
    <row r="232" spans="1:16" ht="15" hidden="1" customHeight="1" x14ac:dyDescent="0.2">
      <c r="A232" s="108" t="s">
        <v>310</v>
      </c>
      <c r="B232" s="117" t="s">
        <v>947</v>
      </c>
      <c r="C232" s="108">
        <f t="shared" si="12"/>
        <v>1479</v>
      </c>
      <c r="D232" s="38">
        <f t="shared" si="13"/>
        <v>1</v>
      </c>
      <c r="G232" s="113" t="s">
        <v>19</v>
      </c>
      <c r="H232" s="108" t="s">
        <v>1151</v>
      </c>
      <c r="I232" s="12">
        <v>331</v>
      </c>
      <c r="J232" s="12">
        <v>1111</v>
      </c>
      <c r="K232" s="108" t="s">
        <v>20</v>
      </c>
      <c r="L232" s="108">
        <v>1</v>
      </c>
      <c r="M232" s="116">
        <v>28000</v>
      </c>
      <c r="N232" s="116">
        <f t="shared" si="14"/>
        <v>28000</v>
      </c>
      <c r="P232" s="108">
        <f t="shared" si="15"/>
        <v>126</v>
      </c>
    </row>
    <row r="233" spans="1:16" ht="15" hidden="1" customHeight="1" x14ac:dyDescent="0.2">
      <c r="A233" s="108" t="s">
        <v>310</v>
      </c>
      <c r="B233" s="117" t="s">
        <v>947</v>
      </c>
      <c r="C233" s="108">
        <f t="shared" si="12"/>
        <v>1480</v>
      </c>
      <c r="D233" s="38">
        <f t="shared" si="13"/>
        <v>1</v>
      </c>
      <c r="G233" s="113" t="s">
        <v>19</v>
      </c>
      <c r="H233" s="108" t="s">
        <v>1150</v>
      </c>
      <c r="I233" s="12">
        <v>331</v>
      </c>
      <c r="J233" s="12">
        <v>1111</v>
      </c>
      <c r="K233" s="108" t="s">
        <v>20</v>
      </c>
      <c r="L233" s="108">
        <v>1</v>
      </c>
      <c r="M233" s="116">
        <v>96000</v>
      </c>
      <c r="N233" s="116">
        <f t="shared" si="14"/>
        <v>96000</v>
      </c>
      <c r="P233" s="108">
        <f t="shared" si="15"/>
        <v>126</v>
      </c>
    </row>
    <row r="234" spans="1:16" ht="15" hidden="1" customHeight="1" x14ac:dyDescent="0.2">
      <c r="A234" s="108" t="s">
        <v>310</v>
      </c>
      <c r="B234" s="117" t="s">
        <v>947</v>
      </c>
      <c r="C234" s="108">
        <f t="shared" si="12"/>
        <v>1481</v>
      </c>
      <c r="D234" s="38">
        <f t="shared" si="13"/>
        <v>1</v>
      </c>
      <c r="G234" s="113" t="s">
        <v>19</v>
      </c>
      <c r="H234" s="108" t="s">
        <v>1149</v>
      </c>
      <c r="I234" s="12">
        <v>331</v>
      </c>
      <c r="J234" s="12">
        <v>1111</v>
      </c>
      <c r="K234" s="108" t="s">
        <v>20</v>
      </c>
      <c r="L234" s="108">
        <v>1</v>
      </c>
      <c r="M234" s="116">
        <v>35000</v>
      </c>
      <c r="N234" s="116">
        <f t="shared" si="14"/>
        <v>35000</v>
      </c>
      <c r="P234" s="108">
        <f t="shared" si="15"/>
        <v>126</v>
      </c>
    </row>
    <row r="235" spans="1:16" ht="15" hidden="1" customHeight="1" x14ac:dyDescent="0.2">
      <c r="A235" s="108" t="s">
        <v>310</v>
      </c>
      <c r="B235" s="117" t="s">
        <v>947</v>
      </c>
      <c r="C235" s="108">
        <f t="shared" si="12"/>
        <v>1482</v>
      </c>
      <c r="D235" s="38">
        <f t="shared" si="13"/>
        <v>1</v>
      </c>
      <c r="G235" s="113" t="s">
        <v>260</v>
      </c>
      <c r="H235" s="108" t="s">
        <v>1154</v>
      </c>
      <c r="I235" s="12">
        <v>331</v>
      </c>
      <c r="J235" s="12">
        <v>1111</v>
      </c>
      <c r="K235" s="108" t="s">
        <v>20</v>
      </c>
      <c r="L235" s="108">
        <v>1</v>
      </c>
      <c r="M235" s="116">
        <v>326000</v>
      </c>
      <c r="N235" s="116">
        <f t="shared" si="14"/>
        <v>326000</v>
      </c>
      <c r="P235" s="108">
        <f t="shared" si="15"/>
        <v>76</v>
      </c>
    </row>
    <row r="236" spans="1:16" ht="15" hidden="1" customHeight="1" x14ac:dyDescent="0.2">
      <c r="A236" s="108" t="s">
        <v>310</v>
      </c>
      <c r="B236" s="117" t="s">
        <v>947</v>
      </c>
      <c r="C236" s="108">
        <f t="shared" si="12"/>
        <v>1483</v>
      </c>
      <c r="D236" s="38">
        <f t="shared" si="13"/>
        <v>1</v>
      </c>
      <c r="G236" s="113" t="s">
        <v>263</v>
      </c>
      <c r="H236" s="108" t="s">
        <v>1153</v>
      </c>
      <c r="I236" s="12">
        <v>331</v>
      </c>
      <c r="J236" s="12">
        <v>1111</v>
      </c>
      <c r="K236" s="108" t="s">
        <v>20</v>
      </c>
      <c r="L236" s="108">
        <v>1</v>
      </c>
      <c r="M236" s="116">
        <v>675000</v>
      </c>
      <c r="N236" s="116">
        <f t="shared" si="14"/>
        <v>675000</v>
      </c>
      <c r="P236" s="108">
        <f t="shared" si="15"/>
        <v>145</v>
      </c>
    </row>
    <row r="237" spans="1:16" ht="15" hidden="1" customHeight="1" x14ac:dyDescent="0.2">
      <c r="A237" s="108" t="s">
        <v>310</v>
      </c>
      <c r="B237" s="117" t="s">
        <v>555</v>
      </c>
      <c r="C237" s="108">
        <f t="shared" si="12"/>
        <v>1484</v>
      </c>
      <c r="D237" s="38">
        <f t="shared" si="13"/>
        <v>1</v>
      </c>
      <c r="G237" s="113" t="s">
        <v>1132</v>
      </c>
      <c r="H237" s="108" t="s">
        <v>1155</v>
      </c>
      <c r="I237" s="12">
        <v>331</v>
      </c>
      <c r="J237" s="12">
        <v>1111</v>
      </c>
      <c r="K237" s="108" t="s">
        <v>20</v>
      </c>
      <c r="L237" s="108">
        <v>1</v>
      </c>
      <c r="M237" s="116">
        <v>92000</v>
      </c>
      <c r="N237" s="116">
        <f t="shared" si="14"/>
        <v>92000</v>
      </c>
      <c r="P237" s="108">
        <f t="shared" si="15"/>
        <v>66</v>
      </c>
    </row>
    <row r="238" spans="1:16" ht="15" hidden="1" customHeight="1" x14ac:dyDescent="0.2">
      <c r="A238" s="108" t="s">
        <v>310</v>
      </c>
      <c r="B238" s="117" t="s">
        <v>555</v>
      </c>
      <c r="C238" s="108">
        <f t="shared" si="12"/>
        <v>1485</v>
      </c>
      <c r="D238" s="38">
        <f t="shared" si="13"/>
        <v>1</v>
      </c>
      <c r="G238" s="113" t="s">
        <v>19</v>
      </c>
      <c r="H238" s="108" t="s">
        <v>1161</v>
      </c>
      <c r="I238" s="12">
        <v>331</v>
      </c>
      <c r="J238" s="12">
        <v>1111</v>
      </c>
      <c r="K238" s="108" t="s">
        <v>20</v>
      </c>
      <c r="L238" s="108">
        <v>1</v>
      </c>
      <c r="M238" s="114">
        <v>100000</v>
      </c>
      <c r="N238" s="116">
        <f t="shared" si="14"/>
        <v>100000</v>
      </c>
      <c r="P238" s="108">
        <f t="shared" si="15"/>
        <v>126</v>
      </c>
    </row>
    <row r="239" spans="1:16" ht="15" hidden="1" customHeight="1" x14ac:dyDescent="0.2">
      <c r="A239" s="108" t="s">
        <v>310</v>
      </c>
      <c r="B239" s="117" t="s">
        <v>555</v>
      </c>
      <c r="C239" s="108">
        <f t="shared" si="12"/>
        <v>1486</v>
      </c>
      <c r="D239" s="38">
        <f t="shared" si="13"/>
        <v>1</v>
      </c>
      <c r="G239" s="113" t="s">
        <v>24</v>
      </c>
      <c r="H239" s="108" t="s">
        <v>1156</v>
      </c>
      <c r="I239" s="12">
        <v>331</v>
      </c>
      <c r="J239" s="12">
        <v>1111</v>
      </c>
      <c r="K239" s="108" t="s">
        <v>20</v>
      </c>
      <c r="L239" s="108">
        <v>1</v>
      </c>
      <c r="M239" s="116">
        <v>24000</v>
      </c>
      <c r="N239" s="116">
        <f t="shared" si="14"/>
        <v>24000</v>
      </c>
      <c r="P239" s="108">
        <f t="shared" si="15"/>
        <v>169</v>
      </c>
    </row>
    <row r="240" spans="1:16" ht="15" hidden="1" customHeight="1" x14ac:dyDescent="0.2">
      <c r="A240" s="108" t="s">
        <v>310</v>
      </c>
      <c r="B240" s="117" t="s">
        <v>555</v>
      </c>
      <c r="C240" s="108">
        <f t="shared" si="12"/>
        <v>1487</v>
      </c>
      <c r="D240" s="38">
        <f t="shared" si="13"/>
        <v>1</v>
      </c>
      <c r="G240" s="113" t="s">
        <v>19</v>
      </c>
      <c r="H240" s="108" t="s">
        <v>1160</v>
      </c>
      <c r="I240" s="12">
        <v>331</v>
      </c>
      <c r="J240" s="12">
        <v>1111</v>
      </c>
      <c r="K240" s="108" t="s">
        <v>20</v>
      </c>
      <c r="L240" s="108">
        <v>1</v>
      </c>
      <c r="M240" s="114">
        <v>46000</v>
      </c>
      <c r="N240" s="116">
        <f t="shared" si="14"/>
        <v>46000</v>
      </c>
      <c r="P240" s="108">
        <f t="shared" si="15"/>
        <v>126</v>
      </c>
    </row>
    <row r="241" spans="1:16" ht="15" hidden="1" customHeight="1" x14ac:dyDescent="0.2">
      <c r="A241" s="108" t="s">
        <v>310</v>
      </c>
      <c r="B241" s="117" t="s">
        <v>555</v>
      </c>
      <c r="C241" s="108">
        <f t="shared" si="12"/>
        <v>1488</v>
      </c>
      <c r="D241" s="38">
        <f t="shared" si="13"/>
        <v>1</v>
      </c>
      <c r="G241" s="113" t="s">
        <v>19</v>
      </c>
      <c r="H241" s="108" t="s">
        <v>1159</v>
      </c>
      <c r="I241" s="12">
        <v>331</v>
      </c>
      <c r="J241" s="12">
        <v>1111</v>
      </c>
      <c r="K241" s="108" t="s">
        <v>20</v>
      </c>
      <c r="L241" s="108">
        <v>1</v>
      </c>
      <c r="M241" s="114">
        <v>37000</v>
      </c>
      <c r="N241" s="116">
        <f t="shared" si="14"/>
        <v>37000</v>
      </c>
      <c r="P241" s="108">
        <f t="shared" si="15"/>
        <v>169</v>
      </c>
    </row>
    <row r="242" spans="1:16" ht="15" hidden="1" customHeight="1" x14ac:dyDescent="0.2">
      <c r="A242" s="108" t="s">
        <v>310</v>
      </c>
      <c r="B242" s="117" t="s">
        <v>555</v>
      </c>
      <c r="C242" s="108">
        <f t="shared" si="12"/>
        <v>1489</v>
      </c>
      <c r="D242" s="38">
        <f t="shared" si="13"/>
        <v>1</v>
      </c>
      <c r="G242" s="113" t="s">
        <v>19</v>
      </c>
      <c r="H242" s="108" t="s">
        <v>1158</v>
      </c>
      <c r="I242" s="12">
        <v>331</v>
      </c>
      <c r="J242" s="12">
        <v>1111</v>
      </c>
      <c r="K242" s="108" t="s">
        <v>20</v>
      </c>
      <c r="L242" s="108">
        <v>1</v>
      </c>
      <c r="M242" s="114">
        <v>30000</v>
      </c>
      <c r="N242" s="116">
        <f t="shared" si="14"/>
        <v>30000</v>
      </c>
      <c r="P242" s="108">
        <f t="shared" si="15"/>
        <v>126</v>
      </c>
    </row>
    <row r="243" spans="1:16" ht="15" hidden="1" customHeight="1" x14ac:dyDescent="0.2">
      <c r="A243" s="108" t="s">
        <v>310</v>
      </c>
      <c r="B243" s="117" t="s">
        <v>555</v>
      </c>
      <c r="C243" s="108">
        <f t="shared" si="12"/>
        <v>1490</v>
      </c>
      <c r="D243" s="38">
        <f t="shared" si="13"/>
        <v>1</v>
      </c>
      <c r="G243" s="113" t="s">
        <v>19</v>
      </c>
      <c r="H243" s="108" t="s">
        <v>1157</v>
      </c>
      <c r="I243" s="12">
        <v>331</v>
      </c>
      <c r="J243" s="12">
        <v>1111</v>
      </c>
      <c r="K243" s="108" t="s">
        <v>20</v>
      </c>
      <c r="L243" s="108">
        <v>1</v>
      </c>
      <c r="M243" s="114">
        <v>106000</v>
      </c>
      <c r="N243" s="116">
        <f t="shared" si="14"/>
        <v>106000</v>
      </c>
      <c r="P243" s="108">
        <f t="shared" si="15"/>
        <v>126</v>
      </c>
    </row>
    <row r="244" spans="1:16" ht="15" hidden="1" customHeight="1" x14ac:dyDescent="0.2">
      <c r="A244" s="108" t="s">
        <v>310</v>
      </c>
      <c r="B244" s="117" t="s">
        <v>555</v>
      </c>
      <c r="C244" s="108">
        <f t="shared" si="12"/>
        <v>1491</v>
      </c>
      <c r="D244" s="38">
        <f t="shared" si="13"/>
        <v>1</v>
      </c>
      <c r="G244" s="113" t="s">
        <v>23</v>
      </c>
      <c r="H244" s="108" t="s">
        <v>1162</v>
      </c>
      <c r="I244" s="12">
        <v>331</v>
      </c>
      <c r="J244" s="12">
        <v>1111</v>
      </c>
      <c r="K244" s="108" t="s">
        <v>20</v>
      </c>
      <c r="L244" s="108">
        <v>1</v>
      </c>
      <c r="M244" s="114">
        <v>253000</v>
      </c>
      <c r="N244" s="116">
        <f t="shared" si="14"/>
        <v>253000</v>
      </c>
      <c r="P244" s="108">
        <f t="shared" si="15"/>
        <v>189</v>
      </c>
    </row>
    <row r="245" spans="1:16" ht="15" hidden="1" customHeight="1" x14ac:dyDescent="0.2">
      <c r="A245" s="108" t="s">
        <v>310</v>
      </c>
      <c r="B245" s="117" t="s">
        <v>556</v>
      </c>
      <c r="C245" s="108">
        <f t="shared" si="12"/>
        <v>1492</v>
      </c>
      <c r="D245" s="38">
        <f t="shared" si="13"/>
        <v>1</v>
      </c>
      <c r="G245" s="113" t="s">
        <v>990</v>
      </c>
      <c r="H245" s="108" t="s">
        <v>1163</v>
      </c>
      <c r="I245" s="12">
        <v>331</v>
      </c>
      <c r="J245" s="12">
        <v>1111</v>
      </c>
      <c r="K245" s="108" t="s">
        <v>20</v>
      </c>
      <c r="L245" s="108">
        <v>1</v>
      </c>
      <c r="M245" s="114">
        <v>-146000</v>
      </c>
      <c r="N245" s="116">
        <f t="shared" si="14"/>
        <v>-146000</v>
      </c>
      <c r="P245" s="108">
        <f t="shared" si="15"/>
        <v>24</v>
      </c>
    </row>
    <row r="246" spans="1:16" ht="15" hidden="1" customHeight="1" x14ac:dyDescent="0.2">
      <c r="A246" s="108" t="s">
        <v>310</v>
      </c>
      <c r="B246" s="117" t="s">
        <v>556</v>
      </c>
      <c r="C246" s="108">
        <f t="shared" si="12"/>
        <v>1493</v>
      </c>
      <c r="D246" s="38">
        <f t="shared" si="13"/>
        <v>1</v>
      </c>
      <c r="G246" s="113" t="s">
        <v>24</v>
      </c>
      <c r="H246" s="108" t="s">
        <v>1164</v>
      </c>
      <c r="I246" s="12">
        <v>331</v>
      </c>
      <c r="J246" s="12">
        <v>1111</v>
      </c>
      <c r="K246" s="108" t="s">
        <v>20</v>
      </c>
      <c r="L246" s="108">
        <v>1</v>
      </c>
      <c r="M246" s="114">
        <v>110000</v>
      </c>
      <c r="N246" s="116">
        <f t="shared" si="14"/>
        <v>110000</v>
      </c>
      <c r="P246" s="108">
        <f t="shared" si="15"/>
        <v>169</v>
      </c>
    </row>
    <row r="247" spans="1:16" ht="15" hidden="1" customHeight="1" x14ac:dyDescent="0.2">
      <c r="A247" s="108" t="s">
        <v>310</v>
      </c>
      <c r="B247" s="117" t="s">
        <v>557</v>
      </c>
      <c r="C247" s="108">
        <f t="shared" si="12"/>
        <v>1494</v>
      </c>
      <c r="D247" s="38">
        <f t="shared" si="13"/>
        <v>1</v>
      </c>
      <c r="G247" s="113" t="s">
        <v>264</v>
      </c>
      <c r="H247" s="108" t="s">
        <v>1166</v>
      </c>
      <c r="I247" s="12">
        <v>331</v>
      </c>
      <c r="J247" s="12">
        <v>1111</v>
      </c>
      <c r="K247" s="108" t="s">
        <v>20</v>
      </c>
      <c r="L247" s="108">
        <v>1</v>
      </c>
      <c r="M247" s="114">
        <v>1679520</v>
      </c>
      <c r="N247" s="116">
        <f t="shared" si="14"/>
        <v>1679520</v>
      </c>
      <c r="P247" s="108">
        <f t="shared" si="15"/>
        <v>58</v>
      </c>
    </row>
    <row r="248" spans="1:16" ht="15" hidden="1" customHeight="1" x14ac:dyDescent="0.2">
      <c r="A248" s="108" t="s">
        <v>310</v>
      </c>
      <c r="B248" s="117" t="s">
        <v>557</v>
      </c>
      <c r="C248" s="108">
        <f t="shared" si="12"/>
        <v>1495</v>
      </c>
      <c r="D248" s="38">
        <f t="shared" si="13"/>
        <v>1</v>
      </c>
      <c r="G248" s="113" t="s">
        <v>24</v>
      </c>
      <c r="H248" s="108" t="s">
        <v>1165</v>
      </c>
      <c r="I248" s="12">
        <v>331</v>
      </c>
      <c r="J248" s="12">
        <v>1111</v>
      </c>
      <c r="K248" s="108" t="s">
        <v>20</v>
      </c>
      <c r="L248" s="108">
        <v>1</v>
      </c>
      <c r="M248" s="114">
        <v>200000</v>
      </c>
      <c r="N248" s="116">
        <f t="shared" si="14"/>
        <v>200000</v>
      </c>
      <c r="P248" s="108">
        <f t="shared" si="15"/>
        <v>107</v>
      </c>
    </row>
    <row r="249" spans="1:16" ht="15" hidden="1" customHeight="1" x14ac:dyDescent="0.2">
      <c r="A249" s="108" t="s">
        <v>310</v>
      </c>
      <c r="B249" s="117" t="s">
        <v>559</v>
      </c>
      <c r="C249" s="108">
        <f t="shared" si="12"/>
        <v>1496</v>
      </c>
      <c r="D249" s="38">
        <f t="shared" si="13"/>
        <v>1</v>
      </c>
      <c r="G249" s="113" t="s">
        <v>19</v>
      </c>
      <c r="H249" s="108" t="s">
        <v>1169</v>
      </c>
      <c r="I249" s="12">
        <v>331</v>
      </c>
      <c r="J249" s="12">
        <v>1111</v>
      </c>
      <c r="K249" s="108" t="s">
        <v>20</v>
      </c>
      <c r="L249" s="108">
        <v>1</v>
      </c>
      <c r="M249" s="114">
        <v>209000</v>
      </c>
      <c r="N249" s="116">
        <f t="shared" si="14"/>
        <v>209000</v>
      </c>
      <c r="P249" s="108">
        <f t="shared" si="15"/>
        <v>126</v>
      </c>
    </row>
    <row r="250" spans="1:16" ht="15" hidden="1" customHeight="1" x14ac:dyDescent="0.2">
      <c r="A250" s="108" t="s">
        <v>310</v>
      </c>
      <c r="B250" s="117" t="s">
        <v>559</v>
      </c>
      <c r="C250" s="108">
        <f t="shared" si="12"/>
        <v>1497</v>
      </c>
      <c r="D250" s="38">
        <f t="shared" si="13"/>
        <v>1</v>
      </c>
      <c r="G250" s="113" t="s">
        <v>24</v>
      </c>
      <c r="H250" s="108" t="s">
        <v>1167</v>
      </c>
      <c r="I250" s="12">
        <v>331</v>
      </c>
      <c r="J250" s="12">
        <v>1111</v>
      </c>
      <c r="K250" s="108" t="s">
        <v>20</v>
      </c>
      <c r="L250" s="108">
        <v>1</v>
      </c>
      <c r="M250" s="114">
        <v>51000</v>
      </c>
      <c r="N250" s="116">
        <f t="shared" si="14"/>
        <v>51000</v>
      </c>
      <c r="P250" s="108">
        <f t="shared" si="15"/>
        <v>169</v>
      </c>
    </row>
    <row r="251" spans="1:16" ht="15" hidden="1" customHeight="1" x14ac:dyDescent="0.2">
      <c r="A251" s="108" t="s">
        <v>310</v>
      </c>
      <c r="B251" s="117" t="s">
        <v>559</v>
      </c>
      <c r="C251" s="108">
        <f t="shared" si="12"/>
        <v>1498</v>
      </c>
      <c r="D251" s="38">
        <f t="shared" si="13"/>
        <v>1</v>
      </c>
      <c r="G251" s="113" t="s">
        <v>19</v>
      </c>
      <c r="H251" s="108" t="s">
        <v>1168</v>
      </c>
      <c r="I251" s="12">
        <v>331</v>
      </c>
      <c r="J251" s="12">
        <v>1111</v>
      </c>
      <c r="K251" s="108" t="s">
        <v>20</v>
      </c>
      <c r="L251" s="108">
        <v>1</v>
      </c>
      <c r="M251" s="114">
        <v>69000</v>
      </c>
      <c r="N251" s="116">
        <f t="shared" si="14"/>
        <v>69000</v>
      </c>
      <c r="P251" s="108">
        <f t="shared" si="15"/>
        <v>126</v>
      </c>
    </row>
    <row r="252" spans="1:16" ht="15" hidden="1" customHeight="1" x14ac:dyDescent="0.2">
      <c r="A252" s="108" t="s">
        <v>310</v>
      </c>
      <c r="B252" s="117" t="s">
        <v>662</v>
      </c>
      <c r="C252" s="108">
        <f t="shared" si="12"/>
        <v>1499</v>
      </c>
      <c r="D252" s="38">
        <f t="shared" si="13"/>
        <v>1</v>
      </c>
      <c r="G252" s="113" t="s">
        <v>24</v>
      </c>
      <c r="H252" s="108" t="s">
        <v>1170</v>
      </c>
      <c r="I252" s="12">
        <v>331</v>
      </c>
      <c r="J252" s="12">
        <v>1111</v>
      </c>
      <c r="K252" s="108" t="s">
        <v>20</v>
      </c>
      <c r="L252" s="108">
        <v>1</v>
      </c>
      <c r="M252" s="114">
        <v>110000</v>
      </c>
      <c r="N252" s="116">
        <f t="shared" si="14"/>
        <v>110000</v>
      </c>
      <c r="P252" s="108">
        <f t="shared" si="15"/>
        <v>169</v>
      </c>
    </row>
    <row r="253" spans="1:16" ht="15" hidden="1" customHeight="1" x14ac:dyDescent="0.2">
      <c r="A253" s="108" t="s">
        <v>310</v>
      </c>
      <c r="B253" s="117" t="s">
        <v>662</v>
      </c>
      <c r="C253" s="108">
        <f t="shared" si="12"/>
        <v>1500</v>
      </c>
      <c r="D253" s="38">
        <f t="shared" si="13"/>
        <v>1</v>
      </c>
      <c r="G253" s="113" t="s">
        <v>23</v>
      </c>
      <c r="H253" s="108" t="s">
        <v>3708</v>
      </c>
      <c r="I253" s="12">
        <v>331</v>
      </c>
      <c r="J253" s="12">
        <v>1111</v>
      </c>
      <c r="K253" s="108" t="s">
        <v>20</v>
      </c>
      <c r="L253" s="108">
        <v>1</v>
      </c>
      <c r="M253" s="114">
        <v>183000</v>
      </c>
      <c r="N253" s="116">
        <f t="shared" si="14"/>
        <v>183000</v>
      </c>
      <c r="P253" s="108">
        <f t="shared" si="15"/>
        <v>53</v>
      </c>
    </row>
    <row r="254" spans="1:16" ht="15" hidden="1" customHeight="1" x14ac:dyDescent="0.2">
      <c r="A254" s="108" t="s">
        <v>310</v>
      </c>
      <c r="B254" s="117" t="s">
        <v>662</v>
      </c>
      <c r="C254" s="108">
        <f t="shared" si="12"/>
        <v>1501</v>
      </c>
      <c r="D254" s="38">
        <f t="shared" si="13"/>
        <v>1</v>
      </c>
      <c r="G254" s="113" t="s">
        <v>37</v>
      </c>
      <c r="H254" s="108" t="s">
        <v>3706</v>
      </c>
      <c r="I254" s="12">
        <v>331</v>
      </c>
      <c r="J254" s="12">
        <v>1111</v>
      </c>
      <c r="K254" s="108" t="s">
        <v>20</v>
      </c>
      <c r="L254" s="108">
        <v>1</v>
      </c>
      <c r="M254" s="114">
        <v>2365200</v>
      </c>
      <c r="N254" s="116">
        <f t="shared" si="14"/>
        <v>2365200</v>
      </c>
      <c r="P254" s="108">
        <f t="shared" si="15"/>
        <v>54</v>
      </c>
    </row>
    <row r="255" spans="1:16" ht="15" hidden="1" customHeight="1" x14ac:dyDescent="0.2">
      <c r="A255" s="108" t="s">
        <v>310</v>
      </c>
      <c r="B255" s="117" t="s">
        <v>663</v>
      </c>
      <c r="C255" s="108">
        <f t="shared" si="12"/>
        <v>1502</v>
      </c>
      <c r="D255" s="38">
        <f t="shared" si="13"/>
        <v>1</v>
      </c>
      <c r="G255" s="113" t="s">
        <v>19</v>
      </c>
      <c r="H255" s="108" t="s">
        <v>1175</v>
      </c>
      <c r="I255" s="12">
        <v>331</v>
      </c>
      <c r="J255" s="12">
        <v>1111</v>
      </c>
      <c r="K255" s="108" t="s">
        <v>20</v>
      </c>
      <c r="L255" s="108">
        <v>1</v>
      </c>
      <c r="M255" s="114">
        <v>112000</v>
      </c>
      <c r="N255" s="116">
        <f t="shared" si="14"/>
        <v>112000</v>
      </c>
      <c r="P255" s="108">
        <f t="shared" si="15"/>
        <v>126</v>
      </c>
    </row>
    <row r="256" spans="1:16" ht="15" hidden="1" customHeight="1" x14ac:dyDescent="0.2">
      <c r="A256" s="108" t="s">
        <v>310</v>
      </c>
      <c r="B256" s="117" t="s">
        <v>663</v>
      </c>
      <c r="C256" s="108">
        <f t="shared" si="12"/>
        <v>1503</v>
      </c>
      <c r="D256" s="38">
        <f t="shared" si="13"/>
        <v>1</v>
      </c>
      <c r="G256" s="113" t="s">
        <v>24</v>
      </c>
      <c r="H256" s="108" t="s">
        <v>1171</v>
      </c>
      <c r="I256" s="12">
        <v>331</v>
      </c>
      <c r="J256" s="12">
        <v>1111</v>
      </c>
      <c r="K256" s="108" t="s">
        <v>20</v>
      </c>
      <c r="L256" s="108">
        <v>1</v>
      </c>
      <c r="M256" s="114">
        <v>43000</v>
      </c>
      <c r="N256" s="116">
        <f t="shared" si="14"/>
        <v>43000</v>
      </c>
      <c r="P256" s="108">
        <f t="shared" si="15"/>
        <v>169</v>
      </c>
    </row>
    <row r="257" spans="1:16" ht="15" hidden="1" customHeight="1" x14ac:dyDescent="0.2">
      <c r="A257" s="108" t="s">
        <v>310</v>
      </c>
      <c r="B257" s="117" t="s">
        <v>663</v>
      </c>
      <c r="C257" s="108">
        <f t="shared" si="12"/>
        <v>1504</v>
      </c>
      <c r="D257" s="38">
        <f t="shared" si="13"/>
        <v>1</v>
      </c>
      <c r="G257" s="113" t="s">
        <v>19</v>
      </c>
      <c r="H257" s="108" t="s">
        <v>1174</v>
      </c>
      <c r="I257" s="12">
        <v>331</v>
      </c>
      <c r="J257" s="12">
        <v>1111</v>
      </c>
      <c r="K257" s="108" t="s">
        <v>20</v>
      </c>
      <c r="L257" s="108">
        <v>1</v>
      </c>
      <c r="M257" s="114">
        <v>27000</v>
      </c>
      <c r="N257" s="116">
        <f t="shared" si="14"/>
        <v>27000</v>
      </c>
      <c r="P257" s="108">
        <f t="shared" si="15"/>
        <v>169</v>
      </c>
    </row>
    <row r="258" spans="1:16" ht="15" hidden="1" customHeight="1" x14ac:dyDescent="0.2">
      <c r="A258" s="108" t="s">
        <v>310</v>
      </c>
      <c r="B258" s="117" t="s">
        <v>663</v>
      </c>
      <c r="C258" s="108">
        <f t="shared" si="12"/>
        <v>1505</v>
      </c>
      <c r="D258" s="38">
        <f t="shared" si="13"/>
        <v>1</v>
      </c>
      <c r="G258" s="113" t="s">
        <v>19</v>
      </c>
      <c r="H258" s="108" t="s">
        <v>1173</v>
      </c>
      <c r="I258" s="12">
        <v>331</v>
      </c>
      <c r="J258" s="12">
        <v>1111</v>
      </c>
      <c r="K258" s="108" t="s">
        <v>20</v>
      </c>
      <c r="L258" s="108">
        <v>1</v>
      </c>
      <c r="M258" s="114">
        <v>47000</v>
      </c>
      <c r="N258" s="116">
        <f t="shared" si="14"/>
        <v>47000</v>
      </c>
      <c r="P258" s="108">
        <f t="shared" si="15"/>
        <v>126</v>
      </c>
    </row>
    <row r="259" spans="1:16" ht="15" hidden="1" customHeight="1" x14ac:dyDescent="0.2">
      <c r="A259" s="108" t="s">
        <v>310</v>
      </c>
      <c r="B259" s="117" t="s">
        <v>663</v>
      </c>
      <c r="C259" s="108">
        <f t="shared" si="12"/>
        <v>1506</v>
      </c>
      <c r="D259" s="38">
        <f t="shared" si="13"/>
        <v>1</v>
      </c>
      <c r="G259" s="113" t="s">
        <v>19</v>
      </c>
      <c r="H259" s="108" t="s">
        <v>1172</v>
      </c>
      <c r="I259" s="12">
        <v>331</v>
      </c>
      <c r="J259" s="12">
        <v>1111</v>
      </c>
      <c r="K259" s="108" t="s">
        <v>20</v>
      </c>
      <c r="L259" s="108">
        <v>1</v>
      </c>
      <c r="M259" s="114">
        <v>140000</v>
      </c>
      <c r="N259" s="116">
        <f t="shared" si="14"/>
        <v>140000</v>
      </c>
      <c r="P259" s="108">
        <f t="shared" si="15"/>
        <v>126</v>
      </c>
    </row>
    <row r="260" spans="1:16" ht="15" hidden="1" customHeight="1" x14ac:dyDescent="0.2">
      <c r="A260" s="108" t="s">
        <v>310</v>
      </c>
      <c r="B260" s="117" t="s">
        <v>663</v>
      </c>
      <c r="C260" s="108">
        <f t="shared" ref="C260:C323" si="16">C259+D260</f>
        <v>1507</v>
      </c>
      <c r="D260" s="38">
        <f t="shared" ref="D260:D323" si="17">IF(H260=H259,0,1)</f>
        <v>1</v>
      </c>
      <c r="G260" s="113" t="s">
        <v>23</v>
      </c>
      <c r="H260" s="108" t="s">
        <v>1176</v>
      </c>
      <c r="I260" s="12">
        <v>331</v>
      </c>
      <c r="J260" s="12">
        <v>1111</v>
      </c>
      <c r="K260" s="108" t="s">
        <v>20</v>
      </c>
      <c r="L260" s="108">
        <v>1</v>
      </c>
      <c r="M260" s="114">
        <v>152500</v>
      </c>
      <c r="N260" s="116">
        <f t="shared" ref="N260:N323" si="18">M260*L260</f>
        <v>152500</v>
      </c>
      <c r="P260" s="108">
        <f t="shared" ref="P260:P323" si="19">LEN(H260)</f>
        <v>99</v>
      </c>
    </row>
    <row r="261" spans="1:16" ht="15" hidden="1" customHeight="1" x14ac:dyDescent="0.2">
      <c r="A261" s="108" t="s">
        <v>310</v>
      </c>
      <c r="B261" s="117" t="s">
        <v>663</v>
      </c>
      <c r="C261" s="108">
        <f t="shared" si="16"/>
        <v>1508</v>
      </c>
      <c r="D261" s="38">
        <f t="shared" si="17"/>
        <v>1</v>
      </c>
      <c r="G261" s="113" t="s">
        <v>23</v>
      </c>
      <c r="H261" s="108" t="s">
        <v>1177</v>
      </c>
      <c r="I261" s="12">
        <v>331</v>
      </c>
      <c r="J261" s="12">
        <v>1111</v>
      </c>
      <c r="K261" s="108" t="s">
        <v>20</v>
      </c>
      <c r="L261" s="108">
        <v>1</v>
      </c>
      <c r="M261" s="114">
        <v>198000</v>
      </c>
      <c r="N261" s="116">
        <f t="shared" si="18"/>
        <v>198000</v>
      </c>
      <c r="P261" s="108">
        <f t="shared" si="19"/>
        <v>187</v>
      </c>
    </row>
    <row r="262" spans="1:16" ht="15" hidden="1" customHeight="1" x14ac:dyDescent="0.2">
      <c r="A262" s="108" t="s">
        <v>310</v>
      </c>
      <c r="B262" s="117" t="s">
        <v>664</v>
      </c>
      <c r="C262" s="108">
        <f t="shared" si="16"/>
        <v>1509</v>
      </c>
      <c r="D262" s="38">
        <f t="shared" si="17"/>
        <v>1</v>
      </c>
      <c r="G262" s="113" t="s">
        <v>19</v>
      </c>
      <c r="H262" s="108" t="s">
        <v>1180</v>
      </c>
      <c r="I262" s="12">
        <v>331</v>
      </c>
      <c r="J262" s="12">
        <v>1111</v>
      </c>
      <c r="K262" s="108" t="s">
        <v>20</v>
      </c>
      <c r="L262" s="108">
        <v>1</v>
      </c>
      <c r="M262" s="114">
        <v>131000</v>
      </c>
      <c r="N262" s="116">
        <f t="shared" si="18"/>
        <v>131000</v>
      </c>
      <c r="P262" s="108">
        <f t="shared" si="19"/>
        <v>64</v>
      </c>
    </row>
    <row r="263" spans="1:16" ht="15" hidden="1" customHeight="1" x14ac:dyDescent="0.2">
      <c r="A263" s="108" t="s">
        <v>310</v>
      </c>
      <c r="B263" s="117" t="s">
        <v>664</v>
      </c>
      <c r="C263" s="108">
        <f t="shared" si="16"/>
        <v>1510</v>
      </c>
      <c r="D263" s="38">
        <f t="shared" si="17"/>
        <v>1</v>
      </c>
      <c r="G263" s="113" t="s">
        <v>19</v>
      </c>
      <c r="H263" s="108" t="s">
        <v>1179</v>
      </c>
      <c r="I263" s="12">
        <v>331</v>
      </c>
      <c r="J263" s="12">
        <v>1111</v>
      </c>
      <c r="K263" s="108" t="s">
        <v>20</v>
      </c>
      <c r="L263" s="108">
        <v>1</v>
      </c>
      <c r="M263" s="114">
        <v>118000</v>
      </c>
      <c r="N263" s="116">
        <f t="shared" si="18"/>
        <v>118000</v>
      </c>
      <c r="P263" s="108">
        <f t="shared" si="19"/>
        <v>126</v>
      </c>
    </row>
    <row r="264" spans="1:16" ht="15" hidden="1" customHeight="1" x14ac:dyDescent="0.2">
      <c r="A264" s="108" t="s">
        <v>310</v>
      </c>
      <c r="B264" s="117" t="s">
        <v>664</v>
      </c>
      <c r="C264" s="108">
        <f t="shared" si="16"/>
        <v>1511</v>
      </c>
      <c r="D264" s="38">
        <f t="shared" si="17"/>
        <v>1</v>
      </c>
      <c r="G264" s="113" t="s">
        <v>24</v>
      </c>
      <c r="H264" s="108" t="s">
        <v>1178</v>
      </c>
      <c r="I264" s="12">
        <v>331</v>
      </c>
      <c r="J264" s="12">
        <v>1111</v>
      </c>
      <c r="K264" s="108" t="s">
        <v>20</v>
      </c>
      <c r="L264" s="108">
        <v>1</v>
      </c>
      <c r="M264" s="114">
        <v>125000</v>
      </c>
      <c r="N264" s="116">
        <f t="shared" si="18"/>
        <v>125000</v>
      </c>
      <c r="P264" s="108">
        <f t="shared" si="19"/>
        <v>169</v>
      </c>
    </row>
    <row r="265" spans="1:16" ht="15" hidden="1" customHeight="1" x14ac:dyDescent="0.2">
      <c r="A265" s="108" t="s">
        <v>310</v>
      </c>
      <c r="B265" s="117" t="s">
        <v>664</v>
      </c>
      <c r="C265" s="108">
        <f t="shared" si="16"/>
        <v>1512</v>
      </c>
      <c r="D265" s="38">
        <f t="shared" si="17"/>
        <v>1</v>
      </c>
      <c r="G265" s="113" t="s">
        <v>23</v>
      </c>
      <c r="H265" s="108" t="s">
        <v>1181</v>
      </c>
      <c r="I265" s="12">
        <v>331</v>
      </c>
      <c r="J265" s="12">
        <v>1111</v>
      </c>
      <c r="K265" s="108" t="s">
        <v>20</v>
      </c>
      <c r="L265" s="108">
        <v>1</v>
      </c>
      <c r="M265" s="114">
        <v>99000</v>
      </c>
      <c r="N265" s="116">
        <f t="shared" si="18"/>
        <v>99000</v>
      </c>
      <c r="P265" s="108">
        <f t="shared" si="19"/>
        <v>161</v>
      </c>
    </row>
    <row r="266" spans="1:16" ht="15" hidden="1" customHeight="1" x14ac:dyDescent="0.2">
      <c r="A266" s="108" t="s">
        <v>310</v>
      </c>
      <c r="B266" s="117" t="s">
        <v>506</v>
      </c>
      <c r="C266" s="108">
        <f t="shared" si="16"/>
        <v>1513</v>
      </c>
      <c r="D266" s="38">
        <f t="shared" si="17"/>
        <v>1</v>
      </c>
      <c r="G266" s="113" t="s">
        <v>1183</v>
      </c>
      <c r="H266" s="108" t="s">
        <v>1184</v>
      </c>
      <c r="I266" s="12">
        <v>331</v>
      </c>
      <c r="J266" s="12">
        <v>1111</v>
      </c>
      <c r="K266" s="108" t="s">
        <v>20</v>
      </c>
      <c r="L266" s="108">
        <v>1</v>
      </c>
      <c r="M266" s="114">
        <v>365400</v>
      </c>
      <c r="N266" s="116">
        <f t="shared" si="18"/>
        <v>365400</v>
      </c>
      <c r="P266" s="108">
        <f t="shared" si="19"/>
        <v>78</v>
      </c>
    </row>
    <row r="267" spans="1:16" ht="15" hidden="1" customHeight="1" x14ac:dyDescent="0.2">
      <c r="A267" s="108" t="s">
        <v>310</v>
      </c>
      <c r="B267" s="117" t="s">
        <v>506</v>
      </c>
      <c r="C267" s="108">
        <f t="shared" si="16"/>
        <v>1514</v>
      </c>
      <c r="D267" s="38">
        <f t="shared" si="17"/>
        <v>1</v>
      </c>
      <c r="G267" s="113" t="s">
        <v>27</v>
      </c>
      <c r="H267" s="108" t="s">
        <v>1182</v>
      </c>
      <c r="I267" s="12">
        <v>331</v>
      </c>
      <c r="J267" s="12">
        <v>1111</v>
      </c>
      <c r="K267" s="108" t="s">
        <v>20</v>
      </c>
      <c r="L267" s="108">
        <v>1</v>
      </c>
      <c r="M267" s="114">
        <v>120960</v>
      </c>
      <c r="N267" s="116">
        <f t="shared" si="18"/>
        <v>120960</v>
      </c>
      <c r="P267" s="108">
        <f t="shared" si="19"/>
        <v>48</v>
      </c>
    </row>
    <row r="268" spans="1:16" ht="15" hidden="1" customHeight="1" x14ac:dyDescent="0.2">
      <c r="A268" s="108" t="s">
        <v>310</v>
      </c>
      <c r="B268" s="117" t="s">
        <v>506</v>
      </c>
      <c r="C268" s="108">
        <f t="shared" si="16"/>
        <v>1515</v>
      </c>
      <c r="D268" s="38">
        <f t="shared" si="17"/>
        <v>1</v>
      </c>
      <c r="G268" s="113" t="s">
        <v>23</v>
      </c>
      <c r="H268" s="108" t="s">
        <v>3712</v>
      </c>
      <c r="I268" s="12">
        <v>331</v>
      </c>
      <c r="J268" s="12">
        <v>1111</v>
      </c>
      <c r="K268" s="108" t="s">
        <v>20</v>
      </c>
      <c r="L268" s="108">
        <v>1</v>
      </c>
      <c r="M268" s="114">
        <v>94000</v>
      </c>
      <c r="N268" s="116">
        <f t="shared" si="18"/>
        <v>94000</v>
      </c>
      <c r="P268" s="108">
        <f t="shared" si="19"/>
        <v>53</v>
      </c>
    </row>
    <row r="269" spans="1:16" ht="15" hidden="1" customHeight="1" x14ac:dyDescent="0.2">
      <c r="A269" s="108" t="s">
        <v>310</v>
      </c>
      <c r="B269" s="117" t="s">
        <v>506</v>
      </c>
      <c r="C269" s="108">
        <f t="shared" si="16"/>
        <v>1516</v>
      </c>
      <c r="D269" s="38">
        <f t="shared" si="17"/>
        <v>1</v>
      </c>
      <c r="G269" s="113" t="s">
        <v>32</v>
      </c>
      <c r="H269" s="108" t="s">
        <v>3710</v>
      </c>
      <c r="I269" s="12">
        <v>331</v>
      </c>
      <c r="J269" s="12">
        <v>1111</v>
      </c>
      <c r="K269" s="108" t="s">
        <v>20</v>
      </c>
      <c r="L269" s="108">
        <v>1</v>
      </c>
      <c r="M269" s="114">
        <v>729000</v>
      </c>
      <c r="N269" s="116">
        <f t="shared" si="18"/>
        <v>729000</v>
      </c>
      <c r="P269" s="108">
        <f t="shared" si="19"/>
        <v>53</v>
      </c>
    </row>
    <row r="270" spans="1:16" ht="15" hidden="1" customHeight="1" x14ac:dyDescent="0.2">
      <c r="A270" s="108" t="s">
        <v>310</v>
      </c>
      <c r="B270" s="117" t="s">
        <v>560</v>
      </c>
      <c r="C270" s="108">
        <f t="shared" si="16"/>
        <v>1517</v>
      </c>
      <c r="D270" s="38">
        <f t="shared" si="17"/>
        <v>1</v>
      </c>
      <c r="G270" s="113" t="s">
        <v>19</v>
      </c>
      <c r="H270" s="108" t="s">
        <v>1186</v>
      </c>
      <c r="I270" s="12">
        <v>331</v>
      </c>
      <c r="J270" s="12">
        <v>1111</v>
      </c>
      <c r="K270" s="108" t="s">
        <v>20</v>
      </c>
      <c r="L270" s="108">
        <v>1</v>
      </c>
      <c r="M270" s="114">
        <v>49000</v>
      </c>
      <c r="N270" s="116">
        <f t="shared" si="18"/>
        <v>49000</v>
      </c>
      <c r="P270" s="108">
        <f t="shared" si="19"/>
        <v>126</v>
      </c>
    </row>
    <row r="271" spans="1:16" ht="15" hidden="1" customHeight="1" x14ac:dyDescent="0.2">
      <c r="A271" s="108" t="s">
        <v>310</v>
      </c>
      <c r="B271" s="117" t="s">
        <v>560</v>
      </c>
      <c r="C271" s="108">
        <f t="shared" si="16"/>
        <v>1518</v>
      </c>
      <c r="D271" s="38">
        <f t="shared" si="17"/>
        <v>1</v>
      </c>
      <c r="G271" s="113" t="s">
        <v>19</v>
      </c>
      <c r="H271" s="108" t="s">
        <v>1185</v>
      </c>
      <c r="I271" s="12">
        <v>331</v>
      </c>
      <c r="J271" s="12">
        <v>1111</v>
      </c>
      <c r="K271" s="108" t="s">
        <v>20</v>
      </c>
      <c r="L271" s="108">
        <v>1</v>
      </c>
      <c r="M271" s="114">
        <v>229000</v>
      </c>
      <c r="N271" s="116">
        <f t="shared" si="18"/>
        <v>229000</v>
      </c>
      <c r="P271" s="108">
        <f t="shared" si="19"/>
        <v>126</v>
      </c>
    </row>
    <row r="272" spans="1:16" ht="15" hidden="1" customHeight="1" x14ac:dyDescent="0.2">
      <c r="A272" s="108" t="s">
        <v>310</v>
      </c>
      <c r="B272" s="117" t="s">
        <v>560</v>
      </c>
      <c r="C272" s="108">
        <f t="shared" si="16"/>
        <v>1519</v>
      </c>
      <c r="D272" s="38">
        <f t="shared" si="17"/>
        <v>1</v>
      </c>
      <c r="G272" s="113" t="s">
        <v>23</v>
      </c>
      <c r="H272" s="108" t="s">
        <v>3716</v>
      </c>
      <c r="I272" s="12">
        <v>331</v>
      </c>
      <c r="J272" s="12">
        <v>1111</v>
      </c>
      <c r="K272" s="108" t="s">
        <v>20</v>
      </c>
      <c r="L272" s="108">
        <v>1</v>
      </c>
      <c r="M272" s="114">
        <v>346000</v>
      </c>
      <c r="N272" s="116">
        <f t="shared" si="18"/>
        <v>346000</v>
      </c>
      <c r="P272" s="108">
        <f t="shared" si="19"/>
        <v>53</v>
      </c>
    </row>
    <row r="273" spans="1:16" ht="15" hidden="1" customHeight="1" x14ac:dyDescent="0.2">
      <c r="A273" s="108" t="s">
        <v>310</v>
      </c>
      <c r="B273" s="117" t="s">
        <v>560</v>
      </c>
      <c r="C273" s="108">
        <f t="shared" si="16"/>
        <v>1520</v>
      </c>
      <c r="D273" s="38">
        <f t="shared" si="17"/>
        <v>1</v>
      </c>
      <c r="G273" s="113" t="s">
        <v>37</v>
      </c>
      <c r="H273" s="108" t="s">
        <v>3714</v>
      </c>
      <c r="I273" s="12">
        <v>331</v>
      </c>
      <c r="J273" s="12">
        <v>1111</v>
      </c>
      <c r="K273" s="108" t="s">
        <v>20</v>
      </c>
      <c r="L273" s="108">
        <v>1</v>
      </c>
      <c r="M273" s="114">
        <v>2182600</v>
      </c>
      <c r="N273" s="116">
        <f t="shared" si="18"/>
        <v>2182600</v>
      </c>
      <c r="P273" s="108">
        <f t="shared" si="19"/>
        <v>54</v>
      </c>
    </row>
    <row r="274" spans="1:16" ht="15" hidden="1" customHeight="1" x14ac:dyDescent="0.2">
      <c r="A274" s="108" t="s">
        <v>310</v>
      </c>
      <c r="B274" s="117" t="s">
        <v>561</v>
      </c>
      <c r="C274" s="108">
        <f t="shared" si="16"/>
        <v>1521</v>
      </c>
      <c r="D274" s="38">
        <f t="shared" si="17"/>
        <v>1</v>
      </c>
      <c r="G274" s="113" t="s">
        <v>23</v>
      </c>
      <c r="H274" s="108" t="s">
        <v>1188</v>
      </c>
      <c r="I274" s="12">
        <v>331</v>
      </c>
      <c r="J274" s="12">
        <v>1111</v>
      </c>
      <c r="K274" s="108" t="s">
        <v>20</v>
      </c>
      <c r="L274" s="108">
        <v>1</v>
      </c>
      <c r="M274" s="114">
        <v>74000</v>
      </c>
      <c r="N274" s="116">
        <f t="shared" si="18"/>
        <v>74000</v>
      </c>
      <c r="P274" s="108">
        <f t="shared" si="19"/>
        <v>102</v>
      </c>
    </row>
    <row r="275" spans="1:16" ht="15" hidden="1" customHeight="1" x14ac:dyDescent="0.2">
      <c r="A275" s="108" t="s">
        <v>310</v>
      </c>
      <c r="B275" s="117" t="s">
        <v>561</v>
      </c>
      <c r="C275" s="108">
        <f t="shared" si="16"/>
        <v>1522</v>
      </c>
      <c r="D275" s="38">
        <f t="shared" si="17"/>
        <v>1</v>
      </c>
      <c r="G275" s="113" t="s">
        <v>23</v>
      </c>
      <c r="H275" s="108" t="s">
        <v>1189</v>
      </c>
      <c r="I275" s="12">
        <v>331</v>
      </c>
      <c r="J275" s="12">
        <v>1111</v>
      </c>
      <c r="K275" s="108" t="s">
        <v>20</v>
      </c>
      <c r="L275" s="108">
        <v>1</v>
      </c>
      <c r="M275" s="114">
        <v>154000</v>
      </c>
      <c r="N275" s="116">
        <f t="shared" si="18"/>
        <v>154000</v>
      </c>
      <c r="P275" s="108">
        <f t="shared" si="19"/>
        <v>94</v>
      </c>
    </row>
    <row r="276" spans="1:16" ht="15" hidden="1" customHeight="1" x14ac:dyDescent="0.2">
      <c r="A276" s="108" t="s">
        <v>310</v>
      </c>
      <c r="B276" s="117" t="s">
        <v>561</v>
      </c>
      <c r="C276" s="108">
        <f t="shared" si="16"/>
        <v>1523</v>
      </c>
      <c r="D276" s="38">
        <f t="shared" si="17"/>
        <v>1</v>
      </c>
      <c r="G276" s="113" t="s">
        <v>1190</v>
      </c>
      <c r="H276" s="108" t="s">
        <v>3720</v>
      </c>
      <c r="I276" s="12">
        <v>331</v>
      </c>
      <c r="J276" s="12">
        <v>1111</v>
      </c>
      <c r="K276" s="108" t="s">
        <v>20</v>
      </c>
      <c r="L276" s="108">
        <v>1</v>
      </c>
      <c r="M276" s="114">
        <v>1609200</v>
      </c>
      <c r="N276" s="116">
        <f t="shared" si="18"/>
        <v>1609200</v>
      </c>
      <c r="P276" s="108">
        <f t="shared" si="19"/>
        <v>53</v>
      </c>
    </row>
    <row r="277" spans="1:16" ht="15" hidden="1" customHeight="1" x14ac:dyDescent="0.2">
      <c r="A277" s="108" t="s">
        <v>310</v>
      </c>
      <c r="B277" s="117" t="s">
        <v>561</v>
      </c>
      <c r="C277" s="108">
        <f t="shared" si="16"/>
        <v>1524</v>
      </c>
      <c r="D277" s="38">
        <f t="shared" si="17"/>
        <v>1</v>
      </c>
      <c r="G277" s="113" t="s">
        <v>37</v>
      </c>
      <c r="H277" s="108" t="s">
        <v>3718</v>
      </c>
      <c r="I277" s="12">
        <v>331</v>
      </c>
      <c r="J277" s="12">
        <v>1111</v>
      </c>
      <c r="K277" s="108" t="s">
        <v>20</v>
      </c>
      <c r="L277" s="108">
        <v>1</v>
      </c>
      <c r="M277" s="114">
        <v>1414800</v>
      </c>
      <c r="N277" s="116">
        <f t="shared" si="18"/>
        <v>1414800</v>
      </c>
      <c r="P277" s="108">
        <f t="shared" si="19"/>
        <v>54</v>
      </c>
    </row>
    <row r="278" spans="1:16" ht="15" hidden="1" customHeight="1" x14ac:dyDescent="0.2">
      <c r="A278" s="108" t="s">
        <v>310</v>
      </c>
      <c r="B278" s="117" t="s">
        <v>561</v>
      </c>
      <c r="C278" s="108">
        <f t="shared" si="16"/>
        <v>1525</v>
      </c>
      <c r="D278" s="38">
        <f t="shared" si="17"/>
        <v>1</v>
      </c>
      <c r="G278" s="113" t="s">
        <v>32</v>
      </c>
      <c r="H278" s="108" t="s">
        <v>1187</v>
      </c>
      <c r="I278" s="12">
        <v>331</v>
      </c>
      <c r="J278" s="12">
        <v>1111</v>
      </c>
      <c r="K278" s="108" t="s">
        <v>20</v>
      </c>
      <c r="L278" s="108">
        <v>1</v>
      </c>
      <c r="M278" s="114">
        <v>192000</v>
      </c>
      <c r="N278" s="116">
        <f t="shared" si="18"/>
        <v>192000</v>
      </c>
      <c r="P278" s="108">
        <f t="shared" si="19"/>
        <v>147</v>
      </c>
    </row>
    <row r="279" spans="1:16" ht="15" hidden="1" customHeight="1" x14ac:dyDescent="0.2">
      <c r="A279" s="108" t="s">
        <v>310</v>
      </c>
      <c r="B279" s="117" t="s">
        <v>561</v>
      </c>
      <c r="C279" s="108">
        <f t="shared" si="16"/>
        <v>1526</v>
      </c>
      <c r="D279" s="38">
        <f t="shared" si="17"/>
        <v>1</v>
      </c>
      <c r="G279" s="113" t="s">
        <v>1191</v>
      </c>
      <c r="H279" s="108" t="s">
        <v>1192</v>
      </c>
      <c r="I279" s="12">
        <v>331</v>
      </c>
      <c r="J279" s="12">
        <v>1111</v>
      </c>
      <c r="K279" s="108" t="s">
        <v>20</v>
      </c>
      <c r="L279" s="108">
        <v>1</v>
      </c>
      <c r="M279" s="114">
        <v>1640000</v>
      </c>
      <c r="N279" s="116">
        <f t="shared" si="18"/>
        <v>1640000</v>
      </c>
      <c r="P279" s="108">
        <f t="shared" si="19"/>
        <v>93</v>
      </c>
    </row>
    <row r="280" spans="1:16" ht="15" hidden="1" customHeight="1" x14ac:dyDescent="0.2">
      <c r="A280" s="108" t="s">
        <v>310</v>
      </c>
      <c r="B280" s="117" t="s">
        <v>665</v>
      </c>
      <c r="C280" s="108">
        <f t="shared" si="16"/>
        <v>1527</v>
      </c>
      <c r="D280" s="38">
        <f t="shared" si="17"/>
        <v>1</v>
      </c>
      <c r="G280" s="113" t="s">
        <v>23</v>
      </c>
      <c r="H280" s="108" t="s">
        <v>1193</v>
      </c>
      <c r="I280" s="12">
        <v>331</v>
      </c>
      <c r="J280" s="12">
        <v>1111</v>
      </c>
      <c r="K280" s="108" t="s">
        <v>20</v>
      </c>
      <c r="L280" s="108">
        <v>1</v>
      </c>
      <c r="M280" s="114">
        <v>138000</v>
      </c>
      <c r="N280" s="116">
        <f t="shared" si="18"/>
        <v>138000</v>
      </c>
      <c r="P280" s="108">
        <f t="shared" si="19"/>
        <v>88</v>
      </c>
    </row>
    <row r="281" spans="1:16" ht="15" hidden="1" customHeight="1" x14ac:dyDescent="0.2">
      <c r="A281" s="108" t="s">
        <v>310</v>
      </c>
      <c r="B281" s="117" t="s">
        <v>665</v>
      </c>
      <c r="C281" s="108">
        <f t="shared" si="16"/>
        <v>1528</v>
      </c>
      <c r="D281" s="38">
        <f t="shared" si="17"/>
        <v>1</v>
      </c>
      <c r="G281" s="113" t="s">
        <v>260</v>
      </c>
      <c r="H281" s="108" t="s">
        <v>1194</v>
      </c>
      <c r="I281" s="12">
        <v>331</v>
      </c>
      <c r="J281" s="12">
        <v>1111</v>
      </c>
      <c r="K281" s="108" t="s">
        <v>20</v>
      </c>
      <c r="L281" s="108">
        <v>1</v>
      </c>
      <c r="M281" s="114">
        <v>190000</v>
      </c>
      <c r="N281" s="116">
        <f t="shared" si="18"/>
        <v>190000</v>
      </c>
      <c r="P281" s="108">
        <f t="shared" si="19"/>
        <v>41</v>
      </c>
    </row>
    <row r="282" spans="1:16" ht="15" hidden="1" customHeight="1" x14ac:dyDescent="0.2">
      <c r="A282" s="108" t="s">
        <v>310</v>
      </c>
      <c r="B282" s="117" t="s">
        <v>507</v>
      </c>
      <c r="C282" s="108">
        <f t="shared" si="16"/>
        <v>1529</v>
      </c>
      <c r="D282" s="38">
        <f t="shared" si="17"/>
        <v>1</v>
      </c>
      <c r="G282" s="113" t="s">
        <v>23</v>
      </c>
      <c r="H282" s="108" t="s">
        <v>1195</v>
      </c>
      <c r="I282" s="12">
        <v>331</v>
      </c>
      <c r="J282" s="12">
        <v>1111</v>
      </c>
      <c r="K282" s="108" t="s">
        <v>20</v>
      </c>
      <c r="L282" s="108">
        <v>1</v>
      </c>
      <c r="M282" s="114">
        <v>173000</v>
      </c>
      <c r="N282" s="116">
        <f t="shared" si="18"/>
        <v>173000</v>
      </c>
      <c r="P282" s="108">
        <f t="shared" si="19"/>
        <v>161</v>
      </c>
    </row>
    <row r="283" spans="1:16" ht="15" hidden="1" customHeight="1" x14ac:dyDescent="0.2">
      <c r="A283" s="108" t="s">
        <v>18</v>
      </c>
      <c r="B283" s="117" t="s">
        <v>827</v>
      </c>
      <c r="C283" s="108">
        <f t="shared" si="16"/>
        <v>1530</v>
      </c>
      <c r="D283" s="38">
        <f t="shared" si="17"/>
        <v>1</v>
      </c>
      <c r="E283" s="113"/>
      <c r="G283" s="113" t="s">
        <v>269</v>
      </c>
      <c r="H283" s="108" t="s">
        <v>949</v>
      </c>
      <c r="I283" s="12">
        <v>64277</v>
      </c>
      <c r="J283" s="12">
        <v>331</v>
      </c>
      <c r="K283" s="108" t="s">
        <v>20</v>
      </c>
      <c r="L283" s="108">
        <v>1</v>
      </c>
      <c r="M283" s="116">
        <v>200000</v>
      </c>
      <c r="N283" s="116">
        <f t="shared" si="18"/>
        <v>200000</v>
      </c>
      <c r="P283" s="108">
        <f t="shared" si="19"/>
        <v>25</v>
      </c>
    </row>
    <row r="284" spans="1:16" ht="15" hidden="1" customHeight="1" x14ac:dyDescent="0.2">
      <c r="A284" s="108" t="s">
        <v>18</v>
      </c>
      <c r="B284" s="117" t="s">
        <v>827</v>
      </c>
      <c r="C284" s="108">
        <f t="shared" si="16"/>
        <v>1530</v>
      </c>
      <c r="D284" s="38">
        <f t="shared" si="17"/>
        <v>0</v>
      </c>
      <c r="E284" s="113"/>
      <c r="G284" s="113" t="s">
        <v>269</v>
      </c>
      <c r="H284" s="108" t="s">
        <v>949</v>
      </c>
      <c r="I284" s="12">
        <v>1331</v>
      </c>
      <c r="J284" s="12">
        <v>331</v>
      </c>
      <c r="K284" s="108" t="s">
        <v>20</v>
      </c>
      <c r="L284" s="108">
        <v>1</v>
      </c>
      <c r="M284" s="116">
        <v>0</v>
      </c>
      <c r="N284" s="116">
        <f t="shared" si="18"/>
        <v>0</v>
      </c>
      <c r="P284" s="108">
        <f t="shared" si="19"/>
        <v>25</v>
      </c>
    </row>
    <row r="285" spans="1:16" ht="15" hidden="1" customHeight="1" x14ac:dyDescent="0.2">
      <c r="A285" s="108" t="s">
        <v>18</v>
      </c>
      <c r="B285" s="117" t="s">
        <v>827</v>
      </c>
      <c r="C285" s="108">
        <f t="shared" si="16"/>
        <v>1531</v>
      </c>
      <c r="D285" s="38">
        <f t="shared" si="17"/>
        <v>1</v>
      </c>
      <c r="E285" s="113"/>
      <c r="G285" s="113" t="s">
        <v>23</v>
      </c>
      <c r="H285" s="108" t="s">
        <v>948</v>
      </c>
      <c r="I285" s="12">
        <v>64277</v>
      </c>
      <c r="J285" s="12">
        <v>331</v>
      </c>
      <c r="K285" s="108" t="s">
        <v>20</v>
      </c>
      <c r="L285" s="108">
        <v>1</v>
      </c>
      <c r="M285" s="116">
        <v>160185</v>
      </c>
      <c r="N285" s="116">
        <f t="shared" si="18"/>
        <v>160185</v>
      </c>
      <c r="P285" s="108">
        <f t="shared" si="19"/>
        <v>158</v>
      </c>
    </row>
    <row r="286" spans="1:16" ht="15" hidden="1" customHeight="1" x14ac:dyDescent="0.2">
      <c r="A286" s="108" t="s">
        <v>18</v>
      </c>
      <c r="B286" s="117" t="s">
        <v>827</v>
      </c>
      <c r="C286" s="108">
        <f t="shared" si="16"/>
        <v>1531</v>
      </c>
      <c r="D286" s="38">
        <f t="shared" si="17"/>
        <v>0</v>
      </c>
      <c r="E286" s="113"/>
      <c r="G286" s="113" t="s">
        <v>23</v>
      </c>
      <c r="H286" s="108" t="s">
        <v>948</v>
      </c>
      <c r="I286" s="12">
        <v>1331</v>
      </c>
      <c r="J286" s="12">
        <v>331</v>
      </c>
      <c r="K286" s="108" t="s">
        <v>20</v>
      </c>
      <c r="L286" s="108">
        <v>1</v>
      </c>
      <c r="M286" s="116">
        <v>12815</v>
      </c>
      <c r="N286" s="116">
        <f t="shared" si="18"/>
        <v>12815</v>
      </c>
      <c r="P286" s="108">
        <f t="shared" si="19"/>
        <v>158</v>
      </c>
    </row>
    <row r="287" spans="1:16" ht="15" hidden="1" customHeight="1" x14ac:dyDescent="0.2">
      <c r="A287" s="108" t="s">
        <v>18</v>
      </c>
      <c r="B287" s="117" t="s">
        <v>432</v>
      </c>
      <c r="C287" s="108">
        <f t="shared" si="16"/>
        <v>1532</v>
      </c>
      <c r="D287" s="38">
        <f t="shared" si="17"/>
        <v>1</v>
      </c>
      <c r="E287" s="113"/>
      <c r="G287" s="113" t="s">
        <v>270</v>
      </c>
      <c r="H287" s="108" t="s">
        <v>3633</v>
      </c>
      <c r="I287" s="12">
        <v>64277</v>
      </c>
      <c r="J287" s="12">
        <v>331</v>
      </c>
      <c r="K287" s="108" t="s">
        <v>20</v>
      </c>
      <c r="L287" s="108">
        <v>1</v>
      </c>
      <c r="M287" s="116">
        <v>168518</v>
      </c>
      <c r="N287" s="116">
        <f t="shared" si="18"/>
        <v>168518</v>
      </c>
      <c r="P287" s="108">
        <f t="shared" si="19"/>
        <v>42</v>
      </c>
    </row>
    <row r="288" spans="1:16" ht="15" hidden="1" customHeight="1" x14ac:dyDescent="0.2">
      <c r="A288" s="108" t="s">
        <v>18</v>
      </c>
      <c r="B288" s="117" t="s">
        <v>432</v>
      </c>
      <c r="C288" s="108">
        <f t="shared" si="16"/>
        <v>1532</v>
      </c>
      <c r="D288" s="38">
        <f t="shared" si="17"/>
        <v>0</v>
      </c>
      <c r="E288" s="113"/>
      <c r="G288" s="113" t="s">
        <v>270</v>
      </c>
      <c r="H288" s="108" t="s">
        <v>3633</v>
      </c>
      <c r="I288" s="12">
        <v>1331</v>
      </c>
      <c r="J288" s="12">
        <v>331</v>
      </c>
      <c r="K288" s="108" t="s">
        <v>20</v>
      </c>
      <c r="L288" s="108">
        <v>1</v>
      </c>
      <c r="M288" s="116">
        <v>13482</v>
      </c>
      <c r="N288" s="116">
        <f t="shared" si="18"/>
        <v>13482</v>
      </c>
      <c r="P288" s="108">
        <f t="shared" si="19"/>
        <v>42</v>
      </c>
    </row>
    <row r="289" spans="1:16" ht="15" hidden="1" customHeight="1" x14ac:dyDescent="0.2">
      <c r="A289" s="108" t="s">
        <v>18</v>
      </c>
      <c r="B289" s="117" t="s">
        <v>432</v>
      </c>
      <c r="C289" s="108">
        <f t="shared" si="16"/>
        <v>1533</v>
      </c>
      <c r="D289" s="38">
        <f t="shared" si="17"/>
        <v>1</v>
      </c>
      <c r="E289" s="113"/>
      <c r="G289" s="113" t="s">
        <v>44</v>
      </c>
      <c r="H289" s="108" t="s">
        <v>950</v>
      </c>
      <c r="I289" s="12">
        <v>64277</v>
      </c>
      <c r="J289" s="12">
        <v>331</v>
      </c>
      <c r="K289" s="108" t="s">
        <v>20</v>
      </c>
      <c r="L289" s="108">
        <v>1</v>
      </c>
      <c r="M289" s="116">
        <v>889532</v>
      </c>
      <c r="N289" s="116">
        <f t="shared" si="18"/>
        <v>889532</v>
      </c>
      <c r="P289" s="108">
        <f t="shared" si="19"/>
        <v>53</v>
      </c>
    </row>
    <row r="290" spans="1:16" ht="15" hidden="1" customHeight="1" x14ac:dyDescent="0.2">
      <c r="A290" s="108" t="s">
        <v>18</v>
      </c>
      <c r="B290" s="117" t="s">
        <v>432</v>
      </c>
      <c r="C290" s="108">
        <f t="shared" si="16"/>
        <v>1533</v>
      </c>
      <c r="D290" s="38">
        <f t="shared" si="17"/>
        <v>0</v>
      </c>
      <c r="E290" s="113"/>
      <c r="G290" s="113" t="s">
        <v>44</v>
      </c>
      <c r="H290" s="108" t="s">
        <v>950</v>
      </c>
      <c r="I290" s="12">
        <v>1331</v>
      </c>
      <c r="J290" s="12">
        <v>331</v>
      </c>
      <c r="K290" s="108" t="s">
        <v>20</v>
      </c>
      <c r="L290" s="108">
        <v>1</v>
      </c>
      <c r="M290" s="116">
        <v>71162</v>
      </c>
      <c r="N290" s="116">
        <f t="shared" si="18"/>
        <v>71162</v>
      </c>
      <c r="P290" s="108">
        <f t="shared" si="19"/>
        <v>53</v>
      </c>
    </row>
    <row r="291" spans="1:16" ht="15" hidden="1" customHeight="1" x14ac:dyDescent="0.2">
      <c r="A291" s="108" t="s">
        <v>18</v>
      </c>
      <c r="B291" s="117" t="s">
        <v>433</v>
      </c>
      <c r="C291" s="108">
        <f t="shared" si="16"/>
        <v>1534</v>
      </c>
      <c r="D291" s="38">
        <f t="shared" si="17"/>
        <v>1</v>
      </c>
      <c r="E291" s="113"/>
      <c r="G291" s="113" t="s">
        <v>19</v>
      </c>
      <c r="H291" s="108" t="s">
        <v>951</v>
      </c>
      <c r="I291" s="12">
        <v>64277</v>
      </c>
      <c r="J291" s="12">
        <v>331</v>
      </c>
      <c r="K291" s="108" t="s">
        <v>20</v>
      </c>
      <c r="L291" s="108">
        <v>1</v>
      </c>
      <c r="M291" s="116">
        <v>19000</v>
      </c>
      <c r="N291" s="116">
        <f t="shared" si="18"/>
        <v>19000</v>
      </c>
      <c r="P291" s="108">
        <f t="shared" si="19"/>
        <v>167</v>
      </c>
    </row>
    <row r="292" spans="1:16" ht="15" hidden="1" customHeight="1" x14ac:dyDescent="0.2">
      <c r="A292" s="108" t="s">
        <v>18</v>
      </c>
      <c r="B292" s="117" t="s">
        <v>433</v>
      </c>
      <c r="C292" s="108">
        <f t="shared" si="16"/>
        <v>1534</v>
      </c>
      <c r="D292" s="38">
        <f t="shared" si="17"/>
        <v>0</v>
      </c>
      <c r="E292" s="113"/>
      <c r="G292" s="113" t="s">
        <v>19</v>
      </c>
      <c r="H292" s="108" t="s">
        <v>951</v>
      </c>
      <c r="I292" s="12">
        <v>1331</v>
      </c>
      <c r="J292" s="12">
        <v>331</v>
      </c>
      <c r="K292" s="108" t="s">
        <v>20</v>
      </c>
      <c r="L292" s="108">
        <v>1</v>
      </c>
      <c r="M292" s="116">
        <v>1298</v>
      </c>
      <c r="N292" s="116">
        <f t="shared" si="18"/>
        <v>1298</v>
      </c>
      <c r="P292" s="108">
        <f t="shared" si="19"/>
        <v>167</v>
      </c>
    </row>
    <row r="293" spans="1:16" ht="15" hidden="1" customHeight="1" x14ac:dyDescent="0.2">
      <c r="A293" s="108" t="s">
        <v>18</v>
      </c>
      <c r="B293" s="117" t="s">
        <v>433</v>
      </c>
      <c r="C293" s="108">
        <f t="shared" si="16"/>
        <v>1535</v>
      </c>
      <c r="D293" s="38">
        <f t="shared" si="17"/>
        <v>1</v>
      </c>
      <c r="E293" s="113"/>
      <c r="G293" s="113" t="s">
        <v>23</v>
      </c>
      <c r="H293" s="108" t="s">
        <v>952</v>
      </c>
      <c r="I293" s="12">
        <v>64277</v>
      </c>
      <c r="J293" s="12">
        <v>331</v>
      </c>
      <c r="K293" s="108" t="s">
        <v>20</v>
      </c>
      <c r="L293" s="108">
        <v>1</v>
      </c>
      <c r="M293" s="116">
        <v>233334</v>
      </c>
      <c r="N293" s="116">
        <f t="shared" si="18"/>
        <v>233334</v>
      </c>
      <c r="P293" s="108">
        <f t="shared" si="19"/>
        <v>190</v>
      </c>
    </row>
    <row r="294" spans="1:16" ht="15" hidden="1" customHeight="1" x14ac:dyDescent="0.2">
      <c r="A294" s="108" t="s">
        <v>18</v>
      </c>
      <c r="B294" s="117" t="s">
        <v>433</v>
      </c>
      <c r="C294" s="108">
        <f t="shared" si="16"/>
        <v>1535</v>
      </c>
      <c r="D294" s="38">
        <f t="shared" si="17"/>
        <v>0</v>
      </c>
      <c r="E294" s="113"/>
      <c r="G294" s="113" t="s">
        <v>23</v>
      </c>
      <c r="H294" s="108" t="s">
        <v>952</v>
      </c>
      <c r="I294" s="12">
        <v>1331</v>
      </c>
      <c r="J294" s="12">
        <v>331</v>
      </c>
      <c r="K294" s="108" t="s">
        <v>20</v>
      </c>
      <c r="L294" s="108">
        <v>1</v>
      </c>
      <c r="M294" s="116">
        <v>18666</v>
      </c>
      <c r="N294" s="116">
        <f t="shared" si="18"/>
        <v>18666</v>
      </c>
      <c r="P294" s="108">
        <f t="shared" si="19"/>
        <v>190</v>
      </c>
    </row>
    <row r="295" spans="1:16" ht="15" hidden="1" customHeight="1" x14ac:dyDescent="0.2">
      <c r="A295" s="108" t="s">
        <v>18</v>
      </c>
      <c r="B295" s="117" t="s">
        <v>433</v>
      </c>
      <c r="C295" s="108">
        <f t="shared" si="16"/>
        <v>1536</v>
      </c>
      <c r="D295" s="38">
        <f t="shared" si="17"/>
        <v>1</v>
      </c>
      <c r="E295" s="113"/>
      <c r="G295" s="113" t="s">
        <v>267</v>
      </c>
      <c r="H295" s="108" t="s">
        <v>953</v>
      </c>
      <c r="I295" s="12">
        <v>64277</v>
      </c>
      <c r="J295" s="12">
        <v>331</v>
      </c>
      <c r="K295" s="108" t="s">
        <v>20</v>
      </c>
      <c r="L295" s="108">
        <v>1</v>
      </c>
      <c r="M295" s="116">
        <v>620370</v>
      </c>
      <c r="N295" s="116">
        <f t="shared" si="18"/>
        <v>620370</v>
      </c>
      <c r="P295" s="108">
        <f t="shared" si="19"/>
        <v>54</v>
      </c>
    </row>
    <row r="296" spans="1:16" ht="15" hidden="1" customHeight="1" x14ac:dyDescent="0.2">
      <c r="A296" s="108" t="s">
        <v>18</v>
      </c>
      <c r="B296" s="117" t="s">
        <v>433</v>
      </c>
      <c r="C296" s="108">
        <f t="shared" si="16"/>
        <v>1536</v>
      </c>
      <c r="D296" s="38">
        <f t="shared" si="17"/>
        <v>0</v>
      </c>
      <c r="E296" s="113"/>
      <c r="G296" s="113" t="s">
        <v>267</v>
      </c>
      <c r="H296" s="108" t="s">
        <v>953</v>
      </c>
      <c r="I296" s="12">
        <v>1331</v>
      </c>
      <c r="J296" s="12">
        <v>331</v>
      </c>
      <c r="K296" s="108" t="s">
        <v>20</v>
      </c>
      <c r="L296" s="108">
        <v>1</v>
      </c>
      <c r="M296" s="116">
        <v>49630</v>
      </c>
      <c r="N296" s="116">
        <f t="shared" si="18"/>
        <v>49630</v>
      </c>
      <c r="P296" s="108">
        <f t="shared" si="19"/>
        <v>54</v>
      </c>
    </row>
    <row r="297" spans="1:16" ht="15" hidden="1" customHeight="1" x14ac:dyDescent="0.2">
      <c r="A297" s="108" t="s">
        <v>18</v>
      </c>
      <c r="B297" s="117" t="s">
        <v>469</v>
      </c>
      <c r="C297" s="108">
        <f t="shared" si="16"/>
        <v>1537</v>
      </c>
      <c r="D297" s="38">
        <f t="shared" si="17"/>
        <v>1</v>
      </c>
      <c r="E297" s="113"/>
      <c r="G297" s="113" t="s">
        <v>19</v>
      </c>
      <c r="H297" s="108" t="s">
        <v>954</v>
      </c>
      <c r="I297" s="12">
        <v>64277</v>
      </c>
      <c r="J297" s="12">
        <v>331</v>
      </c>
      <c r="K297" s="108" t="s">
        <v>20</v>
      </c>
      <c r="L297" s="108">
        <v>1</v>
      </c>
      <c r="M297" s="116">
        <v>35000</v>
      </c>
      <c r="N297" s="116">
        <f t="shared" si="18"/>
        <v>35000</v>
      </c>
      <c r="P297" s="108">
        <f t="shared" si="19"/>
        <v>168</v>
      </c>
    </row>
    <row r="298" spans="1:16" ht="15" hidden="1" customHeight="1" x14ac:dyDescent="0.2">
      <c r="A298" s="108" t="s">
        <v>18</v>
      </c>
      <c r="B298" s="117" t="s">
        <v>469</v>
      </c>
      <c r="C298" s="108">
        <f t="shared" si="16"/>
        <v>1537</v>
      </c>
      <c r="D298" s="38">
        <f t="shared" si="17"/>
        <v>0</v>
      </c>
      <c r="E298" s="113"/>
      <c r="G298" s="113" t="s">
        <v>19</v>
      </c>
      <c r="H298" s="108" t="s">
        <v>954</v>
      </c>
      <c r="I298" s="12">
        <v>1331</v>
      </c>
      <c r="J298" s="12">
        <v>331</v>
      </c>
      <c r="K298" s="108" t="s">
        <v>20</v>
      </c>
      <c r="L298" s="108">
        <v>1</v>
      </c>
      <c r="M298" s="116">
        <v>2384</v>
      </c>
      <c r="N298" s="116">
        <f t="shared" si="18"/>
        <v>2384</v>
      </c>
      <c r="P298" s="108">
        <f t="shared" si="19"/>
        <v>168</v>
      </c>
    </row>
    <row r="299" spans="1:16" ht="15" hidden="1" customHeight="1" x14ac:dyDescent="0.2">
      <c r="A299" s="108" t="s">
        <v>18</v>
      </c>
      <c r="B299" s="117" t="s">
        <v>469</v>
      </c>
      <c r="C299" s="108">
        <f t="shared" si="16"/>
        <v>1538</v>
      </c>
      <c r="D299" s="38">
        <f t="shared" si="17"/>
        <v>1</v>
      </c>
      <c r="E299" s="113"/>
      <c r="G299" s="113" t="s">
        <v>23</v>
      </c>
      <c r="H299" s="108" t="s">
        <v>955</v>
      </c>
      <c r="I299" s="12">
        <v>64277</v>
      </c>
      <c r="J299" s="12">
        <v>331</v>
      </c>
      <c r="K299" s="108" t="s">
        <v>20</v>
      </c>
      <c r="L299" s="108">
        <v>1</v>
      </c>
      <c r="M299" s="116">
        <v>83333</v>
      </c>
      <c r="N299" s="116">
        <f t="shared" si="18"/>
        <v>83333</v>
      </c>
      <c r="P299" s="108">
        <f t="shared" si="19"/>
        <v>105</v>
      </c>
    </row>
    <row r="300" spans="1:16" ht="15" hidden="1" customHeight="1" x14ac:dyDescent="0.2">
      <c r="A300" s="108" t="s">
        <v>18</v>
      </c>
      <c r="B300" s="117" t="s">
        <v>469</v>
      </c>
      <c r="C300" s="108">
        <f t="shared" si="16"/>
        <v>1538</v>
      </c>
      <c r="D300" s="38">
        <f t="shared" si="17"/>
        <v>0</v>
      </c>
      <c r="E300" s="113"/>
      <c r="G300" s="113" t="s">
        <v>23</v>
      </c>
      <c r="H300" s="108" t="s">
        <v>955</v>
      </c>
      <c r="I300" s="12">
        <v>1331</v>
      </c>
      <c r="J300" s="12">
        <v>331</v>
      </c>
      <c r="K300" s="108" t="s">
        <v>20</v>
      </c>
      <c r="L300" s="108">
        <v>1</v>
      </c>
      <c r="M300" s="116">
        <v>6667</v>
      </c>
      <c r="N300" s="116">
        <f t="shared" si="18"/>
        <v>6667</v>
      </c>
      <c r="P300" s="108">
        <f t="shared" si="19"/>
        <v>105</v>
      </c>
    </row>
    <row r="301" spans="1:16" ht="15" hidden="1" customHeight="1" x14ac:dyDescent="0.2">
      <c r="A301" s="108" t="s">
        <v>18</v>
      </c>
      <c r="B301" s="117" t="s">
        <v>470</v>
      </c>
      <c r="C301" s="108">
        <f t="shared" si="16"/>
        <v>1539</v>
      </c>
      <c r="D301" s="38">
        <f t="shared" si="17"/>
        <v>1</v>
      </c>
      <c r="E301" s="113"/>
      <c r="G301" s="113" t="s">
        <v>22</v>
      </c>
      <c r="H301" s="108" t="s">
        <v>3635</v>
      </c>
      <c r="I301" s="12">
        <v>64277</v>
      </c>
      <c r="J301" s="12">
        <v>331</v>
      </c>
      <c r="K301" s="108" t="s">
        <v>20</v>
      </c>
      <c r="L301" s="108">
        <v>1</v>
      </c>
      <c r="M301" s="116">
        <v>793000</v>
      </c>
      <c r="N301" s="116">
        <f t="shared" si="18"/>
        <v>793000</v>
      </c>
      <c r="P301" s="108">
        <f t="shared" si="19"/>
        <v>40</v>
      </c>
    </row>
    <row r="302" spans="1:16" ht="15" hidden="1" customHeight="1" x14ac:dyDescent="0.2">
      <c r="A302" s="108" t="s">
        <v>18</v>
      </c>
      <c r="B302" s="117" t="s">
        <v>470</v>
      </c>
      <c r="C302" s="108">
        <f t="shared" si="16"/>
        <v>1539</v>
      </c>
      <c r="D302" s="38">
        <f t="shared" si="17"/>
        <v>0</v>
      </c>
      <c r="E302" s="113"/>
      <c r="G302" s="113" t="s">
        <v>22</v>
      </c>
      <c r="H302" s="108" t="s">
        <v>3635</v>
      </c>
      <c r="I302" s="12">
        <v>1331</v>
      </c>
      <c r="J302" s="12">
        <v>331</v>
      </c>
      <c r="K302" s="108" t="s">
        <v>20</v>
      </c>
      <c r="L302" s="108">
        <v>1</v>
      </c>
      <c r="M302" s="116">
        <v>63440</v>
      </c>
      <c r="N302" s="116">
        <f t="shared" si="18"/>
        <v>63440</v>
      </c>
      <c r="P302" s="108">
        <f t="shared" si="19"/>
        <v>40</v>
      </c>
    </row>
    <row r="303" spans="1:16" ht="15" hidden="1" customHeight="1" x14ac:dyDescent="0.2">
      <c r="A303" s="108" t="s">
        <v>18</v>
      </c>
      <c r="B303" s="117" t="s">
        <v>470</v>
      </c>
      <c r="C303" s="108">
        <f t="shared" si="16"/>
        <v>1540</v>
      </c>
      <c r="D303" s="38">
        <f t="shared" si="17"/>
        <v>1</v>
      </c>
      <c r="E303" s="113"/>
      <c r="G303" s="113" t="s">
        <v>19</v>
      </c>
      <c r="H303" s="108" t="s">
        <v>957</v>
      </c>
      <c r="I303" s="12">
        <v>64277</v>
      </c>
      <c r="J303" s="12">
        <v>331</v>
      </c>
      <c r="K303" s="108" t="s">
        <v>20</v>
      </c>
      <c r="L303" s="108">
        <v>1</v>
      </c>
      <c r="M303" s="116">
        <v>140000</v>
      </c>
      <c r="N303" s="116">
        <f t="shared" si="18"/>
        <v>140000</v>
      </c>
      <c r="P303" s="108">
        <f t="shared" si="19"/>
        <v>125</v>
      </c>
    </row>
    <row r="304" spans="1:16" ht="15" hidden="1" customHeight="1" x14ac:dyDescent="0.2">
      <c r="A304" s="108" t="s">
        <v>18</v>
      </c>
      <c r="B304" s="117" t="s">
        <v>470</v>
      </c>
      <c r="C304" s="108">
        <f t="shared" si="16"/>
        <v>1540</v>
      </c>
      <c r="D304" s="38">
        <f t="shared" si="17"/>
        <v>0</v>
      </c>
      <c r="E304" s="113"/>
      <c r="G304" s="113" t="s">
        <v>19</v>
      </c>
      <c r="H304" s="108" t="s">
        <v>957</v>
      </c>
      <c r="I304" s="12">
        <v>1331</v>
      </c>
      <c r="J304" s="12">
        <v>331</v>
      </c>
      <c r="K304" s="108" t="s">
        <v>20</v>
      </c>
      <c r="L304" s="108">
        <v>1</v>
      </c>
      <c r="M304" s="116">
        <v>10370</v>
      </c>
      <c r="N304" s="116">
        <f t="shared" si="18"/>
        <v>10370</v>
      </c>
      <c r="P304" s="108">
        <f t="shared" si="19"/>
        <v>125</v>
      </c>
    </row>
    <row r="305" spans="1:16" ht="15" hidden="1" customHeight="1" x14ac:dyDescent="0.2">
      <c r="A305" s="108" t="s">
        <v>18</v>
      </c>
      <c r="B305" s="117" t="s">
        <v>470</v>
      </c>
      <c r="C305" s="108">
        <f t="shared" si="16"/>
        <v>1541</v>
      </c>
      <c r="D305" s="38">
        <f t="shared" si="17"/>
        <v>1</v>
      </c>
      <c r="E305" s="113"/>
      <c r="G305" s="113" t="s">
        <v>24</v>
      </c>
      <c r="H305" s="108" t="s">
        <v>956</v>
      </c>
      <c r="I305" s="12">
        <v>64277</v>
      </c>
      <c r="J305" s="12">
        <v>331</v>
      </c>
      <c r="K305" s="108" t="s">
        <v>20</v>
      </c>
      <c r="L305" s="108">
        <v>1</v>
      </c>
      <c r="M305" s="116">
        <v>122000</v>
      </c>
      <c r="N305" s="116">
        <f t="shared" si="18"/>
        <v>122000</v>
      </c>
      <c r="P305" s="108">
        <f t="shared" si="19"/>
        <v>168</v>
      </c>
    </row>
    <row r="306" spans="1:16" ht="15" hidden="1" customHeight="1" x14ac:dyDescent="0.2">
      <c r="A306" s="108" t="s">
        <v>18</v>
      </c>
      <c r="B306" s="117" t="s">
        <v>470</v>
      </c>
      <c r="C306" s="108">
        <f t="shared" si="16"/>
        <v>1541</v>
      </c>
      <c r="D306" s="38">
        <f t="shared" si="17"/>
        <v>0</v>
      </c>
      <c r="E306" s="113"/>
      <c r="G306" s="113" t="s">
        <v>24</v>
      </c>
      <c r="H306" s="108" t="s">
        <v>956</v>
      </c>
      <c r="I306" s="12">
        <v>1331</v>
      </c>
      <c r="J306" s="12">
        <v>331</v>
      </c>
      <c r="K306" s="108" t="s">
        <v>20</v>
      </c>
      <c r="L306" s="108">
        <v>1</v>
      </c>
      <c r="M306" s="116">
        <v>8454</v>
      </c>
      <c r="N306" s="116">
        <f t="shared" si="18"/>
        <v>8454</v>
      </c>
      <c r="P306" s="108">
        <f t="shared" si="19"/>
        <v>168</v>
      </c>
    </row>
    <row r="307" spans="1:16" ht="15" hidden="1" customHeight="1" x14ac:dyDescent="0.2">
      <c r="A307" s="108" t="s">
        <v>18</v>
      </c>
      <c r="B307" s="117" t="s">
        <v>470</v>
      </c>
      <c r="C307" s="108">
        <f t="shared" si="16"/>
        <v>1542</v>
      </c>
      <c r="D307" s="38">
        <f t="shared" si="17"/>
        <v>1</v>
      </c>
      <c r="E307" s="113"/>
      <c r="G307" s="113" t="s">
        <v>443</v>
      </c>
      <c r="H307" s="108" t="s">
        <v>958</v>
      </c>
      <c r="I307" s="12">
        <v>64277</v>
      </c>
      <c r="J307" s="12">
        <v>331</v>
      </c>
      <c r="K307" s="108" t="s">
        <v>20</v>
      </c>
      <c r="L307" s="108">
        <v>1</v>
      </c>
      <c r="M307" s="116">
        <v>31000</v>
      </c>
      <c r="N307" s="116">
        <f t="shared" si="18"/>
        <v>31000</v>
      </c>
      <c r="P307" s="108">
        <f t="shared" si="19"/>
        <v>123</v>
      </c>
    </row>
    <row r="308" spans="1:16" ht="15" hidden="1" customHeight="1" x14ac:dyDescent="0.2">
      <c r="A308" s="108" t="s">
        <v>18</v>
      </c>
      <c r="B308" s="117" t="s">
        <v>470</v>
      </c>
      <c r="C308" s="108">
        <f t="shared" si="16"/>
        <v>1542</v>
      </c>
      <c r="D308" s="38">
        <f t="shared" si="17"/>
        <v>0</v>
      </c>
      <c r="E308" s="113"/>
      <c r="G308" s="113" t="s">
        <v>443</v>
      </c>
      <c r="H308" s="108" t="s">
        <v>958</v>
      </c>
      <c r="I308" s="12">
        <v>1331</v>
      </c>
      <c r="J308" s="12">
        <v>331</v>
      </c>
      <c r="K308" s="108" t="s">
        <v>20</v>
      </c>
      <c r="L308" s="108">
        <v>1</v>
      </c>
      <c r="M308" s="116">
        <v>2296</v>
      </c>
      <c r="N308" s="116">
        <f t="shared" si="18"/>
        <v>2296</v>
      </c>
      <c r="P308" s="108">
        <f t="shared" si="19"/>
        <v>123</v>
      </c>
    </row>
    <row r="309" spans="1:16" ht="15" hidden="1" customHeight="1" x14ac:dyDescent="0.2">
      <c r="A309" s="108" t="s">
        <v>18</v>
      </c>
      <c r="B309" s="117" t="s">
        <v>643</v>
      </c>
      <c r="C309" s="108">
        <f t="shared" si="16"/>
        <v>1543</v>
      </c>
      <c r="D309" s="38">
        <f t="shared" si="17"/>
        <v>1</v>
      </c>
      <c r="E309" s="113"/>
      <c r="G309" s="113" t="s">
        <v>35</v>
      </c>
      <c r="H309" s="108" t="s">
        <v>959</v>
      </c>
      <c r="I309" s="12">
        <v>64277</v>
      </c>
      <c r="J309" s="12">
        <v>331</v>
      </c>
      <c r="K309" s="108" t="s">
        <v>20</v>
      </c>
      <c r="L309" s="108">
        <v>1</v>
      </c>
      <c r="M309" s="116">
        <v>3000000</v>
      </c>
      <c r="N309" s="116">
        <f t="shared" si="18"/>
        <v>3000000</v>
      </c>
      <c r="P309" s="108">
        <f t="shared" si="19"/>
        <v>41</v>
      </c>
    </row>
    <row r="310" spans="1:16" ht="15" hidden="1" customHeight="1" x14ac:dyDescent="0.2">
      <c r="A310" s="108" t="s">
        <v>18</v>
      </c>
      <c r="B310" s="117" t="s">
        <v>643</v>
      </c>
      <c r="C310" s="108">
        <f t="shared" si="16"/>
        <v>1543</v>
      </c>
      <c r="D310" s="38">
        <f t="shared" si="17"/>
        <v>0</v>
      </c>
      <c r="E310" s="113"/>
      <c r="G310" s="113" t="s">
        <v>35</v>
      </c>
      <c r="H310" s="108" t="s">
        <v>959</v>
      </c>
      <c r="I310" s="12">
        <v>1331</v>
      </c>
      <c r="J310" s="12">
        <v>331</v>
      </c>
      <c r="K310" s="108" t="s">
        <v>20</v>
      </c>
      <c r="L310" s="108">
        <v>1</v>
      </c>
      <c r="M310" s="116">
        <v>240000</v>
      </c>
      <c r="N310" s="116">
        <f t="shared" si="18"/>
        <v>240000</v>
      </c>
      <c r="P310" s="108">
        <f t="shared" si="19"/>
        <v>41</v>
      </c>
    </row>
    <row r="311" spans="1:16" ht="15" hidden="1" customHeight="1" x14ac:dyDescent="0.2">
      <c r="A311" s="108" t="s">
        <v>18</v>
      </c>
      <c r="B311" s="117" t="s">
        <v>493</v>
      </c>
      <c r="C311" s="108">
        <f t="shared" si="16"/>
        <v>1544</v>
      </c>
      <c r="D311" s="38">
        <f t="shared" si="17"/>
        <v>1</v>
      </c>
      <c r="E311" s="113"/>
      <c r="G311" s="113" t="s">
        <v>964</v>
      </c>
      <c r="H311" s="108" t="s">
        <v>3637</v>
      </c>
      <c r="I311" s="12">
        <v>64277</v>
      </c>
      <c r="J311" s="12">
        <v>331</v>
      </c>
      <c r="K311" s="108" t="s">
        <v>20</v>
      </c>
      <c r="L311" s="108">
        <v>1</v>
      </c>
      <c r="M311" s="116">
        <v>30000</v>
      </c>
      <c r="N311" s="116">
        <f t="shared" si="18"/>
        <v>30000</v>
      </c>
      <c r="P311" s="108">
        <f t="shared" si="19"/>
        <v>30</v>
      </c>
    </row>
    <row r="312" spans="1:16" ht="15" hidden="1" customHeight="1" x14ac:dyDescent="0.2">
      <c r="A312" s="108" t="s">
        <v>18</v>
      </c>
      <c r="B312" s="117" t="s">
        <v>493</v>
      </c>
      <c r="C312" s="108">
        <f t="shared" si="16"/>
        <v>1544</v>
      </c>
      <c r="D312" s="38">
        <f t="shared" si="17"/>
        <v>0</v>
      </c>
      <c r="E312" s="113"/>
      <c r="G312" s="113" t="s">
        <v>964</v>
      </c>
      <c r="H312" s="108" t="s">
        <v>3637</v>
      </c>
      <c r="I312" s="12">
        <v>1331</v>
      </c>
      <c r="J312" s="12">
        <v>331</v>
      </c>
      <c r="K312" s="108" t="s">
        <v>20</v>
      </c>
      <c r="L312" s="108">
        <v>1</v>
      </c>
      <c r="M312" s="116">
        <v>2222</v>
      </c>
      <c r="N312" s="116">
        <f t="shared" si="18"/>
        <v>2222</v>
      </c>
      <c r="P312" s="108">
        <f t="shared" si="19"/>
        <v>30</v>
      </c>
    </row>
    <row r="313" spans="1:16" ht="15" hidden="1" customHeight="1" x14ac:dyDescent="0.2">
      <c r="A313" s="108" t="s">
        <v>18</v>
      </c>
      <c r="B313" s="117" t="s">
        <v>493</v>
      </c>
      <c r="C313" s="108">
        <f t="shared" si="16"/>
        <v>1545</v>
      </c>
      <c r="D313" s="38">
        <f t="shared" si="17"/>
        <v>1</v>
      </c>
      <c r="E313" s="113"/>
      <c r="G313" s="113" t="s">
        <v>24</v>
      </c>
      <c r="H313" s="108" t="s">
        <v>960</v>
      </c>
      <c r="I313" s="12">
        <v>64277</v>
      </c>
      <c r="J313" s="12">
        <v>331</v>
      </c>
      <c r="K313" s="108" t="s">
        <v>20</v>
      </c>
      <c r="L313" s="108">
        <v>1</v>
      </c>
      <c r="M313" s="116">
        <v>122000</v>
      </c>
      <c r="N313" s="116">
        <f t="shared" si="18"/>
        <v>122000</v>
      </c>
      <c r="P313" s="108">
        <f t="shared" si="19"/>
        <v>168</v>
      </c>
    </row>
    <row r="314" spans="1:16" ht="15" hidden="1" customHeight="1" x14ac:dyDescent="0.2">
      <c r="A314" s="108" t="s">
        <v>18</v>
      </c>
      <c r="B314" s="117" t="s">
        <v>493</v>
      </c>
      <c r="C314" s="108">
        <f t="shared" si="16"/>
        <v>1545</v>
      </c>
      <c r="D314" s="38">
        <f t="shared" si="17"/>
        <v>0</v>
      </c>
      <c r="E314" s="113"/>
      <c r="G314" s="113" t="s">
        <v>24</v>
      </c>
      <c r="H314" s="108" t="s">
        <v>960</v>
      </c>
      <c r="I314" s="12">
        <v>1331</v>
      </c>
      <c r="J314" s="12">
        <v>331</v>
      </c>
      <c r="K314" s="108" t="s">
        <v>20</v>
      </c>
      <c r="L314" s="108">
        <v>1</v>
      </c>
      <c r="M314" s="116">
        <v>8469</v>
      </c>
      <c r="N314" s="116">
        <f t="shared" si="18"/>
        <v>8469</v>
      </c>
      <c r="P314" s="108">
        <f t="shared" si="19"/>
        <v>168</v>
      </c>
    </row>
    <row r="315" spans="1:16" ht="15" hidden="1" customHeight="1" x14ac:dyDescent="0.2">
      <c r="A315" s="108" t="s">
        <v>18</v>
      </c>
      <c r="B315" s="117" t="s">
        <v>493</v>
      </c>
      <c r="C315" s="108">
        <f t="shared" si="16"/>
        <v>1546</v>
      </c>
      <c r="D315" s="38">
        <f t="shared" si="17"/>
        <v>1</v>
      </c>
      <c r="E315" s="113"/>
      <c r="G315" s="113" t="s">
        <v>19</v>
      </c>
      <c r="H315" s="108" t="s">
        <v>963</v>
      </c>
      <c r="I315" s="12">
        <v>64277</v>
      </c>
      <c r="J315" s="12">
        <v>331</v>
      </c>
      <c r="K315" s="108" t="s">
        <v>20</v>
      </c>
      <c r="L315" s="108">
        <v>1</v>
      </c>
      <c r="M315" s="116">
        <v>14000</v>
      </c>
      <c r="N315" s="116">
        <f t="shared" si="18"/>
        <v>14000</v>
      </c>
      <c r="P315" s="108">
        <f t="shared" si="19"/>
        <v>168</v>
      </c>
    </row>
    <row r="316" spans="1:16" ht="15" hidden="1" customHeight="1" x14ac:dyDescent="0.2">
      <c r="A316" s="108" t="s">
        <v>18</v>
      </c>
      <c r="B316" s="117" t="s">
        <v>493</v>
      </c>
      <c r="C316" s="108">
        <f t="shared" si="16"/>
        <v>1546</v>
      </c>
      <c r="D316" s="38">
        <f t="shared" si="17"/>
        <v>0</v>
      </c>
      <c r="E316" s="113"/>
      <c r="G316" s="113" t="s">
        <v>19</v>
      </c>
      <c r="H316" s="108" t="s">
        <v>963</v>
      </c>
      <c r="I316" s="12">
        <v>1331</v>
      </c>
      <c r="J316" s="12">
        <v>331</v>
      </c>
      <c r="K316" s="108" t="s">
        <v>20</v>
      </c>
      <c r="L316" s="108">
        <v>1</v>
      </c>
      <c r="M316" s="116">
        <v>958</v>
      </c>
      <c r="N316" s="116">
        <f t="shared" si="18"/>
        <v>958</v>
      </c>
      <c r="P316" s="108">
        <f t="shared" si="19"/>
        <v>168</v>
      </c>
    </row>
    <row r="317" spans="1:16" ht="15" hidden="1" customHeight="1" x14ac:dyDescent="0.2">
      <c r="A317" s="108" t="s">
        <v>18</v>
      </c>
      <c r="B317" s="117" t="s">
        <v>493</v>
      </c>
      <c r="C317" s="108">
        <f t="shared" si="16"/>
        <v>1547</v>
      </c>
      <c r="D317" s="38">
        <f t="shared" si="17"/>
        <v>1</v>
      </c>
      <c r="E317" s="113"/>
      <c r="G317" s="113" t="s">
        <v>19</v>
      </c>
      <c r="H317" s="108" t="s">
        <v>962</v>
      </c>
      <c r="I317" s="12">
        <v>64277</v>
      </c>
      <c r="J317" s="12">
        <v>331</v>
      </c>
      <c r="K317" s="108" t="s">
        <v>20</v>
      </c>
      <c r="L317" s="108">
        <v>1</v>
      </c>
      <c r="M317" s="116">
        <v>30000</v>
      </c>
      <c r="N317" s="116">
        <f t="shared" si="18"/>
        <v>30000</v>
      </c>
      <c r="P317" s="108">
        <f t="shared" si="19"/>
        <v>125</v>
      </c>
    </row>
    <row r="318" spans="1:16" ht="15" hidden="1" customHeight="1" x14ac:dyDescent="0.2">
      <c r="A318" s="108" t="s">
        <v>18</v>
      </c>
      <c r="B318" s="117" t="s">
        <v>493</v>
      </c>
      <c r="C318" s="108">
        <f t="shared" si="16"/>
        <v>1547</v>
      </c>
      <c r="D318" s="38">
        <f t="shared" si="17"/>
        <v>0</v>
      </c>
      <c r="E318" s="113"/>
      <c r="G318" s="113" t="s">
        <v>19</v>
      </c>
      <c r="H318" s="108" t="s">
        <v>962</v>
      </c>
      <c r="I318" s="12">
        <v>1331</v>
      </c>
      <c r="J318" s="12">
        <v>331</v>
      </c>
      <c r="K318" s="108" t="s">
        <v>20</v>
      </c>
      <c r="L318" s="108">
        <v>1</v>
      </c>
      <c r="M318" s="116">
        <v>2223</v>
      </c>
      <c r="N318" s="116">
        <f t="shared" si="18"/>
        <v>2223</v>
      </c>
      <c r="P318" s="108">
        <f t="shared" si="19"/>
        <v>125</v>
      </c>
    </row>
    <row r="319" spans="1:16" ht="15" hidden="1" customHeight="1" x14ac:dyDescent="0.2">
      <c r="A319" s="108" t="s">
        <v>18</v>
      </c>
      <c r="B319" s="117" t="s">
        <v>493</v>
      </c>
      <c r="C319" s="108">
        <f t="shared" si="16"/>
        <v>1548</v>
      </c>
      <c r="D319" s="38">
        <f t="shared" si="17"/>
        <v>1</v>
      </c>
      <c r="E319" s="113"/>
      <c r="G319" s="113" t="s">
        <v>19</v>
      </c>
      <c r="H319" s="108" t="s">
        <v>961</v>
      </c>
      <c r="I319" s="12">
        <v>64277</v>
      </c>
      <c r="J319" s="12">
        <v>331</v>
      </c>
      <c r="K319" s="108" t="s">
        <v>20</v>
      </c>
      <c r="L319" s="108">
        <v>1</v>
      </c>
      <c r="M319" s="116">
        <v>134000</v>
      </c>
      <c r="N319" s="116">
        <f t="shared" si="18"/>
        <v>134000</v>
      </c>
      <c r="P319" s="108">
        <f t="shared" si="19"/>
        <v>125</v>
      </c>
    </row>
    <row r="320" spans="1:16" ht="15" hidden="1" customHeight="1" x14ac:dyDescent="0.2">
      <c r="A320" s="108" t="s">
        <v>18</v>
      </c>
      <c r="B320" s="117" t="s">
        <v>493</v>
      </c>
      <c r="C320" s="108">
        <f t="shared" si="16"/>
        <v>1548</v>
      </c>
      <c r="D320" s="38">
        <f t="shared" si="17"/>
        <v>0</v>
      </c>
      <c r="E320" s="113"/>
      <c r="G320" s="113" t="s">
        <v>19</v>
      </c>
      <c r="H320" s="108" t="s">
        <v>961</v>
      </c>
      <c r="I320" s="12">
        <v>1331</v>
      </c>
      <c r="J320" s="12">
        <v>331</v>
      </c>
      <c r="K320" s="108" t="s">
        <v>20</v>
      </c>
      <c r="L320" s="108">
        <v>1</v>
      </c>
      <c r="M320" s="116">
        <v>9925</v>
      </c>
      <c r="N320" s="116">
        <f t="shared" si="18"/>
        <v>9925</v>
      </c>
      <c r="P320" s="108">
        <f t="shared" si="19"/>
        <v>125</v>
      </c>
    </row>
    <row r="321" spans="1:18" ht="15" hidden="1" customHeight="1" x14ac:dyDescent="0.2">
      <c r="A321" s="108" t="s">
        <v>18</v>
      </c>
      <c r="B321" s="117" t="s">
        <v>493</v>
      </c>
      <c r="C321" s="108">
        <f t="shared" si="16"/>
        <v>1549</v>
      </c>
      <c r="D321" s="38">
        <f t="shared" si="17"/>
        <v>1</v>
      </c>
      <c r="E321" s="113"/>
      <c r="G321" s="113" t="s">
        <v>265</v>
      </c>
      <c r="H321" s="108" t="s">
        <v>967</v>
      </c>
      <c r="I321" s="12">
        <v>64277</v>
      </c>
      <c r="J321" s="12">
        <v>331</v>
      </c>
      <c r="K321" s="108" t="s">
        <v>20</v>
      </c>
      <c r="L321" s="108">
        <v>1</v>
      </c>
      <c r="M321" s="116">
        <v>320000</v>
      </c>
      <c r="N321" s="116">
        <f t="shared" si="18"/>
        <v>320000</v>
      </c>
      <c r="P321" s="108">
        <f t="shared" si="19"/>
        <v>82</v>
      </c>
    </row>
    <row r="322" spans="1:18" ht="15" hidden="1" customHeight="1" x14ac:dyDescent="0.2">
      <c r="A322" s="108" t="s">
        <v>18</v>
      </c>
      <c r="B322" s="117" t="s">
        <v>493</v>
      </c>
      <c r="C322" s="108">
        <f t="shared" si="16"/>
        <v>1549</v>
      </c>
      <c r="D322" s="38">
        <f t="shared" si="17"/>
        <v>0</v>
      </c>
      <c r="E322" s="113"/>
      <c r="G322" s="113" t="s">
        <v>265</v>
      </c>
      <c r="H322" s="108" t="s">
        <v>967</v>
      </c>
      <c r="I322" s="12">
        <v>1331</v>
      </c>
      <c r="J322" s="12">
        <v>331</v>
      </c>
      <c r="K322" s="108" t="s">
        <v>20</v>
      </c>
      <c r="L322" s="108">
        <v>1</v>
      </c>
      <c r="M322" s="116">
        <v>25600</v>
      </c>
      <c r="N322" s="116">
        <f t="shared" si="18"/>
        <v>25600</v>
      </c>
      <c r="P322" s="108">
        <f t="shared" si="19"/>
        <v>82</v>
      </c>
    </row>
    <row r="323" spans="1:18" ht="15" hidden="1" customHeight="1" x14ac:dyDescent="0.2">
      <c r="A323" s="108" t="s">
        <v>18</v>
      </c>
      <c r="B323" s="117" t="s">
        <v>493</v>
      </c>
      <c r="C323" s="108">
        <f t="shared" si="16"/>
        <v>1550</v>
      </c>
      <c r="D323" s="38">
        <f t="shared" si="17"/>
        <v>1</v>
      </c>
      <c r="E323" s="113"/>
      <c r="G323" s="113" t="s">
        <v>965</v>
      </c>
      <c r="H323" s="108" t="s">
        <v>966</v>
      </c>
      <c r="I323" s="12">
        <v>64277</v>
      </c>
      <c r="J323" s="12">
        <v>331</v>
      </c>
      <c r="K323" s="108" t="s">
        <v>20</v>
      </c>
      <c r="L323" s="108">
        <v>1</v>
      </c>
      <c r="M323" s="116">
        <v>265000</v>
      </c>
      <c r="N323" s="116">
        <f t="shared" si="18"/>
        <v>265000</v>
      </c>
      <c r="P323" s="108">
        <f t="shared" si="19"/>
        <v>46</v>
      </c>
    </row>
    <row r="324" spans="1:18" ht="15" hidden="1" customHeight="1" x14ac:dyDescent="0.2">
      <c r="A324" s="108" t="s">
        <v>18</v>
      </c>
      <c r="B324" s="117" t="s">
        <v>493</v>
      </c>
      <c r="C324" s="108">
        <f t="shared" ref="C324:C387" si="20">C323+D324</f>
        <v>1550</v>
      </c>
      <c r="D324" s="38">
        <f t="shared" ref="D324:D387" si="21">IF(H324=H323,0,1)</f>
        <v>0</v>
      </c>
      <c r="E324" s="113"/>
      <c r="G324" s="113" t="s">
        <v>965</v>
      </c>
      <c r="H324" s="108" t="s">
        <v>966</v>
      </c>
      <c r="I324" s="12">
        <v>1331</v>
      </c>
      <c r="J324" s="12">
        <v>331</v>
      </c>
      <c r="K324" s="108" t="s">
        <v>20</v>
      </c>
      <c r="L324" s="108">
        <v>1</v>
      </c>
      <c r="M324" s="116">
        <v>21200</v>
      </c>
      <c r="N324" s="116">
        <f t="shared" ref="N324:N387" si="22">M324*L324</f>
        <v>21200</v>
      </c>
      <c r="P324" s="108">
        <f t="shared" ref="P324:P387" si="23">LEN(H324)</f>
        <v>46</v>
      </c>
    </row>
    <row r="325" spans="1:18" ht="15" hidden="1" customHeight="1" x14ac:dyDescent="0.2">
      <c r="A325" s="108" t="s">
        <v>18</v>
      </c>
      <c r="B325" s="117" t="s">
        <v>471</v>
      </c>
      <c r="C325" s="108">
        <f t="shared" si="20"/>
        <v>1551</v>
      </c>
      <c r="D325" s="38">
        <f t="shared" si="21"/>
        <v>1</v>
      </c>
      <c r="E325" s="113"/>
      <c r="G325" s="113" t="s">
        <v>19</v>
      </c>
      <c r="H325" s="108" t="s">
        <v>970</v>
      </c>
      <c r="I325" s="12">
        <v>64277</v>
      </c>
      <c r="J325" s="12">
        <v>331</v>
      </c>
      <c r="K325" s="108" t="s">
        <v>20</v>
      </c>
      <c r="L325" s="108">
        <v>1</v>
      </c>
      <c r="M325" s="116">
        <v>74000</v>
      </c>
      <c r="N325" s="116">
        <f t="shared" si="22"/>
        <v>74000</v>
      </c>
      <c r="P325" s="108">
        <f t="shared" si="23"/>
        <v>125</v>
      </c>
    </row>
    <row r="326" spans="1:18" ht="15" hidden="1" customHeight="1" x14ac:dyDescent="0.2">
      <c r="A326" s="108" t="s">
        <v>18</v>
      </c>
      <c r="B326" s="117" t="s">
        <v>471</v>
      </c>
      <c r="C326" s="108">
        <f t="shared" si="20"/>
        <v>1551</v>
      </c>
      <c r="D326" s="38">
        <f t="shared" si="21"/>
        <v>0</v>
      </c>
      <c r="E326" s="113"/>
      <c r="G326" s="113" t="s">
        <v>19</v>
      </c>
      <c r="H326" s="108" t="s">
        <v>970</v>
      </c>
      <c r="I326" s="12">
        <v>1331</v>
      </c>
      <c r="J326" s="12">
        <v>331</v>
      </c>
      <c r="K326" s="108" t="s">
        <v>20</v>
      </c>
      <c r="L326" s="108">
        <v>1</v>
      </c>
      <c r="M326" s="116">
        <v>5482</v>
      </c>
      <c r="N326" s="116">
        <f t="shared" si="22"/>
        <v>5482</v>
      </c>
      <c r="P326" s="108">
        <f t="shared" si="23"/>
        <v>125</v>
      </c>
    </row>
    <row r="327" spans="1:18" ht="15" hidden="1" customHeight="1" x14ac:dyDescent="0.2">
      <c r="A327" s="108" t="s">
        <v>18</v>
      </c>
      <c r="B327" s="117" t="s">
        <v>471</v>
      </c>
      <c r="C327" s="108">
        <f t="shared" si="20"/>
        <v>1552</v>
      </c>
      <c r="D327" s="38">
        <f t="shared" si="21"/>
        <v>1</v>
      </c>
      <c r="E327" s="113"/>
      <c r="G327" s="113" t="s">
        <v>19</v>
      </c>
      <c r="H327" s="108" t="s">
        <v>969</v>
      </c>
      <c r="I327" s="12">
        <v>64277</v>
      </c>
      <c r="J327" s="12">
        <v>331</v>
      </c>
      <c r="K327" s="108" t="s">
        <v>20</v>
      </c>
      <c r="L327" s="108">
        <v>1</v>
      </c>
      <c r="M327" s="116">
        <v>27000</v>
      </c>
      <c r="N327" s="116">
        <f t="shared" si="22"/>
        <v>27000</v>
      </c>
      <c r="P327" s="108">
        <f t="shared" si="23"/>
        <v>125</v>
      </c>
    </row>
    <row r="328" spans="1:18" ht="15" hidden="1" customHeight="1" x14ac:dyDescent="0.2">
      <c r="A328" s="108" t="s">
        <v>18</v>
      </c>
      <c r="B328" s="117" t="s">
        <v>471</v>
      </c>
      <c r="C328" s="108">
        <f t="shared" si="20"/>
        <v>1552</v>
      </c>
      <c r="D328" s="38">
        <f t="shared" si="21"/>
        <v>0</v>
      </c>
      <c r="E328" s="113"/>
      <c r="G328" s="113" t="s">
        <v>19</v>
      </c>
      <c r="H328" s="108" t="s">
        <v>969</v>
      </c>
      <c r="I328" s="12">
        <v>1331</v>
      </c>
      <c r="J328" s="12">
        <v>331</v>
      </c>
      <c r="K328" s="108" t="s">
        <v>20</v>
      </c>
      <c r="L328" s="108">
        <v>1</v>
      </c>
      <c r="M328" s="116">
        <v>2000</v>
      </c>
      <c r="N328" s="116">
        <f t="shared" si="22"/>
        <v>2000</v>
      </c>
      <c r="P328" s="108">
        <f t="shared" si="23"/>
        <v>125</v>
      </c>
    </row>
    <row r="329" spans="1:18" ht="15" hidden="1" customHeight="1" x14ac:dyDescent="0.2">
      <c r="A329" s="108" t="s">
        <v>18</v>
      </c>
      <c r="B329" s="117" t="s">
        <v>471</v>
      </c>
      <c r="C329" s="108">
        <f t="shared" si="20"/>
        <v>1553</v>
      </c>
      <c r="D329" s="38">
        <f t="shared" si="21"/>
        <v>1</v>
      </c>
      <c r="E329" s="113"/>
      <c r="G329" s="113" t="s">
        <v>19</v>
      </c>
      <c r="H329" s="108" t="s">
        <v>968</v>
      </c>
      <c r="I329" s="12">
        <v>64277</v>
      </c>
      <c r="J329" s="12">
        <v>331</v>
      </c>
      <c r="K329" s="108" t="s">
        <v>20</v>
      </c>
      <c r="L329" s="108">
        <v>1</v>
      </c>
      <c r="M329" s="116">
        <v>158000</v>
      </c>
      <c r="N329" s="116">
        <f t="shared" si="22"/>
        <v>158000</v>
      </c>
      <c r="P329" s="108">
        <f t="shared" si="23"/>
        <v>125</v>
      </c>
    </row>
    <row r="330" spans="1:18" ht="15" hidden="1" customHeight="1" x14ac:dyDescent="0.2">
      <c r="A330" s="108" t="s">
        <v>18</v>
      </c>
      <c r="B330" s="117" t="s">
        <v>471</v>
      </c>
      <c r="C330" s="108">
        <f t="shared" si="20"/>
        <v>1553</v>
      </c>
      <c r="D330" s="38">
        <f t="shared" si="21"/>
        <v>0</v>
      </c>
      <c r="E330" s="113"/>
      <c r="G330" s="113" t="s">
        <v>19</v>
      </c>
      <c r="H330" s="108" t="s">
        <v>968</v>
      </c>
      <c r="I330" s="12">
        <v>1331</v>
      </c>
      <c r="J330" s="12">
        <v>331</v>
      </c>
      <c r="K330" s="108" t="s">
        <v>20</v>
      </c>
      <c r="L330" s="108">
        <v>1</v>
      </c>
      <c r="M330" s="116">
        <v>11704</v>
      </c>
      <c r="N330" s="116">
        <f t="shared" si="22"/>
        <v>11704</v>
      </c>
      <c r="P330" s="108">
        <f t="shared" si="23"/>
        <v>125</v>
      </c>
      <c r="Q330" s="133"/>
      <c r="R330" s="133"/>
    </row>
    <row r="331" spans="1:18" ht="15" hidden="1" customHeight="1" x14ac:dyDescent="0.2">
      <c r="A331" s="108" t="s">
        <v>18</v>
      </c>
      <c r="B331" s="117" t="s">
        <v>471</v>
      </c>
      <c r="C331" s="108">
        <f t="shared" si="20"/>
        <v>1554</v>
      </c>
      <c r="D331" s="38">
        <f t="shared" si="21"/>
        <v>1</v>
      </c>
      <c r="E331" s="113"/>
      <c r="G331" s="113" t="s">
        <v>971</v>
      </c>
      <c r="H331" s="108" t="s">
        <v>972</v>
      </c>
      <c r="I331" s="12">
        <v>64277</v>
      </c>
      <c r="J331" s="12">
        <v>331</v>
      </c>
      <c r="K331" s="108" t="s">
        <v>20</v>
      </c>
      <c r="L331" s="108">
        <v>1</v>
      </c>
      <c r="M331" s="116">
        <v>590000</v>
      </c>
      <c r="N331" s="116">
        <f t="shared" si="22"/>
        <v>590000</v>
      </c>
      <c r="P331" s="108">
        <f t="shared" si="23"/>
        <v>77</v>
      </c>
    </row>
    <row r="332" spans="1:18" ht="15" hidden="1" customHeight="1" x14ac:dyDescent="0.2">
      <c r="A332" s="108" t="s">
        <v>18</v>
      </c>
      <c r="B332" s="117" t="s">
        <v>471</v>
      </c>
      <c r="C332" s="108">
        <f t="shared" si="20"/>
        <v>1554</v>
      </c>
      <c r="D332" s="38">
        <f t="shared" si="21"/>
        <v>0</v>
      </c>
      <c r="E332" s="113"/>
      <c r="G332" s="113" t="s">
        <v>971</v>
      </c>
      <c r="H332" s="108" t="s">
        <v>972</v>
      </c>
      <c r="I332" s="12">
        <v>1331</v>
      </c>
      <c r="J332" s="12">
        <v>331</v>
      </c>
      <c r="K332" s="108" t="s">
        <v>20</v>
      </c>
      <c r="L332" s="108">
        <v>1</v>
      </c>
      <c r="M332" s="116">
        <v>47200</v>
      </c>
      <c r="N332" s="116">
        <f t="shared" si="22"/>
        <v>47200</v>
      </c>
      <c r="P332" s="108">
        <f t="shared" si="23"/>
        <v>77</v>
      </c>
    </row>
    <row r="333" spans="1:18" ht="15" hidden="1" customHeight="1" x14ac:dyDescent="0.2">
      <c r="A333" s="108" t="s">
        <v>18</v>
      </c>
      <c r="B333" s="117" t="s">
        <v>534</v>
      </c>
      <c r="C333" s="108">
        <f t="shared" si="20"/>
        <v>1555</v>
      </c>
      <c r="D333" s="38">
        <f t="shared" si="21"/>
        <v>1</v>
      </c>
      <c r="E333" s="113"/>
      <c r="G333" s="113" t="s">
        <v>30</v>
      </c>
      <c r="H333" s="108" t="s">
        <v>973</v>
      </c>
      <c r="I333" s="12">
        <v>64277</v>
      </c>
      <c r="J333" s="12">
        <v>331</v>
      </c>
      <c r="K333" s="108" t="s">
        <v>20</v>
      </c>
      <c r="L333" s="108">
        <v>1</v>
      </c>
      <c r="M333" s="116">
        <v>-1199000</v>
      </c>
      <c r="N333" s="116">
        <f t="shared" si="22"/>
        <v>-1199000</v>
      </c>
      <c r="P333" s="108">
        <f t="shared" si="23"/>
        <v>28</v>
      </c>
    </row>
    <row r="334" spans="1:18" ht="15" hidden="1" customHeight="1" x14ac:dyDescent="0.2">
      <c r="A334" s="108" t="s">
        <v>18</v>
      </c>
      <c r="B334" s="117" t="s">
        <v>534</v>
      </c>
      <c r="C334" s="108">
        <f t="shared" si="20"/>
        <v>1555</v>
      </c>
      <c r="D334" s="38">
        <f t="shared" si="21"/>
        <v>0</v>
      </c>
      <c r="E334" s="113"/>
      <c r="G334" s="113" t="s">
        <v>30</v>
      </c>
      <c r="H334" s="108" t="s">
        <v>973</v>
      </c>
      <c r="I334" s="12">
        <v>1331</v>
      </c>
      <c r="J334" s="12">
        <v>331</v>
      </c>
      <c r="K334" s="108" t="s">
        <v>20</v>
      </c>
      <c r="L334" s="108">
        <v>1</v>
      </c>
      <c r="M334" s="116">
        <v>-88815</v>
      </c>
      <c r="N334" s="116">
        <f t="shared" si="22"/>
        <v>-88815</v>
      </c>
      <c r="P334" s="108">
        <f t="shared" si="23"/>
        <v>28</v>
      </c>
    </row>
    <row r="335" spans="1:18" ht="15" hidden="1" customHeight="1" x14ac:dyDescent="0.2">
      <c r="A335" s="108" t="s">
        <v>18</v>
      </c>
      <c r="B335" s="117" t="s">
        <v>534</v>
      </c>
      <c r="C335" s="108">
        <f t="shared" si="20"/>
        <v>1556</v>
      </c>
      <c r="D335" s="38">
        <f t="shared" si="21"/>
        <v>1</v>
      </c>
      <c r="E335" s="113"/>
      <c r="G335" s="113" t="s">
        <v>30</v>
      </c>
      <c r="H335" s="108" t="s">
        <v>974</v>
      </c>
      <c r="I335" s="12">
        <v>64277</v>
      </c>
      <c r="J335" s="12">
        <v>331</v>
      </c>
      <c r="K335" s="108" t="s">
        <v>20</v>
      </c>
      <c r="L335" s="108">
        <v>1</v>
      </c>
      <c r="M335" s="116">
        <v>1295371</v>
      </c>
      <c r="N335" s="116">
        <f t="shared" si="22"/>
        <v>1295371</v>
      </c>
      <c r="P335" s="108">
        <f t="shared" si="23"/>
        <v>13</v>
      </c>
    </row>
    <row r="336" spans="1:18" ht="15" hidden="1" customHeight="1" x14ac:dyDescent="0.2">
      <c r="A336" s="108" t="s">
        <v>18</v>
      </c>
      <c r="B336" s="117" t="s">
        <v>534</v>
      </c>
      <c r="C336" s="108">
        <f t="shared" si="20"/>
        <v>1556</v>
      </c>
      <c r="D336" s="38">
        <f t="shared" si="21"/>
        <v>0</v>
      </c>
      <c r="E336" s="113"/>
      <c r="G336" s="113" t="s">
        <v>30</v>
      </c>
      <c r="H336" s="108" t="s">
        <v>974</v>
      </c>
      <c r="I336" s="12">
        <v>1331</v>
      </c>
      <c r="J336" s="12">
        <v>331</v>
      </c>
      <c r="K336" s="108" t="s">
        <v>20</v>
      </c>
      <c r="L336" s="108">
        <v>1</v>
      </c>
      <c r="M336" s="116">
        <v>103629</v>
      </c>
      <c r="N336" s="116">
        <f t="shared" si="22"/>
        <v>103629</v>
      </c>
      <c r="P336" s="108">
        <f t="shared" si="23"/>
        <v>13</v>
      </c>
    </row>
    <row r="337" spans="1:16" ht="15" hidden="1" customHeight="1" x14ac:dyDescent="0.2">
      <c r="A337" s="108" t="s">
        <v>18</v>
      </c>
      <c r="B337" s="117" t="s">
        <v>534</v>
      </c>
      <c r="C337" s="108">
        <f t="shared" si="20"/>
        <v>1557</v>
      </c>
      <c r="D337" s="38">
        <f t="shared" si="21"/>
        <v>1</v>
      </c>
      <c r="E337" s="113"/>
      <c r="G337" s="113" t="s">
        <v>33</v>
      </c>
      <c r="H337" s="108" t="s">
        <v>3641</v>
      </c>
      <c r="I337" s="12">
        <v>64277</v>
      </c>
      <c r="J337" s="12">
        <v>331</v>
      </c>
      <c r="K337" s="108" t="s">
        <v>20</v>
      </c>
      <c r="L337" s="108">
        <v>1</v>
      </c>
      <c r="M337" s="116">
        <v>1092593</v>
      </c>
      <c r="N337" s="116">
        <f t="shared" si="22"/>
        <v>1092593</v>
      </c>
      <c r="P337" s="108">
        <f t="shared" si="23"/>
        <v>41</v>
      </c>
    </row>
    <row r="338" spans="1:16" ht="15" hidden="1" customHeight="1" x14ac:dyDescent="0.2">
      <c r="A338" s="108" t="s">
        <v>18</v>
      </c>
      <c r="B338" s="117" t="s">
        <v>534</v>
      </c>
      <c r="C338" s="108">
        <f t="shared" si="20"/>
        <v>1557</v>
      </c>
      <c r="D338" s="38">
        <f t="shared" si="21"/>
        <v>0</v>
      </c>
      <c r="E338" s="113"/>
      <c r="G338" s="113" t="s">
        <v>33</v>
      </c>
      <c r="H338" s="108" t="s">
        <v>3641</v>
      </c>
      <c r="I338" s="12">
        <v>1331</v>
      </c>
      <c r="J338" s="12">
        <v>331</v>
      </c>
      <c r="K338" s="108" t="s">
        <v>20</v>
      </c>
      <c r="L338" s="108">
        <v>1</v>
      </c>
      <c r="M338" s="116">
        <v>87407</v>
      </c>
      <c r="N338" s="116">
        <f t="shared" si="22"/>
        <v>87407</v>
      </c>
      <c r="P338" s="108">
        <f t="shared" si="23"/>
        <v>41</v>
      </c>
    </row>
    <row r="339" spans="1:16" ht="15" hidden="1" customHeight="1" x14ac:dyDescent="0.2">
      <c r="A339" s="108" t="s">
        <v>18</v>
      </c>
      <c r="B339" s="117" t="s">
        <v>534</v>
      </c>
      <c r="C339" s="108">
        <f t="shared" si="20"/>
        <v>1558</v>
      </c>
      <c r="D339" s="38">
        <f t="shared" si="21"/>
        <v>1</v>
      </c>
      <c r="E339" s="113"/>
      <c r="G339" s="113" t="s">
        <v>31</v>
      </c>
      <c r="H339" s="108" t="s">
        <v>3639</v>
      </c>
      <c r="I339" s="12">
        <v>64277</v>
      </c>
      <c r="J339" s="12">
        <v>331</v>
      </c>
      <c r="K339" s="108" t="s">
        <v>20</v>
      </c>
      <c r="L339" s="108">
        <v>1</v>
      </c>
      <c r="M339" s="116">
        <v>2579792</v>
      </c>
      <c r="N339" s="116">
        <f t="shared" si="22"/>
        <v>2579792</v>
      </c>
      <c r="P339" s="108">
        <f t="shared" si="23"/>
        <v>42</v>
      </c>
    </row>
    <row r="340" spans="1:16" ht="15" hidden="1" customHeight="1" x14ac:dyDescent="0.2">
      <c r="A340" s="108" t="s">
        <v>18</v>
      </c>
      <c r="B340" s="117" t="s">
        <v>534</v>
      </c>
      <c r="C340" s="108">
        <f t="shared" si="20"/>
        <v>1558</v>
      </c>
      <c r="D340" s="38">
        <f t="shared" si="21"/>
        <v>0</v>
      </c>
      <c r="E340" s="113"/>
      <c r="G340" s="113" t="s">
        <v>31</v>
      </c>
      <c r="H340" s="108" t="s">
        <v>3639</v>
      </c>
      <c r="I340" s="12">
        <v>1331</v>
      </c>
      <c r="J340" s="12">
        <v>331</v>
      </c>
      <c r="K340" s="108" t="s">
        <v>20</v>
      </c>
      <c r="L340" s="108">
        <v>1</v>
      </c>
      <c r="M340" s="116">
        <v>185008</v>
      </c>
      <c r="N340" s="116">
        <f t="shared" si="22"/>
        <v>185008</v>
      </c>
      <c r="P340" s="108">
        <f t="shared" si="23"/>
        <v>42</v>
      </c>
    </row>
    <row r="341" spans="1:16" ht="15" hidden="1" customHeight="1" x14ac:dyDescent="0.2">
      <c r="A341" s="108" t="s">
        <v>18</v>
      </c>
      <c r="B341" s="117" t="s">
        <v>536</v>
      </c>
      <c r="C341" s="108">
        <f t="shared" si="20"/>
        <v>1559</v>
      </c>
      <c r="D341" s="38">
        <f t="shared" si="21"/>
        <v>1</v>
      </c>
      <c r="E341" s="113"/>
      <c r="G341" s="113" t="s">
        <v>975</v>
      </c>
      <c r="H341" s="108" t="s">
        <v>3643</v>
      </c>
      <c r="I341" s="12">
        <v>64277</v>
      </c>
      <c r="J341" s="12">
        <v>331</v>
      </c>
      <c r="K341" s="108" t="s">
        <v>20</v>
      </c>
      <c r="L341" s="108">
        <v>1</v>
      </c>
      <c r="M341" s="116">
        <v>43562037</v>
      </c>
      <c r="N341" s="116">
        <f t="shared" si="22"/>
        <v>43562037</v>
      </c>
      <c r="P341" s="108">
        <f t="shared" si="23"/>
        <v>37</v>
      </c>
    </row>
    <row r="342" spans="1:16" ht="15" hidden="1" customHeight="1" x14ac:dyDescent="0.2">
      <c r="A342" s="108" t="s">
        <v>18</v>
      </c>
      <c r="B342" s="117" t="s">
        <v>536</v>
      </c>
      <c r="C342" s="108">
        <f t="shared" si="20"/>
        <v>1559</v>
      </c>
      <c r="D342" s="38">
        <f t="shared" si="21"/>
        <v>0</v>
      </c>
      <c r="E342" s="113"/>
      <c r="G342" s="113" t="s">
        <v>975</v>
      </c>
      <c r="H342" s="108" t="s">
        <v>3643</v>
      </c>
      <c r="I342" s="12">
        <v>1331</v>
      </c>
      <c r="J342" s="12">
        <v>331</v>
      </c>
      <c r="K342" s="108" t="s">
        <v>20</v>
      </c>
      <c r="L342" s="108">
        <v>1</v>
      </c>
      <c r="M342" s="116">
        <v>3484963</v>
      </c>
      <c r="N342" s="116">
        <f t="shared" si="22"/>
        <v>3484963</v>
      </c>
      <c r="P342" s="108">
        <f t="shared" si="23"/>
        <v>37</v>
      </c>
    </row>
    <row r="343" spans="1:16" ht="15" hidden="1" customHeight="1" x14ac:dyDescent="0.2">
      <c r="A343" s="108" t="s">
        <v>18</v>
      </c>
      <c r="B343" s="117" t="s">
        <v>536</v>
      </c>
      <c r="C343" s="108">
        <f t="shared" si="20"/>
        <v>1560</v>
      </c>
      <c r="D343" s="38">
        <f t="shared" si="21"/>
        <v>1</v>
      </c>
      <c r="E343" s="113"/>
      <c r="G343" s="113" t="s">
        <v>262</v>
      </c>
      <c r="H343" s="108" t="s">
        <v>976</v>
      </c>
      <c r="I343" s="12">
        <v>64277</v>
      </c>
      <c r="J343" s="12">
        <v>331</v>
      </c>
      <c r="K343" s="108" t="s">
        <v>20</v>
      </c>
      <c r="L343" s="108">
        <v>1</v>
      </c>
      <c r="M343" s="116">
        <v>195000</v>
      </c>
      <c r="N343" s="116">
        <f t="shared" si="22"/>
        <v>195000</v>
      </c>
      <c r="P343" s="108">
        <f t="shared" si="23"/>
        <v>114</v>
      </c>
    </row>
    <row r="344" spans="1:16" ht="15" hidden="1" customHeight="1" x14ac:dyDescent="0.2">
      <c r="A344" s="108" t="s">
        <v>18</v>
      </c>
      <c r="B344" s="117" t="s">
        <v>536</v>
      </c>
      <c r="C344" s="108">
        <f t="shared" si="20"/>
        <v>1560</v>
      </c>
      <c r="D344" s="38">
        <f t="shared" si="21"/>
        <v>0</v>
      </c>
      <c r="E344" s="113"/>
      <c r="G344" s="113" t="s">
        <v>262</v>
      </c>
      <c r="H344" s="108" t="s">
        <v>976</v>
      </c>
      <c r="I344" s="12">
        <v>1331</v>
      </c>
      <c r="J344" s="12">
        <v>331</v>
      </c>
      <c r="K344" s="108" t="s">
        <v>20</v>
      </c>
      <c r="L344" s="108">
        <v>1</v>
      </c>
      <c r="M344" s="116">
        <v>14444</v>
      </c>
      <c r="N344" s="116">
        <f t="shared" si="22"/>
        <v>14444</v>
      </c>
      <c r="P344" s="108">
        <f t="shared" si="23"/>
        <v>114</v>
      </c>
    </row>
    <row r="345" spans="1:16" ht="15" hidden="1" customHeight="1" x14ac:dyDescent="0.2">
      <c r="A345" s="108" t="s">
        <v>18</v>
      </c>
      <c r="B345" s="117" t="s">
        <v>644</v>
      </c>
      <c r="C345" s="108">
        <f t="shared" si="20"/>
        <v>1561</v>
      </c>
      <c r="D345" s="38">
        <f t="shared" si="21"/>
        <v>1</v>
      </c>
      <c r="E345" s="113"/>
      <c r="G345" s="113" t="s">
        <v>19</v>
      </c>
      <c r="H345" s="108" t="s">
        <v>977</v>
      </c>
      <c r="I345" s="12">
        <v>64277</v>
      </c>
      <c r="J345" s="12">
        <v>331</v>
      </c>
      <c r="K345" s="108" t="s">
        <v>20</v>
      </c>
      <c r="L345" s="108">
        <v>1</v>
      </c>
      <c r="M345" s="116">
        <v>157000</v>
      </c>
      <c r="N345" s="116">
        <f t="shared" si="22"/>
        <v>157000</v>
      </c>
      <c r="P345" s="108">
        <f t="shared" si="23"/>
        <v>125</v>
      </c>
    </row>
    <row r="346" spans="1:16" ht="15" hidden="1" customHeight="1" x14ac:dyDescent="0.2">
      <c r="A346" s="108" t="s">
        <v>18</v>
      </c>
      <c r="B346" s="117" t="s">
        <v>644</v>
      </c>
      <c r="C346" s="108">
        <f t="shared" si="20"/>
        <v>1561</v>
      </c>
      <c r="D346" s="38">
        <f t="shared" si="21"/>
        <v>0</v>
      </c>
      <c r="E346" s="113"/>
      <c r="G346" s="113" t="s">
        <v>19</v>
      </c>
      <c r="H346" s="108" t="s">
        <v>977</v>
      </c>
      <c r="I346" s="12">
        <v>1331</v>
      </c>
      <c r="J346" s="12">
        <v>331</v>
      </c>
      <c r="K346" s="108" t="s">
        <v>20</v>
      </c>
      <c r="L346" s="108">
        <v>1</v>
      </c>
      <c r="M346" s="116">
        <v>11629</v>
      </c>
      <c r="N346" s="116">
        <f t="shared" si="22"/>
        <v>11629</v>
      </c>
      <c r="P346" s="108">
        <f t="shared" si="23"/>
        <v>125</v>
      </c>
    </row>
    <row r="347" spans="1:16" ht="15" hidden="1" customHeight="1" x14ac:dyDescent="0.2">
      <c r="A347" s="108" t="s">
        <v>18</v>
      </c>
      <c r="B347" s="117" t="s">
        <v>494</v>
      </c>
      <c r="C347" s="108">
        <f t="shared" si="20"/>
        <v>1562</v>
      </c>
      <c r="D347" s="38">
        <f t="shared" si="21"/>
        <v>1</v>
      </c>
      <c r="E347" s="113"/>
      <c r="G347" s="113" t="s">
        <v>19</v>
      </c>
      <c r="H347" s="108" t="s">
        <v>979</v>
      </c>
      <c r="I347" s="12">
        <v>64277</v>
      </c>
      <c r="J347" s="12">
        <v>331</v>
      </c>
      <c r="K347" s="108" t="s">
        <v>20</v>
      </c>
      <c r="L347" s="108">
        <v>1</v>
      </c>
      <c r="M347" s="116">
        <v>35000</v>
      </c>
      <c r="N347" s="116">
        <f t="shared" si="22"/>
        <v>35000</v>
      </c>
      <c r="P347" s="108">
        <f t="shared" si="23"/>
        <v>125</v>
      </c>
    </row>
    <row r="348" spans="1:16" ht="15" hidden="1" customHeight="1" x14ac:dyDescent="0.2">
      <c r="A348" s="108" t="s">
        <v>18</v>
      </c>
      <c r="B348" s="117" t="s">
        <v>494</v>
      </c>
      <c r="C348" s="108">
        <f t="shared" si="20"/>
        <v>1562</v>
      </c>
      <c r="D348" s="38">
        <f t="shared" si="21"/>
        <v>0</v>
      </c>
      <c r="E348" s="113"/>
      <c r="G348" s="113" t="s">
        <v>19</v>
      </c>
      <c r="H348" s="108" t="s">
        <v>979</v>
      </c>
      <c r="I348" s="12">
        <v>1331</v>
      </c>
      <c r="J348" s="12">
        <v>331</v>
      </c>
      <c r="K348" s="108" t="s">
        <v>20</v>
      </c>
      <c r="L348" s="108">
        <v>1</v>
      </c>
      <c r="M348" s="116">
        <v>2593</v>
      </c>
      <c r="N348" s="116">
        <f t="shared" si="22"/>
        <v>2593</v>
      </c>
      <c r="P348" s="108">
        <f t="shared" si="23"/>
        <v>125</v>
      </c>
    </row>
    <row r="349" spans="1:16" ht="15" hidden="1" customHeight="1" x14ac:dyDescent="0.2">
      <c r="A349" s="108" t="s">
        <v>18</v>
      </c>
      <c r="B349" s="117" t="s">
        <v>494</v>
      </c>
      <c r="C349" s="108">
        <f t="shared" si="20"/>
        <v>1563</v>
      </c>
      <c r="D349" s="38">
        <f t="shared" si="21"/>
        <v>1</v>
      </c>
      <c r="E349" s="113"/>
      <c r="G349" s="113" t="s">
        <v>19</v>
      </c>
      <c r="H349" s="108" t="s">
        <v>978</v>
      </c>
      <c r="I349" s="12">
        <v>64277</v>
      </c>
      <c r="J349" s="12">
        <v>331</v>
      </c>
      <c r="K349" s="108" t="s">
        <v>20</v>
      </c>
      <c r="L349" s="108">
        <v>1</v>
      </c>
      <c r="M349" s="116">
        <v>28000</v>
      </c>
      <c r="N349" s="116">
        <f t="shared" si="22"/>
        <v>28000</v>
      </c>
      <c r="P349" s="108">
        <f t="shared" si="23"/>
        <v>125</v>
      </c>
    </row>
    <row r="350" spans="1:16" ht="15" hidden="1" customHeight="1" x14ac:dyDescent="0.2">
      <c r="A350" s="108" t="s">
        <v>18</v>
      </c>
      <c r="B350" s="117" t="s">
        <v>494</v>
      </c>
      <c r="C350" s="108">
        <f t="shared" si="20"/>
        <v>1563</v>
      </c>
      <c r="D350" s="38">
        <f t="shared" si="21"/>
        <v>0</v>
      </c>
      <c r="E350" s="113"/>
      <c r="G350" s="113" t="s">
        <v>19</v>
      </c>
      <c r="H350" s="108" t="s">
        <v>978</v>
      </c>
      <c r="I350" s="12">
        <v>1331</v>
      </c>
      <c r="J350" s="12">
        <v>331</v>
      </c>
      <c r="K350" s="108" t="s">
        <v>20</v>
      </c>
      <c r="L350" s="108">
        <v>1</v>
      </c>
      <c r="M350" s="116">
        <v>2074</v>
      </c>
      <c r="N350" s="116">
        <f t="shared" si="22"/>
        <v>2074</v>
      </c>
      <c r="P350" s="108">
        <f t="shared" si="23"/>
        <v>125</v>
      </c>
    </row>
    <row r="351" spans="1:16" ht="15" hidden="1" customHeight="1" x14ac:dyDescent="0.2">
      <c r="A351" s="108" t="s">
        <v>18</v>
      </c>
      <c r="B351" s="117" t="s">
        <v>494</v>
      </c>
      <c r="C351" s="108">
        <f t="shared" si="20"/>
        <v>1564</v>
      </c>
      <c r="D351" s="38">
        <f t="shared" si="21"/>
        <v>1</v>
      </c>
      <c r="E351" s="113"/>
      <c r="G351" s="113" t="s">
        <v>965</v>
      </c>
      <c r="H351" s="108" t="s">
        <v>980</v>
      </c>
      <c r="I351" s="12">
        <v>64277</v>
      </c>
      <c r="J351" s="12">
        <v>331</v>
      </c>
      <c r="K351" s="108" t="s">
        <v>20</v>
      </c>
      <c r="L351" s="108">
        <v>1</v>
      </c>
      <c r="M351" s="116">
        <v>890000</v>
      </c>
      <c r="N351" s="116">
        <f t="shared" si="22"/>
        <v>890000</v>
      </c>
      <c r="P351" s="108">
        <f t="shared" si="23"/>
        <v>76</v>
      </c>
    </row>
    <row r="352" spans="1:16" ht="15" hidden="1" customHeight="1" x14ac:dyDescent="0.2">
      <c r="A352" s="108" t="s">
        <v>18</v>
      </c>
      <c r="B352" s="117" t="s">
        <v>494</v>
      </c>
      <c r="C352" s="108">
        <f t="shared" si="20"/>
        <v>1564</v>
      </c>
      <c r="D352" s="38">
        <f t="shared" si="21"/>
        <v>0</v>
      </c>
      <c r="E352" s="113"/>
      <c r="G352" s="113" t="s">
        <v>965</v>
      </c>
      <c r="H352" s="108" t="s">
        <v>980</v>
      </c>
      <c r="I352" s="12">
        <v>1331</v>
      </c>
      <c r="J352" s="12">
        <v>331</v>
      </c>
      <c r="K352" s="108" t="s">
        <v>20</v>
      </c>
      <c r="L352" s="108">
        <v>1</v>
      </c>
      <c r="M352" s="116">
        <v>71200</v>
      </c>
      <c r="N352" s="116">
        <f t="shared" si="22"/>
        <v>71200</v>
      </c>
      <c r="P352" s="108">
        <f t="shared" si="23"/>
        <v>76</v>
      </c>
    </row>
    <row r="353" spans="1:17" ht="15" hidden="1" customHeight="1" x14ac:dyDescent="0.2">
      <c r="A353" s="108" t="s">
        <v>18</v>
      </c>
      <c r="B353" s="117" t="s">
        <v>658</v>
      </c>
      <c r="C353" s="108">
        <f t="shared" si="20"/>
        <v>1565</v>
      </c>
      <c r="D353" s="38">
        <f t="shared" si="21"/>
        <v>1</v>
      </c>
      <c r="E353" s="113"/>
      <c r="G353" s="113" t="s">
        <v>19</v>
      </c>
      <c r="H353" s="108" t="s">
        <v>982</v>
      </c>
      <c r="I353" s="12">
        <v>64277</v>
      </c>
      <c r="J353" s="12">
        <v>331</v>
      </c>
      <c r="K353" s="108" t="s">
        <v>20</v>
      </c>
      <c r="L353" s="108">
        <v>1</v>
      </c>
      <c r="M353" s="116">
        <v>69000</v>
      </c>
      <c r="N353" s="116">
        <f t="shared" si="22"/>
        <v>69000</v>
      </c>
      <c r="P353" s="108">
        <f t="shared" si="23"/>
        <v>125</v>
      </c>
    </row>
    <row r="354" spans="1:17" ht="15" hidden="1" customHeight="1" x14ac:dyDescent="0.2">
      <c r="A354" s="108" t="s">
        <v>18</v>
      </c>
      <c r="B354" s="117" t="s">
        <v>658</v>
      </c>
      <c r="C354" s="108">
        <f t="shared" si="20"/>
        <v>1565</v>
      </c>
      <c r="D354" s="38">
        <f t="shared" si="21"/>
        <v>0</v>
      </c>
      <c r="E354" s="113"/>
      <c r="G354" s="113" t="s">
        <v>19</v>
      </c>
      <c r="H354" s="108" t="s">
        <v>982</v>
      </c>
      <c r="I354" s="12">
        <v>1331</v>
      </c>
      <c r="J354" s="12">
        <v>331</v>
      </c>
      <c r="K354" s="108" t="s">
        <v>20</v>
      </c>
      <c r="L354" s="108">
        <v>1</v>
      </c>
      <c r="M354" s="116">
        <v>5111</v>
      </c>
      <c r="N354" s="116">
        <f t="shared" si="22"/>
        <v>5111</v>
      </c>
      <c r="P354" s="108">
        <f t="shared" si="23"/>
        <v>125</v>
      </c>
    </row>
    <row r="355" spans="1:17" ht="15" hidden="1" customHeight="1" x14ac:dyDescent="0.2">
      <c r="A355" s="108" t="s">
        <v>18</v>
      </c>
      <c r="B355" s="117" t="s">
        <v>658</v>
      </c>
      <c r="C355" s="108">
        <f t="shared" si="20"/>
        <v>1566</v>
      </c>
      <c r="D355" s="38">
        <f t="shared" si="21"/>
        <v>1</v>
      </c>
      <c r="E355" s="113"/>
      <c r="G355" s="113" t="s">
        <v>19</v>
      </c>
      <c r="H355" s="108" t="s">
        <v>981</v>
      </c>
      <c r="I355" s="12">
        <v>64277</v>
      </c>
      <c r="J355" s="12">
        <v>331</v>
      </c>
      <c r="K355" s="108" t="s">
        <v>20</v>
      </c>
      <c r="L355" s="108">
        <v>1</v>
      </c>
      <c r="M355" s="116">
        <v>92000</v>
      </c>
      <c r="N355" s="116">
        <f t="shared" si="22"/>
        <v>92000</v>
      </c>
      <c r="P355" s="108">
        <f t="shared" si="23"/>
        <v>125</v>
      </c>
    </row>
    <row r="356" spans="1:17" ht="15" hidden="1" customHeight="1" x14ac:dyDescent="0.2">
      <c r="A356" s="108" t="s">
        <v>18</v>
      </c>
      <c r="B356" s="117" t="s">
        <v>658</v>
      </c>
      <c r="C356" s="108">
        <f t="shared" si="20"/>
        <v>1566</v>
      </c>
      <c r="D356" s="38">
        <f t="shared" si="21"/>
        <v>0</v>
      </c>
      <c r="E356" s="113"/>
      <c r="G356" s="113" t="s">
        <v>19</v>
      </c>
      <c r="H356" s="108" t="s">
        <v>981</v>
      </c>
      <c r="I356" s="12">
        <v>1331</v>
      </c>
      <c r="J356" s="12">
        <v>331</v>
      </c>
      <c r="K356" s="108" t="s">
        <v>20</v>
      </c>
      <c r="L356" s="108">
        <v>1</v>
      </c>
      <c r="M356" s="116">
        <v>6815</v>
      </c>
      <c r="N356" s="116">
        <f t="shared" si="22"/>
        <v>6815</v>
      </c>
      <c r="P356" s="108">
        <f t="shared" si="23"/>
        <v>125</v>
      </c>
    </row>
    <row r="357" spans="1:17" ht="15" hidden="1" customHeight="1" x14ac:dyDescent="0.2">
      <c r="A357" s="108" t="s">
        <v>18</v>
      </c>
      <c r="B357" s="117" t="s">
        <v>537</v>
      </c>
      <c r="C357" s="108">
        <f t="shared" si="20"/>
        <v>1567</v>
      </c>
      <c r="D357" s="38">
        <f t="shared" si="21"/>
        <v>1</v>
      </c>
      <c r="E357" s="113"/>
      <c r="G357" s="113" t="s">
        <v>984</v>
      </c>
      <c r="H357" s="108" t="s">
        <v>3645</v>
      </c>
      <c r="I357" s="12">
        <v>64277</v>
      </c>
      <c r="J357" s="12">
        <v>331</v>
      </c>
      <c r="K357" s="108" t="s">
        <v>20</v>
      </c>
      <c r="L357" s="108">
        <v>1</v>
      </c>
      <c r="M357" s="116">
        <v>1261050</v>
      </c>
      <c r="N357" s="116">
        <f t="shared" si="22"/>
        <v>1261050</v>
      </c>
      <c r="P357" s="108">
        <f t="shared" si="23"/>
        <v>40</v>
      </c>
    </row>
    <row r="358" spans="1:17" ht="15" hidden="1" customHeight="1" x14ac:dyDescent="0.2">
      <c r="A358" s="108" t="s">
        <v>18</v>
      </c>
      <c r="B358" s="117" t="s">
        <v>537</v>
      </c>
      <c r="C358" s="108">
        <f t="shared" si="20"/>
        <v>1567</v>
      </c>
      <c r="D358" s="38">
        <f t="shared" si="21"/>
        <v>0</v>
      </c>
      <c r="E358" s="113"/>
      <c r="G358" s="113" t="s">
        <v>984</v>
      </c>
      <c r="H358" s="108" t="s">
        <v>3645</v>
      </c>
      <c r="I358" s="12">
        <v>1331</v>
      </c>
      <c r="J358" s="12">
        <v>331</v>
      </c>
      <c r="K358" s="108" t="s">
        <v>20</v>
      </c>
      <c r="L358" s="108">
        <v>1</v>
      </c>
      <c r="M358" s="116">
        <v>100884</v>
      </c>
      <c r="N358" s="116">
        <f t="shared" si="22"/>
        <v>100884</v>
      </c>
      <c r="P358" s="108">
        <f t="shared" si="23"/>
        <v>40</v>
      </c>
    </row>
    <row r="359" spans="1:17" ht="15" hidden="1" customHeight="1" x14ac:dyDescent="0.2">
      <c r="A359" s="108" t="s">
        <v>18</v>
      </c>
      <c r="B359" s="117" t="s">
        <v>537</v>
      </c>
      <c r="C359" s="108">
        <f t="shared" si="20"/>
        <v>1568</v>
      </c>
      <c r="D359" s="38">
        <f t="shared" si="21"/>
        <v>1</v>
      </c>
      <c r="E359" s="113"/>
      <c r="G359" s="113" t="s">
        <v>23</v>
      </c>
      <c r="H359" s="108" t="s">
        <v>983</v>
      </c>
      <c r="I359" s="12">
        <v>64277</v>
      </c>
      <c r="J359" s="12">
        <v>331</v>
      </c>
      <c r="K359" s="108" t="s">
        <v>20</v>
      </c>
      <c r="L359" s="108">
        <v>1</v>
      </c>
      <c r="M359" s="116">
        <v>316667</v>
      </c>
      <c r="N359" s="116">
        <f t="shared" si="22"/>
        <v>316667</v>
      </c>
      <c r="P359" s="108">
        <f t="shared" si="23"/>
        <v>198</v>
      </c>
    </row>
    <row r="360" spans="1:17" ht="15" hidden="1" customHeight="1" x14ac:dyDescent="0.2">
      <c r="A360" s="108" t="s">
        <v>18</v>
      </c>
      <c r="B360" s="117" t="s">
        <v>537</v>
      </c>
      <c r="C360" s="108">
        <f t="shared" si="20"/>
        <v>1568</v>
      </c>
      <c r="D360" s="38">
        <f t="shared" si="21"/>
        <v>0</v>
      </c>
      <c r="E360" s="113"/>
      <c r="G360" s="113" t="s">
        <v>23</v>
      </c>
      <c r="H360" s="108" t="s">
        <v>983</v>
      </c>
      <c r="I360" s="12">
        <v>1331</v>
      </c>
      <c r="J360" s="12">
        <v>331</v>
      </c>
      <c r="K360" s="108" t="s">
        <v>20</v>
      </c>
      <c r="L360" s="108">
        <v>1</v>
      </c>
      <c r="M360" s="116">
        <v>25333</v>
      </c>
      <c r="N360" s="116">
        <f t="shared" si="22"/>
        <v>25333</v>
      </c>
      <c r="P360" s="108">
        <f t="shared" si="23"/>
        <v>198</v>
      </c>
    </row>
    <row r="361" spans="1:17" ht="15" hidden="1" customHeight="1" x14ac:dyDescent="0.2">
      <c r="A361" s="108" t="s">
        <v>18</v>
      </c>
      <c r="B361" s="117" t="s">
        <v>538</v>
      </c>
      <c r="C361" s="108">
        <f t="shared" si="20"/>
        <v>1569</v>
      </c>
      <c r="D361" s="38">
        <f t="shared" si="21"/>
        <v>1</v>
      </c>
      <c r="E361" s="113"/>
      <c r="G361" s="113" t="s">
        <v>19</v>
      </c>
      <c r="H361" s="108" t="s">
        <v>985</v>
      </c>
      <c r="I361" s="12">
        <v>64277</v>
      </c>
      <c r="J361" s="12">
        <v>331</v>
      </c>
      <c r="K361" s="108" t="s">
        <v>20</v>
      </c>
      <c r="L361" s="108">
        <v>1</v>
      </c>
      <c r="M361" s="116">
        <v>119000</v>
      </c>
      <c r="N361" s="116">
        <f t="shared" si="22"/>
        <v>119000</v>
      </c>
      <c r="P361" s="108">
        <f t="shared" si="23"/>
        <v>125</v>
      </c>
    </row>
    <row r="362" spans="1:17" ht="15" hidden="1" customHeight="1" x14ac:dyDescent="0.2">
      <c r="A362" s="108" t="s">
        <v>18</v>
      </c>
      <c r="B362" s="117" t="s">
        <v>538</v>
      </c>
      <c r="C362" s="108">
        <f t="shared" si="20"/>
        <v>1569</v>
      </c>
      <c r="D362" s="38">
        <f t="shared" si="21"/>
        <v>0</v>
      </c>
      <c r="E362" s="113"/>
      <c r="G362" s="113" t="s">
        <v>19</v>
      </c>
      <c r="H362" s="108" t="s">
        <v>985</v>
      </c>
      <c r="I362" s="12">
        <v>1331</v>
      </c>
      <c r="J362" s="12">
        <v>331</v>
      </c>
      <c r="K362" s="108" t="s">
        <v>20</v>
      </c>
      <c r="L362" s="108">
        <v>1</v>
      </c>
      <c r="M362" s="116">
        <v>8814</v>
      </c>
      <c r="N362" s="116">
        <f t="shared" si="22"/>
        <v>8814</v>
      </c>
      <c r="P362" s="108">
        <f t="shared" si="23"/>
        <v>125</v>
      </c>
    </row>
    <row r="363" spans="1:17" ht="15" hidden="1" customHeight="1" x14ac:dyDescent="0.2">
      <c r="A363" s="108" t="s">
        <v>18</v>
      </c>
      <c r="B363" s="117" t="s">
        <v>941</v>
      </c>
      <c r="C363" s="108">
        <f t="shared" si="20"/>
        <v>1570</v>
      </c>
      <c r="D363" s="38">
        <f t="shared" si="21"/>
        <v>1</v>
      </c>
      <c r="E363" s="113"/>
      <c r="G363" s="113" t="s">
        <v>263</v>
      </c>
      <c r="H363" s="108" t="s">
        <v>986</v>
      </c>
      <c r="I363" s="12">
        <v>64277</v>
      </c>
      <c r="J363" s="12">
        <v>331</v>
      </c>
      <c r="K363" s="108" t="s">
        <v>20</v>
      </c>
      <c r="L363" s="108">
        <v>1</v>
      </c>
      <c r="M363" s="116">
        <v>177778</v>
      </c>
      <c r="N363" s="116">
        <f t="shared" si="22"/>
        <v>177778</v>
      </c>
      <c r="P363" s="108">
        <f t="shared" si="23"/>
        <v>86</v>
      </c>
    </row>
    <row r="364" spans="1:17" ht="15" hidden="1" customHeight="1" x14ac:dyDescent="0.2">
      <c r="A364" s="108" t="s">
        <v>18</v>
      </c>
      <c r="B364" s="117" t="s">
        <v>941</v>
      </c>
      <c r="C364" s="108">
        <f t="shared" si="20"/>
        <v>1570</v>
      </c>
      <c r="D364" s="38">
        <f t="shared" si="21"/>
        <v>0</v>
      </c>
      <c r="E364" s="113"/>
      <c r="G364" s="113" t="s">
        <v>263</v>
      </c>
      <c r="H364" s="108" t="s">
        <v>986</v>
      </c>
      <c r="I364" s="12">
        <v>1331</v>
      </c>
      <c r="J364" s="12">
        <v>331</v>
      </c>
      <c r="K364" s="108" t="s">
        <v>20</v>
      </c>
      <c r="L364" s="108">
        <v>1</v>
      </c>
      <c r="M364" s="116">
        <v>14222</v>
      </c>
      <c r="N364" s="116">
        <f t="shared" si="22"/>
        <v>14222</v>
      </c>
      <c r="P364" s="108">
        <f t="shared" si="23"/>
        <v>86</v>
      </c>
    </row>
    <row r="365" spans="1:17" ht="15" hidden="1" customHeight="1" x14ac:dyDescent="0.2">
      <c r="A365" s="108" t="s">
        <v>18</v>
      </c>
      <c r="B365" s="117" t="s">
        <v>495</v>
      </c>
      <c r="C365" s="108">
        <f t="shared" si="20"/>
        <v>1571</v>
      </c>
      <c r="D365" s="38">
        <f t="shared" si="21"/>
        <v>1</v>
      </c>
      <c r="E365" s="113"/>
      <c r="G365" s="113" t="s">
        <v>19</v>
      </c>
      <c r="H365" s="108" t="s">
        <v>987</v>
      </c>
      <c r="I365" s="12">
        <v>64277</v>
      </c>
      <c r="J365" s="12">
        <v>331</v>
      </c>
      <c r="K365" s="108" t="s">
        <v>20</v>
      </c>
      <c r="L365" s="108">
        <v>1</v>
      </c>
      <c r="M365" s="116">
        <v>18000</v>
      </c>
      <c r="N365" s="116">
        <f t="shared" si="22"/>
        <v>18000</v>
      </c>
      <c r="P365" s="108">
        <f t="shared" si="23"/>
        <v>168</v>
      </c>
    </row>
    <row r="366" spans="1:17" ht="15" hidden="1" customHeight="1" x14ac:dyDescent="0.2">
      <c r="A366" s="108" t="s">
        <v>18</v>
      </c>
      <c r="B366" s="117" t="s">
        <v>495</v>
      </c>
      <c r="C366" s="108">
        <f t="shared" si="20"/>
        <v>1571</v>
      </c>
      <c r="D366" s="38">
        <f t="shared" si="21"/>
        <v>0</v>
      </c>
      <c r="E366" s="113"/>
      <c r="G366" s="113" t="s">
        <v>19</v>
      </c>
      <c r="H366" s="108" t="s">
        <v>987</v>
      </c>
      <c r="I366" s="12">
        <v>1331</v>
      </c>
      <c r="J366" s="12">
        <v>331</v>
      </c>
      <c r="K366" s="108" t="s">
        <v>20</v>
      </c>
      <c r="L366" s="108">
        <v>1</v>
      </c>
      <c r="M366" s="116">
        <v>1234</v>
      </c>
      <c r="N366" s="116">
        <f t="shared" si="22"/>
        <v>1234</v>
      </c>
      <c r="P366" s="108">
        <f t="shared" si="23"/>
        <v>168</v>
      </c>
      <c r="Q366" s="133"/>
    </row>
    <row r="367" spans="1:17" ht="15" hidden="1" customHeight="1" x14ac:dyDescent="0.2">
      <c r="A367" s="108" t="s">
        <v>18</v>
      </c>
      <c r="B367" s="117" t="s">
        <v>495</v>
      </c>
      <c r="C367" s="108">
        <f t="shared" si="20"/>
        <v>1572</v>
      </c>
      <c r="D367" s="38">
        <f t="shared" si="21"/>
        <v>1</v>
      </c>
      <c r="E367" s="113"/>
      <c r="G367" s="113" t="s">
        <v>260</v>
      </c>
      <c r="H367" s="108" t="s">
        <v>988</v>
      </c>
      <c r="I367" s="12">
        <v>64277</v>
      </c>
      <c r="J367" s="12">
        <v>331</v>
      </c>
      <c r="K367" s="108" t="s">
        <v>20</v>
      </c>
      <c r="L367" s="108">
        <v>1</v>
      </c>
      <c r="M367" s="116">
        <v>303704</v>
      </c>
      <c r="N367" s="116">
        <f t="shared" si="22"/>
        <v>303704</v>
      </c>
      <c r="P367" s="108">
        <f t="shared" si="23"/>
        <v>70</v>
      </c>
    </row>
    <row r="368" spans="1:17" ht="15" hidden="1" customHeight="1" x14ac:dyDescent="0.2">
      <c r="A368" s="108" t="s">
        <v>18</v>
      </c>
      <c r="B368" s="117" t="s">
        <v>495</v>
      </c>
      <c r="C368" s="108">
        <f t="shared" si="20"/>
        <v>1572</v>
      </c>
      <c r="D368" s="38">
        <f t="shared" si="21"/>
        <v>0</v>
      </c>
      <c r="E368" s="113"/>
      <c r="G368" s="113" t="s">
        <v>260</v>
      </c>
      <c r="H368" s="108" t="s">
        <v>988</v>
      </c>
      <c r="I368" s="12">
        <v>1331</v>
      </c>
      <c r="J368" s="12">
        <v>331</v>
      </c>
      <c r="K368" s="108" t="s">
        <v>20</v>
      </c>
      <c r="L368" s="108">
        <v>1</v>
      </c>
      <c r="M368" s="116">
        <v>24296</v>
      </c>
      <c r="N368" s="116">
        <f t="shared" si="22"/>
        <v>24296</v>
      </c>
      <c r="P368" s="108">
        <f t="shared" si="23"/>
        <v>70</v>
      </c>
    </row>
    <row r="369" spans="1:16" ht="15" hidden="1" customHeight="1" x14ac:dyDescent="0.2">
      <c r="A369" s="108" t="s">
        <v>18</v>
      </c>
      <c r="B369" s="117" t="s">
        <v>710</v>
      </c>
      <c r="C369" s="108">
        <f t="shared" si="20"/>
        <v>1573</v>
      </c>
      <c r="D369" s="38">
        <f t="shared" si="21"/>
        <v>1</v>
      </c>
      <c r="E369" s="113"/>
      <c r="G369" s="113" t="s">
        <v>19</v>
      </c>
      <c r="H369" s="108" t="s">
        <v>989</v>
      </c>
      <c r="I369" s="12">
        <v>64277</v>
      </c>
      <c r="J369" s="12">
        <v>331</v>
      </c>
      <c r="K369" s="108" t="s">
        <v>20</v>
      </c>
      <c r="L369" s="108">
        <v>1</v>
      </c>
      <c r="M369" s="116">
        <v>63000</v>
      </c>
      <c r="N369" s="116">
        <f t="shared" si="22"/>
        <v>63000</v>
      </c>
      <c r="P369" s="108">
        <f t="shared" si="23"/>
        <v>168</v>
      </c>
    </row>
    <row r="370" spans="1:16" ht="15" hidden="1" customHeight="1" x14ac:dyDescent="0.2">
      <c r="A370" s="108" t="s">
        <v>18</v>
      </c>
      <c r="B370" s="117" t="s">
        <v>710</v>
      </c>
      <c r="C370" s="108">
        <f t="shared" si="20"/>
        <v>1573</v>
      </c>
      <c r="D370" s="38">
        <f t="shared" si="21"/>
        <v>0</v>
      </c>
      <c r="E370" s="113"/>
      <c r="G370" s="113" t="s">
        <v>19</v>
      </c>
      <c r="H370" s="108" t="s">
        <v>989</v>
      </c>
      <c r="I370" s="12">
        <v>1331</v>
      </c>
      <c r="J370" s="12">
        <v>331</v>
      </c>
      <c r="K370" s="108" t="s">
        <v>20</v>
      </c>
      <c r="L370" s="108">
        <v>1</v>
      </c>
      <c r="M370" s="116">
        <v>4294</v>
      </c>
      <c r="N370" s="116">
        <f t="shared" si="22"/>
        <v>4294</v>
      </c>
      <c r="P370" s="108">
        <f t="shared" si="23"/>
        <v>168</v>
      </c>
    </row>
    <row r="371" spans="1:16" ht="15" hidden="1" customHeight="1" x14ac:dyDescent="0.2">
      <c r="A371" s="108" t="s">
        <v>18</v>
      </c>
      <c r="B371" s="117" t="s">
        <v>645</v>
      </c>
      <c r="C371" s="108">
        <f t="shared" si="20"/>
        <v>1574</v>
      </c>
      <c r="D371" s="38">
        <f t="shared" si="21"/>
        <v>1</v>
      </c>
      <c r="E371" s="113"/>
      <c r="G371" s="113" t="s">
        <v>990</v>
      </c>
      <c r="H371" s="108" t="s">
        <v>991</v>
      </c>
      <c r="I371" s="12">
        <v>64277</v>
      </c>
      <c r="J371" s="12">
        <v>331</v>
      </c>
      <c r="K371" s="108" t="s">
        <v>20</v>
      </c>
      <c r="L371" s="108">
        <v>1</v>
      </c>
      <c r="M371" s="116">
        <v>1175925</v>
      </c>
      <c r="N371" s="116">
        <f t="shared" si="22"/>
        <v>1175925</v>
      </c>
      <c r="P371" s="108">
        <f t="shared" si="23"/>
        <v>52</v>
      </c>
    </row>
    <row r="372" spans="1:16" ht="15" hidden="1" customHeight="1" x14ac:dyDescent="0.2">
      <c r="A372" s="108" t="s">
        <v>18</v>
      </c>
      <c r="B372" s="117" t="s">
        <v>645</v>
      </c>
      <c r="C372" s="108">
        <f t="shared" si="20"/>
        <v>1574</v>
      </c>
      <c r="D372" s="38">
        <f t="shared" si="21"/>
        <v>0</v>
      </c>
      <c r="E372" s="113"/>
      <c r="G372" s="113" t="s">
        <v>990</v>
      </c>
      <c r="H372" s="108" t="s">
        <v>991</v>
      </c>
      <c r="I372" s="12">
        <v>1331</v>
      </c>
      <c r="J372" s="12">
        <v>331</v>
      </c>
      <c r="K372" s="108" t="s">
        <v>20</v>
      </c>
      <c r="L372" s="108">
        <v>1</v>
      </c>
      <c r="M372" s="116">
        <v>94075</v>
      </c>
      <c r="N372" s="116">
        <f t="shared" si="22"/>
        <v>94075</v>
      </c>
      <c r="P372" s="108">
        <f t="shared" si="23"/>
        <v>52</v>
      </c>
    </row>
    <row r="373" spans="1:16" ht="15" hidden="1" customHeight="1" x14ac:dyDescent="0.2">
      <c r="A373" s="108" t="s">
        <v>18</v>
      </c>
      <c r="B373" s="117" t="s">
        <v>645</v>
      </c>
      <c r="C373" s="108">
        <f t="shared" si="20"/>
        <v>1575</v>
      </c>
      <c r="D373" s="38">
        <f t="shared" si="21"/>
        <v>1</v>
      </c>
      <c r="E373" s="113"/>
      <c r="G373" s="113" t="s">
        <v>19</v>
      </c>
      <c r="H373" s="108" t="s">
        <v>995</v>
      </c>
      <c r="I373" s="12">
        <v>64277</v>
      </c>
      <c r="J373" s="12">
        <v>331</v>
      </c>
      <c r="K373" s="108" t="s">
        <v>20</v>
      </c>
      <c r="L373" s="108">
        <v>1</v>
      </c>
      <c r="M373" s="116">
        <v>114000</v>
      </c>
      <c r="N373" s="116">
        <f t="shared" si="22"/>
        <v>114000</v>
      </c>
      <c r="P373" s="108">
        <f t="shared" si="23"/>
        <v>125</v>
      </c>
    </row>
    <row r="374" spans="1:16" ht="15" hidden="1" customHeight="1" x14ac:dyDescent="0.2">
      <c r="A374" s="108" t="s">
        <v>18</v>
      </c>
      <c r="B374" s="117" t="s">
        <v>645</v>
      </c>
      <c r="C374" s="108">
        <f t="shared" si="20"/>
        <v>1575</v>
      </c>
      <c r="D374" s="38">
        <f t="shared" si="21"/>
        <v>0</v>
      </c>
      <c r="E374" s="113"/>
      <c r="G374" s="113" t="s">
        <v>19</v>
      </c>
      <c r="H374" s="108" t="s">
        <v>995</v>
      </c>
      <c r="I374" s="12">
        <v>1331</v>
      </c>
      <c r="J374" s="12">
        <v>331</v>
      </c>
      <c r="K374" s="108" t="s">
        <v>20</v>
      </c>
      <c r="L374" s="108">
        <v>1</v>
      </c>
      <c r="M374" s="116">
        <v>8445</v>
      </c>
      <c r="N374" s="116">
        <f t="shared" si="22"/>
        <v>8445</v>
      </c>
      <c r="P374" s="108">
        <f t="shared" si="23"/>
        <v>125</v>
      </c>
    </row>
    <row r="375" spans="1:16" ht="15" hidden="1" customHeight="1" x14ac:dyDescent="0.2">
      <c r="A375" s="108" t="s">
        <v>18</v>
      </c>
      <c r="B375" s="117" t="s">
        <v>645</v>
      </c>
      <c r="C375" s="108">
        <f t="shared" si="20"/>
        <v>1576</v>
      </c>
      <c r="D375" s="38">
        <f t="shared" si="21"/>
        <v>1</v>
      </c>
      <c r="E375" s="113"/>
      <c r="G375" s="113" t="s">
        <v>19</v>
      </c>
      <c r="H375" s="108" t="s">
        <v>994</v>
      </c>
      <c r="I375" s="12">
        <v>64277</v>
      </c>
      <c r="J375" s="12">
        <v>331</v>
      </c>
      <c r="K375" s="108" t="s">
        <v>20</v>
      </c>
      <c r="L375" s="108">
        <v>1</v>
      </c>
      <c r="M375" s="116">
        <v>82000</v>
      </c>
      <c r="N375" s="116">
        <f t="shared" si="22"/>
        <v>82000</v>
      </c>
      <c r="P375" s="108">
        <f t="shared" si="23"/>
        <v>125</v>
      </c>
    </row>
    <row r="376" spans="1:16" ht="15" hidden="1" customHeight="1" x14ac:dyDescent="0.2">
      <c r="A376" s="108" t="s">
        <v>18</v>
      </c>
      <c r="B376" s="117" t="s">
        <v>645</v>
      </c>
      <c r="C376" s="108">
        <f t="shared" si="20"/>
        <v>1576</v>
      </c>
      <c r="D376" s="38">
        <f t="shared" si="21"/>
        <v>0</v>
      </c>
      <c r="E376" s="113"/>
      <c r="G376" s="113" t="s">
        <v>19</v>
      </c>
      <c r="H376" s="108" t="s">
        <v>994</v>
      </c>
      <c r="I376" s="12">
        <v>1331</v>
      </c>
      <c r="J376" s="12">
        <v>331</v>
      </c>
      <c r="K376" s="108" t="s">
        <v>20</v>
      </c>
      <c r="L376" s="108">
        <v>1</v>
      </c>
      <c r="M376" s="116">
        <v>6074</v>
      </c>
      <c r="N376" s="116">
        <f t="shared" si="22"/>
        <v>6074</v>
      </c>
      <c r="P376" s="108">
        <f t="shared" si="23"/>
        <v>125</v>
      </c>
    </row>
    <row r="377" spans="1:16" ht="15" hidden="1" customHeight="1" x14ac:dyDescent="0.2">
      <c r="A377" s="108" t="s">
        <v>18</v>
      </c>
      <c r="B377" s="117" t="s">
        <v>645</v>
      </c>
      <c r="C377" s="108">
        <f t="shared" si="20"/>
        <v>1577</v>
      </c>
      <c r="D377" s="38">
        <f t="shared" si="21"/>
        <v>1</v>
      </c>
      <c r="E377" s="113"/>
      <c r="G377" s="113" t="s">
        <v>19</v>
      </c>
      <c r="H377" s="108" t="s">
        <v>993</v>
      </c>
      <c r="I377" s="12">
        <v>64277</v>
      </c>
      <c r="J377" s="12">
        <v>331</v>
      </c>
      <c r="K377" s="108" t="s">
        <v>20</v>
      </c>
      <c r="L377" s="108">
        <v>1</v>
      </c>
      <c r="M377" s="116">
        <v>36000</v>
      </c>
      <c r="N377" s="116">
        <f t="shared" si="22"/>
        <v>36000</v>
      </c>
      <c r="P377" s="108">
        <f t="shared" si="23"/>
        <v>125</v>
      </c>
    </row>
    <row r="378" spans="1:16" ht="15" hidden="1" customHeight="1" x14ac:dyDescent="0.2">
      <c r="A378" s="108" t="s">
        <v>18</v>
      </c>
      <c r="B378" s="117" t="s">
        <v>645</v>
      </c>
      <c r="C378" s="108">
        <f t="shared" si="20"/>
        <v>1577</v>
      </c>
      <c r="D378" s="38">
        <f t="shared" si="21"/>
        <v>0</v>
      </c>
      <c r="E378" s="113"/>
      <c r="G378" s="113" t="s">
        <v>19</v>
      </c>
      <c r="H378" s="108" t="s">
        <v>993</v>
      </c>
      <c r="I378" s="12">
        <v>1331</v>
      </c>
      <c r="J378" s="12">
        <v>331</v>
      </c>
      <c r="K378" s="108" t="s">
        <v>20</v>
      </c>
      <c r="L378" s="108">
        <v>1</v>
      </c>
      <c r="M378" s="116">
        <v>2667</v>
      </c>
      <c r="N378" s="116">
        <f t="shared" si="22"/>
        <v>2667</v>
      </c>
      <c r="P378" s="108">
        <f t="shared" si="23"/>
        <v>125</v>
      </c>
    </row>
    <row r="379" spans="1:16" ht="15" hidden="1" customHeight="1" x14ac:dyDescent="0.2">
      <c r="A379" s="108" t="s">
        <v>18</v>
      </c>
      <c r="B379" s="117" t="s">
        <v>645</v>
      </c>
      <c r="C379" s="108">
        <f t="shared" si="20"/>
        <v>1578</v>
      </c>
      <c r="D379" s="38">
        <f t="shared" si="21"/>
        <v>1</v>
      </c>
      <c r="E379" s="113"/>
      <c r="G379" s="113" t="s">
        <v>24</v>
      </c>
      <c r="H379" s="108" t="s">
        <v>992</v>
      </c>
      <c r="I379" s="12">
        <v>64277</v>
      </c>
      <c r="J379" s="12">
        <v>331</v>
      </c>
      <c r="K379" s="108" t="s">
        <v>20</v>
      </c>
      <c r="L379" s="108">
        <v>1</v>
      </c>
      <c r="M379" s="116">
        <v>90000</v>
      </c>
      <c r="N379" s="116">
        <f t="shared" si="22"/>
        <v>90000</v>
      </c>
      <c r="P379" s="108">
        <f t="shared" si="23"/>
        <v>168</v>
      </c>
    </row>
    <row r="380" spans="1:16" ht="15" hidden="1" customHeight="1" x14ac:dyDescent="0.2">
      <c r="A380" s="108" t="s">
        <v>18</v>
      </c>
      <c r="B380" s="117" t="s">
        <v>645</v>
      </c>
      <c r="C380" s="108">
        <f t="shared" si="20"/>
        <v>1578</v>
      </c>
      <c r="D380" s="38">
        <f t="shared" si="21"/>
        <v>0</v>
      </c>
      <c r="E380" s="113"/>
      <c r="G380" s="113" t="s">
        <v>24</v>
      </c>
      <c r="H380" s="108" t="s">
        <v>992</v>
      </c>
      <c r="I380" s="12">
        <v>1331</v>
      </c>
      <c r="J380" s="12">
        <v>331</v>
      </c>
      <c r="K380" s="108" t="s">
        <v>20</v>
      </c>
      <c r="L380" s="108">
        <v>1</v>
      </c>
      <c r="M380" s="116">
        <v>6249</v>
      </c>
      <c r="N380" s="116">
        <f t="shared" si="22"/>
        <v>6249</v>
      </c>
      <c r="P380" s="108">
        <f t="shared" si="23"/>
        <v>168</v>
      </c>
    </row>
    <row r="381" spans="1:16" ht="15" hidden="1" customHeight="1" x14ac:dyDescent="0.2">
      <c r="A381" s="108" t="s">
        <v>18</v>
      </c>
      <c r="B381" s="117" t="s">
        <v>645</v>
      </c>
      <c r="C381" s="108">
        <f t="shared" si="20"/>
        <v>1579</v>
      </c>
      <c r="D381" s="38">
        <f t="shared" si="21"/>
        <v>1</v>
      </c>
      <c r="E381" s="113"/>
      <c r="G381" s="113" t="s">
        <v>266</v>
      </c>
      <c r="H381" s="108" t="s">
        <v>996</v>
      </c>
      <c r="I381" s="12">
        <v>64277</v>
      </c>
      <c r="J381" s="12">
        <v>331</v>
      </c>
      <c r="K381" s="108" t="s">
        <v>20</v>
      </c>
      <c r="L381" s="108">
        <v>1</v>
      </c>
      <c r="M381" s="116">
        <v>235185</v>
      </c>
      <c r="N381" s="116">
        <f t="shared" si="22"/>
        <v>235185</v>
      </c>
      <c r="P381" s="108">
        <f t="shared" si="23"/>
        <v>87</v>
      </c>
    </row>
    <row r="382" spans="1:16" ht="15" hidden="1" customHeight="1" x14ac:dyDescent="0.2">
      <c r="A382" s="108" t="s">
        <v>18</v>
      </c>
      <c r="B382" s="117" t="s">
        <v>645</v>
      </c>
      <c r="C382" s="108">
        <f t="shared" si="20"/>
        <v>1579</v>
      </c>
      <c r="D382" s="38">
        <f t="shared" si="21"/>
        <v>0</v>
      </c>
      <c r="E382" s="113"/>
      <c r="G382" s="113" t="s">
        <v>266</v>
      </c>
      <c r="H382" s="108" t="s">
        <v>996</v>
      </c>
      <c r="I382" s="12">
        <v>1331</v>
      </c>
      <c r="J382" s="12">
        <v>331</v>
      </c>
      <c r="K382" s="108" t="s">
        <v>20</v>
      </c>
      <c r="L382" s="108">
        <v>1</v>
      </c>
      <c r="M382" s="116">
        <v>18815</v>
      </c>
      <c r="N382" s="116">
        <f t="shared" si="22"/>
        <v>18815</v>
      </c>
      <c r="P382" s="108">
        <f t="shared" si="23"/>
        <v>87</v>
      </c>
    </row>
    <row r="383" spans="1:16" ht="15" hidden="1" customHeight="1" x14ac:dyDescent="0.2">
      <c r="A383" s="108" t="s">
        <v>18</v>
      </c>
      <c r="B383" s="117" t="s">
        <v>539</v>
      </c>
      <c r="C383" s="108">
        <f t="shared" si="20"/>
        <v>1580</v>
      </c>
      <c r="D383" s="38">
        <f t="shared" si="21"/>
        <v>1</v>
      </c>
      <c r="E383" s="113"/>
      <c r="G383" s="113" t="s">
        <v>999</v>
      </c>
      <c r="H383" s="108" t="s">
        <v>3647</v>
      </c>
      <c r="I383" s="12">
        <v>64277</v>
      </c>
      <c r="J383" s="12">
        <v>331</v>
      </c>
      <c r="K383" s="108" t="s">
        <v>20</v>
      </c>
      <c r="L383" s="108">
        <v>1</v>
      </c>
      <c r="M383" s="116">
        <v>975450</v>
      </c>
      <c r="N383" s="116">
        <f t="shared" si="22"/>
        <v>975450</v>
      </c>
      <c r="P383" s="108">
        <f t="shared" si="23"/>
        <v>40</v>
      </c>
    </row>
    <row r="384" spans="1:16" ht="15" hidden="1" customHeight="1" x14ac:dyDescent="0.2">
      <c r="A384" s="108" t="s">
        <v>18</v>
      </c>
      <c r="B384" s="117" t="s">
        <v>539</v>
      </c>
      <c r="C384" s="108">
        <f t="shared" si="20"/>
        <v>1580</v>
      </c>
      <c r="D384" s="38">
        <f t="shared" si="21"/>
        <v>0</v>
      </c>
      <c r="E384" s="113"/>
      <c r="G384" s="113" t="s">
        <v>999</v>
      </c>
      <c r="H384" s="108" t="s">
        <v>3647</v>
      </c>
      <c r="I384" s="12">
        <v>1331</v>
      </c>
      <c r="J384" s="12">
        <v>331</v>
      </c>
      <c r="K384" s="108" t="s">
        <v>20</v>
      </c>
      <c r="L384" s="108">
        <v>1</v>
      </c>
      <c r="M384" s="116">
        <v>0</v>
      </c>
      <c r="N384" s="116">
        <f t="shared" si="22"/>
        <v>0</v>
      </c>
      <c r="P384" s="108">
        <f t="shared" si="23"/>
        <v>40</v>
      </c>
    </row>
    <row r="385" spans="1:16" ht="15" hidden="1" customHeight="1" x14ac:dyDescent="0.2">
      <c r="A385" s="108" t="s">
        <v>18</v>
      </c>
      <c r="B385" s="117" t="s">
        <v>539</v>
      </c>
      <c r="C385" s="108">
        <f t="shared" si="20"/>
        <v>1581</v>
      </c>
      <c r="D385" s="38">
        <f t="shared" si="21"/>
        <v>1</v>
      </c>
      <c r="E385" s="113"/>
      <c r="G385" s="113" t="s">
        <v>19</v>
      </c>
      <c r="H385" s="108" t="s">
        <v>998</v>
      </c>
      <c r="I385" s="12">
        <v>64277</v>
      </c>
      <c r="J385" s="12">
        <v>331</v>
      </c>
      <c r="K385" s="108" t="s">
        <v>20</v>
      </c>
      <c r="L385" s="108">
        <v>1</v>
      </c>
      <c r="M385" s="116">
        <v>113000</v>
      </c>
      <c r="N385" s="116">
        <f t="shared" si="22"/>
        <v>113000</v>
      </c>
      <c r="P385" s="108">
        <f t="shared" si="23"/>
        <v>125</v>
      </c>
    </row>
    <row r="386" spans="1:16" ht="15" hidden="1" customHeight="1" x14ac:dyDescent="0.2">
      <c r="A386" s="108" t="s">
        <v>18</v>
      </c>
      <c r="B386" s="117" t="s">
        <v>539</v>
      </c>
      <c r="C386" s="108">
        <f t="shared" si="20"/>
        <v>1581</v>
      </c>
      <c r="D386" s="38">
        <f t="shared" si="21"/>
        <v>0</v>
      </c>
      <c r="E386" s="113"/>
      <c r="G386" s="113" t="s">
        <v>19</v>
      </c>
      <c r="H386" s="108" t="s">
        <v>998</v>
      </c>
      <c r="I386" s="12">
        <v>1331</v>
      </c>
      <c r="J386" s="12">
        <v>331</v>
      </c>
      <c r="K386" s="108" t="s">
        <v>20</v>
      </c>
      <c r="L386" s="108">
        <v>1</v>
      </c>
      <c r="M386" s="116">
        <v>8371</v>
      </c>
      <c r="N386" s="116">
        <f t="shared" si="22"/>
        <v>8371</v>
      </c>
      <c r="P386" s="108">
        <f t="shared" si="23"/>
        <v>125</v>
      </c>
    </row>
    <row r="387" spans="1:16" ht="15" hidden="1" customHeight="1" x14ac:dyDescent="0.2">
      <c r="A387" s="108" t="s">
        <v>18</v>
      </c>
      <c r="B387" s="117" t="s">
        <v>539</v>
      </c>
      <c r="C387" s="108">
        <f t="shared" si="20"/>
        <v>1582</v>
      </c>
      <c r="D387" s="38">
        <f t="shared" si="21"/>
        <v>1</v>
      </c>
      <c r="E387" s="113"/>
      <c r="G387" s="113" t="s">
        <v>24</v>
      </c>
      <c r="H387" s="108" t="s">
        <v>997</v>
      </c>
      <c r="I387" s="12">
        <v>64277</v>
      </c>
      <c r="J387" s="12">
        <v>331</v>
      </c>
      <c r="K387" s="108" t="s">
        <v>20</v>
      </c>
      <c r="L387" s="108">
        <v>1</v>
      </c>
      <c r="M387" s="116">
        <v>130000</v>
      </c>
      <c r="N387" s="116">
        <f t="shared" si="22"/>
        <v>130000</v>
      </c>
      <c r="P387" s="108">
        <f t="shared" si="23"/>
        <v>168</v>
      </c>
    </row>
    <row r="388" spans="1:16" ht="15" hidden="1" customHeight="1" x14ac:dyDescent="0.2">
      <c r="A388" s="108" t="s">
        <v>18</v>
      </c>
      <c r="B388" s="117" t="s">
        <v>539</v>
      </c>
      <c r="C388" s="108">
        <f t="shared" ref="C388:C451" si="24">C387+D388</f>
        <v>1582</v>
      </c>
      <c r="D388" s="38">
        <f t="shared" ref="D388:D451" si="25">IF(H388=H387,0,1)</f>
        <v>0</v>
      </c>
      <c r="E388" s="113"/>
      <c r="G388" s="113" t="s">
        <v>24</v>
      </c>
      <c r="H388" s="108" t="s">
        <v>997</v>
      </c>
      <c r="I388" s="12">
        <v>1331</v>
      </c>
      <c r="J388" s="12">
        <v>331</v>
      </c>
      <c r="K388" s="108" t="s">
        <v>20</v>
      </c>
      <c r="L388" s="108">
        <v>1</v>
      </c>
      <c r="M388" s="116">
        <v>9026</v>
      </c>
      <c r="N388" s="116">
        <f t="shared" ref="N388:N451" si="26">M388*L388</f>
        <v>9026</v>
      </c>
      <c r="P388" s="108">
        <f t="shared" ref="P388:P451" si="27">LEN(H388)</f>
        <v>168</v>
      </c>
    </row>
    <row r="389" spans="1:16" ht="15" hidden="1" customHeight="1" x14ac:dyDescent="0.2">
      <c r="A389" s="108" t="s">
        <v>18</v>
      </c>
      <c r="B389" s="117" t="s">
        <v>711</v>
      </c>
      <c r="C389" s="108">
        <f t="shared" si="24"/>
        <v>1583</v>
      </c>
      <c r="D389" s="38">
        <f t="shared" si="25"/>
        <v>1</v>
      </c>
      <c r="E389" s="113"/>
      <c r="G389" s="113" t="s">
        <v>19</v>
      </c>
      <c r="H389" s="108" t="s">
        <v>1002</v>
      </c>
      <c r="I389" s="12">
        <v>64277</v>
      </c>
      <c r="J389" s="12">
        <v>331</v>
      </c>
      <c r="K389" s="108" t="s">
        <v>20</v>
      </c>
      <c r="L389" s="108">
        <v>1</v>
      </c>
      <c r="M389" s="116">
        <v>94000</v>
      </c>
      <c r="N389" s="116">
        <f t="shared" si="26"/>
        <v>94000</v>
      </c>
      <c r="P389" s="108">
        <f t="shared" si="27"/>
        <v>125</v>
      </c>
    </row>
    <row r="390" spans="1:16" ht="15" hidden="1" customHeight="1" x14ac:dyDescent="0.2">
      <c r="A390" s="108" t="s">
        <v>18</v>
      </c>
      <c r="B390" s="117" t="s">
        <v>711</v>
      </c>
      <c r="C390" s="108">
        <f t="shared" si="24"/>
        <v>1583</v>
      </c>
      <c r="D390" s="38">
        <f t="shared" si="25"/>
        <v>0</v>
      </c>
      <c r="E390" s="113"/>
      <c r="G390" s="113" t="s">
        <v>19</v>
      </c>
      <c r="H390" s="108" t="s">
        <v>1002</v>
      </c>
      <c r="I390" s="12">
        <v>1331</v>
      </c>
      <c r="J390" s="12">
        <v>331</v>
      </c>
      <c r="K390" s="108" t="s">
        <v>20</v>
      </c>
      <c r="L390" s="108">
        <v>1</v>
      </c>
      <c r="M390" s="116">
        <v>6963</v>
      </c>
      <c r="N390" s="116">
        <f t="shared" si="26"/>
        <v>6963</v>
      </c>
      <c r="P390" s="108">
        <f t="shared" si="27"/>
        <v>125</v>
      </c>
    </row>
    <row r="391" spans="1:16" ht="15" hidden="1" customHeight="1" x14ac:dyDescent="0.2">
      <c r="A391" s="108" t="s">
        <v>18</v>
      </c>
      <c r="B391" s="117" t="s">
        <v>711</v>
      </c>
      <c r="C391" s="108">
        <f t="shared" si="24"/>
        <v>1584</v>
      </c>
      <c r="D391" s="38">
        <f t="shared" si="25"/>
        <v>1</v>
      </c>
      <c r="E391" s="113"/>
      <c r="G391" s="113" t="s">
        <v>19</v>
      </c>
      <c r="H391" s="108" t="s">
        <v>1001</v>
      </c>
      <c r="I391" s="12">
        <v>64277</v>
      </c>
      <c r="J391" s="12">
        <v>331</v>
      </c>
      <c r="K391" s="108" t="s">
        <v>20</v>
      </c>
      <c r="L391" s="108">
        <v>1</v>
      </c>
      <c r="M391" s="116">
        <v>122000</v>
      </c>
      <c r="N391" s="116">
        <f t="shared" si="26"/>
        <v>122000</v>
      </c>
      <c r="P391" s="108">
        <f t="shared" si="27"/>
        <v>125</v>
      </c>
    </row>
    <row r="392" spans="1:16" ht="15" hidden="1" customHeight="1" x14ac:dyDescent="0.2">
      <c r="A392" s="108" t="s">
        <v>18</v>
      </c>
      <c r="B392" s="117" t="s">
        <v>711</v>
      </c>
      <c r="C392" s="108">
        <f t="shared" si="24"/>
        <v>1584</v>
      </c>
      <c r="D392" s="38">
        <f t="shared" si="25"/>
        <v>0</v>
      </c>
      <c r="E392" s="113"/>
      <c r="G392" s="113" t="s">
        <v>19</v>
      </c>
      <c r="H392" s="108" t="s">
        <v>1001</v>
      </c>
      <c r="I392" s="12">
        <v>1331</v>
      </c>
      <c r="J392" s="12">
        <v>331</v>
      </c>
      <c r="K392" s="108" t="s">
        <v>20</v>
      </c>
      <c r="L392" s="108">
        <v>1</v>
      </c>
      <c r="M392" s="116">
        <v>9037</v>
      </c>
      <c r="N392" s="116">
        <f t="shared" si="26"/>
        <v>9037</v>
      </c>
      <c r="P392" s="108">
        <f t="shared" si="27"/>
        <v>125</v>
      </c>
    </row>
    <row r="393" spans="1:16" ht="15" hidden="1" customHeight="1" x14ac:dyDescent="0.2">
      <c r="A393" s="108" t="s">
        <v>18</v>
      </c>
      <c r="B393" s="117" t="s">
        <v>711</v>
      </c>
      <c r="C393" s="108">
        <f t="shared" si="24"/>
        <v>1585</v>
      </c>
      <c r="D393" s="38">
        <f t="shared" si="25"/>
        <v>1</v>
      </c>
      <c r="G393" s="113" t="s">
        <v>51</v>
      </c>
      <c r="H393" s="108" t="s">
        <v>1196</v>
      </c>
      <c r="I393" s="12">
        <v>131</v>
      </c>
      <c r="J393" s="12">
        <v>5113</v>
      </c>
      <c r="K393" s="108" t="s">
        <v>20</v>
      </c>
      <c r="L393" s="108">
        <v>1</v>
      </c>
      <c r="M393" s="114">
        <v>16129032</v>
      </c>
      <c r="N393" s="116">
        <f t="shared" si="26"/>
        <v>16129032</v>
      </c>
      <c r="P393" s="108">
        <f t="shared" si="27"/>
        <v>112</v>
      </c>
    </row>
    <row r="394" spans="1:16" ht="15" customHeight="1" x14ac:dyDescent="0.2">
      <c r="A394" s="108" t="s">
        <v>18</v>
      </c>
      <c r="B394" s="117" t="s">
        <v>711</v>
      </c>
      <c r="C394" s="108">
        <f t="shared" si="24"/>
        <v>1586</v>
      </c>
      <c r="D394" s="38">
        <f t="shared" si="25"/>
        <v>1</v>
      </c>
      <c r="G394" s="113" t="s">
        <v>51</v>
      </c>
      <c r="H394" s="108" t="s">
        <v>3733</v>
      </c>
      <c r="I394" s="12">
        <v>333821</v>
      </c>
      <c r="J394" s="12">
        <v>131</v>
      </c>
      <c r="K394" s="108" t="s">
        <v>20</v>
      </c>
      <c r="L394" s="108">
        <v>1</v>
      </c>
      <c r="M394" s="114">
        <v>161290</v>
      </c>
      <c r="N394" s="116">
        <f t="shared" si="26"/>
        <v>161290</v>
      </c>
      <c r="P394" s="108">
        <f t="shared" si="27"/>
        <v>128</v>
      </c>
    </row>
    <row r="395" spans="1:16" ht="15" hidden="1" customHeight="1" x14ac:dyDescent="0.2">
      <c r="A395" s="108" t="s">
        <v>18</v>
      </c>
      <c r="B395" s="117" t="s">
        <v>711</v>
      </c>
      <c r="C395" s="108">
        <f t="shared" si="24"/>
        <v>1587</v>
      </c>
      <c r="D395" s="38">
        <f t="shared" si="25"/>
        <v>1</v>
      </c>
      <c r="E395" s="113"/>
      <c r="G395" s="113" t="s">
        <v>27</v>
      </c>
      <c r="H395" s="108" t="s">
        <v>1000</v>
      </c>
      <c r="I395" s="12">
        <v>64277</v>
      </c>
      <c r="J395" s="12">
        <v>331</v>
      </c>
      <c r="K395" s="108" t="s">
        <v>20</v>
      </c>
      <c r="L395" s="108">
        <v>1</v>
      </c>
      <c r="M395" s="116">
        <v>144000</v>
      </c>
      <c r="N395" s="116">
        <f t="shared" si="26"/>
        <v>144000</v>
      </c>
      <c r="P395" s="108">
        <f t="shared" si="27"/>
        <v>47</v>
      </c>
    </row>
    <row r="396" spans="1:16" ht="15" hidden="1" customHeight="1" x14ac:dyDescent="0.2">
      <c r="A396" s="108" t="s">
        <v>18</v>
      </c>
      <c r="B396" s="117" t="s">
        <v>711</v>
      </c>
      <c r="C396" s="108">
        <f t="shared" si="24"/>
        <v>1587</v>
      </c>
      <c r="D396" s="38">
        <f t="shared" si="25"/>
        <v>0</v>
      </c>
      <c r="E396" s="113"/>
      <c r="G396" s="113" t="s">
        <v>27</v>
      </c>
      <c r="H396" s="108" t="s">
        <v>1000</v>
      </c>
      <c r="I396" s="12">
        <v>1331</v>
      </c>
      <c r="J396" s="12">
        <v>331</v>
      </c>
      <c r="K396" s="108" t="s">
        <v>20</v>
      </c>
      <c r="L396" s="108">
        <v>1</v>
      </c>
      <c r="M396" s="116">
        <v>11520</v>
      </c>
      <c r="N396" s="116">
        <f t="shared" si="26"/>
        <v>11520</v>
      </c>
      <c r="P396" s="108">
        <f t="shared" si="27"/>
        <v>47</v>
      </c>
    </row>
    <row r="397" spans="1:16" ht="15" hidden="1" customHeight="1" x14ac:dyDescent="0.2">
      <c r="A397" s="108" t="s">
        <v>18</v>
      </c>
      <c r="B397" s="117" t="s">
        <v>711</v>
      </c>
      <c r="C397" s="108">
        <f t="shared" si="24"/>
        <v>1588</v>
      </c>
      <c r="D397" s="38">
        <f t="shared" si="25"/>
        <v>1</v>
      </c>
      <c r="E397" s="113"/>
      <c r="G397" s="113" t="s">
        <v>971</v>
      </c>
      <c r="H397" s="108" t="s">
        <v>1003</v>
      </c>
      <c r="I397" s="12">
        <v>64277</v>
      </c>
      <c r="J397" s="12">
        <v>331</v>
      </c>
      <c r="K397" s="108" t="s">
        <v>20</v>
      </c>
      <c r="L397" s="108">
        <v>1</v>
      </c>
      <c r="M397" s="116">
        <v>455000</v>
      </c>
      <c r="N397" s="116">
        <f t="shared" si="26"/>
        <v>455000</v>
      </c>
      <c r="P397" s="108">
        <f t="shared" si="27"/>
        <v>44</v>
      </c>
    </row>
    <row r="398" spans="1:16" ht="15" hidden="1" customHeight="1" x14ac:dyDescent="0.2">
      <c r="A398" s="108" t="s">
        <v>18</v>
      </c>
      <c r="B398" s="117" t="s">
        <v>711</v>
      </c>
      <c r="C398" s="108">
        <f t="shared" si="24"/>
        <v>1588</v>
      </c>
      <c r="D398" s="38">
        <f t="shared" si="25"/>
        <v>0</v>
      </c>
      <c r="E398" s="113"/>
      <c r="G398" s="113" t="s">
        <v>971</v>
      </c>
      <c r="H398" s="108" t="s">
        <v>1003</v>
      </c>
      <c r="I398" s="12">
        <v>1331</v>
      </c>
      <c r="J398" s="12">
        <v>331</v>
      </c>
      <c r="K398" s="108" t="s">
        <v>20</v>
      </c>
      <c r="L398" s="108">
        <v>1</v>
      </c>
      <c r="M398" s="116">
        <v>36400</v>
      </c>
      <c r="N398" s="116">
        <f t="shared" si="26"/>
        <v>36400</v>
      </c>
      <c r="P398" s="108">
        <f t="shared" si="27"/>
        <v>44</v>
      </c>
    </row>
    <row r="399" spans="1:16" ht="15" hidden="1" customHeight="1" x14ac:dyDescent="0.2">
      <c r="A399" s="108" t="s">
        <v>18</v>
      </c>
      <c r="B399" s="117" t="s">
        <v>942</v>
      </c>
      <c r="C399" s="108">
        <f t="shared" si="24"/>
        <v>1589</v>
      </c>
      <c r="D399" s="38">
        <f t="shared" si="25"/>
        <v>1</v>
      </c>
      <c r="E399" s="113"/>
      <c r="G399" s="113" t="s">
        <v>269</v>
      </c>
      <c r="H399" s="108" t="s">
        <v>1005</v>
      </c>
      <c r="I399" s="12">
        <v>64277</v>
      </c>
      <c r="J399" s="12">
        <v>331</v>
      </c>
      <c r="K399" s="108" t="s">
        <v>20</v>
      </c>
      <c r="L399" s="108">
        <v>1</v>
      </c>
      <c r="M399" s="116">
        <v>200000</v>
      </c>
      <c r="N399" s="116">
        <f t="shared" si="26"/>
        <v>200000</v>
      </c>
      <c r="P399" s="108">
        <f t="shared" si="27"/>
        <v>26</v>
      </c>
    </row>
    <row r="400" spans="1:16" ht="15" hidden="1" customHeight="1" x14ac:dyDescent="0.2">
      <c r="A400" s="108" t="s">
        <v>18</v>
      </c>
      <c r="B400" s="117" t="s">
        <v>942</v>
      </c>
      <c r="C400" s="108">
        <f t="shared" si="24"/>
        <v>1589</v>
      </c>
      <c r="D400" s="38">
        <f t="shared" si="25"/>
        <v>0</v>
      </c>
      <c r="E400" s="113"/>
      <c r="G400" s="113" t="s">
        <v>269</v>
      </c>
      <c r="H400" s="108" t="s">
        <v>1005</v>
      </c>
      <c r="I400" s="12">
        <v>1331</v>
      </c>
      <c r="J400" s="12">
        <v>331</v>
      </c>
      <c r="K400" s="108" t="s">
        <v>20</v>
      </c>
      <c r="L400" s="108">
        <v>1</v>
      </c>
      <c r="M400" s="116">
        <v>0</v>
      </c>
      <c r="N400" s="116">
        <f t="shared" si="26"/>
        <v>0</v>
      </c>
      <c r="P400" s="108">
        <f t="shared" si="27"/>
        <v>26</v>
      </c>
    </row>
    <row r="401" spans="1:16" ht="15" hidden="1" customHeight="1" x14ac:dyDescent="0.2">
      <c r="A401" s="108" t="s">
        <v>18</v>
      </c>
      <c r="B401" s="117" t="s">
        <v>942</v>
      </c>
      <c r="C401" s="108">
        <f t="shared" si="24"/>
        <v>1590</v>
      </c>
      <c r="D401" s="38">
        <f t="shared" si="25"/>
        <v>1</v>
      </c>
      <c r="E401" s="113"/>
      <c r="G401" s="113" t="s">
        <v>23</v>
      </c>
      <c r="H401" s="108" t="s">
        <v>1004</v>
      </c>
      <c r="I401" s="12">
        <v>64277</v>
      </c>
      <c r="J401" s="12">
        <v>331</v>
      </c>
      <c r="K401" s="108" t="s">
        <v>20</v>
      </c>
      <c r="L401" s="108">
        <v>1</v>
      </c>
      <c r="M401" s="116">
        <v>178704</v>
      </c>
      <c r="N401" s="116">
        <f t="shared" si="26"/>
        <v>178704</v>
      </c>
      <c r="P401" s="108">
        <f t="shared" si="27"/>
        <v>194</v>
      </c>
    </row>
    <row r="402" spans="1:16" ht="15" hidden="1" customHeight="1" x14ac:dyDescent="0.2">
      <c r="A402" s="108" t="s">
        <v>18</v>
      </c>
      <c r="B402" s="117" t="s">
        <v>942</v>
      </c>
      <c r="C402" s="108">
        <f t="shared" si="24"/>
        <v>1590</v>
      </c>
      <c r="D402" s="38">
        <f t="shared" si="25"/>
        <v>0</v>
      </c>
      <c r="E402" s="113"/>
      <c r="G402" s="113" t="s">
        <v>23</v>
      </c>
      <c r="H402" s="108" t="s">
        <v>1004</v>
      </c>
      <c r="I402" s="12">
        <v>1331</v>
      </c>
      <c r="J402" s="12">
        <v>331</v>
      </c>
      <c r="K402" s="108" t="s">
        <v>20</v>
      </c>
      <c r="L402" s="108">
        <v>1</v>
      </c>
      <c r="M402" s="116">
        <v>14296</v>
      </c>
      <c r="N402" s="116">
        <f t="shared" si="26"/>
        <v>14296</v>
      </c>
      <c r="P402" s="108">
        <f t="shared" si="27"/>
        <v>194</v>
      </c>
    </row>
    <row r="403" spans="1:16" ht="15" hidden="1" customHeight="1" x14ac:dyDescent="0.2">
      <c r="A403" s="108" t="s">
        <v>18</v>
      </c>
      <c r="B403" s="117" t="s">
        <v>435</v>
      </c>
      <c r="C403" s="108">
        <f t="shared" si="24"/>
        <v>1591</v>
      </c>
      <c r="D403" s="38">
        <f t="shared" si="25"/>
        <v>1</v>
      </c>
      <c r="E403" s="113"/>
      <c r="G403" s="113" t="s">
        <v>19</v>
      </c>
      <c r="H403" s="108" t="s">
        <v>1006</v>
      </c>
      <c r="I403" s="12">
        <v>64277</v>
      </c>
      <c r="J403" s="12">
        <v>331</v>
      </c>
      <c r="K403" s="108" t="s">
        <v>20</v>
      </c>
      <c r="L403" s="108">
        <v>1</v>
      </c>
      <c r="M403" s="116">
        <v>34000</v>
      </c>
      <c r="N403" s="116">
        <f t="shared" si="26"/>
        <v>34000</v>
      </c>
      <c r="P403" s="108">
        <f t="shared" si="27"/>
        <v>125</v>
      </c>
    </row>
    <row r="404" spans="1:16" ht="15" hidden="1" customHeight="1" x14ac:dyDescent="0.2">
      <c r="A404" s="108" t="s">
        <v>18</v>
      </c>
      <c r="B404" s="117" t="s">
        <v>435</v>
      </c>
      <c r="C404" s="108">
        <f t="shared" si="24"/>
        <v>1591</v>
      </c>
      <c r="D404" s="38">
        <f t="shared" si="25"/>
        <v>0</v>
      </c>
      <c r="E404" s="113"/>
      <c r="G404" s="113" t="s">
        <v>19</v>
      </c>
      <c r="H404" s="108" t="s">
        <v>1006</v>
      </c>
      <c r="I404" s="12">
        <v>1331</v>
      </c>
      <c r="J404" s="12">
        <v>331</v>
      </c>
      <c r="K404" s="108" t="s">
        <v>20</v>
      </c>
      <c r="L404" s="108">
        <v>1</v>
      </c>
      <c r="M404" s="116">
        <v>2519</v>
      </c>
      <c r="N404" s="116">
        <f t="shared" si="26"/>
        <v>2519</v>
      </c>
      <c r="P404" s="108">
        <f t="shared" si="27"/>
        <v>125</v>
      </c>
    </row>
    <row r="405" spans="1:16" ht="15" hidden="1" customHeight="1" x14ac:dyDescent="0.2">
      <c r="A405" s="108" t="s">
        <v>18</v>
      </c>
      <c r="B405" s="117" t="s">
        <v>659</v>
      </c>
      <c r="C405" s="108">
        <f t="shared" si="24"/>
        <v>1592</v>
      </c>
      <c r="D405" s="38">
        <f t="shared" si="25"/>
        <v>1</v>
      </c>
      <c r="E405" s="113"/>
      <c r="G405" s="113" t="s">
        <v>19</v>
      </c>
      <c r="H405" s="108" t="s">
        <v>1009</v>
      </c>
      <c r="I405" s="12">
        <v>64277</v>
      </c>
      <c r="J405" s="12">
        <v>331</v>
      </c>
      <c r="K405" s="108" t="s">
        <v>20</v>
      </c>
      <c r="L405" s="108">
        <v>1</v>
      </c>
      <c r="M405" s="116">
        <v>21000</v>
      </c>
      <c r="N405" s="116">
        <f t="shared" si="26"/>
        <v>21000</v>
      </c>
      <c r="P405" s="108">
        <f t="shared" si="27"/>
        <v>168</v>
      </c>
    </row>
    <row r="406" spans="1:16" ht="15" hidden="1" customHeight="1" x14ac:dyDescent="0.2">
      <c r="A406" s="108" t="s">
        <v>18</v>
      </c>
      <c r="B406" s="117" t="s">
        <v>659</v>
      </c>
      <c r="C406" s="108">
        <f t="shared" si="24"/>
        <v>1592</v>
      </c>
      <c r="D406" s="38">
        <f t="shared" si="25"/>
        <v>0</v>
      </c>
      <c r="E406" s="113"/>
      <c r="G406" s="113" t="s">
        <v>19</v>
      </c>
      <c r="H406" s="108" t="s">
        <v>1009</v>
      </c>
      <c r="I406" s="12">
        <v>1331</v>
      </c>
      <c r="J406" s="12">
        <v>331</v>
      </c>
      <c r="K406" s="108" t="s">
        <v>20</v>
      </c>
      <c r="L406" s="108">
        <v>1</v>
      </c>
      <c r="M406" s="116">
        <v>1446</v>
      </c>
      <c r="N406" s="116">
        <f t="shared" si="26"/>
        <v>1446</v>
      </c>
      <c r="P406" s="108">
        <f t="shared" si="27"/>
        <v>168</v>
      </c>
    </row>
    <row r="407" spans="1:16" ht="15" hidden="1" customHeight="1" x14ac:dyDescent="0.2">
      <c r="A407" s="108" t="s">
        <v>18</v>
      </c>
      <c r="B407" s="117" t="s">
        <v>659</v>
      </c>
      <c r="C407" s="108">
        <f t="shared" si="24"/>
        <v>1593</v>
      </c>
      <c r="D407" s="38">
        <f t="shared" si="25"/>
        <v>1</v>
      </c>
      <c r="E407" s="113"/>
      <c r="G407" s="113" t="s">
        <v>1010</v>
      </c>
      <c r="H407" s="108" t="s">
        <v>3649</v>
      </c>
      <c r="I407" s="12">
        <v>64277</v>
      </c>
      <c r="J407" s="12">
        <v>331</v>
      </c>
      <c r="K407" s="108" t="s">
        <v>20</v>
      </c>
      <c r="L407" s="108">
        <v>1</v>
      </c>
      <c r="M407" s="116">
        <v>35000</v>
      </c>
      <c r="N407" s="116">
        <f t="shared" si="26"/>
        <v>35000</v>
      </c>
      <c r="P407" s="108">
        <f t="shared" si="27"/>
        <v>34</v>
      </c>
    </row>
    <row r="408" spans="1:16" ht="15" hidden="1" customHeight="1" x14ac:dyDescent="0.2">
      <c r="A408" s="108" t="s">
        <v>18</v>
      </c>
      <c r="B408" s="117" t="s">
        <v>659</v>
      </c>
      <c r="C408" s="108">
        <f t="shared" si="24"/>
        <v>1593</v>
      </c>
      <c r="D408" s="38">
        <f t="shared" si="25"/>
        <v>0</v>
      </c>
      <c r="E408" s="113"/>
      <c r="G408" s="113" t="s">
        <v>1010</v>
      </c>
      <c r="H408" s="108" t="s">
        <v>3649</v>
      </c>
      <c r="I408" s="12">
        <v>1331</v>
      </c>
      <c r="J408" s="12">
        <v>331</v>
      </c>
      <c r="K408" s="108" t="s">
        <v>20</v>
      </c>
      <c r="L408" s="108">
        <v>1</v>
      </c>
      <c r="M408" s="116">
        <v>2741</v>
      </c>
      <c r="N408" s="116">
        <f t="shared" si="26"/>
        <v>2741</v>
      </c>
      <c r="P408" s="108">
        <f t="shared" si="27"/>
        <v>34</v>
      </c>
    </row>
    <row r="409" spans="1:16" ht="15" hidden="1" customHeight="1" x14ac:dyDescent="0.2">
      <c r="A409" s="108" t="s">
        <v>18</v>
      </c>
      <c r="B409" s="117" t="s">
        <v>659</v>
      </c>
      <c r="C409" s="108">
        <f t="shared" si="24"/>
        <v>1594</v>
      </c>
      <c r="D409" s="38">
        <f t="shared" si="25"/>
        <v>1</v>
      </c>
      <c r="E409" s="113"/>
      <c r="G409" s="113" t="s">
        <v>1007</v>
      </c>
      <c r="H409" s="108" t="s">
        <v>1008</v>
      </c>
      <c r="I409" s="12">
        <v>64277</v>
      </c>
      <c r="J409" s="12">
        <v>331</v>
      </c>
      <c r="K409" s="108" t="s">
        <v>20</v>
      </c>
      <c r="L409" s="108">
        <v>1</v>
      </c>
      <c r="M409" s="116">
        <v>499074</v>
      </c>
      <c r="N409" s="116">
        <f t="shared" si="26"/>
        <v>499074</v>
      </c>
      <c r="P409" s="108">
        <f t="shared" si="27"/>
        <v>37</v>
      </c>
    </row>
    <row r="410" spans="1:16" ht="15" hidden="1" customHeight="1" x14ac:dyDescent="0.2">
      <c r="A410" s="108" t="s">
        <v>18</v>
      </c>
      <c r="B410" s="117" t="s">
        <v>659</v>
      </c>
      <c r="C410" s="108">
        <f t="shared" si="24"/>
        <v>1594</v>
      </c>
      <c r="D410" s="38">
        <f t="shared" si="25"/>
        <v>0</v>
      </c>
      <c r="E410" s="113"/>
      <c r="G410" s="113" t="s">
        <v>1007</v>
      </c>
      <c r="H410" s="108" t="s">
        <v>1008</v>
      </c>
      <c r="I410" s="12">
        <v>1331</v>
      </c>
      <c r="J410" s="12">
        <v>331</v>
      </c>
      <c r="K410" s="108" t="s">
        <v>20</v>
      </c>
      <c r="L410" s="108">
        <v>1</v>
      </c>
      <c r="M410" s="116">
        <v>39926</v>
      </c>
      <c r="N410" s="116">
        <f t="shared" si="26"/>
        <v>39926</v>
      </c>
      <c r="P410" s="108">
        <f t="shared" si="27"/>
        <v>37</v>
      </c>
    </row>
    <row r="411" spans="1:16" ht="15" hidden="1" customHeight="1" x14ac:dyDescent="0.2">
      <c r="A411" s="108" t="s">
        <v>18</v>
      </c>
      <c r="B411" s="117" t="s">
        <v>659</v>
      </c>
      <c r="C411" s="108">
        <f t="shared" si="24"/>
        <v>1595</v>
      </c>
      <c r="D411" s="38">
        <f t="shared" si="25"/>
        <v>1</v>
      </c>
      <c r="E411" s="113"/>
      <c r="G411" s="113" t="s">
        <v>262</v>
      </c>
      <c r="H411" s="108" t="s">
        <v>1011</v>
      </c>
      <c r="I411" s="12">
        <v>64277</v>
      </c>
      <c r="J411" s="12">
        <v>331</v>
      </c>
      <c r="K411" s="108" t="s">
        <v>20</v>
      </c>
      <c r="L411" s="108">
        <v>1</v>
      </c>
      <c r="M411" s="116">
        <v>203703</v>
      </c>
      <c r="N411" s="116">
        <f t="shared" si="26"/>
        <v>203703</v>
      </c>
      <c r="P411" s="108">
        <f t="shared" si="27"/>
        <v>98</v>
      </c>
    </row>
    <row r="412" spans="1:16" ht="15" hidden="1" customHeight="1" x14ac:dyDescent="0.2">
      <c r="A412" s="108" t="s">
        <v>18</v>
      </c>
      <c r="B412" s="117" t="s">
        <v>659</v>
      </c>
      <c r="C412" s="108">
        <f t="shared" si="24"/>
        <v>1595</v>
      </c>
      <c r="D412" s="38">
        <f t="shared" si="25"/>
        <v>0</v>
      </c>
      <c r="E412" s="113"/>
      <c r="G412" s="113" t="s">
        <v>262</v>
      </c>
      <c r="H412" s="108" t="s">
        <v>1011</v>
      </c>
      <c r="I412" s="12">
        <v>1331</v>
      </c>
      <c r="J412" s="12">
        <v>331</v>
      </c>
      <c r="K412" s="108" t="s">
        <v>20</v>
      </c>
      <c r="L412" s="108">
        <v>1</v>
      </c>
      <c r="M412" s="116">
        <v>16296</v>
      </c>
      <c r="N412" s="116">
        <f t="shared" si="26"/>
        <v>16296</v>
      </c>
      <c r="P412" s="108">
        <f t="shared" si="27"/>
        <v>98</v>
      </c>
    </row>
    <row r="413" spans="1:16" ht="15" hidden="1" customHeight="1" x14ac:dyDescent="0.2">
      <c r="A413" s="108" t="s">
        <v>18</v>
      </c>
      <c r="B413" s="117" t="s">
        <v>496</v>
      </c>
      <c r="C413" s="108">
        <f t="shared" si="24"/>
        <v>1596</v>
      </c>
      <c r="D413" s="38">
        <f t="shared" si="25"/>
        <v>1</v>
      </c>
      <c r="E413" s="113"/>
      <c r="G413" s="113" t="s">
        <v>261</v>
      </c>
      <c r="H413" s="108" t="s">
        <v>1013</v>
      </c>
      <c r="I413" s="12">
        <v>64277</v>
      </c>
      <c r="J413" s="12">
        <v>331</v>
      </c>
      <c r="K413" s="108" t="s">
        <v>20</v>
      </c>
      <c r="L413" s="108">
        <v>1</v>
      </c>
      <c r="M413" s="116">
        <v>3750000</v>
      </c>
      <c r="N413" s="116">
        <f t="shared" si="26"/>
        <v>3750000</v>
      </c>
      <c r="P413" s="108">
        <f t="shared" si="27"/>
        <v>52</v>
      </c>
    </row>
    <row r="414" spans="1:16" ht="15" hidden="1" customHeight="1" x14ac:dyDescent="0.2">
      <c r="A414" s="108" t="s">
        <v>18</v>
      </c>
      <c r="B414" s="117" t="s">
        <v>496</v>
      </c>
      <c r="C414" s="108">
        <f t="shared" si="24"/>
        <v>1596</v>
      </c>
      <c r="D414" s="38">
        <f t="shared" si="25"/>
        <v>0</v>
      </c>
      <c r="E414" s="113"/>
      <c r="G414" s="113" t="s">
        <v>261</v>
      </c>
      <c r="H414" s="108" t="s">
        <v>1013</v>
      </c>
      <c r="I414" s="12">
        <v>1331</v>
      </c>
      <c r="J414" s="12">
        <v>331</v>
      </c>
      <c r="K414" s="108" t="s">
        <v>20</v>
      </c>
      <c r="L414" s="108">
        <v>1</v>
      </c>
      <c r="M414" s="116">
        <v>300000</v>
      </c>
      <c r="N414" s="116">
        <f t="shared" si="26"/>
        <v>300000</v>
      </c>
      <c r="P414" s="108">
        <f t="shared" si="27"/>
        <v>52</v>
      </c>
    </row>
    <row r="415" spans="1:16" ht="15" hidden="1" customHeight="1" x14ac:dyDescent="0.2">
      <c r="A415" s="108" t="s">
        <v>18</v>
      </c>
      <c r="B415" s="117" t="s">
        <v>496</v>
      </c>
      <c r="C415" s="108">
        <f t="shared" si="24"/>
        <v>1597</v>
      </c>
      <c r="D415" s="38">
        <f t="shared" si="25"/>
        <v>1</v>
      </c>
      <c r="E415" s="113"/>
      <c r="G415" s="113" t="s">
        <v>19</v>
      </c>
      <c r="H415" s="108" t="s">
        <v>1012</v>
      </c>
      <c r="I415" s="12">
        <v>64277</v>
      </c>
      <c r="J415" s="12">
        <v>331</v>
      </c>
      <c r="K415" s="108" t="s">
        <v>20</v>
      </c>
      <c r="L415" s="108">
        <v>1</v>
      </c>
      <c r="M415" s="116">
        <v>19000</v>
      </c>
      <c r="N415" s="116">
        <f t="shared" si="26"/>
        <v>19000</v>
      </c>
      <c r="P415" s="108">
        <f t="shared" si="27"/>
        <v>168</v>
      </c>
    </row>
    <row r="416" spans="1:16" ht="15" hidden="1" customHeight="1" x14ac:dyDescent="0.2">
      <c r="A416" s="108" t="s">
        <v>18</v>
      </c>
      <c r="B416" s="117" t="s">
        <v>496</v>
      </c>
      <c r="C416" s="108">
        <f t="shared" si="24"/>
        <v>1597</v>
      </c>
      <c r="D416" s="38">
        <f t="shared" si="25"/>
        <v>0</v>
      </c>
      <c r="E416" s="113"/>
      <c r="G416" s="113" t="s">
        <v>19</v>
      </c>
      <c r="H416" s="108" t="s">
        <v>1012</v>
      </c>
      <c r="I416" s="12">
        <v>1331</v>
      </c>
      <c r="J416" s="12">
        <v>331</v>
      </c>
      <c r="K416" s="108" t="s">
        <v>20</v>
      </c>
      <c r="L416" s="108">
        <v>1</v>
      </c>
      <c r="M416" s="116">
        <v>1308</v>
      </c>
      <c r="N416" s="116">
        <f t="shared" si="26"/>
        <v>1308</v>
      </c>
      <c r="P416" s="108">
        <f t="shared" si="27"/>
        <v>168</v>
      </c>
    </row>
    <row r="417" spans="1:16" ht="15" hidden="1" customHeight="1" x14ac:dyDescent="0.2">
      <c r="A417" s="108" t="s">
        <v>18</v>
      </c>
      <c r="B417" s="117" t="s">
        <v>496</v>
      </c>
      <c r="C417" s="108">
        <f t="shared" si="24"/>
        <v>1598</v>
      </c>
      <c r="D417" s="38">
        <f t="shared" si="25"/>
        <v>1</v>
      </c>
      <c r="E417" s="113"/>
      <c r="G417" s="113" t="s">
        <v>23</v>
      </c>
      <c r="H417" s="108" t="s">
        <v>1014</v>
      </c>
      <c r="I417" s="12">
        <v>64277</v>
      </c>
      <c r="J417" s="12">
        <v>331</v>
      </c>
      <c r="K417" s="108" t="s">
        <v>20</v>
      </c>
      <c r="L417" s="108">
        <v>1</v>
      </c>
      <c r="M417" s="116">
        <v>174074</v>
      </c>
      <c r="N417" s="116">
        <f t="shared" si="26"/>
        <v>174074</v>
      </c>
      <c r="P417" s="108">
        <f t="shared" si="27"/>
        <v>140</v>
      </c>
    </row>
    <row r="418" spans="1:16" ht="15" hidden="1" customHeight="1" x14ac:dyDescent="0.2">
      <c r="A418" s="108" t="s">
        <v>18</v>
      </c>
      <c r="B418" s="117" t="s">
        <v>496</v>
      </c>
      <c r="C418" s="108">
        <f t="shared" si="24"/>
        <v>1598</v>
      </c>
      <c r="D418" s="38">
        <f t="shared" si="25"/>
        <v>0</v>
      </c>
      <c r="E418" s="113"/>
      <c r="G418" s="113" t="s">
        <v>23</v>
      </c>
      <c r="H418" s="108" t="s">
        <v>1014</v>
      </c>
      <c r="I418" s="12">
        <v>1331</v>
      </c>
      <c r="J418" s="12">
        <v>331</v>
      </c>
      <c r="K418" s="108" t="s">
        <v>20</v>
      </c>
      <c r="L418" s="108">
        <v>1</v>
      </c>
      <c r="M418" s="116">
        <v>13926</v>
      </c>
      <c r="N418" s="116">
        <f t="shared" si="26"/>
        <v>13926</v>
      </c>
      <c r="P418" s="108">
        <f t="shared" si="27"/>
        <v>140</v>
      </c>
    </row>
    <row r="419" spans="1:16" ht="15" hidden="1" customHeight="1" x14ac:dyDescent="0.2">
      <c r="A419" s="108" t="s">
        <v>18</v>
      </c>
      <c r="B419" s="117" t="s">
        <v>472</v>
      </c>
      <c r="C419" s="108">
        <f t="shared" si="24"/>
        <v>1599</v>
      </c>
      <c r="D419" s="38">
        <f t="shared" si="25"/>
        <v>1</v>
      </c>
      <c r="E419" s="113"/>
      <c r="G419" s="113" t="s">
        <v>28</v>
      </c>
      <c r="H419" s="108" t="s">
        <v>3651</v>
      </c>
      <c r="I419" s="12">
        <v>64277</v>
      </c>
      <c r="J419" s="12">
        <v>331</v>
      </c>
      <c r="K419" s="108" t="s">
        <v>20</v>
      </c>
      <c r="L419" s="108">
        <v>1</v>
      </c>
      <c r="M419" s="116">
        <v>1456050</v>
      </c>
      <c r="N419" s="116">
        <f t="shared" si="26"/>
        <v>1456050</v>
      </c>
      <c r="P419" s="108">
        <f t="shared" si="27"/>
        <v>41</v>
      </c>
    </row>
    <row r="420" spans="1:16" ht="15" hidden="1" customHeight="1" x14ac:dyDescent="0.2">
      <c r="A420" s="108" t="s">
        <v>18</v>
      </c>
      <c r="B420" s="117" t="s">
        <v>472</v>
      </c>
      <c r="C420" s="108">
        <f t="shared" si="24"/>
        <v>1599</v>
      </c>
      <c r="D420" s="38">
        <f t="shared" si="25"/>
        <v>0</v>
      </c>
      <c r="E420" s="113"/>
      <c r="G420" s="113" t="s">
        <v>28</v>
      </c>
      <c r="H420" s="108" t="s">
        <v>3651</v>
      </c>
      <c r="I420" s="12">
        <v>1331</v>
      </c>
      <c r="J420" s="12">
        <v>331</v>
      </c>
      <c r="K420" s="108" t="s">
        <v>20</v>
      </c>
      <c r="L420" s="108">
        <v>1</v>
      </c>
      <c r="M420" s="116">
        <v>116484</v>
      </c>
      <c r="N420" s="116">
        <f t="shared" si="26"/>
        <v>116484</v>
      </c>
      <c r="P420" s="108">
        <f t="shared" si="27"/>
        <v>41</v>
      </c>
    </row>
    <row r="421" spans="1:16" ht="15" hidden="1" customHeight="1" x14ac:dyDescent="0.2">
      <c r="A421" s="108" t="s">
        <v>18</v>
      </c>
      <c r="B421" s="117" t="s">
        <v>472</v>
      </c>
      <c r="C421" s="108">
        <f t="shared" si="24"/>
        <v>1600</v>
      </c>
      <c r="D421" s="38">
        <f t="shared" si="25"/>
        <v>1</v>
      </c>
      <c r="E421" s="113"/>
      <c r="G421" s="113" t="s">
        <v>19</v>
      </c>
      <c r="H421" s="108" t="s">
        <v>1015</v>
      </c>
      <c r="I421" s="12">
        <v>64277</v>
      </c>
      <c r="J421" s="12">
        <v>331</v>
      </c>
      <c r="K421" s="108" t="s">
        <v>20</v>
      </c>
      <c r="L421" s="108">
        <v>1</v>
      </c>
      <c r="M421" s="116">
        <v>19000</v>
      </c>
      <c r="N421" s="116">
        <f t="shared" si="26"/>
        <v>19000</v>
      </c>
      <c r="P421" s="108">
        <f t="shared" si="27"/>
        <v>168</v>
      </c>
    </row>
    <row r="422" spans="1:16" ht="15" hidden="1" customHeight="1" x14ac:dyDescent="0.2">
      <c r="A422" s="108" t="s">
        <v>18</v>
      </c>
      <c r="B422" s="117" t="s">
        <v>472</v>
      </c>
      <c r="C422" s="108">
        <f t="shared" si="24"/>
        <v>1600</v>
      </c>
      <c r="D422" s="38">
        <f t="shared" si="25"/>
        <v>0</v>
      </c>
      <c r="E422" s="113"/>
      <c r="G422" s="113" t="s">
        <v>19</v>
      </c>
      <c r="H422" s="108" t="s">
        <v>1015</v>
      </c>
      <c r="I422" s="12">
        <v>1331</v>
      </c>
      <c r="J422" s="12">
        <v>331</v>
      </c>
      <c r="K422" s="108" t="s">
        <v>20</v>
      </c>
      <c r="L422" s="108">
        <v>1</v>
      </c>
      <c r="M422" s="116">
        <v>1298</v>
      </c>
      <c r="N422" s="116">
        <f t="shared" si="26"/>
        <v>1298</v>
      </c>
      <c r="P422" s="108">
        <f t="shared" si="27"/>
        <v>168</v>
      </c>
    </row>
    <row r="423" spans="1:16" ht="15" hidden="1" customHeight="1" x14ac:dyDescent="0.2">
      <c r="A423" s="108" t="s">
        <v>18</v>
      </c>
      <c r="B423" s="117" t="s">
        <v>472</v>
      </c>
      <c r="C423" s="108">
        <f t="shared" si="24"/>
        <v>1601</v>
      </c>
      <c r="D423" s="38">
        <f t="shared" si="25"/>
        <v>1</v>
      </c>
      <c r="E423" s="113"/>
      <c r="G423" s="113" t="s">
        <v>1017</v>
      </c>
      <c r="H423" s="108" t="s">
        <v>1018</v>
      </c>
      <c r="I423" s="12">
        <v>64277</v>
      </c>
      <c r="J423" s="12">
        <v>331</v>
      </c>
      <c r="K423" s="108" t="s">
        <v>20</v>
      </c>
      <c r="L423" s="108">
        <v>1</v>
      </c>
      <c r="M423" s="116">
        <v>2445358</v>
      </c>
      <c r="N423" s="116">
        <f t="shared" si="26"/>
        <v>2445358</v>
      </c>
      <c r="P423" s="108">
        <f t="shared" si="27"/>
        <v>65</v>
      </c>
    </row>
    <row r="424" spans="1:16" ht="15" hidden="1" customHeight="1" x14ac:dyDescent="0.2">
      <c r="A424" s="108" t="s">
        <v>18</v>
      </c>
      <c r="B424" s="117" t="s">
        <v>472</v>
      </c>
      <c r="C424" s="108">
        <f t="shared" si="24"/>
        <v>1601</v>
      </c>
      <c r="D424" s="38">
        <f t="shared" si="25"/>
        <v>0</v>
      </c>
      <c r="E424" s="113"/>
      <c r="G424" s="113" t="s">
        <v>1017</v>
      </c>
      <c r="H424" s="108" t="s">
        <v>1018</v>
      </c>
      <c r="I424" s="12">
        <v>1331</v>
      </c>
      <c r="J424" s="12">
        <v>331</v>
      </c>
      <c r="K424" s="108" t="s">
        <v>20</v>
      </c>
      <c r="L424" s="108">
        <v>1</v>
      </c>
      <c r="M424" s="116">
        <v>181138</v>
      </c>
      <c r="N424" s="116">
        <f t="shared" si="26"/>
        <v>181138</v>
      </c>
      <c r="P424" s="108">
        <f t="shared" si="27"/>
        <v>65</v>
      </c>
    </row>
    <row r="425" spans="1:16" ht="15" hidden="1" customHeight="1" x14ac:dyDescent="0.2">
      <c r="A425" s="108" t="s">
        <v>18</v>
      </c>
      <c r="B425" s="117" t="s">
        <v>472</v>
      </c>
      <c r="C425" s="108">
        <f t="shared" si="24"/>
        <v>1602</v>
      </c>
      <c r="D425" s="38">
        <f t="shared" si="25"/>
        <v>1</v>
      </c>
      <c r="E425" s="113"/>
      <c r="G425" s="113" t="s">
        <v>23</v>
      </c>
      <c r="H425" s="108" t="s">
        <v>1016</v>
      </c>
      <c r="I425" s="12">
        <v>64277</v>
      </c>
      <c r="J425" s="12">
        <v>331</v>
      </c>
      <c r="K425" s="108" t="s">
        <v>20</v>
      </c>
      <c r="L425" s="108">
        <v>1</v>
      </c>
      <c r="M425" s="116">
        <v>160185</v>
      </c>
      <c r="N425" s="116">
        <f t="shared" si="26"/>
        <v>160185</v>
      </c>
      <c r="P425" s="108">
        <f t="shared" si="27"/>
        <v>160</v>
      </c>
    </row>
    <row r="426" spans="1:16" ht="15" hidden="1" customHeight="1" x14ac:dyDescent="0.2">
      <c r="A426" s="108" t="s">
        <v>18</v>
      </c>
      <c r="B426" s="117" t="s">
        <v>472</v>
      </c>
      <c r="C426" s="108">
        <f t="shared" si="24"/>
        <v>1602</v>
      </c>
      <c r="D426" s="38">
        <f t="shared" si="25"/>
        <v>0</v>
      </c>
      <c r="E426" s="113"/>
      <c r="G426" s="113" t="s">
        <v>23</v>
      </c>
      <c r="H426" s="108" t="s">
        <v>1016</v>
      </c>
      <c r="I426" s="12">
        <v>1331</v>
      </c>
      <c r="J426" s="12">
        <v>331</v>
      </c>
      <c r="K426" s="108" t="s">
        <v>20</v>
      </c>
      <c r="L426" s="108">
        <v>1</v>
      </c>
      <c r="M426" s="116">
        <v>12815</v>
      </c>
      <c r="N426" s="116">
        <f t="shared" si="26"/>
        <v>12815</v>
      </c>
      <c r="P426" s="108">
        <f t="shared" si="27"/>
        <v>160</v>
      </c>
    </row>
    <row r="427" spans="1:16" ht="15" hidden="1" customHeight="1" x14ac:dyDescent="0.2">
      <c r="A427" s="108" t="s">
        <v>18</v>
      </c>
      <c r="B427" s="117" t="s">
        <v>498</v>
      </c>
      <c r="C427" s="108">
        <f t="shared" si="24"/>
        <v>1603</v>
      </c>
      <c r="D427" s="38">
        <f t="shared" si="25"/>
        <v>1</v>
      </c>
      <c r="E427" s="113"/>
      <c r="G427" s="113" t="s">
        <v>37</v>
      </c>
      <c r="H427" s="108" t="s">
        <v>3653</v>
      </c>
      <c r="I427" s="12">
        <v>64277</v>
      </c>
      <c r="J427" s="12">
        <v>331</v>
      </c>
      <c r="K427" s="108" t="s">
        <v>20</v>
      </c>
      <c r="L427" s="108">
        <v>1</v>
      </c>
      <c r="M427" s="116">
        <v>2211000</v>
      </c>
      <c r="N427" s="116">
        <f t="shared" si="26"/>
        <v>2211000</v>
      </c>
      <c r="P427" s="108">
        <f t="shared" si="27"/>
        <v>43</v>
      </c>
    </row>
    <row r="428" spans="1:16" ht="15" hidden="1" customHeight="1" x14ac:dyDescent="0.2">
      <c r="A428" s="108" t="s">
        <v>18</v>
      </c>
      <c r="B428" s="117" t="s">
        <v>498</v>
      </c>
      <c r="C428" s="108">
        <f t="shared" si="24"/>
        <v>1603</v>
      </c>
      <c r="D428" s="38">
        <f t="shared" si="25"/>
        <v>0</v>
      </c>
      <c r="E428" s="113"/>
      <c r="G428" s="113" t="s">
        <v>37</v>
      </c>
      <c r="H428" s="108" t="s">
        <v>3653</v>
      </c>
      <c r="I428" s="12">
        <v>1331</v>
      </c>
      <c r="J428" s="12">
        <v>331</v>
      </c>
      <c r="K428" s="108" t="s">
        <v>20</v>
      </c>
      <c r="L428" s="108">
        <v>1</v>
      </c>
      <c r="M428" s="116">
        <v>176880</v>
      </c>
      <c r="N428" s="116">
        <f t="shared" si="26"/>
        <v>176880</v>
      </c>
      <c r="P428" s="108">
        <f t="shared" si="27"/>
        <v>43</v>
      </c>
    </row>
    <row r="429" spans="1:16" ht="15" hidden="1" customHeight="1" x14ac:dyDescent="0.2">
      <c r="A429" s="108" t="s">
        <v>18</v>
      </c>
      <c r="B429" s="117" t="s">
        <v>498</v>
      </c>
      <c r="C429" s="108">
        <f t="shared" si="24"/>
        <v>1604</v>
      </c>
      <c r="D429" s="38">
        <f t="shared" si="25"/>
        <v>1</v>
      </c>
      <c r="E429" s="113"/>
      <c r="G429" s="113" t="s">
        <v>19</v>
      </c>
      <c r="H429" s="108" t="s">
        <v>1022</v>
      </c>
      <c r="I429" s="12">
        <v>64277</v>
      </c>
      <c r="J429" s="12">
        <v>331</v>
      </c>
      <c r="K429" s="108" t="s">
        <v>20</v>
      </c>
      <c r="L429" s="108">
        <v>1</v>
      </c>
      <c r="M429" s="116">
        <v>167000</v>
      </c>
      <c r="N429" s="116">
        <f t="shared" si="26"/>
        <v>167000</v>
      </c>
      <c r="P429" s="108">
        <f t="shared" si="27"/>
        <v>125</v>
      </c>
    </row>
    <row r="430" spans="1:16" ht="15" hidden="1" customHeight="1" x14ac:dyDescent="0.2">
      <c r="A430" s="108" t="s">
        <v>18</v>
      </c>
      <c r="B430" s="117" t="s">
        <v>498</v>
      </c>
      <c r="C430" s="108">
        <f t="shared" si="24"/>
        <v>1604</v>
      </c>
      <c r="D430" s="38">
        <f t="shared" si="25"/>
        <v>0</v>
      </c>
      <c r="E430" s="113"/>
      <c r="G430" s="113" t="s">
        <v>19</v>
      </c>
      <c r="H430" s="108" t="s">
        <v>1022</v>
      </c>
      <c r="I430" s="12">
        <v>1331</v>
      </c>
      <c r="J430" s="12">
        <v>331</v>
      </c>
      <c r="K430" s="108" t="s">
        <v>20</v>
      </c>
      <c r="L430" s="108">
        <v>1</v>
      </c>
      <c r="M430" s="116">
        <v>12370</v>
      </c>
      <c r="N430" s="116">
        <f t="shared" si="26"/>
        <v>12370</v>
      </c>
      <c r="P430" s="108">
        <f t="shared" si="27"/>
        <v>125</v>
      </c>
    </row>
    <row r="431" spans="1:16" ht="15" hidden="1" customHeight="1" x14ac:dyDescent="0.2">
      <c r="A431" s="108" t="s">
        <v>18</v>
      </c>
      <c r="B431" s="117" t="s">
        <v>498</v>
      </c>
      <c r="C431" s="108">
        <f t="shared" si="24"/>
        <v>1605</v>
      </c>
      <c r="D431" s="38">
        <f t="shared" si="25"/>
        <v>1</v>
      </c>
      <c r="E431" s="113"/>
      <c r="G431" s="113" t="s">
        <v>19</v>
      </c>
      <c r="H431" s="108" t="s">
        <v>1021</v>
      </c>
      <c r="I431" s="12">
        <v>64277</v>
      </c>
      <c r="J431" s="12">
        <v>331</v>
      </c>
      <c r="K431" s="108" t="s">
        <v>20</v>
      </c>
      <c r="L431" s="108">
        <v>1</v>
      </c>
      <c r="M431" s="116">
        <v>13032</v>
      </c>
      <c r="N431" s="116">
        <f t="shared" si="26"/>
        <v>13032</v>
      </c>
      <c r="P431" s="108">
        <f t="shared" si="27"/>
        <v>106</v>
      </c>
    </row>
    <row r="432" spans="1:16" ht="15" hidden="1" customHeight="1" x14ac:dyDescent="0.2">
      <c r="A432" s="108" t="s">
        <v>18</v>
      </c>
      <c r="B432" s="117" t="s">
        <v>498</v>
      </c>
      <c r="C432" s="108">
        <f t="shared" si="24"/>
        <v>1605</v>
      </c>
      <c r="D432" s="38">
        <f t="shared" si="25"/>
        <v>0</v>
      </c>
      <c r="E432" s="113"/>
      <c r="G432" s="113" t="s">
        <v>19</v>
      </c>
      <c r="H432" s="108" t="s">
        <v>1021</v>
      </c>
      <c r="I432" s="12">
        <v>1331</v>
      </c>
      <c r="J432" s="12">
        <v>331</v>
      </c>
      <c r="K432" s="108" t="s">
        <v>20</v>
      </c>
      <c r="L432" s="108">
        <v>1</v>
      </c>
      <c r="M432" s="116">
        <v>968</v>
      </c>
      <c r="N432" s="116">
        <f t="shared" si="26"/>
        <v>968</v>
      </c>
      <c r="P432" s="108">
        <f t="shared" si="27"/>
        <v>106</v>
      </c>
    </row>
    <row r="433" spans="1:16" ht="15" hidden="1" customHeight="1" x14ac:dyDescent="0.2">
      <c r="A433" s="108" t="s">
        <v>18</v>
      </c>
      <c r="B433" s="117" t="s">
        <v>498</v>
      </c>
      <c r="C433" s="108">
        <f t="shared" si="24"/>
        <v>1606</v>
      </c>
      <c r="D433" s="38">
        <f t="shared" si="25"/>
        <v>1</v>
      </c>
      <c r="E433" s="113"/>
      <c r="G433" s="113" t="s">
        <v>19</v>
      </c>
      <c r="H433" s="108" t="s">
        <v>1020</v>
      </c>
      <c r="I433" s="12">
        <v>64277</v>
      </c>
      <c r="J433" s="12">
        <v>331</v>
      </c>
      <c r="K433" s="108" t="s">
        <v>20</v>
      </c>
      <c r="L433" s="108">
        <v>1</v>
      </c>
      <c r="M433" s="116">
        <v>114000</v>
      </c>
      <c r="N433" s="116">
        <f t="shared" si="26"/>
        <v>114000</v>
      </c>
      <c r="P433" s="108">
        <f t="shared" si="27"/>
        <v>168</v>
      </c>
    </row>
    <row r="434" spans="1:16" ht="15" hidden="1" customHeight="1" x14ac:dyDescent="0.2">
      <c r="A434" s="108" t="s">
        <v>18</v>
      </c>
      <c r="B434" s="117" t="s">
        <v>498</v>
      </c>
      <c r="C434" s="108">
        <f t="shared" si="24"/>
        <v>1606</v>
      </c>
      <c r="D434" s="38">
        <f t="shared" si="25"/>
        <v>0</v>
      </c>
      <c r="E434" s="113"/>
      <c r="G434" s="113" t="s">
        <v>19</v>
      </c>
      <c r="H434" s="108" t="s">
        <v>1020</v>
      </c>
      <c r="I434" s="12">
        <v>1331</v>
      </c>
      <c r="J434" s="12">
        <v>331</v>
      </c>
      <c r="K434" s="108" t="s">
        <v>20</v>
      </c>
      <c r="L434" s="108">
        <v>1</v>
      </c>
      <c r="M434" s="116">
        <v>7854</v>
      </c>
      <c r="N434" s="116">
        <f t="shared" si="26"/>
        <v>7854</v>
      </c>
      <c r="P434" s="108">
        <f t="shared" si="27"/>
        <v>168</v>
      </c>
    </row>
    <row r="435" spans="1:16" ht="15" hidden="1" customHeight="1" x14ac:dyDescent="0.2">
      <c r="A435" s="108" t="s">
        <v>18</v>
      </c>
      <c r="B435" s="117" t="s">
        <v>498</v>
      </c>
      <c r="C435" s="108">
        <f t="shared" si="24"/>
        <v>1607</v>
      </c>
      <c r="D435" s="38">
        <f t="shared" si="25"/>
        <v>1</v>
      </c>
      <c r="E435" s="113"/>
      <c r="G435" s="113" t="s">
        <v>24</v>
      </c>
      <c r="H435" s="108" t="s">
        <v>1019</v>
      </c>
      <c r="I435" s="12">
        <v>64277</v>
      </c>
      <c r="J435" s="12">
        <v>331</v>
      </c>
      <c r="K435" s="108" t="s">
        <v>20</v>
      </c>
      <c r="L435" s="108">
        <v>1</v>
      </c>
      <c r="M435" s="116">
        <v>50000</v>
      </c>
      <c r="N435" s="116">
        <f t="shared" si="26"/>
        <v>50000</v>
      </c>
      <c r="P435" s="108">
        <f t="shared" si="27"/>
        <v>169</v>
      </c>
    </row>
    <row r="436" spans="1:16" ht="15" hidden="1" customHeight="1" x14ac:dyDescent="0.2">
      <c r="A436" s="108" t="s">
        <v>18</v>
      </c>
      <c r="B436" s="117" t="s">
        <v>498</v>
      </c>
      <c r="C436" s="108">
        <f t="shared" si="24"/>
        <v>1607</v>
      </c>
      <c r="D436" s="38">
        <f t="shared" si="25"/>
        <v>0</v>
      </c>
      <c r="E436" s="113"/>
      <c r="G436" s="113" t="s">
        <v>24</v>
      </c>
      <c r="H436" s="108" t="s">
        <v>1019</v>
      </c>
      <c r="I436" s="12">
        <v>1331</v>
      </c>
      <c r="J436" s="12">
        <v>331</v>
      </c>
      <c r="K436" s="108" t="s">
        <v>20</v>
      </c>
      <c r="L436" s="108">
        <v>1</v>
      </c>
      <c r="M436" s="116">
        <v>3468</v>
      </c>
      <c r="N436" s="116">
        <f t="shared" si="26"/>
        <v>3468</v>
      </c>
      <c r="P436" s="108">
        <f t="shared" si="27"/>
        <v>169</v>
      </c>
    </row>
    <row r="437" spans="1:16" ht="15" hidden="1" customHeight="1" x14ac:dyDescent="0.2">
      <c r="A437" s="108" t="s">
        <v>18</v>
      </c>
      <c r="B437" s="117" t="s">
        <v>498</v>
      </c>
      <c r="C437" s="108">
        <f t="shared" si="24"/>
        <v>1608</v>
      </c>
      <c r="D437" s="38">
        <f t="shared" si="25"/>
        <v>1</v>
      </c>
      <c r="E437" s="113"/>
      <c r="G437" s="113" t="s">
        <v>1023</v>
      </c>
      <c r="H437" s="108" t="s">
        <v>1024</v>
      </c>
      <c r="I437" s="12">
        <v>64277</v>
      </c>
      <c r="J437" s="12">
        <v>331</v>
      </c>
      <c r="K437" s="108" t="s">
        <v>20</v>
      </c>
      <c r="L437" s="108">
        <v>1</v>
      </c>
      <c r="M437" s="116">
        <v>557230</v>
      </c>
      <c r="N437" s="116">
        <f t="shared" si="26"/>
        <v>557230</v>
      </c>
      <c r="P437" s="108">
        <f t="shared" si="27"/>
        <v>145</v>
      </c>
    </row>
    <row r="438" spans="1:16" ht="15" hidden="1" customHeight="1" x14ac:dyDescent="0.2">
      <c r="A438" s="108" t="s">
        <v>18</v>
      </c>
      <c r="B438" s="117" t="s">
        <v>498</v>
      </c>
      <c r="C438" s="108">
        <f t="shared" si="24"/>
        <v>1608</v>
      </c>
      <c r="D438" s="38">
        <f t="shared" si="25"/>
        <v>0</v>
      </c>
      <c r="E438" s="113"/>
      <c r="G438" s="113" t="s">
        <v>1023</v>
      </c>
      <c r="H438" s="108" t="s">
        <v>1024</v>
      </c>
      <c r="I438" s="12">
        <v>1331</v>
      </c>
      <c r="J438" s="12">
        <v>331</v>
      </c>
      <c r="K438" s="108" t="s">
        <v>20</v>
      </c>
      <c r="L438" s="108">
        <v>1</v>
      </c>
      <c r="M438" s="116">
        <v>0</v>
      </c>
      <c r="N438" s="116">
        <f t="shared" si="26"/>
        <v>0</v>
      </c>
      <c r="P438" s="108">
        <f t="shared" si="27"/>
        <v>145</v>
      </c>
    </row>
    <row r="439" spans="1:16" ht="15" hidden="1" customHeight="1" x14ac:dyDescent="0.2">
      <c r="A439" s="108" t="s">
        <v>18</v>
      </c>
      <c r="B439" s="117">
        <v>46053</v>
      </c>
      <c r="C439" s="108">
        <f t="shared" si="24"/>
        <v>1609</v>
      </c>
      <c r="D439" s="38">
        <f t="shared" si="25"/>
        <v>1</v>
      </c>
      <c r="E439" s="113"/>
      <c r="G439" s="113" t="s">
        <v>312</v>
      </c>
      <c r="H439" s="108" t="s">
        <v>455</v>
      </c>
      <c r="I439" s="108">
        <v>64271</v>
      </c>
      <c r="J439" s="108">
        <v>3383</v>
      </c>
      <c r="K439" s="108" t="s">
        <v>20</v>
      </c>
      <c r="L439" s="108">
        <v>1</v>
      </c>
      <c r="M439" s="116">
        <v>690300</v>
      </c>
      <c r="N439" s="116">
        <f t="shared" si="26"/>
        <v>690300</v>
      </c>
      <c r="P439" s="108">
        <f t="shared" si="27"/>
        <v>30</v>
      </c>
    </row>
    <row r="440" spans="1:16" ht="15" hidden="1" customHeight="1" x14ac:dyDescent="0.2">
      <c r="A440" s="108" t="s">
        <v>18</v>
      </c>
      <c r="B440" s="117" t="s">
        <v>473</v>
      </c>
      <c r="C440" s="108">
        <f t="shared" si="24"/>
        <v>1610</v>
      </c>
      <c r="D440" s="38">
        <f t="shared" si="25"/>
        <v>1</v>
      </c>
      <c r="E440" s="113"/>
      <c r="G440" s="113" t="s">
        <v>32</v>
      </c>
      <c r="H440" s="108" t="s">
        <v>3655</v>
      </c>
      <c r="I440" s="12">
        <v>64277</v>
      </c>
      <c r="J440" s="12">
        <v>331</v>
      </c>
      <c r="K440" s="108" t="s">
        <v>20</v>
      </c>
      <c r="L440" s="108">
        <v>1</v>
      </c>
      <c r="M440" s="116">
        <v>2023555</v>
      </c>
      <c r="N440" s="116">
        <f t="shared" si="26"/>
        <v>2023555</v>
      </c>
      <c r="P440" s="108">
        <f t="shared" si="27"/>
        <v>42</v>
      </c>
    </row>
    <row r="441" spans="1:16" ht="15" hidden="1" customHeight="1" x14ac:dyDescent="0.2">
      <c r="A441" s="108" t="s">
        <v>18</v>
      </c>
      <c r="B441" s="117" t="s">
        <v>473</v>
      </c>
      <c r="C441" s="108">
        <f t="shared" si="24"/>
        <v>1610</v>
      </c>
      <c r="D441" s="38">
        <f t="shared" si="25"/>
        <v>0</v>
      </c>
      <c r="E441" s="113"/>
      <c r="G441" s="113" t="s">
        <v>32</v>
      </c>
      <c r="H441" s="108" t="s">
        <v>3655</v>
      </c>
      <c r="I441" s="12">
        <v>1331</v>
      </c>
      <c r="J441" s="12">
        <v>331</v>
      </c>
      <c r="K441" s="108" t="s">
        <v>20</v>
      </c>
      <c r="L441" s="108">
        <v>1</v>
      </c>
      <c r="M441" s="116">
        <v>143106</v>
      </c>
      <c r="N441" s="116">
        <f t="shared" si="26"/>
        <v>143106</v>
      </c>
      <c r="P441" s="108">
        <f t="shared" si="27"/>
        <v>42</v>
      </c>
    </row>
    <row r="442" spans="1:16" ht="15" hidden="1" customHeight="1" x14ac:dyDescent="0.2">
      <c r="A442" s="108" t="s">
        <v>18</v>
      </c>
      <c r="B442" s="117" t="s">
        <v>473</v>
      </c>
      <c r="C442" s="108">
        <f t="shared" si="24"/>
        <v>1611</v>
      </c>
      <c r="D442" s="38">
        <f t="shared" si="25"/>
        <v>1</v>
      </c>
      <c r="E442" s="113"/>
      <c r="G442" s="113" t="s">
        <v>19</v>
      </c>
      <c r="H442" s="108" t="s">
        <v>1025</v>
      </c>
      <c r="I442" s="12">
        <v>64277</v>
      </c>
      <c r="J442" s="12">
        <v>331</v>
      </c>
      <c r="K442" s="108" t="s">
        <v>20</v>
      </c>
      <c r="L442" s="108">
        <v>1</v>
      </c>
      <c r="M442" s="116">
        <v>30714</v>
      </c>
      <c r="N442" s="116">
        <f t="shared" si="26"/>
        <v>30714</v>
      </c>
      <c r="P442" s="108">
        <f t="shared" si="27"/>
        <v>168</v>
      </c>
    </row>
    <row r="443" spans="1:16" ht="15" hidden="1" customHeight="1" x14ac:dyDescent="0.2">
      <c r="A443" s="108" t="s">
        <v>18</v>
      </c>
      <c r="B443" s="117" t="s">
        <v>473</v>
      </c>
      <c r="C443" s="108">
        <f t="shared" si="24"/>
        <v>1611</v>
      </c>
      <c r="D443" s="38">
        <f t="shared" si="25"/>
        <v>0</v>
      </c>
      <c r="E443" s="113"/>
      <c r="G443" s="113" t="s">
        <v>19</v>
      </c>
      <c r="H443" s="108" t="s">
        <v>1025</v>
      </c>
      <c r="I443" s="12">
        <v>1331</v>
      </c>
      <c r="J443" s="12">
        <v>331</v>
      </c>
      <c r="K443" s="108" t="s">
        <v>20</v>
      </c>
      <c r="L443" s="108">
        <v>1</v>
      </c>
      <c r="M443" s="116">
        <v>2138</v>
      </c>
      <c r="N443" s="116">
        <f t="shared" si="26"/>
        <v>2138</v>
      </c>
      <c r="P443" s="108">
        <f t="shared" si="27"/>
        <v>168</v>
      </c>
    </row>
    <row r="444" spans="1:16" ht="15" hidden="1" customHeight="1" x14ac:dyDescent="0.2">
      <c r="A444" s="108" t="s">
        <v>18</v>
      </c>
      <c r="B444" s="117" t="s">
        <v>473</v>
      </c>
      <c r="C444" s="108">
        <f t="shared" si="24"/>
        <v>1612</v>
      </c>
      <c r="D444" s="38">
        <f t="shared" si="25"/>
        <v>1</v>
      </c>
      <c r="E444" s="113"/>
      <c r="G444" s="113" t="s">
        <v>1010</v>
      </c>
      <c r="H444" s="108" t="s">
        <v>3657</v>
      </c>
      <c r="I444" s="12">
        <v>64277</v>
      </c>
      <c r="J444" s="12">
        <v>331</v>
      </c>
      <c r="K444" s="108" t="s">
        <v>20</v>
      </c>
      <c r="L444" s="108">
        <v>1</v>
      </c>
      <c r="M444" s="116">
        <v>346000</v>
      </c>
      <c r="N444" s="116">
        <f t="shared" si="26"/>
        <v>346000</v>
      </c>
      <c r="P444" s="108">
        <f t="shared" si="27"/>
        <v>34</v>
      </c>
    </row>
    <row r="445" spans="1:16" ht="15" hidden="1" customHeight="1" x14ac:dyDescent="0.2">
      <c r="A445" s="108" t="s">
        <v>18</v>
      </c>
      <c r="B445" s="117" t="s">
        <v>473</v>
      </c>
      <c r="C445" s="108">
        <f t="shared" si="24"/>
        <v>1612</v>
      </c>
      <c r="D445" s="38">
        <f t="shared" si="25"/>
        <v>0</v>
      </c>
      <c r="E445" s="113"/>
      <c r="G445" s="113" t="s">
        <v>1010</v>
      </c>
      <c r="H445" s="108" t="s">
        <v>3657</v>
      </c>
      <c r="I445" s="12">
        <v>1331</v>
      </c>
      <c r="J445" s="12">
        <v>331</v>
      </c>
      <c r="K445" s="108" t="s">
        <v>20</v>
      </c>
      <c r="L445" s="108">
        <v>1</v>
      </c>
      <c r="M445" s="116">
        <v>27556</v>
      </c>
      <c r="N445" s="116">
        <f t="shared" si="26"/>
        <v>27556</v>
      </c>
      <c r="P445" s="108">
        <f t="shared" si="27"/>
        <v>34</v>
      </c>
    </row>
    <row r="446" spans="1:16" ht="15" hidden="1" customHeight="1" x14ac:dyDescent="0.2">
      <c r="A446" s="108" t="s">
        <v>18</v>
      </c>
      <c r="B446" s="117" t="s">
        <v>540</v>
      </c>
      <c r="C446" s="108">
        <f t="shared" si="24"/>
        <v>1613</v>
      </c>
      <c r="D446" s="38">
        <f t="shared" si="25"/>
        <v>1</v>
      </c>
      <c r="E446" s="113"/>
      <c r="G446" s="113" t="s">
        <v>31</v>
      </c>
      <c r="H446" s="108" t="s">
        <v>3659</v>
      </c>
      <c r="I446" s="12">
        <v>64277</v>
      </c>
      <c r="J446" s="12">
        <v>331</v>
      </c>
      <c r="K446" s="108" t="s">
        <v>20</v>
      </c>
      <c r="L446" s="108">
        <v>1</v>
      </c>
      <c r="M446" s="116">
        <v>3285551</v>
      </c>
      <c r="N446" s="116">
        <f t="shared" si="26"/>
        <v>3285551</v>
      </c>
      <c r="P446" s="108">
        <f t="shared" si="27"/>
        <v>43</v>
      </c>
    </row>
    <row r="447" spans="1:16" ht="15" hidden="1" customHeight="1" x14ac:dyDescent="0.2">
      <c r="A447" s="108" t="s">
        <v>18</v>
      </c>
      <c r="B447" s="117" t="s">
        <v>540</v>
      </c>
      <c r="C447" s="108">
        <f t="shared" si="24"/>
        <v>1613</v>
      </c>
      <c r="D447" s="38">
        <f t="shared" si="25"/>
        <v>0</v>
      </c>
      <c r="E447" s="113"/>
      <c r="G447" s="113" t="s">
        <v>31</v>
      </c>
      <c r="H447" s="108" t="s">
        <v>3659</v>
      </c>
      <c r="I447" s="12">
        <v>1331</v>
      </c>
      <c r="J447" s="12">
        <v>331</v>
      </c>
      <c r="K447" s="108" t="s">
        <v>20</v>
      </c>
      <c r="L447" s="108">
        <v>1</v>
      </c>
      <c r="M447" s="116">
        <v>262849</v>
      </c>
      <c r="N447" s="116">
        <f t="shared" si="26"/>
        <v>262849</v>
      </c>
      <c r="P447" s="108">
        <f t="shared" si="27"/>
        <v>43</v>
      </c>
    </row>
    <row r="448" spans="1:16" ht="15" hidden="1" customHeight="1" x14ac:dyDescent="0.2">
      <c r="A448" s="108" t="s">
        <v>18</v>
      </c>
      <c r="B448" s="117" t="s">
        <v>540</v>
      </c>
      <c r="C448" s="108">
        <f t="shared" si="24"/>
        <v>1614</v>
      </c>
      <c r="D448" s="38">
        <f t="shared" si="25"/>
        <v>1</v>
      </c>
      <c r="E448" s="113"/>
      <c r="G448" s="113" t="s">
        <v>23</v>
      </c>
      <c r="H448" s="108" t="s">
        <v>3661</v>
      </c>
      <c r="I448" s="12">
        <v>64277</v>
      </c>
      <c r="J448" s="12">
        <v>331</v>
      </c>
      <c r="K448" s="108" t="s">
        <v>20</v>
      </c>
      <c r="L448" s="108">
        <v>1</v>
      </c>
      <c r="M448" s="116">
        <v>170370</v>
      </c>
      <c r="N448" s="116">
        <f t="shared" si="26"/>
        <v>170370</v>
      </c>
      <c r="P448" s="108">
        <f t="shared" si="27"/>
        <v>41</v>
      </c>
    </row>
    <row r="449" spans="1:16" ht="15" hidden="1" customHeight="1" x14ac:dyDescent="0.2">
      <c r="A449" s="108" t="s">
        <v>18</v>
      </c>
      <c r="B449" s="117" t="s">
        <v>540</v>
      </c>
      <c r="C449" s="108">
        <f t="shared" si="24"/>
        <v>1614</v>
      </c>
      <c r="D449" s="38">
        <f t="shared" si="25"/>
        <v>0</v>
      </c>
      <c r="E449" s="113"/>
      <c r="G449" s="113" t="s">
        <v>23</v>
      </c>
      <c r="H449" s="108" t="s">
        <v>3661</v>
      </c>
      <c r="I449" s="12">
        <v>1331</v>
      </c>
      <c r="J449" s="12">
        <v>331</v>
      </c>
      <c r="K449" s="108" t="s">
        <v>20</v>
      </c>
      <c r="L449" s="108">
        <v>1</v>
      </c>
      <c r="M449" s="116">
        <v>13630</v>
      </c>
      <c r="N449" s="116">
        <f t="shared" si="26"/>
        <v>13630</v>
      </c>
      <c r="P449" s="108">
        <f t="shared" si="27"/>
        <v>41</v>
      </c>
    </row>
    <row r="450" spans="1:16" ht="15" hidden="1" customHeight="1" x14ac:dyDescent="0.2">
      <c r="A450" s="108" t="s">
        <v>18</v>
      </c>
      <c r="B450" s="117" t="s">
        <v>436</v>
      </c>
      <c r="C450" s="108">
        <f t="shared" si="24"/>
        <v>1615</v>
      </c>
      <c r="D450" s="38">
        <f t="shared" si="25"/>
        <v>1</v>
      </c>
      <c r="E450" s="113"/>
      <c r="G450" s="113" t="s">
        <v>273</v>
      </c>
      <c r="H450" s="108" t="s">
        <v>3663</v>
      </c>
      <c r="I450" s="12">
        <v>64277</v>
      </c>
      <c r="J450" s="12">
        <v>331</v>
      </c>
      <c r="K450" s="108" t="s">
        <v>20</v>
      </c>
      <c r="L450" s="108">
        <v>1</v>
      </c>
      <c r="M450" s="116">
        <v>2538455</v>
      </c>
      <c r="N450" s="116">
        <f t="shared" si="26"/>
        <v>2538455</v>
      </c>
      <c r="P450" s="108">
        <f t="shared" si="27"/>
        <v>40</v>
      </c>
    </row>
    <row r="451" spans="1:16" ht="15" hidden="1" customHeight="1" x14ac:dyDescent="0.2">
      <c r="A451" s="108" t="s">
        <v>18</v>
      </c>
      <c r="B451" s="117" t="s">
        <v>436</v>
      </c>
      <c r="C451" s="108">
        <f t="shared" si="24"/>
        <v>1615</v>
      </c>
      <c r="D451" s="38">
        <f t="shared" si="25"/>
        <v>0</v>
      </c>
      <c r="E451" s="113"/>
      <c r="G451" s="113" t="s">
        <v>273</v>
      </c>
      <c r="H451" s="108" t="s">
        <v>3663</v>
      </c>
      <c r="I451" s="12">
        <v>1331</v>
      </c>
      <c r="J451" s="12">
        <v>331</v>
      </c>
      <c r="K451" s="108" t="s">
        <v>20</v>
      </c>
      <c r="L451" s="108">
        <v>1</v>
      </c>
      <c r="M451" s="116">
        <v>211385</v>
      </c>
      <c r="N451" s="116">
        <f t="shared" si="26"/>
        <v>211385</v>
      </c>
      <c r="P451" s="108">
        <f t="shared" si="27"/>
        <v>40</v>
      </c>
    </row>
    <row r="452" spans="1:16" ht="15" hidden="1" customHeight="1" x14ac:dyDescent="0.2">
      <c r="A452" s="108" t="s">
        <v>18</v>
      </c>
      <c r="B452" s="117" t="s">
        <v>436</v>
      </c>
      <c r="C452" s="108">
        <f t="shared" ref="C452:C515" si="28">C451+D452</f>
        <v>1616</v>
      </c>
      <c r="D452" s="38">
        <f t="shared" ref="D452:D515" si="29">IF(H452=H451,0,1)</f>
        <v>1</v>
      </c>
      <c r="E452" s="113"/>
      <c r="G452" s="113" t="s">
        <v>19</v>
      </c>
      <c r="H452" s="108" t="s">
        <v>1027</v>
      </c>
      <c r="I452" s="12">
        <v>64277</v>
      </c>
      <c r="J452" s="12">
        <v>331</v>
      </c>
      <c r="K452" s="108" t="s">
        <v>20</v>
      </c>
      <c r="L452" s="108">
        <v>1</v>
      </c>
      <c r="M452" s="116">
        <v>34000</v>
      </c>
      <c r="N452" s="116">
        <f t="shared" ref="N452:N515" si="30">M452*L452</f>
        <v>34000</v>
      </c>
      <c r="P452" s="108">
        <f t="shared" ref="P452:P515" si="31">LEN(H452)</f>
        <v>126</v>
      </c>
    </row>
    <row r="453" spans="1:16" ht="15" hidden="1" customHeight="1" x14ac:dyDescent="0.2">
      <c r="A453" s="108" t="s">
        <v>18</v>
      </c>
      <c r="B453" s="117" t="s">
        <v>436</v>
      </c>
      <c r="C453" s="108">
        <f t="shared" si="28"/>
        <v>1616</v>
      </c>
      <c r="D453" s="38">
        <f t="shared" si="29"/>
        <v>0</v>
      </c>
      <c r="E453" s="113"/>
      <c r="G453" s="113" t="s">
        <v>19</v>
      </c>
      <c r="H453" s="108" t="s">
        <v>1027</v>
      </c>
      <c r="I453" s="12">
        <v>1331</v>
      </c>
      <c r="J453" s="12">
        <v>331</v>
      </c>
      <c r="K453" s="108" t="s">
        <v>20</v>
      </c>
      <c r="L453" s="108">
        <v>1</v>
      </c>
      <c r="M453" s="116">
        <v>2519</v>
      </c>
      <c r="N453" s="116">
        <f t="shared" si="30"/>
        <v>2519</v>
      </c>
      <c r="P453" s="108">
        <f t="shared" si="31"/>
        <v>126</v>
      </c>
    </row>
    <row r="454" spans="1:16" ht="15" hidden="1" customHeight="1" x14ac:dyDescent="0.2">
      <c r="A454" s="108" t="s">
        <v>18</v>
      </c>
      <c r="B454" s="117" t="s">
        <v>436</v>
      </c>
      <c r="C454" s="108">
        <f t="shared" si="28"/>
        <v>1617</v>
      </c>
      <c r="D454" s="38">
        <f t="shared" si="29"/>
        <v>1</v>
      </c>
      <c r="E454" s="113"/>
      <c r="G454" s="113" t="s">
        <v>307</v>
      </c>
      <c r="H454" s="108" t="s">
        <v>1028</v>
      </c>
      <c r="I454" s="12">
        <v>64277</v>
      </c>
      <c r="J454" s="12">
        <v>331</v>
      </c>
      <c r="K454" s="108" t="s">
        <v>20</v>
      </c>
      <c r="L454" s="108">
        <v>1</v>
      </c>
      <c r="M454" s="116">
        <v>277778</v>
      </c>
      <c r="N454" s="116">
        <f t="shared" si="30"/>
        <v>277778</v>
      </c>
      <c r="P454" s="108">
        <f t="shared" si="31"/>
        <v>73</v>
      </c>
    </row>
    <row r="455" spans="1:16" ht="15" hidden="1" customHeight="1" x14ac:dyDescent="0.2">
      <c r="A455" s="108" t="s">
        <v>18</v>
      </c>
      <c r="B455" s="117" t="s">
        <v>436</v>
      </c>
      <c r="C455" s="108">
        <f t="shared" si="28"/>
        <v>1617</v>
      </c>
      <c r="D455" s="38">
        <f t="shared" si="29"/>
        <v>0</v>
      </c>
      <c r="E455" s="113"/>
      <c r="G455" s="113" t="s">
        <v>307</v>
      </c>
      <c r="H455" s="108" t="s">
        <v>1028</v>
      </c>
      <c r="I455" s="12">
        <v>1331</v>
      </c>
      <c r="J455" s="12">
        <v>331</v>
      </c>
      <c r="K455" s="108" t="s">
        <v>20</v>
      </c>
      <c r="L455" s="108">
        <v>1</v>
      </c>
      <c r="M455" s="116">
        <v>22222</v>
      </c>
      <c r="N455" s="116">
        <f t="shared" si="30"/>
        <v>22222</v>
      </c>
      <c r="P455" s="108">
        <f t="shared" si="31"/>
        <v>73</v>
      </c>
    </row>
    <row r="456" spans="1:16" ht="15" hidden="1" customHeight="1" x14ac:dyDescent="0.2">
      <c r="A456" s="108" t="s">
        <v>18</v>
      </c>
      <c r="B456" s="117" t="s">
        <v>436</v>
      </c>
      <c r="C456" s="108">
        <f t="shared" si="28"/>
        <v>1618</v>
      </c>
      <c r="D456" s="38">
        <f t="shared" si="29"/>
        <v>1</v>
      </c>
      <c r="E456" s="113"/>
      <c r="G456" s="113" t="s">
        <v>44</v>
      </c>
      <c r="H456" s="108" t="s">
        <v>1026</v>
      </c>
      <c r="I456" s="12">
        <v>64277</v>
      </c>
      <c r="J456" s="12">
        <v>331</v>
      </c>
      <c r="K456" s="108" t="s">
        <v>20</v>
      </c>
      <c r="L456" s="108">
        <v>1</v>
      </c>
      <c r="M456" s="116">
        <v>610846</v>
      </c>
      <c r="N456" s="116">
        <f t="shared" si="30"/>
        <v>610846</v>
      </c>
      <c r="P456" s="108">
        <f t="shared" si="31"/>
        <v>98</v>
      </c>
    </row>
    <row r="457" spans="1:16" ht="15" hidden="1" customHeight="1" x14ac:dyDescent="0.2">
      <c r="A457" s="108" t="s">
        <v>18</v>
      </c>
      <c r="B457" s="117" t="s">
        <v>436</v>
      </c>
      <c r="C457" s="108">
        <f t="shared" si="28"/>
        <v>1618</v>
      </c>
      <c r="D457" s="38">
        <f t="shared" si="29"/>
        <v>0</v>
      </c>
      <c r="E457" s="113"/>
      <c r="G457" s="113" t="s">
        <v>44</v>
      </c>
      <c r="H457" s="108" t="s">
        <v>1026</v>
      </c>
      <c r="I457" s="12">
        <v>1331</v>
      </c>
      <c r="J457" s="12">
        <v>331</v>
      </c>
      <c r="K457" s="108" t="s">
        <v>20</v>
      </c>
      <c r="L457" s="108">
        <v>1</v>
      </c>
      <c r="M457" s="116">
        <v>48865</v>
      </c>
      <c r="N457" s="116">
        <f t="shared" si="30"/>
        <v>48865</v>
      </c>
      <c r="P457" s="108">
        <f t="shared" si="31"/>
        <v>98</v>
      </c>
    </row>
    <row r="458" spans="1:16" ht="15" hidden="1" customHeight="1" x14ac:dyDescent="0.2">
      <c r="A458" s="108" t="s">
        <v>18</v>
      </c>
      <c r="B458" s="117" t="s">
        <v>541</v>
      </c>
      <c r="C458" s="108">
        <f t="shared" si="28"/>
        <v>1619</v>
      </c>
      <c r="D458" s="38">
        <f t="shared" si="29"/>
        <v>1</v>
      </c>
      <c r="E458" s="113"/>
      <c r="G458" s="113" t="s">
        <v>1029</v>
      </c>
      <c r="H458" s="108" t="s">
        <v>1030</v>
      </c>
      <c r="I458" s="12">
        <v>64277</v>
      </c>
      <c r="J458" s="12">
        <v>331</v>
      </c>
      <c r="K458" s="108" t="s">
        <v>20</v>
      </c>
      <c r="L458" s="108">
        <v>1</v>
      </c>
      <c r="M458" s="116">
        <v>202778</v>
      </c>
      <c r="N458" s="116">
        <f t="shared" si="30"/>
        <v>202778</v>
      </c>
      <c r="P458" s="108">
        <f t="shared" si="31"/>
        <v>67</v>
      </c>
    </row>
    <row r="459" spans="1:16" ht="15" hidden="1" customHeight="1" x14ac:dyDescent="0.2">
      <c r="A459" s="108" t="s">
        <v>18</v>
      </c>
      <c r="B459" s="117" t="s">
        <v>541</v>
      </c>
      <c r="C459" s="108">
        <f t="shared" si="28"/>
        <v>1619</v>
      </c>
      <c r="D459" s="38">
        <f t="shared" si="29"/>
        <v>0</v>
      </c>
      <c r="E459" s="113"/>
      <c r="G459" s="113" t="s">
        <v>1029</v>
      </c>
      <c r="H459" s="108" t="s">
        <v>1030</v>
      </c>
      <c r="I459" s="12">
        <v>1331</v>
      </c>
      <c r="J459" s="12">
        <v>331</v>
      </c>
      <c r="K459" s="108" t="s">
        <v>20</v>
      </c>
      <c r="L459" s="108">
        <v>1</v>
      </c>
      <c r="M459" s="116">
        <v>16222</v>
      </c>
      <c r="N459" s="116">
        <f t="shared" si="30"/>
        <v>16222</v>
      </c>
      <c r="P459" s="108">
        <f t="shared" si="31"/>
        <v>67</v>
      </c>
    </row>
    <row r="460" spans="1:16" ht="15" hidden="1" customHeight="1" x14ac:dyDescent="0.2">
      <c r="A460" s="108" t="s">
        <v>18</v>
      </c>
      <c r="B460" s="117" t="s">
        <v>542</v>
      </c>
      <c r="C460" s="108">
        <f t="shared" si="28"/>
        <v>1620</v>
      </c>
      <c r="D460" s="38">
        <f t="shared" si="29"/>
        <v>1</v>
      </c>
      <c r="E460" s="113"/>
      <c r="G460" s="113" t="s">
        <v>23</v>
      </c>
      <c r="H460" s="108" t="s">
        <v>3665</v>
      </c>
      <c r="I460" s="12">
        <v>64277</v>
      </c>
      <c r="J460" s="12">
        <v>331</v>
      </c>
      <c r="K460" s="108" t="s">
        <v>20</v>
      </c>
      <c r="L460" s="108">
        <v>1</v>
      </c>
      <c r="M460" s="116">
        <v>215741</v>
      </c>
      <c r="N460" s="116">
        <f t="shared" si="30"/>
        <v>215741</v>
      </c>
      <c r="P460" s="108">
        <f t="shared" si="31"/>
        <v>42</v>
      </c>
    </row>
    <row r="461" spans="1:16" ht="15" hidden="1" customHeight="1" x14ac:dyDescent="0.2">
      <c r="A461" s="108" t="s">
        <v>18</v>
      </c>
      <c r="B461" s="117" t="s">
        <v>542</v>
      </c>
      <c r="C461" s="108">
        <f t="shared" si="28"/>
        <v>1620</v>
      </c>
      <c r="D461" s="38">
        <f t="shared" si="29"/>
        <v>0</v>
      </c>
      <c r="E461" s="113"/>
      <c r="G461" s="113" t="s">
        <v>23</v>
      </c>
      <c r="H461" s="108" t="s">
        <v>3665</v>
      </c>
      <c r="I461" s="12">
        <v>1331</v>
      </c>
      <c r="J461" s="12">
        <v>331</v>
      </c>
      <c r="K461" s="108" t="s">
        <v>20</v>
      </c>
      <c r="L461" s="108">
        <v>1</v>
      </c>
      <c r="M461" s="116">
        <v>17259</v>
      </c>
      <c r="N461" s="116">
        <f t="shared" si="30"/>
        <v>17259</v>
      </c>
      <c r="P461" s="108">
        <f t="shared" si="31"/>
        <v>42</v>
      </c>
    </row>
    <row r="462" spans="1:16" ht="15" hidden="1" customHeight="1" x14ac:dyDescent="0.2">
      <c r="A462" s="108" t="s">
        <v>18</v>
      </c>
      <c r="B462" s="117" t="s">
        <v>542</v>
      </c>
      <c r="C462" s="108">
        <f t="shared" si="28"/>
        <v>1621</v>
      </c>
      <c r="D462" s="38">
        <f t="shared" si="29"/>
        <v>1</v>
      </c>
      <c r="E462" s="113"/>
      <c r="G462" s="113" t="s">
        <v>35</v>
      </c>
      <c r="H462" s="108" t="s">
        <v>1031</v>
      </c>
      <c r="I462" s="12">
        <v>64277</v>
      </c>
      <c r="J462" s="12">
        <v>331</v>
      </c>
      <c r="K462" s="108" t="s">
        <v>20</v>
      </c>
      <c r="L462" s="108">
        <v>1</v>
      </c>
      <c r="M462" s="116">
        <v>3000000</v>
      </c>
      <c r="N462" s="116">
        <f t="shared" si="30"/>
        <v>3000000</v>
      </c>
      <c r="P462" s="108">
        <f t="shared" si="31"/>
        <v>41</v>
      </c>
    </row>
    <row r="463" spans="1:16" ht="15" hidden="1" customHeight="1" x14ac:dyDescent="0.2">
      <c r="A463" s="108" t="s">
        <v>18</v>
      </c>
      <c r="B463" s="117" t="s">
        <v>542</v>
      </c>
      <c r="C463" s="108">
        <f t="shared" si="28"/>
        <v>1621</v>
      </c>
      <c r="D463" s="38">
        <f t="shared" si="29"/>
        <v>0</v>
      </c>
      <c r="E463" s="113"/>
      <c r="G463" s="113" t="s">
        <v>35</v>
      </c>
      <c r="H463" s="108" t="s">
        <v>1031</v>
      </c>
      <c r="I463" s="12">
        <v>1331</v>
      </c>
      <c r="J463" s="12">
        <v>331</v>
      </c>
      <c r="K463" s="108" t="s">
        <v>20</v>
      </c>
      <c r="L463" s="108">
        <v>1</v>
      </c>
      <c r="M463" s="116">
        <v>240000</v>
      </c>
      <c r="N463" s="116">
        <f t="shared" si="30"/>
        <v>240000</v>
      </c>
      <c r="P463" s="108">
        <f t="shared" si="31"/>
        <v>41</v>
      </c>
    </row>
    <row r="464" spans="1:16" ht="15" hidden="1" customHeight="1" x14ac:dyDescent="0.2">
      <c r="A464" s="108" t="s">
        <v>18</v>
      </c>
      <c r="B464" s="117">
        <v>46057.733136574076</v>
      </c>
      <c r="C464" s="108">
        <f t="shared" si="28"/>
        <v>1622</v>
      </c>
      <c r="D464" s="38">
        <f t="shared" si="29"/>
        <v>1</v>
      </c>
      <c r="G464" s="172" t="s">
        <v>311</v>
      </c>
      <c r="H464" s="108" t="s">
        <v>3500</v>
      </c>
      <c r="I464" s="12">
        <v>131</v>
      </c>
      <c r="J464" s="12">
        <v>5118</v>
      </c>
      <c r="K464" s="108" t="s">
        <v>20</v>
      </c>
      <c r="L464" s="108">
        <v>1</v>
      </c>
      <c r="M464" s="114">
        <v>49340504</v>
      </c>
      <c r="N464" s="116">
        <f t="shared" si="30"/>
        <v>49340504</v>
      </c>
      <c r="P464" s="108">
        <f t="shared" si="31"/>
        <v>43</v>
      </c>
    </row>
    <row r="465" spans="1:16" ht="15" hidden="1" customHeight="1" x14ac:dyDescent="0.2">
      <c r="A465" s="108" t="s">
        <v>18</v>
      </c>
      <c r="B465" s="117" t="s">
        <v>474</v>
      </c>
      <c r="C465" s="108">
        <f t="shared" si="28"/>
        <v>1623</v>
      </c>
      <c r="D465" s="38">
        <f t="shared" si="29"/>
        <v>1</v>
      </c>
      <c r="E465" s="113"/>
      <c r="G465" s="113" t="s">
        <v>19</v>
      </c>
      <c r="H465" s="108" t="s">
        <v>1033</v>
      </c>
      <c r="I465" s="12">
        <v>64277</v>
      </c>
      <c r="J465" s="12">
        <v>331</v>
      </c>
      <c r="K465" s="108" t="s">
        <v>20</v>
      </c>
      <c r="L465" s="108">
        <v>1</v>
      </c>
      <c r="M465" s="116">
        <v>201000</v>
      </c>
      <c r="N465" s="116">
        <f t="shared" si="30"/>
        <v>201000</v>
      </c>
      <c r="P465" s="108">
        <f t="shared" si="31"/>
        <v>126</v>
      </c>
    </row>
    <row r="466" spans="1:16" ht="15" hidden="1" customHeight="1" x14ac:dyDescent="0.2">
      <c r="A466" s="108" t="s">
        <v>18</v>
      </c>
      <c r="B466" s="117" t="s">
        <v>474</v>
      </c>
      <c r="C466" s="108">
        <f t="shared" si="28"/>
        <v>1623</v>
      </c>
      <c r="D466" s="38">
        <f t="shared" si="29"/>
        <v>0</v>
      </c>
      <c r="E466" s="113"/>
      <c r="G466" s="113" t="s">
        <v>19</v>
      </c>
      <c r="H466" s="108" t="s">
        <v>1033</v>
      </c>
      <c r="I466" s="12">
        <v>1331</v>
      </c>
      <c r="J466" s="12">
        <v>331</v>
      </c>
      <c r="K466" s="108" t="s">
        <v>20</v>
      </c>
      <c r="L466" s="108">
        <v>1</v>
      </c>
      <c r="M466" s="116">
        <v>14888</v>
      </c>
      <c r="N466" s="116">
        <f t="shared" si="30"/>
        <v>14888</v>
      </c>
      <c r="P466" s="108">
        <f t="shared" si="31"/>
        <v>126</v>
      </c>
    </row>
    <row r="467" spans="1:16" ht="15" hidden="1" customHeight="1" x14ac:dyDescent="0.2">
      <c r="A467" s="108" t="s">
        <v>18</v>
      </c>
      <c r="B467" s="117" t="s">
        <v>474</v>
      </c>
      <c r="C467" s="108">
        <f t="shared" si="28"/>
        <v>1624</v>
      </c>
      <c r="D467" s="38">
        <f t="shared" si="29"/>
        <v>1</v>
      </c>
      <c r="E467" s="113"/>
      <c r="G467" s="113" t="s">
        <v>24</v>
      </c>
      <c r="H467" s="108" t="s">
        <v>1032</v>
      </c>
      <c r="I467" s="12">
        <v>64277</v>
      </c>
      <c r="J467" s="12">
        <v>331</v>
      </c>
      <c r="K467" s="108" t="s">
        <v>20</v>
      </c>
      <c r="L467" s="108">
        <v>1</v>
      </c>
      <c r="M467" s="116">
        <v>34000</v>
      </c>
      <c r="N467" s="116">
        <f t="shared" si="30"/>
        <v>34000</v>
      </c>
      <c r="P467" s="108">
        <f t="shared" si="31"/>
        <v>169</v>
      </c>
    </row>
    <row r="468" spans="1:16" ht="15" hidden="1" customHeight="1" x14ac:dyDescent="0.2">
      <c r="A468" s="108" t="s">
        <v>18</v>
      </c>
      <c r="B468" s="117" t="s">
        <v>474</v>
      </c>
      <c r="C468" s="108">
        <f t="shared" si="28"/>
        <v>1624</v>
      </c>
      <c r="D468" s="38">
        <f t="shared" si="29"/>
        <v>0</v>
      </c>
      <c r="E468" s="113"/>
      <c r="G468" s="113" t="s">
        <v>24</v>
      </c>
      <c r="H468" s="108" t="s">
        <v>1032</v>
      </c>
      <c r="I468" s="12">
        <v>1331</v>
      </c>
      <c r="J468" s="12">
        <v>331</v>
      </c>
      <c r="K468" s="108" t="s">
        <v>20</v>
      </c>
      <c r="L468" s="108">
        <v>1</v>
      </c>
      <c r="M468" s="116">
        <v>2325</v>
      </c>
      <c r="N468" s="116">
        <f t="shared" si="30"/>
        <v>2325</v>
      </c>
      <c r="P468" s="108">
        <f t="shared" si="31"/>
        <v>169</v>
      </c>
    </row>
    <row r="469" spans="1:16" ht="15" hidden="1" customHeight="1" x14ac:dyDescent="0.2">
      <c r="A469" s="108" t="s">
        <v>18</v>
      </c>
      <c r="B469" s="117" t="s">
        <v>474</v>
      </c>
      <c r="C469" s="108">
        <f t="shared" si="28"/>
        <v>1625</v>
      </c>
      <c r="D469" s="38">
        <f t="shared" si="29"/>
        <v>1</v>
      </c>
      <c r="G469" s="113" t="s">
        <v>51</v>
      </c>
      <c r="H469" s="108" t="s">
        <v>1197</v>
      </c>
      <c r="I469" s="12">
        <v>131</v>
      </c>
      <c r="J469" s="12">
        <v>5113</v>
      </c>
      <c r="K469" s="108" t="s">
        <v>20</v>
      </c>
      <c r="L469" s="108">
        <v>1</v>
      </c>
      <c r="M469" s="114">
        <v>16129032</v>
      </c>
      <c r="N469" s="116">
        <f t="shared" si="30"/>
        <v>16129032</v>
      </c>
      <c r="P469" s="108">
        <f t="shared" si="31"/>
        <v>112</v>
      </c>
    </row>
    <row r="470" spans="1:16" ht="15" customHeight="1" x14ac:dyDescent="0.2">
      <c r="A470" s="108" t="s">
        <v>18</v>
      </c>
      <c r="B470" s="117" t="s">
        <v>474</v>
      </c>
      <c r="C470" s="108">
        <f t="shared" si="28"/>
        <v>1626</v>
      </c>
      <c r="D470" s="38">
        <f t="shared" si="29"/>
        <v>1</v>
      </c>
      <c r="G470" s="113" t="s">
        <v>51</v>
      </c>
      <c r="H470" s="108" t="s">
        <v>3734</v>
      </c>
      <c r="I470" s="12">
        <v>333821</v>
      </c>
      <c r="J470" s="12">
        <v>131</v>
      </c>
      <c r="K470" s="108" t="s">
        <v>20</v>
      </c>
      <c r="L470" s="108">
        <v>1</v>
      </c>
      <c r="M470" s="114">
        <v>161290</v>
      </c>
      <c r="N470" s="116">
        <f t="shared" si="30"/>
        <v>161290</v>
      </c>
      <c r="P470" s="108">
        <f t="shared" si="31"/>
        <v>128</v>
      </c>
    </row>
    <row r="471" spans="1:16" ht="15" hidden="1" customHeight="1" x14ac:dyDescent="0.2">
      <c r="A471" s="108" t="s">
        <v>18</v>
      </c>
      <c r="B471" s="117" t="s">
        <v>474</v>
      </c>
      <c r="C471" s="108">
        <f t="shared" si="28"/>
        <v>1627</v>
      </c>
      <c r="D471" s="38">
        <f t="shared" si="29"/>
        <v>1</v>
      </c>
      <c r="E471" s="113"/>
      <c r="G471" s="113" t="s">
        <v>25</v>
      </c>
      <c r="H471" s="108" t="s">
        <v>1034</v>
      </c>
      <c r="I471" s="12">
        <v>64277</v>
      </c>
      <c r="J471" s="12">
        <v>331</v>
      </c>
      <c r="K471" s="108" t="s">
        <v>20</v>
      </c>
      <c r="L471" s="108">
        <v>1</v>
      </c>
      <c r="M471" s="116">
        <v>829000</v>
      </c>
      <c r="N471" s="116">
        <f t="shared" si="30"/>
        <v>829000</v>
      </c>
      <c r="P471" s="108">
        <f t="shared" si="31"/>
        <v>173</v>
      </c>
    </row>
    <row r="472" spans="1:16" ht="15" hidden="1" customHeight="1" x14ac:dyDescent="0.2">
      <c r="A472" s="108" t="s">
        <v>18</v>
      </c>
      <c r="B472" s="117" t="s">
        <v>474</v>
      </c>
      <c r="C472" s="108">
        <f t="shared" si="28"/>
        <v>1627</v>
      </c>
      <c r="D472" s="38">
        <f t="shared" si="29"/>
        <v>0</v>
      </c>
      <c r="E472" s="113"/>
      <c r="G472" s="113" t="s">
        <v>25</v>
      </c>
      <c r="H472" s="108" t="s">
        <v>1034</v>
      </c>
      <c r="I472" s="12">
        <v>1331</v>
      </c>
      <c r="J472" s="12">
        <v>331</v>
      </c>
      <c r="K472" s="108" t="s">
        <v>20</v>
      </c>
      <c r="L472" s="108">
        <v>1</v>
      </c>
      <c r="M472" s="116">
        <v>66320</v>
      </c>
      <c r="N472" s="116">
        <f t="shared" si="30"/>
        <v>66320</v>
      </c>
      <c r="P472" s="108">
        <f t="shared" si="31"/>
        <v>173</v>
      </c>
    </row>
    <row r="473" spans="1:16" ht="15" hidden="1" customHeight="1" x14ac:dyDescent="0.2">
      <c r="A473" s="108" t="s">
        <v>18</v>
      </c>
      <c r="B473" s="117" t="s">
        <v>543</v>
      </c>
      <c r="C473" s="108">
        <f t="shared" si="28"/>
        <v>1628</v>
      </c>
      <c r="D473" s="38">
        <f t="shared" si="29"/>
        <v>1</v>
      </c>
      <c r="E473" s="113"/>
      <c r="G473" s="113" t="s">
        <v>1042</v>
      </c>
      <c r="H473" s="108" t="s">
        <v>3667</v>
      </c>
      <c r="I473" s="12">
        <v>64277</v>
      </c>
      <c r="J473" s="12">
        <v>331</v>
      </c>
      <c r="K473" s="108" t="s">
        <v>20</v>
      </c>
      <c r="L473" s="108">
        <v>1</v>
      </c>
      <c r="M473" s="116">
        <v>1155000</v>
      </c>
      <c r="N473" s="116">
        <f t="shared" si="30"/>
        <v>1155000</v>
      </c>
      <c r="P473" s="108">
        <f t="shared" si="31"/>
        <v>40</v>
      </c>
    </row>
    <row r="474" spans="1:16" ht="15" hidden="1" customHeight="1" x14ac:dyDescent="0.2">
      <c r="A474" s="108" t="s">
        <v>18</v>
      </c>
      <c r="B474" s="117" t="s">
        <v>543</v>
      </c>
      <c r="C474" s="108">
        <f t="shared" si="28"/>
        <v>1628</v>
      </c>
      <c r="D474" s="38">
        <f t="shared" si="29"/>
        <v>0</v>
      </c>
      <c r="E474" s="113"/>
      <c r="G474" s="113" t="s">
        <v>1042</v>
      </c>
      <c r="H474" s="108" t="s">
        <v>3667</v>
      </c>
      <c r="I474" s="12">
        <v>1331</v>
      </c>
      <c r="J474" s="12">
        <v>331</v>
      </c>
      <c r="K474" s="108" t="s">
        <v>20</v>
      </c>
      <c r="L474" s="108">
        <v>1</v>
      </c>
      <c r="M474" s="116">
        <v>0</v>
      </c>
      <c r="N474" s="116">
        <f t="shared" si="30"/>
        <v>0</v>
      </c>
      <c r="P474" s="108">
        <f t="shared" si="31"/>
        <v>40</v>
      </c>
    </row>
    <row r="475" spans="1:16" ht="15" hidden="1" customHeight="1" x14ac:dyDescent="0.2">
      <c r="A475" s="108" t="s">
        <v>18</v>
      </c>
      <c r="B475" s="117" t="s">
        <v>543</v>
      </c>
      <c r="C475" s="108">
        <f t="shared" si="28"/>
        <v>1629</v>
      </c>
      <c r="D475" s="38">
        <f t="shared" si="29"/>
        <v>1</v>
      </c>
      <c r="E475" s="113"/>
      <c r="G475" s="113" t="s">
        <v>19</v>
      </c>
      <c r="H475" s="108" t="s">
        <v>1038</v>
      </c>
      <c r="I475" s="12">
        <v>64277</v>
      </c>
      <c r="J475" s="12">
        <v>331</v>
      </c>
      <c r="K475" s="108" t="s">
        <v>20</v>
      </c>
      <c r="L475" s="108">
        <v>1</v>
      </c>
      <c r="M475" s="116">
        <v>108000</v>
      </c>
      <c r="N475" s="116">
        <f t="shared" si="30"/>
        <v>108000</v>
      </c>
      <c r="P475" s="108">
        <f t="shared" si="31"/>
        <v>126</v>
      </c>
    </row>
    <row r="476" spans="1:16" ht="15" hidden="1" customHeight="1" x14ac:dyDescent="0.2">
      <c r="A476" s="108" t="s">
        <v>18</v>
      </c>
      <c r="B476" s="117" t="s">
        <v>543</v>
      </c>
      <c r="C476" s="108">
        <f t="shared" si="28"/>
        <v>1629</v>
      </c>
      <c r="D476" s="38">
        <f t="shared" si="29"/>
        <v>0</v>
      </c>
      <c r="E476" s="113"/>
      <c r="G476" s="113" t="s">
        <v>19</v>
      </c>
      <c r="H476" s="108" t="s">
        <v>1038</v>
      </c>
      <c r="I476" s="12">
        <v>1331</v>
      </c>
      <c r="J476" s="12">
        <v>331</v>
      </c>
      <c r="K476" s="108" t="s">
        <v>20</v>
      </c>
      <c r="L476" s="108">
        <v>1</v>
      </c>
      <c r="M476" s="116">
        <v>8000</v>
      </c>
      <c r="N476" s="116">
        <f t="shared" si="30"/>
        <v>8000</v>
      </c>
      <c r="P476" s="108">
        <f t="shared" si="31"/>
        <v>126</v>
      </c>
    </row>
    <row r="477" spans="1:16" ht="15" hidden="1" customHeight="1" x14ac:dyDescent="0.2">
      <c r="A477" s="108" t="s">
        <v>18</v>
      </c>
      <c r="B477" s="117" t="s">
        <v>543</v>
      </c>
      <c r="C477" s="108">
        <f t="shared" si="28"/>
        <v>1630</v>
      </c>
      <c r="D477" s="38">
        <f t="shared" si="29"/>
        <v>1</v>
      </c>
      <c r="E477" s="113"/>
      <c r="G477" s="113" t="s">
        <v>24</v>
      </c>
      <c r="H477" s="108" t="s">
        <v>1035</v>
      </c>
      <c r="I477" s="12">
        <v>64277</v>
      </c>
      <c r="J477" s="12">
        <v>331</v>
      </c>
      <c r="K477" s="108" t="s">
        <v>20</v>
      </c>
      <c r="L477" s="108">
        <v>1</v>
      </c>
      <c r="M477" s="116">
        <v>52000</v>
      </c>
      <c r="N477" s="116">
        <f t="shared" si="30"/>
        <v>52000</v>
      </c>
      <c r="P477" s="108">
        <f t="shared" si="31"/>
        <v>169</v>
      </c>
    </row>
    <row r="478" spans="1:16" ht="15" hidden="1" customHeight="1" x14ac:dyDescent="0.2">
      <c r="A478" s="108" t="s">
        <v>18</v>
      </c>
      <c r="B478" s="117" t="s">
        <v>543</v>
      </c>
      <c r="C478" s="108">
        <f t="shared" si="28"/>
        <v>1630</v>
      </c>
      <c r="D478" s="38">
        <f t="shared" si="29"/>
        <v>0</v>
      </c>
      <c r="E478" s="113"/>
      <c r="G478" s="113" t="s">
        <v>24</v>
      </c>
      <c r="H478" s="108" t="s">
        <v>1035</v>
      </c>
      <c r="I478" s="12">
        <v>1331</v>
      </c>
      <c r="J478" s="12">
        <v>331</v>
      </c>
      <c r="K478" s="108" t="s">
        <v>20</v>
      </c>
      <c r="L478" s="108">
        <v>1</v>
      </c>
      <c r="M478" s="116">
        <v>3589</v>
      </c>
      <c r="N478" s="116">
        <f t="shared" si="30"/>
        <v>3589</v>
      </c>
      <c r="P478" s="108">
        <f t="shared" si="31"/>
        <v>169</v>
      </c>
    </row>
    <row r="479" spans="1:16" ht="15" hidden="1" customHeight="1" x14ac:dyDescent="0.2">
      <c r="A479" s="108" t="s">
        <v>18</v>
      </c>
      <c r="B479" s="117" t="s">
        <v>543</v>
      </c>
      <c r="C479" s="108">
        <f t="shared" si="28"/>
        <v>1631</v>
      </c>
      <c r="D479" s="38">
        <f t="shared" si="29"/>
        <v>1</v>
      </c>
      <c r="E479" s="113"/>
      <c r="G479" s="113" t="s">
        <v>19</v>
      </c>
      <c r="H479" s="108" t="s">
        <v>1037</v>
      </c>
      <c r="I479" s="12">
        <v>64277</v>
      </c>
      <c r="J479" s="12">
        <v>331</v>
      </c>
      <c r="K479" s="108" t="s">
        <v>20</v>
      </c>
      <c r="L479" s="108">
        <v>1</v>
      </c>
      <c r="M479" s="116">
        <v>292000</v>
      </c>
      <c r="N479" s="116">
        <f t="shared" si="30"/>
        <v>292000</v>
      </c>
      <c r="P479" s="108">
        <f t="shared" si="31"/>
        <v>126</v>
      </c>
    </row>
    <row r="480" spans="1:16" ht="15" hidden="1" customHeight="1" x14ac:dyDescent="0.2">
      <c r="A480" s="108" t="s">
        <v>18</v>
      </c>
      <c r="B480" s="117" t="s">
        <v>543</v>
      </c>
      <c r="C480" s="108">
        <f t="shared" si="28"/>
        <v>1631</v>
      </c>
      <c r="D480" s="38">
        <f t="shared" si="29"/>
        <v>0</v>
      </c>
      <c r="E480" s="113"/>
      <c r="G480" s="113" t="s">
        <v>19</v>
      </c>
      <c r="H480" s="108" t="s">
        <v>1037</v>
      </c>
      <c r="I480" s="12">
        <v>1331</v>
      </c>
      <c r="J480" s="12">
        <v>331</v>
      </c>
      <c r="K480" s="108" t="s">
        <v>20</v>
      </c>
      <c r="L480" s="108">
        <v>1</v>
      </c>
      <c r="M480" s="116">
        <v>21630</v>
      </c>
      <c r="N480" s="116">
        <f t="shared" si="30"/>
        <v>21630</v>
      </c>
      <c r="P480" s="108">
        <f t="shared" si="31"/>
        <v>126</v>
      </c>
    </row>
    <row r="481" spans="1:16" ht="15" hidden="1" customHeight="1" x14ac:dyDescent="0.2">
      <c r="A481" s="108" t="s">
        <v>18</v>
      </c>
      <c r="B481" s="117" t="s">
        <v>543</v>
      </c>
      <c r="C481" s="108">
        <f t="shared" si="28"/>
        <v>1632</v>
      </c>
      <c r="D481" s="38">
        <f t="shared" si="29"/>
        <v>1</v>
      </c>
      <c r="E481" s="113"/>
      <c r="G481" s="113" t="s">
        <v>19</v>
      </c>
      <c r="H481" s="108" t="s">
        <v>1036</v>
      </c>
      <c r="I481" s="12">
        <v>64277</v>
      </c>
      <c r="J481" s="12">
        <v>331</v>
      </c>
      <c r="K481" s="108" t="s">
        <v>20</v>
      </c>
      <c r="L481" s="108">
        <v>1</v>
      </c>
      <c r="M481" s="116">
        <v>128000</v>
      </c>
      <c r="N481" s="116">
        <f t="shared" si="30"/>
        <v>128000</v>
      </c>
      <c r="P481" s="108">
        <f t="shared" si="31"/>
        <v>126</v>
      </c>
    </row>
    <row r="482" spans="1:16" ht="15" hidden="1" customHeight="1" x14ac:dyDescent="0.2">
      <c r="A482" s="108" t="s">
        <v>18</v>
      </c>
      <c r="B482" s="117" t="s">
        <v>543</v>
      </c>
      <c r="C482" s="108">
        <f t="shared" si="28"/>
        <v>1632</v>
      </c>
      <c r="D482" s="38">
        <f t="shared" si="29"/>
        <v>0</v>
      </c>
      <c r="E482" s="113"/>
      <c r="G482" s="113" t="s">
        <v>19</v>
      </c>
      <c r="H482" s="108" t="s">
        <v>1036</v>
      </c>
      <c r="I482" s="12">
        <v>1331</v>
      </c>
      <c r="J482" s="12">
        <v>331</v>
      </c>
      <c r="K482" s="108" t="s">
        <v>20</v>
      </c>
      <c r="L482" s="108">
        <v>1</v>
      </c>
      <c r="M482" s="116">
        <v>9481</v>
      </c>
      <c r="N482" s="116">
        <f t="shared" si="30"/>
        <v>9481</v>
      </c>
      <c r="P482" s="108">
        <f t="shared" si="31"/>
        <v>126</v>
      </c>
    </row>
    <row r="483" spans="1:16" ht="15" hidden="1" customHeight="1" x14ac:dyDescent="0.2">
      <c r="A483" s="108" t="s">
        <v>18</v>
      </c>
      <c r="B483" s="117" t="s">
        <v>543</v>
      </c>
      <c r="C483" s="108">
        <f t="shared" si="28"/>
        <v>1633</v>
      </c>
      <c r="D483" s="38">
        <f t="shared" si="29"/>
        <v>1</v>
      </c>
      <c r="E483" s="113"/>
      <c r="G483" s="113" t="s">
        <v>1040</v>
      </c>
      <c r="H483" s="108" t="s">
        <v>1041</v>
      </c>
      <c r="I483" s="12">
        <v>64277</v>
      </c>
      <c r="J483" s="12">
        <v>331</v>
      </c>
      <c r="K483" s="108" t="s">
        <v>20</v>
      </c>
      <c r="L483" s="108">
        <v>1</v>
      </c>
      <c r="M483" s="116">
        <v>300300</v>
      </c>
      <c r="N483" s="116">
        <f t="shared" si="30"/>
        <v>300300</v>
      </c>
      <c r="P483" s="108">
        <f t="shared" si="31"/>
        <v>105</v>
      </c>
    </row>
    <row r="484" spans="1:16" ht="15" hidden="1" customHeight="1" x14ac:dyDescent="0.2">
      <c r="A484" s="108" t="s">
        <v>18</v>
      </c>
      <c r="B484" s="117" t="s">
        <v>543</v>
      </c>
      <c r="C484" s="108">
        <f t="shared" si="28"/>
        <v>1633</v>
      </c>
      <c r="D484" s="38">
        <f t="shared" si="29"/>
        <v>0</v>
      </c>
      <c r="E484" s="113"/>
      <c r="G484" s="113" t="s">
        <v>1040</v>
      </c>
      <c r="H484" s="108" t="s">
        <v>1041</v>
      </c>
      <c r="I484" s="12">
        <v>1331</v>
      </c>
      <c r="J484" s="12">
        <v>331</v>
      </c>
      <c r="K484" s="108" t="s">
        <v>20</v>
      </c>
      <c r="L484" s="108">
        <v>1</v>
      </c>
      <c r="M484" s="116">
        <v>24024</v>
      </c>
      <c r="N484" s="116">
        <f t="shared" si="30"/>
        <v>24024</v>
      </c>
      <c r="P484" s="108">
        <f t="shared" si="31"/>
        <v>105</v>
      </c>
    </row>
    <row r="485" spans="1:16" ht="15" hidden="1" customHeight="1" x14ac:dyDescent="0.2">
      <c r="A485" s="108" t="s">
        <v>18</v>
      </c>
      <c r="B485" s="117" t="s">
        <v>543</v>
      </c>
      <c r="C485" s="108">
        <f t="shared" si="28"/>
        <v>1634</v>
      </c>
      <c r="D485" s="38">
        <f t="shared" si="29"/>
        <v>1</v>
      </c>
      <c r="E485" s="113"/>
      <c r="G485" s="113" t="s">
        <v>263</v>
      </c>
      <c r="H485" s="108" t="s">
        <v>1039</v>
      </c>
      <c r="I485" s="12">
        <v>64277</v>
      </c>
      <c r="J485" s="12">
        <v>331</v>
      </c>
      <c r="K485" s="108" t="s">
        <v>20</v>
      </c>
      <c r="L485" s="108">
        <v>1</v>
      </c>
      <c r="M485" s="116">
        <v>305556</v>
      </c>
      <c r="N485" s="116">
        <f t="shared" si="30"/>
        <v>305556</v>
      </c>
      <c r="P485" s="108">
        <f t="shared" si="31"/>
        <v>63</v>
      </c>
    </row>
    <row r="486" spans="1:16" ht="15" hidden="1" customHeight="1" x14ac:dyDescent="0.2">
      <c r="A486" s="108" t="s">
        <v>18</v>
      </c>
      <c r="B486" s="117" t="s">
        <v>543</v>
      </c>
      <c r="C486" s="108">
        <f t="shared" si="28"/>
        <v>1634</v>
      </c>
      <c r="D486" s="38">
        <f t="shared" si="29"/>
        <v>0</v>
      </c>
      <c r="E486" s="113"/>
      <c r="G486" s="113" t="s">
        <v>263</v>
      </c>
      <c r="H486" s="108" t="s">
        <v>1039</v>
      </c>
      <c r="I486" s="12">
        <v>1331</v>
      </c>
      <c r="J486" s="12">
        <v>331</v>
      </c>
      <c r="K486" s="108" t="s">
        <v>20</v>
      </c>
      <c r="L486" s="108">
        <v>1</v>
      </c>
      <c r="M486" s="116">
        <v>24444</v>
      </c>
      <c r="N486" s="116">
        <f t="shared" si="30"/>
        <v>24444</v>
      </c>
      <c r="P486" s="108">
        <f t="shared" si="31"/>
        <v>63</v>
      </c>
    </row>
    <row r="487" spans="1:16" ht="15" hidden="1" customHeight="1" x14ac:dyDescent="0.2">
      <c r="A487" s="108" t="s">
        <v>18</v>
      </c>
      <c r="B487" s="117" t="s">
        <v>475</v>
      </c>
      <c r="C487" s="108">
        <f t="shared" si="28"/>
        <v>1635</v>
      </c>
      <c r="D487" s="38">
        <f t="shared" si="29"/>
        <v>1</v>
      </c>
      <c r="E487" s="113"/>
      <c r="G487" s="113" t="s">
        <v>1044</v>
      </c>
      <c r="H487" s="108" t="s">
        <v>3671</v>
      </c>
      <c r="I487" s="12">
        <v>64277</v>
      </c>
      <c r="J487" s="12">
        <v>331</v>
      </c>
      <c r="K487" s="108" t="s">
        <v>20</v>
      </c>
      <c r="L487" s="108">
        <v>1</v>
      </c>
      <c r="M487" s="116">
        <v>2832900</v>
      </c>
      <c r="N487" s="116">
        <f t="shared" si="30"/>
        <v>2832900</v>
      </c>
      <c r="P487" s="108">
        <f t="shared" si="31"/>
        <v>41</v>
      </c>
    </row>
    <row r="488" spans="1:16" ht="15" hidden="1" customHeight="1" x14ac:dyDescent="0.2">
      <c r="A488" s="108" t="s">
        <v>18</v>
      </c>
      <c r="B488" s="117" t="s">
        <v>475</v>
      </c>
      <c r="C488" s="108">
        <f t="shared" si="28"/>
        <v>1635</v>
      </c>
      <c r="D488" s="38">
        <f t="shared" si="29"/>
        <v>0</v>
      </c>
      <c r="E488" s="113"/>
      <c r="G488" s="113" t="s">
        <v>1044</v>
      </c>
      <c r="H488" s="108" t="s">
        <v>3671</v>
      </c>
      <c r="I488" s="12">
        <v>1331</v>
      </c>
      <c r="J488" s="12">
        <v>331</v>
      </c>
      <c r="K488" s="108" t="s">
        <v>20</v>
      </c>
      <c r="L488" s="108">
        <v>1</v>
      </c>
      <c r="M488" s="116">
        <v>240828</v>
      </c>
      <c r="N488" s="116">
        <f t="shared" si="30"/>
        <v>240828</v>
      </c>
      <c r="P488" s="108">
        <f t="shared" si="31"/>
        <v>41</v>
      </c>
    </row>
    <row r="489" spans="1:16" ht="15" hidden="1" customHeight="1" x14ac:dyDescent="0.2">
      <c r="A489" s="108" t="s">
        <v>18</v>
      </c>
      <c r="B489" s="117" t="s">
        <v>475</v>
      </c>
      <c r="C489" s="108">
        <f t="shared" si="28"/>
        <v>1636</v>
      </c>
      <c r="D489" s="38">
        <f t="shared" si="29"/>
        <v>1</v>
      </c>
      <c r="E489" s="113"/>
      <c r="G489" s="113" t="s">
        <v>25</v>
      </c>
      <c r="H489" s="108" t="s">
        <v>3669</v>
      </c>
      <c r="I489" s="12">
        <v>64277</v>
      </c>
      <c r="J489" s="12">
        <v>331</v>
      </c>
      <c r="K489" s="108" t="s">
        <v>20</v>
      </c>
      <c r="L489" s="108">
        <v>1</v>
      </c>
      <c r="M489" s="116">
        <v>2172600</v>
      </c>
      <c r="N489" s="116">
        <f t="shared" si="30"/>
        <v>2172600</v>
      </c>
      <c r="P489" s="108">
        <f t="shared" si="31"/>
        <v>43</v>
      </c>
    </row>
    <row r="490" spans="1:16" ht="15" hidden="1" customHeight="1" x14ac:dyDescent="0.2">
      <c r="A490" s="108" t="s">
        <v>18</v>
      </c>
      <c r="B490" s="117" t="s">
        <v>475</v>
      </c>
      <c r="C490" s="108">
        <f t="shared" si="28"/>
        <v>1636</v>
      </c>
      <c r="D490" s="38">
        <f t="shared" si="29"/>
        <v>0</v>
      </c>
      <c r="E490" s="113"/>
      <c r="G490" s="113" t="s">
        <v>25</v>
      </c>
      <c r="H490" s="108" t="s">
        <v>3669</v>
      </c>
      <c r="I490" s="12">
        <v>1331</v>
      </c>
      <c r="J490" s="12">
        <v>331</v>
      </c>
      <c r="K490" s="108" t="s">
        <v>20</v>
      </c>
      <c r="L490" s="108">
        <v>1</v>
      </c>
      <c r="M490" s="116">
        <v>173808</v>
      </c>
      <c r="N490" s="116">
        <f t="shared" si="30"/>
        <v>173808</v>
      </c>
      <c r="P490" s="108">
        <f t="shared" si="31"/>
        <v>43</v>
      </c>
    </row>
    <row r="491" spans="1:16" ht="15" hidden="1" customHeight="1" x14ac:dyDescent="0.2">
      <c r="A491" s="108" t="s">
        <v>18</v>
      </c>
      <c r="B491" s="117" t="s">
        <v>475</v>
      </c>
      <c r="C491" s="108">
        <f t="shared" si="28"/>
        <v>1637</v>
      </c>
      <c r="D491" s="38">
        <f t="shared" si="29"/>
        <v>1</v>
      </c>
      <c r="E491" s="113"/>
      <c r="G491" s="113" t="s">
        <v>19</v>
      </c>
      <c r="H491" s="108" t="s">
        <v>1043</v>
      </c>
      <c r="I491" s="12">
        <v>64277</v>
      </c>
      <c r="J491" s="12">
        <v>331</v>
      </c>
      <c r="K491" s="108" t="s">
        <v>20</v>
      </c>
      <c r="L491" s="108">
        <v>1</v>
      </c>
      <c r="M491" s="116">
        <v>96000</v>
      </c>
      <c r="N491" s="116">
        <f t="shared" si="30"/>
        <v>96000</v>
      </c>
      <c r="P491" s="108">
        <f t="shared" si="31"/>
        <v>169</v>
      </c>
    </row>
    <row r="492" spans="1:16" ht="15" hidden="1" customHeight="1" x14ac:dyDescent="0.2">
      <c r="A492" s="108" t="s">
        <v>18</v>
      </c>
      <c r="B492" s="117" t="s">
        <v>475</v>
      </c>
      <c r="C492" s="108">
        <f t="shared" si="28"/>
        <v>1637</v>
      </c>
      <c r="D492" s="38">
        <f t="shared" si="29"/>
        <v>0</v>
      </c>
      <c r="E492" s="113"/>
      <c r="G492" s="113" t="s">
        <v>19</v>
      </c>
      <c r="H492" s="108" t="s">
        <v>1043</v>
      </c>
      <c r="I492" s="12">
        <v>1331</v>
      </c>
      <c r="J492" s="12">
        <v>331</v>
      </c>
      <c r="K492" s="108" t="s">
        <v>20</v>
      </c>
      <c r="L492" s="108">
        <v>1</v>
      </c>
      <c r="M492" s="116">
        <v>6610</v>
      </c>
      <c r="N492" s="116">
        <f t="shared" si="30"/>
        <v>6610</v>
      </c>
      <c r="P492" s="108">
        <f t="shared" si="31"/>
        <v>169</v>
      </c>
    </row>
    <row r="493" spans="1:16" ht="15" hidden="1" customHeight="1" x14ac:dyDescent="0.2">
      <c r="A493" s="108" t="s">
        <v>18</v>
      </c>
      <c r="B493" s="117" t="s">
        <v>544</v>
      </c>
      <c r="C493" s="108">
        <f t="shared" si="28"/>
        <v>1638</v>
      </c>
      <c r="D493" s="38">
        <f t="shared" si="29"/>
        <v>1</v>
      </c>
      <c r="E493" s="113"/>
      <c r="G493" s="113" t="s">
        <v>19</v>
      </c>
      <c r="H493" s="108" t="s">
        <v>1047</v>
      </c>
      <c r="I493" s="12">
        <v>64277</v>
      </c>
      <c r="J493" s="12">
        <v>331</v>
      </c>
      <c r="K493" s="108" t="s">
        <v>20</v>
      </c>
      <c r="L493" s="108">
        <v>1</v>
      </c>
      <c r="M493" s="116">
        <v>177000</v>
      </c>
      <c r="N493" s="116">
        <f t="shared" si="30"/>
        <v>177000</v>
      </c>
      <c r="P493" s="108">
        <f t="shared" si="31"/>
        <v>126</v>
      </c>
    </row>
    <row r="494" spans="1:16" ht="15" hidden="1" customHeight="1" x14ac:dyDescent="0.2">
      <c r="A494" s="108" t="s">
        <v>18</v>
      </c>
      <c r="B494" s="117" t="s">
        <v>544</v>
      </c>
      <c r="C494" s="108">
        <f t="shared" si="28"/>
        <v>1638</v>
      </c>
      <c r="D494" s="38">
        <f t="shared" si="29"/>
        <v>0</v>
      </c>
      <c r="E494" s="113"/>
      <c r="G494" s="113" t="s">
        <v>19</v>
      </c>
      <c r="H494" s="108" t="s">
        <v>1047</v>
      </c>
      <c r="I494" s="12">
        <v>1331</v>
      </c>
      <c r="J494" s="12">
        <v>331</v>
      </c>
      <c r="K494" s="108" t="s">
        <v>20</v>
      </c>
      <c r="L494" s="108">
        <v>1</v>
      </c>
      <c r="M494" s="116">
        <v>13111</v>
      </c>
      <c r="N494" s="116">
        <f t="shared" si="30"/>
        <v>13111</v>
      </c>
      <c r="P494" s="108">
        <f t="shared" si="31"/>
        <v>126</v>
      </c>
    </row>
    <row r="495" spans="1:16" ht="15" hidden="1" customHeight="1" x14ac:dyDescent="0.2">
      <c r="A495" s="108" t="s">
        <v>18</v>
      </c>
      <c r="B495" s="117" t="s">
        <v>544</v>
      </c>
      <c r="C495" s="108">
        <f t="shared" si="28"/>
        <v>1639</v>
      </c>
      <c r="D495" s="38">
        <f t="shared" si="29"/>
        <v>1</v>
      </c>
      <c r="E495" s="113"/>
      <c r="G495" s="113" t="s">
        <v>19</v>
      </c>
      <c r="H495" s="108" t="s">
        <v>1046</v>
      </c>
      <c r="I495" s="12">
        <v>64277</v>
      </c>
      <c r="J495" s="12">
        <v>331</v>
      </c>
      <c r="K495" s="108" t="s">
        <v>20</v>
      </c>
      <c r="L495" s="108">
        <v>1</v>
      </c>
      <c r="M495" s="116">
        <v>187000</v>
      </c>
      <c r="N495" s="116">
        <f t="shared" si="30"/>
        <v>187000</v>
      </c>
      <c r="P495" s="108">
        <f t="shared" si="31"/>
        <v>126</v>
      </c>
    </row>
    <row r="496" spans="1:16" ht="15" hidden="1" customHeight="1" x14ac:dyDescent="0.2">
      <c r="A496" s="108" t="s">
        <v>18</v>
      </c>
      <c r="B496" s="117" t="s">
        <v>544</v>
      </c>
      <c r="C496" s="108">
        <f t="shared" si="28"/>
        <v>1639</v>
      </c>
      <c r="D496" s="38">
        <f t="shared" si="29"/>
        <v>0</v>
      </c>
      <c r="E496" s="113"/>
      <c r="G496" s="113" t="s">
        <v>19</v>
      </c>
      <c r="H496" s="108" t="s">
        <v>1046</v>
      </c>
      <c r="I496" s="12">
        <v>1331</v>
      </c>
      <c r="J496" s="12">
        <v>331</v>
      </c>
      <c r="K496" s="108" t="s">
        <v>20</v>
      </c>
      <c r="L496" s="108">
        <v>1</v>
      </c>
      <c r="M496" s="116">
        <v>13852</v>
      </c>
      <c r="N496" s="116">
        <f t="shared" si="30"/>
        <v>13852</v>
      </c>
      <c r="P496" s="108">
        <f t="shared" si="31"/>
        <v>126</v>
      </c>
    </row>
    <row r="497" spans="1:16" ht="15" hidden="1" customHeight="1" x14ac:dyDescent="0.2">
      <c r="A497" s="108" t="s">
        <v>18</v>
      </c>
      <c r="B497" s="117" t="s">
        <v>544</v>
      </c>
      <c r="C497" s="108">
        <f t="shared" si="28"/>
        <v>1640</v>
      </c>
      <c r="D497" s="38">
        <f t="shared" si="29"/>
        <v>1</v>
      </c>
      <c r="E497" s="113"/>
      <c r="G497" s="113" t="s">
        <v>19</v>
      </c>
      <c r="H497" s="108" t="s">
        <v>1045</v>
      </c>
      <c r="I497" s="12">
        <v>64277</v>
      </c>
      <c r="J497" s="12">
        <v>331</v>
      </c>
      <c r="K497" s="108" t="s">
        <v>20</v>
      </c>
      <c r="L497" s="108">
        <v>1</v>
      </c>
      <c r="M497" s="116">
        <v>151000</v>
      </c>
      <c r="N497" s="116">
        <f t="shared" si="30"/>
        <v>151000</v>
      </c>
      <c r="P497" s="108">
        <f t="shared" si="31"/>
        <v>126</v>
      </c>
    </row>
    <row r="498" spans="1:16" ht="15" hidden="1" customHeight="1" x14ac:dyDescent="0.2">
      <c r="A498" s="108" t="s">
        <v>18</v>
      </c>
      <c r="B498" s="117" t="s">
        <v>544</v>
      </c>
      <c r="C498" s="108">
        <f t="shared" si="28"/>
        <v>1640</v>
      </c>
      <c r="D498" s="38">
        <f t="shared" si="29"/>
        <v>0</v>
      </c>
      <c r="E498" s="113"/>
      <c r="G498" s="113" t="s">
        <v>19</v>
      </c>
      <c r="H498" s="108" t="s">
        <v>1045</v>
      </c>
      <c r="I498" s="12">
        <v>1331</v>
      </c>
      <c r="J498" s="12">
        <v>331</v>
      </c>
      <c r="K498" s="108" t="s">
        <v>20</v>
      </c>
      <c r="L498" s="108">
        <v>1</v>
      </c>
      <c r="M498" s="116">
        <v>11185</v>
      </c>
      <c r="N498" s="116">
        <f t="shared" si="30"/>
        <v>11185</v>
      </c>
      <c r="P498" s="108">
        <f t="shared" si="31"/>
        <v>126</v>
      </c>
    </row>
    <row r="499" spans="1:16" ht="15" hidden="1" customHeight="1" x14ac:dyDescent="0.2">
      <c r="A499" s="108" t="s">
        <v>18</v>
      </c>
      <c r="B499" s="117" t="s">
        <v>437</v>
      </c>
      <c r="C499" s="108">
        <f t="shared" si="28"/>
        <v>1641</v>
      </c>
      <c r="D499" s="38">
        <f t="shared" si="29"/>
        <v>1</v>
      </c>
      <c r="E499" s="113"/>
      <c r="G499" s="113" t="s">
        <v>1048</v>
      </c>
      <c r="H499" s="108" t="s">
        <v>1049</v>
      </c>
      <c r="I499" s="12">
        <v>64277</v>
      </c>
      <c r="J499" s="12">
        <v>331</v>
      </c>
      <c r="K499" s="108" t="s">
        <v>20</v>
      </c>
      <c r="L499" s="108">
        <v>1</v>
      </c>
      <c r="M499" s="116">
        <v>325000</v>
      </c>
      <c r="N499" s="116">
        <f t="shared" si="30"/>
        <v>325000</v>
      </c>
      <c r="P499" s="108">
        <f t="shared" si="31"/>
        <v>99</v>
      </c>
    </row>
    <row r="500" spans="1:16" ht="15" hidden="1" customHeight="1" x14ac:dyDescent="0.2">
      <c r="A500" s="108" t="s">
        <v>18</v>
      </c>
      <c r="B500" s="117" t="s">
        <v>437</v>
      </c>
      <c r="C500" s="108">
        <f t="shared" si="28"/>
        <v>1641</v>
      </c>
      <c r="D500" s="38">
        <f t="shared" si="29"/>
        <v>0</v>
      </c>
      <c r="E500" s="113"/>
      <c r="G500" s="113" t="s">
        <v>1048</v>
      </c>
      <c r="H500" s="108" t="s">
        <v>1049</v>
      </c>
      <c r="I500" s="12">
        <v>1331</v>
      </c>
      <c r="J500" s="12">
        <v>331</v>
      </c>
      <c r="K500" s="108" t="s">
        <v>20</v>
      </c>
      <c r="L500" s="108">
        <v>1</v>
      </c>
      <c r="M500" s="116">
        <v>28300</v>
      </c>
      <c r="N500" s="116">
        <f t="shared" si="30"/>
        <v>28300</v>
      </c>
      <c r="P500" s="108">
        <f t="shared" si="31"/>
        <v>99</v>
      </c>
    </row>
    <row r="501" spans="1:16" ht="15" hidden="1" customHeight="1" x14ac:dyDescent="0.2">
      <c r="A501" s="108" t="s">
        <v>18</v>
      </c>
      <c r="B501" s="117" t="s">
        <v>545</v>
      </c>
      <c r="C501" s="108">
        <f t="shared" si="28"/>
        <v>1642</v>
      </c>
      <c r="D501" s="38">
        <f t="shared" si="29"/>
        <v>1</v>
      </c>
      <c r="E501" s="113"/>
      <c r="G501" s="113" t="s">
        <v>19</v>
      </c>
      <c r="H501" s="108" t="s">
        <v>1055</v>
      </c>
      <c r="I501" s="12">
        <v>64277</v>
      </c>
      <c r="J501" s="12">
        <v>331</v>
      </c>
      <c r="K501" s="108" t="s">
        <v>20</v>
      </c>
      <c r="L501" s="108">
        <v>1</v>
      </c>
      <c r="M501" s="116">
        <v>114000</v>
      </c>
      <c r="N501" s="116">
        <f t="shared" si="30"/>
        <v>114000</v>
      </c>
      <c r="P501" s="108">
        <f t="shared" si="31"/>
        <v>126</v>
      </c>
    </row>
    <row r="502" spans="1:16" ht="15" hidden="1" customHeight="1" x14ac:dyDescent="0.2">
      <c r="A502" s="108" t="s">
        <v>18</v>
      </c>
      <c r="B502" s="117" t="s">
        <v>545</v>
      </c>
      <c r="C502" s="108">
        <f t="shared" si="28"/>
        <v>1642</v>
      </c>
      <c r="D502" s="38">
        <f t="shared" si="29"/>
        <v>0</v>
      </c>
      <c r="E502" s="113"/>
      <c r="G502" s="113" t="s">
        <v>19</v>
      </c>
      <c r="H502" s="108" t="s">
        <v>1055</v>
      </c>
      <c r="I502" s="12">
        <v>1331</v>
      </c>
      <c r="J502" s="12">
        <v>331</v>
      </c>
      <c r="K502" s="108" t="s">
        <v>20</v>
      </c>
      <c r="L502" s="108">
        <v>1</v>
      </c>
      <c r="M502" s="116">
        <v>8445</v>
      </c>
      <c r="N502" s="116">
        <f t="shared" si="30"/>
        <v>8445</v>
      </c>
      <c r="P502" s="108">
        <f t="shared" si="31"/>
        <v>126</v>
      </c>
    </row>
    <row r="503" spans="1:16" ht="15" hidden="1" customHeight="1" x14ac:dyDescent="0.2">
      <c r="A503" s="108" t="s">
        <v>18</v>
      </c>
      <c r="B503" s="117" t="s">
        <v>545</v>
      </c>
      <c r="C503" s="108">
        <f t="shared" si="28"/>
        <v>1643</v>
      </c>
      <c r="D503" s="38">
        <f t="shared" si="29"/>
        <v>1</v>
      </c>
      <c r="E503" s="113"/>
      <c r="G503" s="113" t="s">
        <v>19</v>
      </c>
      <c r="H503" s="108" t="s">
        <v>1054</v>
      </c>
      <c r="I503" s="12">
        <v>64277</v>
      </c>
      <c r="J503" s="12">
        <v>331</v>
      </c>
      <c r="K503" s="108" t="s">
        <v>20</v>
      </c>
      <c r="L503" s="108">
        <v>1</v>
      </c>
      <c r="M503" s="116">
        <v>121296</v>
      </c>
      <c r="N503" s="116">
        <f t="shared" si="30"/>
        <v>121296</v>
      </c>
      <c r="P503" s="108">
        <f t="shared" si="31"/>
        <v>64</v>
      </c>
    </row>
    <row r="504" spans="1:16" ht="15" hidden="1" customHeight="1" x14ac:dyDescent="0.2">
      <c r="A504" s="108" t="s">
        <v>18</v>
      </c>
      <c r="B504" s="117" t="s">
        <v>545</v>
      </c>
      <c r="C504" s="108">
        <f t="shared" si="28"/>
        <v>1643</v>
      </c>
      <c r="D504" s="38">
        <f t="shared" si="29"/>
        <v>0</v>
      </c>
      <c r="E504" s="113"/>
      <c r="G504" s="113" t="s">
        <v>19</v>
      </c>
      <c r="H504" s="108" t="s">
        <v>1054</v>
      </c>
      <c r="I504" s="12">
        <v>1331</v>
      </c>
      <c r="J504" s="12">
        <v>331</v>
      </c>
      <c r="K504" s="108" t="s">
        <v>20</v>
      </c>
      <c r="L504" s="108">
        <v>1</v>
      </c>
      <c r="M504" s="116">
        <v>9704</v>
      </c>
      <c r="N504" s="116">
        <f t="shared" si="30"/>
        <v>9704</v>
      </c>
      <c r="P504" s="108">
        <f t="shared" si="31"/>
        <v>64</v>
      </c>
    </row>
    <row r="505" spans="1:16" ht="15" hidden="1" customHeight="1" x14ac:dyDescent="0.2">
      <c r="A505" s="108" t="s">
        <v>18</v>
      </c>
      <c r="B505" s="117" t="s">
        <v>545</v>
      </c>
      <c r="C505" s="108">
        <f t="shared" si="28"/>
        <v>1644</v>
      </c>
      <c r="D505" s="38">
        <f t="shared" si="29"/>
        <v>1</v>
      </c>
      <c r="E505" s="113"/>
      <c r="G505" s="113" t="s">
        <v>19</v>
      </c>
      <c r="H505" s="108" t="s">
        <v>1053</v>
      </c>
      <c r="I505" s="12">
        <v>64277</v>
      </c>
      <c r="J505" s="12">
        <v>331</v>
      </c>
      <c r="K505" s="108" t="s">
        <v>20</v>
      </c>
      <c r="L505" s="108">
        <v>1</v>
      </c>
      <c r="M505" s="116">
        <v>342000</v>
      </c>
      <c r="N505" s="116">
        <f t="shared" si="30"/>
        <v>342000</v>
      </c>
      <c r="P505" s="108">
        <f t="shared" si="31"/>
        <v>126</v>
      </c>
    </row>
    <row r="506" spans="1:16" ht="15" hidden="1" customHeight="1" x14ac:dyDescent="0.2">
      <c r="A506" s="108" t="s">
        <v>18</v>
      </c>
      <c r="B506" s="117" t="s">
        <v>545</v>
      </c>
      <c r="C506" s="108">
        <f t="shared" si="28"/>
        <v>1644</v>
      </c>
      <c r="D506" s="38">
        <f t="shared" si="29"/>
        <v>0</v>
      </c>
      <c r="E506" s="113"/>
      <c r="G506" s="113" t="s">
        <v>19</v>
      </c>
      <c r="H506" s="108" t="s">
        <v>1053</v>
      </c>
      <c r="I506" s="12">
        <v>1331</v>
      </c>
      <c r="J506" s="12">
        <v>331</v>
      </c>
      <c r="K506" s="108" t="s">
        <v>20</v>
      </c>
      <c r="L506" s="108">
        <v>1</v>
      </c>
      <c r="M506" s="116">
        <v>25334</v>
      </c>
      <c r="N506" s="116">
        <f t="shared" si="30"/>
        <v>25334</v>
      </c>
      <c r="P506" s="108">
        <f t="shared" si="31"/>
        <v>126</v>
      </c>
    </row>
    <row r="507" spans="1:16" ht="15" hidden="1" customHeight="1" x14ac:dyDescent="0.2">
      <c r="A507" s="108" t="s">
        <v>18</v>
      </c>
      <c r="B507" s="117" t="s">
        <v>545</v>
      </c>
      <c r="C507" s="108">
        <f t="shared" si="28"/>
        <v>1645</v>
      </c>
      <c r="D507" s="38">
        <f t="shared" si="29"/>
        <v>1</v>
      </c>
      <c r="E507" s="113"/>
      <c r="G507" s="113" t="s">
        <v>27</v>
      </c>
      <c r="H507" s="108" t="s">
        <v>1050</v>
      </c>
      <c r="I507" s="12">
        <v>64277</v>
      </c>
      <c r="J507" s="12">
        <v>331</v>
      </c>
      <c r="K507" s="108" t="s">
        <v>20</v>
      </c>
      <c r="L507" s="108">
        <v>1</v>
      </c>
      <c r="M507" s="116">
        <v>105000</v>
      </c>
      <c r="N507" s="116">
        <f t="shared" si="30"/>
        <v>105000</v>
      </c>
      <c r="P507" s="108">
        <f t="shared" si="31"/>
        <v>48</v>
      </c>
    </row>
    <row r="508" spans="1:16" ht="15" hidden="1" customHeight="1" x14ac:dyDescent="0.2">
      <c r="A508" s="108" t="s">
        <v>18</v>
      </c>
      <c r="B508" s="117" t="s">
        <v>545</v>
      </c>
      <c r="C508" s="108">
        <f t="shared" si="28"/>
        <v>1645</v>
      </c>
      <c r="D508" s="38">
        <f t="shared" si="29"/>
        <v>0</v>
      </c>
      <c r="E508" s="113"/>
      <c r="G508" s="113" t="s">
        <v>27</v>
      </c>
      <c r="H508" s="108" t="s">
        <v>1050</v>
      </c>
      <c r="I508" s="12">
        <v>1331</v>
      </c>
      <c r="J508" s="12">
        <v>331</v>
      </c>
      <c r="K508" s="108" t="s">
        <v>20</v>
      </c>
      <c r="L508" s="108">
        <v>1</v>
      </c>
      <c r="M508" s="116">
        <v>8400</v>
      </c>
      <c r="N508" s="116">
        <f t="shared" si="30"/>
        <v>8400</v>
      </c>
      <c r="P508" s="108">
        <f t="shared" si="31"/>
        <v>48</v>
      </c>
    </row>
    <row r="509" spans="1:16" ht="15" hidden="1" customHeight="1" x14ac:dyDescent="0.2">
      <c r="A509" s="108" t="s">
        <v>18</v>
      </c>
      <c r="B509" s="117" t="s">
        <v>545</v>
      </c>
      <c r="C509" s="108">
        <f t="shared" si="28"/>
        <v>1646</v>
      </c>
      <c r="D509" s="38">
        <f t="shared" si="29"/>
        <v>1</v>
      </c>
      <c r="E509" s="113"/>
      <c r="G509" s="113" t="s">
        <v>27</v>
      </c>
      <c r="H509" s="108" t="s">
        <v>1051</v>
      </c>
      <c r="I509" s="12">
        <v>64277</v>
      </c>
      <c r="J509" s="12">
        <v>331</v>
      </c>
      <c r="K509" s="108" t="s">
        <v>20</v>
      </c>
      <c r="L509" s="108">
        <v>1</v>
      </c>
      <c r="M509" s="116">
        <v>105000</v>
      </c>
      <c r="N509" s="116">
        <f t="shared" si="30"/>
        <v>105000</v>
      </c>
      <c r="P509" s="108">
        <f t="shared" si="31"/>
        <v>48</v>
      </c>
    </row>
    <row r="510" spans="1:16" ht="15" hidden="1" customHeight="1" x14ac:dyDescent="0.2">
      <c r="A510" s="108" t="s">
        <v>18</v>
      </c>
      <c r="B510" s="117" t="s">
        <v>545</v>
      </c>
      <c r="C510" s="108">
        <f t="shared" si="28"/>
        <v>1646</v>
      </c>
      <c r="D510" s="38">
        <f t="shared" si="29"/>
        <v>0</v>
      </c>
      <c r="E510" s="113"/>
      <c r="G510" s="113" t="s">
        <v>27</v>
      </c>
      <c r="H510" s="108" t="s">
        <v>1051</v>
      </c>
      <c r="I510" s="12">
        <v>1331</v>
      </c>
      <c r="J510" s="12">
        <v>331</v>
      </c>
      <c r="K510" s="108" t="s">
        <v>20</v>
      </c>
      <c r="L510" s="108">
        <v>1</v>
      </c>
      <c r="M510" s="116">
        <v>8400</v>
      </c>
      <c r="N510" s="116">
        <f t="shared" si="30"/>
        <v>8400</v>
      </c>
      <c r="P510" s="108">
        <f t="shared" si="31"/>
        <v>48</v>
      </c>
    </row>
    <row r="511" spans="1:16" ht="15" hidden="1" customHeight="1" x14ac:dyDescent="0.2">
      <c r="A511" s="108" t="s">
        <v>18</v>
      </c>
      <c r="B511" s="117" t="s">
        <v>545</v>
      </c>
      <c r="C511" s="108">
        <f t="shared" si="28"/>
        <v>1647</v>
      </c>
      <c r="D511" s="38">
        <f t="shared" si="29"/>
        <v>1</v>
      </c>
      <c r="E511" s="113"/>
      <c r="G511" s="113" t="s">
        <v>27</v>
      </c>
      <c r="H511" s="108" t="s">
        <v>1052</v>
      </c>
      <c r="I511" s="12">
        <v>64277</v>
      </c>
      <c r="J511" s="12">
        <v>331</v>
      </c>
      <c r="K511" s="108" t="s">
        <v>20</v>
      </c>
      <c r="L511" s="108">
        <v>1</v>
      </c>
      <c r="M511" s="116">
        <v>105000</v>
      </c>
      <c r="N511" s="116">
        <f t="shared" si="30"/>
        <v>105000</v>
      </c>
      <c r="P511" s="108">
        <f t="shared" si="31"/>
        <v>48</v>
      </c>
    </row>
    <row r="512" spans="1:16" ht="15" hidden="1" customHeight="1" x14ac:dyDescent="0.2">
      <c r="A512" s="108" t="s">
        <v>18</v>
      </c>
      <c r="B512" s="117" t="s">
        <v>545</v>
      </c>
      <c r="C512" s="108">
        <f t="shared" si="28"/>
        <v>1647</v>
      </c>
      <c r="D512" s="38">
        <f t="shared" si="29"/>
        <v>0</v>
      </c>
      <c r="E512" s="113"/>
      <c r="G512" s="113" t="s">
        <v>27</v>
      </c>
      <c r="H512" s="108" t="s">
        <v>1052</v>
      </c>
      <c r="I512" s="12">
        <v>1331</v>
      </c>
      <c r="J512" s="12">
        <v>331</v>
      </c>
      <c r="K512" s="108" t="s">
        <v>20</v>
      </c>
      <c r="L512" s="108">
        <v>1</v>
      </c>
      <c r="M512" s="116">
        <v>8400</v>
      </c>
      <c r="N512" s="116">
        <f t="shared" si="30"/>
        <v>8400</v>
      </c>
      <c r="P512" s="108">
        <f t="shared" si="31"/>
        <v>48</v>
      </c>
    </row>
    <row r="513" spans="1:16" ht="15" hidden="1" customHeight="1" x14ac:dyDescent="0.2">
      <c r="A513" s="108" t="s">
        <v>18</v>
      </c>
      <c r="B513" s="117" t="s">
        <v>476</v>
      </c>
      <c r="C513" s="108">
        <f t="shared" si="28"/>
        <v>1648</v>
      </c>
      <c r="D513" s="38">
        <f t="shared" si="29"/>
        <v>1</v>
      </c>
      <c r="E513" s="113"/>
      <c r="G513" s="113" t="s">
        <v>269</v>
      </c>
      <c r="H513" s="108" t="s">
        <v>1056</v>
      </c>
      <c r="I513" s="12">
        <v>64277</v>
      </c>
      <c r="J513" s="12">
        <v>331</v>
      </c>
      <c r="K513" s="108" t="s">
        <v>20</v>
      </c>
      <c r="L513" s="108">
        <v>1</v>
      </c>
      <c r="M513" s="116">
        <v>305000</v>
      </c>
      <c r="N513" s="116">
        <f t="shared" si="30"/>
        <v>305000</v>
      </c>
      <c r="P513" s="108">
        <f t="shared" si="31"/>
        <v>39</v>
      </c>
    </row>
    <row r="514" spans="1:16" ht="15" hidden="1" customHeight="1" x14ac:dyDescent="0.2">
      <c r="A514" s="108" t="s">
        <v>18</v>
      </c>
      <c r="B514" s="117" t="s">
        <v>476</v>
      </c>
      <c r="C514" s="108">
        <f t="shared" si="28"/>
        <v>1648</v>
      </c>
      <c r="D514" s="38">
        <f t="shared" si="29"/>
        <v>0</v>
      </c>
      <c r="E514" s="113"/>
      <c r="G514" s="113" t="s">
        <v>269</v>
      </c>
      <c r="H514" s="108" t="s">
        <v>1056</v>
      </c>
      <c r="I514" s="12">
        <v>1331</v>
      </c>
      <c r="J514" s="12">
        <v>331</v>
      </c>
      <c r="K514" s="108" t="s">
        <v>20</v>
      </c>
      <c r="L514" s="108">
        <v>1</v>
      </c>
      <c r="M514" s="116">
        <v>0</v>
      </c>
      <c r="N514" s="116">
        <f t="shared" si="30"/>
        <v>0</v>
      </c>
      <c r="P514" s="108">
        <f t="shared" si="31"/>
        <v>39</v>
      </c>
    </row>
    <row r="515" spans="1:16" ht="15" hidden="1" customHeight="1" x14ac:dyDescent="0.2">
      <c r="A515" s="108" t="s">
        <v>18</v>
      </c>
      <c r="B515" s="117" t="s">
        <v>476</v>
      </c>
      <c r="C515" s="108">
        <f t="shared" si="28"/>
        <v>1649</v>
      </c>
      <c r="D515" s="38">
        <f t="shared" si="29"/>
        <v>1</v>
      </c>
      <c r="E515" s="113"/>
      <c r="G515" s="113" t="s">
        <v>23</v>
      </c>
      <c r="H515" s="108" t="s">
        <v>3673</v>
      </c>
      <c r="I515" s="12">
        <v>64277</v>
      </c>
      <c r="J515" s="12">
        <v>331</v>
      </c>
      <c r="K515" s="108" t="s">
        <v>20</v>
      </c>
      <c r="L515" s="108">
        <v>1</v>
      </c>
      <c r="M515" s="116">
        <v>284259</v>
      </c>
      <c r="N515" s="116">
        <f t="shared" si="30"/>
        <v>284259</v>
      </c>
      <c r="P515" s="108">
        <f t="shared" si="31"/>
        <v>42</v>
      </c>
    </row>
    <row r="516" spans="1:16" ht="15" hidden="1" customHeight="1" x14ac:dyDescent="0.2">
      <c r="A516" s="108" t="s">
        <v>18</v>
      </c>
      <c r="B516" s="117" t="s">
        <v>476</v>
      </c>
      <c r="C516" s="108">
        <f t="shared" ref="C516:C579" si="32">C515+D516</f>
        <v>1649</v>
      </c>
      <c r="D516" s="38">
        <f t="shared" ref="D516:D579" si="33">IF(H516=H515,0,1)</f>
        <v>0</v>
      </c>
      <c r="E516" s="113"/>
      <c r="G516" s="113" t="s">
        <v>23</v>
      </c>
      <c r="H516" s="108" t="s">
        <v>3673</v>
      </c>
      <c r="I516" s="12">
        <v>1331</v>
      </c>
      <c r="J516" s="12">
        <v>331</v>
      </c>
      <c r="K516" s="108" t="s">
        <v>20</v>
      </c>
      <c r="L516" s="108">
        <v>1</v>
      </c>
      <c r="M516" s="116">
        <v>22741</v>
      </c>
      <c r="N516" s="116">
        <f t="shared" ref="N516:N579" si="34">M516*L516</f>
        <v>22741</v>
      </c>
      <c r="P516" s="108">
        <f t="shared" ref="P516:P579" si="35">LEN(H516)</f>
        <v>42</v>
      </c>
    </row>
    <row r="517" spans="1:16" ht="15" hidden="1" customHeight="1" x14ac:dyDescent="0.2">
      <c r="A517" s="108" t="s">
        <v>18</v>
      </c>
      <c r="B517" s="117" t="s">
        <v>438</v>
      </c>
      <c r="C517" s="108">
        <f t="shared" si="32"/>
        <v>1650</v>
      </c>
      <c r="D517" s="38">
        <f t="shared" si="33"/>
        <v>1</v>
      </c>
      <c r="E517" s="113"/>
      <c r="G517" s="113" t="s">
        <v>971</v>
      </c>
      <c r="H517" s="108" t="s">
        <v>1057</v>
      </c>
      <c r="I517" s="12">
        <v>64277</v>
      </c>
      <c r="J517" s="12">
        <v>331</v>
      </c>
      <c r="K517" s="108" t="s">
        <v>20</v>
      </c>
      <c r="L517" s="108">
        <v>1</v>
      </c>
      <c r="M517" s="116">
        <v>510000</v>
      </c>
      <c r="N517" s="116">
        <f t="shared" si="34"/>
        <v>510000</v>
      </c>
      <c r="P517" s="108">
        <f t="shared" si="35"/>
        <v>30</v>
      </c>
    </row>
    <row r="518" spans="1:16" ht="15" hidden="1" customHeight="1" x14ac:dyDescent="0.2">
      <c r="A518" s="108" t="s">
        <v>18</v>
      </c>
      <c r="B518" s="117" t="s">
        <v>438</v>
      </c>
      <c r="C518" s="108">
        <f t="shared" si="32"/>
        <v>1650</v>
      </c>
      <c r="D518" s="38">
        <f t="shared" si="33"/>
        <v>0</v>
      </c>
      <c r="E518" s="113"/>
      <c r="G518" s="113" t="s">
        <v>971</v>
      </c>
      <c r="H518" s="108" t="s">
        <v>1057</v>
      </c>
      <c r="I518" s="12">
        <v>1331</v>
      </c>
      <c r="J518" s="12">
        <v>331</v>
      </c>
      <c r="K518" s="108" t="s">
        <v>20</v>
      </c>
      <c r="L518" s="108">
        <v>1</v>
      </c>
      <c r="M518" s="116">
        <v>40800</v>
      </c>
      <c r="N518" s="116">
        <f t="shared" si="34"/>
        <v>40800</v>
      </c>
      <c r="P518" s="108">
        <f t="shared" si="35"/>
        <v>30</v>
      </c>
    </row>
    <row r="519" spans="1:16" ht="15" hidden="1" customHeight="1" x14ac:dyDescent="0.2">
      <c r="A519" s="108" t="s">
        <v>18</v>
      </c>
      <c r="B519" s="117" t="s">
        <v>712</v>
      </c>
      <c r="C519" s="108">
        <f t="shared" si="32"/>
        <v>1651</v>
      </c>
      <c r="D519" s="38">
        <f t="shared" si="33"/>
        <v>1</v>
      </c>
      <c r="E519" s="113"/>
      <c r="G519" s="113" t="s">
        <v>23</v>
      </c>
      <c r="H519" s="108" t="s">
        <v>3677</v>
      </c>
      <c r="I519" s="12">
        <v>64277</v>
      </c>
      <c r="J519" s="12">
        <v>331</v>
      </c>
      <c r="K519" s="108" t="s">
        <v>20</v>
      </c>
      <c r="L519" s="108">
        <v>1</v>
      </c>
      <c r="M519" s="116">
        <v>303704</v>
      </c>
      <c r="N519" s="116">
        <f t="shared" si="34"/>
        <v>303704</v>
      </c>
      <c r="P519" s="108">
        <f t="shared" si="35"/>
        <v>42</v>
      </c>
    </row>
    <row r="520" spans="1:16" ht="15" hidden="1" customHeight="1" x14ac:dyDescent="0.2">
      <c r="A520" s="108" t="s">
        <v>18</v>
      </c>
      <c r="B520" s="117" t="s">
        <v>712</v>
      </c>
      <c r="C520" s="108">
        <f t="shared" si="32"/>
        <v>1651</v>
      </c>
      <c r="D520" s="38">
        <f t="shared" si="33"/>
        <v>0</v>
      </c>
      <c r="E520" s="113"/>
      <c r="G520" s="113" t="s">
        <v>23</v>
      </c>
      <c r="H520" s="108" t="s">
        <v>3677</v>
      </c>
      <c r="I520" s="12">
        <v>1331</v>
      </c>
      <c r="J520" s="12">
        <v>331</v>
      </c>
      <c r="K520" s="108" t="s">
        <v>20</v>
      </c>
      <c r="L520" s="108">
        <v>1</v>
      </c>
      <c r="M520" s="116">
        <v>24296</v>
      </c>
      <c r="N520" s="116">
        <f t="shared" si="34"/>
        <v>24296</v>
      </c>
      <c r="P520" s="108">
        <f t="shared" si="35"/>
        <v>42</v>
      </c>
    </row>
    <row r="521" spans="1:16" ht="15" hidden="1" customHeight="1" x14ac:dyDescent="0.2">
      <c r="A521" s="108" t="s">
        <v>18</v>
      </c>
      <c r="B521" s="117" t="s">
        <v>712</v>
      </c>
      <c r="C521" s="108">
        <f t="shared" si="32"/>
        <v>1652</v>
      </c>
      <c r="D521" s="38">
        <f t="shared" si="33"/>
        <v>1</v>
      </c>
      <c r="E521" s="113"/>
      <c r="G521" s="113" t="s">
        <v>32</v>
      </c>
      <c r="H521" s="108" t="s">
        <v>3675</v>
      </c>
      <c r="I521" s="12">
        <v>64277</v>
      </c>
      <c r="J521" s="12">
        <v>331</v>
      </c>
      <c r="K521" s="108" t="s">
        <v>20</v>
      </c>
      <c r="L521" s="108">
        <v>1</v>
      </c>
      <c r="M521" s="116">
        <v>1632513</v>
      </c>
      <c r="N521" s="116">
        <f t="shared" si="34"/>
        <v>1632513</v>
      </c>
      <c r="P521" s="108">
        <f t="shared" si="35"/>
        <v>42</v>
      </c>
    </row>
    <row r="522" spans="1:16" ht="15" hidden="1" customHeight="1" x14ac:dyDescent="0.2">
      <c r="A522" s="108" t="s">
        <v>18</v>
      </c>
      <c r="B522" s="117" t="s">
        <v>712</v>
      </c>
      <c r="C522" s="108">
        <f t="shared" si="32"/>
        <v>1652</v>
      </c>
      <c r="D522" s="38">
        <f t="shared" si="33"/>
        <v>0</v>
      </c>
      <c r="E522" s="113"/>
      <c r="G522" s="113" t="s">
        <v>32</v>
      </c>
      <c r="H522" s="108" t="s">
        <v>3675</v>
      </c>
      <c r="I522" s="12">
        <v>1331</v>
      </c>
      <c r="J522" s="12">
        <v>331</v>
      </c>
      <c r="K522" s="108" t="s">
        <v>20</v>
      </c>
      <c r="L522" s="108">
        <v>1</v>
      </c>
      <c r="M522" s="116">
        <v>117487</v>
      </c>
      <c r="N522" s="116">
        <f t="shared" si="34"/>
        <v>117487</v>
      </c>
      <c r="P522" s="108">
        <f t="shared" si="35"/>
        <v>42</v>
      </c>
    </row>
    <row r="523" spans="1:16" ht="15" hidden="1" customHeight="1" x14ac:dyDescent="0.2">
      <c r="A523" s="108" t="s">
        <v>18</v>
      </c>
      <c r="B523" s="117" t="s">
        <v>477</v>
      </c>
      <c r="C523" s="108">
        <f t="shared" si="32"/>
        <v>1653</v>
      </c>
      <c r="D523" s="38">
        <f t="shared" si="33"/>
        <v>1</v>
      </c>
      <c r="E523" s="113"/>
      <c r="G523" s="113" t="s">
        <v>263</v>
      </c>
      <c r="H523" s="108" t="s">
        <v>1058</v>
      </c>
      <c r="I523" s="12">
        <v>64277</v>
      </c>
      <c r="J523" s="12">
        <v>331</v>
      </c>
      <c r="K523" s="108" t="s">
        <v>20</v>
      </c>
      <c r="L523" s="108">
        <v>1</v>
      </c>
      <c r="M523" s="116">
        <v>1444444</v>
      </c>
      <c r="N523" s="116">
        <f t="shared" si="34"/>
        <v>1444444</v>
      </c>
      <c r="P523" s="108">
        <f t="shared" si="35"/>
        <v>126</v>
      </c>
    </row>
    <row r="524" spans="1:16" ht="15" hidden="1" customHeight="1" x14ac:dyDescent="0.2">
      <c r="A524" s="108" t="s">
        <v>18</v>
      </c>
      <c r="B524" s="117" t="s">
        <v>477</v>
      </c>
      <c r="C524" s="108">
        <f t="shared" si="32"/>
        <v>1653</v>
      </c>
      <c r="D524" s="38">
        <f t="shared" si="33"/>
        <v>0</v>
      </c>
      <c r="E524" s="113"/>
      <c r="G524" s="113" t="s">
        <v>263</v>
      </c>
      <c r="H524" s="108" t="s">
        <v>1058</v>
      </c>
      <c r="I524" s="12">
        <v>1331</v>
      </c>
      <c r="J524" s="12">
        <v>331</v>
      </c>
      <c r="K524" s="108" t="s">
        <v>20</v>
      </c>
      <c r="L524" s="108">
        <v>1</v>
      </c>
      <c r="M524" s="116">
        <v>115556</v>
      </c>
      <c r="N524" s="116">
        <f t="shared" si="34"/>
        <v>115556</v>
      </c>
      <c r="P524" s="108">
        <f t="shared" si="35"/>
        <v>126</v>
      </c>
    </row>
    <row r="525" spans="1:16" ht="15" hidden="1" customHeight="1" x14ac:dyDescent="0.2">
      <c r="A525" s="108" t="s">
        <v>18</v>
      </c>
      <c r="B525" s="117" t="s">
        <v>477</v>
      </c>
      <c r="C525" s="108">
        <f t="shared" si="32"/>
        <v>1654</v>
      </c>
      <c r="D525" s="38">
        <f t="shared" si="33"/>
        <v>1</v>
      </c>
      <c r="E525" s="113"/>
      <c r="G525" s="113" t="s">
        <v>263</v>
      </c>
      <c r="H525" s="108" t="s">
        <v>1059</v>
      </c>
      <c r="I525" s="12">
        <v>64277</v>
      </c>
      <c r="J525" s="12">
        <v>331</v>
      </c>
      <c r="K525" s="108" t="s">
        <v>20</v>
      </c>
      <c r="L525" s="108">
        <v>1</v>
      </c>
      <c r="M525" s="116">
        <v>305556</v>
      </c>
      <c r="N525" s="116">
        <f t="shared" si="34"/>
        <v>305556</v>
      </c>
      <c r="P525" s="108">
        <f t="shared" si="35"/>
        <v>134</v>
      </c>
    </row>
    <row r="526" spans="1:16" ht="15" hidden="1" customHeight="1" x14ac:dyDescent="0.2">
      <c r="A526" s="108" t="s">
        <v>18</v>
      </c>
      <c r="B526" s="117" t="s">
        <v>477</v>
      </c>
      <c r="C526" s="108">
        <f t="shared" si="32"/>
        <v>1654</v>
      </c>
      <c r="D526" s="38">
        <f t="shared" si="33"/>
        <v>0</v>
      </c>
      <c r="E526" s="113"/>
      <c r="G526" s="113" t="s">
        <v>263</v>
      </c>
      <c r="H526" s="108" t="s">
        <v>1059</v>
      </c>
      <c r="I526" s="12">
        <v>1331</v>
      </c>
      <c r="J526" s="12">
        <v>331</v>
      </c>
      <c r="K526" s="108" t="s">
        <v>20</v>
      </c>
      <c r="L526" s="108">
        <v>1</v>
      </c>
      <c r="M526" s="116">
        <v>24444</v>
      </c>
      <c r="N526" s="116">
        <f t="shared" si="34"/>
        <v>24444</v>
      </c>
      <c r="P526" s="108">
        <f t="shared" si="35"/>
        <v>134</v>
      </c>
    </row>
    <row r="527" spans="1:16" ht="15" hidden="1" customHeight="1" x14ac:dyDescent="0.2">
      <c r="A527" s="108" t="s">
        <v>18</v>
      </c>
      <c r="B527" s="117" t="s">
        <v>439</v>
      </c>
      <c r="C527" s="108">
        <f t="shared" si="32"/>
        <v>1655</v>
      </c>
      <c r="D527" s="38">
        <f t="shared" si="33"/>
        <v>1</v>
      </c>
      <c r="E527" s="113"/>
      <c r="G527" s="113" t="s">
        <v>22</v>
      </c>
      <c r="H527" s="108" t="s">
        <v>1061</v>
      </c>
      <c r="I527" s="12">
        <v>64277</v>
      </c>
      <c r="J527" s="12">
        <v>331</v>
      </c>
      <c r="K527" s="108" t="s">
        <v>20</v>
      </c>
      <c r="L527" s="108">
        <v>1</v>
      </c>
      <c r="M527" s="116">
        <v>251000</v>
      </c>
      <c r="N527" s="116">
        <f t="shared" si="34"/>
        <v>251000</v>
      </c>
      <c r="P527" s="108">
        <f t="shared" si="35"/>
        <v>110</v>
      </c>
    </row>
    <row r="528" spans="1:16" ht="15" hidden="1" customHeight="1" x14ac:dyDescent="0.2">
      <c r="A528" s="108" t="s">
        <v>18</v>
      </c>
      <c r="B528" s="117" t="s">
        <v>439</v>
      </c>
      <c r="C528" s="108">
        <f t="shared" si="32"/>
        <v>1655</v>
      </c>
      <c r="D528" s="38">
        <f t="shared" si="33"/>
        <v>0</v>
      </c>
      <c r="E528" s="113"/>
      <c r="G528" s="113" t="s">
        <v>22</v>
      </c>
      <c r="H528" s="108" t="s">
        <v>1061</v>
      </c>
      <c r="I528" s="12">
        <v>1331</v>
      </c>
      <c r="J528" s="12">
        <v>331</v>
      </c>
      <c r="K528" s="108" t="s">
        <v>20</v>
      </c>
      <c r="L528" s="108">
        <v>1</v>
      </c>
      <c r="M528" s="116">
        <v>20080</v>
      </c>
      <c r="N528" s="116">
        <f t="shared" si="34"/>
        <v>20080</v>
      </c>
      <c r="P528" s="108">
        <f t="shared" si="35"/>
        <v>110</v>
      </c>
    </row>
    <row r="529" spans="1:16" ht="15" hidden="1" customHeight="1" x14ac:dyDescent="0.2">
      <c r="A529" s="108" t="s">
        <v>18</v>
      </c>
      <c r="B529" s="117" t="s">
        <v>439</v>
      </c>
      <c r="C529" s="108">
        <f t="shared" si="32"/>
        <v>1656</v>
      </c>
      <c r="D529" s="38">
        <f t="shared" si="33"/>
        <v>1</v>
      </c>
      <c r="E529" s="113"/>
      <c r="G529" s="113" t="s">
        <v>23</v>
      </c>
      <c r="H529" s="108" t="s">
        <v>1060</v>
      </c>
      <c r="I529" s="12">
        <v>64277</v>
      </c>
      <c r="J529" s="12">
        <v>331</v>
      </c>
      <c r="K529" s="108" t="s">
        <v>20</v>
      </c>
      <c r="L529" s="108">
        <v>1</v>
      </c>
      <c r="M529" s="116">
        <v>170370</v>
      </c>
      <c r="N529" s="116">
        <f t="shared" si="34"/>
        <v>170370</v>
      </c>
      <c r="P529" s="108">
        <f t="shared" si="35"/>
        <v>148</v>
      </c>
    </row>
    <row r="530" spans="1:16" ht="15" hidden="1" customHeight="1" x14ac:dyDescent="0.2">
      <c r="A530" s="108" t="s">
        <v>18</v>
      </c>
      <c r="B530" s="117" t="s">
        <v>439</v>
      </c>
      <c r="C530" s="108">
        <f t="shared" si="32"/>
        <v>1656</v>
      </c>
      <c r="D530" s="38">
        <f t="shared" si="33"/>
        <v>0</v>
      </c>
      <c r="E530" s="113"/>
      <c r="G530" s="113" t="s">
        <v>23</v>
      </c>
      <c r="H530" s="108" t="s">
        <v>1060</v>
      </c>
      <c r="I530" s="12">
        <v>1331</v>
      </c>
      <c r="J530" s="12">
        <v>331</v>
      </c>
      <c r="K530" s="108" t="s">
        <v>20</v>
      </c>
      <c r="L530" s="108">
        <v>1</v>
      </c>
      <c r="M530" s="116">
        <v>13630</v>
      </c>
      <c r="N530" s="116">
        <f t="shared" si="34"/>
        <v>13630</v>
      </c>
      <c r="P530" s="108">
        <f t="shared" si="35"/>
        <v>148</v>
      </c>
    </row>
    <row r="531" spans="1:16" ht="15" hidden="1" customHeight="1" x14ac:dyDescent="0.2">
      <c r="A531" s="108" t="s">
        <v>18</v>
      </c>
      <c r="B531" s="117" t="s">
        <v>943</v>
      </c>
      <c r="C531" s="108">
        <f t="shared" si="32"/>
        <v>1657</v>
      </c>
      <c r="D531" s="38">
        <f t="shared" si="33"/>
        <v>1</v>
      </c>
      <c r="E531" s="113"/>
      <c r="G531" s="113" t="s">
        <v>266</v>
      </c>
      <c r="H531" s="108" t="s">
        <v>1062</v>
      </c>
      <c r="I531" s="12">
        <v>64277</v>
      </c>
      <c r="J531" s="12">
        <v>331</v>
      </c>
      <c r="K531" s="108" t="s">
        <v>20</v>
      </c>
      <c r="L531" s="108">
        <v>1</v>
      </c>
      <c r="M531" s="116">
        <v>50926</v>
      </c>
      <c r="N531" s="116">
        <f t="shared" si="34"/>
        <v>50926</v>
      </c>
      <c r="P531" s="108">
        <f t="shared" si="35"/>
        <v>30</v>
      </c>
    </row>
    <row r="532" spans="1:16" ht="15" hidden="1" customHeight="1" x14ac:dyDescent="0.2">
      <c r="A532" s="108" t="s">
        <v>18</v>
      </c>
      <c r="B532" s="117" t="s">
        <v>943</v>
      </c>
      <c r="C532" s="108">
        <f t="shared" si="32"/>
        <v>1657</v>
      </c>
      <c r="D532" s="38">
        <f t="shared" si="33"/>
        <v>0</v>
      </c>
      <c r="E532" s="113"/>
      <c r="G532" s="113" t="s">
        <v>266</v>
      </c>
      <c r="H532" s="108" t="s">
        <v>1062</v>
      </c>
      <c r="I532" s="12">
        <v>1331</v>
      </c>
      <c r="J532" s="12">
        <v>331</v>
      </c>
      <c r="K532" s="108" t="s">
        <v>20</v>
      </c>
      <c r="L532" s="108">
        <v>1</v>
      </c>
      <c r="M532" s="116">
        <v>4074</v>
      </c>
      <c r="N532" s="116">
        <f t="shared" si="34"/>
        <v>4074</v>
      </c>
      <c r="P532" s="108">
        <f t="shared" si="35"/>
        <v>30</v>
      </c>
    </row>
    <row r="533" spans="1:16" ht="15" hidden="1" customHeight="1" x14ac:dyDescent="0.2">
      <c r="A533" s="108" t="s">
        <v>18</v>
      </c>
      <c r="B533" s="117" t="s">
        <v>944</v>
      </c>
      <c r="C533" s="108">
        <f t="shared" si="32"/>
        <v>1658</v>
      </c>
      <c r="D533" s="38">
        <f t="shared" si="33"/>
        <v>1</v>
      </c>
      <c r="E533" s="113"/>
      <c r="G533" s="113" t="s">
        <v>19</v>
      </c>
      <c r="H533" s="108" t="s">
        <v>1063</v>
      </c>
      <c r="I533" s="12">
        <v>64277</v>
      </c>
      <c r="J533" s="12">
        <v>331</v>
      </c>
      <c r="K533" s="108" t="s">
        <v>20</v>
      </c>
      <c r="L533" s="108">
        <v>1</v>
      </c>
      <c r="M533" s="116">
        <v>334259</v>
      </c>
      <c r="N533" s="116">
        <f t="shared" si="34"/>
        <v>334259</v>
      </c>
      <c r="P533" s="108">
        <f t="shared" si="35"/>
        <v>64</v>
      </c>
    </row>
    <row r="534" spans="1:16" ht="15" hidden="1" customHeight="1" x14ac:dyDescent="0.2">
      <c r="A534" s="108" t="s">
        <v>18</v>
      </c>
      <c r="B534" s="117" t="s">
        <v>944</v>
      </c>
      <c r="C534" s="108">
        <f t="shared" si="32"/>
        <v>1658</v>
      </c>
      <c r="D534" s="38">
        <f t="shared" si="33"/>
        <v>0</v>
      </c>
      <c r="G534" s="113" t="s">
        <v>19</v>
      </c>
      <c r="H534" s="108" t="s">
        <v>1063</v>
      </c>
      <c r="I534" s="12">
        <v>1331</v>
      </c>
      <c r="J534" s="12">
        <v>331</v>
      </c>
      <c r="K534" s="108" t="s">
        <v>20</v>
      </c>
      <c r="L534" s="108">
        <v>1</v>
      </c>
      <c r="M534" s="116">
        <v>26741</v>
      </c>
      <c r="N534" s="116">
        <f t="shared" si="34"/>
        <v>26741</v>
      </c>
      <c r="P534" s="108">
        <f t="shared" si="35"/>
        <v>64</v>
      </c>
    </row>
    <row r="535" spans="1:16" ht="15" hidden="1" customHeight="1" x14ac:dyDescent="0.2">
      <c r="A535" s="108" t="s">
        <v>18</v>
      </c>
      <c r="B535" s="117" t="s">
        <v>945</v>
      </c>
      <c r="C535" s="108">
        <f t="shared" si="32"/>
        <v>1659</v>
      </c>
      <c r="D535" s="38">
        <f t="shared" si="33"/>
        <v>1</v>
      </c>
      <c r="G535" s="113" t="s">
        <v>19</v>
      </c>
      <c r="H535" s="108" t="s">
        <v>1064</v>
      </c>
      <c r="I535" s="12">
        <v>64277</v>
      </c>
      <c r="J535" s="12">
        <v>331</v>
      </c>
      <c r="K535" s="108" t="s">
        <v>20</v>
      </c>
      <c r="L535" s="108">
        <v>1</v>
      </c>
      <c r="M535" s="116">
        <v>291667</v>
      </c>
      <c r="N535" s="116">
        <f t="shared" si="34"/>
        <v>291667</v>
      </c>
      <c r="P535" s="108">
        <f t="shared" si="35"/>
        <v>64</v>
      </c>
    </row>
    <row r="536" spans="1:16" ht="15" hidden="1" customHeight="1" x14ac:dyDescent="0.2">
      <c r="A536" s="108" t="s">
        <v>18</v>
      </c>
      <c r="B536" s="117" t="s">
        <v>945</v>
      </c>
      <c r="C536" s="108">
        <f t="shared" si="32"/>
        <v>1659</v>
      </c>
      <c r="D536" s="38">
        <f t="shared" si="33"/>
        <v>0</v>
      </c>
      <c r="G536" s="113" t="s">
        <v>19</v>
      </c>
      <c r="H536" s="108" t="s">
        <v>1064</v>
      </c>
      <c r="I536" s="12">
        <v>1331</v>
      </c>
      <c r="J536" s="12">
        <v>331</v>
      </c>
      <c r="K536" s="108" t="s">
        <v>20</v>
      </c>
      <c r="L536" s="108">
        <v>1</v>
      </c>
      <c r="M536" s="116">
        <v>23333</v>
      </c>
      <c r="N536" s="116">
        <f t="shared" si="34"/>
        <v>23333</v>
      </c>
      <c r="P536" s="108">
        <f t="shared" si="35"/>
        <v>64</v>
      </c>
    </row>
    <row r="537" spans="1:16" ht="15" hidden="1" customHeight="1" x14ac:dyDescent="0.2">
      <c r="A537" s="108" t="s">
        <v>18</v>
      </c>
      <c r="B537" s="117" t="s">
        <v>440</v>
      </c>
      <c r="C537" s="108">
        <f t="shared" si="32"/>
        <v>1660</v>
      </c>
      <c r="D537" s="38">
        <f t="shared" si="33"/>
        <v>1</v>
      </c>
      <c r="G537" s="113" t="s">
        <v>19</v>
      </c>
      <c r="H537" s="108" t="s">
        <v>1065</v>
      </c>
      <c r="I537" s="12">
        <v>64277</v>
      </c>
      <c r="J537" s="12">
        <v>331</v>
      </c>
      <c r="K537" s="108" t="s">
        <v>20</v>
      </c>
      <c r="L537" s="108">
        <v>1</v>
      </c>
      <c r="M537" s="116">
        <v>264815</v>
      </c>
      <c r="N537" s="116">
        <f t="shared" si="34"/>
        <v>264815</v>
      </c>
      <c r="P537" s="108">
        <f t="shared" si="35"/>
        <v>64</v>
      </c>
    </row>
    <row r="538" spans="1:16" ht="15" hidden="1" customHeight="1" x14ac:dyDescent="0.2">
      <c r="A538" s="108" t="s">
        <v>18</v>
      </c>
      <c r="B538" s="117" t="s">
        <v>440</v>
      </c>
      <c r="C538" s="108">
        <f t="shared" si="32"/>
        <v>1660</v>
      </c>
      <c r="D538" s="38">
        <f t="shared" si="33"/>
        <v>0</v>
      </c>
      <c r="G538" s="113" t="s">
        <v>19</v>
      </c>
      <c r="H538" s="108" t="s">
        <v>1065</v>
      </c>
      <c r="I538" s="12">
        <v>1331</v>
      </c>
      <c r="J538" s="12">
        <v>331</v>
      </c>
      <c r="K538" s="108" t="s">
        <v>20</v>
      </c>
      <c r="L538" s="108">
        <v>1</v>
      </c>
      <c r="M538" s="116">
        <v>21185</v>
      </c>
      <c r="N538" s="116">
        <f t="shared" si="34"/>
        <v>21185</v>
      </c>
      <c r="P538" s="108">
        <f t="shared" si="35"/>
        <v>64</v>
      </c>
    </row>
    <row r="539" spans="1:16" ht="15" hidden="1" customHeight="1" x14ac:dyDescent="0.2">
      <c r="A539" s="108" t="s">
        <v>18</v>
      </c>
      <c r="B539" s="117" t="s">
        <v>440</v>
      </c>
      <c r="C539" s="108">
        <f t="shared" si="32"/>
        <v>1661</v>
      </c>
      <c r="D539" s="38">
        <f t="shared" si="33"/>
        <v>1</v>
      </c>
      <c r="G539" s="113" t="s">
        <v>271</v>
      </c>
      <c r="H539" s="108" t="s">
        <v>1066</v>
      </c>
      <c r="I539" s="12">
        <v>64277</v>
      </c>
      <c r="J539" s="12">
        <v>331</v>
      </c>
      <c r="K539" s="108" t="s">
        <v>20</v>
      </c>
      <c r="L539" s="108">
        <v>1</v>
      </c>
      <c r="M539" s="116">
        <v>604630</v>
      </c>
      <c r="N539" s="116">
        <f t="shared" si="34"/>
        <v>604630</v>
      </c>
      <c r="P539" s="108">
        <f t="shared" si="35"/>
        <v>183</v>
      </c>
    </row>
    <row r="540" spans="1:16" ht="15" hidden="1" customHeight="1" x14ac:dyDescent="0.2">
      <c r="A540" s="108" t="s">
        <v>18</v>
      </c>
      <c r="B540" s="117" t="s">
        <v>440</v>
      </c>
      <c r="C540" s="108">
        <f t="shared" si="32"/>
        <v>1661</v>
      </c>
      <c r="D540" s="38">
        <f t="shared" si="33"/>
        <v>0</v>
      </c>
      <c r="G540" s="113" t="s">
        <v>271</v>
      </c>
      <c r="H540" s="108" t="s">
        <v>1066</v>
      </c>
      <c r="I540" s="12">
        <v>1331</v>
      </c>
      <c r="J540" s="12">
        <v>331</v>
      </c>
      <c r="K540" s="108" t="s">
        <v>20</v>
      </c>
      <c r="L540" s="108">
        <v>1</v>
      </c>
      <c r="M540" s="116">
        <v>48370</v>
      </c>
      <c r="N540" s="116">
        <f t="shared" si="34"/>
        <v>48370</v>
      </c>
      <c r="P540" s="108">
        <f t="shared" si="35"/>
        <v>183</v>
      </c>
    </row>
    <row r="541" spans="1:16" ht="15" hidden="1" customHeight="1" x14ac:dyDescent="0.2">
      <c r="A541" s="108" t="s">
        <v>18</v>
      </c>
      <c r="B541" s="117" t="s">
        <v>946</v>
      </c>
      <c r="C541" s="108">
        <f t="shared" si="32"/>
        <v>1662</v>
      </c>
      <c r="D541" s="38">
        <f t="shared" si="33"/>
        <v>1</v>
      </c>
      <c r="G541" s="113" t="s">
        <v>23</v>
      </c>
      <c r="H541" s="108" t="s">
        <v>3679</v>
      </c>
      <c r="I541" s="12">
        <v>64277</v>
      </c>
      <c r="J541" s="12">
        <v>331</v>
      </c>
      <c r="K541" s="108" t="s">
        <v>20</v>
      </c>
      <c r="L541" s="108">
        <v>1</v>
      </c>
      <c r="M541" s="116">
        <v>301852</v>
      </c>
      <c r="N541" s="116">
        <f t="shared" si="34"/>
        <v>301852</v>
      </c>
      <c r="P541" s="108">
        <f t="shared" si="35"/>
        <v>42</v>
      </c>
    </row>
    <row r="542" spans="1:16" ht="15" hidden="1" customHeight="1" x14ac:dyDescent="0.2">
      <c r="A542" s="108" t="s">
        <v>18</v>
      </c>
      <c r="B542" s="117" t="s">
        <v>946</v>
      </c>
      <c r="C542" s="108">
        <f t="shared" si="32"/>
        <v>1662</v>
      </c>
      <c r="D542" s="38">
        <f t="shared" si="33"/>
        <v>0</v>
      </c>
      <c r="G542" s="113" t="s">
        <v>23</v>
      </c>
      <c r="H542" s="108" t="s">
        <v>3679</v>
      </c>
      <c r="I542" s="12">
        <v>1331</v>
      </c>
      <c r="J542" s="12">
        <v>331</v>
      </c>
      <c r="K542" s="108" t="s">
        <v>20</v>
      </c>
      <c r="L542" s="108">
        <v>1</v>
      </c>
      <c r="M542" s="116">
        <v>24148</v>
      </c>
      <c r="N542" s="116">
        <f t="shared" si="34"/>
        <v>24148</v>
      </c>
      <c r="P542" s="108">
        <f t="shared" si="35"/>
        <v>42</v>
      </c>
    </row>
    <row r="543" spans="1:16" ht="15" hidden="1" customHeight="1" x14ac:dyDescent="0.2">
      <c r="A543" s="108" t="s">
        <v>18</v>
      </c>
      <c r="B543" s="117" t="s">
        <v>946</v>
      </c>
      <c r="C543" s="108">
        <f t="shared" si="32"/>
        <v>1663</v>
      </c>
      <c r="D543" s="38">
        <f t="shared" si="33"/>
        <v>1</v>
      </c>
      <c r="G543" s="113" t="s">
        <v>94</v>
      </c>
      <c r="H543" s="108" t="s">
        <v>3681</v>
      </c>
      <c r="I543" s="12">
        <v>64277</v>
      </c>
      <c r="J543" s="12">
        <v>331</v>
      </c>
      <c r="K543" s="108" t="s">
        <v>20</v>
      </c>
      <c r="L543" s="108">
        <v>1</v>
      </c>
      <c r="M543" s="116">
        <v>2148120</v>
      </c>
      <c r="N543" s="116">
        <f t="shared" si="34"/>
        <v>2148120</v>
      </c>
      <c r="P543" s="108">
        <f t="shared" si="35"/>
        <v>41</v>
      </c>
    </row>
    <row r="544" spans="1:16" ht="15" hidden="1" customHeight="1" x14ac:dyDescent="0.2">
      <c r="A544" s="108" t="s">
        <v>18</v>
      </c>
      <c r="B544" s="117" t="s">
        <v>946</v>
      </c>
      <c r="C544" s="108">
        <f t="shared" si="32"/>
        <v>1663</v>
      </c>
      <c r="D544" s="38">
        <f t="shared" si="33"/>
        <v>0</v>
      </c>
      <c r="G544" s="113" t="s">
        <v>94</v>
      </c>
      <c r="H544" s="108" t="s">
        <v>3681</v>
      </c>
      <c r="I544" s="12">
        <v>1331</v>
      </c>
      <c r="J544" s="12">
        <v>331</v>
      </c>
      <c r="K544" s="108" t="s">
        <v>20</v>
      </c>
      <c r="L544" s="108">
        <v>1</v>
      </c>
      <c r="M544" s="116">
        <v>171850</v>
      </c>
      <c r="N544" s="116">
        <f t="shared" si="34"/>
        <v>171850</v>
      </c>
      <c r="P544" s="108">
        <f t="shared" si="35"/>
        <v>41</v>
      </c>
    </row>
    <row r="545" spans="1:16" ht="15" hidden="1" customHeight="1" x14ac:dyDescent="0.2">
      <c r="A545" s="108" t="s">
        <v>18</v>
      </c>
      <c r="B545" s="117" t="s">
        <v>946</v>
      </c>
      <c r="C545" s="108">
        <f t="shared" si="32"/>
        <v>1664</v>
      </c>
      <c r="D545" s="38">
        <f t="shared" si="33"/>
        <v>1</v>
      </c>
      <c r="G545" s="113" t="s">
        <v>19</v>
      </c>
      <c r="H545" s="108" t="s">
        <v>1071</v>
      </c>
      <c r="I545" s="12">
        <v>64277</v>
      </c>
      <c r="J545" s="12">
        <v>331</v>
      </c>
      <c r="K545" s="108" t="s">
        <v>20</v>
      </c>
      <c r="L545" s="108">
        <v>1</v>
      </c>
      <c r="M545" s="116">
        <v>142000</v>
      </c>
      <c r="N545" s="116">
        <f t="shared" si="34"/>
        <v>142000</v>
      </c>
      <c r="P545" s="108">
        <f t="shared" si="35"/>
        <v>126</v>
      </c>
    </row>
    <row r="546" spans="1:16" ht="15" hidden="1" customHeight="1" x14ac:dyDescent="0.2">
      <c r="A546" s="108" t="s">
        <v>18</v>
      </c>
      <c r="B546" s="117" t="s">
        <v>946</v>
      </c>
      <c r="C546" s="108">
        <f t="shared" si="32"/>
        <v>1664</v>
      </c>
      <c r="D546" s="38">
        <f t="shared" si="33"/>
        <v>0</v>
      </c>
      <c r="G546" s="113" t="s">
        <v>19</v>
      </c>
      <c r="H546" s="108" t="s">
        <v>1071</v>
      </c>
      <c r="I546" s="12">
        <v>1331</v>
      </c>
      <c r="J546" s="12">
        <v>331</v>
      </c>
      <c r="K546" s="108" t="s">
        <v>20</v>
      </c>
      <c r="L546" s="108">
        <v>1</v>
      </c>
      <c r="M546" s="116">
        <v>10519</v>
      </c>
      <c r="N546" s="116">
        <f t="shared" si="34"/>
        <v>10519</v>
      </c>
      <c r="P546" s="108">
        <f t="shared" si="35"/>
        <v>126</v>
      </c>
    </row>
    <row r="547" spans="1:16" ht="15" hidden="1" customHeight="1" x14ac:dyDescent="0.2">
      <c r="A547" s="108" t="s">
        <v>18</v>
      </c>
      <c r="B547" s="117" t="s">
        <v>946</v>
      </c>
      <c r="C547" s="108">
        <f t="shared" si="32"/>
        <v>1665</v>
      </c>
      <c r="D547" s="38">
        <f t="shared" si="33"/>
        <v>1</v>
      </c>
      <c r="G547" s="113" t="s">
        <v>19</v>
      </c>
      <c r="H547" s="108" t="s">
        <v>1070</v>
      </c>
      <c r="I547" s="12">
        <v>64277</v>
      </c>
      <c r="J547" s="12">
        <v>331</v>
      </c>
      <c r="K547" s="108" t="s">
        <v>20</v>
      </c>
      <c r="L547" s="108">
        <v>1</v>
      </c>
      <c r="M547" s="116">
        <v>316000</v>
      </c>
      <c r="N547" s="116">
        <f t="shared" si="34"/>
        <v>316000</v>
      </c>
      <c r="P547" s="108">
        <f t="shared" si="35"/>
        <v>126</v>
      </c>
    </row>
    <row r="548" spans="1:16" ht="15" hidden="1" customHeight="1" x14ac:dyDescent="0.2">
      <c r="A548" s="108" t="s">
        <v>18</v>
      </c>
      <c r="B548" s="117" t="s">
        <v>946</v>
      </c>
      <c r="C548" s="108">
        <f t="shared" si="32"/>
        <v>1665</v>
      </c>
      <c r="D548" s="38">
        <f t="shared" si="33"/>
        <v>0</v>
      </c>
      <c r="G548" s="113" t="s">
        <v>19</v>
      </c>
      <c r="H548" s="108" t="s">
        <v>1070</v>
      </c>
      <c r="I548" s="12">
        <v>1331</v>
      </c>
      <c r="J548" s="12">
        <v>331</v>
      </c>
      <c r="K548" s="108" t="s">
        <v>20</v>
      </c>
      <c r="L548" s="108">
        <v>1</v>
      </c>
      <c r="M548" s="116">
        <v>23407</v>
      </c>
      <c r="N548" s="116">
        <f t="shared" si="34"/>
        <v>23407</v>
      </c>
      <c r="P548" s="108">
        <f t="shared" si="35"/>
        <v>126</v>
      </c>
    </row>
    <row r="549" spans="1:16" ht="15" hidden="1" customHeight="1" x14ac:dyDescent="0.2">
      <c r="A549" s="108" t="s">
        <v>18</v>
      </c>
      <c r="B549" s="117" t="s">
        <v>946</v>
      </c>
      <c r="C549" s="108">
        <f t="shared" si="32"/>
        <v>1666</v>
      </c>
      <c r="D549" s="38">
        <f t="shared" si="33"/>
        <v>1</v>
      </c>
      <c r="G549" s="113" t="s">
        <v>24</v>
      </c>
      <c r="H549" s="108" t="s">
        <v>1069</v>
      </c>
      <c r="I549" s="12">
        <v>64277</v>
      </c>
      <c r="J549" s="12">
        <v>331</v>
      </c>
      <c r="K549" s="108" t="s">
        <v>20</v>
      </c>
      <c r="L549" s="108">
        <v>1</v>
      </c>
      <c r="M549" s="116">
        <v>162000</v>
      </c>
      <c r="N549" s="116">
        <f t="shared" si="34"/>
        <v>162000</v>
      </c>
      <c r="P549" s="108">
        <f t="shared" si="35"/>
        <v>169</v>
      </c>
    </row>
    <row r="550" spans="1:16" ht="15" hidden="1" customHeight="1" x14ac:dyDescent="0.2">
      <c r="A550" s="108" t="s">
        <v>18</v>
      </c>
      <c r="B550" s="117" t="s">
        <v>946</v>
      </c>
      <c r="C550" s="108">
        <f t="shared" si="32"/>
        <v>1666</v>
      </c>
      <c r="D550" s="38">
        <f t="shared" si="33"/>
        <v>0</v>
      </c>
      <c r="G550" s="113" t="s">
        <v>24</v>
      </c>
      <c r="H550" s="108" t="s">
        <v>1069</v>
      </c>
      <c r="I550" s="12">
        <v>1331</v>
      </c>
      <c r="J550" s="12">
        <v>331</v>
      </c>
      <c r="K550" s="108" t="s">
        <v>20</v>
      </c>
      <c r="L550" s="108">
        <v>1</v>
      </c>
      <c r="M550" s="116">
        <v>11200</v>
      </c>
      <c r="N550" s="116">
        <f t="shared" si="34"/>
        <v>11200</v>
      </c>
      <c r="P550" s="108">
        <f t="shared" si="35"/>
        <v>169</v>
      </c>
    </row>
    <row r="551" spans="1:16" ht="15" hidden="1" customHeight="1" x14ac:dyDescent="0.2">
      <c r="A551" s="108" t="s">
        <v>18</v>
      </c>
      <c r="B551" s="117" t="s">
        <v>946</v>
      </c>
      <c r="C551" s="108">
        <f t="shared" si="32"/>
        <v>1667</v>
      </c>
      <c r="D551" s="38">
        <f t="shared" si="33"/>
        <v>1</v>
      </c>
      <c r="G551" s="113" t="s">
        <v>990</v>
      </c>
      <c r="H551" s="108" t="s">
        <v>1068</v>
      </c>
      <c r="I551" s="12">
        <v>64277</v>
      </c>
      <c r="J551" s="12">
        <v>331</v>
      </c>
      <c r="K551" s="108" t="s">
        <v>20</v>
      </c>
      <c r="L551" s="108">
        <v>1</v>
      </c>
      <c r="M551" s="116">
        <v>2216666</v>
      </c>
      <c r="N551" s="116">
        <f t="shared" si="34"/>
        <v>2216666</v>
      </c>
      <c r="P551" s="108">
        <f t="shared" si="35"/>
        <v>98</v>
      </c>
    </row>
    <row r="552" spans="1:16" ht="15" hidden="1" customHeight="1" x14ac:dyDescent="0.2">
      <c r="A552" s="108" t="s">
        <v>18</v>
      </c>
      <c r="B552" s="117" t="s">
        <v>946</v>
      </c>
      <c r="C552" s="108">
        <f t="shared" si="32"/>
        <v>1667</v>
      </c>
      <c r="D552" s="38">
        <f t="shared" si="33"/>
        <v>0</v>
      </c>
      <c r="G552" s="113" t="s">
        <v>990</v>
      </c>
      <c r="H552" s="108" t="s">
        <v>1068</v>
      </c>
      <c r="I552" s="12">
        <v>1331</v>
      </c>
      <c r="J552" s="12">
        <v>331</v>
      </c>
      <c r="K552" s="108" t="s">
        <v>20</v>
      </c>
      <c r="L552" s="108">
        <v>1</v>
      </c>
      <c r="M552" s="116">
        <v>177334</v>
      </c>
      <c r="N552" s="116">
        <f t="shared" si="34"/>
        <v>177334</v>
      </c>
      <c r="P552" s="108">
        <f t="shared" si="35"/>
        <v>98</v>
      </c>
    </row>
    <row r="553" spans="1:16" ht="15" hidden="1" customHeight="1" x14ac:dyDescent="0.2">
      <c r="A553" s="108" t="s">
        <v>18</v>
      </c>
      <c r="B553" s="117" t="s">
        <v>946</v>
      </c>
      <c r="C553" s="108">
        <f t="shared" si="32"/>
        <v>1668</v>
      </c>
      <c r="D553" s="38">
        <f t="shared" si="33"/>
        <v>1</v>
      </c>
      <c r="G553" s="113" t="s">
        <v>990</v>
      </c>
      <c r="H553" s="108" t="s">
        <v>1067</v>
      </c>
      <c r="I553" s="12">
        <v>64277</v>
      </c>
      <c r="J553" s="12">
        <v>331</v>
      </c>
      <c r="K553" s="108" t="s">
        <v>20</v>
      </c>
      <c r="L553" s="108">
        <v>1</v>
      </c>
      <c r="M553" s="116">
        <v>452778</v>
      </c>
      <c r="N553" s="116">
        <f t="shared" si="34"/>
        <v>452778</v>
      </c>
      <c r="P553" s="108">
        <f t="shared" si="35"/>
        <v>23</v>
      </c>
    </row>
    <row r="554" spans="1:16" ht="15" hidden="1" customHeight="1" x14ac:dyDescent="0.2">
      <c r="A554" s="108" t="s">
        <v>18</v>
      </c>
      <c r="B554" s="117" t="s">
        <v>946</v>
      </c>
      <c r="C554" s="108">
        <f t="shared" si="32"/>
        <v>1668</v>
      </c>
      <c r="D554" s="38">
        <f t="shared" si="33"/>
        <v>0</v>
      </c>
      <c r="G554" s="113" t="s">
        <v>990</v>
      </c>
      <c r="H554" s="108" t="s">
        <v>1067</v>
      </c>
      <c r="I554" s="12">
        <v>1331</v>
      </c>
      <c r="J554" s="12">
        <v>331</v>
      </c>
      <c r="K554" s="108" t="s">
        <v>20</v>
      </c>
      <c r="L554" s="108">
        <v>1</v>
      </c>
      <c r="M554" s="116">
        <v>36222</v>
      </c>
      <c r="N554" s="116">
        <f t="shared" si="34"/>
        <v>36222</v>
      </c>
      <c r="P554" s="108">
        <f t="shared" si="35"/>
        <v>23</v>
      </c>
    </row>
    <row r="555" spans="1:16" ht="15" hidden="1" customHeight="1" x14ac:dyDescent="0.2">
      <c r="A555" s="108" t="s">
        <v>18</v>
      </c>
      <c r="B555" s="117" t="s">
        <v>660</v>
      </c>
      <c r="C555" s="108">
        <f t="shared" si="32"/>
        <v>1669</v>
      </c>
      <c r="D555" s="38">
        <f t="shared" si="33"/>
        <v>1</v>
      </c>
      <c r="G555" s="113" t="s">
        <v>1073</v>
      </c>
      <c r="H555" s="108" t="s">
        <v>3683</v>
      </c>
      <c r="I555" s="12">
        <v>64277</v>
      </c>
      <c r="J555" s="12">
        <v>331</v>
      </c>
      <c r="K555" s="108" t="s">
        <v>20</v>
      </c>
      <c r="L555" s="108">
        <v>1</v>
      </c>
      <c r="M555" s="116">
        <v>1048950</v>
      </c>
      <c r="N555" s="116">
        <f t="shared" si="34"/>
        <v>1048950</v>
      </c>
      <c r="P555" s="108">
        <f t="shared" si="35"/>
        <v>41</v>
      </c>
    </row>
    <row r="556" spans="1:16" ht="15" hidden="1" customHeight="1" x14ac:dyDescent="0.2">
      <c r="A556" s="108" t="s">
        <v>18</v>
      </c>
      <c r="B556" s="117" t="s">
        <v>660</v>
      </c>
      <c r="C556" s="108">
        <f t="shared" si="32"/>
        <v>1669</v>
      </c>
      <c r="D556" s="38">
        <f t="shared" si="33"/>
        <v>0</v>
      </c>
      <c r="G556" s="113" t="s">
        <v>1073</v>
      </c>
      <c r="H556" s="108" t="s">
        <v>3683</v>
      </c>
      <c r="I556" s="12">
        <v>1331</v>
      </c>
      <c r="J556" s="12">
        <v>331</v>
      </c>
      <c r="K556" s="108" t="s">
        <v>20</v>
      </c>
      <c r="L556" s="108">
        <v>1</v>
      </c>
      <c r="M556" s="116">
        <v>88056</v>
      </c>
      <c r="N556" s="116">
        <f t="shared" si="34"/>
        <v>88056</v>
      </c>
      <c r="P556" s="108">
        <f t="shared" si="35"/>
        <v>41</v>
      </c>
    </row>
    <row r="557" spans="1:16" ht="15" hidden="1" customHeight="1" x14ac:dyDescent="0.2">
      <c r="A557" s="108" t="s">
        <v>18</v>
      </c>
      <c r="B557" s="117" t="s">
        <v>660</v>
      </c>
      <c r="C557" s="108">
        <f t="shared" si="32"/>
        <v>1670</v>
      </c>
      <c r="D557" s="38">
        <f t="shared" si="33"/>
        <v>1</v>
      </c>
      <c r="G557" s="113" t="s">
        <v>23</v>
      </c>
      <c r="H557" s="108" t="s">
        <v>1072</v>
      </c>
      <c r="I557" s="12">
        <v>64277</v>
      </c>
      <c r="J557" s="12">
        <v>331</v>
      </c>
      <c r="K557" s="108" t="s">
        <v>20</v>
      </c>
      <c r="L557" s="108">
        <v>1</v>
      </c>
      <c r="M557" s="116">
        <v>164815</v>
      </c>
      <c r="N557" s="116">
        <f t="shared" si="34"/>
        <v>164815</v>
      </c>
      <c r="P557" s="108">
        <f t="shared" si="35"/>
        <v>157</v>
      </c>
    </row>
    <row r="558" spans="1:16" ht="15" hidden="1" customHeight="1" x14ac:dyDescent="0.2">
      <c r="A558" s="108" t="s">
        <v>18</v>
      </c>
      <c r="B558" s="117" t="s">
        <v>660</v>
      </c>
      <c r="C558" s="108">
        <f t="shared" si="32"/>
        <v>1670</v>
      </c>
      <c r="D558" s="38">
        <f t="shared" si="33"/>
        <v>0</v>
      </c>
      <c r="G558" s="113" t="s">
        <v>23</v>
      </c>
      <c r="H558" s="108" t="s">
        <v>1072</v>
      </c>
      <c r="I558" s="12">
        <v>1331</v>
      </c>
      <c r="J558" s="12">
        <v>331</v>
      </c>
      <c r="K558" s="108" t="s">
        <v>20</v>
      </c>
      <c r="L558" s="108">
        <v>1</v>
      </c>
      <c r="M558" s="116">
        <v>13185</v>
      </c>
      <c r="N558" s="116">
        <f t="shared" si="34"/>
        <v>13185</v>
      </c>
      <c r="P558" s="108">
        <f t="shared" si="35"/>
        <v>157</v>
      </c>
    </row>
    <row r="559" spans="1:16" ht="15" hidden="1" customHeight="1" x14ac:dyDescent="0.2">
      <c r="A559" s="108" t="s">
        <v>18</v>
      </c>
      <c r="B559" s="117" t="s">
        <v>547</v>
      </c>
      <c r="C559" s="108">
        <f t="shared" si="32"/>
        <v>1671</v>
      </c>
      <c r="D559" s="38">
        <f t="shared" si="33"/>
        <v>1</v>
      </c>
      <c r="G559" s="113" t="s">
        <v>1074</v>
      </c>
      <c r="H559" s="108" t="s">
        <v>1075</v>
      </c>
      <c r="I559" s="12">
        <v>64277</v>
      </c>
      <c r="J559" s="12">
        <v>331</v>
      </c>
      <c r="K559" s="108" t="s">
        <v>20</v>
      </c>
      <c r="L559" s="108">
        <v>1</v>
      </c>
      <c r="M559" s="116">
        <v>150926</v>
      </c>
      <c r="N559" s="116">
        <f t="shared" si="34"/>
        <v>150926</v>
      </c>
      <c r="P559" s="108">
        <f t="shared" si="35"/>
        <v>54</v>
      </c>
    </row>
    <row r="560" spans="1:16" ht="15" hidden="1" customHeight="1" x14ac:dyDescent="0.2">
      <c r="A560" s="108" t="s">
        <v>18</v>
      </c>
      <c r="B560" s="117" t="s">
        <v>547</v>
      </c>
      <c r="C560" s="108">
        <f t="shared" si="32"/>
        <v>1671</v>
      </c>
      <c r="D560" s="38">
        <f t="shared" si="33"/>
        <v>0</v>
      </c>
      <c r="G560" s="113" t="s">
        <v>1074</v>
      </c>
      <c r="H560" s="108" t="s">
        <v>1075</v>
      </c>
      <c r="I560" s="12">
        <v>1331</v>
      </c>
      <c r="J560" s="12">
        <v>331</v>
      </c>
      <c r="K560" s="108" t="s">
        <v>20</v>
      </c>
      <c r="L560" s="108">
        <v>1</v>
      </c>
      <c r="M560" s="116">
        <v>12073</v>
      </c>
      <c r="N560" s="116">
        <f t="shared" si="34"/>
        <v>12073</v>
      </c>
      <c r="P560" s="108">
        <f t="shared" si="35"/>
        <v>54</v>
      </c>
    </row>
    <row r="561" spans="1:16" ht="15" hidden="1" customHeight="1" x14ac:dyDescent="0.2">
      <c r="A561" s="108" t="s">
        <v>18</v>
      </c>
      <c r="B561" s="117" t="s">
        <v>499</v>
      </c>
      <c r="C561" s="108">
        <f t="shared" si="32"/>
        <v>1672</v>
      </c>
      <c r="D561" s="38">
        <f t="shared" si="33"/>
        <v>1</v>
      </c>
      <c r="G561" s="113" t="s">
        <v>1079</v>
      </c>
      <c r="H561" s="108" t="s">
        <v>1080</v>
      </c>
      <c r="I561" s="12">
        <v>64277</v>
      </c>
      <c r="J561" s="12">
        <v>331</v>
      </c>
      <c r="K561" s="108" t="s">
        <v>20</v>
      </c>
      <c r="L561" s="108">
        <v>1</v>
      </c>
      <c r="M561" s="116">
        <v>934500</v>
      </c>
      <c r="N561" s="116">
        <f t="shared" si="34"/>
        <v>934500</v>
      </c>
      <c r="P561" s="108">
        <f t="shared" si="35"/>
        <v>151</v>
      </c>
    </row>
    <row r="562" spans="1:16" ht="15" hidden="1" customHeight="1" x14ac:dyDescent="0.2">
      <c r="A562" s="108" t="s">
        <v>18</v>
      </c>
      <c r="B562" s="117" t="s">
        <v>499</v>
      </c>
      <c r="C562" s="108">
        <f t="shared" si="32"/>
        <v>1672</v>
      </c>
      <c r="D562" s="38">
        <f t="shared" si="33"/>
        <v>0</v>
      </c>
      <c r="G562" s="113" t="s">
        <v>1079</v>
      </c>
      <c r="H562" s="108" t="s">
        <v>1080</v>
      </c>
      <c r="I562" s="12">
        <v>1331</v>
      </c>
      <c r="J562" s="12">
        <v>331</v>
      </c>
      <c r="K562" s="108" t="s">
        <v>20</v>
      </c>
      <c r="L562" s="108">
        <v>1</v>
      </c>
      <c r="M562" s="116">
        <v>74760</v>
      </c>
      <c r="N562" s="116">
        <f t="shared" si="34"/>
        <v>74760</v>
      </c>
      <c r="P562" s="108">
        <f t="shared" si="35"/>
        <v>151</v>
      </c>
    </row>
    <row r="563" spans="1:16" ht="15" hidden="1" customHeight="1" x14ac:dyDescent="0.2">
      <c r="A563" s="108" t="s">
        <v>18</v>
      </c>
      <c r="B563" s="117" t="s">
        <v>499</v>
      </c>
      <c r="C563" s="108">
        <f t="shared" si="32"/>
        <v>1673</v>
      </c>
      <c r="D563" s="38">
        <f t="shared" si="33"/>
        <v>1</v>
      </c>
      <c r="G563" s="113" t="s">
        <v>23</v>
      </c>
      <c r="H563" s="108" t="s">
        <v>1076</v>
      </c>
      <c r="I563" s="12">
        <v>64277</v>
      </c>
      <c r="J563" s="12">
        <v>331</v>
      </c>
      <c r="K563" s="108" t="s">
        <v>20</v>
      </c>
      <c r="L563" s="108">
        <v>1</v>
      </c>
      <c r="M563" s="116">
        <v>87037</v>
      </c>
      <c r="N563" s="116">
        <f t="shared" si="34"/>
        <v>87037</v>
      </c>
      <c r="P563" s="108">
        <f t="shared" si="35"/>
        <v>176</v>
      </c>
    </row>
    <row r="564" spans="1:16" ht="15" hidden="1" customHeight="1" x14ac:dyDescent="0.2">
      <c r="A564" s="108" t="s">
        <v>18</v>
      </c>
      <c r="B564" s="117" t="s">
        <v>499</v>
      </c>
      <c r="C564" s="108">
        <f t="shared" si="32"/>
        <v>1673</v>
      </c>
      <c r="D564" s="38">
        <f t="shared" si="33"/>
        <v>0</v>
      </c>
      <c r="G564" s="113" t="s">
        <v>23</v>
      </c>
      <c r="H564" s="108" t="s">
        <v>1076</v>
      </c>
      <c r="I564" s="12">
        <v>1331</v>
      </c>
      <c r="J564" s="12">
        <v>331</v>
      </c>
      <c r="K564" s="108" t="s">
        <v>20</v>
      </c>
      <c r="L564" s="108">
        <v>1</v>
      </c>
      <c r="M564" s="116">
        <v>6963</v>
      </c>
      <c r="N564" s="116">
        <f t="shared" si="34"/>
        <v>6963</v>
      </c>
      <c r="P564" s="108">
        <f t="shared" si="35"/>
        <v>176</v>
      </c>
    </row>
    <row r="565" spans="1:16" ht="15" hidden="1" customHeight="1" x14ac:dyDescent="0.2">
      <c r="A565" s="108" t="s">
        <v>18</v>
      </c>
      <c r="B565" s="117" t="s">
        <v>499</v>
      </c>
      <c r="C565" s="108">
        <f t="shared" si="32"/>
        <v>1674</v>
      </c>
      <c r="D565" s="38">
        <f t="shared" si="33"/>
        <v>1</v>
      </c>
      <c r="G565" s="113" t="s">
        <v>1077</v>
      </c>
      <c r="H565" s="108" t="s">
        <v>1078</v>
      </c>
      <c r="I565" s="12">
        <v>64277</v>
      </c>
      <c r="J565" s="12">
        <v>331</v>
      </c>
      <c r="K565" s="108" t="s">
        <v>20</v>
      </c>
      <c r="L565" s="108">
        <v>1</v>
      </c>
      <c r="M565" s="116">
        <v>509259</v>
      </c>
      <c r="N565" s="116">
        <f t="shared" si="34"/>
        <v>509259</v>
      </c>
      <c r="P565" s="108">
        <f t="shared" si="35"/>
        <v>23</v>
      </c>
    </row>
    <row r="566" spans="1:16" ht="15" hidden="1" customHeight="1" x14ac:dyDescent="0.2">
      <c r="A566" s="108" t="s">
        <v>18</v>
      </c>
      <c r="B566" s="117" t="s">
        <v>499</v>
      </c>
      <c r="C566" s="108">
        <f t="shared" si="32"/>
        <v>1674</v>
      </c>
      <c r="D566" s="38">
        <f t="shared" si="33"/>
        <v>0</v>
      </c>
      <c r="G566" s="113" t="s">
        <v>1077</v>
      </c>
      <c r="H566" s="108" t="s">
        <v>1078</v>
      </c>
      <c r="I566" s="12">
        <v>1331</v>
      </c>
      <c r="J566" s="12">
        <v>331</v>
      </c>
      <c r="K566" s="108" t="s">
        <v>20</v>
      </c>
      <c r="L566" s="108">
        <v>1</v>
      </c>
      <c r="M566" s="116">
        <v>40741</v>
      </c>
      <c r="N566" s="116">
        <f t="shared" si="34"/>
        <v>40741</v>
      </c>
      <c r="P566" s="108">
        <f t="shared" si="35"/>
        <v>23</v>
      </c>
    </row>
    <row r="567" spans="1:16" ht="15" hidden="1" customHeight="1" x14ac:dyDescent="0.2">
      <c r="A567" s="108" t="s">
        <v>18</v>
      </c>
      <c r="B567" s="117" t="s">
        <v>500</v>
      </c>
      <c r="C567" s="108">
        <f t="shared" si="32"/>
        <v>1675</v>
      </c>
      <c r="D567" s="38">
        <f t="shared" si="33"/>
        <v>1</v>
      </c>
      <c r="G567" s="113" t="s">
        <v>975</v>
      </c>
      <c r="H567" s="108" t="s">
        <v>3685</v>
      </c>
      <c r="I567" s="12">
        <v>64277</v>
      </c>
      <c r="J567" s="12">
        <v>331</v>
      </c>
      <c r="K567" s="108" t="s">
        <v>20</v>
      </c>
      <c r="L567" s="108">
        <v>1</v>
      </c>
      <c r="M567" s="116">
        <v>41859259</v>
      </c>
      <c r="N567" s="116">
        <f t="shared" si="34"/>
        <v>41859259</v>
      </c>
      <c r="P567" s="108">
        <f t="shared" si="35"/>
        <v>38</v>
      </c>
    </row>
    <row r="568" spans="1:16" ht="15" hidden="1" customHeight="1" x14ac:dyDescent="0.2">
      <c r="A568" s="108" t="s">
        <v>18</v>
      </c>
      <c r="B568" s="117" t="s">
        <v>500</v>
      </c>
      <c r="C568" s="108">
        <f t="shared" si="32"/>
        <v>1675</v>
      </c>
      <c r="D568" s="38">
        <f t="shared" si="33"/>
        <v>0</v>
      </c>
      <c r="G568" s="113" t="s">
        <v>975</v>
      </c>
      <c r="H568" s="108" t="s">
        <v>3685</v>
      </c>
      <c r="I568" s="12">
        <v>1331</v>
      </c>
      <c r="J568" s="12">
        <v>331</v>
      </c>
      <c r="K568" s="108" t="s">
        <v>20</v>
      </c>
      <c r="L568" s="108">
        <v>1</v>
      </c>
      <c r="M568" s="116">
        <v>3348741</v>
      </c>
      <c r="N568" s="116">
        <f t="shared" si="34"/>
        <v>3348741</v>
      </c>
      <c r="P568" s="108">
        <f t="shared" si="35"/>
        <v>38</v>
      </c>
    </row>
    <row r="569" spans="1:16" ht="15" hidden="1" customHeight="1" x14ac:dyDescent="0.2">
      <c r="A569" s="108" t="s">
        <v>18</v>
      </c>
      <c r="B569" s="117" t="s">
        <v>500</v>
      </c>
      <c r="C569" s="108">
        <f t="shared" si="32"/>
        <v>1676</v>
      </c>
      <c r="D569" s="38">
        <f t="shared" si="33"/>
        <v>1</v>
      </c>
      <c r="G569" s="113" t="s">
        <v>1083</v>
      </c>
      <c r="H569" s="108" t="s">
        <v>3689</v>
      </c>
      <c r="I569" s="12">
        <v>64277</v>
      </c>
      <c r="J569" s="12">
        <v>331</v>
      </c>
      <c r="K569" s="108" t="s">
        <v>20</v>
      </c>
      <c r="L569" s="108">
        <v>1</v>
      </c>
      <c r="M569" s="116">
        <v>1961000</v>
      </c>
      <c r="N569" s="116">
        <f t="shared" si="34"/>
        <v>1961000</v>
      </c>
      <c r="P569" s="108">
        <f t="shared" si="35"/>
        <v>41</v>
      </c>
    </row>
    <row r="570" spans="1:16" ht="15" hidden="1" customHeight="1" x14ac:dyDescent="0.2">
      <c r="A570" s="108" t="s">
        <v>18</v>
      </c>
      <c r="B570" s="117" t="s">
        <v>500</v>
      </c>
      <c r="C570" s="108">
        <f t="shared" si="32"/>
        <v>1676</v>
      </c>
      <c r="D570" s="38">
        <f t="shared" si="33"/>
        <v>0</v>
      </c>
      <c r="G570" s="113" t="s">
        <v>1083</v>
      </c>
      <c r="H570" s="108" t="s">
        <v>3689</v>
      </c>
      <c r="I570" s="12">
        <v>1331</v>
      </c>
      <c r="J570" s="12">
        <v>331</v>
      </c>
      <c r="K570" s="108" t="s">
        <v>20</v>
      </c>
      <c r="L570" s="108">
        <v>1</v>
      </c>
      <c r="M570" s="116">
        <v>156880</v>
      </c>
      <c r="N570" s="116">
        <f t="shared" si="34"/>
        <v>156880</v>
      </c>
      <c r="P570" s="108">
        <f t="shared" si="35"/>
        <v>41</v>
      </c>
    </row>
    <row r="571" spans="1:16" ht="15" hidden="1" customHeight="1" x14ac:dyDescent="0.2">
      <c r="A571" s="108" t="s">
        <v>18</v>
      </c>
      <c r="B571" s="117" t="s">
        <v>500</v>
      </c>
      <c r="C571" s="108">
        <f t="shared" si="32"/>
        <v>1677</v>
      </c>
      <c r="D571" s="38">
        <f t="shared" si="33"/>
        <v>1</v>
      </c>
      <c r="G571" s="113" t="s">
        <v>23</v>
      </c>
      <c r="H571" s="108" t="s">
        <v>3687</v>
      </c>
      <c r="I571" s="12">
        <v>64277</v>
      </c>
      <c r="J571" s="12">
        <v>331</v>
      </c>
      <c r="K571" s="108" t="s">
        <v>20</v>
      </c>
      <c r="L571" s="108">
        <v>1</v>
      </c>
      <c r="M571" s="116">
        <v>251852</v>
      </c>
      <c r="N571" s="116">
        <f t="shared" si="34"/>
        <v>251852</v>
      </c>
      <c r="P571" s="108">
        <f t="shared" si="35"/>
        <v>42</v>
      </c>
    </row>
    <row r="572" spans="1:16" ht="15" hidden="1" customHeight="1" x14ac:dyDescent="0.2">
      <c r="A572" s="108" t="s">
        <v>18</v>
      </c>
      <c r="B572" s="117" t="s">
        <v>500</v>
      </c>
      <c r="C572" s="108">
        <f t="shared" si="32"/>
        <v>1677</v>
      </c>
      <c r="D572" s="38">
        <f t="shared" si="33"/>
        <v>0</v>
      </c>
      <c r="G572" s="113" t="s">
        <v>23</v>
      </c>
      <c r="H572" s="108" t="s">
        <v>3687</v>
      </c>
      <c r="I572" s="12">
        <v>1331</v>
      </c>
      <c r="J572" s="12">
        <v>331</v>
      </c>
      <c r="K572" s="108" t="s">
        <v>20</v>
      </c>
      <c r="L572" s="108">
        <v>1</v>
      </c>
      <c r="M572" s="116">
        <v>20148</v>
      </c>
      <c r="N572" s="116">
        <f t="shared" si="34"/>
        <v>20148</v>
      </c>
      <c r="P572" s="108">
        <f t="shared" si="35"/>
        <v>42</v>
      </c>
    </row>
    <row r="573" spans="1:16" ht="15" hidden="1" customHeight="1" x14ac:dyDescent="0.2">
      <c r="A573" s="108" t="s">
        <v>18</v>
      </c>
      <c r="B573" s="117" t="s">
        <v>500</v>
      </c>
      <c r="C573" s="108">
        <f t="shared" si="32"/>
        <v>1678</v>
      </c>
      <c r="D573" s="38">
        <f t="shared" si="33"/>
        <v>1</v>
      </c>
      <c r="G573" s="113" t="s">
        <v>27</v>
      </c>
      <c r="H573" s="108" t="s">
        <v>1081</v>
      </c>
      <c r="I573" s="12">
        <v>64277</v>
      </c>
      <c r="J573" s="12">
        <v>331</v>
      </c>
      <c r="K573" s="108" t="s">
        <v>20</v>
      </c>
      <c r="L573" s="108">
        <v>1</v>
      </c>
      <c r="M573" s="116">
        <v>107500</v>
      </c>
      <c r="N573" s="116">
        <f t="shared" si="34"/>
        <v>107500</v>
      </c>
      <c r="P573" s="108">
        <f t="shared" si="35"/>
        <v>48</v>
      </c>
    </row>
    <row r="574" spans="1:16" ht="15" hidden="1" customHeight="1" x14ac:dyDescent="0.2">
      <c r="A574" s="108" t="s">
        <v>18</v>
      </c>
      <c r="B574" s="117" t="s">
        <v>500</v>
      </c>
      <c r="C574" s="108">
        <f t="shared" si="32"/>
        <v>1678</v>
      </c>
      <c r="D574" s="38">
        <f t="shared" si="33"/>
        <v>0</v>
      </c>
      <c r="G574" s="113" t="s">
        <v>27</v>
      </c>
      <c r="H574" s="108" t="s">
        <v>1081</v>
      </c>
      <c r="I574" s="12">
        <v>1331</v>
      </c>
      <c r="J574" s="12">
        <v>331</v>
      </c>
      <c r="K574" s="108" t="s">
        <v>20</v>
      </c>
      <c r="L574" s="108">
        <v>1</v>
      </c>
      <c r="M574" s="116">
        <v>8600</v>
      </c>
      <c r="N574" s="116">
        <f t="shared" si="34"/>
        <v>8600</v>
      </c>
      <c r="P574" s="108">
        <f t="shared" si="35"/>
        <v>48</v>
      </c>
    </row>
    <row r="575" spans="1:16" ht="15" hidden="1" customHeight="1" x14ac:dyDescent="0.2">
      <c r="A575" s="108" t="s">
        <v>18</v>
      </c>
      <c r="B575" s="117" t="s">
        <v>500</v>
      </c>
      <c r="C575" s="108">
        <f t="shared" si="32"/>
        <v>1679</v>
      </c>
      <c r="D575" s="38">
        <f t="shared" si="33"/>
        <v>1</v>
      </c>
      <c r="G575" s="113" t="s">
        <v>27</v>
      </c>
      <c r="H575" s="108" t="s">
        <v>1082</v>
      </c>
      <c r="I575" s="12">
        <v>64277</v>
      </c>
      <c r="J575" s="12">
        <v>331</v>
      </c>
      <c r="K575" s="108" t="s">
        <v>20</v>
      </c>
      <c r="L575" s="108">
        <v>1</v>
      </c>
      <c r="M575" s="116">
        <v>107500</v>
      </c>
      <c r="N575" s="116">
        <f t="shared" si="34"/>
        <v>107500</v>
      </c>
      <c r="P575" s="108">
        <f t="shared" si="35"/>
        <v>48</v>
      </c>
    </row>
    <row r="576" spans="1:16" ht="15" hidden="1" customHeight="1" x14ac:dyDescent="0.2">
      <c r="A576" s="108" t="s">
        <v>18</v>
      </c>
      <c r="B576" s="117" t="s">
        <v>500</v>
      </c>
      <c r="C576" s="108">
        <f t="shared" si="32"/>
        <v>1679</v>
      </c>
      <c r="D576" s="38">
        <f t="shared" si="33"/>
        <v>0</v>
      </c>
      <c r="G576" s="113" t="s">
        <v>27</v>
      </c>
      <c r="H576" s="108" t="s">
        <v>1082</v>
      </c>
      <c r="I576" s="12">
        <v>1331</v>
      </c>
      <c r="J576" s="12">
        <v>331</v>
      </c>
      <c r="K576" s="108" t="s">
        <v>20</v>
      </c>
      <c r="L576" s="108">
        <v>1</v>
      </c>
      <c r="M576" s="116">
        <v>8600</v>
      </c>
      <c r="N576" s="116">
        <f t="shared" si="34"/>
        <v>8600</v>
      </c>
      <c r="P576" s="108">
        <f t="shared" si="35"/>
        <v>48</v>
      </c>
    </row>
    <row r="577" spans="1:16" ht="15" hidden="1" customHeight="1" x14ac:dyDescent="0.2">
      <c r="A577" s="108" t="s">
        <v>18</v>
      </c>
      <c r="B577" s="117" t="s">
        <v>501</v>
      </c>
      <c r="C577" s="108">
        <f t="shared" si="32"/>
        <v>1680</v>
      </c>
      <c r="D577" s="38">
        <f t="shared" si="33"/>
        <v>1</v>
      </c>
      <c r="G577" s="113" t="s">
        <v>23</v>
      </c>
      <c r="H577" s="108" t="s">
        <v>1085</v>
      </c>
      <c r="I577" s="12">
        <v>64277</v>
      </c>
      <c r="J577" s="12">
        <v>331</v>
      </c>
      <c r="K577" s="108" t="s">
        <v>20</v>
      </c>
      <c r="L577" s="108">
        <v>1</v>
      </c>
      <c r="M577" s="116">
        <v>87037</v>
      </c>
      <c r="N577" s="116">
        <f t="shared" si="34"/>
        <v>87037</v>
      </c>
      <c r="P577" s="108">
        <f t="shared" si="35"/>
        <v>122</v>
      </c>
    </row>
    <row r="578" spans="1:16" ht="15" hidden="1" customHeight="1" x14ac:dyDescent="0.2">
      <c r="A578" s="108" t="s">
        <v>18</v>
      </c>
      <c r="B578" s="117" t="s">
        <v>501</v>
      </c>
      <c r="C578" s="108">
        <f t="shared" si="32"/>
        <v>1680</v>
      </c>
      <c r="D578" s="38">
        <f t="shared" si="33"/>
        <v>0</v>
      </c>
      <c r="G578" s="113" t="s">
        <v>23</v>
      </c>
      <c r="H578" s="108" t="s">
        <v>1085</v>
      </c>
      <c r="I578" s="12">
        <v>1331</v>
      </c>
      <c r="J578" s="12">
        <v>331</v>
      </c>
      <c r="K578" s="108" t="s">
        <v>20</v>
      </c>
      <c r="L578" s="108">
        <v>1</v>
      </c>
      <c r="M578" s="116">
        <v>6963</v>
      </c>
      <c r="N578" s="116">
        <f t="shared" si="34"/>
        <v>6963</v>
      </c>
      <c r="P578" s="108">
        <f t="shared" si="35"/>
        <v>122</v>
      </c>
    </row>
    <row r="579" spans="1:16" ht="15" hidden="1" customHeight="1" x14ac:dyDescent="0.2">
      <c r="A579" s="108" t="s">
        <v>18</v>
      </c>
      <c r="B579" s="117" t="s">
        <v>501</v>
      </c>
      <c r="C579" s="108">
        <f t="shared" si="32"/>
        <v>1681</v>
      </c>
      <c r="D579" s="38">
        <f t="shared" si="33"/>
        <v>1</v>
      </c>
      <c r="G579" s="113" t="s">
        <v>62</v>
      </c>
      <c r="H579" s="108" t="s">
        <v>1084</v>
      </c>
      <c r="I579" s="12">
        <v>64277</v>
      </c>
      <c r="J579" s="12">
        <v>331</v>
      </c>
      <c r="K579" s="108" t="s">
        <v>20</v>
      </c>
      <c r="L579" s="108">
        <v>1</v>
      </c>
      <c r="M579" s="116">
        <v>2222222</v>
      </c>
      <c r="N579" s="116">
        <f t="shared" si="34"/>
        <v>2222222</v>
      </c>
      <c r="P579" s="108">
        <f t="shared" si="35"/>
        <v>22</v>
      </c>
    </row>
    <row r="580" spans="1:16" ht="15" hidden="1" customHeight="1" x14ac:dyDescent="0.2">
      <c r="A580" s="108" t="s">
        <v>18</v>
      </c>
      <c r="B580" s="117" t="s">
        <v>501</v>
      </c>
      <c r="C580" s="108">
        <f t="shared" ref="C580:C643" si="36">C579+D580</f>
        <v>1681</v>
      </c>
      <c r="D580" s="38">
        <f t="shared" ref="D580:D643" si="37">IF(H580=H579,0,1)</f>
        <v>0</v>
      </c>
      <c r="G580" s="113" t="s">
        <v>62</v>
      </c>
      <c r="H580" s="108" t="s">
        <v>1084</v>
      </c>
      <c r="I580" s="12">
        <v>1331</v>
      </c>
      <c r="J580" s="12">
        <v>331</v>
      </c>
      <c r="K580" s="108" t="s">
        <v>20</v>
      </c>
      <c r="L580" s="108">
        <v>1</v>
      </c>
      <c r="M580" s="116">
        <v>177778</v>
      </c>
      <c r="N580" s="116">
        <f t="shared" ref="N580:N643" si="38">M580*L580</f>
        <v>177778</v>
      </c>
      <c r="P580" s="108">
        <f t="shared" ref="P580:P643" si="39">LEN(H580)</f>
        <v>22</v>
      </c>
    </row>
    <row r="581" spans="1:16" ht="15" hidden="1" customHeight="1" x14ac:dyDescent="0.2">
      <c r="A581" s="108" t="s">
        <v>18</v>
      </c>
      <c r="B581" s="117">
        <v>46081</v>
      </c>
      <c r="C581" s="108">
        <f t="shared" si="36"/>
        <v>1682</v>
      </c>
      <c r="D581" s="38">
        <f t="shared" si="37"/>
        <v>1</v>
      </c>
      <c r="E581" s="113"/>
      <c r="G581" s="113" t="s">
        <v>312</v>
      </c>
      <c r="H581" s="108" t="s">
        <v>456</v>
      </c>
      <c r="I581" s="108">
        <v>64271</v>
      </c>
      <c r="J581" s="108">
        <v>3383</v>
      </c>
      <c r="K581" s="108" t="s">
        <v>20</v>
      </c>
      <c r="L581" s="108">
        <v>1</v>
      </c>
      <c r="M581" s="116">
        <v>690300</v>
      </c>
      <c r="N581" s="116">
        <f t="shared" si="38"/>
        <v>690300</v>
      </c>
      <c r="P581" s="108">
        <f t="shared" si="39"/>
        <v>30</v>
      </c>
    </row>
    <row r="582" spans="1:16" ht="15" hidden="1" customHeight="1" x14ac:dyDescent="0.2">
      <c r="A582" s="108" t="s">
        <v>18</v>
      </c>
      <c r="B582" s="117" t="s">
        <v>828</v>
      </c>
      <c r="C582" s="108">
        <f t="shared" si="36"/>
        <v>1683</v>
      </c>
      <c r="D582" s="38">
        <f t="shared" si="37"/>
        <v>1</v>
      </c>
      <c r="G582" s="113" t="s">
        <v>1073</v>
      </c>
      <c r="H582" s="108" t="s">
        <v>3691</v>
      </c>
      <c r="I582" s="12">
        <v>64277</v>
      </c>
      <c r="J582" s="12">
        <v>331</v>
      </c>
      <c r="K582" s="108" t="s">
        <v>20</v>
      </c>
      <c r="L582" s="108">
        <v>1</v>
      </c>
      <c r="M582" s="116">
        <v>1618800</v>
      </c>
      <c r="N582" s="116">
        <f t="shared" si="38"/>
        <v>1618800</v>
      </c>
      <c r="P582" s="108">
        <f t="shared" si="39"/>
        <v>41</v>
      </c>
    </row>
    <row r="583" spans="1:16" ht="15" hidden="1" customHeight="1" x14ac:dyDescent="0.2">
      <c r="A583" s="108" t="s">
        <v>18</v>
      </c>
      <c r="B583" s="117" t="s">
        <v>828</v>
      </c>
      <c r="C583" s="108">
        <f t="shared" si="36"/>
        <v>1683</v>
      </c>
      <c r="D583" s="38">
        <f t="shared" si="37"/>
        <v>0</v>
      </c>
      <c r="G583" s="113" t="s">
        <v>1073</v>
      </c>
      <c r="H583" s="108" t="s">
        <v>3691</v>
      </c>
      <c r="I583" s="12">
        <v>1331</v>
      </c>
      <c r="J583" s="12">
        <v>331</v>
      </c>
      <c r="K583" s="108" t="s">
        <v>20</v>
      </c>
      <c r="L583" s="108">
        <v>1</v>
      </c>
      <c r="M583" s="116">
        <v>130044</v>
      </c>
      <c r="N583" s="116">
        <f t="shared" si="38"/>
        <v>130044</v>
      </c>
      <c r="P583" s="108">
        <f t="shared" si="39"/>
        <v>41</v>
      </c>
    </row>
    <row r="584" spans="1:16" ht="15" hidden="1" customHeight="1" x14ac:dyDescent="0.2">
      <c r="A584" s="108" t="s">
        <v>18</v>
      </c>
      <c r="B584" s="117" t="s">
        <v>828</v>
      </c>
      <c r="C584" s="108">
        <f t="shared" si="36"/>
        <v>1684</v>
      </c>
      <c r="D584" s="38">
        <f t="shared" si="37"/>
        <v>1</v>
      </c>
      <c r="G584" s="113" t="s">
        <v>19</v>
      </c>
      <c r="H584" s="108" t="s">
        <v>1087</v>
      </c>
      <c r="I584" s="12">
        <v>64277</v>
      </c>
      <c r="J584" s="12">
        <v>331</v>
      </c>
      <c r="K584" s="108" t="s">
        <v>20</v>
      </c>
      <c r="L584" s="108">
        <v>1</v>
      </c>
      <c r="M584" s="116">
        <v>37000</v>
      </c>
      <c r="N584" s="116">
        <f t="shared" si="38"/>
        <v>37000</v>
      </c>
      <c r="P584" s="108">
        <f t="shared" si="39"/>
        <v>126</v>
      </c>
    </row>
    <row r="585" spans="1:16" ht="15" hidden="1" customHeight="1" x14ac:dyDescent="0.2">
      <c r="A585" s="108" t="s">
        <v>18</v>
      </c>
      <c r="B585" s="117" t="s">
        <v>828</v>
      </c>
      <c r="C585" s="108">
        <f t="shared" si="36"/>
        <v>1684</v>
      </c>
      <c r="D585" s="38">
        <f t="shared" si="37"/>
        <v>0</v>
      </c>
      <c r="G585" s="113" t="s">
        <v>19</v>
      </c>
      <c r="H585" s="108" t="s">
        <v>1087</v>
      </c>
      <c r="I585" s="12">
        <v>1331</v>
      </c>
      <c r="J585" s="12">
        <v>331</v>
      </c>
      <c r="K585" s="108" t="s">
        <v>20</v>
      </c>
      <c r="L585" s="108">
        <v>1</v>
      </c>
      <c r="M585" s="116">
        <v>2741</v>
      </c>
      <c r="N585" s="116">
        <f t="shared" si="38"/>
        <v>2741</v>
      </c>
      <c r="P585" s="108">
        <f t="shared" si="39"/>
        <v>126</v>
      </c>
    </row>
    <row r="586" spans="1:16" ht="15" hidden="1" customHeight="1" x14ac:dyDescent="0.2">
      <c r="A586" s="108" t="s">
        <v>18</v>
      </c>
      <c r="B586" s="117" t="s">
        <v>828</v>
      </c>
      <c r="C586" s="108">
        <f t="shared" si="36"/>
        <v>1685</v>
      </c>
      <c r="D586" s="38">
        <f t="shared" si="37"/>
        <v>1</v>
      </c>
      <c r="G586" s="113" t="s">
        <v>19</v>
      </c>
      <c r="H586" s="108" t="s">
        <v>1086</v>
      </c>
      <c r="I586" s="12">
        <v>64277</v>
      </c>
      <c r="J586" s="12">
        <v>331</v>
      </c>
      <c r="K586" s="108" t="s">
        <v>20</v>
      </c>
      <c r="L586" s="108">
        <v>1</v>
      </c>
      <c r="M586" s="116">
        <v>172000</v>
      </c>
      <c r="N586" s="116">
        <f t="shared" si="38"/>
        <v>172000</v>
      </c>
      <c r="P586" s="108">
        <f t="shared" si="39"/>
        <v>126</v>
      </c>
    </row>
    <row r="587" spans="1:16" ht="15" hidden="1" customHeight="1" x14ac:dyDescent="0.2">
      <c r="A587" s="108" t="s">
        <v>18</v>
      </c>
      <c r="B587" s="117" t="s">
        <v>828</v>
      </c>
      <c r="C587" s="108">
        <f t="shared" si="36"/>
        <v>1685</v>
      </c>
      <c r="D587" s="38">
        <f t="shared" si="37"/>
        <v>0</v>
      </c>
      <c r="G587" s="113" t="s">
        <v>19</v>
      </c>
      <c r="H587" s="108" t="s">
        <v>1086</v>
      </c>
      <c r="I587" s="12">
        <v>1331</v>
      </c>
      <c r="J587" s="12">
        <v>331</v>
      </c>
      <c r="K587" s="108" t="s">
        <v>20</v>
      </c>
      <c r="L587" s="108">
        <v>1</v>
      </c>
      <c r="M587" s="116">
        <v>12741</v>
      </c>
      <c r="N587" s="116">
        <f t="shared" si="38"/>
        <v>12741</v>
      </c>
      <c r="P587" s="108">
        <f t="shared" si="39"/>
        <v>126</v>
      </c>
    </row>
    <row r="588" spans="1:16" ht="15" hidden="1" customHeight="1" x14ac:dyDescent="0.2">
      <c r="A588" s="108" t="s">
        <v>18</v>
      </c>
      <c r="B588" s="117" t="s">
        <v>828</v>
      </c>
      <c r="C588" s="108">
        <f t="shared" si="36"/>
        <v>1686</v>
      </c>
      <c r="D588" s="38">
        <f t="shared" si="37"/>
        <v>1</v>
      </c>
      <c r="G588" s="113" t="s">
        <v>263</v>
      </c>
      <c r="H588" s="108" t="s">
        <v>1088</v>
      </c>
      <c r="I588" s="12">
        <v>64277</v>
      </c>
      <c r="J588" s="12">
        <v>331</v>
      </c>
      <c r="K588" s="108" t="s">
        <v>20</v>
      </c>
      <c r="L588" s="108">
        <v>1</v>
      </c>
      <c r="M588" s="116">
        <v>1489815</v>
      </c>
      <c r="N588" s="116">
        <f t="shared" si="38"/>
        <v>1489815</v>
      </c>
      <c r="P588" s="108">
        <f t="shared" si="39"/>
        <v>195</v>
      </c>
    </row>
    <row r="589" spans="1:16" ht="15" hidden="1" customHeight="1" x14ac:dyDescent="0.2">
      <c r="A589" s="108" t="s">
        <v>18</v>
      </c>
      <c r="B589" s="117" t="s">
        <v>828</v>
      </c>
      <c r="C589" s="108">
        <f t="shared" si="36"/>
        <v>1686</v>
      </c>
      <c r="D589" s="38">
        <f t="shared" si="37"/>
        <v>0</v>
      </c>
      <c r="G589" s="113" t="s">
        <v>263</v>
      </c>
      <c r="H589" s="108" t="s">
        <v>1088</v>
      </c>
      <c r="I589" s="12">
        <v>1331</v>
      </c>
      <c r="J589" s="12">
        <v>331</v>
      </c>
      <c r="K589" s="108" t="s">
        <v>20</v>
      </c>
      <c r="L589" s="108">
        <v>1</v>
      </c>
      <c r="M589" s="116">
        <v>119185</v>
      </c>
      <c r="N589" s="116">
        <f t="shared" si="38"/>
        <v>119185</v>
      </c>
      <c r="P589" s="108">
        <f t="shared" si="39"/>
        <v>195</v>
      </c>
    </row>
    <row r="590" spans="1:16" ht="15" hidden="1" customHeight="1" x14ac:dyDescent="0.2">
      <c r="A590" s="108" t="s">
        <v>18</v>
      </c>
      <c r="B590" s="117" t="s">
        <v>548</v>
      </c>
      <c r="C590" s="108">
        <f t="shared" si="36"/>
        <v>1687</v>
      </c>
      <c r="D590" s="38">
        <f t="shared" si="37"/>
        <v>1</v>
      </c>
      <c r="G590" s="113" t="s">
        <v>1091</v>
      </c>
      <c r="H590" s="108" t="s">
        <v>1092</v>
      </c>
      <c r="I590" s="12">
        <v>64277</v>
      </c>
      <c r="J590" s="12">
        <v>331</v>
      </c>
      <c r="K590" s="108" t="s">
        <v>20</v>
      </c>
      <c r="L590" s="108">
        <v>1</v>
      </c>
      <c r="M590" s="116">
        <v>147000</v>
      </c>
      <c r="N590" s="116">
        <f t="shared" si="38"/>
        <v>147000</v>
      </c>
      <c r="P590" s="108">
        <f t="shared" si="39"/>
        <v>124</v>
      </c>
    </row>
    <row r="591" spans="1:16" ht="15" hidden="1" customHeight="1" x14ac:dyDescent="0.2">
      <c r="A591" s="108" t="s">
        <v>18</v>
      </c>
      <c r="B591" s="117" t="s">
        <v>548</v>
      </c>
      <c r="C591" s="108">
        <f t="shared" si="36"/>
        <v>1687</v>
      </c>
      <c r="D591" s="38">
        <f t="shared" si="37"/>
        <v>0</v>
      </c>
      <c r="G591" s="113" t="s">
        <v>1091</v>
      </c>
      <c r="H591" s="108" t="s">
        <v>1092</v>
      </c>
      <c r="I591" s="12">
        <v>1331</v>
      </c>
      <c r="J591" s="12">
        <v>331</v>
      </c>
      <c r="K591" s="108" t="s">
        <v>20</v>
      </c>
      <c r="L591" s="108">
        <v>1</v>
      </c>
      <c r="M591" s="116">
        <v>10889</v>
      </c>
      <c r="N591" s="116">
        <f t="shared" si="38"/>
        <v>10889</v>
      </c>
      <c r="P591" s="108">
        <f t="shared" si="39"/>
        <v>124</v>
      </c>
    </row>
    <row r="592" spans="1:16" ht="15" hidden="1" customHeight="1" x14ac:dyDescent="0.2">
      <c r="A592" s="108" t="s">
        <v>18</v>
      </c>
      <c r="B592" s="117" t="s">
        <v>548</v>
      </c>
      <c r="C592" s="108">
        <f t="shared" si="36"/>
        <v>1688</v>
      </c>
      <c r="D592" s="38">
        <f t="shared" si="37"/>
        <v>1</v>
      </c>
      <c r="G592" s="113" t="s">
        <v>19</v>
      </c>
      <c r="H592" s="108" t="s">
        <v>1090</v>
      </c>
      <c r="I592" s="12">
        <v>64277</v>
      </c>
      <c r="J592" s="12">
        <v>331</v>
      </c>
      <c r="K592" s="108" t="s">
        <v>20</v>
      </c>
      <c r="L592" s="108">
        <v>1</v>
      </c>
      <c r="M592" s="116">
        <v>65000</v>
      </c>
      <c r="N592" s="116">
        <f t="shared" si="38"/>
        <v>65000</v>
      </c>
      <c r="P592" s="108">
        <f t="shared" si="39"/>
        <v>126</v>
      </c>
    </row>
    <row r="593" spans="1:16" ht="15" hidden="1" customHeight="1" x14ac:dyDescent="0.2">
      <c r="A593" s="108" t="s">
        <v>18</v>
      </c>
      <c r="B593" s="117" t="s">
        <v>548</v>
      </c>
      <c r="C593" s="108">
        <f t="shared" si="36"/>
        <v>1688</v>
      </c>
      <c r="D593" s="38">
        <f t="shared" si="37"/>
        <v>0</v>
      </c>
      <c r="G593" s="113" t="s">
        <v>19</v>
      </c>
      <c r="H593" s="108" t="s">
        <v>1090</v>
      </c>
      <c r="I593" s="12">
        <v>1331</v>
      </c>
      <c r="J593" s="12">
        <v>331</v>
      </c>
      <c r="K593" s="108" t="s">
        <v>20</v>
      </c>
      <c r="L593" s="108">
        <v>1</v>
      </c>
      <c r="M593" s="116">
        <v>4815</v>
      </c>
      <c r="N593" s="116">
        <f t="shared" si="38"/>
        <v>4815</v>
      </c>
      <c r="P593" s="108">
        <f t="shared" si="39"/>
        <v>126</v>
      </c>
    </row>
    <row r="594" spans="1:16" ht="15" hidden="1" customHeight="1" x14ac:dyDescent="0.2">
      <c r="A594" s="108" t="s">
        <v>18</v>
      </c>
      <c r="B594" s="117" t="s">
        <v>548</v>
      </c>
      <c r="C594" s="108">
        <f t="shared" si="36"/>
        <v>1689</v>
      </c>
      <c r="D594" s="38">
        <f t="shared" si="37"/>
        <v>1</v>
      </c>
      <c r="G594" s="113" t="s">
        <v>19</v>
      </c>
      <c r="H594" s="108" t="s">
        <v>1089</v>
      </c>
      <c r="I594" s="12">
        <v>64277</v>
      </c>
      <c r="J594" s="12">
        <v>331</v>
      </c>
      <c r="K594" s="108" t="s">
        <v>20</v>
      </c>
      <c r="L594" s="108">
        <v>1</v>
      </c>
      <c r="M594" s="116">
        <v>146000</v>
      </c>
      <c r="N594" s="116">
        <f t="shared" si="38"/>
        <v>146000</v>
      </c>
      <c r="P594" s="108">
        <f t="shared" si="39"/>
        <v>126</v>
      </c>
    </row>
    <row r="595" spans="1:16" ht="15" hidden="1" customHeight="1" x14ac:dyDescent="0.2">
      <c r="A595" s="108" t="s">
        <v>18</v>
      </c>
      <c r="B595" s="117" t="s">
        <v>548</v>
      </c>
      <c r="C595" s="108">
        <f t="shared" si="36"/>
        <v>1689</v>
      </c>
      <c r="D595" s="38">
        <f t="shared" si="37"/>
        <v>0</v>
      </c>
      <c r="G595" s="113" t="s">
        <v>19</v>
      </c>
      <c r="H595" s="108" t="s">
        <v>1089</v>
      </c>
      <c r="I595" s="12">
        <v>1331</v>
      </c>
      <c r="J595" s="12">
        <v>331</v>
      </c>
      <c r="K595" s="108" t="s">
        <v>20</v>
      </c>
      <c r="L595" s="108">
        <v>1</v>
      </c>
      <c r="M595" s="116">
        <v>10815</v>
      </c>
      <c r="N595" s="116">
        <f t="shared" si="38"/>
        <v>10815</v>
      </c>
      <c r="P595" s="108">
        <f t="shared" si="39"/>
        <v>126</v>
      </c>
    </row>
    <row r="596" spans="1:16" ht="15" hidden="1" customHeight="1" x14ac:dyDescent="0.2">
      <c r="A596" s="108" t="s">
        <v>18</v>
      </c>
      <c r="B596" s="117" t="s">
        <v>441</v>
      </c>
      <c r="C596" s="108">
        <f t="shared" si="36"/>
        <v>1690</v>
      </c>
      <c r="D596" s="38">
        <f t="shared" si="37"/>
        <v>1</v>
      </c>
      <c r="G596" s="113" t="s">
        <v>24</v>
      </c>
      <c r="H596" s="108" t="s">
        <v>1095</v>
      </c>
      <c r="I596" s="12">
        <v>64277</v>
      </c>
      <c r="J596" s="12">
        <v>331</v>
      </c>
      <c r="K596" s="108" t="s">
        <v>20</v>
      </c>
      <c r="L596" s="108">
        <v>1</v>
      </c>
      <c r="M596" s="116">
        <v>112000</v>
      </c>
      <c r="N596" s="116">
        <f t="shared" si="38"/>
        <v>112000</v>
      </c>
      <c r="P596" s="108">
        <f t="shared" si="39"/>
        <v>169</v>
      </c>
    </row>
    <row r="597" spans="1:16" ht="15" hidden="1" customHeight="1" x14ac:dyDescent="0.2">
      <c r="A597" s="108" t="s">
        <v>18</v>
      </c>
      <c r="B597" s="117" t="s">
        <v>441</v>
      </c>
      <c r="C597" s="108">
        <f t="shared" si="36"/>
        <v>1690</v>
      </c>
      <c r="D597" s="38">
        <f t="shared" si="37"/>
        <v>0</v>
      </c>
      <c r="G597" s="113" t="s">
        <v>24</v>
      </c>
      <c r="H597" s="108" t="s">
        <v>1095</v>
      </c>
      <c r="I597" s="12">
        <v>1331</v>
      </c>
      <c r="J597" s="12">
        <v>331</v>
      </c>
      <c r="K597" s="108" t="s">
        <v>20</v>
      </c>
      <c r="L597" s="108">
        <v>1</v>
      </c>
      <c r="M597" s="116">
        <v>7714</v>
      </c>
      <c r="N597" s="116">
        <f t="shared" si="38"/>
        <v>7714</v>
      </c>
      <c r="P597" s="108">
        <f t="shared" si="39"/>
        <v>169</v>
      </c>
    </row>
    <row r="598" spans="1:16" ht="15" hidden="1" customHeight="1" x14ac:dyDescent="0.2">
      <c r="A598" s="108" t="s">
        <v>18</v>
      </c>
      <c r="B598" s="117" t="s">
        <v>441</v>
      </c>
      <c r="C598" s="108">
        <f t="shared" si="36"/>
        <v>1691</v>
      </c>
      <c r="D598" s="38">
        <f t="shared" si="37"/>
        <v>1</v>
      </c>
      <c r="G598" s="113" t="s">
        <v>19</v>
      </c>
      <c r="H598" s="108" t="s">
        <v>1096</v>
      </c>
      <c r="I598" s="12">
        <v>64277</v>
      </c>
      <c r="J598" s="12">
        <v>331</v>
      </c>
      <c r="K598" s="108" t="s">
        <v>20</v>
      </c>
      <c r="L598" s="108">
        <v>1</v>
      </c>
      <c r="M598" s="116">
        <v>67000</v>
      </c>
      <c r="N598" s="116">
        <f t="shared" si="38"/>
        <v>67000</v>
      </c>
      <c r="P598" s="108">
        <f t="shared" si="39"/>
        <v>126</v>
      </c>
    </row>
    <row r="599" spans="1:16" ht="15" hidden="1" customHeight="1" x14ac:dyDescent="0.2">
      <c r="A599" s="108" t="s">
        <v>18</v>
      </c>
      <c r="B599" s="117" t="s">
        <v>441</v>
      </c>
      <c r="C599" s="108">
        <f t="shared" si="36"/>
        <v>1691</v>
      </c>
      <c r="D599" s="38">
        <f t="shared" si="37"/>
        <v>0</v>
      </c>
      <c r="G599" s="113" t="s">
        <v>19</v>
      </c>
      <c r="H599" s="108" t="s">
        <v>1096</v>
      </c>
      <c r="I599" s="12">
        <v>1331</v>
      </c>
      <c r="J599" s="12">
        <v>331</v>
      </c>
      <c r="K599" s="108" t="s">
        <v>20</v>
      </c>
      <c r="L599" s="108">
        <v>1</v>
      </c>
      <c r="M599" s="116">
        <v>4963</v>
      </c>
      <c r="N599" s="116">
        <f t="shared" si="38"/>
        <v>4963</v>
      </c>
      <c r="P599" s="108">
        <f t="shared" si="39"/>
        <v>126</v>
      </c>
    </row>
    <row r="600" spans="1:16" ht="15" hidden="1" customHeight="1" x14ac:dyDescent="0.2">
      <c r="A600" s="108" t="s">
        <v>18</v>
      </c>
      <c r="B600" s="117" t="s">
        <v>441</v>
      </c>
      <c r="C600" s="108">
        <f t="shared" si="36"/>
        <v>1692</v>
      </c>
      <c r="D600" s="38">
        <f t="shared" si="37"/>
        <v>1</v>
      </c>
      <c r="G600" s="113" t="s">
        <v>23</v>
      </c>
      <c r="H600" s="108" t="s">
        <v>1098</v>
      </c>
      <c r="I600" s="12">
        <v>64277</v>
      </c>
      <c r="J600" s="12">
        <v>331</v>
      </c>
      <c r="K600" s="108" t="s">
        <v>20</v>
      </c>
      <c r="L600" s="108">
        <v>1</v>
      </c>
      <c r="M600" s="116">
        <v>160185</v>
      </c>
      <c r="N600" s="116">
        <f t="shared" si="38"/>
        <v>160185</v>
      </c>
      <c r="P600" s="108">
        <f t="shared" si="39"/>
        <v>160</v>
      </c>
    </row>
    <row r="601" spans="1:16" ht="15" hidden="1" customHeight="1" x14ac:dyDescent="0.2">
      <c r="A601" s="108" t="s">
        <v>18</v>
      </c>
      <c r="B601" s="117" t="s">
        <v>441</v>
      </c>
      <c r="C601" s="108">
        <f t="shared" si="36"/>
        <v>1692</v>
      </c>
      <c r="D601" s="38">
        <f t="shared" si="37"/>
        <v>0</v>
      </c>
      <c r="G601" s="113" t="s">
        <v>23</v>
      </c>
      <c r="H601" s="108" t="s">
        <v>1098</v>
      </c>
      <c r="I601" s="12">
        <v>1331</v>
      </c>
      <c r="J601" s="12">
        <v>331</v>
      </c>
      <c r="K601" s="108" t="s">
        <v>20</v>
      </c>
      <c r="L601" s="108">
        <v>1</v>
      </c>
      <c r="M601" s="116">
        <v>12815</v>
      </c>
      <c r="N601" s="116">
        <f t="shared" si="38"/>
        <v>12815</v>
      </c>
      <c r="P601" s="108">
        <f t="shared" si="39"/>
        <v>160</v>
      </c>
    </row>
    <row r="602" spans="1:16" ht="15" hidden="1" customHeight="1" x14ac:dyDescent="0.2">
      <c r="A602" s="108" t="s">
        <v>18</v>
      </c>
      <c r="B602" s="117" t="s">
        <v>441</v>
      </c>
      <c r="C602" s="108">
        <f t="shared" si="36"/>
        <v>1693</v>
      </c>
      <c r="D602" s="38">
        <f t="shared" si="37"/>
        <v>1</v>
      </c>
      <c r="G602" s="113" t="s">
        <v>44</v>
      </c>
      <c r="H602" s="108" t="s">
        <v>1093</v>
      </c>
      <c r="I602" s="12">
        <v>64277</v>
      </c>
      <c r="J602" s="12">
        <v>331</v>
      </c>
      <c r="K602" s="108" t="s">
        <v>20</v>
      </c>
      <c r="L602" s="108">
        <v>1</v>
      </c>
      <c r="M602" s="116">
        <v>338568</v>
      </c>
      <c r="N602" s="116">
        <f t="shared" si="38"/>
        <v>338568</v>
      </c>
      <c r="P602" s="108">
        <f t="shared" si="39"/>
        <v>99</v>
      </c>
    </row>
    <row r="603" spans="1:16" ht="15" hidden="1" customHeight="1" x14ac:dyDescent="0.2">
      <c r="A603" s="108" t="s">
        <v>18</v>
      </c>
      <c r="B603" s="117" t="s">
        <v>441</v>
      </c>
      <c r="C603" s="108">
        <f t="shared" si="36"/>
        <v>1693</v>
      </c>
      <c r="D603" s="38">
        <f t="shared" si="37"/>
        <v>0</v>
      </c>
      <c r="G603" s="113" t="s">
        <v>44</v>
      </c>
      <c r="H603" s="108" t="s">
        <v>1093</v>
      </c>
      <c r="I603" s="12">
        <v>1331</v>
      </c>
      <c r="J603" s="12">
        <v>331</v>
      </c>
      <c r="K603" s="108" t="s">
        <v>20</v>
      </c>
      <c r="L603" s="108">
        <v>1</v>
      </c>
      <c r="M603" s="116">
        <v>27085</v>
      </c>
      <c r="N603" s="116">
        <f t="shared" si="38"/>
        <v>27085</v>
      </c>
      <c r="P603" s="108">
        <f t="shared" si="39"/>
        <v>99</v>
      </c>
    </row>
    <row r="604" spans="1:16" ht="15" hidden="1" customHeight="1" x14ac:dyDescent="0.2">
      <c r="A604" s="108" t="s">
        <v>18</v>
      </c>
      <c r="B604" s="117" t="s">
        <v>441</v>
      </c>
      <c r="C604" s="108">
        <f t="shared" si="36"/>
        <v>1694</v>
      </c>
      <c r="D604" s="38">
        <f t="shared" si="37"/>
        <v>1</v>
      </c>
      <c r="G604" s="113" t="s">
        <v>1007</v>
      </c>
      <c r="H604" s="108" t="s">
        <v>1094</v>
      </c>
      <c r="I604" s="12">
        <v>64277</v>
      </c>
      <c r="J604" s="12">
        <v>331</v>
      </c>
      <c r="K604" s="108" t="s">
        <v>20</v>
      </c>
      <c r="L604" s="108">
        <v>1</v>
      </c>
      <c r="M604" s="116">
        <v>499074</v>
      </c>
      <c r="N604" s="116">
        <f t="shared" si="38"/>
        <v>499074</v>
      </c>
      <c r="P604" s="108">
        <f t="shared" si="39"/>
        <v>38</v>
      </c>
    </row>
    <row r="605" spans="1:16" ht="15" hidden="1" customHeight="1" x14ac:dyDescent="0.2">
      <c r="A605" s="108" t="s">
        <v>18</v>
      </c>
      <c r="B605" s="117" t="s">
        <v>441</v>
      </c>
      <c r="C605" s="108">
        <f t="shared" si="36"/>
        <v>1694</v>
      </c>
      <c r="D605" s="38">
        <f t="shared" si="37"/>
        <v>0</v>
      </c>
      <c r="G605" s="113" t="s">
        <v>1007</v>
      </c>
      <c r="H605" s="108" t="s">
        <v>1094</v>
      </c>
      <c r="I605" s="12">
        <v>1331</v>
      </c>
      <c r="J605" s="12">
        <v>331</v>
      </c>
      <c r="K605" s="108" t="s">
        <v>20</v>
      </c>
      <c r="L605" s="108">
        <v>1</v>
      </c>
      <c r="M605" s="116">
        <v>39926</v>
      </c>
      <c r="N605" s="116">
        <f t="shared" si="38"/>
        <v>39926</v>
      </c>
      <c r="P605" s="108">
        <f t="shared" si="39"/>
        <v>38</v>
      </c>
    </row>
    <row r="606" spans="1:16" ht="15" hidden="1" customHeight="1" x14ac:dyDescent="0.2">
      <c r="A606" s="108" t="s">
        <v>18</v>
      </c>
      <c r="B606" s="117" t="s">
        <v>441</v>
      </c>
      <c r="C606" s="108">
        <f t="shared" si="36"/>
        <v>1695</v>
      </c>
      <c r="D606" s="38">
        <f t="shared" si="37"/>
        <v>1</v>
      </c>
      <c r="G606" s="113" t="s">
        <v>975</v>
      </c>
      <c r="H606" s="108" t="s">
        <v>1097</v>
      </c>
      <c r="I606" s="12">
        <v>64277</v>
      </c>
      <c r="J606" s="12">
        <v>331</v>
      </c>
      <c r="K606" s="108" t="s">
        <v>20</v>
      </c>
      <c r="L606" s="108">
        <v>1</v>
      </c>
      <c r="M606" s="116">
        <v>22632407</v>
      </c>
      <c r="N606" s="116">
        <f t="shared" si="38"/>
        <v>22632407</v>
      </c>
      <c r="P606" s="108">
        <f t="shared" si="39"/>
        <v>88</v>
      </c>
    </row>
    <row r="607" spans="1:16" ht="15" hidden="1" customHeight="1" x14ac:dyDescent="0.2">
      <c r="A607" s="108" t="s">
        <v>18</v>
      </c>
      <c r="B607" s="117" t="s">
        <v>441</v>
      </c>
      <c r="C607" s="108">
        <f t="shared" si="36"/>
        <v>1695</v>
      </c>
      <c r="D607" s="38">
        <f t="shared" si="37"/>
        <v>0</v>
      </c>
      <c r="G607" s="113" t="s">
        <v>975</v>
      </c>
      <c r="H607" s="108" t="s">
        <v>1097</v>
      </c>
      <c r="I607" s="12">
        <v>1331</v>
      </c>
      <c r="J607" s="12">
        <v>331</v>
      </c>
      <c r="K607" s="108" t="s">
        <v>20</v>
      </c>
      <c r="L607" s="108">
        <v>1</v>
      </c>
      <c r="M607" s="116">
        <v>1810593</v>
      </c>
      <c r="N607" s="116">
        <f t="shared" si="38"/>
        <v>1810593</v>
      </c>
      <c r="P607" s="108">
        <f t="shared" si="39"/>
        <v>88</v>
      </c>
    </row>
    <row r="608" spans="1:16" ht="15" hidden="1" customHeight="1" x14ac:dyDescent="0.2">
      <c r="A608" s="108" t="s">
        <v>18</v>
      </c>
      <c r="B608" s="117" t="s">
        <v>502</v>
      </c>
      <c r="C608" s="108">
        <f t="shared" si="36"/>
        <v>1696</v>
      </c>
      <c r="D608" s="38">
        <f t="shared" si="37"/>
        <v>1</v>
      </c>
      <c r="G608" s="113" t="s">
        <v>24</v>
      </c>
      <c r="H608" s="108" t="s">
        <v>1099</v>
      </c>
      <c r="I608" s="12">
        <v>64277</v>
      </c>
      <c r="J608" s="12">
        <v>331</v>
      </c>
      <c r="K608" s="108" t="s">
        <v>20</v>
      </c>
      <c r="L608" s="108">
        <v>1</v>
      </c>
      <c r="M608" s="116">
        <v>112000</v>
      </c>
      <c r="N608" s="116">
        <f t="shared" si="38"/>
        <v>112000</v>
      </c>
      <c r="P608" s="108">
        <f t="shared" si="39"/>
        <v>169</v>
      </c>
    </row>
    <row r="609" spans="1:16" ht="15" hidden="1" customHeight="1" x14ac:dyDescent="0.2">
      <c r="A609" s="108" t="s">
        <v>18</v>
      </c>
      <c r="B609" s="117" t="s">
        <v>502</v>
      </c>
      <c r="C609" s="108">
        <f t="shared" si="36"/>
        <v>1696</v>
      </c>
      <c r="D609" s="38">
        <f t="shared" si="37"/>
        <v>0</v>
      </c>
      <c r="G609" s="113" t="s">
        <v>24</v>
      </c>
      <c r="H609" s="108" t="s">
        <v>1099</v>
      </c>
      <c r="I609" s="12">
        <v>1331</v>
      </c>
      <c r="J609" s="12">
        <v>331</v>
      </c>
      <c r="K609" s="108" t="s">
        <v>20</v>
      </c>
      <c r="L609" s="108">
        <v>1</v>
      </c>
      <c r="M609" s="116">
        <v>7714</v>
      </c>
      <c r="N609" s="116">
        <f t="shared" si="38"/>
        <v>7714</v>
      </c>
      <c r="P609" s="108">
        <f t="shared" si="39"/>
        <v>169</v>
      </c>
    </row>
    <row r="610" spans="1:16" ht="15" hidden="1" customHeight="1" x14ac:dyDescent="0.2">
      <c r="A610" s="108" t="s">
        <v>18</v>
      </c>
      <c r="B610" s="117" t="s">
        <v>502</v>
      </c>
      <c r="C610" s="108">
        <f t="shared" si="36"/>
        <v>1697</v>
      </c>
      <c r="D610" s="38">
        <f t="shared" si="37"/>
        <v>1</v>
      </c>
      <c r="G610" s="113" t="s">
        <v>19</v>
      </c>
      <c r="H610" s="108" t="s">
        <v>1100</v>
      </c>
      <c r="I610" s="12">
        <v>64277</v>
      </c>
      <c r="J610" s="12">
        <v>331</v>
      </c>
      <c r="K610" s="108" t="s">
        <v>20</v>
      </c>
      <c r="L610" s="108">
        <v>1</v>
      </c>
      <c r="M610" s="116">
        <v>21000</v>
      </c>
      <c r="N610" s="116">
        <f t="shared" si="38"/>
        <v>21000</v>
      </c>
      <c r="P610" s="108">
        <f t="shared" si="39"/>
        <v>169</v>
      </c>
    </row>
    <row r="611" spans="1:16" ht="15" hidden="1" customHeight="1" x14ac:dyDescent="0.2">
      <c r="A611" s="108" t="s">
        <v>18</v>
      </c>
      <c r="B611" s="117" t="s">
        <v>502</v>
      </c>
      <c r="C611" s="108">
        <f t="shared" si="36"/>
        <v>1697</v>
      </c>
      <c r="D611" s="38">
        <f t="shared" si="37"/>
        <v>0</v>
      </c>
      <c r="G611" s="113" t="s">
        <v>19</v>
      </c>
      <c r="H611" s="108" t="s">
        <v>1100</v>
      </c>
      <c r="I611" s="12">
        <v>1331</v>
      </c>
      <c r="J611" s="12">
        <v>331</v>
      </c>
      <c r="K611" s="108" t="s">
        <v>20</v>
      </c>
      <c r="L611" s="108">
        <v>1</v>
      </c>
      <c r="M611" s="116">
        <v>1442</v>
      </c>
      <c r="N611" s="116">
        <f t="shared" si="38"/>
        <v>1442</v>
      </c>
      <c r="P611" s="108">
        <f t="shared" si="39"/>
        <v>169</v>
      </c>
    </row>
    <row r="612" spans="1:16" ht="15" hidden="1" customHeight="1" x14ac:dyDescent="0.2">
      <c r="A612" s="108" t="s">
        <v>18</v>
      </c>
      <c r="B612" s="117" t="s">
        <v>502</v>
      </c>
      <c r="C612" s="108">
        <f t="shared" si="36"/>
        <v>1698</v>
      </c>
      <c r="D612" s="38">
        <f t="shared" si="37"/>
        <v>1</v>
      </c>
      <c r="G612" s="113" t="s">
        <v>22</v>
      </c>
      <c r="H612" s="108" t="s">
        <v>1102</v>
      </c>
      <c r="I612" s="12">
        <v>64277</v>
      </c>
      <c r="J612" s="12">
        <v>331</v>
      </c>
      <c r="K612" s="108" t="s">
        <v>20</v>
      </c>
      <c r="L612" s="108">
        <v>1</v>
      </c>
      <c r="M612" s="116">
        <v>366778</v>
      </c>
      <c r="N612" s="116">
        <f t="shared" si="38"/>
        <v>366778</v>
      </c>
      <c r="P612" s="108">
        <f t="shared" si="39"/>
        <v>169</v>
      </c>
    </row>
    <row r="613" spans="1:16" ht="15" hidden="1" customHeight="1" x14ac:dyDescent="0.2">
      <c r="A613" s="108" t="s">
        <v>18</v>
      </c>
      <c r="B613" s="117" t="s">
        <v>502</v>
      </c>
      <c r="C613" s="108">
        <f t="shared" si="36"/>
        <v>1698</v>
      </c>
      <c r="D613" s="38">
        <f t="shared" si="37"/>
        <v>0</v>
      </c>
      <c r="G613" s="113" t="s">
        <v>22</v>
      </c>
      <c r="H613" s="108" t="s">
        <v>1102</v>
      </c>
      <c r="I613" s="12">
        <v>1331</v>
      </c>
      <c r="J613" s="12">
        <v>331</v>
      </c>
      <c r="K613" s="108" t="s">
        <v>20</v>
      </c>
      <c r="L613" s="108">
        <v>1</v>
      </c>
      <c r="M613" s="116">
        <v>29342</v>
      </c>
      <c r="N613" s="116">
        <f t="shared" si="38"/>
        <v>29342</v>
      </c>
      <c r="P613" s="108">
        <f t="shared" si="39"/>
        <v>169</v>
      </c>
    </row>
    <row r="614" spans="1:16" ht="15" hidden="1" customHeight="1" x14ac:dyDescent="0.2">
      <c r="A614" s="108" t="s">
        <v>18</v>
      </c>
      <c r="B614" s="117" t="s">
        <v>502</v>
      </c>
      <c r="C614" s="108">
        <f t="shared" si="36"/>
        <v>1699</v>
      </c>
      <c r="D614" s="38">
        <f t="shared" si="37"/>
        <v>1</v>
      </c>
      <c r="G614" s="113" t="s">
        <v>23</v>
      </c>
      <c r="H614" s="108" t="s">
        <v>1101</v>
      </c>
      <c r="I614" s="12">
        <v>64277</v>
      </c>
      <c r="J614" s="12">
        <v>331</v>
      </c>
      <c r="K614" s="108" t="s">
        <v>20</v>
      </c>
      <c r="L614" s="108">
        <v>1</v>
      </c>
      <c r="M614" s="116">
        <v>161111</v>
      </c>
      <c r="N614" s="116">
        <f t="shared" si="38"/>
        <v>161111</v>
      </c>
      <c r="P614" s="108">
        <f t="shared" si="39"/>
        <v>127</v>
      </c>
    </row>
    <row r="615" spans="1:16" ht="15" hidden="1" customHeight="1" x14ac:dyDescent="0.2">
      <c r="A615" s="108" t="s">
        <v>18</v>
      </c>
      <c r="B615" s="117" t="s">
        <v>502</v>
      </c>
      <c r="C615" s="108">
        <f t="shared" si="36"/>
        <v>1699</v>
      </c>
      <c r="D615" s="38">
        <f t="shared" si="37"/>
        <v>0</v>
      </c>
      <c r="G615" s="113" t="s">
        <v>23</v>
      </c>
      <c r="H615" s="108" t="s">
        <v>1101</v>
      </c>
      <c r="I615" s="12">
        <v>1331</v>
      </c>
      <c r="J615" s="12">
        <v>331</v>
      </c>
      <c r="K615" s="108" t="s">
        <v>20</v>
      </c>
      <c r="L615" s="108">
        <v>1</v>
      </c>
      <c r="M615" s="116">
        <v>12889</v>
      </c>
      <c r="N615" s="116">
        <f t="shared" si="38"/>
        <v>12889</v>
      </c>
      <c r="P615" s="108">
        <f t="shared" si="39"/>
        <v>127</v>
      </c>
    </row>
    <row r="616" spans="1:16" ht="15" hidden="1" customHeight="1" x14ac:dyDescent="0.2">
      <c r="A616" s="108" t="s">
        <v>18</v>
      </c>
      <c r="B616" s="117" t="s">
        <v>502</v>
      </c>
      <c r="C616" s="108">
        <f t="shared" si="36"/>
        <v>1700</v>
      </c>
      <c r="D616" s="38">
        <f t="shared" si="37"/>
        <v>1</v>
      </c>
      <c r="G616" s="113" t="s">
        <v>260</v>
      </c>
      <c r="H616" s="108" t="s">
        <v>1103</v>
      </c>
      <c r="I616" s="12">
        <v>64277</v>
      </c>
      <c r="J616" s="12">
        <v>331</v>
      </c>
      <c r="K616" s="108" t="s">
        <v>20</v>
      </c>
      <c r="L616" s="108">
        <v>1</v>
      </c>
      <c r="M616" s="116">
        <v>175000</v>
      </c>
      <c r="N616" s="116">
        <f t="shared" si="38"/>
        <v>175000</v>
      </c>
      <c r="P616" s="108">
        <f t="shared" si="39"/>
        <v>49</v>
      </c>
    </row>
    <row r="617" spans="1:16" ht="15" hidden="1" customHeight="1" x14ac:dyDescent="0.2">
      <c r="A617" s="108" t="s">
        <v>18</v>
      </c>
      <c r="B617" s="117" t="s">
        <v>502</v>
      </c>
      <c r="C617" s="108">
        <f t="shared" si="36"/>
        <v>1700</v>
      </c>
      <c r="D617" s="38">
        <f t="shared" si="37"/>
        <v>0</v>
      </c>
      <c r="G617" s="113" t="s">
        <v>260</v>
      </c>
      <c r="H617" s="108" t="s">
        <v>1103</v>
      </c>
      <c r="I617" s="12">
        <v>1331</v>
      </c>
      <c r="J617" s="12">
        <v>331</v>
      </c>
      <c r="K617" s="108" t="s">
        <v>20</v>
      </c>
      <c r="L617" s="108">
        <v>1</v>
      </c>
      <c r="M617" s="116">
        <v>14000</v>
      </c>
      <c r="N617" s="116">
        <f t="shared" si="38"/>
        <v>14000</v>
      </c>
      <c r="P617" s="108">
        <f t="shared" si="39"/>
        <v>49</v>
      </c>
    </row>
    <row r="618" spans="1:16" ht="15" hidden="1" customHeight="1" x14ac:dyDescent="0.2">
      <c r="A618" s="108" t="s">
        <v>18</v>
      </c>
      <c r="B618" s="117" t="s">
        <v>478</v>
      </c>
      <c r="C618" s="108">
        <f t="shared" si="36"/>
        <v>1701</v>
      </c>
      <c r="D618" s="38">
        <f t="shared" si="37"/>
        <v>1</v>
      </c>
      <c r="G618" s="113" t="s">
        <v>19</v>
      </c>
      <c r="H618" s="108" t="s">
        <v>1104</v>
      </c>
      <c r="I618" s="12">
        <v>64277</v>
      </c>
      <c r="J618" s="12">
        <v>331</v>
      </c>
      <c r="K618" s="108" t="s">
        <v>20</v>
      </c>
      <c r="L618" s="108">
        <v>1</v>
      </c>
      <c r="M618" s="116">
        <v>218000</v>
      </c>
      <c r="N618" s="116">
        <f t="shared" si="38"/>
        <v>218000</v>
      </c>
      <c r="P618" s="108">
        <f t="shared" si="39"/>
        <v>126</v>
      </c>
    </row>
    <row r="619" spans="1:16" ht="15" hidden="1" customHeight="1" x14ac:dyDescent="0.2">
      <c r="A619" s="108" t="s">
        <v>18</v>
      </c>
      <c r="B619" s="117" t="s">
        <v>478</v>
      </c>
      <c r="C619" s="108">
        <f t="shared" si="36"/>
        <v>1701</v>
      </c>
      <c r="D619" s="38">
        <f t="shared" si="37"/>
        <v>0</v>
      </c>
      <c r="G619" s="113" t="s">
        <v>19</v>
      </c>
      <c r="H619" s="108" t="s">
        <v>1104</v>
      </c>
      <c r="I619" s="12">
        <v>1331</v>
      </c>
      <c r="J619" s="12">
        <v>331</v>
      </c>
      <c r="K619" s="108" t="s">
        <v>20</v>
      </c>
      <c r="L619" s="108">
        <v>1</v>
      </c>
      <c r="M619" s="116">
        <v>16148</v>
      </c>
      <c r="N619" s="116">
        <f t="shared" si="38"/>
        <v>16148</v>
      </c>
      <c r="P619" s="108">
        <f t="shared" si="39"/>
        <v>126</v>
      </c>
    </row>
    <row r="620" spans="1:16" ht="15" hidden="1" customHeight="1" x14ac:dyDescent="0.2">
      <c r="A620" s="108" t="s">
        <v>18</v>
      </c>
      <c r="B620" s="117" t="s">
        <v>478</v>
      </c>
      <c r="C620" s="108">
        <f t="shared" si="36"/>
        <v>1702</v>
      </c>
      <c r="D620" s="38">
        <f t="shared" si="37"/>
        <v>1</v>
      </c>
      <c r="G620" s="113" t="s">
        <v>1105</v>
      </c>
      <c r="H620" s="108" t="s">
        <v>1106</v>
      </c>
      <c r="I620" s="12">
        <v>64277</v>
      </c>
      <c r="J620" s="12">
        <v>331</v>
      </c>
      <c r="K620" s="108" t="s">
        <v>20</v>
      </c>
      <c r="L620" s="108">
        <v>1</v>
      </c>
      <c r="M620" s="116">
        <v>148149</v>
      </c>
      <c r="N620" s="116">
        <f t="shared" si="38"/>
        <v>148149</v>
      </c>
      <c r="P620" s="108">
        <f t="shared" si="39"/>
        <v>68</v>
      </c>
    </row>
    <row r="621" spans="1:16" ht="15" hidden="1" customHeight="1" x14ac:dyDescent="0.2">
      <c r="A621" s="108" t="s">
        <v>18</v>
      </c>
      <c r="B621" s="117" t="s">
        <v>478</v>
      </c>
      <c r="C621" s="108">
        <f t="shared" si="36"/>
        <v>1702</v>
      </c>
      <c r="D621" s="38">
        <f t="shared" si="37"/>
        <v>0</v>
      </c>
      <c r="G621" s="113" t="s">
        <v>1105</v>
      </c>
      <c r="H621" s="108" t="s">
        <v>1106</v>
      </c>
      <c r="I621" s="12">
        <v>1331</v>
      </c>
      <c r="J621" s="12">
        <v>331</v>
      </c>
      <c r="K621" s="108" t="s">
        <v>20</v>
      </c>
      <c r="L621" s="108">
        <v>1</v>
      </c>
      <c r="M621" s="116">
        <v>11851</v>
      </c>
      <c r="N621" s="116">
        <f t="shared" si="38"/>
        <v>11851</v>
      </c>
      <c r="P621" s="108">
        <f t="shared" si="39"/>
        <v>68</v>
      </c>
    </row>
    <row r="622" spans="1:16" ht="15" hidden="1" customHeight="1" x14ac:dyDescent="0.2">
      <c r="A622" s="108" t="s">
        <v>18</v>
      </c>
      <c r="B622" s="117" t="s">
        <v>503</v>
      </c>
      <c r="C622" s="108">
        <f t="shared" si="36"/>
        <v>1703</v>
      </c>
      <c r="D622" s="38">
        <f t="shared" si="37"/>
        <v>1</v>
      </c>
      <c r="G622" s="113" t="s">
        <v>293</v>
      </c>
      <c r="H622" s="108" t="s">
        <v>3693</v>
      </c>
      <c r="I622" s="12">
        <v>64277</v>
      </c>
      <c r="J622" s="12">
        <v>331</v>
      </c>
      <c r="K622" s="108" t="s">
        <v>20</v>
      </c>
      <c r="L622" s="108">
        <v>1</v>
      </c>
      <c r="M622" s="116">
        <v>863000</v>
      </c>
      <c r="N622" s="116">
        <f t="shared" si="38"/>
        <v>863000</v>
      </c>
      <c r="P622" s="108">
        <f t="shared" si="39"/>
        <v>42</v>
      </c>
    </row>
    <row r="623" spans="1:16" ht="15" hidden="1" customHeight="1" x14ac:dyDescent="0.2">
      <c r="A623" s="108" t="s">
        <v>18</v>
      </c>
      <c r="B623" s="117" t="s">
        <v>503</v>
      </c>
      <c r="C623" s="108">
        <f t="shared" si="36"/>
        <v>1703</v>
      </c>
      <c r="D623" s="38">
        <f t="shared" si="37"/>
        <v>0</v>
      </c>
      <c r="G623" s="113" t="s">
        <v>293</v>
      </c>
      <c r="H623" s="108" t="s">
        <v>3693</v>
      </c>
      <c r="I623" s="12">
        <v>1331</v>
      </c>
      <c r="J623" s="12">
        <v>331</v>
      </c>
      <c r="K623" s="108" t="s">
        <v>20</v>
      </c>
      <c r="L623" s="108">
        <v>1</v>
      </c>
      <c r="M623" s="116">
        <v>69040</v>
      </c>
      <c r="N623" s="116">
        <f t="shared" si="38"/>
        <v>69040</v>
      </c>
      <c r="P623" s="108">
        <f t="shared" si="39"/>
        <v>42</v>
      </c>
    </row>
    <row r="624" spans="1:16" ht="15" hidden="1" customHeight="1" x14ac:dyDescent="0.2">
      <c r="A624" s="108" t="s">
        <v>18</v>
      </c>
      <c r="B624" s="117" t="s">
        <v>503</v>
      </c>
      <c r="C624" s="108">
        <f t="shared" si="36"/>
        <v>1704</v>
      </c>
      <c r="D624" s="38">
        <f t="shared" si="37"/>
        <v>1</v>
      </c>
      <c r="G624" s="113" t="s">
        <v>24</v>
      </c>
      <c r="H624" s="108" t="s">
        <v>1107</v>
      </c>
      <c r="I624" s="12">
        <v>64277</v>
      </c>
      <c r="J624" s="12">
        <v>331</v>
      </c>
      <c r="K624" s="108" t="s">
        <v>20</v>
      </c>
      <c r="L624" s="108">
        <v>1</v>
      </c>
      <c r="M624" s="116">
        <v>111000</v>
      </c>
      <c r="N624" s="116">
        <f t="shared" si="38"/>
        <v>111000</v>
      </c>
      <c r="P624" s="108">
        <f t="shared" si="39"/>
        <v>169</v>
      </c>
    </row>
    <row r="625" spans="1:16" ht="15" hidden="1" customHeight="1" x14ac:dyDescent="0.2">
      <c r="A625" s="108" t="s">
        <v>18</v>
      </c>
      <c r="B625" s="117" t="s">
        <v>503</v>
      </c>
      <c r="C625" s="108">
        <f t="shared" si="36"/>
        <v>1704</v>
      </c>
      <c r="D625" s="38">
        <f t="shared" si="37"/>
        <v>0</v>
      </c>
      <c r="G625" s="113" t="s">
        <v>24</v>
      </c>
      <c r="H625" s="108" t="s">
        <v>1107</v>
      </c>
      <c r="I625" s="12">
        <v>1331</v>
      </c>
      <c r="J625" s="12">
        <v>331</v>
      </c>
      <c r="K625" s="108" t="s">
        <v>20</v>
      </c>
      <c r="L625" s="108">
        <v>1</v>
      </c>
      <c r="M625" s="116">
        <v>7645</v>
      </c>
      <c r="N625" s="116">
        <f t="shared" si="38"/>
        <v>7645</v>
      </c>
      <c r="P625" s="108">
        <f t="shared" si="39"/>
        <v>169</v>
      </c>
    </row>
    <row r="626" spans="1:16" ht="15" hidden="1" customHeight="1" x14ac:dyDescent="0.2">
      <c r="A626" s="108" t="s">
        <v>18</v>
      </c>
      <c r="B626" s="117" t="s">
        <v>503</v>
      </c>
      <c r="C626" s="108">
        <f t="shared" si="36"/>
        <v>1705</v>
      </c>
      <c r="D626" s="38">
        <f t="shared" si="37"/>
        <v>1</v>
      </c>
      <c r="G626" s="113" t="s">
        <v>19</v>
      </c>
      <c r="H626" s="108" t="s">
        <v>1109</v>
      </c>
      <c r="I626" s="12">
        <v>64277</v>
      </c>
      <c r="J626" s="12">
        <v>331</v>
      </c>
      <c r="K626" s="108" t="s">
        <v>20</v>
      </c>
      <c r="L626" s="108">
        <v>1</v>
      </c>
      <c r="M626" s="116">
        <v>105000</v>
      </c>
      <c r="N626" s="116">
        <f t="shared" si="38"/>
        <v>105000</v>
      </c>
      <c r="P626" s="108">
        <f t="shared" si="39"/>
        <v>126</v>
      </c>
    </row>
    <row r="627" spans="1:16" ht="15" hidden="1" customHeight="1" x14ac:dyDescent="0.2">
      <c r="A627" s="108" t="s">
        <v>18</v>
      </c>
      <c r="B627" s="117" t="s">
        <v>503</v>
      </c>
      <c r="C627" s="108">
        <f t="shared" si="36"/>
        <v>1705</v>
      </c>
      <c r="D627" s="38">
        <f t="shared" si="37"/>
        <v>0</v>
      </c>
      <c r="G627" s="113" t="s">
        <v>19</v>
      </c>
      <c r="H627" s="108" t="s">
        <v>1109</v>
      </c>
      <c r="I627" s="12">
        <v>1331</v>
      </c>
      <c r="J627" s="12">
        <v>331</v>
      </c>
      <c r="K627" s="108" t="s">
        <v>20</v>
      </c>
      <c r="L627" s="108">
        <v>1</v>
      </c>
      <c r="M627" s="116">
        <v>7778</v>
      </c>
      <c r="N627" s="116">
        <f t="shared" si="38"/>
        <v>7778</v>
      </c>
      <c r="P627" s="108">
        <f t="shared" si="39"/>
        <v>126</v>
      </c>
    </row>
    <row r="628" spans="1:16" ht="15" hidden="1" customHeight="1" x14ac:dyDescent="0.2">
      <c r="A628" s="108" t="s">
        <v>18</v>
      </c>
      <c r="B628" s="117" t="s">
        <v>503</v>
      </c>
      <c r="C628" s="108">
        <f t="shared" si="36"/>
        <v>1706</v>
      </c>
      <c r="D628" s="38">
        <f t="shared" si="37"/>
        <v>1</v>
      </c>
      <c r="G628" s="113" t="s">
        <v>19</v>
      </c>
      <c r="H628" s="108" t="s">
        <v>1108</v>
      </c>
      <c r="I628" s="12">
        <v>64277</v>
      </c>
      <c r="J628" s="12">
        <v>331</v>
      </c>
      <c r="K628" s="108" t="s">
        <v>20</v>
      </c>
      <c r="L628" s="108">
        <v>1</v>
      </c>
      <c r="M628" s="116">
        <v>138000</v>
      </c>
      <c r="N628" s="116">
        <f t="shared" si="38"/>
        <v>138000</v>
      </c>
      <c r="P628" s="108">
        <f t="shared" si="39"/>
        <v>126</v>
      </c>
    </row>
    <row r="629" spans="1:16" ht="15" hidden="1" customHeight="1" x14ac:dyDescent="0.2">
      <c r="A629" s="108" t="s">
        <v>18</v>
      </c>
      <c r="B629" s="117" t="s">
        <v>503</v>
      </c>
      <c r="C629" s="108">
        <f t="shared" si="36"/>
        <v>1706</v>
      </c>
      <c r="D629" s="38">
        <f t="shared" si="37"/>
        <v>0</v>
      </c>
      <c r="G629" s="113" t="s">
        <v>19</v>
      </c>
      <c r="H629" s="108" t="s">
        <v>1108</v>
      </c>
      <c r="I629" s="12">
        <v>1331</v>
      </c>
      <c r="J629" s="12">
        <v>331</v>
      </c>
      <c r="K629" s="108" t="s">
        <v>20</v>
      </c>
      <c r="L629" s="108">
        <v>1</v>
      </c>
      <c r="M629" s="116">
        <v>10222</v>
      </c>
      <c r="N629" s="116">
        <f t="shared" si="38"/>
        <v>10222</v>
      </c>
      <c r="P629" s="108">
        <f t="shared" si="39"/>
        <v>126</v>
      </c>
    </row>
    <row r="630" spans="1:16" ht="15" hidden="1" customHeight="1" x14ac:dyDescent="0.2">
      <c r="A630" s="108" t="s">
        <v>18</v>
      </c>
      <c r="B630" s="117" t="s">
        <v>549</v>
      </c>
      <c r="C630" s="108">
        <f t="shared" si="36"/>
        <v>1707</v>
      </c>
      <c r="D630" s="38">
        <f t="shared" si="37"/>
        <v>1</v>
      </c>
      <c r="G630" s="113" t="s">
        <v>24</v>
      </c>
      <c r="H630" s="108" t="s">
        <v>1111</v>
      </c>
      <c r="I630" s="12">
        <v>64277</v>
      </c>
      <c r="J630" s="12">
        <v>331</v>
      </c>
      <c r="K630" s="108" t="s">
        <v>20</v>
      </c>
      <c r="L630" s="108">
        <v>1</v>
      </c>
      <c r="M630" s="116">
        <v>111000</v>
      </c>
      <c r="N630" s="116">
        <f t="shared" si="38"/>
        <v>111000</v>
      </c>
      <c r="P630" s="108">
        <f t="shared" si="39"/>
        <v>169</v>
      </c>
    </row>
    <row r="631" spans="1:16" ht="15" hidden="1" customHeight="1" x14ac:dyDescent="0.2">
      <c r="A631" s="108" t="s">
        <v>18</v>
      </c>
      <c r="B631" s="117" t="s">
        <v>549</v>
      </c>
      <c r="C631" s="108">
        <f t="shared" si="36"/>
        <v>1707</v>
      </c>
      <c r="D631" s="38">
        <f t="shared" si="37"/>
        <v>0</v>
      </c>
      <c r="G631" s="113" t="s">
        <v>24</v>
      </c>
      <c r="H631" s="108" t="s">
        <v>1111</v>
      </c>
      <c r="I631" s="12">
        <v>1331</v>
      </c>
      <c r="J631" s="12">
        <v>331</v>
      </c>
      <c r="K631" s="108" t="s">
        <v>20</v>
      </c>
      <c r="L631" s="108">
        <v>1</v>
      </c>
      <c r="M631" s="116">
        <v>7645</v>
      </c>
      <c r="N631" s="116">
        <f t="shared" si="38"/>
        <v>7645</v>
      </c>
      <c r="P631" s="108">
        <f t="shared" si="39"/>
        <v>169</v>
      </c>
    </row>
    <row r="632" spans="1:16" ht="15" hidden="1" customHeight="1" x14ac:dyDescent="0.2">
      <c r="A632" s="108" t="s">
        <v>18</v>
      </c>
      <c r="B632" s="117" t="s">
        <v>549</v>
      </c>
      <c r="C632" s="108">
        <f t="shared" si="36"/>
        <v>1708</v>
      </c>
      <c r="D632" s="38">
        <f t="shared" si="37"/>
        <v>1</v>
      </c>
      <c r="G632" s="113" t="s">
        <v>19</v>
      </c>
      <c r="H632" s="108" t="s">
        <v>1113</v>
      </c>
      <c r="I632" s="12">
        <v>64277</v>
      </c>
      <c r="J632" s="12">
        <v>331</v>
      </c>
      <c r="K632" s="108" t="s">
        <v>20</v>
      </c>
      <c r="L632" s="108">
        <v>1</v>
      </c>
      <c r="M632" s="116">
        <v>34000</v>
      </c>
      <c r="N632" s="116">
        <f t="shared" si="38"/>
        <v>34000</v>
      </c>
      <c r="P632" s="108">
        <f t="shared" si="39"/>
        <v>126</v>
      </c>
    </row>
    <row r="633" spans="1:16" ht="15" hidden="1" customHeight="1" x14ac:dyDescent="0.2">
      <c r="A633" s="108" t="s">
        <v>18</v>
      </c>
      <c r="B633" s="117" t="s">
        <v>549</v>
      </c>
      <c r="C633" s="108">
        <f t="shared" si="36"/>
        <v>1708</v>
      </c>
      <c r="D633" s="38">
        <f t="shared" si="37"/>
        <v>0</v>
      </c>
      <c r="G633" s="113" t="s">
        <v>19</v>
      </c>
      <c r="H633" s="108" t="s">
        <v>1113</v>
      </c>
      <c r="I633" s="12">
        <v>1331</v>
      </c>
      <c r="J633" s="12">
        <v>331</v>
      </c>
      <c r="K633" s="108" t="s">
        <v>20</v>
      </c>
      <c r="L633" s="108">
        <v>1</v>
      </c>
      <c r="M633" s="116">
        <v>2519</v>
      </c>
      <c r="N633" s="116">
        <f t="shared" si="38"/>
        <v>2519</v>
      </c>
      <c r="P633" s="108">
        <f t="shared" si="39"/>
        <v>126</v>
      </c>
    </row>
    <row r="634" spans="1:16" ht="15" hidden="1" customHeight="1" x14ac:dyDescent="0.2">
      <c r="A634" s="108" t="s">
        <v>18</v>
      </c>
      <c r="B634" s="117" t="s">
        <v>549</v>
      </c>
      <c r="C634" s="108">
        <f t="shared" si="36"/>
        <v>1709</v>
      </c>
      <c r="D634" s="38">
        <f t="shared" si="37"/>
        <v>1</v>
      </c>
      <c r="G634" s="113" t="s">
        <v>19</v>
      </c>
      <c r="H634" s="108" t="s">
        <v>1112</v>
      </c>
      <c r="I634" s="12">
        <v>64277</v>
      </c>
      <c r="J634" s="12">
        <v>331</v>
      </c>
      <c r="K634" s="108" t="s">
        <v>20</v>
      </c>
      <c r="L634" s="108">
        <v>1</v>
      </c>
      <c r="M634" s="116">
        <v>42000</v>
      </c>
      <c r="N634" s="116">
        <f t="shared" si="38"/>
        <v>42000</v>
      </c>
      <c r="P634" s="108">
        <f t="shared" si="39"/>
        <v>126</v>
      </c>
    </row>
    <row r="635" spans="1:16" ht="15" hidden="1" customHeight="1" x14ac:dyDescent="0.2">
      <c r="A635" s="108" t="s">
        <v>18</v>
      </c>
      <c r="B635" s="117" t="s">
        <v>549</v>
      </c>
      <c r="C635" s="108">
        <f t="shared" si="36"/>
        <v>1709</v>
      </c>
      <c r="D635" s="38">
        <f t="shared" si="37"/>
        <v>0</v>
      </c>
      <c r="G635" s="113" t="s">
        <v>19</v>
      </c>
      <c r="H635" s="108" t="s">
        <v>1112</v>
      </c>
      <c r="I635" s="12">
        <v>1331</v>
      </c>
      <c r="J635" s="12">
        <v>331</v>
      </c>
      <c r="K635" s="108" t="s">
        <v>20</v>
      </c>
      <c r="L635" s="108">
        <v>1</v>
      </c>
      <c r="M635" s="116">
        <v>3111</v>
      </c>
      <c r="N635" s="116">
        <f t="shared" si="38"/>
        <v>3111</v>
      </c>
      <c r="P635" s="108">
        <f t="shared" si="39"/>
        <v>126</v>
      </c>
    </row>
    <row r="636" spans="1:16" ht="15" hidden="1" customHeight="1" x14ac:dyDescent="0.2">
      <c r="A636" s="108" t="s">
        <v>18</v>
      </c>
      <c r="B636" s="117" t="s">
        <v>549</v>
      </c>
      <c r="C636" s="108">
        <f t="shared" si="36"/>
        <v>1710</v>
      </c>
      <c r="D636" s="38">
        <f t="shared" si="37"/>
        <v>1</v>
      </c>
      <c r="G636" s="113" t="s">
        <v>32</v>
      </c>
      <c r="H636" s="108" t="s">
        <v>1114</v>
      </c>
      <c r="I636" s="12">
        <v>64277</v>
      </c>
      <c r="J636" s="12">
        <v>331</v>
      </c>
      <c r="K636" s="108" t="s">
        <v>20</v>
      </c>
      <c r="L636" s="108">
        <v>1</v>
      </c>
      <c r="M636" s="116">
        <v>3017169</v>
      </c>
      <c r="N636" s="116">
        <f t="shared" si="38"/>
        <v>3017169</v>
      </c>
      <c r="P636" s="108">
        <f t="shared" si="39"/>
        <v>139</v>
      </c>
    </row>
    <row r="637" spans="1:16" ht="15" hidden="1" customHeight="1" x14ac:dyDescent="0.2">
      <c r="A637" s="108" t="s">
        <v>18</v>
      </c>
      <c r="B637" s="117" t="s">
        <v>549</v>
      </c>
      <c r="C637" s="108">
        <f t="shared" si="36"/>
        <v>1710</v>
      </c>
      <c r="D637" s="38">
        <f t="shared" si="37"/>
        <v>0</v>
      </c>
      <c r="G637" s="113" t="s">
        <v>32</v>
      </c>
      <c r="H637" s="108" t="s">
        <v>1114</v>
      </c>
      <c r="I637" s="12">
        <v>1331</v>
      </c>
      <c r="J637" s="12">
        <v>331</v>
      </c>
      <c r="K637" s="108" t="s">
        <v>20</v>
      </c>
      <c r="L637" s="108">
        <v>1</v>
      </c>
      <c r="M637" s="116">
        <v>289531</v>
      </c>
      <c r="N637" s="116">
        <f t="shared" si="38"/>
        <v>289531</v>
      </c>
      <c r="P637" s="108">
        <f t="shared" si="39"/>
        <v>139</v>
      </c>
    </row>
    <row r="638" spans="1:16" ht="15" hidden="1" customHeight="1" x14ac:dyDescent="0.2">
      <c r="A638" s="108" t="s">
        <v>18</v>
      </c>
      <c r="B638" s="117" t="s">
        <v>549</v>
      </c>
      <c r="C638" s="108">
        <f t="shared" si="36"/>
        <v>1711</v>
      </c>
      <c r="D638" s="38">
        <f t="shared" si="37"/>
        <v>1</v>
      </c>
      <c r="G638" s="113" t="s">
        <v>23</v>
      </c>
      <c r="H638" s="108" t="s">
        <v>1115</v>
      </c>
      <c r="I638" s="12">
        <v>64277</v>
      </c>
      <c r="J638" s="12">
        <v>331</v>
      </c>
      <c r="K638" s="108" t="s">
        <v>20</v>
      </c>
      <c r="L638" s="108">
        <v>1</v>
      </c>
      <c r="M638" s="116">
        <v>160185</v>
      </c>
      <c r="N638" s="116">
        <f t="shared" si="38"/>
        <v>160185</v>
      </c>
      <c r="P638" s="108">
        <f t="shared" si="39"/>
        <v>160</v>
      </c>
    </row>
    <row r="639" spans="1:16" ht="15" hidden="1" customHeight="1" x14ac:dyDescent="0.2">
      <c r="A639" s="108" t="s">
        <v>18</v>
      </c>
      <c r="B639" s="117" t="s">
        <v>549</v>
      </c>
      <c r="C639" s="108">
        <f t="shared" si="36"/>
        <v>1711</v>
      </c>
      <c r="D639" s="38">
        <f t="shared" si="37"/>
        <v>0</v>
      </c>
      <c r="G639" s="113" t="s">
        <v>23</v>
      </c>
      <c r="H639" s="108" t="s">
        <v>1115</v>
      </c>
      <c r="I639" s="12">
        <v>1331</v>
      </c>
      <c r="J639" s="12">
        <v>331</v>
      </c>
      <c r="K639" s="108" t="s">
        <v>20</v>
      </c>
      <c r="L639" s="108">
        <v>1</v>
      </c>
      <c r="M639" s="116">
        <v>12815</v>
      </c>
      <c r="N639" s="116">
        <f t="shared" si="38"/>
        <v>12815</v>
      </c>
      <c r="P639" s="108">
        <f t="shared" si="39"/>
        <v>160</v>
      </c>
    </row>
    <row r="640" spans="1:16" ht="15" hidden="1" customHeight="1" x14ac:dyDescent="0.2">
      <c r="A640" s="108" t="s">
        <v>18</v>
      </c>
      <c r="B640" s="117" t="s">
        <v>549</v>
      </c>
      <c r="C640" s="108">
        <f t="shared" si="36"/>
        <v>1712</v>
      </c>
      <c r="D640" s="38">
        <f t="shared" si="37"/>
        <v>1</v>
      </c>
      <c r="G640" s="113" t="s">
        <v>27</v>
      </c>
      <c r="H640" s="108" t="s">
        <v>1110</v>
      </c>
      <c r="I640" s="12">
        <v>64277</v>
      </c>
      <c r="J640" s="12">
        <v>331</v>
      </c>
      <c r="K640" s="108" t="s">
        <v>20</v>
      </c>
      <c r="L640" s="108">
        <v>1</v>
      </c>
      <c r="M640" s="116">
        <v>251000</v>
      </c>
      <c r="N640" s="116">
        <f t="shared" si="38"/>
        <v>251000</v>
      </c>
      <c r="P640" s="108">
        <f t="shared" si="39"/>
        <v>48</v>
      </c>
    </row>
    <row r="641" spans="1:16" ht="15" hidden="1" customHeight="1" x14ac:dyDescent="0.2">
      <c r="A641" s="108" t="s">
        <v>18</v>
      </c>
      <c r="B641" s="117" t="s">
        <v>549</v>
      </c>
      <c r="C641" s="108">
        <f t="shared" si="36"/>
        <v>1712</v>
      </c>
      <c r="D641" s="38">
        <f t="shared" si="37"/>
        <v>0</v>
      </c>
      <c r="G641" s="113" t="s">
        <v>27</v>
      </c>
      <c r="H641" s="108" t="s">
        <v>1110</v>
      </c>
      <c r="I641" s="12">
        <v>1331</v>
      </c>
      <c r="J641" s="12">
        <v>331</v>
      </c>
      <c r="K641" s="108" t="s">
        <v>20</v>
      </c>
      <c r="L641" s="108">
        <v>1</v>
      </c>
      <c r="M641" s="116">
        <v>20080</v>
      </c>
      <c r="N641" s="116">
        <f t="shared" si="38"/>
        <v>20080</v>
      </c>
      <c r="P641" s="108">
        <f t="shared" si="39"/>
        <v>48</v>
      </c>
    </row>
    <row r="642" spans="1:16" ht="15" hidden="1" customHeight="1" x14ac:dyDescent="0.2">
      <c r="A642" s="108" t="s">
        <v>18</v>
      </c>
      <c r="B642" s="117" t="s">
        <v>550</v>
      </c>
      <c r="C642" s="108">
        <f t="shared" si="36"/>
        <v>1713</v>
      </c>
      <c r="D642" s="38">
        <f t="shared" si="37"/>
        <v>1</v>
      </c>
      <c r="G642" s="113" t="s">
        <v>24</v>
      </c>
      <c r="H642" s="108" t="s">
        <v>1116</v>
      </c>
      <c r="I642" s="12">
        <v>64277</v>
      </c>
      <c r="J642" s="12">
        <v>331</v>
      </c>
      <c r="K642" s="108" t="s">
        <v>20</v>
      </c>
      <c r="L642" s="108">
        <v>1</v>
      </c>
      <c r="M642" s="116">
        <v>115000</v>
      </c>
      <c r="N642" s="116">
        <f t="shared" si="38"/>
        <v>115000</v>
      </c>
      <c r="P642" s="108">
        <f t="shared" si="39"/>
        <v>169</v>
      </c>
    </row>
    <row r="643" spans="1:16" ht="15" hidden="1" customHeight="1" x14ac:dyDescent="0.2">
      <c r="A643" s="108" t="s">
        <v>18</v>
      </c>
      <c r="B643" s="117" t="s">
        <v>550</v>
      </c>
      <c r="C643" s="108">
        <f t="shared" si="36"/>
        <v>1713</v>
      </c>
      <c r="D643" s="38">
        <f t="shared" si="37"/>
        <v>0</v>
      </c>
      <c r="G643" s="113" t="s">
        <v>24</v>
      </c>
      <c r="H643" s="108" t="s">
        <v>1116</v>
      </c>
      <c r="I643" s="12">
        <v>1331</v>
      </c>
      <c r="J643" s="12">
        <v>331</v>
      </c>
      <c r="K643" s="108" t="s">
        <v>20</v>
      </c>
      <c r="L643" s="108">
        <v>1</v>
      </c>
      <c r="M643" s="116">
        <v>7967</v>
      </c>
      <c r="N643" s="116">
        <f t="shared" si="38"/>
        <v>7967</v>
      </c>
      <c r="P643" s="108">
        <f t="shared" si="39"/>
        <v>169</v>
      </c>
    </row>
    <row r="644" spans="1:16" ht="15" hidden="1" customHeight="1" x14ac:dyDescent="0.2">
      <c r="A644" s="108" t="s">
        <v>18</v>
      </c>
      <c r="B644" s="117" t="s">
        <v>550</v>
      </c>
      <c r="C644" s="108">
        <f t="shared" ref="C644:C707" si="40">C643+D644</f>
        <v>1714</v>
      </c>
      <c r="D644" s="38">
        <f t="shared" ref="D644:D707" si="41">IF(H644=H643,0,1)</f>
        <v>1</v>
      </c>
      <c r="G644" s="113" t="s">
        <v>19</v>
      </c>
      <c r="H644" s="108" t="s">
        <v>1117</v>
      </c>
      <c r="I644" s="12">
        <v>64277</v>
      </c>
      <c r="J644" s="12">
        <v>331</v>
      </c>
      <c r="K644" s="108" t="s">
        <v>20</v>
      </c>
      <c r="L644" s="108">
        <v>1</v>
      </c>
      <c r="M644" s="116">
        <v>153000</v>
      </c>
      <c r="N644" s="116">
        <f t="shared" ref="N644:N707" si="42">M644*L644</f>
        <v>153000</v>
      </c>
      <c r="P644" s="108">
        <f t="shared" ref="P644:P707" si="43">LEN(H644)</f>
        <v>126</v>
      </c>
    </row>
    <row r="645" spans="1:16" ht="15" hidden="1" customHeight="1" x14ac:dyDescent="0.2">
      <c r="A645" s="108" t="s">
        <v>18</v>
      </c>
      <c r="B645" s="117" t="s">
        <v>550</v>
      </c>
      <c r="C645" s="108">
        <f t="shared" si="40"/>
        <v>1714</v>
      </c>
      <c r="D645" s="38">
        <f t="shared" si="41"/>
        <v>0</v>
      </c>
      <c r="G645" s="113" t="s">
        <v>19</v>
      </c>
      <c r="H645" s="108" t="s">
        <v>1117</v>
      </c>
      <c r="I645" s="12">
        <v>1331</v>
      </c>
      <c r="J645" s="12">
        <v>331</v>
      </c>
      <c r="K645" s="108" t="s">
        <v>20</v>
      </c>
      <c r="L645" s="108">
        <v>1</v>
      </c>
      <c r="M645" s="116">
        <v>11333</v>
      </c>
      <c r="N645" s="116">
        <f t="shared" si="42"/>
        <v>11333</v>
      </c>
      <c r="P645" s="108">
        <f t="shared" si="43"/>
        <v>126</v>
      </c>
    </row>
    <row r="646" spans="1:16" ht="15" hidden="1" customHeight="1" x14ac:dyDescent="0.2">
      <c r="A646" s="108" t="s">
        <v>18</v>
      </c>
      <c r="B646" s="117" t="s">
        <v>550</v>
      </c>
      <c r="C646" s="108">
        <f t="shared" si="40"/>
        <v>1715</v>
      </c>
      <c r="D646" s="38">
        <f t="shared" si="41"/>
        <v>1</v>
      </c>
      <c r="G646" s="113" t="s">
        <v>272</v>
      </c>
      <c r="H646" s="108" t="s">
        <v>1118</v>
      </c>
      <c r="I646" s="12">
        <v>64277</v>
      </c>
      <c r="J646" s="12">
        <v>331</v>
      </c>
      <c r="K646" s="108" t="s">
        <v>20</v>
      </c>
      <c r="L646" s="108">
        <v>1</v>
      </c>
      <c r="M646" s="116">
        <v>4585875</v>
      </c>
      <c r="N646" s="116">
        <f t="shared" si="42"/>
        <v>4585875</v>
      </c>
      <c r="P646" s="108">
        <f t="shared" si="43"/>
        <v>153</v>
      </c>
    </row>
    <row r="647" spans="1:16" ht="15" hidden="1" customHeight="1" x14ac:dyDescent="0.2">
      <c r="A647" s="108" t="s">
        <v>18</v>
      </c>
      <c r="B647" s="117" t="s">
        <v>550</v>
      </c>
      <c r="C647" s="108">
        <f t="shared" si="40"/>
        <v>1715</v>
      </c>
      <c r="D647" s="38">
        <f t="shared" si="41"/>
        <v>0</v>
      </c>
      <c r="G647" s="113" t="s">
        <v>272</v>
      </c>
      <c r="H647" s="108" t="s">
        <v>1118</v>
      </c>
      <c r="I647" s="12">
        <v>1331</v>
      </c>
      <c r="J647" s="12">
        <v>331</v>
      </c>
      <c r="K647" s="108" t="s">
        <v>20</v>
      </c>
      <c r="L647" s="108">
        <v>1</v>
      </c>
      <c r="M647" s="116">
        <v>366870</v>
      </c>
      <c r="N647" s="116">
        <f t="shared" si="42"/>
        <v>366870</v>
      </c>
      <c r="P647" s="108">
        <f t="shared" si="43"/>
        <v>153</v>
      </c>
    </row>
    <row r="648" spans="1:16" ht="15" hidden="1" customHeight="1" x14ac:dyDescent="0.2">
      <c r="A648" s="108" t="s">
        <v>18</v>
      </c>
      <c r="B648" s="117" t="s">
        <v>479</v>
      </c>
      <c r="C648" s="108">
        <f t="shared" si="40"/>
        <v>1716</v>
      </c>
      <c r="D648" s="38">
        <f t="shared" si="41"/>
        <v>1</v>
      </c>
      <c r="G648" s="113" t="s">
        <v>1126</v>
      </c>
      <c r="H648" s="108" t="s">
        <v>3697</v>
      </c>
      <c r="I648" s="12">
        <v>64277</v>
      </c>
      <c r="J648" s="12">
        <v>331</v>
      </c>
      <c r="K648" s="108" t="s">
        <v>20</v>
      </c>
      <c r="L648" s="108">
        <v>1</v>
      </c>
      <c r="M648" s="116">
        <v>1926750</v>
      </c>
      <c r="N648" s="116">
        <f t="shared" si="42"/>
        <v>1926750</v>
      </c>
      <c r="P648" s="108">
        <f t="shared" si="43"/>
        <v>41</v>
      </c>
    </row>
    <row r="649" spans="1:16" ht="15" hidden="1" customHeight="1" x14ac:dyDescent="0.2">
      <c r="A649" s="108" t="s">
        <v>18</v>
      </c>
      <c r="B649" s="117" t="s">
        <v>479</v>
      </c>
      <c r="C649" s="108">
        <f t="shared" si="40"/>
        <v>1716</v>
      </c>
      <c r="D649" s="38">
        <f t="shared" si="41"/>
        <v>0</v>
      </c>
      <c r="G649" s="113" t="s">
        <v>1126</v>
      </c>
      <c r="H649" s="108" t="s">
        <v>3697</v>
      </c>
      <c r="I649" s="12">
        <v>1331</v>
      </c>
      <c r="J649" s="12">
        <v>331</v>
      </c>
      <c r="K649" s="108" t="s">
        <v>20</v>
      </c>
      <c r="L649" s="108">
        <v>1</v>
      </c>
      <c r="M649" s="116">
        <v>160524</v>
      </c>
      <c r="N649" s="116">
        <f t="shared" si="42"/>
        <v>160524</v>
      </c>
      <c r="P649" s="108">
        <f t="shared" si="43"/>
        <v>41</v>
      </c>
    </row>
    <row r="650" spans="1:16" ht="15" hidden="1" customHeight="1" x14ac:dyDescent="0.2">
      <c r="A650" s="108" t="s">
        <v>18</v>
      </c>
      <c r="B650" s="117" t="s">
        <v>479</v>
      </c>
      <c r="C650" s="108">
        <f t="shared" si="40"/>
        <v>1717</v>
      </c>
      <c r="D650" s="38">
        <f t="shared" si="41"/>
        <v>1</v>
      </c>
      <c r="G650" s="113" t="s">
        <v>37</v>
      </c>
      <c r="H650" s="108" t="s">
        <v>3695</v>
      </c>
      <c r="I650" s="12">
        <v>64277</v>
      </c>
      <c r="J650" s="12">
        <v>331</v>
      </c>
      <c r="K650" s="108" t="s">
        <v>20</v>
      </c>
      <c r="L650" s="108">
        <v>1</v>
      </c>
      <c r="M650" s="116">
        <v>1157593</v>
      </c>
      <c r="N650" s="116">
        <f t="shared" si="42"/>
        <v>1157593</v>
      </c>
      <c r="P650" s="108">
        <f t="shared" si="43"/>
        <v>43</v>
      </c>
    </row>
    <row r="651" spans="1:16" ht="15" hidden="1" customHeight="1" x14ac:dyDescent="0.2">
      <c r="A651" s="108" t="s">
        <v>18</v>
      </c>
      <c r="B651" s="117" t="s">
        <v>479</v>
      </c>
      <c r="C651" s="108">
        <f t="shared" si="40"/>
        <v>1717</v>
      </c>
      <c r="D651" s="38">
        <f t="shared" si="41"/>
        <v>0</v>
      </c>
      <c r="G651" s="113" t="s">
        <v>37</v>
      </c>
      <c r="H651" s="108" t="s">
        <v>3695</v>
      </c>
      <c r="I651" s="12">
        <v>1331</v>
      </c>
      <c r="J651" s="12">
        <v>331</v>
      </c>
      <c r="K651" s="108" t="s">
        <v>20</v>
      </c>
      <c r="L651" s="108">
        <v>1</v>
      </c>
      <c r="M651" s="116">
        <v>92607</v>
      </c>
      <c r="N651" s="116">
        <f t="shared" si="42"/>
        <v>92607</v>
      </c>
      <c r="P651" s="108">
        <f t="shared" si="43"/>
        <v>43</v>
      </c>
    </row>
    <row r="652" spans="1:16" ht="15" hidden="1" customHeight="1" x14ac:dyDescent="0.2">
      <c r="A652" s="108" t="s">
        <v>18</v>
      </c>
      <c r="B652" s="117" t="s">
        <v>479</v>
      </c>
      <c r="C652" s="108">
        <f t="shared" si="40"/>
        <v>1718</v>
      </c>
      <c r="D652" s="38">
        <f t="shared" si="41"/>
        <v>1</v>
      </c>
      <c r="G652" s="113" t="s">
        <v>19</v>
      </c>
      <c r="H652" s="108" t="s">
        <v>1123</v>
      </c>
      <c r="I652" s="12">
        <v>64277</v>
      </c>
      <c r="J652" s="12">
        <v>331</v>
      </c>
      <c r="K652" s="108" t="s">
        <v>20</v>
      </c>
      <c r="L652" s="108">
        <v>1</v>
      </c>
      <c r="M652" s="116">
        <v>42000</v>
      </c>
      <c r="N652" s="116">
        <f t="shared" si="42"/>
        <v>42000</v>
      </c>
      <c r="P652" s="108">
        <f t="shared" si="43"/>
        <v>126</v>
      </c>
    </row>
    <row r="653" spans="1:16" ht="15" hidden="1" customHeight="1" x14ac:dyDescent="0.2">
      <c r="A653" s="108" t="s">
        <v>18</v>
      </c>
      <c r="B653" s="117" t="s">
        <v>479</v>
      </c>
      <c r="C653" s="108">
        <f t="shared" si="40"/>
        <v>1718</v>
      </c>
      <c r="D653" s="38">
        <f t="shared" si="41"/>
        <v>0</v>
      </c>
      <c r="G653" s="113" t="s">
        <v>19</v>
      </c>
      <c r="H653" s="108" t="s">
        <v>1123</v>
      </c>
      <c r="I653" s="12">
        <v>1331</v>
      </c>
      <c r="J653" s="12">
        <v>331</v>
      </c>
      <c r="K653" s="108" t="s">
        <v>20</v>
      </c>
      <c r="L653" s="108">
        <v>1</v>
      </c>
      <c r="M653" s="116">
        <v>3111</v>
      </c>
      <c r="N653" s="116">
        <f t="shared" si="42"/>
        <v>3111</v>
      </c>
      <c r="P653" s="108">
        <f t="shared" si="43"/>
        <v>126</v>
      </c>
    </row>
    <row r="654" spans="1:16" ht="15" hidden="1" customHeight="1" x14ac:dyDescent="0.2">
      <c r="A654" s="108" t="s">
        <v>18</v>
      </c>
      <c r="B654" s="117" t="s">
        <v>479</v>
      </c>
      <c r="C654" s="108">
        <f t="shared" si="40"/>
        <v>1719</v>
      </c>
      <c r="D654" s="38">
        <f t="shared" si="41"/>
        <v>1</v>
      </c>
      <c r="G654" s="113" t="s">
        <v>19</v>
      </c>
      <c r="H654" s="108" t="s">
        <v>1122</v>
      </c>
      <c r="I654" s="12">
        <v>64277</v>
      </c>
      <c r="J654" s="12">
        <v>331</v>
      </c>
      <c r="K654" s="108" t="s">
        <v>20</v>
      </c>
      <c r="L654" s="108">
        <v>1</v>
      </c>
      <c r="M654" s="116">
        <v>57000</v>
      </c>
      <c r="N654" s="116">
        <f t="shared" si="42"/>
        <v>57000</v>
      </c>
      <c r="P654" s="108">
        <f t="shared" si="43"/>
        <v>126</v>
      </c>
    </row>
    <row r="655" spans="1:16" ht="15" hidden="1" customHeight="1" x14ac:dyDescent="0.2">
      <c r="A655" s="108" t="s">
        <v>18</v>
      </c>
      <c r="B655" s="117" t="s">
        <v>479</v>
      </c>
      <c r="C655" s="108">
        <f t="shared" si="40"/>
        <v>1719</v>
      </c>
      <c r="D655" s="38">
        <f t="shared" si="41"/>
        <v>0</v>
      </c>
      <c r="G655" s="113" t="s">
        <v>19</v>
      </c>
      <c r="H655" s="108" t="s">
        <v>1122</v>
      </c>
      <c r="I655" s="12">
        <v>1331</v>
      </c>
      <c r="J655" s="12">
        <v>331</v>
      </c>
      <c r="K655" s="108" t="s">
        <v>20</v>
      </c>
      <c r="L655" s="108">
        <v>1</v>
      </c>
      <c r="M655" s="116">
        <v>4223</v>
      </c>
      <c r="N655" s="116">
        <f t="shared" si="42"/>
        <v>4223</v>
      </c>
      <c r="P655" s="108">
        <f t="shared" si="43"/>
        <v>126</v>
      </c>
    </row>
    <row r="656" spans="1:16" ht="15" hidden="1" customHeight="1" x14ac:dyDescent="0.2">
      <c r="A656" s="108" t="s">
        <v>18</v>
      </c>
      <c r="B656" s="117" t="s">
        <v>479</v>
      </c>
      <c r="C656" s="108">
        <f t="shared" si="40"/>
        <v>1720</v>
      </c>
      <c r="D656" s="38">
        <f t="shared" si="41"/>
        <v>1</v>
      </c>
      <c r="G656" s="113" t="s">
        <v>19</v>
      </c>
      <c r="H656" s="108" t="s">
        <v>1121</v>
      </c>
      <c r="I656" s="12">
        <v>64277</v>
      </c>
      <c r="J656" s="12">
        <v>331</v>
      </c>
      <c r="K656" s="108" t="s">
        <v>20</v>
      </c>
      <c r="L656" s="108">
        <v>1</v>
      </c>
      <c r="M656" s="116">
        <v>78000</v>
      </c>
      <c r="N656" s="116">
        <f t="shared" si="42"/>
        <v>78000</v>
      </c>
      <c r="P656" s="108">
        <f t="shared" si="43"/>
        <v>126</v>
      </c>
    </row>
    <row r="657" spans="1:23" ht="15" hidden="1" customHeight="1" x14ac:dyDescent="0.2">
      <c r="A657" s="108" t="s">
        <v>18</v>
      </c>
      <c r="B657" s="117" t="s">
        <v>479</v>
      </c>
      <c r="C657" s="108">
        <f t="shared" si="40"/>
        <v>1720</v>
      </c>
      <c r="D657" s="38">
        <f t="shared" si="41"/>
        <v>0</v>
      </c>
      <c r="G657" s="113" t="s">
        <v>19</v>
      </c>
      <c r="H657" s="108" t="s">
        <v>1121</v>
      </c>
      <c r="I657" s="12">
        <v>1331</v>
      </c>
      <c r="J657" s="12">
        <v>331</v>
      </c>
      <c r="K657" s="108" t="s">
        <v>20</v>
      </c>
      <c r="L657" s="108">
        <v>1</v>
      </c>
      <c r="M657" s="116">
        <v>5778</v>
      </c>
      <c r="N657" s="116">
        <f t="shared" si="42"/>
        <v>5778</v>
      </c>
      <c r="P657" s="108">
        <f t="shared" si="43"/>
        <v>126</v>
      </c>
    </row>
    <row r="658" spans="1:23" ht="15" hidden="1" customHeight="1" x14ac:dyDescent="0.2">
      <c r="A658" s="108" t="s">
        <v>18</v>
      </c>
      <c r="B658" s="117" t="s">
        <v>479</v>
      </c>
      <c r="C658" s="108">
        <f t="shared" si="40"/>
        <v>1721</v>
      </c>
      <c r="D658" s="38">
        <f t="shared" si="41"/>
        <v>1</v>
      </c>
      <c r="G658" s="113" t="s">
        <v>19</v>
      </c>
      <c r="H658" s="108" t="s">
        <v>1120</v>
      </c>
      <c r="I658" s="12">
        <v>64277</v>
      </c>
      <c r="J658" s="12">
        <v>331</v>
      </c>
      <c r="K658" s="108" t="s">
        <v>20</v>
      </c>
      <c r="L658" s="108">
        <v>1</v>
      </c>
      <c r="M658" s="116">
        <v>36000</v>
      </c>
      <c r="N658" s="116">
        <f t="shared" si="42"/>
        <v>36000</v>
      </c>
      <c r="P658" s="108">
        <f t="shared" si="43"/>
        <v>126</v>
      </c>
    </row>
    <row r="659" spans="1:23" ht="15" hidden="1" customHeight="1" x14ac:dyDescent="0.2">
      <c r="A659" s="108" t="s">
        <v>18</v>
      </c>
      <c r="B659" s="117" t="s">
        <v>479</v>
      </c>
      <c r="C659" s="108">
        <f t="shared" si="40"/>
        <v>1721</v>
      </c>
      <c r="D659" s="38">
        <f t="shared" si="41"/>
        <v>0</v>
      </c>
      <c r="G659" s="113" t="s">
        <v>19</v>
      </c>
      <c r="H659" s="108" t="s">
        <v>1120</v>
      </c>
      <c r="I659" s="12">
        <v>1331</v>
      </c>
      <c r="J659" s="12">
        <v>331</v>
      </c>
      <c r="K659" s="108" t="s">
        <v>20</v>
      </c>
      <c r="L659" s="108">
        <v>1</v>
      </c>
      <c r="M659" s="116">
        <v>2666</v>
      </c>
      <c r="N659" s="116">
        <f t="shared" si="42"/>
        <v>2666</v>
      </c>
      <c r="P659" s="108">
        <f t="shared" si="43"/>
        <v>126</v>
      </c>
      <c r="T659" s="123"/>
      <c r="U659" s="123"/>
      <c r="V659" s="123"/>
      <c r="W659" s="123"/>
    </row>
    <row r="660" spans="1:23" ht="15" hidden="1" customHeight="1" x14ac:dyDescent="0.2">
      <c r="A660" s="108" t="s">
        <v>18</v>
      </c>
      <c r="B660" s="117" t="s">
        <v>479</v>
      </c>
      <c r="C660" s="108">
        <f t="shared" si="40"/>
        <v>1722</v>
      </c>
      <c r="D660" s="38">
        <f t="shared" si="41"/>
        <v>1</v>
      </c>
      <c r="G660" s="113" t="s">
        <v>19</v>
      </c>
      <c r="H660" s="108" t="s">
        <v>1119</v>
      </c>
      <c r="I660" s="12">
        <v>64277</v>
      </c>
      <c r="J660" s="12">
        <v>331</v>
      </c>
      <c r="K660" s="108" t="s">
        <v>20</v>
      </c>
      <c r="L660" s="108">
        <v>1</v>
      </c>
      <c r="M660" s="116">
        <v>208000</v>
      </c>
      <c r="N660" s="116">
        <f t="shared" si="42"/>
        <v>208000</v>
      </c>
      <c r="P660" s="108">
        <f t="shared" si="43"/>
        <v>126</v>
      </c>
      <c r="T660" s="123"/>
      <c r="U660" s="123"/>
      <c r="V660" s="123"/>
      <c r="W660" s="123"/>
    </row>
    <row r="661" spans="1:23" ht="15" hidden="1" customHeight="1" x14ac:dyDescent="0.2">
      <c r="A661" s="108" t="s">
        <v>18</v>
      </c>
      <c r="B661" s="117" t="s">
        <v>479</v>
      </c>
      <c r="C661" s="108">
        <f t="shared" si="40"/>
        <v>1722</v>
      </c>
      <c r="D661" s="38">
        <f t="shared" si="41"/>
        <v>0</v>
      </c>
      <c r="G661" s="113" t="s">
        <v>19</v>
      </c>
      <c r="H661" s="108" t="s">
        <v>1119</v>
      </c>
      <c r="I661" s="12">
        <v>1331</v>
      </c>
      <c r="J661" s="12">
        <v>331</v>
      </c>
      <c r="K661" s="108" t="s">
        <v>20</v>
      </c>
      <c r="L661" s="108">
        <v>1</v>
      </c>
      <c r="M661" s="116">
        <v>15408</v>
      </c>
      <c r="N661" s="116">
        <f t="shared" si="42"/>
        <v>15408</v>
      </c>
      <c r="P661" s="108">
        <f t="shared" si="43"/>
        <v>126</v>
      </c>
      <c r="T661" s="123"/>
      <c r="U661" s="123"/>
      <c r="V661" s="123"/>
      <c r="W661" s="123"/>
    </row>
    <row r="662" spans="1:23" ht="15" hidden="1" customHeight="1" x14ac:dyDescent="0.2">
      <c r="A662" s="108" t="s">
        <v>18</v>
      </c>
      <c r="B662" s="117" t="s">
        <v>479</v>
      </c>
      <c r="C662" s="108">
        <f t="shared" si="40"/>
        <v>1723</v>
      </c>
      <c r="D662" s="38">
        <f t="shared" si="41"/>
        <v>1</v>
      </c>
      <c r="G662" s="113" t="s">
        <v>23</v>
      </c>
      <c r="H662" s="108" t="s">
        <v>1124</v>
      </c>
      <c r="I662" s="12">
        <v>64277</v>
      </c>
      <c r="J662" s="12">
        <v>331</v>
      </c>
      <c r="K662" s="108" t="s">
        <v>20</v>
      </c>
      <c r="L662" s="108">
        <v>1</v>
      </c>
      <c r="M662" s="116">
        <v>137038</v>
      </c>
      <c r="N662" s="116">
        <f t="shared" si="42"/>
        <v>137038</v>
      </c>
      <c r="P662" s="108">
        <f t="shared" si="43"/>
        <v>143</v>
      </c>
      <c r="T662" s="123"/>
      <c r="U662" s="123"/>
      <c r="V662" s="123"/>
      <c r="W662" s="123"/>
    </row>
    <row r="663" spans="1:23" ht="15" hidden="1" customHeight="1" x14ac:dyDescent="0.2">
      <c r="A663" s="108" t="s">
        <v>18</v>
      </c>
      <c r="B663" s="117" t="s">
        <v>479</v>
      </c>
      <c r="C663" s="108">
        <f t="shared" si="40"/>
        <v>1723</v>
      </c>
      <c r="D663" s="38">
        <f t="shared" si="41"/>
        <v>0</v>
      </c>
      <c r="G663" s="113" t="s">
        <v>23</v>
      </c>
      <c r="H663" s="108" t="s">
        <v>1124</v>
      </c>
      <c r="I663" s="12">
        <v>1331</v>
      </c>
      <c r="J663" s="12">
        <v>331</v>
      </c>
      <c r="K663" s="108" t="s">
        <v>20</v>
      </c>
      <c r="L663" s="108">
        <v>1</v>
      </c>
      <c r="M663" s="116">
        <v>10962</v>
      </c>
      <c r="N663" s="116">
        <f t="shared" si="42"/>
        <v>10962</v>
      </c>
      <c r="P663" s="108">
        <f t="shared" si="43"/>
        <v>143</v>
      </c>
      <c r="T663" s="123"/>
      <c r="U663" s="123"/>
      <c r="V663" s="123"/>
      <c r="W663" s="123"/>
    </row>
    <row r="664" spans="1:23" ht="15" hidden="1" customHeight="1" x14ac:dyDescent="0.2">
      <c r="A664" s="108" t="s">
        <v>18</v>
      </c>
      <c r="B664" s="117" t="s">
        <v>479</v>
      </c>
      <c r="C664" s="108">
        <f t="shared" si="40"/>
        <v>1724</v>
      </c>
      <c r="D664" s="38">
        <f t="shared" si="41"/>
        <v>1</v>
      </c>
      <c r="G664" s="113" t="s">
        <v>23</v>
      </c>
      <c r="H664" s="108" t="s">
        <v>1125</v>
      </c>
      <c r="I664" s="12">
        <v>64277</v>
      </c>
      <c r="J664" s="12">
        <v>331</v>
      </c>
      <c r="K664" s="108" t="s">
        <v>20</v>
      </c>
      <c r="L664" s="108">
        <v>1</v>
      </c>
      <c r="M664" s="116">
        <v>178704</v>
      </c>
      <c r="N664" s="116">
        <f t="shared" si="42"/>
        <v>178704</v>
      </c>
      <c r="P664" s="108">
        <f t="shared" si="43"/>
        <v>160</v>
      </c>
      <c r="T664" s="123"/>
      <c r="U664" s="123"/>
      <c r="V664" s="123"/>
      <c r="W664" s="123"/>
    </row>
    <row r="665" spans="1:23" ht="15" hidden="1" customHeight="1" x14ac:dyDescent="0.2">
      <c r="A665" s="108" t="s">
        <v>18</v>
      </c>
      <c r="B665" s="117" t="s">
        <v>479</v>
      </c>
      <c r="C665" s="108">
        <f t="shared" si="40"/>
        <v>1724</v>
      </c>
      <c r="D665" s="38">
        <f t="shared" si="41"/>
        <v>0</v>
      </c>
      <c r="G665" s="113" t="s">
        <v>23</v>
      </c>
      <c r="H665" s="108" t="s">
        <v>1125</v>
      </c>
      <c r="I665" s="12">
        <v>1331</v>
      </c>
      <c r="J665" s="12">
        <v>331</v>
      </c>
      <c r="K665" s="108" t="s">
        <v>20</v>
      </c>
      <c r="L665" s="108">
        <v>1</v>
      </c>
      <c r="M665" s="116">
        <v>14296</v>
      </c>
      <c r="N665" s="116">
        <f t="shared" si="42"/>
        <v>14296</v>
      </c>
      <c r="P665" s="108">
        <f t="shared" si="43"/>
        <v>160</v>
      </c>
      <c r="T665" s="123"/>
      <c r="U665" s="123"/>
      <c r="V665" s="123"/>
      <c r="W665" s="123"/>
    </row>
    <row r="666" spans="1:23" ht="15" hidden="1" customHeight="1" x14ac:dyDescent="0.2">
      <c r="A666" s="108" t="s">
        <v>18</v>
      </c>
      <c r="B666" s="117" t="s">
        <v>552</v>
      </c>
      <c r="C666" s="108">
        <f t="shared" si="40"/>
        <v>1725</v>
      </c>
      <c r="D666" s="38">
        <f t="shared" si="41"/>
        <v>1</v>
      </c>
      <c r="G666" s="113" t="s">
        <v>37</v>
      </c>
      <c r="H666" s="108" t="s">
        <v>3701</v>
      </c>
      <c r="I666" s="12">
        <v>64277</v>
      </c>
      <c r="J666" s="12">
        <v>331</v>
      </c>
      <c r="K666" s="108" t="s">
        <v>20</v>
      </c>
      <c r="L666" s="108">
        <v>1</v>
      </c>
      <c r="M666" s="116">
        <v>1032407</v>
      </c>
      <c r="N666" s="116">
        <f t="shared" si="42"/>
        <v>1032407</v>
      </c>
      <c r="P666" s="108">
        <f t="shared" si="43"/>
        <v>43</v>
      </c>
      <c r="T666" s="123"/>
      <c r="U666" s="123"/>
      <c r="V666" s="123"/>
      <c r="W666" s="123"/>
    </row>
    <row r="667" spans="1:23" ht="15" hidden="1" customHeight="1" x14ac:dyDescent="0.2">
      <c r="A667" s="108" t="s">
        <v>18</v>
      </c>
      <c r="B667" s="117" t="s">
        <v>552</v>
      </c>
      <c r="C667" s="108">
        <f t="shared" si="40"/>
        <v>1725</v>
      </c>
      <c r="D667" s="38">
        <f t="shared" si="41"/>
        <v>0</v>
      </c>
      <c r="G667" s="113" t="s">
        <v>37</v>
      </c>
      <c r="H667" s="108" t="s">
        <v>3701</v>
      </c>
      <c r="I667" s="12">
        <v>1331</v>
      </c>
      <c r="J667" s="12">
        <v>331</v>
      </c>
      <c r="K667" s="108" t="s">
        <v>20</v>
      </c>
      <c r="L667" s="108">
        <v>1</v>
      </c>
      <c r="M667" s="116">
        <v>82593</v>
      </c>
      <c r="N667" s="116">
        <f t="shared" si="42"/>
        <v>82593</v>
      </c>
      <c r="P667" s="108">
        <f t="shared" si="43"/>
        <v>43</v>
      </c>
    </row>
    <row r="668" spans="1:23" ht="15" hidden="1" customHeight="1" x14ac:dyDescent="0.2">
      <c r="A668" s="108" t="s">
        <v>18</v>
      </c>
      <c r="B668" s="117" t="s">
        <v>552</v>
      </c>
      <c r="C668" s="108">
        <f t="shared" si="40"/>
        <v>1726</v>
      </c>
      <c r="D668" s="38">
        <f t="shared" si="41"/>
        <v>1</v>
      </c>
      <c r="G668" s="113" t="s">
        <v>25</v>
      </c>
      <c r="H668" s="108" t="s">
        <v>3699</v>
      </c>
      <c r="I668" s="12">
        <v>64277</v>
      </c>
      <c r="J668" s="12">
        <v>331</v>
      </c>
      <c r="K668" s="108" t="s">
        <v>20</v>
      </c>
      <c r="L668" s="108">
        <v>1</v>
      </c>
      <c r="M668" s="116">
        <v>2276000</v>
      </c>
      <c r="N668" s="116">
        <f t="shared" si="42"/>
        <v>2276000</v>
      </c>
      <c r="P668" s="108">
        <f t="shared" si="43"/>
        <v>43</v>
      </c>
    </row>
    <row r="669" spans="1:23" ht="15" hidden="1" customHeight="1" x14ac:dyDescent="0.2">
      <c r="A669" s="108" t="s">
        <v>18</v>
      </c>
      <c r="B669" s="117" t="s">
        <v>552</v>
      </c>
      <c r="C669" s="108">
        <f t="shared" si="40"/>
        <v>1726</v>
      </c>
      <c r="D669" s="38">
        <f t="shared" si="41"/>
        <v>0</v>
      </c>
      <c r="G669" s="113" t="s">
        <v>25</v>
      </c>
      <c r="H669" s="108" t="s">
        <v>3699</v>
      </c>
      <c r="I669" s="12">
        <v>1331</v>
      </c>
      <c r="J669" s="12">
        <v>331</v>
      </c>
      <c r="K669" s="108" t="s">
        <v>20</v>
      </c>
      <c r="L669" s="108">
        <v>1</v>
      </c>
      <c r="M669" s="116">
        <v>186820</v>
      </c>
      <c r="N669" s="116">
        <f t="shared" si="42"/>
        <v>186820</v>
      </c>
      <c r="P669" s="108">
        <f t="shared" si="43"/>
        <v>43</v>
      </c>
    </row>
    <row r="670" spans="1:23" ht="15" hidden="1" customHeight="1" x14ac:dyDescent="0.2">
      <c r="A670" s="108" t="s">
        <v>18</v>
      </c>
      <c r="B670" s="117" t="s">
        <v>552</v>
      </c>
      <c r="C670" s="108">
        <f t="shared" si="40"/>
        <v>1727</v>
      </c>
      <c r="D670" s="38">
        <f t="shared" si="41"/>
        <v>1</v>
      </c>
      <c r="G670" s="113" t="s">
        <v>19</v>
      </c>
      <c r="H670" s="108" t="s">
        <v>1128</v>
      </c>
      <c r="I670" s="12">
        <v>64277</v>
      </c>
      <c r="J670" s="12">
        <v>331</v>
      </c>
      <c r="K670" s="108" t="s">
        <v>20</v>
      </c>
      <c r="L670" s="108">
        <v>1</v>
      </c>
      <c r="M670" s="116">
        <v>57000</v>
      </c>
      <c r="N670" s="116">
        <f t="shared" si="42"/>
        <v>57000</v>
      </c>
      <c r="P670" s="108">
        <f t="shared" si="43"/>
        <v>126</v>
      </c>
    </row>
    <row r="671" spans="1:23" ht="15" hidden="1" customHeight="1" x14ac:dyDescent="0.2">
      <c r="A671" s="108" t="s">
        <v>18</v>
      </c>
      <c r="B671" s="117" t="s">
        <v>552</v>
      </c>
      <c r="C671" s="108">
        <f t="shared" si="40"/>
        <v>1727</v>
      </c>
      <c r="D671" s="38">
        <f t="shared" si="41"/>
        <v>0</v>
      </c>
      <c r="G671" s="113" t="s">
        <v>19</v>
      </c>
      <c r="H671" s="108" t="s">
        <v>1128</v>
      </c>
      <c r="I671" s="12">
        <v>1331</v>
      </c>
      <c r="J671" s="12">
        <v>331</v>
      </c>
      <c r="K671" s="108" t="s">
        <v>20</v>
      </c>
      <c r="L671" s="108">
        <v>1</v>
      </c>
      <c r="M671" s="116">
        <v>4222</v>
      </c>
      <c r="N671" s="116">
        <f t="shared" si="42"/>
        <v>4222</v>
      </c>
      <c r="P671" s="108">
        <f t="shared" si="43"/>
        <v>126</v>
      </c>
    </row>
    <row r="672" spans="1:23" ht="15" hidden="1" customHeight="1" x14ac:dyDescent="0.2">
      <c r="A672" s="108" t="s">
        <v>18</v>
      </c>
      <c r="B672" s="117" t="s">
        <v>552</v>
      </c>
      <c r="C672" s="108">
        <f t="shared" si="40"/>
        <v>1728</v>
      </c>
      <c r="D672" s="38">
        <f t="shared" si="41"/>
        <v>1</v>
      </c>
      <c r="G672" s="113" t="s">
        <v>19</v>
      </c>
      <c r="H672" s="108" t="s">
        <v>1127</v>
      </c>
      <c r="I672" s="12">
        <v>64277</v>
      </c>
      <c r="J672" s="12">
        <v>331</v>
      </c>
      <c r="K672" s="108" t="s">
        <v>20</v>
      </c>
      <c r="L672" s="108">
        <v>1</v>
      </c>
      <c r="M672" s="116">
        <v>101000</v>
      </c>
      <c r="N672" s="116">
        <f t="shared" si="42"/>
        <v>101000</v>
      </c>
      <c r="P672" s="108">
        <f t="shared" si="43"/>
        <v>126</v>
      </c>
    </row>
    <row r="673" spans="1:16" ht="15" hidden="1" customHeight="1" x14ac:dyDescent="0.2">
      <c r="A673" s="108" t="s">
        <v>18</v>
      </c>
      <c r="B673" s="117" t="s">
        <v>552</v>
      </c>
      <c r="C673" s="108">
        <f t="shared" si="40"/>
        <v>1728</v>
      </c>
      <c r="D673" s="38">
        <f t="shared" si="41"/>
        <v>0</v>
      </c>
      <c r="G673" s="113" t="s">
        <v>19</v>
      </c>
      <c r="H673" s="108" t="s">
        <v>1127</v>
      </c>
      <c r="I673" s="12">
        <v>1331</v>
      </c>
      <c r="J673" s="12">
        <v>331</v>
      </c>
      <c r="K673" s="108" t="s">
        <v>20</v>
      </c>
      <c r="L673" s="108">
        <v>1</v>
      </c>
      <c r="M673" s="116">
        <v>7482</v>
      </c>
      <c r="N673" s="116">
        <f t="shared" si="42"/>
        <v>7482</v>
      </c>
      <c r="P673" s="108">
        <f t="shared" si="43"/>
        <v>126</v>
      </c>
    </row>
    <row r="674" spans="1:16" ht="15" hidden="1" customHeight="1" x14ac:dyDescent="0.2">
      <c r="A674" s="108" t="s">
        <v>18</v>
      </c>
      <c r="B674" s="117" t="s">
        <v>553</v>
      </c>
      <c r="C674" s="108">
        <f t="shared" si="40"/>
        <v>1729</v>
      </c>
      <c r="D674" s="38">
        <f t="shared" si="41"/>
        <v>1</v>
      </c>
      <c r="G674" s="113" t="s">
        <v>24</v>
      </c>
      <c r="H674" s="108" t="s">
        <v>1130</v>
      </c>
      <c r="I674" s="12">
        <v>64277</v>
      </c>
      <c r="J674" s="12">
        <v>331</v>
      </c>
      <c r="K674" s="108" t="s">
        <v>20</v>
      </c>
      <c r="L674" s="108">
        <v>1</v>
      </c>
      <c r="M674" s="116">
        <v>58000</v>
      </c>
      <c r="N674" s="116">
        <f t="shared" si="42"/>
        <v>58000</v>
      </c>
      <c r="P674" s="108">
        <f t="shared" si="43"/>
        <v>169</v>
      </c>
    </row>
    <row r="675" spans="1:16" ht="15" hidden="1" customHeight="1" x14ac:dyDescent="0.2">
      <c r="A675" s="108" t="s">
        <v>18</v>
      </c>
      <c r="B675" s="117" t="s">
        <v>553</v>
      </c>
      <c r="C675" s="108">
        <f t="shared" si="40"/>
        <v>1729</v>
      </c>
      <c r="D675" s="38">
        <f t="shared" si="41"/>
        <v>0</v>
      </c>
      <c r="G675" s="113" t="s">
        <v>24</v>
      </c>
      <c r="H675" s="108" t="s">
        <v>1130</v>
      </c>
      <c r="I675" s="12">
        <v>1331</v>
      </c>
      <c r="J675" s="12">
        <v>331</v>
      </c>
      <c r="K675" s="108" t="s">
        <v>20</v>
      </c>
      <c r="L675" s="108">
        <v>1</v>
      </c>
      <c r="M675" s="116">
        <v>4012</v>
      </c>
      <c r="N675" s="116">
        <f t="shared" si="42"/>
        <v>4012</v>
      </c>
      <c r="P675" s="108">
        <f t="shared" si="43"/>
        <v>169</v>
      </c>
    </row>
    <row r="676" spans="1:16" ht="15" hidden="1" customHeight="1" x14ac:dyDescent="0.2">
      <c r="A676" s="108" t="s">
        <v>18</v>
      </c>
      <c r="B676" s="117" t="s">
        <v>553</v>
      </c>
      <c r="C676" s="108">
        <f t="shared" si="40"/>
        <v>1730</v>
      </c>
      <c r="D676" s="38">
        <f t="shared" si="41"/>
        <v>1</v>
      </c>
      <c r="G676" s="113" t="s">
        <v>23</v>
      </c>
      <c r="H676" s="108" t="s">
        <v>1131</v>
      </c>
      <c r="I676" s="12">
        <v>64277</v>
      </c>
      <c r="J676" s="12">
        <v>331</v>
      </c>
      <c r="K676" s="108" t="s">
        <v>20</v>
      </c>
      <c r="L676" s="108">
        <v>1</v>
      </c>
      <c r="M676" s="116">
        <v>222222</v>
      </c>
      <c r="N676" s="116">
        <f t="shared" si="42"/>
        <v>222222</v>
      </c>
      <c r="P676" s="108">
        <f t="shared" si="43"/>
        <v>179</v>
      </c>
    </row>
    <row r="677" spans="1:16" ht="15" hidden="1" customHeight="1" x14ac:dyDescent="0.2">
      <c r="A677" s="108" t="s">
        <v>18</v>
      </c>
      <c r="B677" s="117" t="s">
        <v>553</v>
      </c>
      <c r="C677" s="108">
        <f t="shared" si="40"/>
        <v>1730</v>
      </c>
      <c r="D677" s="38">
        <f t="shared" si="41"/>
        <v>0</v>
      </c>
      <c r="G677" s="113" t="s">
        <v>23</v>
      </c>
      <c r="H677" s="108" t="s">
        <v>1131</v>
      </c>
      <c r="I677" s="12">
        <v>1331</v>
      </c>
      <c r="J677" s="12">
        <v>331</v>
      </c>
      <c r="K677" s="108" t="s">
        <v>20</v>
      </c>
      <c r="L677" s="108">
        <v>1</v>
      </c>
      <c r="M677" s="116">
        <v>17778</v>
      </c>
      <c r="N677" s="116">
        <f t="shared" si="42"/>
        <v>17778</v>
      </c>
      <c r="P677" s="108">
        <f t="shared" si="43"/>
        <v>179</v>
      </c>
    </row>
    <row r="678" spans="1:16" ht="15" hidden="1" customHeight="1" x14ac:dyDescent="0.2">
      <c r="A678" s="108" t="s">
        <v>18</v>
      </c>
      <c r="B678" s="117" t="s">
        <v>553</v>
      </c>
      <c r="C678" s="108">
        <f t="shared" si="40"/>
        <v>1731</v>
      </c>
      <c r="D678" s="38">
        <f t="shared" si="41"/>
        <v>1</v>
      </c>
      <c r="G678" s="113" t="s">
        <v>35</v>
      </c>
      <c r="H678" s="108" t="s">
        <v>1129</v>
      </c>
      <c r="I678" s="12">
        <v>64277</v>
      </c>
      <c r="J678" s="12">
        <v>331</v>
      </c>
      <c r="K678" s="108" t="s">
        <v>20</v>
      </c>
      <c r="L678" s="108">
        <v>1</v>
      </c>
      <c r="M678" s="116">
        <v>3000000</v>
      </c>
      <c r="N678" s="116">
        <f t="shared" si="42"/>
        <v>3000000</v>
      </c>
      <c r="P678" s="108">
        <f t="shared" si="43"/>
        <v>41</v>
      </c>
    </row>
    <row r="679" spans="1:16" ht="15" hidden="1" customHeight="1" x14ac:dyDescent="0.2">
      <c r="A679" s="108" t="s">
        <v>18</v>
      </c>
      <c r="B679" s="117" t="s">
        <v>553</v>
      </c>
      <c r="C679" s="108">
        <f t="shared" si="40"/>
        <v>1731</v>
      </c>
      <c r="D679" s="38">
        <f t="shared" si="41"/>
        <v>0</v>
      </c>
      <c r="G679" s="113" t="s">
        <v>35</v>
      </c>
      <c r="H679" s="108" t="s">
        <v>1129</v>
      </c>
      <c r="I679" s="12">
        <v>1331</v>
      </c>
      <c r="J679" s="12">
        <v>331</v>
      </c>
      <c r="K679" s="108" t="s">
        <v>20</v>
      </c>
      <c r="L679" s="108">
        <v>1</v>
      </c>
      <c r="M679" s="116">
        <v>240000</v>
      </c>
      <c r="N679" s="116">
        <f t="shared" si="42"/>
        <v>240000</v>
      </c>
      <c r="P679" s="108">
        <f t="shared" si="43"/>
        <v>41</v>
      </c>
    </row>
    <row r="680" spans="1:16" ht="15" hidden="1" customHeight="1" x14ac:dyDescent="0.2">
      <c r="A680" s="108" t="s">
        <v>18</v>
      </c>
      <c r="B680" s="117" t="s">
        <v>554</v>
      </c>
      <c r="C680" s="108">
        <f t="shared" si="40"/>
        <v>1732</v>
      </c>
      <c r="D680" s="38">
        <f t="shared" si="41"/>
        <v>1</v>
      </c>
      <c r="G680" s="113" t="s">
        <v>1139</v>
      </c>
      <c r="H680" s="108" t="s">
        <v>1140</v>
      </c>
      <c r="I680" s="12">
        <v>64277</v>
      </c>
      <c r="J680" s="12">
        <v>331</v>
      </c>
      <c r="K680" s="108" t="s">
        <v>20</v>
      </c>
      <c r="L680" s="108">
        <v>1</v>
      </c>
      <c r="M680" s="116">
        <v>127778</v>
      </c>
      <c r="N680" s="116">
        <f t="shared" si="42"/>
        <v>127778</v>
      </c>
      <c r="P680" s="108">
        <f t="shared" si="43"/>
        <v>22</v>
      </c>
    </row>
    <row r="681" spans="1:16" ht="15" hidden="1" customHeight="1" x14ac:dyDescent="0.2">
      <c r="A681" s="108" t="s">
        <v>18</v>
      </c>
      <c r="B681" s="117" t="s">
        <v>554</v>
      </c>
      <c r="C681" s="108">
        <f t="shared" si="40"/>
        <v>1732</v>
      </c>
      <c r="D681" s="38">
        <f t="shared" si="41"/>
        <v>0</v>
      </c>
      <c r="G681" s="113" t="s">
        <v>1139</v>
      </c>
      <c r="H681" s="108" t="s">
        <v>1140</v>
      </c>
      <c r="I681" s="12">
        <v>1331</v>
      </c>
      <c r="J681" s="12">
        <v>331</v>
      </c>
      <c r="K681" s="108" t="s">
        <v>20</v>
      </c>
      <c r="L681" s="108">
        <v>1</v>
      </c>
      <c r="M681" s="116">
        <v>10222</v>
      </c>
      <c r="N681" s="116">
        <f t="shared" si="42"/>
        <v>10222</v>
      </c>
      <c r="P681" s="108">
        <f t="shared" si="43"/>
        <v>22</v>
      </c>
    </row>
    <row r="682" spans="1:16" ht="15" hidden="1" customHeight="1" x14ac:dyDescent="0.2">
      <c r="A682" s="108" t="s">
        <v>18</v>
      </c>
      <c r="B682" s="117" t="s">
        <v>554</v>
      </c>
      <c r="C682" s="108">
        <f t="shared" si="40"/>
        <v>1733</v>
      </c>
      <c r="D682" s="38">
        <f t="shared" si="41"/>
        <v>1</v>
      </c>
      <c r="G682" s="113" t="s">
        <v>24</v>
      </c>
      <c r="H682" s="108" t="s">
        <v>1135</v>
      </c>
      <c r="I682" s="12">
        <v>64277</v>
      </c>
      <c r="J682" s="12">
        <v>331</v>
      </c>
      <c r="K682" s="108" t="s">
        <v>20</v>
      </c>
      <c r="L682" s="108">
        <v>1</v>
      </c>
      <c r="M682" s="116">
        <v>112000</v>
      </c>
      <c r="N682" s="116">
        <f t="shared" si="42"/>
        <v>112000</v>
      </c>
      <c r="P682" s="108">
        <f t="shared" si="43"/>
        <v>169</v>
      </c>
    </row>
    <row r="683" spans="1:16" ht="15" hidden="1" customHeight="1" x14ac:dyDescent="0.2">
      <c r="A683" s="108" t="s">
        <v>18</v>
      </c>
      <c r="B683" s="117" t="s">
        <v>554</v>
      </c>
      <c r="C683" s="108">
        <f t="shared" si="40"/>
        <v>1733</v>
      </c>
      <c r="D683" s="38">
        <f t="shared" si="41"/>
        <v>0</v>
      </c>
      <c r="G683" s="113" t="s">
        <v>24</v>
      </c>
      <c r="H683" s="108" t="s">
        <v>1135</v>
      </c>
      <c r="I683" s="12">
        <v>1331</v>
      </c>
      <c r="J683" s="12">
        <v>331</v>
      </c>
      <c r="K683" s="108" t="s">
        <v>20</v>
      </c>
      <c r="L683" s="108">
        <v>1</v>
      </c>
      <c r="M683" s="116">
        <v>7714</v>
      </c>
      <c r="N683" s="116">
        <f t="shared" si="42"/>
        <v>7714</v>
      </c>
      <c r="P683" s="108">
        <f t="shared" si="43"/>
        <v>169</v>
      </c>
    </row>
    <row r="684" spans="1:16" ht="15" hidden="1" customHeight="1" x14ac:dyDescent="0.2">
      <c r="A684" s="108" t="s">
        <v>18</v>
      </c>
      <c r="B684" s="117" t="s">
        <v>554</v>
      </c>
      <c r="C684" s="108">
        <f t="shared" si="40"/>
        <v>1734</v>
      </c>
      <c r="D684" s="38">
        <f t="shared" si="41"/>
        <v>1</v>
      </c>
      <c r="G684" s="113" t="s">
        <v>19</v>
      </c>
      <c r="H684" s="108" t="s">
        <v>1137</v>
      </c>
      <c r="I684" s="12">
        <v>64277</v>
      </c>
      <c r="J684" s="12">
        <v>331</v>
      </c>
      <c r="K684" s="108" t="s">
        <v>20</v>
      </c>
      <c r="L684" s="108">
        <v>1</v>
      </c>
      <c r="M684" s="116">
        <v>28000</v>
      </c>
      <c r="N684" s="116">
        <f t="shared" si="42"/>
        <v>28000</v>
      </c>
      <c r="P684" s="108">
        <f t="shared" si="43"/>
        <v>126</v>
      </c>
    </row>
    <row r="685" spans="1:16" ht="15" hidden="1" customHeight="1" x14ac:dyDescent="0.2">
      <c r="A685" s="108" t="s">
        <v>18</v>
      </c>
      <c r="B685" s="117" t="s">
        <v>554</v>
      </c>
      <c r="C685" s="108">
        <f t="shared" si="40"/>
        <v>1734</v>
      </c>
      <c r="D685" s="38">
        <f t="shared" si="41"/>
        <v>0</v>
      </c>
      <c r="G685" s="113" t="s">
        <v>19</v>
      </c>
      <c r="H685" s="108" t="s">
        <v>1137</v>
      </c>
      <c r="I685" s="12">
        <v>1331</v>
      </c>
      <c r="J685" s="12">
        <v>331</v>
      </c>
      <c r="K685" s="108" t="s">
        <v>20</v>
      </c>
      <c r="L685" s="108">
        <v>1</v>
      </c>
      <c r="M685" s="116">
        <v>2074</v>
      </c>
      <c r="N685" s="116">
        <f t="shared" si="42"/>
        <v>2074</v>
      </c>
      <c r="P685" s="108">
        <f t="shared" si="43"/>
        <v>126</v>
      </c>
    </row>
    <row r="686" spans="1:16" ht="15" hidden="1" customHeight="1" x14ac:dyDescent="0.2">
      <c r="A686" s="108" t="s">
        <v>18</v>
      </c>
      <c r="B686" s="117" t="s">
        <v>554</v>
      </c>
      <c r="C686" s="108">
        <f t="shared" si="40"/>
        <v>1735</v>
      </c>
      <c r="D686" s="38">
        <f t="shared" si="41"/>
        <v>1</v>
      </c>
      <c r="G686" s="113" t="s">
        <v>19</v>
      </c>
      <c r="H686" s="108" t="s">
        <v>1136</v>
      </c>
      <c r="I686" s="12">
        <v>64277</v>
      </c>
      <c r="J686" s="12">
        <v>331</v>
      </c>
      <c r="K686" s="108" t="s">
        <v>20</v>
      </c>
      <c r="L686" s="108">
        <v>1</v>
      </c>
      <c r="M686" s="116">
        <v>45000</v>
      </c>
      <c r="N686" s="116">
        <f t="shared" si="42"/>
        <v>45000</v>
      </c>
      <c r="P686" s="108">
        <f t="shared" si="43"/>
        <v>126</v>
      </c>
    </row>
    <row r="687" spans="1:16" ht="15" hidden="1" customHeight="1" x14ac:dyDescent="0.2">
      <c r="A687" s="108" t="s">
        <v>18</v>
      </c>
      <c r="B687" s="117" t="s">
        <v>554</v>
      </c>
      <c r="C687" s="108">
        <f t="shared" si="40"/>
        <v>1735</v>
      </c>
      <c r="D687" s="38">
        <f t="shared" si="41"/>
        <v>0</v>
      </c>
      <c r="G687" s="113" t="s">
        <v>19</v>
      </c>
      <c r="H687" s="108" t="s">
        <v>1136</v>
      </c>
      <c r="I687" s="12">
        <v>1331</v>
      </c>
      <c r="J687" s="12">
        <v>331</v>
      </c>
      <c r="K687" s="108" t="s">
        <v>20</v>
      </c>
      <c r="L687" s="108">
        <v>1</v>
      </c>
      <c r="M687" s="116">
        <v>3334</v>
      </c>
      <c r="N687" s="116">
        <f t="shared" si="42"/>
        <v>3334</v>
      </c>
      <c r="P687" s="108">
        <f t="shared" si="43"/>
        <v>126</v>
      </c>
    </row>
    <row r="688" spans="1:16" ht="15" hidden="1" customHeight="1" x14ac:dyDescent="0.2">
      <c r="A688" s="108" t="s">
        <v>18</v>
      </c>
      <c r="B688" s="117" t="s">
        <v>554</v>
      </c>
      <c r="C688" s="108">
        <f t="shared" si="40"/>
        <v>1736</v>
      </c>
      <c r="D688" s="38">
        <f t="shared" si="41"/>
        <v>1</v>
      </c>
      <c r="G688" s="113" t="s">
        <v>1132</v>
      </c>
      <c r="H688" s="108" t="s">
        <v>1133</v>
      </c>
      <c r="I688" s="12">
        <v>64277</v>
      </c>
      <c r="J688" s="12">
        <v>331</v>
      </c>
      <c r="K688" s="108" t="s">
        <v>20</v>
      </c>
      <c r="L688" s="108">
        <v>1</v>
      </c>
      <c r="M688" s="116">
        <v>151852</v>
      </c>
      <c r="N688" s="116">
        <f t="shared" si="42"/>
        <v>151852</v>
      </c>
      <c r="P688" s="108">
        <f t="shared" si="43"/>
        <v>106</v>
      </c>
    </row>
    <row r="689" spans="1:16" ht="15" hidden="1" customHeight="1" x14ac:dyDescent="0.2">
      <c r="A689" s="108" t="s">
        <v>18</v>
      </c>
      <c r="B689" s="117" t="s">
        <v>554</v>
      </c>
      <c r="C689" s="108">
        <f t="shared" si="40"/>
        <v>1736</v>
      </c>
      <c r="D689" s="38">
        <f t="shared" si="41"/>
        <v>0</v>
      </c>
      <c r="G689" s="113" t="s">
        <v>1132</v>
      </c>
      <c r="H689" s="108" t="s">
        <v>1133</v>
      </c>
      <c r="I689" s="12">
        <v>1331</v>
      </c>
      <c r="J689" s="12">
        <v>331</v>
      </c>
      <c r="K689" s="108" t="s">
        <v>20</v>
      </c>
      <c r="L689" s="108">
        <v>1</v>
      </c>
      <c r="M689" s="116">
        <v>12148</v>
      </c>
      <c r="N689" s="116">
        <f t="shared" si="42"/>
        <v>12148</v>
      </c>
      <c r="P689" s="108">
        <f t="shared" si="43"/>
        <v>106</v>
      </c>
    </row>
    <row r="690" spans="1:16" ht="15" hidden="1" customHeight="1" x14ac:dyDescent="0.2">
      <c r="A690" s="108" t="s">
        <v>18</v>
      </c>
      <c r="B690" s="117" t="s">
        <v>554</v>
      </c>
      <c r="C690" s="108">
        <f t="shared" si="40"/>
        <v>1737</v>
      </c>
      <c r="D690" s="38">
        <f t="shared" si="41"/>
        <v>1</v>
      </c>
      <c r="G690" s="113" t="s">
        <v>23</v>
      </c>
      <c r="H690" s="108" t="s">
        <v>1138</v>
      </c>
      <c r="I690" s="12">
        <v>64277</v>
      </c>
      <c r="J690" s="12">
        <v>331</v>
      </c>
      <c r="K690" s="108" t="s">
        <v>20</v>
      </c>
      <c r="L690" s="108">
        <v>1</v>
      </c>
      <c r="M690" s="116">
        <v>160185</v>
      </c>
      <c r="N690" s="116">
        <f t="shared" si="42"/>
        <v>160185</v>
      </c>
      <c r="P690" s="108">
        <f t="shared" si="43"/>
        <v>161</v>
      </c>
    </row>
    <row r="691" spans="1:16" ht="15" hidden="1" customHeight="1" x14ac:dyDescent="0.2">
      <c r="A691" s="108" t="s">
        <v>18</v>
      </c>
      <c r="B691" s="117" t="s">
        <v>554</v>
      </c>
      <c r="C691" s="108">
        <f t="shared" si="40"/>
        <v>1737</v>
      </c>
      <c r="D691" s="38">
        <f t="shared" si="41"/>
        <v>0</v>
      </c>
      <c r="G691" s="113" t="s">
        <v>23</v>
      </c>
      <c r="H691" s="108" t="s">
        <v>1138</v>
      </c>
      <c r="I691" s="12">
        <v>1331</v>
      </c>
      <c r="J691" s="12">
        <v>331</v>
      </c>
      <c r="K691" s="108" t="s">
        <v>20</v>
      </c>
      <c r="L691" s="108">
        <v>1</v>
      </c>
      <c r="M691" s="116">
        <v>12815</v>
      </c>
      <c r="N691" s="116">
        <f t="shared" si="42"/>
        <v>12815</v>
      </c>
      <c r="P691" s="108">
        <f t="shared" si="43"/>
        <v>161</v>
      </c>
    </row>
    <row r="692" spans="1:16" ht="15" hidden="1" customHeight="1" x14ac:dyDescent="0.2">
      <c r="A692" s="108" t="s">
        <v>18</v>
      </c>
      <c r="B692" s="117" t="s">
        <v>554</v>
      </c>
      <c r="C692" s="108">
        <f t="shared" si="40"/>
        <v>1738</v>
      </c>
      <c r="D692" s="38">
        <f t="shared" si="41"/>
        <v>1</v>
      </c>
      <c r="G692" s="113" t="s">
        <v>27</v>
      </c>
      <c r="H692" s="108" t="s">
        <v>1134</v>
      </c>
      <c r="I692" s="12">
        <v>64277</v>
      </c>
      <c r="J692" s="12">
        <v>331</v>
      </c>
      <c r="K692" s="108" t="s">
        <v>20</v>
      </c>
      <c r="L692" s="108">
        <v>1</v>
      </c>
      <c r="M692" s="116">
        <v>154000</v>
      </c>
      <c r="N692" s="116">
        <f t="shared" si="42"/>
        <v>154000</v>
      </c>
      <c r="P692" s="108">
        <f t="shared" si="43"/>
        <v>48</v>
      </c>
    </row>
    <row r="693" spans="1:16" ht="15" hidden="1" customHeight="1" x14ac:dyDescent="0.2">
      <c r="A693" s="108" t="s">
        <v>18</v>
      </c>
      <c r="B693" s="117" t="s">
        <v>554</v>
      </c>
      <c r="C693" s="108">
        <f t="shared" si="40"/>
        <v>1738</v>
      </c>
      <c r="D693" s="38">
        <f t="shared" si="41"/>
        <v>0</v>
      </c>
      <c r="G693" s="113" t="s">
        <v>27</v>
      </c>
      <c r="H693" s="108" t="s">
        <v>1134</v>
      </c>
      <c r="I693" s="12">
        <v>1331</v>
      </c>
      <c r="J693" s="12">
        <v>331</v>
      </c>
      <c r="K693" s="108" t="s">
        <v>20</v>
      </c>
      <c r="L693" s="108">
        <v>1</v>
      </c>
      <c r="M693" s="116">
        <v>12320</v>
      </c>
      <c r="N693" s="116">
        <f t="shared" si="42"/>
        <v>12320</v>
      </c>
      <c r="P693" s="108">
        <f t="shared" si="43"/>
        <v>48</v>
      </c>
    </row>
    <row r="694" spans="1:16" ht="15" hidden="1" customHeight="1" x14ac:dyDescent="0.2">
      <c r="A694" s="108" t="s">
        <v>18</v>
      </c>
      <c r="B694" s="117" t="s">
        <v>661</v>
      </c>
      <c r="C694" s="108">
        <f t="shared" si="40"/>
        <v>1739</v>
      </c>
      <c r="D694" s="38">
        <f t="shared" si="41"/>
        <v>1</v>
      </c>
      <c r="G694" s="113" t="s">
        <v>1148</v>
      </c>
      <c r="H694" s="108" t="s">
        <v>3703</v>
      </c>
      <c r="I694" s="12">
        <v>64277</v>
      </c>
      <c r="J694" s="12">
        <v>331</v>
      </c>
      <c r="K694" s="108" t="s">
        <v>20</v>
      </c>
      <c r="L694" s="108">
        <v>1</v>
      </c>
      <c r="M694" s="116">
        <v>1090005</v>
      </c>
      <c r="N694" s="116">
        <f t="shared" si="42"/>
        <v>1090005</v>
      </c>
      <c r="P694" s="108">
        <f t="shared" si="43"/>
        <v>41</v>
      </c>
    </row>
    <row r="695" spans="1:16" ht="15" hidden="1" customHeight="1" x14ac:dyDescent="0.2">
      <c r="A695" s="108" t="s">
        <v>18</v>
      </c>
      <c r="B695" s="117" t="s">
        <v>661</v>
      </c>
      <c r="C695" s="108">
        <f t="shared" si="40"/>
        <v>1739</v>
      </c>
      <c r="D695" s="38">
        <f t="shared" si="41"/>
        <v>0</v>
      </c>
      <c r="G695" s="113" t="s">
        <v>1148</v>
      </c>
      <c r="H695" s="108" t="s">
        <v>3703</v>
      </c>
      <c r="I695" s="12">
        <v>1331</v>
      </c>
      <c r="J695" s="12">
        <v>331</v>
      </c>
      <c r="K695" s="108" t="s">
        <v>20</v>
      </c>
      <c r="L695" s="108">
        <v>1</v>
      </c>
      <c r="M695" s="116">
        <v>87200</v>
      </c>
      <c r="N695" s="116">
        <f t="shared" si="42"/>
        <v>87200</v>
      </c>
      <c r="P695" s="108">
        <f t="shared" si="43"/>
        <v>41</v>
      </c>
    </row>
    <row r="696" spans="1:16" ht="15" hidden="1" customHeight="1" x14ac:dyDescent="0.2">
      <c r="A696" s="108" t="s">
        <v>18</v>
      </c>
      <c r="B696" s="117" t="s">
        <v>661</v>
      </c>
      <c r="C696" s="108">
        <f t="shared" si="40"/>
        <v>1740</v>
      </c>
      <c r="D696" s="38">
        <f t="shared" si="41"/>
        <v>1</v>
      </c>
      <c r="G696" s="113" t="s">
        <v>19</v>
      </c>
      <c r="H696" s="108" t="s">
        <v>1146</v>
      </c>
      <c r="I696" s="12">
        <v>64277</v>
      </c>
      <c r="J696" s="12">
        <v>331</v>
      </c>
      <c r="K696" s="108" t="s">
        <v>20</v>
      </c>
      <c r="L696" s="108">
        <v>1</v>
      </c>
      <c r="M696" s="116">
        <v>76000</v>
      </c>
      <c r="N696" s="116">
        <f t="shared" si="42"/>
        <v>76000</v>
      </c>
      <c r="P696" s="108">
        <f t="shared" si="43"/>
        <v>126</v>
      </c>
    </row>
    <row r="697" spans="1:16" ht="15" hidden="1" customHeight="1" x14ac:dyDescent="0.2">
      <c r="A697" s="108" t="s">
        <v>18</v>
      </c>
      <c r="B697" s="117" t="s">
        <v>661</v>
      </c>
      <c r="C697" s="108">
        <f t="shared" si="40"/>
        <v>1740</v>
      </c>
      <c r="D697" s="38">
        <f t="shared" si="41"/>
        <v>0</v>
      </c>
      <c r="G697" s="113" t="s">
        <v>19</v>
      </c>
      <c r="H697" s="108" t="s">
        <v>1146</v>
      </c>
      <c r="I697" s="12">
        <v>1331</v>
      </c>
      <c r="J697" s="12">
        <v>331</v>
      </c>
      <c r="K697" s="108" t="s">
        <v>20</v>
      </c>
      <c r="L697" s="108">
        <v>1</v>
      </c>
      <c r="M697" s="116">
        <v>5630</v>
      </c>
      <c r="N697" s="116">
        <f t="shared" si="42"/>
        <v>5630</v>
      </c>
      <c r="P697" s="108">
        <f t="shared" si="43"/>
        <v>126</v>
      </c>
    </row>
    <row r="698" spans="1:16" ht="15" hidden="1" customHeight="1" x14ac:dyDescent="0.2">
      <c r="A698" s="108" t="s">
        <v>18</v>
      </c>
      <c r="B698" s="117" t="s">
        <v>661</v>
      </c>
      <c r="C698" s="108">
        <f t="shared" si="40"/>
        <v>1741</v>
      </c>
      <c r="D698" s="38">
        <f t="shared" si="41"/>
        <v>1</v>
      </c>
      <c r="G698" s="113" t="s">
        <v>19</v>
      </c>
      <c r="H698" s="108" t="s">
        <v>1145</v>
      </c>
      <c r="I698" s="12">
        <v>64277</v>
      </c>
      <c r="J698" s="12">
        <v>331</v>
      </c>
      <c r="K698" s="108" t="s">
        <v>20</v>
      </c>
      <c r="L698" s="108">
        <v>1</v>
      </c>
      <c r="M698" s="116">
        <v>108000</v>
      </c>
      <c r="N698" s="116">
        <f t="shared" si="42"/>
        <v>108000</v>
      </c>
      <c r="P698" s="108">
        <f t="shared" si="43"/>
        <v>126</v>
      </c>
    </row>
    <row r="699" spans="1:16" ht="15" hidden="1" customHeight="1" x14ac:dyDescent="0.2">
      <c r="A699" s="108" t="s">
        <v>18</v>
      </c>
      <c r="B699" s="117" t="s">
        <v>661</v>
      </c>
      <c r="C699" s="108">
        <f t="shared" si="40"/>
        <v>1741</v>
      </c>
      <c r="D699" s="38">
        <f t="shared" si="41"/>
        <v>0</v>
      </c>
      <c r="G699" s="113" t="s">
        <v>19</v>
      </c>
      <c r="H699" s="108" t="s">
        <v>1145</v>
      </c>
      <c r="I699" s="12">
        <v>1331</v>
      </c>
      <c r="J699" s="12">
        <v>331</v>
      </c>
      <c r="K699" s="108" t="s">
        <v>20</v>
      </c>
      <c r="L699" s="108">
        <v>1</v>
      </c>
      <c r="M699" s="116">
        <v>8000</v>
      </c>
      <c r="N699" s="116">
        <f t="shared" si="42"/>
        <v>8000</v>
      </c>
      <c r="P699" s="108">
        <f t="shared" si="43"/>
        <v>126</v>
      </c>
    </row>
    <row r="700" spans="1:16" ht="15" hidden="1" customHeight="1" x14ac:dyDescent="0.2">
      <c r="A700" s="108" t="s">
        <v>18</v>
      </c>
      <c r="B700" s="117" t="s">
        <v>661</v>
      </c>
      <c r="C700" s="108">
        <f t="shared" si="40"/>
        <v>1742</v>
      </c>
      <c r="D700" s="38">
        <f t="shared" si="41"/>
        <v>1</v>
      </c>
      <c r="G700" s="113" t="s">
        <v>19</v>
      </c>
      <c r="H700" s="108" t="s">
        <v>1144</v>
      </c>
      <c r="I700" s="12">
        <v>64277</v>
      </c>
      <c r="J700" s="12">
        <v>331</v>
      </c>
      <c r="K700" s="108" t="s">
        <v>20</v>
      </c>
      <c r="L700" s="108">
        <v>1</v>
      </c>
      <c r="M700" s="116">
        <v>105000</v>
      </c>
      <c r="N700" s="116">
        <f t="shared" si="42"/>
        <v>105000</v>
      </c>
      <c r="P700" s="108">
        <f t="shared" si="43"/>
        <v>126</v>
      </c>
    </row>
    <row r="701" spans="1:16" ht="15" hidden="1" customHeight="1" x14ac:dyDescent="0.2">
      <c r="A701" s="108" t="s">
        <v>18</v>
      </c>
      <c r="B701" s="117" t="s">
        <v>661</v>
      </c>
      <c r="C701" s="108">
        <f t="shared" si="40"/>
        <v>1742</v>
      </c>
      <c r="D701" s="38">
        <f t="shared" si="41"/>
        <v>0</v>
      </c>
      <c r="G701" s="113" t="s">
        <v>19</v>
      </c>
      <c r="H701" s="108" t="s">
        <v>1144</v>
      </c>
      <c r="I701" s="12">
        <v>1331</v>
      </c>
      <c r="J701" s="12">
        <v>331</v>
      </c>
      <c r="K701" s="108" t="s">
        <v>20</v>
      </c>
      <c r="L701" s="108">
        <v>1</v>
      </c>
      <c r="M701" s="116">
        <v>7778</v>
      </c>
      <c r="N701" s="116">
        <f t="shared" si="42"/>
        <v>7778</v>
      </c>
      <c r="P701" s="108">
        <f t="shared" si="43"/>
        <v>126</v>
      </c>
    </row>
    <row r="702" spans="1:16" ht="15" hidden="1" customHeight="1" x14ac:dyDescent="0.2">
      <c r="A702" s="108" t="s">
        <v>18</v>
      </c>
      <c r="B702" s="117" t="s">
        <v>661</v>
      </c>
      <c r="C702" s="108">
        <f t="shared" si="40"/>
        <v>1743</v>
      </c>
      <c r="D702" s="38">
        <f t="shared" si="41"/>
        <v>1</v>
      </c>
      <c r="G702" s="113" t="s">
        <v>19</v>
      </c>
      <c r="H702" s="108" t="s">
        <v>1143</v>
      </c>
      <c r="I702" s="12">
        <v>64277</v>
      </c>
      <c r="J702" s="12">
        <v>331</v>
      </c>
      <c r="K702" s="108" t="s">
        <v>20</v>
      </c>
      <c r="L702" s="108">
        <v>1</v>
      </c>
      <c r="M702" s="116">
        <v>37000</v>
      </c>
      <c r="N702" s="116">
        <f t="shared" si="42"/>
        <v>37000</v>
      </c>
      <c r="P702" s="108">
        <f t="shared" si="43"/>
        <v>126</v>
      </c>
    </row>
    <row r="703" spans="1:16" ht="15" hidden="1" customHeight="1" x14ac:dyDescent="0.2">
      <c r="A703" s="108" t="s">
        <v>18</v>
      </c>
      <c r="B703" s="117" t="s">
        <v>661</v>
      </c>
      <c r="C703" s="108">
        <f t="shared" si="40"/>
        <v>1743</v>
      </c>
      <c r="D703" s="38">
        <f t="shared" si="41"/>
        <v>0</v>
      </c>
      <c r="G703" s="113" t="s">
        <v>19</v>
      </c>
      <c r="H703" s="108" t="s">
        <v>1143</v>
      </c>
      <c r="I703" s="12">
        <v>1331</v>
      </c>
      <c r="J703" s="12">
        <v>331</v>
      </c>
      <c r="K703" s="108" t="s">
        <v>20</v>
      </c>
      <c r="L703" s="108">
        <v>1</v>
      </c>
      <c r="M703" s="116">
        <v>2741</v>
      </c>
      <c r="N703" s="116">
        <f t="shared" si="42"/>
        <v>2741</v>
      </c>
      <c r="P703" s="108">
        <f t="shared" si="43"/>
        <v>126</v>
      </c>
    </row>
    <row r="704" spans="1:16" ht="15" hidden="1" customHeight="1" x14ac:dyDescent="0.2">
      <c r="A704" s="108" t="s">
        <v>18</v>
      </c>
      <c r="B704" s="117" t="s">
        <v>661</v>
      </c>
      <c r="C704" s="108">
        <f t="shared" si="40"/>
        <v>1744</v>
      </c>
      <c r="D704" s="38">
        <f t="shared" si="41"/>
        <v>1</v>
      </c>
      <c r="G704" s="113" t="s">
        <v>19</v>
      </c>
      <c r="H704" s="108" t="s">
        <v>1142</v>
      </c>
      <c r="I704" s="12">
        <v>64277</v>
      </c>
      <c r="J704" s="12">
        <v>331</v>
      </c>
      <c r="K704" s="108" t="s">
        <v>20</v>
      </c>
      <c r="L704" s="108">
        <v>1</v>
      </c>
      <c r="M704" s="116">
        <v>67000</v>
      </c>
      <c r="N704" s="116">
        <f t="shared" si="42"/>
        <v>67000</v>
      </c>
      <c r="P704" s="108">
        <f t="shared" si="43"/>
        <v>126</v>
      </c>
    </row>
    <row r="705" spans="1:16" ht="15" hidden="1" customHeight="1" x14ac:dyDescent="0.2">
      <c r="A705" s="108" t="s">
        <v>18</v>
      </c>
      <c r="B705" s="117" t="s">
        <v>661</v>
      </c>
      <c r="C705" s="108">
        <f t="shared" si="40"/>
        <v>1744</v>
      </c>
      <c r="D705" s="38">
        <f t="shared" si="41"/>
        <v>0</v>
      </c>
      <c r="G705" s="113" t="s">
        <v>19</v>
      </c>
      <c r="H705" s="108" t="s">
        <v>1142</v>
      </c>
      <c r="I705" s="12">
        <v>1331</v>
      </c>
      <c r="J705" s="12">
        <v>331</v>
      </c>
      <c r="K705" s="108" t="s">
        <v>20</v>
      </c>
      <c r="L705" s="108">
        <v>1</v>
      </c>
      <c r="M705" s="116">
        <v>4962</v>
      </c>
      <c r="N705" s="116">
        <f t="shared" si="42"/>
        <v>4962</v>
      </c>
      <c r="P705" s="108">
        <f t="shared" si="43"/>
        <v>126</v>
      </c>
    </row>
    <row r="706" spans="1:16" ht="15" hidden="1" customHeight="1" x14ac:dyDescent="0.2">
      <c r="A706" s="108" t="s">
        <v>18</v>
      </c>
      <c r="B706" s="117" t="s">
        <v>661</v>
      </c>
      <c r="C706" s="108">
        <f t="shared" si="40"/>
        <v>1745</v>
      </c>
      <c r="D706" s="38">
        <f t="shared" si="41"/>
        <v>1</v>
      </c>
      <c r="G706" s="113" t="s">
        <v>19</v>
      </c>
      <c r="H706" s="108" t="s">
        <v>1141</v>
      </c>
      <c r="I706" s="12">
        <v>64277</v>
      </c>
      <c r="J706" s="12">
        <v>331</v>
      </c>
      <c r="K706" s="108" t="s">
        <v>20</v>
      </c>
      <c r="L706" s="108">
        <v>1</v>
      </c>
      <c r="M706" s="116">
        <v>138000</v>
      </c>
      <c r="N706" s="116">
        <f t="shared" si="42"/>
        <v>138000</v>
      </c>
      <c r="P706" s="108">
        <f t="shared" si="43"/>
        <v>126</v>
      </c>
    </row>
    <row r="707" spans="1:16" ht="15" hidden="1" customHeight="1" x14ac:dyDescent="0.2">
      <c r="A707" s="108" t="s">
        <v>18</v>
      </c>
      <c r="B707" s="117" t="s">
        <v>661</v>
      </c>
      <c r="C707" s="108">
        <f t="shared" si="40"/>
        <v>1745</v>
      </c>
      <c r="D707" s="38">
        <f t="shared" si="41"/>
        <v>0</v>
      </c>
      <c r="G707" s="113" t="s">
        <v>19</v>
      </c>
      <c r="H707" s="108" t="s">
        <v>1141</v>
      </c>
      <c r="I707" s="12">
        <v>1331</v>
      </c>
      <c r="J707" s="12">
        <v>331</v>
      </c>
      <c r="K707" s="108" t="s">
        <v>20</v>
      </c>
      <c r="L707" s="108">
        <v>1</v>
      </c>
      <c r="M707" s="116">
        <v>10222</v>
      </c>
      <c r="N707" s="116">
        <f t="shared" si="42"/>
        <v>10222</v>
      </c>
      <c r="P707" s="108">
        <f t="shared" si="43"/>
        <v>126</v>
      </c>
    </row>
    <row r="708" spans="1:16" ht="15" hidden="1" customHeight="1" x14ac:dyDescent="0.2">
      <c r="A708" s="108" t="s">
        <v>18</v>
      </c>
      <c r="B708" s="117" t="s">
        <v>661</v>
      </c>
      <c r="C708" s="108">
        <f t="shared" ref="C708:C771" si="44">C707+D708</f>
        <v>1746</v>
      </c>
      <c r="D708" s="38">
        <f t="shared" ref="D708:D771" si="45">IF(H708=H707,0,1)</f>
        <v>1</v>
      </c>
      <c r="G708" s="113" t="s">
        <v>23</v>
      </c>
      <c r="H708" s="108" t="s">
        <v>1147</v>
      </c>
      <c r="I708" s="12">
        <v>64277</v>
      </c>
      <c r="J708" s="12">
        <v>331</v>
      </c>
      <c r="K708" s="108" t="s">
        <v>20</v>
      </c>
      <c r="L708" s="108">
        <v>1</v>
      </c>
      <c r="M708" s="116">
        <v>87037</v>
      </c>
      <c r="N708" s="116">
        <f t="shared" ref="N708:N771" si="46">M708*L708</f>
        <v>87037</v>
      </c>
      <c r="P708" s="108">
        <f t="shared" ref="P708:P771" si="47">LEN(H708)</f>
        <v>123</v>
      </c>
    </row>
    <row r="709" spans="1:16" ht="15" hidden="1" customHeight="1" x14ac:dyDescent="0.2">
      <c r="A709" s="108" t="s">
        <v>18</v>
      </c>
      <c r="B709" s="117" t="s">
        <v>661</v>
      </c>
      <c r="C709" s="108">
        <f t="shared" si="44"/>
        <v>1746</v>
      </c>
      <c r="D709" s="38">
        <f t="shared" si="45"/>
        <v>0</v>
      </c>
      <c r="G709" s="113" t="s">
        <v>23</v>
      </c>
      <c r="H709" s="108" t="s">
        <v>1147</v>
      </c>
      <c r="I709" s="12">
        <v>1331</v>
      </c>
      <c r="J709" s="12">
        <v>331</v>
      </c>
      <c r="K709" s="108" t="s">
        <v>20</v>
      </c>
      <c r="L709" s="108">
        <v>1</v>
      </c>
      <c r="M709" s="116">
        <v>6963</v>
      </c>
      <c r="N709" s="116">
        <f t="shared" si="46"/>
        <v>6963</v>
      </c>
      <c r="P709" s="108">
        <f t="shared" si="47"/>
        <v>123</v>
      </c>
    </row>
    <row r="710" spans="1:16" ht="15" hidden="1" customHeight="1" x14ac:dyDescent="0.2">
      <c r="A710" s="108" t="s">
        <v>18</v>
      </c>
      <c r="B710" s="117" t="s">
        <v>947</v>
      </c>
      <c r="C710" s="108">
        <f t="shared" si="44"/>
        <v>1747</v>
      </c>
      <c r="D710" s="38">
        <f t="shared" si="45"/>
        <v>1</v>
      </c>
      <c r="G710" s="113" t="s">
        <v>19</v>
      </c>
      <c r="H710" s="108" t="s">
        <v>1152</v>
      </c>
      <c r="I710" s="12">
        <v>64277</v>
      </c>
      <c r="J710" s="12">
        <v>331</v>
      </c>
      <c r="K710" s="108" t="s">
        <v>20</v>
      </c>
      <c r="L710" s="108">
        <v>1</v>
      </c>
      <c r="M710" s="116">
        <v>88000</v>
      </c>
      <c r="N710" s="116">
        <f t="shared" si="46"/>
        <v>88000</v>
      </c>
      <c r="P710" s="108">
        <f t="shared" si="47"/>
        <v>126</v>
      </c>
    </row>
    <row r="711" spans="1:16" ht="15" hidden="1" customHeight="1" x14ac:dyDescent="0.2">
      <c r="A711" s="108" t="s">
        <v>18</v>
      </c>
      <c r="B711" s="117" t="s">
        <v>947</v>
      </c>
      <c r="C711" s="108">
        <f t="shared" si="44"/>
        <v>1747</v>
      </c>
      <c r="D711" s="38">
        <f t="shared" si="45"/>
        <v>0</v>
      </c>
      <c r="G711" s="113" t="s">
        <v>19</v>
      </c>
      <c r="H711" s="108" t="s">
        <v>1152</v>
      </c>
      <c r="I711" s="12">
        <v>1331</v>
      </c>
      <c r="J711" s="12">
        <v>331</v>
      </c>
      <c r="K711" s="108" t="s">
        <v>20</v>
      </c>
      <c r="L711" s="108">
        <v>1</v>
      </c>
      <c r="M711" s="116">
        <v>6518</v>
      </c>
      <c r="N711" s="116">
        <f t="shared" si="46"/>
        <v>6518</v>
      </c>
      <c r="P711" s="108">
        <f t="shared" si="47"/>
        <v>126</v>
      </c>
    </row>
    <row r="712" spans="1:16" ht="15" hidden="1" customHeight="1" x14ac:dyDescent="0.2">
      <c r="A712" s="108" t="s">
        <v>18</v>
      </c>
      <c r="B712" s="117" t="s">
        <v>947</v>
      </c>
      <c r="C712" s="108">
        <f t="shared" si="44"/>
        <v>1748</v>
      </c>
      <c r="D712" s="38">
        <f t="shared" si="45"/>
        <v>1</v>
      </c>
      <c r="G712" s="113" t="s">
        <v>19</v>
      </c>
      <c r="H712" s="108" t="s">
        <v>1151</v>
      </c>
      <c r="I712" s="12">
        <v>64277</v>
      </c>
      <c r="J712" s="12">
        <v>331</v>
      </c>
      <c r="K712" s="108" t="s">
        <v>20</v>
      </c>
      <c r="L712" s="108">
        <v>1</v>
      </c>
      <c r="M712" s="116">
        <v>28000</v>
      </c>
      <c r="N712" s="116">
        <f t="shared" si="46"/>
        <v>28000</v>
      </c>
      <c r="P712" s="108">
        <f t="shared" si="47"/>
        <v>126</v>
      </c>
    </row>
    <row r="713" spans="1:16" ht="15" hidden="1" customHeight="1" x14ac:dyDescent="0.2">
      <c r="A713" s="108" t="s">
        <v>18</v>
      </c>
      <c r="B713" s="117" t="s">
        <v>947</v>
      </c>
      <c r="C713" s="108">
        <f t="shared" si="44"/>
        <v>1748</v>
      </c>
      <c r="D713" s="38">
        <f t="shared" si="45"/>
        <v>0</v>
      </c>
      <c r="G713" s="113" t="s">
        <v>19</v>
      </c>
      <c r="H713" s="108" t="s">
        <v>1151</v>
      </c>
      <c r="I713" s="12">
        <v>1331</v>
      </c>
      <c r="J713" s="12">
        <v>331</v>
      </c>
      <c r="K713" s="108" t="s">
        <v>20</v>
      </c>
      <c r="L713" s="108">
        <v>1</v>
      </c>
      <c r="M713" s="116">
        <v>2074</v>
      </c>
      <c r="N713" s="116">
        <f t="shared" si="46"/>
        <v>2074</v>
      </c>
      <c r="P713" s="108">
        <f t="shared" si="47"/>
        <v>126</v>
      </c>
    </row>
    <row r="714" spans="1:16" ht="15" hidden="1" customHeight="1" x14ac:dyDescent="0.2">
      <c r="A714" s="108" t="s">
        <v>18</v>
      </c>
      <c r="B714" s="117" t="s">
        <v>947</v>
      </c>
      <c r="C714" s="108">
        <f t="shared" si="44"/>
        <v>1749</v>
      </c>
      <c r="D714" s="38">
        <f t="shared" si="45"/>
        <v>1</v>
      </c>
      <c r="G714" s="113" t="s">
        <v>19</v>
      </c>
      <c r="H714" s="108" t="s">
        <v>1150</v>
      </c>
      <c r="I714" s="12">
        <v>64277</v>
      </c>
      <c r="J714" s="12">
        <v>331</v>
      </c>
      <c r="K714" s="108" t="s">
        <v>20</v>
      </c>
      <c r="L714" s="108">
        <v>1</v>
      </c>
      <c r="M714" s="116">
        <v>96000</v>
      </c>
      <c r="N714" s="116">
        <f t="shared" si="46"/>
        <v>96000</v>
      </c>
      <c r="P714" s="108">
        <f t="shared" si="47"/>
        <v>126</v>
      </c>
    </row>
    <row r="715" spans="1:16" ht="15" hidden="1" customHeight="1" x14ac:dyDescent="0.2">
      <c r="A715" s="108" t="s">
        <v>18</v>
      </c>
      <c r="B715" s="117" t="s">
        <v>947</v>
      </c>
      <c r="C715" s="108">
        <f t="shared" si="44"/>
        <v>1749</v>
      </c>
      <c r="D715" s="38">
        <f t="shared" si="45"/>
        <v>0</v>
      </c>
      <c r="G715" s="113" t="s">
        <v>19</v>
      </c>
      <c r="H715" s="108" t="s">
        <v>1150</v>
      </c>
      <c r="I715" s="12">
        <v>1331</v>
      </c>
      <c r="J715" s="12">
        <v>331</v>
      </c>
      <c r="K715" s="108" t="s">
        <v>20</v>
      </c>
      <c r="L715" s="108">
        <v>1</v>
      </c>
      <c r="M715" s="116">
        <v>7111</v>
      </c>
      <c r="N715" s="116">
        <f t="shared" si="46"/>
        <v>7111</v>
      </c>
      <c r="P715" s="108">
        <f t="shared" si="47"/>
        <v>126</v>
      </c>
    </row>
    <row r="716" spans="1:16" ht="15" hidden="1" customHeight="1" x14ac:dyDescent="0.2">
      <c r="A716" s="108" t="s">
        <v>18</v>
      </c>
      <c r="B716" s="117" t="s">
        <v>947</v>
      </c>
      <c r="C716" s="108">
        <f t="shared" si="44"/>
        <v>1750</v>
      </c>
      <c r="D716" s="38">
        <f t="shared" si="45"/>
        <v>1</v>
      </c>
      <c r="G716" s="113" t="s">
        <v>19</v>
      </c>
      <c r="H716" s="108" t="s">
        <v>1149</v>
      </c>
      <c r="I716" s="12">
        <v>64277</v>
      </c>
      <c r="J716" s="12">
        <v>331</v>
      </c>
      <c r="K716" s="108" t="s">
        <v>20</v>
      </c>
      <c r="L716" s="108">
        <v>1</v>
      </c>
      <c r="M716" s="116">
        <v>35000</v>
      </c>
      <c r="N716" s="116">
        <f t="shared" si="46"/>
        <v>35000</v>
      </c>
      <c r="P716" s="108">
        <f t="shared" si="47"/>
        <v>126</v>
      </c>
    </row>
    <row r="717" spans="1:16" ht="15" hidden="1" customHeight="1" x14ac:dyDescent="0.2">
      <c r="A717" s="108" t="s">
        <v>18</v>
      </c>
      <c r="B717" s="117" t="s">
        <v>947</v>
      </c>
      <c r="C717" s="108">
        <f t="shared" si="44"/>
        <v>1750</v>
      </c>
      <c r="D717" s="38">
        <f t="shared" si="45"/>
        <v>0</v>
      </c>
      <c r="G717" s="113" t="s">
        <v>19</v>
      </c>
      <c r="H717" s="108" t="s">
        <v>1149</v>
      </c>
      <c r="I717" s="12">
        <v>1331</v>
      </c>
      <c r="J717" s="12">
        <v>331</v>
      </c>
      <c r="K717" s="108" t="s">
        <v>20</v>
      </c>
      <c r="L717" s="108">
        <v>1</v>
      </c>
      <c r="M717" s="116">
        <v>2593</v>
      </c>
      <c r="N717" s="116">
        <f t="shared" si="46"/>
        <v>2593</v>
      </c>
      <c r="P717" s="108">
        <f t="shared" si="47"/>
        <v>126</v>
      </c>
    </row>
    <row r="718" spans="1:16" ht="15" hidden="1" customHeight="1" x14ac:dyDescent="0.2">
      <c r="A718" s="108" t="s">
        <v>18</v>
      </c>
      <c r="B718" s="117" t="s">
        <v>947</v>
      </c>
      <c r="C718" s="108">
        <f t="shared" si="44"/>
        <v>1751</v>
      </c>
      <c r="D718" s="38">
        <f t="shared" si="45"/>
        <v>1</v>
      </c>
      <c r="G718" s="113" t="s">
        <v>260</v>
      </c>
      <c r="H718" s="108" t="s">
        <v>1154</v>
      </c>
      <c r="I718" s="12">
        <v>64277</v>
      </c>
      <c r="J718" s="12">
        <v>331</v>
      </c>
      <c r="K718" s="108" t="s">
        <v>20</v>
      </c>
      <c r="L718" s="108">
        <v>1</v>
      </c>
      <c r="M718" s="116">
        <v>301852</v>
      </c>
      <c r="N718" s="116">
        <f t="shared" si="46"/>
        <v>301852</v>
      </c>
      <c r="P718" s="108">
        <f t="shared" si="47"/>
        <v>76</v>
      </c>
    </row>
    <row r="719" spans="1:16" ht="15" hidden="1" customHeight="1" x14ac:dyDescent="0.2">
      <c r="A719" s="108" t="s">
        <v>18</v>
      </c>
      <c r="B719" s="117" t="s">
        <v>947</v>
      </c>
      <c r="C719" s="108">
        <f t="shared" si="44"/>
        <v>1751</v>
      </c>
      <c r="D719" s="38">
        <f t="shared" si="45"/>
        <v>0</v>
      </c>
      <c r="G719" s="113" t="s">
        <v>260</v>
      </c>
      <c r="H719" s="108" t="s">
        <v>1154</v>
      </c>
      <c r="I719" s="12">
        <v>1331</v>
      </c>
      <c r="J719" s="12">
        <v>331</v>
      </c>
      <c r="K719" s="108" t="s">
        <v>20</v>
      </c>
      <c r="L719" s="108">
        <v>1</v>
      </c>
      <c r="M719" s="116">
        <v>24148</v>
      </c>
      <c r="N719" s="116">
        <f t="shared" si="46"/>
        <v>24148</v>
      </c>
      <c r="P719" s="108">
        <f t="shared" si="47"/>
        <v>76</v>
      </c>
    </row>
    <row r="720" spans="1:16" ht="15" hidden="1" customHeight="1" x14ac:dyDescent="0.2">
      <c r="A720" s="108" t="s">
        <v>18</v>
      </c>
      <c r="B720" s="117" t="s">
        <v>947</v>
      </c>
      <c r="C720" s="108">
        <f t="shared" si="44"/>
        <v>1752</v>
      </c>
      <c r="D720" s="38">
        <f t="shared" si="45"/>
        <v>1</v>
      </c>
      <c r="G720" s="113" t="s">
        <v>263</v>
      </c>
      <c r="H720" s="108" t="s">
        <v>1153</v>
      </c>
      <c r="I720" s="12">
        <v>64277</v>
      </c>
      <c r="J720" s="12">
        <v>331</v>
      </c>
      <c r="K720" s="108" t="s">
        <v>20</v>
      </c>
      <c r="L720" s="108">
        <v>1</v>
      </c>
      <c r="M720" s="116">
        <v>625000</v>
      </c>
      <c r="N720" s="116">
        <f t="shared" si="46"/>
        <v>625000</v>
      </c>
      <c r="P720" s="108">
        <f t="shared" si="47"/>
        <v>145</v>
      </c>
    </row>
    <row r="721" spans="1:16" ht="15" hidden="1" customHeight="1" x14ac:dyDescent="0.2">
      <c r="A721" s="108" t="s">
        <v>18</v>
      </c>
      <c r="B721" s="117" t="s">
        <v>947</v>
      </c>
      <c r="C721" s="108">
        <f t="shared" si="44"/>
        <v>1752</v>
      </c>
      <c r="D721" s="38">
        <f t="shared" si="45"/>
        <v>0</v>
      </c>
      <c r="G721" s="113" t="s">
        <v>263</v>
      </c>
      <c r="H721" s="108" t="s">
        <v>1153</v>
      </c>
      <c r="I721" s="12">
        <v>1331</v>
      </c>
      <c r="J721" s="12">
        <v>331</v>
      </c>
      <c r="K721" s="108" t="s">
        <v>20</v>
      </c>
      <c r="L721" s="108">
        <v>1</v>
      </c>
      <c r="M721" s="116">
        <v>50000</v>
      </c>
      <c r="N721" s="116">
        <f t="shared" si="46"/>
        <v>50000</v>
      </c>
      <c r="P721" s="108">
        <f t="shared" si="47"/>
        <v>145</v>
      </c>
    </row>
    <row r="722" spans="1:16" ht="15" hidden="1" customHeight="1" x14ac:dyDescent="0.2">
      <c r="A722" s="108" t="s">
        <v>18</v>
      </c>
      <c r="B722" s="117" t="s">
        <v>555</v>
      </c>
      <c r="C722" s="108">
        <f t="shared" si="44"/>
        <v>1753</v>
      </c>
      <c r="D722" s="38">
        <f t="shared" si="45"/>
        <v>1</v>
      </c>
      <c r="G722" s="113" t="s">
        <v>1132</v>
      </c>
      <c r="H722" s="108" t="s">
        <v>1155</v>
      </c>
      <c r="I722" s="12">
        <v>64277</v>
      </c>
      <c r="J722" s="12">
        <v>331</v>
      </c>
      <c r="K722" s="108" t="s">
        <v>20</v>
      </c>
      <c r="L722" s="108">
        <v>1</v>
      </c>
      <c r="M722" s="116">
        <v>85185</v>
      </c>
      <c r="N722" s="116">
        <f t="shared" si="46"/>
        <v>85185</v>
      </c>
      <c r="P722" s="108">
        <f t="shared" si="47"/>
        <v>66</v>
      </c>
    </row>
    <row r="723" spans="1:16" ht="15" hidden="1" customHeight="1" x14ac:dyDescent="0.2">
      <c r="A723" s="108" t="s">
        <v>18</v>
      </c>
      <c r="B723" s="117" t="s">
        <v>555</v>
      </c>
      <c r="C723" s="108">
        <f t="shared" si="44"/>
        <v>1753</v>
      </c>
      <c r="D723" s="38">
        <f t="shared" si="45"/>
        <v>0</v>
      </c>
      <c r="G723" s="113" t="s">
        <v>1132</v>
      </c>
      <c r="H723" s="108" t="s">
        <v>1155</v>
      </c>
      <c r="I723" s="12">
        <v>1331</v>
      </c>
      <c r="J723" s="12">
        <v>331</v>
      </c>
      <c r="K723" s="108" t="s">
        <v>20</v>
      </c>
      <c r="L723" s="108">
        <v>1</v>
      </c>
      <c r="M723" s="116">
        <v>6815</v>
      </c>
      <c r="N723" s="116">
        <f t="shared" si="46"/>
        <v>6815</v>
      </c>
      <c r="P723" s="108">
        <f t="shared" si="47"/>
        <v>66</v>
      </c>
    </row>
    <row r="724" spans="1:16" ht="15" hidden="1" customHeight="1" x14ac:dyDescent="0.2">
      <c r="A724" s="108" t="s">
        <v>18</v>
      </c>
      <c r="B724" s="117" t="s">
        <v>555</v>
      </c>
      <c r="C724" s="108">
        <f t="shared" si="44"/>
        <v>1754</v>
      </c>
      <c r="D724" s="38">
        <f t="shared" si="45"/>
        <v>1</v>
      </c>
      <c r="G724" s="113" t="s">
        <v>19</v>
      </c>
      <c r="H724" s="108" t="s">
        <v>1161</v>
      </c>
      <c r="I724" s="12">
        <v>64277</v>
      </c>
      <c r="J724" s="12">
        <v>331</v>
      </c>
      <c r="K724" s="108" t="s">
        <v>20</v>
      </c>
      <c r="L724" s="108">
        <v>1</v>
      </c>
      <c r="M724" s="114">
        <v>100000</v>
      </c>
      <c r="N724" s="116">
        <f t="shared" si="46"/>
        <v>100000</v>
      </c>
      <c r="P724" s="108">
        <f t="shared" si="47"/>
        <v>126</v>
      </c>
    </row>
    <row r="725" spans="1:16" ht="15" hidden="1" customHeight="1" x14ac:dyDescent="0.2">
      <c r="A725" s="108" t="s">
        <v>18</v>
      </c>
      <c r="B725" s="117" t="s">
        <v>555</v>
      </c>
      <c r="C725" s="108">
        <f t="shared" si="44"/>
        <v>1754</v>
      </c>
      <c r="D725" s="38">
        <f t="shared" si="45"/>
        <v>0</v>
      </c>
      <c r="G725" s="113" t="s">
        <v>19</v>
      </c>
      <c r="H725" s="108" t="s">
        <v>1161</v>
      </c>
      <c r="I725" s="12">
        <v>1331</v>
      </c>
      <c r="J725" s="12">
        <v>331</v>
      </c>
      <c r="K725" s="108" t="s">
        <v>20</v>
      </c>
      <c r="L725" s="108">
        <v>1</v>
      </c>
      <c r="M725" s="114">
        <v>7407</v>
      </c>
      <c r="N725" s="116">
        <f t="shared" si="46"/>
        <v>7407</v>
      </c>
      <c r="P725" s="108">
        <f t="shared" si="47"/>
        <v>126</v>
      </c>
    </row>
    <row r="726" spans="1:16" ht="15" hidden="1" customHeight="1" x14ac:dyDescent="0.2">
      <c r="A726" s="108" t="s">
        <v>18</v>
      </c>
      <c r="B726" s="117" t="s">
        <v>555</v>
      </c>
      <c r="C726" s="108">
        <f t="shared" si="44"/>
        <v>1755</v>
      </c>
      <c r="D726" s="38">
        <f t="shared" si="45"/>
        <v>1</v>
      </c>
      <c r="G726" s="113" t="s">
        <v>24</v>
      </c>
      <c r="H726" s="108" t="s">
        <v>1156</v>
      </c>
      <c r="I726" s="12">
        <v>64277</v>
      </c>
      <c r="J726" s="12">
        <v>331</v>
      </c>
      <c r="K726" s="108" t="s">
        <v>20</v>
      </c>
      <c r="L726" s="108">
        <v>1</v>
      </c>
      <c r="M726" s="116">
        <v>24000</v>
      </c>
      <c r="N726" s="116">
        <f t="shared" si="46"/>
        <v>24000</v>
      </c>
      <c r="P726" s="108">
        <f t="shared" si="47"/>
        <v>169</v>
      </c>
    </row>
    <row r="727" spans="1:16" ht="15" hidden="1" customHeight="1" x14ac:dyDescent="0.2">
      <c r="A727" s="108" t="s">
        <v>18</v>
      </c>
      <c r="B727" s="117" t="s">
        <v>555</v>
      </c>
      <c r="C727" s="108">
        <f t="shared" si="44"/>
        <v>1755</v>
      </c>
      <c r="D727" s="38">
        <f t="shared" si="45"/>
        <v>0</v>
      </c>
      <c r="G727" s="113" t="s">
        <v>24</v>
      </c>
      <c r="H727" s="108" t="s">
        <v>1156</v>
      </c>
      <c r="I727" s="12">
        <v>1331</v>
      </c>
      <c r="J727" s="12">
        <v>331</v>
      </c>
      <c r="K727" s="108" t="s">
        <v>20</v>
      </c>
      <c r="L727" s="108">
        <v>1</v>
      </c>
      <c r="M727" s="116">
        <v>1649</v>
      </c>
      <c r="N727" s="116">
        <f t="shared" si="46"/>
        <v>1649</v>
      </c>
      <c r="P727" s="108">
        <f t="shared" si="47"/>
        <v>169</v>
      </c>
    </row>
    <row r="728" spans="1:16" ht="15" hidden="1" customHeight="1" x14ac:dyDescent="0.2">
      <c r="A728" s="108" t="s">
        <v>18</v>
      </c>
      <c r="B728" s="117" t="s">
        <v>555</v>
      </c>
      <c r="C728" s="108">
        <f t="shared" si="44"/>
        <v>1756</v>
      </c>
      <c r="D728" s="38">
        <f t="shared" si="45"/>
        <v>1</v>
      </c>
      <c r="G728" s="113" t="s">
        <v>19</v>
      </c>
      <c r="H728" s="108" t="s">
        <v>1160</v>
      </c>
      <c r="I728" s="12">
        <v>64277</v>
      </c>
      <c r="J728" s="12">
        <v>331</v>
      </c>
      <c r="K728" s="108" t="s">
        <v>20</v>
      </c>
      <c r="L728" s="108">
        <v>1</v>
      </c>
      <c r="M728" s="114">
        <v>46000</v>
      </c>
      <c r="N728" s="116">
        <f t="shared" si="46"/>
        <v>46000</v>
      </c>
      <c r="P728" s="108">
        <f t="shared" si="47"/>
        <v>126</v>
      </c>
    </row>
    <row r="729" spans="1:16" ht="15" hidden="1" customHeight="1" x14ac:dyDescent="0.2">
      <c r="A729" s="108" t="s">
        <v>18</v>
      </c>
      <c r="B729" s="117" t="s">
        <v>555</v>
      </c>
      <c r="C729" s="108">
        <f t="shared" si="44"/>
        <v>1756</v>
      </c>
      <c r="D729" s="38">
        <f t="shared" si="45"/>
        <v>0</v>
      </c>
      <c r="G729" s="113" t="s">
        <v>19</v>
      </c>
      <c r="H729" s="108" t="s">
        <v>1160</v>
      </c>
      <c r="I729" s="12">
        <v>1331</v>
      </c>
      <c r="J729" s="12">
        <v>331</v>
      </c>
      <c r="K729" s="108" t="s">
        <v>20</v>
      </c>
      <c r="L729" s="108">
        <v>1</v>
      </c>
      <c r="M729" s="114">
        <v>3408</v>
      </c>
      <c r="N729" s="116">
        <f t="shared" si="46"/>
        <v>3408</v>
      </c>
      <c r="P729" s="108">
        <f t="shared" si="47"/>
        <v>126</v>
      </c>
    </row>
    <row r="730" spans="1:16" ht="15" hidden="1" customHeight="1" x14ac:dyDescent="0.2">
      <c r="A730" s="108" t="s">
        <v>18</v>
      </c>
      <c r="B730" s="117" t="s">
        <v>555</v>
      </c>
      <c r="C730" s="108">
        <f t="shared" si="44"/>
        <v>1757</v>
      </c>
      <c r="D730" s="38">
        <f t="shared" si="45"/>
        <v>1</v>
      </c>
      <c r="G730" s="113" t="s">
        <v>19</v>
      </c>
      <c r="H730" s="108" t="s">
        <v>1159</v>
      </c>
      <c r="I730" s="12">
        <v>64277</v>
      </c>
      <c r="J730" s="12">
        <v>331</v>
      </c>
      <c r="K730" s="108" t="s">
        <v>20</v>
      </c>
      <c r="L730" s="108">
        <v>1</v>
      </c>
      <c r="M730" s="114">
        <v>37000</v>
      </c>
      <c r="N730" s="116">
        <f t="shared" si="46"/>
        <v>37000</v>
      </c>
      <c r="P730" s="108">
        <f t="shared" si="47"/>
        <v>169</v>
      </c>
    </row>
    <row r="731" spans="1:16" ht="15" hidden="1" customHeight="1" x14ac:dyDescent="0.2">
      <c r="A731" s="108" t="s">
        <v>18</v>
      </c>
      <c r="B731" s="117" t="s">
        <v>555</v>
      </c>
      <c r="C731" s="108">
        <f t="shared" si="44"/>
        <v>1757</v>
      </c>
      <c r="D731" s="38">
        <f t="shared" si="45"/>
        <v>0</v>
      </c>
      <c r="G731" s="113" t="s">
        <v>19</v>
      </c>
      <c r="H731" s="108" t="s">
        <v>1159</v>
      </c>
      <c r="I731" s="12">
        <v>1331</v>
      </c>
      <c r="J731" s="12">
        <v>331</v>
      </c>
      <c r="K731" s="108" t="s">
        <v>20</v>
      </c>
      <c r="L731" s="108">
        <v>1</v>
      </c>
      <c r="M731" s="114">
        <v>2538</v>
      </c>
      <c r="N731" s="116">
        <f t="shared" si="46"/>
        <v>2538</v>
      </c>
      <c r="P731" s="108">
        <f t="shared" si="47"/>
        <v>169</v>
      </c>
    </row>
    <row r="732" spans="1:16" ht="15" hidden="1" customHeight="1" x14ac:dyDescent="0.2">
      <c r="A732" s="108" t="s">
        <v>18</v>
      </c>
      <c r="B732" s="117" t="s">
        <v>555</v>
      </c>
      <c r="C732" s="108">
        <f t="shared" si="44"/>
        <v>1758</v>
      </c>
      <c r="D732" s="38">
        <f t="shared" si="45"/>
        <v>1</v>
      </c>
      <c r="G732" s="113" t="s">
        <v>19</v>
      </c>
      <c r="H732" s="108" t="s">
        <v>1158</v>
      </c>
      <c r="I732" s="12">
        <v>64277</v>
      </c>
      <c r="J732" s="12">
        <v>331</v>
      </c>
      <c r="K732" s="108" t="s">
        <v>20</v>
      </c>
      <c r="L732" s="108">
        <v>1</v>
      </c>
      <c r="M732" s="114">
        <v>30000</v>
      </c>
      <c r="N732" s="116">
        <f t="shared" si="46"/>
        <v>30000</v>
      </c>
      <c r="P732" s="108">
        <f t="shared" si="47"/>
        <v>126</v>
      </c>
    </row>
    <row r="733" spans="1:16" ht="15" hidden="1" customHeight="1" x14ac:dyDescent="0.2">
      <c r="A733" s="108" t="s">
        <v>18</v>
      </c>
      <c r="B733" s="117" t="s">
        <v>555</v>
      </c>
      <c r="C733" s="108">
        <f t="shared" si="44"/>
        <v>1758</v>
      </c>
      <c r="D733" s="38">
        <f t="shared" si="45"/>
        <v>0</v>
      </c>
      <c r="G733" s="113" t="s">
        <v>19</v>
      </c>
      <c r="H733" s="108" t="s">
        <v>1158</v>
      </c>
      <c r="I733" s="12">
        <v>1331</v>
      </c>
      <c r="J733" s="12">
        <v>331</v>
      </c>
      <c r="K733" s="108" t="s">
        <v>20</v>
      </c>
      <c r="L733" s="108">
        <v>1</v>
      </c>
      <c r="M733" s="114">
        <v>2222</v>
      </c>
      <c r="N733" s="116">
        <f t="shared" si="46"/>
        <v>2222</v>
      </c>
      <c r="P733" s="108">
        <f t="shared" si="47"/>
        <v>126</v>
      </c>
    </row>
    <row r="734" spans="1:16" ht="15" hidden="1" customHeight="1" x14ac:dyDescent="0.2">
      <c r="A734" s="108" t="s">
        <v>18</v>
      </c>
      <c r="B734" s="117" t="s">
        <v>555</v>
      </c>
      <c r="C734" s="108">
        <f t="shared" si="44"/>
        <v>1759</v>
      </c>
      <c r="D734" s="38">
        <f t="shared" si="45"/>
        <v>1</v>
      </c>
      <c r="G734" s="113" t="s">
        <v>19</v>
      </c>
      <c r="H734" s="108" t="s">
        <v>1157</v>
      </c>
      <c r="I734" s="12">
        <v>64277</v>
      </c>
      <c r="J734" s="12">
        <v>331</v>
      </c>
      <c r="K734" s="108" t="s">
        <v>20</v>
      </c>
      <c r="L734" s="108">
        <v>1</v>
      </c>
      <c r="M734" s="116">
        <v>106000</v>
      </c>
      <c r="N734" s="116">
        <f t="shared" si="46"/>
        <v>106000</v>
      </c>
      <c r="P734" s="108">
        <f t="shared" si="47"/>
        <v>126</v>
      </c>
    </row>
    <row r="735" spans="1:16" ht="15" hidden="1" customHeight="1" x14ac:dyDescent="0.2">
      <c r="A735" s="108" t="s">
        <v>18</v>
      </c>
      <c r="B735" s="117" t="s">
        <v>555</v>
      </c>
      <c r="C735" s="108">
        <f t="shared" si="44"/>
        <v>1759</v>
      </c>
      <c r="D735" s="38">
        <f t="shared" si="45"/>
        <v>0</v>
      </c>
      <c r="G735" s="113" t="s">
        <v>19</v>
      </c>
      <c r="H735" s="108" t="s">
        <v>1157</v>
      </c>
      <c r="I735" s="12">
        <v>1331</v>
      </c>
      <c r="J735" s="12">
        <v>331</v>
      </c>
      <c r="K735" s="108" t="s">
        <v>20</v>
      </c>
      <c r="L735" s="108">
        <v>1</v>
      </c>
      <c r="M735" s="116">
        <v>7852</v>
      </c>
      <c r="N735" s="116">
        <f t="shared" si="46"/>
        <v>7852</v>
      </c>
      <c r="P735" s="108">
        <f t="shared" si="47"/>
        <v>126</v>
      </c>
    </row>
    <row r="736" spans="1:16" ht="15" hidden="1" customHeight="1" x14ac:dyDescent="0.2">
      <c r="A736" s="108" t="s">
        <v>18</v>
      </c>
      <c r="B736" s="117" t="s">
        <v>555</v>
      </c>
      <c r="C736" s="108">
        <f t="shared" si="44"/>
        <v>1760</v>
      </c>
      <c r="D736" s="38">
        <f t="shared" si="45"/>
        <v>1</v>
      </c>
      <c r="G736" s="113" t="s">
        <v>23</v>
      </c>
      <c r="H736" s="108" t="s">
        <v>1162</v>
      </c>
      <c r="I736" s="12">
        <v>64277</v>
      </c>
      <c r="J736" s="12">
        <v>331</v>
      </c>
      <c r="K736" s="108" t="s">
        <v>20</v>
      </c>
      <c r="L736" s="108">
        <v>1</v>
      </c>
      <c r="M736" s="114">
        <v>234259</v>
      </c>
      <c r="N736" s="116">
        <f t="shared" si="46"/>
        <v>234259</v>
      </c>
      <c r="P736" s="108">
        <f t="shared" si="47"/>
        <v>189</v>
      </c>
    </row>
    <row r="737" spans="1:16" ht="15" hidden="1" customHeight="1" x14ac:dyDescent="0.2">
      <c r="A737" s="108" t="s">
        <v>18</v>
      </c>
      <c r="B737" s="117" t="s">
        <v>555</v>
      </c>
      <c r="C737" s="108">
        <f t="shared" si="44"/>
        <v>1760</v>
      </c>
      <c r="D737" s="38">
        <f t="shared" si="45"/>
        <v>0</v>
      </c>
      <c r="G737" s="113" t="s">
        <v>23</v>
      </c>
      <c r="H737" s="108" t="s">
        <v>1162</v>
      </c>
      <c r="I737" s="12">
        <v>1331</v>
      </c>
      <c r="J737" s="12">
        <v>331</v>
      </c>
      <c r="K737" s="108" t="s">
        <v>20</v>
      </c>
      <c r="L737" s="108">
        <v>1</v>
      </c>
      <c r="M737" s="114">
        <v>18741</v>
      </c>
      <c r="N737" s="116">
        <f t="shared" si="46"/>
        <v>18741</v>
      </c>
      <c r="P737" s="108">
        <f t="shared" si="47"/>
        <v>189</v>
      </c>
    </row>
    <row r="738" spans="1:16" ht="15" hidden="1" customHeight="1" x14ac:dyDescent="0.2">
      <c r="A738" s="108" t="s">
        <v>18</v>
      </c>
      <c r="B738" s="117" t="s">
        <v>556</v>
      </c>
      <c r="C738" s="108">
        <f t="shared" si="44"/>
        <v>1761</v>
      </c>
      <c r="D738" s="38">
        <f t="shared" si="45"/>
        <v>1</v>
      </c>
      <c r="G738" s="113" t="s">
        <v>990</v>
      </c>
      <c r="H738" s="108" t="s">
        <v>1163</v>
      </c>
      <c r="I738" s="12">
        <v>64277</v>
      </c>
      <c r="J738" s="12">
        <v>331</v>
      </c>
      <c r="K738" s="108" t="s">
        <v>20</v>
      </c>
      <c r="L738" s="108">
        <v>1</v>
      </c>
      <c r="M738" s="114">
        <v>-146000</v>
      </c>
      <c r="N738" s="116">
        <f t="shared" si="46"/>
        <v>-146000</v>
      </c>
      <c r="P738" s="108">
        <f t="shared" si="47"/>
        <v>24</v>
      </c>
    </row>
    <row r="739" spans="1:16" ht="15" hidden="1" customHeight="1" x14ac:dyDescent="0.2">
      <c r="A739" s="108" t="s">
        <v>18</v>
      </c>
      <c r="B739" s="117" t="s">
        <v>556</v>
      </c>
      <c r="C739" s="108">
        <f t="shared" si="44"/>
        <v>1761</v>
      </c>
      <c r="D739" s="38">
        <f t="shared" si="45"/>
        <v>0</v>
      </c>
      <c r="G739" s="113" t="s">
        <v>990</v>
      </c>
      <c r="H739" s="108" t="s">
        <v>1163</v>
      </c>
      <c r="I739" s="12">
        <v>1331</v>
      </c>
      <c r="J739" s="12">
        <v>331</v>
      </c>
      <c r="K739" s="108" t="s">
        <v>20</v>
      </c>
      <c r="L739" s="108">
        <v>1</v>
      </c>
      <c r="M739" s="114">
        <v>-10815</v>
      </c>
      <c r="N739" s="116">
        <f t="shared" si="46"/>
        <v>-10815</v>
      </c>
      <c r="P739" s="108">
        <f t="shared" si="47"/>
        <v>24</v>
      </c>
    </row>
    <row r="740" spans="1:16" ht="15" hidden="1" customHeight="1" x14ac:dyDescent="0.2">
      <c r="A740" s="108" t="s">
        <v>18</v>
      </c>
      <c r="B740" s="117" t="s">
        <v>556</v>
      </c>
      <c r="C740" s="108">
        <f t="shared" si="44"/>
        <v>1762</v>
      </c>
      <c r="D740" s="38">
        <f t="shared" si="45"/>
        <v>1</v>
      </c>
      <c r="G740" s="113" t="s">
        <v>24</v>
      </c>
      <c r="H740" s="108" t="s">
        <v>1164</v>
      </c>
      <c r="I740" s="12">
        <v>64277</v>
      </c>
      <c r="J740" s="12">
        <v>331</v>
      </c>
      <c r="K740" s="108" t="s">
        <v>20</v>
      </c>
      <c r="L740" s="108">
        <v>1</v>
      </c>
      <c r="M740" s="114">
        <v>110000</v>
      </c>
      <c r="N740" s="116">
        <f t="shared" si="46"/>
        <v>110000</v>
      </c>
      <c r="P740" s="108">
        <f t="shared" si="47"/>
        <v>169</v>
      </c>
    </row>
    <row r="741" spans="1:16" ht="15" hidden="1" customHeight="1" x14ac:dyDescent="0.2">
      <c r="A741" s="108" t="s">
        <v>18</v>
      </c>
      <c r="B741" s="117" t="s">
        <v>556</v>
      </c>
      <c r="C741" s="108">
        <f t="shared" si="44"/>
        <v>1762</v>
      </c>
      <c r="D741" s="38">
        <f t="shared" si="45"/>
        <v>0</v>
      </c>
      <c r="G741" s="113" t="s">
        <v>24</v>
      </c>
      <c r="H741" s="108" t="s">
        <v>1164</v>
      </c>
      <c r="I741" s="12">
        <v>1331</v>
      </c>
      <c r="J741" s="12">
        <v>331</v>
      </c>
      <c r="K741" s="108" t="s">
        <v>20</v>
      </c>
      <c r="L741" s="108">
        <v>1</v>
      </c>
      <c r="M741" s="114">
        <v>7575</v>
      </c>
      <c r="N741" s="116">
        <f t="shared" si="46"/>
        <v>7575</v>
      </c>
      <c r="P741" s="108">
        <f t="shared" si="47"/>
        <v>169</v>
      </c>
    </row>
    <row r="742" spans="1:16" ht="15" hidden="1" customHeight="1" x14ac:dyDescent="0.2">
      <c r="A742" s="108" t="s">
        <v>18</v>
      </c>
      <c r="B742" s="117" t="s">
        <v>557</v>
      </c>
      <c r="C742" s="108">
        <f t="shared" si="44"/>
        <v>1763</v>
      </c>
      <c r="D742" s="38">
        <f t="shared" si="45"/>
        <v>1</v>
      </c>
      <c r="G742" s="113" t="s">
        <v>264</v>
      </c>
      <c r="H742" s="108" t="s">
        <v>1166</v>
      </c>
      <c r="I742" s="12">
        <v>64277</v>
      </c>
      <c r="J742" s="12">
        <v>331</v>
      </c>
      <c r="K742" s="108" t="s">
        <v>20</v>
      </c>
      <c r="L742" s="108">
        <v>1</v>
      </c>
      <c r="M742" s="114">
        <v>1554000</v>
      </c>
      <c r="N742" s="116">
        <f t="shared" si="46"/>
        <v>1554000</v>
      </c>
      <c r="P742" s="108">
        <f t="shared" si="47"/>
        <v>58</v>
      </c>
    </row>
    <row r="743" spans="1:16" ht="15" hidden="1" customHeight="1" x14ac:dyDescent="0.2">
      <c r="A743" s="108" t="s">
        <v>18</v>
      </c>
      <c r="B743" s="117" t="s">
        <v>557</v>
      </c>
      <c r="C743" s="108">
        <f t="shared" si="44"/>
        <v>1763</v>
      </c>
      <c r="D743" s="38">
        <f t="shared" si="45"/>
        <v>0</v>
      </c>
      <c r="G743" s="113" t="s">
        <v>264</v>
      </c>
      <c r="H743" s="108" t="s">
        <v>1166</v>
      </c>
      <c r="I743" s="12">
        <v>1331</v>
      </c>
      <c r="J743" s="12">
        <v>331</v>
      </c>
      <c r="K743" s="108" t="s">
        <v>20</v>
      </c>
      <c r="L743" s="108">
        <v>1</v>
      </c>
      <c r="M743" s="114">
        <v>125520</v>
      </c>
      <c r="N743" s="116">
        <f t="shared" si="46"/>
        <v>125520</v>
      </c>
      <c r="P743" s="108">
        <f t="shared" si="47"/>
        <v>58</v>
      </c>
    </row>
    <row r="744" spans="1:16" ht="15" hidden="1" customHeight="1" x14ac:dyDescent="0.2">
      <c r="A744" s="108" t="s">
        <v>18</v>
      </c>
      <c r="B744" s="117" t="s">
        <v>557</v>
      </c>
      <c r="C744" s="108">
        <f t="shared" si="44"/>
        <v>1764</v>
      </c>
      <c r="D744" s="38">
        <f t="shared" si="45"/>
        <v>1</v>
      </c>
      <c r="G744" s="113" t="s">
        <v>24</v>
      </c>
      <c r="H744" s="108" t="s">
        <v>1165</v>
      </c>
      <c r="I744" s="12">
        <v>64277</v>
      </c>
      <c r="J744" s="12">
        <v>331</v>
      </c>
      <c r="K744" s="108" t="s">
        <v>20</v>
      </c>
      <c r="L744" s="108">
        <v>1</v>
      </c>
      <c r="M744" s="114">
        <v>186074</v>
      </c>
      <c r="N744" s="116">
        <f t="shared" si="46"/>
        <v>186074</v>
      </c>
      <c r="P744" s="108">
        <f t="shared" si="47"/>
        <v>107</v>
      </c>
    </row>
    <row r="745" spans="1:16" ht="15" hidden="1" customHeight="1" x14ac:dyDescent="0.2">
      <c r="A745" s="108" t="s">
        <v>18</v>
      </c>
      <c r="B745" s="117" t="s">
        <v>557</v>
      </c>
      <c r="C745" s="108">
        <f t="shared" si="44"/>
        <v>1764</v>
      </c>
      <c r="D745" s="38">
        <f t="shared" si="45"/>
        <v>0</v>
      </c>
      <c r="G745" s="113" t="s">
        <v>24</v>
      </c>
      <c r="H745" s="108" t="s">
        <v>1165</v>
      </c>
      <c r="I745" s="12">
        <v>1331</v>
      </c>
      <c r="J745" s="12">
        <v>331</v>
      </c>
      <c r="K745" s="108" t="s">
        <v>20</v>
      </c>
      <c r="L745" s="108">
        <v>1</v>
      </c>
      <c r="M745" s="114">
        <v>13926</v>
      </c>
      <c r="N745" s="116">
        <f t="shared" si="46"/>
        <v>13926</v>
      </c>
      <c r="P745" s="108">
        <f t="shared" si="47"/>
        <v>107</v>
      </c>
    </row>
    <row r="746" spans="1:16" ht="15" hidden="1" customHeight="1" x14ac:dyDescent="0.2">
      <c r="A746" s="108" t="s">
        <v>18</v>
      </c>
      <c r="B746" s="117" t="s">
        <v>480</v>
      </c>
      <c r="C746" s="108">
        <f t="shared" si="44"/>
        <v>1765</v>
      </c>
      <c r="D746" s="38">
        <f t="shared" si="45"/>
        <v>1</v>
      </c>
      <c r="G746" s="113" t="s">
        <v>50</v>
      </c>
      <c r="H746" s="108" t="s">
        <v>1198</v>
      </c>
      <c r="I746" s="12">
        <v>131</v>
      </c>
      <c r="J746" s="12">
        <v>5113</v>
      </c>
      <c r="K746" s="108" t="s">
        <v>20</v>
      </c>
      <c r="L746" s="108">
        <v>1</v>
      </c>
      <c r="M746" s="114">
        <v>19444444</v>
      </c>
      <c r="N746" s="116">
        <f t="shared" si="46"/>
        <v>19444444</v>
      </c>
      <c r="P746" s="108">
        <f t="shared" si="47"/>
        <v>112</v>
      </c>
    </row>
    <row r="747" spans="1:16" ht="15" customHeight="1" x14ac:dyDescent="0.2">
      <c r="A747" s="108" t="s">
        <v>18</v>
      </c>
      <c r="B747" s="117" t="s">
        <v>480</v>
      </c>
      <c r="C747" s="108">
        <f t="shared" si="44"/>
        <v>1766</v>
      </c>
      <c r="D747" s="38">
        <f t="shared" si="45"/>
        <v>1</v>
      </c>
      <c r="G747" s="113" t="s">
        <v>50</v>
      </c>
      <c r="H747" s="108" t="s">
        <v>3735</v>
      </c>
      <c r="I747" s="12">
        <v>333821</v>
      </c>
      <c r="J747" s="12">
        <v>131</v>
      </c>
      <c r="K747" s="108" t="s">
        <v>20</v>
      </c>
      <c r="L747" s="108">
        <v>1</v>
      </c>
      <c r="M747" s="114">
        <v>194444</v>
      </c>
      <c r="N747" s="116">
        <f t="shared" si="46"/>
        <v>194444</v>
      </c>
      <c r="P747" s="108">
        <f t="shared" si="47"/>
        <v>128</v>
      </c>
    </row>
    <row r="748" spans="1:16" ht="15" hidden="1" customHeight="1" x14ac:dyDescent="0.2">
      <c r="A748" s="108" t="s">
        <v>18</v>
      </c>
      <c r="B748" s="117" t="s">
        <v>559</v>
      </c>
      <c r="C748" s="108">
        <f t="shared" si="44"/>
        <v>1767</v>
      </c>
      <c r="D748" s="38">
        <f t="shared" si="45"/>
        <v>1</v>
      </c>
      <c r="G748" s="113" t="s">
        <v>19</v>
      </c>
      <c r="H748" s="108" t="s">
        <v>1169</v>
      </c>
      <c r="I748" s="12">
        <v>64277</v>
      </c>
      <c r="J748" s="12">
        <v>331</v>
      </c>
      <c r="K748" s="108" t="s">
        <v>20</v>
      </c>
      <c r="L748" s="108">
        <v>1</v>
      </c>
      <c r="M748" s="114">
        <v>209000</v>
      </c>
      <c r="N748" s="116">
        <f t="shared" si="46"/>
        <v>209000</v>
      </c>
      <c r="P748" s="108">
        <f t="shared" si="47"/>
        <v>126</v>
      </c>
    </row>
    <row r="749" spans="1:16" ht="15" hidden="1" customHeight="1" x14ac:dyDescent="0.2">
      <c r="A749" s="108" t="s">
        <v>18</v>
      </c>
      <c r="B749" s="117" t="s">
        <v>559</v>
      </c>
      <c r="C749" s="108">
        <f t="shared" si="44"/>
        <v>1767</v>
      </c>
      <c r="D749" s="38">
        <f t="shared" si="45"/>
        <v>0</v>
      </c>
      <c r="G749" s="113" t="s">
        <v>19</v>
      </c>
      <c r="H749" s="108" t="s">
        <v>1169</v>
      </c>
      <c r="I749" s="12">
        <v>1331</v>
      </c>
      <c r="J749" s="12">
        <v>331</v>
      </c>
      <c r="K749" s="108" t="s">
        <v>20</v>
      </c>
      <c r="L749" s="108">
        <v>1</v>
      </c>
      <c r="M749" s="114">
        <v>15481</v>
      </c>
      <c r="N749" s="116">
        <f t="shared" si="46"/>
        <v>15481</v>
      </c>
      <c r="P749" s="108">
        <f t="shared" si="47"/>
        <v>126</v>
      </c>
    </row>
    <row r="750" spans="1:16" ht="15" hidden="1" customHeight="1" x14ac:dyDescent="0.2">
      <c r="A750" s="108" t="s">
        <v>18</v>
      </c>
      <c r="B750" s="117" t="s">
        <v>559</v>
      </c>
      <c r="C750" s="108">
        <f t="shared" si="44"/>
        <v>1768</v>
      </c>
      <c r="D750" s="38">
        <f t="shared" si="45"/>
        <v>1</v>
      </c>
      <c r="G750" s="113" t="s">
        <v>24</v>
      </c>
      <c r="H750" s="108" t="s">
        <v>1167</v>
      </c>
      <c r="I750" s="12">
        <v>64277</v>
      </c>
      <c r="J750" s="12">
        <v>331</v>
      </c>
      <c r="K750" s="108" t="s">
        <v>20</v>
      </c>
      <c r="L750" s="108">
        <v>1</v>
      </c>
      <c r="M750" s="114">
        <v>51000</v>
      </c>
      <c r="N750" s="116">
        <f t="shared" si="46"/>
        <v>51000</v>
      </c>
      <c r="P750" s="108">
        <f t="shared" si="47"/>
        <v>169</v>
      </c>
    </row>
    <row r="751" spans="1:16" ht="15" hidden="1" customHeight="1" x14ac:dyDescent="0.2">
      <c r="A751" s="108" t="s">
        <v>18</v>
      </c>
      <c r="B751" s="117" t="s">
        <v>559</v>
      </c>
      <c r="C751" s="108">
        <f t="shared" si="44"/>
        <v>1768</v>
      </c>
      <c r="D751" s="38">
        <f t="shared" si="45"/>
        <v>0</v>
      </c>
      <c r="G751" s="113" t="s">
        <v>24</v>
      </c>
      <c r="H751" s="108" t="s">
        <v>1167</v>
      </c>
      <c r="I751" s="12">
        <v>1331</v>
      </c>
      <c r="J751" s="12">
        <v>331</v>
      </c>
      <c r="K751" s="108" t="s">
        <v>20</v>
      </c>
      <c r="L751" s="108">
        <v>1</v>
      </c>
      <c r="M751" s="114">
        <v>3498</v>
      </c>
      <c r="N751" s="116">
        <f t="shared" si="46"/>
        <v>3498</v>
      </c>
      <c r="P751" s="108">
        <f t="shared" si="47"/>
        <v>169</v>
      </c>
    </row>
    <row r="752" spans="1:16" ht="15" hidden="1" customHeight="1" x14ac:dyDescent="0.2">
      <c r="A752" s="108" t="s">
        <v>18</v>
      </c>
      <c r="B752" s="117" t="s">
        <v>559</v>
      </c>
      <c r="C752" s="108">
        <f t="shared" si="44"/>
        <v>1769</v>
      </c>
      <c r="D752" s="38">
        <f t="shared" si="45"/>
        <v>1</v>
      </c>
      <c r="G752" s="113" t="s">
        <v>19</v>
      </c>
      <c r="H752" s="108" t="s">
        <v>1168</v>
      </c>
      <c r="I752" s="12">
        <v>64277</v>
      </c>
      <c r="J752" s="12">
        <v>331</v>
      </c>
      <c r="K752" s="108" t="s">
        <v>20</v>
      </c>
      <c r="L752" s="108">
        <v>1</v>
      </c>
      <c r="M752" s="114">
        <v>69000</v>
      </c>
      <c r="N752" s="116">
        <f t="shared" si="46"/>
        <v>69000</v>
      </c>
      <c r="P752" s="108">
        <f t="shared" si="47"/>
        <v>126</v>
      </c>
    </row>
    <row r="753" spans="1:16" ht="15" hidden="1" customHeight="1" x14ac:dyDescent="0.2">
      <c r="A753" s="108" t="s">
        <v>18</v>
      </c>
      <c r="B753" s="117" t="s">
        <v>559</v>
      </c>
      <c r="C753" s="108">
        <f t="shared" si="44"/>
        <v>1769</v>
      </c>
      <c r="D753" s="38">
        <f t="shared" si="45"/>
        <v>0</v>
      </c>
      <c r="G753" s="113" t="s">
        <v>19</v>
      </c>
      <c r="H753" s="108" t="s">
        <v>1168</v>
      </c>
      <c r="I753" s="12">
        <v>1331</v>
      </c>
      <c r="J753" s="12">
        <v>331</v>
      </c>
      <c r="K753" s="108" t="s">
        <v>20</v>
      </c>
      <c r="L753" s="108">
        <v>1</v>
      </c>
      <c r="M753" s="114">
        <v>5111</v>
      </c>
      <c r="N753" s="116">
        <f t="shared" si="46"/>
        <v>5111</v>
      </c>
      <c r="P753" s="108">
        <f t="shared" si="47"/>
        <v>126</v>
      </c>
    </row>
    <row r="754" spans="1:16" ht="15" hidden="1" customHeight="1" x14ac:dyDescent="0.2">
      <c r="A754" s="108" t="s">
        <v>18</v>
      </c>
      <c r="B754" s="117" t="s">
        <v>662</v>
      </c>
      <c r="C754" s="108">
        <f t="shared" si="44"/>
        <v>1770</v>
      </c>
      <c r="D754" s="38">
        <f t="shared" si="45"/>
        <v>1</v>
      </c>
      <c r="G754" s="113" t="s">
        <v>23</v>
      </c>
      <c r="H754" s="108" t="s">
        <v>3707</v>
      </c>
      <c r="I754" s="12">
        <v>64277</v>
      </c>
      <c r="J754" s="12">
        <v>331</v>
      </c>
      <c r="K754" s="108" t="s">
        <v>20</v>
      </c>
      <c r="L754" s="108">
        <v>1</v>
      </c>
      <c r="M754" s="114">
        <v>169444</v>
      </c>
      <c r="N754" s="116">
        <f t="shared" si="46"/>
        <v>169444</v>
      </c>
      <c r="P754" s="108">
        <f t="shared" si="47"/>
        <v>42</v>
      </c>
    </row>
    <row r="755" spans="1:16" ht="15" hidden="1" customHeight="1" x14ac:dyDescent="0.2">
      <c r="A755" s="108" t="s">
        <v>18</v>
      </c>
      <c r="B755" s="117" t="s">
        <v>662</v>
      </c>
      <c r="C755" s="108">
        <f t="shared" si="44"/>
        <v>1770</v>
      </c>
      <c r="D755" s="38">
        <f t="shared" si="45"/>
        <v>0</v>
      </c>
      <c r="G755" s="113" t="s">
        <v>23</v>
      </c>
      <c r="H755" s="108" t="s">
        <v>3707</v>
      </c>
      <c r="I755" s="12">
        <v>1331</v>
      </c>
      <c r="J755" s="12">
        <v>331</v>
      </c>
      <c r="K755" s="108" t="s">
        <v>20</v>
      </c>
      <c r="L755" s="108">
        <v>1</v>
      </c>
      <c r="M755" s="114">
        <v>13556</v>
      </c>
      <c r="N755" s="116">
        <f t="shared" si="46"/>
        <v>13556</v>
      </c>
      <c r="P755" s="108">
        <f t="shared" si="47"/>
        <v>42</v>
      </c>
    </row>
    <row r="756" spans="1:16" ht="15" hidden="1" customHeight="1" x14ac:dyDescent="0.2">
      <c r="A756" s="108" t="s">
        <v>18</v>
      </c>
      <c r="B756" s="117" t="s">
        <v>662</v>
      </c>
      <c r="C756" s="108">
        <f t="shared" si="44"/>
        <v>1771</v>
      </c>
      <c r="D756" s="38">
        <f t="shared" si="45"/>
        <v>1</v>
      </c>
      <c r="G756" s="113" t="s">
        <v>37</v>
      </c>
      <c r="H756" s="108" t="s">
        <v>3705</v>
      </c>
      <c r="I756" s="12">
        <v>64277</v>
      </c>
      <c r="J756" s="12">
        <v>331</v>
      </c>
      <c r="K756" s="108" t="s">
        <v>20</v>
      </c>
      <c r="L756" s="108">
        <v>1</v>
      </c>
      <c r="M756" s="114">
        <v>2190000</v>
      </c>
      <c r="N756" s="116">
        <f t="shared" si="46"/>
        <v>2190000</v>
      </c>
      <c r="P756" s="108">
        <f t="shared" si="47"/>
        <v>43</v>
      </c>
    </row>
    <row r="757" spans="1:16" ht="15" hidden="1" customHeight="1" x14ac:dyDescent="0.2">
      <c r="A757" s="108" t="s">
        <v>18</v>
      </c>
      <c r="B757" s="117" t="s">
        <v>662</v>
      </c>
      <c r="C757" s="108">
        <f t="shared" si="44"/>
        <v>1771</v>
      </c>
      <c r="D757" s="38">
        <f t="shared" si="45"/>
        <v>0</v>
      </c>
      <c r="G757" s="113" t="s">
        <v>37</v>
      </c>
      <c r="H757" s="108" t="s">
        <v>3705</v>
      </c>
      <c r="I757" s="12">
        <v>1331</v>
      </c>
      <c r="J757" s="12">
        <v>331</v>
      </c>
      <c r="K757" s="108" t="s">
        <v>20</v>
      </c>
      <c r="L757" s="108">
        <v>1</v>
      </c>
      <c r="M757" s="114">
        <v>175200</v>
      </c>
      <c r="N757" s="116">
        <f t="shared" si="46"/>
        <v>175200</v>
      </c>
      <c r="P757" s="108">
        <f t="shared" si="47"/>
        <v>43</v>
      </c>
    </row>
    <row r="758" spans="1:16" ht="15" hidden="1" customHeight="1" x14ac:dyDescent="0.2">
      <c r="A758" s="108" t="s">
        <v>18</v>
      </c>
      <c r="B758" s="117" t="s">
        <v>662</v>
      </c>
      <c r="C758" s="108">
        <f t="shared" si="44"/>
        <v>1772</v>
      </c>
      <c r="D758" s="38">
        <f t="shared" si="45"/>
        <v>1</v>
      </c>
      <c r="G758" s="113" t="s">
        <v>24</v>
      </c>
      <c r="H758" s="108" t="s">
        <v>1170</v>
      </c>
      <c r="I758" s="12">
        <v>64277</v>
      </c>
      <c r="J758" s="12">
        <v>331</v>
      </c>
      <c r="K758" s="108" t="s">
        <v>20</v>
      </c>
      <c r="L758" s="108">
        <v>1</v>
      </c>
      <c r="M758" s="114">
        <v>110000</v>
      </c>
      <c r="N758" s="116">
        <f t="shared" si="46"/>
        <v>110000</v>
      </c>
      <c r="P758" s="108">
        <f t="shared" si="47"/>
        <v>169</v>
      </c>
    </row>
    <row r="759" spans="1:16" ht="15" hidden="1" customHeight="1" x14ac:dyDescent="0.2">
      <c r="A759" s="108" t="s">
        <v>18</v>
      </c>
      <c r="B759" s="117" t="s">
        <v>662</v>
      </c>
      <c r="C759" s="108">
        <f t="shared" si="44"/>
        <v>1772</v>
      </c>
      <c r="D759" s="38">
        <f t="shared" si="45"/>
        <v>0</v>
      </c>
      <c r="G759" s="113" t="s">
        <v>24</v>
      </c>
      <c r="H759" s="108" t="s">
        <v>1170</v>
      </c>
      <c r="I759" s="12">
        <v>1331</v>
      </c>
      <c r="J759" s="12">
        <v>331</v>
      </c>
      <c r="K759" s="108" t="s">
        <v>20</v>
      </c>
      <c r="L759" s="108">
        <v>1</v>
      </c>
      <c r="M759" s="114">
        <v>7575</v>
      </c>
      <c r="N759" s="116">
        <f t="shared" si="46"/>
        <v>7575</v>
      </c>
      <c r="P759" s="108">
        <f t="shared" si="47"/>
        <v>169</v>
      </c>
    </row>
    <row r="760" spans="1:16" ht="15" hidden="1" customHeight="1" x14ac:dyDescent="0.2">
      <c r="A760" s="108" t="s">
        <v>18</v>
      </c>
      <c r="B760" s="117" t="s">
        <v>663</v>
      </c>
      <c r="C760" s="108">
        <f t="shared" si="44"/>
        <v>1773</v>
      </c>
      <c r="D760" s="38">
        <f t="shared" si="45"/>
        <v>1</v>
      </c>
      <c r="G760" s="113" t="s">
        <v>19</v>
      </c>
      <c r="H760" s="108" t="s">
        <v>1175</v>
      </c>
      <c r="I760" s="12">
        <v>64277</v>
      </c>
      <c r="J760" s="12">
        <v>331</v>
      </c>
      <c r="K760" s="108" t="s">
        <v>20</v>
      </c>
      <c r="L760" s="108">
        <v>1</v>
      </c>
      <c r="M760" s="114">
        <v>112000</v>
      </c>
      <c r="N760" s="116">
        <f t="shared" si="46"/>
        <v>112000</v>
      </c>
      <c r="P760" s="108">
        <f t="shared" si="47"/>
        <v>126</v>
      </c>
    </row>
    <row r="761" spans="1:16" ht="15" hidden="1" customHeight="1" x14ac:dyDescent="0.2">
      <c r="A761" s="108" t="s">
        <v>18</v>
      </c>
      <c r="B761" s="117" t="s">
        <v>663</v>
      </c>
      <c r="C761" s="108">
        <f t="shared" si="44"/>
        <v>1773</v>
      </c>
      <c r="D761" s="38">
        <f t="shared" si="45"/>
        <v>0</v>
      </c>
      <c r="G761" s="113" t="s">
        <v>19</v>
      </c>
      <c r="H761" s="108" t="s">
        <v>1175</v>
      </c>
      <c r="I761" s="12">
        <v>1331</v>
      </c>
      <c r="J761" s="12">
        <v>331</v>
      </c>
      <c r="K761" s="108" t="s">
        <v>20</v>
      </c>
      <c r="L761" s="108">
        <v>1</v>
      </c>
      <c r="M761" s="114">
        <v>8297</v>
      </c>
      <c r="N761" s="116">
        <f t="shared" si="46"/>
        <v>8297</v>
      </c>
      <c r="P761" s="108">
        <f t="shared" si="47"/>
        <v>126</v>
      </c>
    </row>
    <row r="762" spans="1:16" ht="15" hidden="1" customHeight="1" x14ac:dyDescent="0.2">
      <c r="A762" s="108" t="s">
        <v>18</v>
      </c>
      <c r="B762" s="117" t="s">
        <v>663</v>
      </c>
      <c r="C762" s="108">
        <f t="shared" si="44"/>
        <v>1774</v>
      </c>
      <c r="D762" s="38">
        <f t="shared" si="45"/>
        <v>1</v>
      </c>
      <c r="G762" s="113" t="s">
        <v>24</v>
      </c>
      <c r="H762" s="108" t="s">
        <v>1171</v>
      </c>
      <c r="I762" s="12">
        <v>64277</v>
      </c>
      <c r="J762" s="12">
        <v>331</v>
      </c>
      <c r="K762" s="108" t="s">
        <v>20</v>
      </c>
      <c r="L762" s="108">
        <v>1</v>
      </c>
      <c r="M762" s="114">
        <v>43000</v>
      </c>
      <c r="N762" s="116">
        <f t="shared" si="46"/>
        <v>43000</v>
      </c>
      <c r="P762" s="108">
        <f t="shared" si="47"/>
        <v>169</v>
      </c>
    </row>
    <row r="763" spans="1:16" ht="15" hidden="1" customHeight="1" x14ac:dyDescent="0.2">
      <c r="A763" s="108" t="s">
        <v>18</v>
      </c>
      <c r="B763" s="117" t="s">
        <v>663</v>
      </c>
      <c r="C763" s="108">
        <f t="shared" si="44"/>
        <v>1774</v>
      </c>
      <c r="D763" s="38">
        <f t="shared" si="45"/>
        <v>0</v>
      </c>
      <c r="G763" s="113" t="s">
        <v>24</v>
      </c>
      <c r="H763" s="108" t="s">
        <v>1171</v>
      </c>
      <c r="I763" s="12">
        <v>1331</v>
      </c>
      <c r="J763" s="12">
        <v>331</v>
      </c>
      <c r="K763" s="108" t="s">
        <v>20</v>
      </c>
      <c r="L763" s="108">
        <v>1</v>
      </c>
      <c r="M763" s="114">
        <v>2952</v>
      </c>
      <c r="N763" s="116">
        <f t="shared" si="46"/>
        <v>2952</v>
      </c>
      <c r="P763" s="108">
        <f t="shared" si="47"/>
        <v>169</v>
      </c>
    </row>
    <row r="764" spans="1:16" ht="15" hidden="1" customHeight="1" x14ac:dyDescent="0.2">
      <c r="A764" s="108" t="s">
        <v>18</v>
      </c>
      <c r="B764" s="117" t="s">
        <v>663</v>
      </c>
      <c r="C764" s="108">
        <f t="shared" si="44"/>
        <v>1775</v>
      </c>
      <c r="D764" s="38">
        <f t="shared" si="45"/>
        <v>1</v>
      </c>
      <c r="G764" s="113" t="s">
        <v>19</v>
      </c>
      <c r="H764" s="108" t="s">
        <v>1174</v>
      </c>
      <c r="I764" s="12">
        <v>64277</v>
      </c>
      <c r="J764" s="12">
        <v>331</v>
      </c>
      <c r="K764" s="108" t="s">
        <v>20</v>
      </c>
      <c r="L764" s="108">
        <v>1</v>
      </c>
      <c r="M764" s="114">
        <v>27000</v>
      </c>
      <c r="N764" s="116">
        <f t="shared" si="46"/>
        <v>27000</v>
      </c>
      <c r="P764" s="108">
        <f t="shared" si="47"/>
        <v>169</v>
      </c>
    </row>
    <row r="765" spans="1:16" ht="15" hidden="1" customHeight="1" x14ac:dyDescent="0.2">
      <c r="A765" s="108" t="s">
        <v>18</v>
      </c>
      <c r="B765" s="117" t="s">
        <v>663</v>
      </c>
      <c r="C765" s="108">
        <f t="shared" si="44"/>
        <v>1775</v>
      </c>
      <c r="D765" s="38">
        <f t="shared" si="45"/>
        <v>0</v>
      </c>
      <c r="G765" s="113" t="s">
        <v>19</v>
      </c>
      <c r="H765" s="108" t="s">
        <v>1174</v>
      </c>
      <c r="I765" s="12">
        <v>1331</v>
      </c>
      <c r="J765" s="12">
        <v>331</v>
      </c>
      <c r="K765" s="108" t="s">
        <v>20</v>
      </c>
      <c r="L765" s="108">
        <v>1</v>
      </c>
      <c r="M765" s="114">
        <v>1856</v>
      </c>
      <c r="N765" s="116">
        <f t="shared" si="46"/>
        <v>1856</v>
      </c>
      <c r="P765" s="108">
        <f t="shared" si="47"/>
        <v>169</v>
      </c>
    </row>
    <row r="766" spans="1:16" ht="15" hidden="1" customHeight="1" x14ac:dyDescent="0.2">
      <c r="A766" s="108" t="s">
        <v>18</v>
      </c>
      <c r="B766" s="117" t="s">
        <v>663</v>
      </c>
      <c r="C766" s="108">
        <f t="shared" si="44"/>
        <v>1776</v>
      </c>
      <c r="D766" s="38">
        <f t="shared" si="45"/>
        <v>1</v>
      </c>
      <c r="G766" s="113" t="s">
        <v>19</v>
      </c>
      <c r="H766" s="108" t="s">
        <v>1173</v>
      </c>
      <c r="I766" s="12">
        <v>64277</v>
      </c>
      <c r="J766" s="12">
        <v>331</v>
      </c>
      <c r="K766" s="108" t="s">
        <v>20</v>
      </c>
      <c r="L766" s="108">
        <v>1</v>
      </c>
      <c r="M766" s="114">
        <v>47000</v>
      </c>
      <c r="N766" s="116">
        <f t="shared" si="46"/>
        <v>47000</v>
      </c>
      <c r="P766" s="108">
        <f t="shared" si="47"/>
        <v>126</v>
      </c>
    </row>
    <row r="767" spans="1:16" ht="15" hidden="1" customHeight="1" x14ac:dyDescent="0.2">
      <c r="A767" s="108" t="s">
        <v>18</v>
      </c>
      <c r="B767" s="117" t="s">
        <v>663</v>
      </c>
      <c r="C767" s="108">
        <f t="shared" si="44"/>
        <v>1776</v>
      </c>
      <c r="D767" s="38">
        <f t="shared" si="45"/>
        <v>0</v>
      </c>
      <c r="G767" s="113" t="s">
        <v>19</v>
      </c>
      <c r="H767" s="108" t="s">
        <v>1173</v>
      </c>
      <c r="I767" s="12">
        <v>1331</v>
      </c>
      <c r="J767" s="12">
        <v>331</v>
      </c>
      <c r="K767" s="108" t="s">
        <v>20</v>
      </c>
      <c r="L767" s="108">
        <v>1</v>
      </c>
      <c r="M767" s="114">
        <v>3482</v>
      </c>
      <c r="N767" s="116">
        <f t="shared" si="46"/>
        <v>3482</v>
      </c>
      <c r="P767" s="108">
        <f t="shared" si="47"/>
        <v>126</v>
      </c>
    </row>
    <row r="768" spans="1:16" ht="15" hidden="1" customHeight="1" x14ac:dyDescent="0.2">
      <c r="A768" s="108" t="s">
        <v>18</v>
      </c>
      <c r="B768" s="117" t="s">
        <v>663</v>
      </c>
      <c r="C768" s="108">
        <f t="shared" si="44"/>
        <v>1777</v>
      </c>
      <c r="D768" s="38">
        <f t="shared" si="45"/>
        <v>1</v>
      </c>
      <c r="G768" s="113" t="s">
        <v>19</v>
      </c>
      <c r="H768" s="108" t="s">
        <v>1172</v>
      </c>
      <c r="I768" s="12">
        <v>64277</v>
      </c>
      <c r="J768" s="12">
        <v>331</v>
      </c>
      <c r="K768" s="108" t="s">
        <v>20</v>
      </c>
      <c r="L768" s="108">
        <v>1</v>
      </c>
      <c r="M768" s="114">
        <v>140000</v>
      </c>
      <c r="N768" s="116">
        <f t="shared" si="46"/>
        <v>140000</v>
      </c>
      <c r="P768" s="108">
        <f t="shared" si="47"/>
        <v>126</v>
      </c>
    </row>
    <row r="769" spans="1:16" ht="15" hidden="1" customHeight="1" x14ac:dyDescent="0.2">
      <c r="A769" s="108" t="s">
        <v>18</v>
      </c>
      <c r="B769" s="117" t="s">
        <v>663</v>
      </c>
      <c r="C769" s="108">
        <f t="shared" si="44"/>
        <v>1777</v>
      </c>
      <c r="D769" s="38">
        <f t="shared" si="45"/>
        <v>0</v>
      </c>
      <c r="G769" s="113" t="s">
        <v>19</v>
      </c>
      <c r="H769" s="108" t="s">
        <v>1172</v>
      </c>
      <c r="I769" s="12">
        <v>1331</v>
      </c>
      <c r="J769" s="12">
        <v>331</v>
      </c>
      <c r="K769" s="108" t="s">
        <v>20</v>
      </c>
      <c r="L769" s="108">
        <v>1</v>
      </c>
      <c r="M769" s="114">
        <v>10370</v>
      </c>
      <c r="N769" s="116">
        <f t="shared" si="46"/>
        <v>10370</v>
      </c>
      <c r="P769" s="108">
        <f t="shared" si="47"/>
        <v>126</v>
      </c>
    </row>
    <row r="770" spans="1:16" ht="15" hidden="1" customHeight="1" x14ac:dyDescent="0.2">
      <c r="A770" s="108" t="s">
        <v>18</v>
      </c>
      <c r="B770" s="117" t="s">
        <v>663</v>
      </c>
      <c r="C770" s="108">
        <f t="shared" si="44"/>
        <v>1778</v>
      </c>
      <c r="D770" s="38">
        <f t="shared" si="45"/>
        <v>1</v>
      </c>
      <c r="G770" s="113" t="s">
        <v>23</v>
      </c>
      <c r="H770" s="108" t="s">
        <v>1176</v>
      </c>
      <c r="I770" s="12">
        <v>64277</v>
      </c>
      <c r="J770" s="12">
        <v>331</v>
      </c>
      <c r="K770" s="108" t="s">
        <v>20</v>
      </c>
      <c r="L770" s="108">
        <v>1</v>
      </c>
      <c r="M770" s="114">
        <v>141204</v>
      </c>
      <c r="N770" s="116">
        <f t="shared" si="46"/>
        <v>141204</v>
      </c>
      <c r="P770" s="108">
        <f t="shared" si="47"/>
        <v>99</v>
      </c>
    </row>
    <row r="771" spans="1:16" ht="15" hidden="1" customHeight="1" x14ac:dyDescent="0.2">
      <c r="A771" s="108" t="s">
        <v>18</v>
      </c>
      <c r="B771" s="117" t="s">
        <v>663</v>
      </c>
      <c r="C771" s="108">
        <f t="shared" si="44"/>
        <v>1778</v>
      </c>
      <c r="D771" s="38">
        <f t="shared" si="45"/>
        <v>0</v>
      </c>
      <c r="G771" s="113" t="s">
        <v>23</v>
      </c>
      <c r="H771" s="108" t="s">
        <v>1176</v>
      </c>
      <c r="I771" s="12">
        <v>1331</v>
      </c>
      <c r="J771" s="12">
        <v>331</v>
      </c>
      <c r="K771" s="108" t="s">
        <v>20</v>
      </c>
      <c r="L771" s="108">
        <v>1</v>
      </c>
      <c r="M771" s="114">
        <v>11296</v>
      </c>
      <c r="N771" s="116">
        <f t="shared" si="46"/>
        <v>11296</v>
      </c>
      <c r="P771" s="108">
        <f t="shared" si="47"/>
        <v>99</v>
      </c>
    </row>
    <row r="772" spans="1:16" ht="15" hidden="1" customHeight="1" x14ac:dyDescent="0.2">
      <c r="A772" s="108" t="s">
        <v>18</v>
      </c>
      <c r="B772" s="117" t="s">
        <v>663</v>
      </c>
      <c r="C772" s="108">
        <f t="shared" ref="C772:C818" si="48">C771+D772</f>
        <v>1779</v>
      </c>
      <c r="D772" s="38">
        <f t="shared" ref="D772:D818" si="49">IF(H772=H771,0,1)</f>
        <v>1</v>
      </c>
      <c r="G772" s="113" t="s">
        <v>23</v>
      </c>
      <c r="H772" s="108" t="s">
        <v>1177</v>
      </c>
      <c r="I772" s="12">
        <v>64277</v>
      </c>
      <c r="J772" s="12">
        <v>331</v>
      </c>
      <c r="K772" s="108" t="s">
        <v>20</v>
      </c>
      <c r="L772" s="108">
        <v>1</v>
      </c>
      <c r="M772" s="114">
        <v>183333</v>
      </c>
      <c r="N772" s="116">
        <f t="shared" ref="N772:N818" si="50">M772*L772</f>
        <v>183333</v>
      </c>
      <c r="P772" s="108">
        <f t="shared" ref="P772:P818" si="51">LEN(H772)</f>
        <v>187</v>
      </c>
    </row>
    <row r="773" spans="1:16" ht="15" hidden="1" customHeight="1" x14ac:dyDescent="0.2">
      <c r="A773" s="108" t="s">
        <v>18</v>
      </c>
      <c r="B773" s="117" t="s">
        <v>663</v>
      </c>
      <c r="C773" s="108">
        <f t="shared" si="48"/>
        <v>1779</v>
      </c>
      <c r="D773" s="38">
        <f t="shared" si="49"/>
        <v>0</v>
      </c>
      <c r="G773" s="113" t="s">
        <v>23</v>
      </c>
      <c r="H773" s="108" t="s">
        <v>1177</v>
      </c>
      <c r="I773" s="12">
        <v>1331</v>
      </c>
      <c r="J773" s="12">
        <v>331</v>
      </c>
      <c r="K773" s="108" t="s">
        <v>20</v>
      </c>
      <c r="L773" s="108">
        <v>1</v>
      </c>
      <c r="M773" s="114">
        <v>14667</v>
      </c>
      <c r="N773" s="116">
        <f t="shared" si="50"/>
        <v>14667</v>
      </c>
      <c r="P773" s="108">
        <f t="shared" si="51"/>
        <v>187</v>
      </c>
    </row>
    <row r="774" spans="1:16" ht="15" hidden="1" customHeight="1" x14ac:dyDescent="0.2">
      <c r="A774" s="108" t="s">
        <v>18</v>
      </c>
      <c r="B774" s="117" t="s">
        <v>664</v>
      </c>
      <c r="C774" s="108">
        <f t="shared" si="48"/>
        <v>1780</v>
      </c>
      <c r="D774" s="38">
        <f t="shared" si="49"/>
        <v>1</v>
      </c>
      <c r="G774" s="113" t="s">
        <v>19</v>
      </c>
      <c r="H774" s="108" t="s">
        <v>1180</v>
      </c>
      <c r="I774" s="12">
        <v>64277</v>
      </c>
      <c r="J774" s="12">
        <v>331</v>
      </c>
      <c r="K774" s="108" t="s">
        <v>20</v>
      </c>
      <c r="L774" s="108">
        <v>1</v>
      </c>
      <c r="M774" s="114">
        <v>121296</v>
      </c>
      <c r="N774" s="116">
        <f t="shared" si="50"/>
        <v>121296</v>
      </c>
      <c r="P774" s="108">
        <f t="shared" si="51"/>
        <v>64</v>
      </c>
    </row>
    <row r="775" spans="1:16" ht="15" hidden="1" customHeight="1" x14ac:dyDescent="0.2">
      <c r="A775" s="108" t="s">
        <v>18</v>
      </c>
      <c r="B775" s="117" t="s">
        <v>664</v>
      </c>
      <c r="C775" s="108">
        <f t="shared" si="48"/>
        <v>1780</v>
      </c>
      <c r="D775" s="38">
        <f t="shared" si="49"/>
        <v>0</v>
      </c>
      <c r="G775" s="113" t="s">
        <v>19</v>
      </c>
      <c r="H775" s="108" t="s">
        <v>1180</v>
      </c>
      <c r="I775" s="12">
        <v>1331</v>
      </c>
      <c r="J775" s="12">
        <v>331</v>
      </c>
      <c r="K775" s="108" t="s">
        <v>20</v>
      </c>
      <c r="L775" s="108">
        <v>1</v>
      </c>
      <c r="M775" s="114">
        <v>9704</v>
      </c>
      <c r="N775" s="116">
        <f t="shared" si="50"/>
        <v>9704</v>
      </c>
      <c r="P775" s="108">
        <f t="shared" si="51"/>
        <v>64</v>
      </c>
    </row>
    <row r="776" spans="1:16" ht="15" hidden="1" customHeight="1" x14ac:dyDescent="0.2">
      <c r="A776" s="108" t="s">
        <v>18</v>
      </c>
      <c r="B776" s="117" t="s">
        <v>664</v>
      </c>
      <c r="C776" s="108">
        <f t="shared" si="48"/>
        <v>1781</v>
      </c>
      <c r="D776" s="38">
        <f t="shared" si="49"/>
        <v>1</v>
      </c>
      <c r="G776" s="113" t="s">
        <v>19</v>
      </c>
      <c r="H776" s="108" t="s">
        <v>1179</v>
      </c>
      <c r="I776" s="12">
        <v>64277</v>
      </c>
      <c r="J776" s="12">
        <v>331</v>
      </c>
      <c r="K776" s="108" t="s">
        <v>20</v>
      </c>
      <c r="L776" s="108">
        <v>1</v>
      </c>
      <c r="M776" s="114">
        <v>118000</v>
      </c>
      <c r="N776" s="116">
        <f t="shared" si="50"/>
        <v>118000</v>
      </c>
      <c r="P776" s="108">
        <f t="shared" si="51"/>
        <v>126</v>
      </c>
    </row>
    <row r="777" spans="1:16" ht="15" hidden="1" customHeight="1" x14ac:dyDescent="0.2">
      <c r="A777" s="108" t="s">
        <v>18</v>
      </c>
      <c r="B777" s="117" t="s">
        <v>664</v>
      </c>
      <c r="C777" s="108">
        <f t="shared" si="48"/>
        <v>1781</v>
      </c>
      <c r="D777" s="38">
        <f t="shared" si="49"/>
        <v>0</v>
      </c>
      <c r="G777" s="113" t="s">
        <v>19</v>
      </c>
      <c r="H777" s="108" t="s">
        <v>1179</v>
      </c>
      <c r="I777" s="12">
        <v>1331</v>
      </c>
      <c r="J777" s="12">
        <v>331</v>
      </c>
      <c r="K777" s="108" t="s">
        <v>20</v>
      </c>
      <c r="L777" s="108">
        <v>1</v>
      </c>
      <c r="M777" s="114">
        <v>8741</v>
      </c>
      <c r="N777" s="116">
        <f t="shared" si="50"/>
        <v>8741</v>
      </c>
      <c r="P777" s="108">
        <f t="shared" si="51"/>
        <v>126</v>
      </c>
    </row>
    <row r="778" spans="1:16" ht="15" hidden="1" customHeight="1" x14ac:dyDescent="0.2">
      <c r="A778" s="108" t="s">
        <v>18</v>
      </c>
      <c r="B778" s="117" t="s">
        <v>664</v>
      </c>
      <c r="C778" s="108">
        <f t="shared" si="48"/>
        <v>1782</v>
      </c>
      <c r="D778" s="38">
        <f t="shared" si="49"/>
        <v>1</v>
      </c>
      <c r="G778" s="113" t="s">
        <v>24</v>
      </c>
      <c r="H778" s="108" t="s">
        <v>1178</v>
      </c>
      <c r="I778" s="12">
        <v>64277</v>
      </c>
      <c r="J778" s="12">
        <v>331</v>
      </c>
      <c r="K778" s="108" t="s">
        <v>20</v>
      </c>
      <c r="L778" s="108">
        <v>1</v>
      </c>
      <c r="M778" s="114">
        <v>125000</v>
      </c>
      <c r="N778" s="116">
        <f t="shared" si="50"/>
        <v>125000</v>
      </c>
      <c r="P778" s="108">
        <f t="shared" si="51"/>
        <v>169</v>
      </c>
    </row>
    <row r="779" spans="1:16" ht="15" hidden="1" customHeight="1" x14ac:dyDescent="0.2">
      <c r="A779" s="108" t="s">
        <v>18</v>
      </c>
      <c r="B779" s="117" t="s">
        <v>664</v>
      </c>
      <c r="C779" s="108">
        <f t="shared" si="48"/>
        <v>1782</v>
      </c>
      <c r="D779" s="38">
        <f t="shared" si="49"/>
        <v>0</v>
      </c>
      <c r="G779" s="113" t="s">
        <v>24</v>
      </c>
      <c r="H779" s="108" t="s">
        <v>1178</v>
      </c>
      <c r="I779" s="12">
        <v>1331</v>
      </c>
      <c r="J779" s="12">
        <v>331</v>
      </c>
      <c r="K779" s="108" t="s">
        <v>20</v>
      </c>
      <c r="L779" s="108">
        <v>1</v>
      </c>
      <c r="M779" s="114">
        <v>8677</v>
      </c>
      <c r="N779" s="116">
        <f t="shared" si="50"/>
        <v>8677</v>
      </c>
      <c r="P779" s="108">
        <f t="shared" si="51"/>
        <v>169</v>
      </c>
    </row>
    <row r="780" spans="1:16" ht="15" hidden="1" customHeight="1" x14ac:dyDescent="0.2">
      <c r="A780" s="108" t="s">
        <v>18</v>
      </c>
      <c r="B780" s="117" t="s">
        <v>664</v>
      </c>
      <c r="C780" s="108">
        <f t="shared" si="48"/>
        <v>1783</v>
      </c>
      <c r="D780" s="38">
        <f t="shared" si="49"/>
        <v>1</v>
      </c>
      <c r="G780" s="113" t="s">
        <v>23</v>
      </c>
      <c r="H780" s="108" t="s">
        <v>1181</v>
      </c>
      <c r="I780" s="12">
        <v>64277</v>
      </c>
      <c r="J780" s="12">
        <v>331</v>
      </c>
      <c r="K780" s="108" t="s">
        <v>20</v>
      </c>
      <c r="L780" s="108">
        <v>1</v>
      </c>
      <c r="M780" s="114">
        <v>91667</v>
      </c>
      <c r="N780" s="116">
        <f t="shared" si="50"/>
        <v>91667</v>
      </c>
      <c r="P780" s="108">
        <f t="shared" si="51"/>
        <v>161</v>
      </c>
    </row>
    <row r="781" spans="1:16" ht="15" hidden="1" customHeight="1" x14ac:dyDescent="0.2">
      <c r="A781" s="108" t="s">
        <v>18</v>
      </c>
      <c r="B781" s="117" t="s">
        <v>664</v>
      </c>
      <c r="C781" s="108">
        <f t="shared" si="48"/>
        <v>1783</v>
      </c>
      <c r="D781" s="38">
        <f t="shared" si="49"/>
        <v>0</v>
      </c>
      <c r="G781" s="113" t="s">
        <v>23</v>
      </c>
      <c r="H781" s="108" t="s">
        <v>1181</v>
      </c>
      <c r="I781" s="12">
        <v>1331</v>
      </c>
      <c r="J781" s="12">
        <v>331</v>
      </c>
      <c r="K781" s="108" t="s">
        <v>20</v>
      </c>
      <c r="L781" s="108">
        <v>1</v>
      </c>
      <c r="M781" s="114">
        <v>7333</v>
      </c>
      <c r="N781" s="116">
        <f t="shared" si="50"/>
        <v>7333</v>
      </c>
      <c r="P781" s="108">
        <f t="shared" si="51"/>
        <v>161</v>
      </c>
    </row>
    <row r="782" spans="1:16" ht="15" hidden="1" customHeight="1" x14ac:dyDescent="0.2">
      <c r="A782" s="108" t="s">
        <v>18</v>
      </c>
      <c r="B782" s="117" t="s">
        <v>506</v>
      </c>
      <c r="C782" s="108">
        <f t="shared" si="48"/>
        <v>1784</v>
      </c>
      <c r="D782" s="38">
        <f t="shared" si="49"/>
        <v>1</v>
      </c>
      <c r="G782" s="113" t="s">
        <v>1183</v>
      </c>
      <c r="H782" s="108" t="s">
        <v>1184</v>
      </c>
      <c r="I782" s="12">
        <v>64277</v>
      </c>
      <c r="J782" s="12">
        <v>331</v>
      </c>
      <c r="K782" s="108" t="s">
        <v>20</v>
      </c>
      <c r="L782" s="108">
        <v>1</v>
      </c>
      <c r="M782" s="114">
        <v>365400</v>
      </c>
      <c r="N782" s="116">
        <f t="shared" si="50"/>
        <v>365400</v>
      </c>
      <c r="P782" s="108">
        <f t="shared" si="51"/>
        <v>78</v>
      </c>
    </row>
    <row r="783" spans="1:16" ht="15" hidden="1" customHeight="1" x14ac:dyDescent="0.2">
      <c r="A783" s="108" t="s">
        <v>18</v>
      </c>
      <c r="B783" s="117" t="s">
        <v>506</v>
      </c>
      <c r="C783" s="108">
        <f t="shared" si="48"/>
        <v>1784</v>
      </c>
      <c r="D783" s="38">
        <f t="shared" si="49"/>
        <v>0</v>
      </c>
      <c r="G783" s="113" t="s">
        <v>1183</v>
      </c>
      <c r="H783" s="108" t="s">
        <v>1184</v>
      </c>
      <c r="I783" s="12">
        <v>1331</v>
      </c>
      <c r="J783" s="12">
        <v>331</v>
      </c>
      <c r="K783" s="108" t="s">
        <v>20</v>
      </c>
      <c r="L783" s="108">
        <v>1</v>
      </c>
      <c r="M783" s="114">
        <v>0</v>
      </c>
      <c r="N783" s="116">
        <f t="shared" si="50"/>
        <v>0</v>
      </c>
      <c r="P783" s="108">
        <f t="shared" si="51"/>
        <v>78</v>
      </c>
    </row>
    <row r="784" spans="1:16" ht="15" hidden="1" customHeight="1" x14ac:dyDescent="0.2">
      <c r="A784" s="108" t="s">
        <v>18</v>
      </c>
      <c r="B784" s="117" t="s">
        <v>506</v>
      </c>
      <c r="C784" s="108">
        <f t="shared" si="48"/>
        <v>1785</v>
      </c>
      <c r="D784" s="38">
        <f t="shared" si="49"/>
        <v>1</v>
      </c>
      <c r="G784" s="113" t="s">
        <v>23</v>
      </c>
      <c r="H784" s="108" t="s">
        <v>3711</v>
      </c>
      <c r="I784" s="12">
        <v>64277</v>
      </c>
      <c r="J784" s="12">
        <v>331</v>
      </c>
      <c r="K784" s="108" t="s">
        <v>20</v>
      </c>
      <c r="L784" s="108">
        <v>1</v>
      </c>
      <c r="M784" s="114">
        <v>87037</v>
      </c>
      <c r="N784" s="116">
        <f t="shared" si="50"/>
        <v>87037</v>
      </c>
      <c r="P784" s="108">
        <f t="shared" si="51"/>
        <v>42</v>
      </c>
    </row>
    <row r="785" spans="1:16" ht="15" hidden="1" customHeight="1" x14ac:dyDescent="0.2">
      <c r="A785" s="108" t="s">
        <v>18</v>
      </c>
      <c r="B785" s="117" t="s">
        <v>506</v>
      </c>
      <c r="C785" s="108">
        <f t="shared" si="48"/>
        <v>1785</v>
      </c>
      <c r="D785" s="38">
        <f t="shared" si="49"/>
        <v>0</v>
      </c>
      <c r="G785" s="113" t="s">
        <v>23</v>
      </c>
      <c r="H785" s="108" t="s">
        <v>3711</v>
      </c>
      <c r="I785" s="12">
        <v>1331</v>
      </c>
      <c r="J785" s="12">
        <v>331</v>
      </c>
      <c r="K785" s="108" t="s">
        <v>20</v>
      </c>
      <c r="L785" s="108">
        <v>1</v>
      </c>
      <c r="M785" s="114">
        <v>6963</v>
      </c>
      <c r="N785" s="116">
        <f t="shared" si="50"/>
        <v>6963</v>
      </c>
      <c r="P785" s="108">
        <f t="shared" si="51"/>
        <v>42</v>
      </c>
    </row>
    <row r="786" spans="1:16" ht="15" hidden="1" customHeight="1" x14ac:dyDescent="0.2">
      <c r="A786" s="108" t="s">
        <v>18</v>
      </c>
      <c r="B786" s="117" t="s">
        <v>506</v>
      </c>
      <c r="C786" s="108">
        <f t="shared" si="48"/>
        <v>1786</v>
      </c>
      <c r="D786" s="38">
        <f t="shared" si="49"/>
        <v>1</v>
      </c>
      <c r="G786" s="113" t="s">
        <v>32</v>
      </c>
      <c r="H786" s="108" t="s">
        <v>3709</v>
      </c>
      <c r="I786" s="12">
        <v>64277</v>
      </c>
      <c r="J786" s="12">
        <v>331</v>
      </c>
      <c r="K786" s="108" t="s">
        <v>20</v>
      </c>
      <c r="L786" s="108">
        <v>1</v>
      </c>
      <c r="M786" s="114">
        <v>677751</v>
      </c>
      <c r="N786" s="116">
        <f t="shared" si="50"/>
        <v>677751</v>
      </c>
      <c r="P786" s="108">
        <f t="shared" si="51"/>
        <v>42</v>
      </c>
    </row>
    <row r="787" spans="1:16" ht="15" hidden="1" customHeight="1" x14ac:dyDescent="0.2">
      <c r="A787" s="108" t="s">
        <v>18</v>
      </c>
      <c r="B787" s="117" t="s">
        <v>506</v>
      </c>
      <c r="C787" s="108">
        <f t="shared" si="48"/>
        <v>1786</v>
      </c>
      <c r="D787" s="38">
        <f t="shared" si="49"/>
        <v>0</v>
      </c>
      <c r="G787" s="113" t="s">
        <v>32</v>
      </c>
      <c r="H787" s="108" t="s">
        <v>3709</v>
      </c>
      <c r="I787" s="12">
        <v>1331</v>
      </c>
      <c r="J787" s="12">
        <v>331</v>
      </c>
      <c r="K787" s="108" t="s">
        <v>20</v>
      </c>
      <c r="L787" s="108">
        <v>1</v>
      </c>
      <c r="M787" s="114">
        <v>51249</v>
      </c>
      <c r="N787" s="116">
        <f t="shared" si="50"/>
        <v>51249</v>
      </c>
      <c r="P787" s="108">
        <f t="shared" si="51"/>
        <v>42</v>
      </c>
    </row>
    <row r="788" spans="1:16" ht="15" hidden="1" customHeight="1" x14ac:dyDescent="0.2">
      <c r="A788" s="108" t="s">
        <v>18</v>
      </c>
      <c r="B788" s="117" t="s">
        <v>506</v>
      </c>
      <c r="C788" s="108">
        <f t="shared" si="48"/>
        <v>1787</v>
      </c>
      <c r="D788" s="38">
        <f t="shared" si="49"/>
        <v>1</v>
      </c>
      <c r="G788" s="113" t="s">
        <v>243</v>
      </c>
      <c r="H788" s="108" t="s">
        <v>1199</v>
      </c>
      <c r="I788" s="12">
        <v>131</v>
      </c>
      <c r="J788" s="12">
        <v>5113</v>
      </c>
      <c r="K788" s="108" t="s">
        <v>20</v>
      </c>
      <c r="L788" s="108">
        <v>1</v>
      </c>
      <c r="M788" s="114">
        <v>16129032</v>
      </c>
      <c r="N788" s="116">
        <f t="shared" si="50"/>
        <v>16129032</v>
      </c>
      <c r="P788" s="108">
        <f t="shared" si="51"/>
        <v>91</v>
      </c>
    </row>
    <row r="789" spans="1:16" ht="15" customHeight="1" x14ac:dyDescent="0.2">
      <c r="A789" s="108" t="s">
        <v>18</v>
      </c>
      <c r="B789" s="117" t="s">
        <v>506</v>
      </c>
      <c r="C789" s="108">
        <f t="shared" si="48"/>
        <v>1788</v>
      </c>
      <c r="D789" s="38">
        <f t="shared" si="49"/>
        <v>1</v>
      </c>
      <c r="G789" s="113" t="s">
        <v>243</v>
      </c>
      <c r="H789" s="108" t="s">
        <v>3736</v>
      </c>
      <c r="I789" s="12">
        <v>333821</v>
      </c>
      <c r="J789" s="12">
        <v>131</v>
      </c>
      <c r="K789" s="108" t="s">
        <v>20</v>
      </c>
      <c r="L789" s="108">
        <v>1</v>
      </c>
      <c r="M789" s="114">
        <v>161290</v>
      </c>
      <c r="N789" s="116">
        <f t="shared" si="50"/>
        <v>161290</v>
      </c>
      <c r="P789" s="108">
        <f t="shared" si="51"/>
        <v>107</v>
      </c>
    </row>
    <row r="790" spans="1:16" ht="15" hidden="1" customHeight="1" x14ac:dyDescent="0.2">
      <c r="A790" s="108" t="s">
        <v>18</v>
      </c>
      <c r="B790" s="117" t="s">
        <v>506</v>
      </c>
      <c r="C790" s="108">
        <f t="shared" si="48"/>
        <v>1789</v>
      </c>
      <c r="D790" s="38">
        <f t="shared" si="49"/>
        <v>1</v>
      </c>
      <c r="G790" s="113" t="s">
        <v>27</v>
      </c>
      <c r="H790" s="108" t="s">
        <v>1182</v>
      </c>
      <c r="I790" s="12">
        <v>64277</v>
      </c>
      <c r="J790" s="12">
        <v>331</v>
      </c>
      <c r="K790" s="108" t="s">
        <v>20</v>
      </c>
      <c r="L790" s="108">
        <v>1</v>
      </c>
      <c r="M790" s="114">
        <v>112000</v>
      </c>
      <c r="N790" s="116">
        <f t="shared" si="50"/>
        <v>112000</v>
      </c>
      <c r="P790" s="108">
        <f t="shared" si="51"/>
        <v>48</v>
      </c>
    </row>
    <row r="791" spans="1:16" ht="15" hidden="1" customHeight="1" x14ac:dyDescent="0.2">
      <c r="A791" s="108" t="s">
        <v>18</v>
      </c>
      <c r="B791" s="117" t="s">
        <v>506</v>
      </c>
      <c r="C791" s="108">
        <f t="shared" si="48"/>
        <v>1789</v>
      </c>
      <c r="D791" s="38">
        <f t="shared" si="49"/>
        <v>0</v>
      </c>
      <c r="G791" s="113" t="s">
        <v>27</v>
      </c>
      <c r="H791" s="108" t="s">
        <v>1182</v>
      </c>
      <c r="I791" s="12">
        <v>1331</v>
      </c>
      <c r="J791" s="12">
        <v>331</v>
      </c>
      <c r="K791" s="108" t="s">
        <v>20</v>
      </c>
      <c r="L791" s="108">
        <v>1</v>
      </c>
      <c r="M791" s="114">
        <v>8960</v>
      </c>
      <c r="N791" s="116">
        <f t="shared" si="50"/>
        <v>8960</v>
      </c>
      <c r="P791" s="108">
        <f t="shared" si="51"/>
        <v>48</v>
      </c>
    </row>
    <row r="792" spans="1:16" ht="15" hidden="1" customHeight="1" x14ac:dyDescent="0.2">
      <c r="A792" s="108" t="s">
        <v>18</v>
      </c>
      <c r="B792" s="117" t="s">
        <v>560</v>
      </c>
      <c r="C792" s="108">
        <f t="shared" si="48"/>
        <v>1790</v>
      </c>
      <c r="D792" s="38">
        <f t="shared" si="49"/>
        <v>1</v>
      </c>
      <c r="G792" s="113" t="s">
        <v>23</v>
      </c>
      <c r="H792" s="108" t="s">
        <v>3715</v>
      </c>
      <c r="I792" s="12">
        <v>64277</v>
      </c>
      <c r="J792" s="12">
        <v>331</v>
      </c>
      <c r="K792" s="108" t="s">
        <v>20</v>
      </c>
      <c r="L792" s="108">
        <v>1</v>
      </c>
      <c r="M792" s="114">
        <v>320370</v>
      </c>
      <c r="N792" s="116">
        <f t="shared" si="50"/>
        <v>320370</v>
      </c>
      <c r="P792" s="108">
        <f t="shared" si="51"/>
        <v>42</v>
      </c>
    </row>
    <row r="793" spans="1:16" ht="15" hidden="1" customHeight="1" x14ac:dyDescent="0.2">
      <c r="A793" s="108" t="s">
        <v>18</v>
      </c>
      <c r="B793" s="117" t="s">
        <v>560</v>
      </c>
      <c r="C793" s="108">
        <f t="shared" si="48"/>
        <v>1790</v>
      </c>
      <c r="D793" s="38">
        <f t="shared" si="49"/>
        <v>0</v>
      </c>
      <c r="G793" s="113" t="s">
        <v>23</v>
      </c>
      <c r="H793" s="108" t="s">
        <v>3715</v>
      </c>
      <c r="I793" s="12">
        <v>1331</v>
      </c>
      <c r="J793" s="12">
        <v>331</v>
      </c>
      <c r="K793" s="108" t="s">
        <v>20</v>
      </c>
      <c r="L793" s="108">
        <v>1</v>
      </c>
      <c r="M793" s="114">
        <v>25630</v>
      </c>
      <c r="N793" s="116">
        <f t="shared" si="50"/>
        <v>25630</v>
      </c>
      <c r="P793" s="108">
        <f t="shared" si="51"/>
        <v>42</v>
      </c>
    </row>
    <row r="794" spans="1:16" ht="15" hidden="1" customHeight="1" x14ac:dyDescent="0.2">
      <c r="A794" s="108" t="s">
        <v>18</v>
      </c>
      <c r="B794" s="117" t="s">
        <v>560</v>
      </c>
      <c r="C794" s="108">
        <f t="shared" si="48"/>
        <v>1791</v>
      </c>
      <c r="D794" s="38">
        <f t="shared" si="49"/>
        <v>1</v>
      </c>
      <c r="G794" s="113" t="s">
        <v>37</v>
      </c>
      <c r="H794" s="108" t="s">
        <v>3713</v>
      </c>
      <c r="I794" s="12">
        <v>64277</v>
      </c>
      <c r="J794" s="12">
        <v>331</v>
      </c>
      <c r="K794" s="108" t="s">
        <v>20</v>
      </c>
      <c r="L794" s="108">
        <v>1</v>
      </c>
      <c r="M794" s="114">
        <v>2020926</v>
      </c>
      <c r="N794" s="116">
        <f t="shared" si="50"/>
        <v>2020926</v>
      </c>
      <c r="P794" s="108">
        <f t="shared" si="51"/>
        <v>43</v>
      </c>
    </row>
    <row r="795" spans="1:16" ht="15" hidden="1" customHeight="1" x14ac:dyDescent="0.2">
      <c r="A795" s="108" t="s">
        <v>18</v>
      </c>
      <c r="B795" s="117" t="s">
        <v>560</v>
      </c>
      <c r="C795" s="108">
        <f t="shared" si="48"/>
        <v>1791</v>
      </c>
      <c r="D795" s="38">
        <f t="shared" si="49"/>
        <v>0</v>
      </c>
      <c r="G795" s="113" t="s">
        <v>37</v>
      </c>
      <c r="H795" s="108" t="s">
        <v>3713</v>
      </c>
      <c r="I795" s="12">
        <v>1331</v>
      </c>
      <c r="J795" s="12">
        <v>331</v>
      </c>
      <c r="K795" s="108" t="s">
        <v>20</v>
      </c>
      <c r="L795" s="108">
        <v>1</v>
      </c>
      <c r="M795" s="114">
        <v>161674</v>
      </c>
      <c r="N795" s="116">
        <f t="shared" si="50"/>
        <v>161674</v>
      </c>
      <c r="P795" s="108">
        <f t="shared" si="51"/>
        <v>43</v>
      </c>
    </row>
    <row r="796" spans="1:16" ht="15" hidden="1" customHeight="1" x14ac:dyDescent="0.2">
      <c r="A796" s="108" t="s">
        <v>18</v>
      </c>
      <c r="B796" s="117" t="s">
        <v>560</v>
      </c>
      <c r="C796" s="108">
        <f t="shared" si="48"/>
        <v>1792</v>
      </c>
      <c r="D796" s="38">
        <f t="shared" si="49"/>
        <v>1</v>
      </c>
      <c r="G796" s="113" t="s">
        <v>19</v>
      </c>
      <c r="H796" s="108" t="s">
        <v>1186</v>
      </c>
      <c r="I796" s="12">
        <v>64277</v>
      </c>
      <c r="J796" s="12">
        <v>331</v>
      </c>
      <c r="K796" s="108" t="s">
        <v>20</v>
      </c>
      <c r="L796" s="108">
        <v>1</v>
      </c>
      <c r="M796" s="114">
        <v>49000</v>
      </c>
      <c r="N796" s="116">
        <f t="shared" si="50"/>
        <v>49000</v>
      </c>
      <c r="P796" s="108">
        <f t="shared" si="51"/>
        <v>126</v>
      </c>
    </row>
    <row r="797" spans="1:16" ht="15" hidden="1" customHeight="1" x14ac:dyDescent="0.2">
      <c r="A797" s="108" t="s">
        <v>18</v>
      </c>
      <c r="B797" s="117" t="s">
        <v>560</v>
      </c>
      <c r="C797" s="108">
        <f t="shared" si="48"/>
        <v>1792</v>
      </c>
      <c r="D797" s="38">
        <f t="shared" si="49"/>
        <v>0</v>
      </c>
      <c r="G797" s="113" t="s">
        <v>19</v>
      </c>
      <c r="H797" s="108" t="s">
        <v>1186</v>
      </c>
      <c r="I797" s="12">
        <v>1331</v>
      </c>
      <c r="J797" s="12">
        <v>331</v>
      </c>
      <c r="K797" s="108" t="s">
        <v>20</v>
      </c>
      <c r="L797" s="108">
        <v>1</v>
      </c>
      <c r="M797" s="114">
        <v>3630</v>
      </c>
      <c r="N797" s="116">
        <f t="shared" si="50"/>
        <v>3630</v>
      </c>
      <c r="P797" s="108">
        <f t="shared" si="51"/>
        <v>126</v>
      </c>
    </row>
    <row r="798" spans="1:16" ht="15" hidden="1" customHeight="1" x14ac:dyDescent="0.2">
      <c r="A798" s="108" t="s">
        <v>18</v>
      </c>
      <c r="B798" s="117" t="s">
        <v>560</v>
      </c>
      <c r="C798" s="108">
        <f t="shared" si="48"/>
        <v>1793</v>
      </c>
      <c r="D798" s="38">
        <f t="shared" si="49"/>
        <v>1</v>
      </c>
      <c r="G798" s="113" t="s">
        <v>19</v>
      </c>
      <c r="H798" s="108" t="s">
        <v>1185</v>
      </c>
      <c r="I798" s="12">
        <v>64277</v>
      </c>
      <c r="J798" s="12">
        <v>331</v>
      </c>
      <c r="K798" s="108" t="s">
        <v>20</v>
      </c>
      <c r="L798" s="108">
        <v>1</v>
      </c>
      <c r="M798" s="114">
        <v>229000</v>
      </c>
      <c r="N798" s="116">
        <f t="shared" si="50"/>
        <v>229000</v>
      </c>
      <c r="P798" s="108">
        <f t="shared" si="51"/>
        <v>126</v>
      </c>
    </row>
    <row r="799" spans="1:16" ht="15" hidden="1" customHeight="1" x14ac:dyDescent="0.2">
      <c r="A799" s="108" t="s">
        <v>18</v>
      </c>
      <c r="B799" s="117" t="s">
        <v>560</v>
      </c>
      <c r="C799" s="108">
        <f t="shared" si="48"/>
        <v>1793</v>
      </c>
      <c r="D799" s="38">
        <f t="shared" si="49"/>
        <v>0</v>
      </c>
      <c r="G799" s="113" t="s">
        <v>19</v>
      </c>
      <c r="H799" s="108" t="s">
        <v>1185</v>
      </c>
      <c r="I799" s="12">
        <v>1331</v>
      </c>
      <c r="J799" s="12">
        <v>331</v>
      </c>
      <c r="K799" s="108" t="s">
        <v>20</v>
      </c>
      <c r="L799" s="108">
        <v>1</v>
      </c>
      <c r="M799" s="114">
        <v>16963</v>
      </c>
      <c r="N799" s="116">
        <f t="shared" si="50"/>
        <v>16963</v>
      </c>
      <c r="P799" s="108">
        <f t="shared" si="51"/>
        <v>126</v>
      </c>
    </row>
    <row r="800" spans="1:16" ht="15" hidden="1" customHeight="1" x14ac:dyDescent="0.2">
      <c r="A800" s="108" t="s">
        <v>18</v>
      </c>
      <c r="B800" s="117" t="s">
        <v>561</v>
      </c>
      <c r="C800" s="108">
        <f t="shared" si="48"/>
        <v>1794</v>
      </c>
      <c r="D800" s="38">
        <f t="shared" si="49"/>
        <v>1</v>
      </c>
      <c r="G800" s="113" t="s">
        <v>1190</v>
      </c>
      <c r="H800" s="108" t="s">
        <v>3719</v>
      </c>
      <c r="I800" s="12">
        <v>64277</v>
      </c>
      <c r="J800" s="12">
        <v>331</v>
      </c>
      <c r="K800" s="108" t="s">
        <v>20</v>
      </c>
      <c r="L800" s="108">
        <v>1</v>
      </c>
      <c r="M800" s="114">
        <v>1490000</v>
      </c>
      <c r="N800" s="116">
        <f t="shared" si="50"/>
        <v>1490000</v>
      </c>
      <c r="P800" s="108">
        <f t="shared" si="51"/>
        <v>42</v>
      </c>
    </row>
    <row r="801" spans="1:16" ht="15" hidden="1" customHeight="1" x14ac:dyDescent="0.2">
      <c r="A801" s="108" t="s">
        <v>18</v>
      </c>
      <c r="B801" s="117" t="s">
        <v>561</v>
      </c>
      <c r="C801" s="108">
        <f t="shared" si="48"/>
        <v>1794</v>
      </c>
      <c r="D801" s="38">
        <f t="shared" si="49"/>
        <v>0</v>
      </c>
      <c r="G801" s="113" t="s">
        <v>1190</v>
      </c>
      <c r="H801" s="108" t="s">
        <v>3719</v>
      </c>
      <c r="I801" s="12">
        <v>1331</v>
      </c>
      <c r="J801" s="12">
        <v>331</v>
      </c>
      <c r="K801" s="108" t="s">
        <v>20</v>
      </c>
      <c r="L801" s="108">
        <v>1</v>
      </c>
      <c r="M801" s="114">
        <v>119200</v>
      </c>
      <c r="N801" s="116">
        <f t="shared" si="50"/>
        <v>119200</v>
      </c>
      <c r="P801" s="108">
        <f t="shared" si="51"/>
        <v>42</v>
      </c>
    </row>
    <row r="802" spans="1:16" ht="15" hidden="1" customHeight="1" x14ac:dyDescent="0.2">
      <c r="A802" s="108" t="s">
        <v>18</v>
      </c>
      <c r="B802" s="117" t="s">
        <v>561</v>
      </c>
      <c r="C802" s="108">
        <f t="shared" si="48"/>
        <v>1795</v>
      </c>
      <c r="D802" s="38">
        <f t="shared" si="49"/>
        <v>1</v>
      </c>
      <c r="G802" s="113" t="s">
        <v>37</v>
      </c>
      <c r="H802" s="108" t="s">
        <v>3717</v>
      </c>
      <c r="I802" s="12">
        <v>64277</v>
      </c>
      <c r="J802" s="12">
        <v>331</v>
      </c>
      <c r="K802" s="108" t="s">
        <v>20</v>
      </c>
      <c r="L802" s="108">
        <v>1</v>
      </c>
      <c r="M802" s="114">
        <v>1310000</v>
      </c>
      <c r="N802" s="116">
        <f t="shared" si="50"/>
        <v>1310000</v>
      </c>
      <c r="P802" s="108">
        <f t="shared" si="51"/>
        <v>43</v>
      </c>
    </row>
    <row r="803" spans="1:16" ht="15" hidden="1" customHeight="1" x14ac:dyDescent="0.2">
      <c r="A803" s="108" t="s">
        <v>18</v>
      </c>
      <c r="B803" s="117" t="s">
        <v>561</v>
      </c>
      <c r="C803" s="108">
        <f t="shared" si="48"/>
        <v>1795</v>
      </c>
      <c r="D803" s="38">
        <f t="shared" si="49"/>
        <v>0</v>
      </c>
      <c r="G803" s="113" t="s">
        <v>37</v>
      </c>
      <c r="H803" s="108" t="s">
        <v>3717</v>
      </c>
      <c r="I803" s="12">
        <v>1331</v>
      </c>
      <c r="J803" s="12">
        <v>331</v>
      </c>
      <c r="K803" s="108" t="s">
        <v>20</v>
      </c>
      <c r="L803" s="108">
        <v>1</v>
      </c>
      <c r="M803" s="114">
        <v>104800</v>
      </c>
      <c r="N803" s="116">
        <f t="shared" si="50"/>
        <v>104800</v>
      </c>
      <c r="P803" s="108">
        <f t="shared" si="51"/>
        <v>43</v>
      </c>
    </row>
    <row r="804" spans="1:16" ht="15" hidden="1" customHeight="1" x14ac:dyDescent="0.2">
      <c r="A804" s="108" t="s">
        <v>18</v>
      </c>
      <c r="B804" s="117" t="s">
        <v>561</v>
      </c>
      <c r="C804" s="108">
        <f t="shared" si="48"/>
        <v>1796</v>
      </c>
      <c r="D804" s="38">
        <f t="shared" si="49"/>
        <v>1</v>
      </c>
      <c r="G804" s="113" t="s">
        <v>23</v>
      </c>
      <c r="H804" s="108" t="s">
        <v>1188</v>
      </c>
      <c r="I804" s="12">
        <v>64277</v>
      </c>
      <c r="J804" s="12">
        <v>331</v>
      </c>
      <c r="K804" s="108" t="s">
        <v>20</v>
      </c>
      <c r="L804" s="108">
        <v>1</v>
      </c>
      <c r="M804" s="114">
        <v>68519</v>
      </c>
      <c r="N804" s="116">
        <f t="shared" si="50"/>
        <v>68519</v>
      </c>
      <c r="P804" s="108">
        <f t="shared" si="51"/>
        <v>102</v>
      </c>
    </row>
    <row r="805" spans="1:16" ht="15" hidden="1" customHeight="1" x14ac:dyDescent="0.2">
      <c r="A805" s="108" t="s">
        <v>18</v>
      </c>
      <c r="B805" s="117" t="s">
        <v>561</v>
      </c>
      <c r="C805" s="108">
        <f t="shared" si="48"/>
        <v>1796</v>
      </c>
      <c r="D805" s="38">
        <f t="shared" si="49"/>
        <v>0</v>
      </c>
      <c r="G805" s="113" t="s">
        <v>23</v>
      </c>
      <c r="H805" s="108" t="s">
        <v>1188</v>
      </c>
      <c r="I805" s="12">
        <v>1331</v>
      </c>
      <c r="J805" s="12">
        <v>331</v>
      </c>
      <c r="K805" s="108" t="s">
        <v>20</v>
      </c>
      <c r="L805" s="108">
        <v>1</v>
      </c>
      <c r="M805" s="114">
        <v>5481</v>
      </c>
      <c r="N805" s="116">
        <f t="shared" si="50"/>
        <v>5481</v>
      </c>
      <c r="P805" s="108">
        <f t="shared" si="51"/>
        <v>102</v>
      </c>
    </row>
    <row r="806" spans="1:16" ht="15" hidden="1" customHeight="1" x14ac:dyDescent="0.2">
      <c r="A806" s="108" t="s">
        <v>18</v>
      </c>
      <c r="B806" s="117" t="s">
        <v>561</v>
      </c>
      <c r="C806" s="108">
        <f t="shared" si="48"/>
        <v>1797</v>
      </c>
      <c r="D806" s="38">
        <f t="shared" si="49"/>
        <v>1</v>
      </c>
      <c r="G806" s="113" t="s">
        <v>23</v>
      </c>
      <c r="H806" s="108" t="s">
        <v>1189</v>
      </c>
      <c r="I806" s="12">
        <v>64277</v>
      </c>
      <c r="J806" s="12">
        <v>331</v>
      </c>
      <c r="K806" s="108" t="s">
        <v>20</v>
      </c>
      <c r="L806" s="108">
        <v>1</v>
      </c>
      <c r="M806" s="114">
        <v>142592</v>
      </c>
      <c r="N806" s="116">
        <f t="shared" si="50"/>
        <v>142592</v>
      </c>
      <c r="P806" s="108">
        <f t="shared" si="51"/>
        <v>94</v>
      </c>
    </row>
    <row r="807" spans="1:16" ht="15" hidden="1" customHeight="1" x14ac:dyDescent="0.2">
      <c r="A807" s="108" t="s">
        <v>18</v>
      </c>
      <c r="B807" s="117" t="s">
        <v>561</v>
      </c>
      <c r="C807" s="108">
        <f t="shared" si="48"/>
        <v>1797</v>
      </c>
      <c r="D807" s="38">
        <f t="shared" si="49"/>
        <v>0</v>
      </c>
      <c r="G807" s="113" t="s">
        <v>23</v>
      </c>
      <c r="H807" s="108" t="s">
        <v>1189</v>
      </c>
      <c r="I807" s="12">
        <v>1331</v>
      </c>
      <c r="J807" s="12">
        <v>331</v>
      </c>
      <c r="K807" s="108" t="s">
        <v>20</v>
      </c>
      <c r="L807" s="108">
        <v>1</v>
      </c>
      <c r="M807" s="114">
        <v>11408</v>
      </c>
      <c r="N807" s="116">
        <f t="shared" si="50"/>
        <v>11408</v>
      </c>
      <c r="P807" s="108">
        <f t="shared" si="51"/>
        <v>94</v>
      </c>
    </row>
    <row r="808" spans="1:16" ht="15" hidden="1" customHeight="1" x14ac:dyDescent="0.2">
      <c r="A808" s="108" t="s">
        <v>18</v>
      </c>
      <c r="B808" s="117" t="s">
        <v>561</v>
      </c>
      <c r="C808" s="108">
        <f t="shared" si="48"/>
        <v>1798</v>
      </c>
      <c r="D808" s="38">
        <f t="shared" si="49"/>
        <v>1</v>
      </c>
      <c r="G808" s="113" t="s">
        <v>32</v>
      </c>
      <c r="H808" s="108" t="s">
        <v>1187</v>
      </c>
      <c r="I808" s="12">
        <v>64277</v>
      </c>
      <c r="J808" s="12">
        <v>331</v>
      </c>
      <c r="K808" s="108" t="s">
        <v>20</v>
      </c>
      <c r="L808" s="108">
        <v>1</v>
      </c>
      <c r="M808" s="114">
        <v>182857</v>
      </c>
      <c r="N808" s="116">
        <f t="shared" si="50"/>
        <v>182857</v>
      </c>
      <c r="P808" s="108">
        <f t="shared" si="51"/>
        <v>147</v>
      </c>
    </row>
    <row r="809" spans="1:16" ht="15" hidden="1" customHeight="1" x14ac:dyDescent="0.2">
      <c r="A809" s="108" t="s">
        <v>18</v>
      </c>
      <c r="B809" s="117" t="s">
        <v>561</v>
      </c>
      <c r="C809" s="108">
        <f t="shared" si="48"/>
        <v>1798</v>
      </c>
      <c r="D809" s="38">
        <f t="shared" si="49"/>
        <v>0</v>
      </c>
      <c r="G809" s="113" t="s">
        <v>32</v>
      </c>
      <c r="H809" s="108" t="s">
        <v>1187</v>
      </c>
      <c r="I809" s="12">
        <v>1331</v>
      </c>
      <c r="J809" s="12">
        <v>331</v>
      </c>
      <c r="K809" s="108" t="s">
        <v>20</v>
      </c>
      <c r="L809" s="108">
        <v>1</v>
      </c>
      <c r="M809" s="114">
        <v>9143</v>
      </c>
      <c r="N809" s="116">
        <f t="shared" si="50"/>
        <v>9143</v>
      </c>
      <c r="P809" s="108">
        <f t="shared" si="51"/>
        <v>147</v>
      </c>
    </row>
    <row r="810" spans="1:16" ht="15" hidden="1" customHeight="1" x14ac:dyDescent="0.2">
      <c r="A810" s="108" t="s">
        <v>18</v>
      </c>
      <c r="B810" s="117" t="s">
        <v>561</v>
      </c>
      <c r="C810" s="108">
        <f t="shared" si="48"/>
        <v>1799</v>
      </c>
      <c r="D810" s="38">
        <f t="shared" si="49"/>
        <v>1</v>
      </c>
      <c r="G810" s="113" t="s">
        <v>1191</v>
      </c>
      <c r="H810" s="108" t="s">
        <v>1192</v>
      </c>
      <c r="I810" s="12">
        <v>64277</v>
      </c>
      <c r="J810" s="12">
        <v>331</v>
      </c>
      <c r="K810" s="108" t="s">
        <v>20</v>
      </c>
      <c r="L810" s="108">
        <v>1</v>
      </c>
      <c r="M810" s="114">
        <v>1518013</v>
      </c>
      <c r="N810" s="116">
        <f t="shared" si="50"/>
        <v>1518013</v>
      </c>
      <c r="P810" s="108">
        <f t="shared" si="51"/>
        <v>93</v>
      </c>
    </row>
    <row r="811" spans="1:16" ht="15" hidden="1" customHeight="1" x14ac:dyDescent="0.2">
      <c r="A811" s="108" t="s">
        <v>18</v>
      </c>
      <c r="B811" s="117" t="s">
        <v>561</v>
      </c>
      <c r="C811" s="108">
        <f t="shared" si="48"/>
        <v>1799</v>
      </c>
      <c r="D811" s="38">
        <f t="shared" si="49"/>
        <v>0</v>
      </c>
      <c r="G811" s="113" t="s">
        <v>1191</v>
      </c>
      <c r="H811" s="108" t="s">
        <v>1192</v>
      </c>
      <c r="I811" s="12">
        <v>1331</v>
      </c>
      <c r="J811" s="12">
        <v>331</v>
      </c>
      <c r="K811" s="108" t="s">
        <v>20</v>
      </c>
      <c r="L811" s="108">
        <v>1</v>
      </c>
      <c r="M811" s="114">
        <v>121987</v>
      </c>
      <c r="N811" s="116">
        <f t="shared" si="50"/>
        <v>121987</v>
      </c>
      <c r="P811" s="108">
        <f t="shared" si="51"/>
        <v>93</v>
      </c>
    </row>
    <row r="812" spans="1:16" ht="15" hidden="1" customHeight="1" x14ac:dyDescent="0.2">
      <c r="A812" s="108" t="s">
        <v>18</v>
      </c>
      <c r="B812" s="117" t="s">
        <v>665</v>
      </c>
      <c r="C812" s="108">
        <f t="shared" si="48"/>
        <v>1800</v>
      </c>
      <c r="D812" s="38">
        <f t="shared" si="49"/>
        <v>1</v>
      </c>
      <c r="G812" s="113" t="s">
        <v>23</v>
      </c>
      <c r="H812" s="108" t="s">
        <v>1193</v>
      </c>
      <c r="I812" s="12">
        <v>64277</v>
      </c>
      <c r="J812" s="12">
        <v>331</v>
      </c>
      <c r="K812" s="108" t="s">
        <v>20</v>
      </c>
      <c r="L812" s="108">
        <v>1</v>
      </c>
      <c r="M812" s="114">
        <v>127778</v>
      </c>
      <c r="N812" s="116">
        <f t="shared" si="50"/>
        <v>127778</v>
      </c>
      <c r="P812" s="108">
        <f t="shared" si="51"/>
        <v>88</v>
      </c>
    </row>
    <row r="813" spans="1:16" ht="15" hidden="1" customHeight="1" x14ac:dyDescent="0.2">
      <c r="A813" s="108" t="s">
        <v>18</v>
      </c>
      <c r="B813" s="117" t="s">
        <v>665</v>
      </c>
      <c r="C813" s="108">
        <f t="shared" si="48"/>
        <v>1800</v>
      </c>
      <c r="D813" s="38">
        <f t="shared" si="49"/>
        <v>0</v>
      </c>
      <c r="G813" s="113" t="s">
        <v>23</v>
      </c>
      <c r="H813" s="108" t="s">
        <v>1193</v>
      </c>
      <c r="I813" s="12">
        <v>1331</v>
      </c>
      <c r="J813" s="12">
        <v>331</v>
      </c>
      <c r="K813" s="108" t="s">
        <v>20</v>
      </c>
      <c r="L813" s="108">
        <v>1</v>
      </c>
      <c r="M813" s="114">
        <v>10222</v>
      </c>
      <c r="N813" s="116">
        <f t="shared" si="50"/>
        <v>10222</v>
      </c>
      <c r="P813" s="108">
        <f t="shared" si="51"/>
        <v>88</v>
      </c>
    </row>
    <row r="814" spans="1:16" ht="15" hidden="1" customHeight="1" x14ac:dyDescent="0.2">
      <c r="A814" s="108" t="s">
        <v>18</v>
      </c>
      <c r="B814" s="117" t="s">
        <v>665</v>
      </c>
      <c r="C814" s="108">
        <f t="shared" si="48"/>
        <v>1801</v>
      </c>
      <c r="D814" s="38">
        <f t="shared" si="49"/>
        <v>1</v>
      </c>
      <c r="G814" s="113" t="s">
        <v>260</v>
      </c>
      <c r="H814" s="108" t="s">
        <v>1194</v>
      </c>
      <c r="I814" s="12">
        <v>64277</v>
      </c>
      <c r="J814" s="12">
        <v>331</v>
      </c>
      <c r="K814" s="108" t="s">
        <v>20</v>
      </c>
      <c r="L814" s="108">
        <v>1</v>
      </c>
      <c r="M814" s="114">
        <v>175926</v>
      </c>
      <c r="N814" s="116">
        <f t="shared" si="50"/>
        <v>175926</v>
      </c>
      <c r="P814" s="108">
        <f t="shared" si="51"/>
        <v>41</v>
      </c>
    </row>
    <row r="815" spans="1:16" ht="15" hidden="1" customHeight="1" x14ac:dyDescent="0.2">
      <c r="A815" s="108" t="s">
        <v>18</v>
      </c>
      <c r="B815" s="117" t="s">
        <v>665</v>
      </c>
      <c r="C815" s="108">
        <f t="shared" si="48"/>
        <v>1801</v>
      </c>
      <c r="D815" s="38">
        <f t="shared" si="49"/>
        <v>0</v>
      </c>
      <c r="G815" s="113" t="s">
        <v>260</v>
      </c>
      <c r="H815" s="108" t="s">
        <v>1194</v>
      </c>
      <c r="I815" s="12">
        <v>1331</v>
      </c>
      <c r="J815" s="12">
        <v>331</v>
      </c>
      <c r="K815" s="108" t="s">
        <v>20</v>
      </c>
      <c r="L815" s="108">
        <v>1</v>
      </c>
      <c r="M815" s="114">
        <v>14074</v>
      </c>
      <c r="N815" s="116">
        <f t="shared" si="50"/>
        <v>14074</v>
      </c>
      <c r="P815" s="108">
        <f t="shared" si="51"/>
        <v>41</v>
      </c>
    </row>
    <row r="816" spans="1:16" ht="15" hidden="1" customHeight="1" x14ac:dyDescent="0.2">
      <c r="A816" s="108" t="s">
        <v>18</v>
      </c>
      <c r="B816" s="117">
        <v>46112</v>
      </c>
      <c r="C816" s="108">
        <f t="shared" si="48"/>
        <v>1802</v>
      </c>
      <c r="D816" s="38">
        <f t="shared" si="49"/>
        <v>1</v>
      </c>
      <c r="E816" s="113"/>
      <c r="G816" s="113" t="s">
        <v>312</v>
      </c>
      <c r="H816" s="108" t="s">
        <v>457</v>
      </c>
      <c r="I816" s="108">
        <v>64271</v>
      </c>
      <c r="J816" s="108">
        <v>3383</v>
      </c>
      <c r="K816" s="108" t="s">
        <v>20</v>
      </c>
      <c r="L816" s="108">
        <v>1</v>
      </c>
      <c r="M816" s="116">
        <v>690300</v>
      </c>
      <c r="N816" s="116">
        <f t="shared" si="50"/>
        <v>690300</v>
      </c>
      <c r="P816" s="108">
        <f t="shared" si="51"/>
        <v>30</v>
      </c>
    </row>
    <row r="817" spans="1:16" ht="15" hidden="1" customHeight="1" x14ac:dyDescent="0.2">
      <c r="A817" s="108" t="s">
        <v>18</v>
      </c>
      <c r="B817" s="117" t="s">
        <v>507</v>
      </c>
      <c r="C817" s="108">
        <f t="shared" si="48"/>
        <v>1803</v>
      </c>
      <c r="D817" s="38">
        <f t="shared" si="49"/>
        <v>1</v>
      </c>
      <c r="G817" s="113" t="s">
        <v>23</v>
      </c>
      <c r="H817" s="108" t="s">
        <v>1195</v>
      </c>
      <c r="I817" s="12">
        <v>64277</v>
      </c>
      <c r="J817" s="12">
        <v>331</v>
      </c>
      <c r="K817" s="108" t="s">
        <v>20</v>
      </c>
      <c r="L817" s="108">
        <v>1</v>
      </c>
      <c r="M817" s="114">
        <v>160185</v>
      </c>
      <c r="N817" s="116">
        <f t="shared" si="50"/>
        <v>160185</v>
      </c>
      <c r="P817" s="108">
        <f t="shared" si="51"/>
        <v>161</v>
      </c>
    </row>
    <row r="818" spans="1:16" ht="15" hidden="1" customHeight="1" x14ac:dyDescent="0.2">
      <c r="A818" s="108" t="s">
        <v>18</v>
      </c>
      <c r="B818" s="117" t="s">
        <v>507</v>
      </c>
      <c r="C818" s="108">
        <f t="shared" si="48"/>
        <v>1803</v>
      </c>
      <c r="D818" s="38">
        <f t="shared" si="49"/>
        <v>0</v>
      </c>
      <c r="G818" s="113" t="s">
        <v>23</v>
      </c>
      <c r="H818" s="108" t="s">
        <v>1195</v>
      </c>
      <c r="I818" s="12">
        <v>1331</v>
      </c>
      <c r="J818" s="12">
        <v>331</v>
      </c>
      <c r="K818" s="108" t="s">
        <v>20</v>
      </c>
      <c r="L818" s="108">
        <v>1</v>
      </c>
      <c r="M818" s="114">
        <v>12815</v>
      </c>
      <c r="N818" s="116">
        <f t="shared" si="50"/>
        <v>12815</v>
      </c>
      <c r="P818" s="108">
        <f t="shared" si="51"/>
        <v>161</v>
      </c>
    </row>
  </sheetData>
  <autoFilter ref="A3:P818" xr:uid="{00000000-0009-0000-0000-00000B000000}">
    <filterColumn colId="8">
      <filters>
        <filter val="333821"/>
      </filters>
    </filterColumn>
    <filterColumn colId="9">
      <filters>
        <filter val="131"/>
      </filters>
    </filterColumn>
    <sortState xmlns:xlrd2="http://schemas.microsoft.com/office/spreadsheetml/2017/richdata2" ref="A4:P818">
      <sortCondition ref="A4:A818"/>
      <sortCondition ref="B4:B818"/>
      <sortCondition ref="H4:H818"/>
    </sortState>
  </autoFilter>
  <mergeCells count="13">
    <mergeCell ref="N1:N2"/>
    <mergeCell ref="G1:G2"/>
    <mergeCell ref="H1:H2"/>
    <mergeCell ref="I1:J1"/>
    <mergeCell ref="K1:K2"/>
    <mergeCell ref="L1:L2"/>
    <mergeCell ref="M1:M2"/>
    <mergeCell ref="F1:F2"/>
    <mergeCell ref="A1:A2"/>
    <mergeCell ref="B1:B2"/>
    <mergeCell ref="C1:C2"/>
    <mergeCell ref="D1:D2"/>
    <mergeCell ref="E1:E2"/>
  </mergeCells>
  <hyperlinks>
    <hyperlink ref="P1" location="Summary!A1" display="Back to summary" xr:uid="{00000000-0004-0000-0B00-000000000000}"/>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tabColor rgb="FF92D050"/>
  </sheetPr>
  <dimension ref="A1:V970"/>
  <sheetViews>
    <sheetView workbookViewId="0">
      <selection activeCell="M902" sqref="M902:M924"/>
    </sheetView>
  </sheetViews>
  <sheetFormatPr defaultRowHeight="15" customHeight="1" x14ac:dyDescent="0.2"/>
  <cols>
    <col min="1" max="1" width="9.140625" style="20"/>
    <col min="2" max="2" width="9.140625" style="61"/>
    <col min="3" max="6" width="9.140625" style="20"/>
    <col min="7" max="7" width="9.5703125" style="32" bestFit="1" customWidth="1"/>
    <col min="8" max="8" width="35.42578125" style="20" customWidth="1"/>
    <col min="9" max="12" width="9.140625" style="20"/>
    <col min="13" max="14" width="11.28515625" style="34" bestFit="1" customWidth="1"/>
    <col min="15" max="15" width="11.28515625" style="20" bestFit="1" customWidth="1"/>
    <col min="16" max="16384" width="9.140625" style="20"/>
  </cols>
  <sheetData>
    <row r="1" spans="1:16" ht="15" customHeight="1" thickBot="1" x14ac:dyDescent="0.25">
      <c r="A1" s="194" t="s">
        <v>0</v>
      </c>
      <c r="B1" s="196" t="s">
        <v>1</v>
      </c>
      <c r="C1" s="194" t="s">
        <v>2</v>
      </c>
      <c r="D1" s="192" t="s">
        <v>3</v>
      </c>
      <c r="E1" s="192" t="s">
        <v>4</v>
      </c>
      <c r="F1" s="192" t="s">
        <v>5</v>
      </c>
      <c r="G1" s="201" t="s">
        <v>6</v>
      </c>
      <c r="H1" s="203" t="s">
        <v>7</v>
      </c>
      <c r="I1" s="205" t="s">
        <v>8</v>
      </c>
      <c r="J1" s="206"/>
      <c r="K1" s="194" t="s">
        <v>9</v>
      </c>
      <c r="L1" s="194" t="s">
        <v>10</v>
      </c>
      <c r="M1" s="199" t="s">
        <v>76</v>
      </c>
      <c r="N1" s="199" t="s">
        <v>77</v>
      </c>
      <c r="O1" s="39" t="s">
        <v>78</v>
      </c>
      <c r="P1" s="146" t="s">
        <v>356</v>
      </c>
    </row>
    <row r="2" spans="1:16" ht="15" customHeight="1" thickBot="1" x14ac:dyDescent="0.25">
      <c r="A2" s="195"/>
      <c r="B2" s="197"/>
      <c r="C2" s="195"/>
      <c r="D2" s="198"/>
      <c r="E2" s="198"/>
      <c r="F2" s="193"/>
      <c r="G2" s="202"/>
      <c r="H2" s="204"/>
      <c r="I2" s="40" t="s">
        <v>13</v>
      </c>
      <c r="J2" s="41" t="s">
        <v>14</v>
      </c>
      <c r="K2" s="195"/>
      <c r="L2" s="195"/>
      <c r="M2" s="200"/>
      <c r="N2" s="200"/>
      <c r="O2" s="37" t="s">
        <v>78</v>
      </c>
      <c r="P2" s="37"/>
    </row>
    <row r="3" spans="1:16" ht="15" customHeight="1" x14ac:dyDescent="0.2">
      <c r="A3" s="42"/>
      <c r="B3" s="66"/>
      <c r="C3" s="42">
        <v>1176</v>
      </c>
      <c r="D3" s="43"/>
      <c r="E3" s="43"/>
      <c r="F3" s="43"/>
      <c r="G3" s="58" t="s">
        <v>15</v>
      </c>
      <c r="H3" s="44"/>
      <c r="I3" s="44"/>
      <c r="J3" s="44"/>
      <c r="K3" s="42"/>
      <c r="L3" s="42"/>
      <c r="M3" s="64"/>
      <c r="N3" s="64"/>
      <c r="O3" s="37" t="s">
        <v>16</v>
      </c>
      <c r="P3" s="37" t="s">
        <v>17</v>
      </c>
    </row>
    <row r="4" spans="1:16" ht="15" hidden="1" customHeight="1" x14ac:dyDescent="0.2">
      <c r="A4" s="20" t="s">
        <v>18</v>
      </c>
      <c r="B4" s="61">
        <v>46053</v>
      </c>
      <c r="C4" s="20">
        <f t="shared" ref="C4:C5" si="0">C3+D4</f>
        <v>1177</v>
      </c>
      <c r="D4" s="38">
        <f t="shared" ref="D4:D5" si="1">IF(H4=H3,0,1)</f>
        <v>1</v>
      </c>
      <c r="G4" s="32" t="s">
        <v>312</v>
      </c>
      <c r="H4" s="20" t="s">
        <v>455</v>
      </c>
      <c r="I4" s="20">
        <v>64271</v>
      </c>
      <c r="J4" s="20">
        <v>3383</v>
      </c>
      <c r="K4" s="20" t="s">
        <v>20</v>
      </c>
      <c r="L4" s="20">
        <v>1</v>
      </c>
      <c r="M4" s="34">
        <v>690300</v>
      </c>
      <c r="N4" s="34">
        <f t="shared" ref="N4:N67" si="2">L4*M4</f>
        <v>690300</v>
      </c>
      <c r="O4" s="33"/>
      <c r="P4" s="20">
        <f>LEN(H4)</f>
        <v>30</v>
      </c>
    </row>
    <row r="5" spans="1:16" ht="15" hidden="1" customHeight="1" x14ac:dyDescent="0.2">
      <c r="A5" s="20" t="s">
        <v>18</v>
      </c>
      <c r="B5" s="61">
        <v>46081</v>
      </c>
      <c r="C5" s="20">
        <f t="shared" si="0"/>
        <v>1178</v>
      </c>
      <c r="D5" s="38">
        <f t="shared" si="1"/>
        <v>1</v>
      </c>
      <c r="G5" s="32" t="s">
        <v>312</v>
      </c>
      <c r="H5" s="20" t="s">
        <v>456</v>
      </c>
      <c r="I5" s="20">
        <v>64271</v>
      </c>
      <c r="J5" s="20">
        <v>3383</v>
      </c>
      <c r="K5" s="20" t="s">
        <v>20</v>
      </c>
      <c r="L5" s="20">
        <v>1</v>
      </c>
      <c r="M5" s="34">
        <v>690300</v>
      </c>
      <c r="N5" s="34">
        <f t="shared" si="2"/>
        <v>690300</v>
      </c>
      <c r="O5" s="33"/>
      <c r="P5" s="20">
        <f t="shared" ref="P5:P68" si="3">LEN(H5)</f>
        <v>30</v>
      </c>
    </row>
    <row r="6" spans="1:16" ht="15" hidden="1" customHeight="1" x14ac:dyDescent="0.2">
      <c r="A6" s="20" t="s">
        <v>18</v>
      </c>
      <c r="B6" s="61">
        <v>46112</v>
      </c>
      <c r="C6" s="20">
        <f t="shared" ref="C6:C69" si="4">C5+D6</f>
        <v>1179</v>
      </c>
      <c r="D6" s="38">
        <f t="shared" ref="D6:D69" si="5">IF(H6=H5,0,1)</f>
        <v>1</v>
      </c>
      <c r="G6" s="32" t="s">
        <v>312</v>
      </c>
      <c r="H6" s="20" t="s">
        <v>457</v>
      </c>
      <c r="I6" s="20">
        <v>64271</v>
      </c>
      <c r="J6" s="20">
        <v>3383</v>
      </c>
      <c r="K6" s="20" t="s">
        <v>20</v>
      </c>
      <c r="L6" s="20">
        <v>1</v>
      </c>
      <c r="M6" s="34">
        <v>690300</v>
      </c>
      <c r="N6" s="34">
        <f t="shared" si="2"/>
        <v>690300</v>
      </c>
      <c r="O6" s="33"/>
      <c r="P6" s="20">
        <f t="shared" si="3"/>
        <v>30</v>
      </c>
    </row>
    <row r="7" spans="1:16" ht="15" hidden="1" customHeight="1" x14ac:dyDescent="0.2">
      <c r="A7" s="20" t="s">
        <v>18</v>
      </c>
      <c r="B7" s="61">
        <v>46023</v>
      </c>
      <c r="C7" s="20">
        <f t="shared" si="4"/>
        <v>1180</v>
      </c>
      <c r="D7" s="38">
        <f t="shared" si="5"/>
        <v>1</v>
      </c>
      <c r="G7" s="32" t="s">
        <v>19</v>
      </c>
      <c r="H7" s="20" t="s">
        <v>1200</v>
      </c>
      <c r="I7" s="20">
        <v>64277</v>
      </c>
      <c r="J7" s="20">
        <v>331</v>
      </c>
      <c r="K7" s="20" t="s">
        <v>20</v>
      </c>
      <c r="L7" s="20">
        <v>1</v>
      </c>
      <c r="M7" s="34">
        <v>117593</v>
      </c>
      <c r="N7" s="34">
        <f t="shared" si="2"/>
        <v>117593</v>
      </c>
      <c r="O7" s="33"/>
      <c r="P7" s="20">
        <f t="shared" si="3"/>
        <v>61</v>
      </c>
    </row>
    <row r="8" spans="1:16" ht="15" hidden="1" customHeight="1" x14ac:dyDescent="0.2">
      <c r="A8" s="20" t="s">
        <v>18</v>
      </c>
      <c r="B8" s="61">
        <v>46023</v>
      </c>
      <c r="C8" s="20">
        <f t="shared" si="4"/>
        <v>1180</v>
      </c>
      <c r="D8" s="38">
        <f t="shared" si="5"/>
        <v>0</v>
      </c>
      <c r="G8" s="32" t="s">
        <v>19</v>
      </c>
      <c r="H8" s="20" t="s">
        <v>1200</v>
      </c>
      <c r="I8" s="20">
        <v>1331</v>
      </c>
      <c r="J8" s="20">
        <v>331</v>
      </c>
      <c r="K8" s="20" t="s">
        <v>20</v>
      </c>
      <c r="L8" s="20">
        <v>1</v>
      </c>
      <c r="M8" s="34">
        <v>9407</v>
      </c>
      <c r="N8" s="34">
        <f t="shared" si="2"/>
        <v>9407</v>
      </c>
      <c r="O8" s="33"/>
      <c r="P8" s="20">
        <f t="shared" si="3"/>
        <v>61</v>
      </c>
    </row>
    <row r="9" spans="1:16" ht="15" hidden="1" customHeight="1" x14ac:dyDescent="0.2">
      <c r="A9" s="20" t="s">
        <v>310</v>
      </c>
      <c r="B9" s="61">
        <v>46023</v>
      </c>
      <c r="C9" s="20">
        <f t="shared" si="4"/>
        <v>1181</v>
      </c>
      <c r="D9" s="38">
        <f t="shared" si="5"/>
        <v>1</v>
      </c>
      <c r="G9" s="32" t="s">
        <v>19</v>
      </c>
      <c r="H9" s="20" t="s">
        <v>2703</v>
      </c>
      <c r="I9" s="20">
        <v>331</v>
      </c>
      <c r="J9" s="20">
        <v>1111</v>
      </c>
      <c r="K9" s="20" t="s">
        <v>20</v>
      </c>
      <c r="L9" s="20">
        <v>1</v>
      </c>
      <c r="M9" s="34">
        <v>127000</v>
      </c>
      <c r="N9" s="34">
        <f t="shared" si="2"/>
        <v>127000</v>
      </c>
      <c r="O9" s="33"/>
      <c r="P9" s="20">
        <f t="shared" si="3"/>
        <v>72</v>
      </c>
    </row>
    <row r="10" spans="1:16" ht="15" hidden="1" customHeight="1" x14ac:dyDescent="0.2">
      <c r="A10" s="20" t="s">
        <v>18</v>
      </c>
      <c r="B10" s="61">
        <v>46028</v>
      </c>
      <c r="C10" s="20">
        <f t="shared" si="4"/>
        <v>1182</v>
      </c>
      <c r="D10" s="38">
        <f t="shared" si="5"/>
        <v>1</v>
      </c>
      <c r="G10" s="32" t="s">
        <v>35</v>
      </c>
      <c r="H10" s="20" t="s">
        <v>1201</v>
      </c>
      <c r="I10" s="20">
        <v>64277</v>
      </c>
      <c r="J10" s="20">
        <v>331</v>
      </c>
      <c r="K10" s="20" t="s">
        <v>20</v>
      </c>
      <c r="L10" s="20">
        <v>1</v>
      </c>
      <c r="M10" s="34">
        <v>3000000</v>
      </c>
      <c r="N10" s="34">
        <f t="shared" si="2"/>
        <v>3000000</v>
      </c>
      <c r="O10" s="33"/>
      <c r="P10" s="20">
        <f t="shared" si="3"/>
        <v>41</v>
      </c>
    </row>
    <row r="11" spans="1:16" ht="15" hidden="1" customHeight="1" x14ac:dyDescent="0.2">
      <c r="A11" s="20" t="s">
        <v>18</v>
      </c>
      <c r="B11" s="61">
        <v>46028</v>
      </c>
      <c r="C11" s="20">
        <f t="shared" si="4"/>
        <v>1182</v>
      </c>
      <c r="D11" s="38">
        <f t="shared" si="5"/>
        <v>0</v>
      </c>
      <c r="G11" s="32" t="s">
        <v>35</v>
      </c>
      <c r="H11" s="20" t="s">
        <v>1201</v>
      </c>
      <c r="I11" s="20">
        <v>1331</v>
      </c>
      <c r="J11" s="20">
        <v>331</v>
      </c>
      <c r="K11" s="20" t="s">
        <v>20</v>
      </c>
      <c r="L11" s="20">
        <v>1</v>
      </c>
      <c r="M11" s="34">
        <v>240000</v>
      </c>
      <c r="N11" s="34">
        <f t="shared" si="2"/>
        <v>240000</v>
      </c>
      <c r="O11" s="33"/>
      <c r="P11" s="20">
        <f t="shared" si="3"/>
        <v>41</v>
      </c>
    </row>
    <row r="12" spans="1:16" ht="15" hidden="1" customHeight="1" x14ac:dyDescent="0.2">
      <c r="A12" s="20" t="s">
        <v>310</v>
      </c>
      <c r="B12" s="61">
        <v>46028</v>
      </c>
      <c r="C12" s="20">
        <f t="shared" si="4"/>
        <v>1183</v>
      </c>
      <c r="D12" s="38">
        <f t="shared" si="5"/>
        <v>1</v>
      </c>
      <c r="G12" s="32" t="s">
        <v>35</v>
      </c>
      <c r="H12" s="20" t="s">
        <v>2704</v>
      </c>
      <c r="I12" s="20">
        <v>331</v>
      </c>
      <c r="J12" s="20">
        <v>1111</v>
      </c>
      <c r="K12" s="20" t="s">
        <v>20</v>
      </c>
      <c r="L12" s="20">
        <v>1</v>
      </c>
      <c r="M12" s="34">
        <v>3240000</v>
      </c>
      <c r="N12" s="34">
        <f t="shared" si="2"/>
        <v>3240000</v>
      </c>
      <c r="O12" s="33"/>
      <c r="P12" s="20">
        <f t="shared" si="3"/>
        <v>52</v>
      </c>
    </row>
    <row r="13" spans="1:16" ht="15" hidden="1" customHeight="1" x14ac:dyDescent="0.2">
      <c r="A13" s="20" t="s">
        <v>18</v>
      </c>
      <c r="B13" s="61">
        <v>46028</v>
      </c>
      <c r="C13" s="20">
        <f t="shared" si="4"/>
        <v>1184</v>
      </c>
      <c r="D13" s="38">
        <f t="shared" si="5"/>
        <v>1</v>
      </c>
      <c r="G13" s="32" t="s">
        <v>89</v>
      </c>
      <c r="H13" s="20" t="s">
        <v>1202</v>
      </c>
      <c r="I13" s="20">
        <v>64277</v>
      </c>
      <c r="J13" s="20">
        <v>331</v>
      </c>
      <c r="K13" s="20" t="s">
        <v>20</v>
      </c>
      <c r="L13" s="20">
        <v>1</v>
      </c>
      <c r="M13" s="34">
        <v>38888</v>
      </c>
      <c r="N13" s="34">
        <f t="shared" si="2"/>
        <v>38888</v>
      </c>
      <c r="O13" s="33"/>
      <c r="P13" s="20">
        <f t="shared" si="3"/>
        <v>72</v>
      </c>
    </row>
    <row r="14" spans="1:16" ht="15" hidden="1" customHeight="1" x14ac:dyDescent="0.2">
      <c r="A14" s="20" t="s">
        <v>18</v>
      </c>
      <c r="B14" s="61">
        <v>46028</v>
      </c>
      <c r="C14" s="20">
        <f t="shared" si="4"/>
        <v>1184</v>
      </c>
      <c r="D14" s="38">
        <f t="shared" si="5"/>
        <v>0</v>
      </c>
      <c r="G14" s="32" t="s">
        <v>89</v>
      </c>
      <c r="H14" s="20" t="s">
        <v>1202</v>
      </c>
      <c r="I14" s="20">
        <v>1331</v>
      </c>
      <c r="J14" s="20">
        <v>331</v>
      </c>
      <c r="K14" s="20" t="s">
        <v>20</v>
      </c>
      <c r="L14" s="20">
        <v>1</v>
      </c>
      <c r="M14" s="34">
        <v>3112</v>
      </c>
      <c r="N14" s="34">
        <f t="shared" si="2"/>
        <v>3112</v>
      </c>
      <c r="O14" s="33"/>
      <c r="P14" s="20">
        <f t="shared" si="3"/>
        <v>72</v>
      </c>
    </row>
    <row r="15" spans="1:16" ht="15" hidden="1" customHeight="1" x14ac:dyDescent="0.2">
      <c r="A15" s="20" t="s">
        <v>310</v>
      </c>
      <c r="B15" s="61">
        <v>46028</v>
      </c>
      <c r="C15" s="20">
        <f t="shared" si="4"/>
        <v>1185</v>
      </c>
      <c r="D15" s="38">
        <f t="shared" si="5"/>
        <v>1</v>
      </c>
      <c r="G15" s="32" t="s">
        <v>89</v>
      </c>
      <c r="H15" s="20" t="s">
        <v>2705</v>
      </c>
      <c r="I15" s="20">
        <v>331</v>
      </c>
      <c r="J15" s="20">
        <v>1111</v>
      </c>
      <c r="K15" s="20" t="s">
        <v>20</v>
      </c>
      <c r="L15" s="20">
        <v>1</v>
      </c>
      <c r="M15" s="34">
        <v>42000</v>
      </c>
      <c r="N15" s="34">
        <f t="shared" si="2"/>
        <v>42000</v>
      </c>
      <c r="O15" s="33"/>
      <c r="P15" s="20">
        <f t="shared" si="3"/>
        <v>83</v>
      </c>
    </row>
    <row r="16" spans="1:16" ht="15" hidden="1" customHeight="1" x14ac:dyDescent="0.2">
      <c r="A16" s="20" t="s">
        <v>18</v>
      </c>
      <c r="B16" s="61">
        <v>46028</v>
      </c>
      <c r="C16" s="20">
        <f t="shared" si="4"/>
        <v>1186</v>
      </c>
      <c r="D16" s="38">
        <f t="shared" si="5"/>
        <v>1</v>
      </c>
      <c r="G16" s="32" t="s">
        <v>89</v>
      </c>
      <c r="H16" s="20" t="s">
        <v>1203</v>
      </c>
      <c r="I16" s="20">
        <v>64277</v>
      </c>
      <c r="J16" s="20">
        <v>331</v>
      </c>
      <c r="K16" s="20" t="s">
        <v>20</v>
      </c>
      <c r="L16" s="20">
        <v>1</v>
      </c>
      <c r="M16" s="34">
        <v>117592</v>
      </c>
      <c r="N16" s="34">
        <f t="shared" si="2"/>
        <v>117592</v>
      </c>
      <c r="O16" s="33"/>
      <c r="P16" s="20">
        <f t="shared" si="3"/>
        <v>72</v>
      </c>
    </row>
    <row r="17" spans="1:16" ht="15" hidden="1" customHeight="1" x14ac:dyDescent="0.2">
      <c r="A17" s="20" t="s">
        <v>18</v>
      </c>
      <c r="B17" s="61">
        <v>46028</v>
      </c>
      <c r="C17" s="20">
        <f t="shared" si="4"/>
        <v>1186</v>
      </c>
      <c r="D17" s="38">
        <f t="shared" si="5"/>
        <v>0</v>
      </c>
      <c r="G17" s="32" t="s">
        <v>89</v>
      </c>
      <c r="H17" s="20" t="s">
        <v>1203</v>
      </c>
      <c r="I17" s="20">
        <v>1331</v>
      </c>
      <c r="J17" s="20">
        <v>331</v>
      </c>
      <c r="K17" s="20" t="s">
        <v>20</v>
      </c>
      <c r="L17" s="20">
        <v>1</v>
      </c>
      <c r="M17" s="34">
        <v>9408</v>
      </c>
      <c r="N17" s="34">
        <f t="shared" si="2"/>
        <v>9408</v>
      </c>
      <c r="O17" s="33"/>
      <c r="P17" s="20">
        <f t="shared" si="3"/>
        <v>72</v>
      </c>
    </row>
    <row r="18" spans="1:16" ht="15" hidden="1" customHeight="1" x14ac:dyDescent="0.2">
      <c r="A18" s="20" t="s">
        <v>310</v>
      </c>
      <c r="B18" s="61">
        <v>46028</v>
      </c>
      <c r="C18" s="20">
        <f t="shared" si="4"/>
        <v>1187</v>
      </c>
      <c r="D18" s="38">
        <f t="shared" si="5"/>
        <v>1</v>
      </c>
      <c r="G18" s="32" t="s">
        <v>89</v>
      </c>
      <c r="H18" s="20" t="s">
        <v>2706</v>
      </c>
      <c r="I18" s="20">
        <v>331</v>
      </c>
      <c r="J18" s="20">
        <v>1111</v>
      </c>
      <c r="K18" s="20" t="s">
        <v>20</v>
      </c>
      <c r="L18" s="20">
        <v>1</v>
      </c>
      <c r="M18" s="34">
        <v>127000</v>
      </c>
      <c r="N18" s="34">
        <f t="shared" si="2"/>
        <v>127000</v>
      </c>
      <c r="O18" s="33"/>
      <c r="P18" s="20">
        <f t="shared" si="3"/>
        <v>83</v>
      </c>
    </row>
    <row r="19" spans="1:16" ht="15" hidden="1" customHeight="1" x14ac:dyDescent="0.2">
      <c r="A19" s="20" t="s">
        <v>18</v>
      </c>
      <c r="B19" s="61">
        <v>46028</v>
      </c>
      <c r="C19" s="20">
        <f t="shared" si="4"/>
        <v>1188</v>
      </c>
      <c r="D19" s="38">
        <f t="shared" si="5"/>
        <v>1</v>
      </c>
      <c r="G19" s="32" t="s">
        <v>104</v>
      </c>
      <c r="H19" s="20" t="s">
        <v>1204</v>
      </c>
      <c r="I19" s="20">
        <v>64277</v>
      </c>
      <c r="J19" s="20">
        <v>331</v>
      </c>
      <c r="K19" s="20" t="s">
        <v>20</v>
      </c>
      <c r="L19" s="20">
        <v>1</v>
      </c>
      <c r="M19" s="34">
        <v>362727</v>
      </c>
      <c r="N19" s="34">
        <f t="shared" si="2"/>
        <v>362727</v>
      </c>
      <c r="O19" s="33"/>
      <c r="P19" s="20">
        <f t="shared" si="3"/>
        <v>12</v>
      </c>
    </row>
    <row r="20" spans="1:16" ht="15" hidden="1" customHeight="1" x14ac:dyDescent="0.2">
      <c r="A20" s="20" t="s">
        <v>18</v>
      </c>
      <c r="B20" s="61">
        <v>46028</v>
      </c>
      <c r="C20" s="20">
        <f t="shared" si="4"/>
        <v>1188</v>
      </c>
      <c r="D20" s="38">
        <f t="shared" si="5"/>
        <v>0</v>
      </c>
      <c r="G20" s="32" t="s">
        <v>104</v>
      </c>
      <c r="H20" s="20" t="s">
        <v>1204</v>
      </c>
      <c r="I20" s="20">
        <v>1331</v>
      </c>
      <c r="J20" s="20">
        <v>331</v>
      </c>
      <c r="K20" s="20" t="s">
        <v>20</v>
      </c>
      <c r="L20" s="20">
        <v>1</v>
      </c>
      <c r="M20" s="34">
        <v>36273</v>
      </c>
      <c r="N20" s="34">
        <f t="shared" si="2"/>
        <v>36273</v>
      </c>
      <c r="O20" s="33"/>
      <c r="P20" s="20">
        <f t="shared" si="3"/>
        <v>12</v>
      </c>
    </row>
    <row r="21" spans="1:16" ht="15" hidden="1" customHeight="1" x14ac:dyDescent="0.2">
      <c r="A21" s="20" t="s">
        <v>310</v>
      </c>
      <c r="B21" s="61">
        <v>46028</v>
      </c>
      <c r="C21" s="20">
        <f t="shared" si="4"/>
        <v>1189</v>
      </c>
      <c r="D21" s="38">
        <f t="shared" si="5"/>
        <v>1</v>
      </c>
      <c r="G21" s="32" t="s">
        <v>104</v>
      </c>
      <c r="H21" s="20" t="s">
        <v>2707</v>
      </c>
      <c r="I21" s="20">
        <v>331</v>
      </c>
      <c r="J21" s="20">
        <v>1111</v>
      </c>
      <c r="K21" s="20" t="s">
        <v>20</v>
      </c>
      <c r="L21" s="20">
        <v>1</v>
      </c>
      <c r="M21" s="34">
        <v>399000</v>
      </c>
      <c r="N21" s="34">
        <f t="shared" si="2"/>
        <v>399000</v>
      </c>
      <c r="O21" s="33"/>
      <c r="P21" s="20">
        <f t="shared" si="3"/>
        <v>23</v>
      </c>
    </row>
    <row r="22" spans="1:16" ht="15" hidden="1" customHeight="1" x14ac:dyDescent="0.2">
      <c r="A22" s="20" t="s">
        <v>18</v>
      </c>
      <c r="B22" s="61">
        <v>46028</v>
      </c>
      <c r="C22" s="20">
        <f t="shared" si="4"/>
        <v>1190</v>
      </c>
      <c r="D22" s="38">
        <f t="shared" si="5"/>
        <v>1</v>
      </c>
      <c r="G22" s="32" t="s">
        <v>104</v>
      </c>
      <c r="H22" s="20" t="s">
        <v>1205</v>
      </c>
      <c r="I22" s="20">
        <v>64277</v>
      </c>
      <c r="J22" s="20">
        <v>331</v>
      </c>
      <c r="K22" s="20" t="s">
        <v>20</v>
      </c>
      <c r="L22" s="20">
        <v>1</v>
      </c>
      <c r="M22" s="34">
        <v>1745455</v>
      </c>
      <c r="N22" s="34">
        <f t="shared" si="2"/>
        <v>1745455</v>
      </c>
      <c r="O22" s="33"/>
      <c r="P22" s="20">
        <f t="shared" si="3"/>
        <v>12</v>
      </c>
    </row>
    <row r="23" spans="1:16" ht="15" hidden="1" customHeight="1" x14ac:dyDescent="0.2">
      <c r="A23" s="20" t="s">
        <v>18</v>
      </c>
      <c r="B23" s="61">
        <v>46028</v>
      </c>
      <c r="C23" s="20">
        <f t="shared" si="4"/>
        <v>1190</v>
      </c>
      <c r="D23" s="38">
        <f t="shared" si="5"/>
        <v>0</v>
      </c>
      <c r="G23" s="32" t="s">
        <v>104</v>
      </c>
      <c r="H23" s="20" t="s">
        <v>1205</v>
      </c>
      <c r="I23" s="20">
        <v>1331</v>
      </c>
      <c r="J23" s="20">
        <v>331</v>
      </c>
      <c r="K23" s="20" t="s">
        <v>20</v>
      </c>
      <c r="L23" s="20">
        <v>1</v>
      </c>
      <c r="M23" s="34">
        <v>174545</v>
      </c>
      <c r="N23" s="34">
        <f t="shared" si="2"/>
        <v>174545</v>
      </c>
      <c r="O23" s="33"/>
      <c r="P23" s="20">
        <f t="shared" si="3"/>
        <v>12</v>
      </c>
    </row>
    <row r="24" spans="1:16" ht="15" hidden="1" customHeight="1" x14ac:dyDescent="0.2">
      <c r="A24" s="20" t="s">
        <v>310</v>
      </c>
      <c r="B24" s="61">
        <v>46028</v>
      </c>
      <c r="C24" s="20">
        <f t="shared" si="4"/>
        <v>1191</v>
      </c>
      <c r="D24" s="38">
        <f t="shared" si="5"/>
        <v>1</v>
      </c>
      <c r="G24" s="32" t="s">
        <v>104</v>
      </c>
      <c r="H24" s="20" t="s">
        <v>2708</v>
      </c>
      <c r="I24" s="20">
        <v>331</v>
      </c>
      <c r="J24" s="20">
        <v>1111</v>
      </c>
      <c r="K24" s="20" t="s">
        <v>20</v>
      </c>
      <c r="L24" s="20">
        <v>1</v>
      </c>
      <c r="M24" s="34">
        <v>1920000</v>
      </c>
      <c r="N24" s="34">
        <f t="shared" si="2"/>
        <v>1920000</v>
      </c>
      <c r="O24" s="33"/>
      <c r="P24" s="20">
        <f t="shared" si="3"/>
        <v>23</v>
      </c>
    </row>
    <row r="25" spans="1:16" ht="15" hidden="1" customHeight="1" x14ac:dyDescent="0.2">
      <c r="A25" s="20" t="s">
        <v>18</v>
      </c>
      <c r="B25" s="61">
        <v>46029</v>
      </c>
      <c r="C25" s="20">
        <f t="shared" si="4"/>
        <v>1192</v>
      </c>
      <c r="D25" s="38">
        <f t="shared" si="5"/>
        <v>1</v>
      </c>
      <c r="G25" s="32" t="s">
        <v>89</v>
      </c>
      <c r="H25" s="20" t="s">
        <v>1206</v>
      </c>
      <c r="I25" s="20">
        <v>64277</v>
      </c>
      <c r="J25" s="20">
        <v>331</v>
      </c>
      <c r="K25" s="20" t="s">
        <v>20</v>
      </c>
      <c r="L25" s="20">
        <v>1</v>
      </c>
      <c r="M25" s="34">
        <v>30555</v>
      </c>
      <c r="N25" s="34">
        <f t="shared" si="2"/>
        <v>30555</v>
      </c>
      <c r="O25" s="33"/>
      <c r="P25" s="20">
        <f t="shared" si="3"/>
        <v>72</v>
      </c>
    </row>
    <row r="26" spans="1:16" ht="15" hidden="1" customHeight="1" x14ac:dyDescent="0.2">
      <c r="A26" s="20" t="s">
        <v>18</v>
      </c>
      <c r="B26" s="61">
        <v>46029</v>
      </c>
      <c r="C26" s="20">
        <f t="shared" si="4"/>
        <v>1192</v>
      </c>
      <c r="D26" s="38">
        <f t="shared" si="5"/>
        <v>0</v>
      </c>
      <c r="G26" s="32" t="s">
        <v>89</v>
      </c>
      <c r="H26" s="20" t="s">
        <v>1206</v>
      </c>
      <c r="I26" s="20">
        <v>1331</v>
      </c>
      <c r="J26" s="20">
        <v>331</v>
      </c>
      <c r="K26" s="20" t="s">
        <v>20</v>
      </c>
      <c r="L26" s="20">
        <v>1</v>
      </c>
      <c r="M26" s="34">
        <v>2445</v>
      </c>
      <c r="N26" s="34">
        <f t="shared" si="2"/>
        <v>2445</v>
      </c>
      <c r="O26" s="33"/>
      <c r="P26" s="20">
        <f t="shared" si="3"/>
        <v>72</v>
      </c>
    </row>
    <row r="27" spans="1:16" ht="15" hidden="1" customHeight="1" x14ac:dyDescent="0.2">
      <c r="A27" s="20" t="s">
        <v>310</v>
      </c>
      <c r="B27" s="61">
        <v>46029</v>
      </c>
      <c r="C27" s="20">
        <f t="shared" si="4"/>
        <v>1193</v>
      </c>
      <c r="D27" s="38">
        <f t="shared" si="5"/>
        <v>1</v>
      </c>
      <c r="G27" s="32" t="s">
        <v>89</v>
      </c>
      <c r="H27" s="20" t="s">
        <v>2709</v>
      </c>
      <c r="I27" s="20">
        <v>331</v>
      </c>
      <c r="J27" s="20">
        <v>1111</v>
      </c>
      <c r="K27" s="20" t="s">
        <v>20</v>
      </c>
      <c r="L27" s="20">
        <v>1</v>
      </c>
      <c r="M27" s="34">
        <v>33000</v>
      </c>
      <c r="N27" s="34">
        <f t="shared" si="2"/>
        <v>33000</v>
      </c>
      <c r="O27" s="33"/>
      <c r="P27" s="20">
        <f t="shared" si="3"/>
        <v>83</v>
      </c>
    </row>
    <row r="28" spans="1:16" ht="15" hidden="1" customHeight="1" x14ac:dyDescent="0.2">
      <c r="A28" s="20" t="s">
        <v>18</v>
      </c>
      <c r="B28" s="61">
        <v>46029</v>
      </c>
      <c r="C28" s="20">
        <f t="shared" si="4"/>
        <v>1194</v>
      </c>
      <c r="D28" s="38">
        <f t="shared" si="5"/>
        <v>1</v>
      </c>
      <c r="G28" s="32" t="s">
        <v>89</v>
      </c>
      <c r="H28" s="20" t="s">
        <v>1207</v>
      </c>
      <c r="I28" s="20">
        <v>64277</v>
      </c>
      <c r="J28" s="20">
        <v>331</v>
      </c>
      <c r="K28" s="20" t="s">
        <v>20</v>
      </c>
      <c r="L28" s="20">
        <v>1</v>
      </c>
      <c r="M28" s="34">
        <v>46296</v>
      </c>
      <c r="N28" s="34">
        <f t="shared" si="2"/>
        <v>46296</v>
      </c>
      <c r="O28" s="33"/>
      <c r="P28" s="20">
        <f t="shared" si="3"/>
        <v>72</v>
      </c>
    </row>
    <row r="29" spans="1:16" ht="15" hidden="1" customHeight="1" x14ac:dyDescent="0.2">
      <c r="A29" s="20" t="s">
        <v>18</v>
      </c>
      <c r="B29" s="61">
        <v>46029</v>
      </c>
      <c r="C29" s="20">
        <f t="shared" si="4"/>
        <v>1194</v>
      </c>
      <c r="D29" s="38">
        <f t="shared" si="5"/>
        <v>0</v>
      </c>
      <c r="G29" s="32" t="s">
        <v>89</v>
      </c>
      <c r="H29" s="20" t="s">
        <v>1207</v>
      </c>
      <c r="I29" s="20">
        <v>1331</v>
      </c>
      <c r="J29" s="20">
        <v>331</v>
      </c>
      <c r="K29" s="20" t="s">
        <v>20</v>
      </c>
      <c r="L29" s="20">
        <v>1</v>
      </c>
      <c r="M29" s="34">
        <v>3704</v>
      </c>
      <c r="N29" s="34">
        <f t="shared" si="2"/>
        <v>3704</v>
      </c>
      <c r="O29" s="33"/>
      <c r="P29" s="20">
        <f t="shared" si="3"/>
        <v>72</v>
      </c>
    </row>
    <row r="30" spans="1:16" ht="15" hidden="1" customHeight="1" x14ac:dyDescent="0.2">
      <c r="A30" s="20" t="s">
        <v>310</v>
      </c>
      <c r="B30" s="61">
        <v>46029</v>
      </c>
      <c r="C30" s="20">
        <f t="shared" si="4"/>
        <v>1195</v>
      </c>
      <c r="D30" s="38">
        <f t="shared" si="5"/>
        <v>1</v>
      </c>
      <c r="G30" s="32" t="s">
        <v>89</v>
      </c>
      <c r="H30" s="20" t="s">
        <v>2710</v>
      </c>
      <c r="I30" s="20">
        <v>331</v>
      </c>
      <c r="J30" s="20">
        <v>1111</v>
      </c>
      <c r="K30" s="20" t="s">
        <v>20</v>
      </c>
      <c r="L30" s="20">
        <v>1</v>
      </c>
      <c r="M30" s="34">
        <v>50000</v>
      </c>
      <c r="N30" s="34">
        <f t="shared" si="2"/>
        <v>50000</v>
      </c>
      <c r="O30" s="33"/>
      <c r="P30" s="20">
        <f t="shared" si="3"/>
        <v>83</v>
      </c>
    </row>
    <row r="31" spans="1:16" ht="15" hidden="1" customHeight="1" x14ac:dyDescent="0.2">
      <c r="A31" s="20" t="s">
        <v>18</v>
      </c>
      <c r="B31" s="61">
        <v>46030</v>
      </c>
      <c r="C31" s="20">
        <f t="shared" si="4"/>
        <v>1196</v>
      </c>
      <c r="D31" s="38">
        <f t="shared" si="5"/>
        <v>1</v>
      </c>
      <c r="G31" s="32" t="s">
        <v>89</v>
      </c>
      <c r="H31" s="20" t="s">
        <v>1208</v>
      </c>
      <c r="I31" s="20">
        <v>64277</v>
      </c>
      <c r="J31" s="20">
        <v>331</v>
      </c>
      <c r="K31" s="20" t="s">
        <v>20</v>
      </c>
      <c r="L31" s="20">
        <v>1</v>
      </c>
      <c r="M31" s="34">
        <v>27777</v>
      </c>
      <c r="N31" s="34">
        <f t="shared" si="2"/>
        <v>27777</v>
      </c>
      <c r="O31" s="33"/>
      <c r="P31" s="20">
        <f t="shared" si="3"/>
        <v>72</v>
      </c>
    </row>
    <row r="32" spans="1:16" ht="15" hidden="1" customHeight="1" x14ac:dyDescent="0.2">
      <c r="A32" s="20" t="s">
        <v>18</v>
      </c>
      <c r="B32" s="61">
        <v>46030</v>
      </c>
      <c r="C32" s="20">
        <f t="shared" si="4"/>
        <v>1196</v>
      </c>
      <c r="D32" s="38">
        <f t="shared" si="5"/>
        <v>0</v>
      </c>
      <c r="G32" s="32" t="s">
        <v>89</v>
      </c>
      <c r="H32" s="20" t="s">
        <v>1208</v>
      </c>
      <c r="I32" s="20">
        <v>1331</v>
      </c>
      <c r="J32" s="20">
        <v>331</v>
      </c>
      <c r="K32" s="20" t="s">
        <v>20</v>
      </c>
      <c r="L32" s="20">
        <v>1</v>
      </c>
      <c r="M32" s="34">
        <v>2223</v>
      </c>
      <c r="N32" s="34">
        <f t="shared" si="2"/>
        <v>2223</v>
      </c>
      <c r="O32" s="33"/>
      <c r="P32" s="20">
        <f t="shared" si="3"/>
        <v>72</v>
      </c>
    </row>
    <row r="33" spans="1:16" ht="15" hidden="1" customHeight="1" x14ac:dyDescent="0.2">
      <c r="A33" s="20" t="s">
        <v>310</v>
      </c>
      <c r="B33" s="61">
        <v>46030</v>
      </c>
      <c r="C33" s="20">
        <f t="shared" si="4"/>
        <v>1197</v>
      </c>
      <c r="D33" s="38">
        <f t="shared" si="5"/>
        <v>1</v>
      </c>
      <c r="G33" s="32" t="s">
        <v>89</v>
      </c>
      <c r="H33" s="20" t="s">
        <v>2711</v>
      </c>
      <c r="I33" s="20">
        <v>331</v>
      </c>
      <c r="J33" s="20">
        <v>1111</v>
      </c>
      <c r="K33" s="20" t="s">
        <v>20</v>
      </c>
      <c r="L33" s="20">
        <v>1</v>
      </c>
      <c r="M33" s="34">
        <v>30000</v>
      </c>
      <c r="N33" s="34">
        <f t="shared" si="2"/>
        <v>30000</v>
      </c>
      <c r="O33" s="33"/>
      <c r="P33" s="20">
        <f t="shared" si="3"/>
        <v>83</v>
      </c>
    </row>
    <row r="34" spans="1:16" ht="15" hidden="1" customHeight="1" x14ac:dyDescent="0.2">
      <c r="A34" s="20" t="s">
        <v>18</v>
      </c>
      <c r="B34" s="61">
        <v>46030</v>
      </c>
      <c r="C34" s="20">
        <f t="shared" si="4"/>
        <v>1198</v>
      </c>
      <c r="D34" s="38">
        <f t="shared" si="5"/>
        <v>1</v>
      </c>
      <c r="G34" s="32" t="s">
        <v>89</v>
      </c>
      <c r="H34" s="20" t="s">
        <v>1209</v>
      </c>
      <c r="I34" s="20">
        <v>64277</v>
      </c>
      <c r="J34" s="20">
        <v>331</v>
      </c>
      <c r="K34" s="20" t="s">
        <v>20</v>
      </c>
      <c r="L34" s="20">
        <v>1</v>
      </c>
      <c r="M34" s="34">
        <v>37037</v>
      </c>
      <c r="N34" s="34">
        <f t="shared" si="2"/>
        <v>37037</v>
      </c>
      <c r="O34" s="33"/>
      <c r="P34" s="20">
        <f t="shared" si="3"/>
        <v>72</v>
      </c>
    </row>
    <row r="35" spans="1:16" ht="15" hidden="1" customHeight="1" x14ac:dyDescent="0.2">
      <c r="A35" s="20" t="s">
        <v>18</v>
      </c>
      <c r="B35" s="67">
        <v>46030</v>
      </c>
      <c r="C35" s="20">
        <f t="shared" si="4"/>
        <v>1198</v>
      </c>
      <c r="D35" s="38">
        <f t="shared" si="5"/>
        <v>0</v>
      </c>
      <c r="E35" s="38"/>
      <c r="G35" s="59" t="s">
        <v>89</v>
      </c>
      <c r="H35" s="20" t="s">
        <v>1209</v>
      </c>
      <c r="I35" s="20">
        <v>1331</v>
      </c>
      <c r="J35" s="20">
        <v>331</v>
      </c>
      <c r="K35" s="20" t="s">
        <v>20</v>
      </c>
      <c r="L35" s="20">
        <v>1</v>
      </c>
      <c r="M35" s="65">
        <v>2963</v>
      </c>
      <c r="N35" s="34">
        <f t="shared" si="2"/>
        <v>2963</v>
      </c>
      <c r="O35" s="33"/>
      <c r="P35" s="20">
        <f t="shared" si="3"/>
        <v>72</v>
      </c>
    </row>
    <row r="36" spans="1:16" ht="15" hidden="1" customHeight="1" x14ac:dyDescent="0.2">
      <c r="A36" s="20" t="s">
        <v>310</v>
      </c>
      <c r="B36" s="67">
        <v>46030</v>
      </c>
      <c r="C36" s="20">
        <f t="shared" si="4"/>
        <v>1199</v>
      </c>
      <c r="D36" s="38">
        <f t="shared" si="5"/>
        <v>1</v>
      </c>
      <c r="E36" s="38"/>
      <c r="G36" s="59" t="s">
        <v>89</v>
      </c>
      <c r="H36" s="20" t="s">
        <v>2712</v>
      </c>
      <c r="I36" s="20">
        <v>331</v>
      </c>
      <c r="J36" s="20">
        <v>1111</v>
      </c>
      <c r="K36" s="20" t="s">
        <v>20</v>
      </c>
      <c r="L36" s="20">
        <v>1</v>
      </c>
      <c r="M36" s="65">
        <v>40000</v>
      </c>
      <c r="N36" s="34">
        <f t="shared" si="2"/>
        <v>40000</v>
      </c>
      <c r="O36" s="33"/>
      <c r="P36" s="20">
        <f t="shared" si="3"/>
        <v>83</v>
      </c>
    </row>
    <row r="37" spans="1:16" ht="15" hidden="1" customHeight="1" x14ac:dyDescent="0.2">
      <c r="A37" s="20" t="s">
        <v>18</v>
      </c>
      <c r="B37" s="67">
        <v>46030</v>
      </c>
      <c r="C37" s="20">
        <f t="shared" si="4"/>
        <v>1200</v>
      </c>
      <c r="D37" s="38">
        <f t="shared" si="5"/>
        <v>1</v>
      </c>
      <c r="E37" s="38"/>
      <c r="G37" s="59" t="s">
        <v>89</v>
      </c>
      <c r="H37" s="20" t="s">
        <v>1210</v>
      </c>
      <c r="I37" s="20">
        <v>64277</v>
      </c>
      <c r="J37" s="20">
        <v>331</v>
      </c>
      <c r="K37" s="20" t="s">
        <v>20</v>
      </c>
      <c r="L37" s="20">
        <v>1</v>
      </c>
      <c r="M37" s="65">
        <v>20371</v>
      </c>
      <c r="N37" s="34">
        <f t="shared" si="2"/>
        <v>20371</v>
      </c>
      <c r="O37" s="33"/>
      <c r="P37" s="20">
        <f t="shared" si="3"/>
        <v>72</v>
      </c>
    </row>
    <row r="38" spans="1:16" ht="15" hidden="1" customHeight="1" x14ac:dyDescent="0.2">
      <c r="A38" s="20" t="s">
        <v>18</v>
      </c>
      <c r="B38" s="61">
        <v>46030</v>
      </c>
      <c r="C38" s="20">
        <f t="shared" si="4"/>
        <v>1200</v>
      </c>
      <c r="D38" s="38">
        <f t="shared" si="5"/>
        <v>0</v>
      </c>
      <c r="G38" s="32" t="s">
        <v>89</v>
      </c>
      <c r="H38" s="20" t="s">
        <v>1210</v>
      </c>
      <c r="I38" s="20">
        <v>1331</v>
      </c>
      <c r="J38" s="20">
        <v>331</v>
      </c>
      <c r="K38" s="20" t="s">
        <v>20</v>
      </c>
      <c r="L38" s="20">
        <v>1</v>
      </c>
      <c r="M38" s="34">
        <v>1629</v>
      </c>
      <c r="N38" s="34">
        <f t="shared" si="2"/>
        <v>1629</v>
      </c>
      <c r="O38" s="33"/>
      <c r="P38" s="20">
        <f t="shared" si="3"/>
        <v>72</v>
      </c>
    </row>
    <row r="39" spans="1:16" ht="15" hidden="1" customHeight="1" x14ac:dyDescent="0.2">
      <c r="A39" s="20" t="s">
        <v>310</v>
      </c>
      <c r="B39" s="61">
        <v>46030</v>
      </c>
      <c r="C39" s="20">
        <f t="shared" si="4"/>
        <v>1201</v>
      </c>
      <c r="D39" s="38">
        <f t="shared" si="5"/>
        <v>1</v>
      </c>
      <c r="G39" s="32" t="s">
        <v>89</v>
      </c>
      <c r="H39" s="20" t="s">
        <v>2713</v>
      </c>
      <c r="I39" s="20">
        <v>331</v>
      </c>
      <c r="J39" s="20">
        <v>1111</v>
      </c>
      <c r="K39" s="20" t="s">
        <v>20</v>
      </c>
      <c r="L39" s="20">
        <v>1</v>
      </c>
      <c r="M39" s="34">
        <v>22000</v>
      </c>
      <c r="N39" s="34">
        <f t="shared" si="2"/>
        <v>22000</v>
      </c>
      <c r="O39" s="33"/>
      <c r="P39" s="20">
        <f t="shared" si="3"/>
        <v>83</v>
      </c>
    </row>
    <row r="40" spans="1:16" ht="15" hidden="1" customHeight="1" x14ac:dyDescent="0.2">
      <c r="A40" s="20" t="s">
        <v>18</v>
      </c>
      <c r="B40" s="61">
        <v>46030</v>
      </c>
      <c r="C40" s="20">
        <f t="shared" si="4"/>
        <v>1202</v>
      </c>
      <c r="D40" s="38">
        <f t="shared" si="5"/>
        <v>1</v>
      </c>
      <c r="G40" s="32" t="s">
        <v>89</v>
      </c>
      <c r="H40" s="20" t="s">
        <v>1211</v>
      </c>
      <c r="I40" s="20">
        <v>64277</v>
      </c>
      <c r="J40" s="20">
        <v>331</v>
      </c>
      <c r="K40" s="20" t="s">
        <v>20</v>
      </c>
      <c r="L40" s="20">
        <v>1</v>
      </c>
      <c r="M40" s="34">
        <v>30555</v>
      </c>
      <c r="N40" s="34">
        <f t="shared" si="2"/>
        <v>30555</v>
      </c>
      <c r="O40" s="33"/>
      <c r="P40" s="20">
        <f t="shared" si="3"/>
        <v>72</v>
      </c>
    </row>
    <row r="41" spans="1:16" ht="15" hidden="1" customHeight="1" x14ac:dyDescent="0.2">
      <c r="A41" s="20" t="s">
        <v>18</v>
      </c>
      <c r="B41" s="61">
        <v>46030</v>
      </c>
      <c r="C41" s="20">
        <f t="shared" si="4"/>
        <v>1202</v>
      </c>
      <c r="D41" s="38">
        <f t="shared" si="5"/>
        <v>0</v>
      </c>
      <c r="G41" s="32" t="s">
        <v>89</v>
      </c>
      <c r="H41" s="20" t="s">
        <v>1211</v>
      </c>
      <c r="I41" s="20">
        <v>1331</v>
      </c>
      <c r="J41" s="20">
        <v>331</v>
      </c>
      <c r="K41" s="20" t="s">
        <v>20</v>
      </c>
      <c r="L41" s="20">
        <v>1</v>
      </c>
      <c r="M41" s="34">
        <v>2445</v>
      </c>
      <c r="N41" s="34">
        <f t="shared" si="2"/>
        <v>2445</v>
      </c>
      <c r="O41" s="33"/>
      <c r="P41" s="20">
        <f t="shared" si="3"/>
        <v>72</v>
      </c>
    </row>
    <row r="42" spans="1:16" ht="15" hidden="1" customHeight="1" x14ac:dyDescent="0.2">
      <c r="A42" s="20" t="s">
        <v>310</v>
      </c>
      <c r="B42" s="61">
        <v>46030</v>
      </c>
      <c r="C42" s="20">
        <f t="shared" si="4"/>
        <v>1203</v>
      </c>
      <c r="D42" s="38">
        <f t="shared" si="5"/>
        <v>1</v>
      </c>
      <c r="G42" s="32" t="s">
        <v>89</v>
      </c>
      <c r="H42" s="20" t="s">
        <v>2714</v>
      </c>
      <c r="I42" s="20">
        <v>331</v>
      </c>
      <c r="J42" s="20">
        <v>1111</v>
      </c>
      <c r="K42" s="20" t="s">
        <v>20</v>
      </c>
      <c r="L42" s="20">
        <v>1</v>
      </c>
      <c r="M42" s="34">
        <v>33000</v>
      </c>
      <c r="N42" s="34">
        <f t="shared" si="2"/>
        <v>33000</v>
      </c>
      <c r="O42" s="33"/>
      <c r="P42" s="20">
        <f t="shared" si="3"/>
        <v>83</v>
      </c>
    </row>
    <row r="43" spans="1:16" ht="15" hidden="1" customHeight="1" x14ac:dyDescent="0.2">
      <c r="A43" s="20" t="s">
        <v>18</v>
      </c>
      <c r="B43" s="61">
        <v>46030</v>
      </c>
      <c r="C43" s="20">
        <f t="shared" si="4"/>
        <v>1204</v>
      </c>
      <c r="D43" s="38">
        <f t="shared" si="5"/>
        <v>1</v>
      </c>
      <c r="G43" s="32" t="s">
        <v>89</v>
      </c>
      <c r="H43" s="20" t="s">
        <v>1212</v>
      </c>
      <c r="I43" s="20">
        <v>64277</v>
      </c>
      <c r="J43" s="20">
        <v>331</v>
      </c>
      <c r="K43" s="20" t="s">
        <v>20</v>
      </c>
      <c r="L43" s="20">
        <v>1</v>
      </c>
      <c r="M43" s="34">
        <v>109259</v>
      </c>
      <c r="N43" s="34">
        <f t="shared" si="2"/>
        <v>109259</v>
      </c>
      <c r="O43" s="33"/>
      <c r="P43" s="20">
        <f t="shared" si="3"/>
        <v>72</v>
      </c>
    </row>
    <row r="44" spans="1:16" ht="15" hidden="1" customHeight="1" x14ac:dyDescent="0.2">
      <c r="A44" s="20" t="s">
        <v>18</v>
      </c>
      <c r="B44" s="61">
        <v>46030</v>
      </c>
      <c r="C44" s="20">
        <f t="shared" si="4"/>
        <v>1204</v>
      </c>
      <c r="D44" s="38">
        <f t="shared" si="5"/>
        <v>0</v>
      </c>
      <c r="G44" s="32" t="s">
        <v>89</v>
      </c>
      <c r="H44" s="20" t="s">
        <v>1212</v>
      </c>
      <c r="I44" s="20">
        <v>1331</v>
      </c>
      <c r="J44" s="20">
        <v>331</v>
      </c>
      <c r="K44" s="20" t="s">
        <v>20</v>
      </c>
      <c r="L44" s="20">
        <v>1</v>
      </c>
      <c r="M44" s="34">
        <v>8741</v>
      </c>
      <c r="N44" s="34">
        <f t="shared" si="2"/>
        <v>8741</v>
      </c>
      <c r="O44" s="33"/>
      <c r="P44" s="20">
        <f t="shared" si="3"/>
        <v>72</v>
      </c>
    </row>
    <row r="45" spans="1:16" ht="15" hidden="1" customHeight="1" x14ac:dyDescent="0.2">
      <c r="A45" s="20" t="s">
        <v>310</v>
      </c>
      <c r="B45" s="61">
        <v>46030</v>
      </c>
      <c r="C45" s="20">
        <f t="shared" si="4"/>
        <v>1205</v>
      </c>
      <c r="D45" s="38">
        <f t="shared" si="5"/>
        <v>1</v>
      </c>
      <c r="G45" s="32" t="s">
        <v>89</v>
      </c>
      <c r="H45" s="20" t="s">
        <v>2715</v>
      </c>
      <c r="I45" s="20">
        <v>331</v>
      </c>
      <c r="J45" s="20">
        <v>1111</v>
      </c>
      <c r="K45" s="20" t="s">
        <v>20</v>
      </c>
      <c r="L45" s="20">
        <v>1</v>
      </c>
      <c r="M45" s="34">
        <v>118000</v>
      </c>
      <c r="N45" s="34">
        <f t="shared" si="2"/>
        <v>118000</v>
      </c>
      <c r="O45" s="33"/>
      <c r="P45" s="20">
        <f t="shared" si="3"/>
        <v>83</v>
      </c>
    </row>
    <row r="46" spans="1:16" ht="15" hidden="1" customHeight="1" x14ac:dyDescent="0.2">
      <c r="A46" s="20" t="s">
        <v>18</v>
      </c>
      <c r="B46" s="61">
        <v>46030</v>
      </c>
      <c r="C46" s="20">
        <f t="shared" si="4"/>
        <v>1206</v>
      </c>
      <c r="D46" s="38">
        <f t="shared" si="5"/>
        <v>1</v>
      </c>
      <c r="G46" s="32" t="s">
        <v>1213</v>
      </c>
      <c r="H46" s="20" t="s">
        <v>2685</v>
      </c>
      <c r="I46" s="20">
        <v>64277</v>
      </c>
      <c r="J46" s="20">
        <v>331</v>
      </c>
      <c r="K46" s="20" t="s">
        <v>20</v>
      </c>
      <c r="L46" s="20">
        <v>1</v>
      </c>
      <c r="M46" s="34">
        <v>1890000</v>
      </c>
      <c r="N46" s="34">
        <f t="shared" si="2"/>
        <v>1890000</v>
      </c>
      <c r="O46" s="33"/>
      <c r="P46" s="20">
        <f t="shared" si="3"/>
        <v>40</v>
      </c>
    </row>
    <row r="47" spans="1:16" ht="15" hidden="1" customHeight="1" x14ac:dyDescent="0.2">
      <c r="A47" s="20" t="s">
        <v>18</v>
      </c>
      <c r="B47" s="61">
        <v>46030</v>
      </c>
      <c r="C47" s="20">
        <f t="shared" si="4"/>
        <v>1206</v>
      </c>
      <c r="D47" s="38">
        <f t="shared" si="5"/>
        <v>0</v>
      </c>
      <c r="G47" s="32" t="s">
        <v>1213</v>
      </c>
      <c r="H47" s="20" t="s">
        <v>2685</v>
      </c>
      <c r="I47" s="20">
        <v>1331</v>
      </c>
      <c r="J47" s="20">
        <v>331</v>
      </c>
      <c r="K47" s="20" t="s">
        <v>20</v>
      </c>
      <c r="L47" s="20">
        <v>1</v>
      </c>
      <c r="M47" s="34">
        <v>151200</v>
      </c>
      <c r="N47" s="34">
        <f t="shared" si="2"/>
        <v>151200</v>
      </c>
      <c r="O47" s="33"/>
      <c r="P47" s="20">
        <f t="shared" si="3"/>
        <v>40</v>
      </c>
    </row>
    <row r="48" spans="1:16" ht="15" hidden="1" customHeight="1" x14ac:dyDescent="0.2">
      <c r="A48" s="20" t="s">
        <v>310</v>
      </c>
      <c r="B48" s="61">
        <v>46030</v>
      </c>
      <c r="C48" s="20">
        <f t="shared" si="4"/>
        <v>1207</v>
      </c>
      <c r="D48" s="38">
        <f t="shared" si="5"/>
        <v>1</v>
      </c>
      <c r="G48" s="32" t="s">
        <v>1213</v>
      </c>
      <c r="H48" s="20" t="s">
        <v>2716</v>
      </c>
      <c r="I48" s="20">
        <v>331</v>
      </c>
      <c r="J48" s="20">
        <v>1111</v>
      </c>
      <c r="K48" s="20" t="s">
        <v>20</v>
      </c>
      <c r="L48" s="20">
        <v>1</v>
      </c>
      <c r="M48" s="34">
        <v>2041200</v>
      </c>
      <c r="N48" s="34">
        <f t="shared" si="2"/>
        <v>2041200</v>
      </c>
      <c r="O48" s="33"/>
      <c r="P48" s="20">
        <f t="shared" si="3"/>
        <v>51</v>
      </c>
    </row>
    <row r="49" spans="1:16" ht="15" hidden="1" customHeight="1" x14ac:dyDescent="0.2">
      <c r="A49" s="20" t="s">
        <v>18</v>
      </c>
      <c r="B49" s="61">
        <v>46031</v>
      </c>
      <c r="C49" s="20">
        <f t="shared" si="4"/>
        <v>1208</v>
      </c>
      <c r="D49" s="38">
        <f t="shared" si="5"/>
        <v>1</v>
      </c>
      <c r="G49" s="32" t="s">
        <v>89</v>
      </c>
      <c r="H49" s="20" t="s">
        <v>1214</v>
      </c>
      <c r="I49" s="20">
        <v>64277</v>
      </c>
      <c r="J49" s="20">
        <v>331</v>
      </c>
      <c r="K49" s="20" t="s">
        <v>20</v>
      </c>
      <c r="L49" s="20">
        <v>1</v>
      </c>
      <c r="M49" s="34">
        <v>49074</v>
      </c>
      <c r="N49" s="34">
        <f t="shared" si="2"/>
        <v>49074</v>
      </c>
      <c r="O49" s="33"/>
      <c r="P49" s="20">
        <f t="shared" si="3"/>
        <v>72</v>
      </c>
    </row>
    <row r="50" spans="1:16" ht="15" hidden="1" customHeight="1" x14ac:dyDescent="0.2">
      <c r="A50" s="20" t="s">
        <v>18</v>
      </c>
      <c r="B50" s="61">
        <v>46031</v>
      </c>
      <c r="C50" s="20">
        <f t="shared" si="4"/>
        <v>1208</v>
      </c>
      <c r="D50" s="38">
        <f t="shared" si="5"/>
        <v>0</v>
      </c>
      <c r="G50" s="32" t="s">
        <v>89</v>
      </c>
      <c r="H50" s="20" t="s">
        <v>1214</v>
      </c>
      <c r="I50" s="20">
        <v>1331</v>
      </c>
      <c r="J50" s="20">
        <v>331</v>
      </c>
      <c r="K50" s="20" t="s">
        <v>20</v>
      </c>
      <c r="L50" s="20">
        <v>1</v>
      </c>
      <c r="M50" s="34">
        <v>3926</v>
      </c>
      <c r="N50" s="34">
        <f t="shared" si="2"/>
        <v>3926</v>
      </c>
      <c r="O50" s="33"/>
      <c r="P50" s="20">
        <f t="shared" si="3"/>
        <v>72</v>
      </c>
    </row>
    <row r="51" spans="1:16" ht="15" hidden="1" customHeight="1" x14ac:dyDescent="0.2">
      <c r="A51" s="20" t="s">
        <v>310</v>
      </c>
      <c r="B51" s="61">
        <v>46031</v>
      </c>
      <c r="C51" s="20">
        <f t="shared" si="4"/>
        <v>1209</v>
      </c>
      <c r="D51" s="38">
        <f t="shared" si="5"/>
        <v>1</v>
      </c>
      <c r="G51" s="32" t="s">
        <v>89</v>
      </c>
      <c r="H51" s="20" t="s">
        <v>2717</v>
      </c>
      <c r="I51" s="20">
        <v>331</v>
      </c>
      <c r="J51" s="20">
        <v>1111</v>
      </c>
      <c r="K51" s="20" t="s">
        <v>20</v>
      </c>
      <c r="L51" s="20">
        <v>1</v>
      </c>
      <c r="M51" s="34">
        <v>53000</v>
      </c>
      <c r="N51" s="34">
        <f t="shared" si="2"/>
        <v>53000</v>
      </c>
      <c r="O51" s="33"/>
      <c r="P51" s="20">
        <f t="shared" si="3"/>
        <v>83</v>
      </c>
    </row>
    <row r="52" spans="1:16" ht="15" hidden="1" customHeight="1" x14ac:dyDescent="0.2">
      <c r="A52" s="20" t="s">
        <v>18</v>
      </c>
      <c r="B52" s="61">
        <v>46031</v>
      </c>
      <c r="C52" s="20">
        <f t="shared" si="4"/>
        <v>1210</v>
      </c>
      <c r="D52" s="38">
        <f t="shared" si="5"/>
        <v>1</v>
      </c>
      <c r="G52" s="32" t="s">
        <v>89</v>
      </c>
      <c r="H52" s="20" t="s">
        <v>1215</v>
      </c>
      <c r="I52" s="20">
        <v>64277</v>
      </c>
      <c r="J52" s="20">
        <v>331</v>
      </c>
      <c r="K52" s="20" t="s">
        <v>20</v>
      </c>
      <c r="L52" s="20">
        <v>1</v>
      </c>
      <c r="M52" s="34">
        <v>30555</v>
      </c>
      <c r="N52" s="34">
        <f t="shared" si="2"/>
        <v>30555</v>
      </c>
      <c r="O52" s="33"/>
      <c r="P52" s="20">
        <f t="shared" si="3"/>
        <v>72</v>
      </c>
    </row>
    <row r="53" spans="1:16" ht="15" hidden="1" customHeight="1" x14ac:dyDescent="0.2">
      <c r="A53" s="20" t="s">
        <v>18</v>
      </c>
      <c r="B53" s="61">
        <v>46031</v>
      </c>
      <c r="C53" s="20">
        <f t="shared" si="4"/>
        <v>1210</v>
      </c>
      <c r="D53" s="38">
        <f t="shared" si="5"/>
        <v>0</v>
      </c>
      <c r="G53" s="32" t="s">
        <v>89</v>
      </c>
      <c r="H53" s="20" t="s">
        <v>1215</v>
      </c>
      <c r="I53" s="20">
        <v>1331</v>
      </c>
      <c r="J53" s="20">
        <v>331</v>
      </c>
      <c r="K53" s="20" t="s">
        <v>20</v>
      </c>
      <c r="L53" s="20">
        <v>1</v>
      </c>
      <c r="M53" s="34">
        <v>2445</v>
      </c>
      <c r="N53" s="34">
        <f t="shared" si="2"/>
        <v>2445</v>
      </c>
      <c r="O53" s="33"/>
      <c r="P53" s="20">
        <f t="shared" si="3"/>
        <v>72</v>
      </c>
    </row>
    <row r="54" spans="1:16" ht="15" hidden="1" customHeight="1" x14ac:dyDescent="0.2">
      <c r="A54" s="20" t="s">
        <v>310</v>
      </c>
      <c r="B54" s="61">
        <v>46031</v>
      </c>
      <c r="C54" s="20">
        <f t="shared" si="4"/>
        <v>1211</v>
      </c>
      <c r="D54" s="38">
        <f t="shared" si="5"/>
        <v>1</v>
      </c>
      <c r="G54" s="32" t="s">
        <v>89</v>
      </c>
      <c r="H54" s="20" t="s">
        <v>2718</v>
      </c>
      <c r="I54" s="20">
        <v>331</v>
      </c>
      <c r="J54" s="20">
        <v>1111</v>
      </c>
      <c r="K54" s="20" t="s">
        <v>20</v>
      </c>
      <c r="L54" s="20">
        <v>1</v>
      </c>
      <c r="M54" s="34">
        <v>33000</v>
      </c>
      <c r="N54" s="34">
        <f t="shared" si="2"/>
        <v>33000</v>
      </c>
      <c r="O54" s="33"/>
      <c r="P54" s="20">
        <f t="shared" si="3"/>
        <v>83</v>
      </c>
    </row>
    <row r="55" spans="1:16" ht="15" hidden="1" customHeight="1" x14ac:dyDescent="0.2">
      <c r="A55" s="20" t="s">
        <v>18</v>
      </c>
      <c r="B55" s="61">
        <v>46031</v>
      </c>
      <c r="C55" s="20">
        <f t="shared" si="4"/>
        <v>1212</v>
      </c>
      <c r="D55" s="38">
        <f t="shared" si="5"/>
        <v>1</v>
      </c>
      <c r="G55" s="32" t="s">
        <v>89</v>
      </c>
      <c r="H55" s="20" t="s">
        <v>1216</v>
      </c>
      <c r="I55" s="20">
        <v>64277</v>
      </c>
      <c r="J55" s="20">
        <v>331</v>
      </c>
      <c r="K55" s="20" t="s">
        <v>20</v>
      </c>
      <c r="L55" s="20">
        <v>1</v>
      </c>
      <c r="M55" s="34">
        <v>114815</v>
      </c>
      <c r="N55" s="34">
        <f t="shared" si="2"/>
        <v>114815</v>
      </c>
      <c r="O55" s="33"/>
      <c r="P55" s="20">
        <f t="shared" si="3"/>
        <v>72</v>
      </c>
    </row>
    <row r="56" spans="1:16" ht="15" hidden="1" customHeight="1" x14ac:dyDescent="0.2">
      <c r="A56" s="20" t="s">
        <v>18</v>
      </c>
      <c r="B56" s="61">
        <v>46031</v>
      </c>
      <c r="C56" s="20">
        <f t="shared" si="4"/>
        <v>1212</v>
      </c>
      <c r="D56" s="38">
        <f t="shared" si="5"/>
        <v>0</v>
      </c>
      <c r="G56" s="32" t="s">
        <v>89</v>
      </c>
      <c r="H56" s="20" t="s">
        <v>1216</v>
      </c>
      <c r="I56" s="20">
        <v>1331</v>
      </c>
      <c r="J56" s="20">
        <v>331</v>
      </c>
      <c r="K56" s="20" t="s">
        <v>20</v>
      </c>
      <c r="L56" s="20">
        <v>1</v>
      </c>
      <c r="M56" s="34">
        <v>9185</v>
      </c>
      <c r="N56" s="34">
        <f t="shared" si="2"/>
        <v>9185</v>
      </c>
      <c r="O56" s="33"/>
      <c r="P56" s="20">
        <f t="shared" si="3"/>
        <v>72</v>
      </c>
    </row>
    <row r="57" spans="1:16" ht="15" hidden="1" customHeight="1" x14ac:dyDescent="0.2">
      <c r="A57" s="20" t="s">
        <v>310</v>
      </c>
      <c r="B57" s="61">
        <v>46031</v>
      </c>
      <c r="C57" s="20">
        <f t="shared" si="4"/>
        <v>1213</v>
      </c>
      <c r="D57" s="38">
        <f t="shared" si="5"/>
        <v>1</v>
      </c>
      <c r="G57" s="32" t="s">
        <v>89</v>
      </c>
      <c r="H57" s="20" t="s">
        <v>2719</v>
      </c>
      <c r="I57" s="20">
        <v>331</v>
      </c>
      <c r="J57" s="20">
        <v>1111</v>
      </c>
      <c r="K57" s="20" t="s">
        <v>20</v>
      </c>
      <c r="L57" s="20">
        <v>1</v>
      </c>
      <c r="M57" s="34">
        <v>124000</v>
      </c>
      <c r="N57" s="34">
        <f t="shared" si="2"/>
        <v>124000</v>
      </c>
      <c r="O57" s="33"/>
      <c r="P57" s="20">
        <f t="shared" si="3"/>
        <v>83</v>
      </c>
    </row>
    <row r="58" spans="1:16" ht="15" hidden="1" customHeight="1" x14ac:dyDescent="0.2">
      <c r="A58" s="20" t="s">
        <v>18</v>
      </c>
      <c r="B58" s="61">
        <v>46031</v>
      </c>
      <c r="C58" s="20">
        <f t="shared" si="4"/>
        <v>1214</v>
      </c>
      <c r="D58" s="38">
        <f t="shared" si="5"/>
        <v>1</v>
      </c>
      <c r="G58" s="32" t="s">
        <v>276</v>
      </c>
      <c r="H58" s="20" t="s">
        <v>2686</v>
      </c>
      <c r="I58" s="20">
        <v>64277</v>
      </c>
      <c r="J58" s="20">
        <v>331</v>
      </c>
      <c r="K58" s="20" t="s">
        <v>20</v>
      </c>
      <c r="L58" s="20">
        <v>1</v>
      </c>
      <c r="M58" s="34">
        <v>2850750</v>
      </c>
      <c r="N58" s="34">
        <f t="shared" si="2"/>
        <v>2850750</v>
      </c>
      <c r="O58" s="33"/>
      <c r="P58" s="20">
        <f t="shared" si="3"/>
        <v>40</v>
      </c>
    </row>
    <row r="59" spans="1:16" ht="15" hidden="1" customHeight="1" x14ac:dyDescent="0.2">
      <c r="A59" s="20" t="s">
        <v>18</v>
      </c>
      <c r="B59" s="61">
        <v>46031</v>
      </c>
      <c r="C59" s="20">
        <f t="shared" si="4"/>
        <v>1214</v>
      </c>
      <c r="D59" s="38">
        <f t="shared" si="5"/>
        <v>0</v>
      </c>
      <c r="G59" s="32" t="s">
        <v>276</v>
      </c>
      <c r="H59" s="20" t="s">
        <v>2686</v>
      </c>
      <c r="I59" s="20">
        <v>1331</v>
      </c>
      <c r="J59" s="20">
        <v>331</v>
      </c>
      <c r="K59" s="20" t="s">
        <v>20</v>
      </c>
      <c r="L59" s="20">
        <v>1</v>
      </c>
      <c r="M59" s="34">
        <v>266490</v>
      </c>
      <c r="N59" s="34">
        <f t="shared" si="2"/>
        <v>266490</v>
      </c>
      <c r="O59" s="33"/>
      <c r="P59" s="20">
        <f t="shared" si="3"/>
        <v>40</v>
      </c>
    </row>
    <row r="60" spans="1:16" ht="15" hidden="1" customHeight="1" x14ac:dyDescent="0.2">
      <c r="A60" s="20" t="s">
        <v>310</v>
      </c>
      <c r="B60" s="61">
        <v>46031</v>
      </c>
      <c r="C60" s="20">
        <f t="shared" si="4"/>
        <v>1215</v>
      </c>
      <c r="D60" s="38">
        <f t="shared" si="5"/>
        <v>1</v>
      </c>
      <c r="G60" s="32" t="s">
        <v>276</v>
      </c>
      <c r="H60" s="20" t="s">
        <v>2720</v>
      </c>
      <c r="I60" s="20">
        <v>331</v>
      </c>
      <c r="J60" s="20">
        <v>1111</v>
      </c>
      <c r="K60" s="20" t="s">
        <v>20</v>
      </c>
      <c r="L60" s="20">
        <v>1</v>
      </c>
      <c r="M60" s="34">
        <v>3117240</v>
      </c>
      <c r="N60" s="34">
        <f t="shared" si="2"/>
        <v>3117240</v>
      </c>
      <c r="O60" s="33"/>
      <c r="P60" s="20">
        <f t="shared" si="3"/>
        <v>51</v>
      </c>
    </row>
    <row r="61" spans="1:16" ht="15" hidden="1" customHeight="1" x14ac:dyDescent="0.2">
      <c r="A61" s="20" t="s">
        <v>18</v>
      </c>
      <c r="B61" s="61">
        <v>46032</v>
      </c>
      <c r="C61" s="20">
        <f t="shared" si="4"/>
        <v>1216</v>
      </c>
      <c r="D61" s="38">
        <f t="shared" si="5"/>
        <v>1</v>
      </c>
      <c r="G61" s="32" t="s">
        <v>89</v>
      </c>
      <c r="H61" s="20" t="s">
        <v>1217</v>
      </c>
      <c r="I61" s="20">
        <v>64277</v>
      </c>
      <c r="J61" s="20">
        <v>331</v>
      </c>
      <c r="K61" s="20" t="s">
        <v>20</v>
      </c>
      <c r="L61" s="20">
        <v>1</v>
      </c>
      <c r="M61" s="34">
        <v>50926</v>
      </c>
      <c r="N61" s="34">
        <f t="shared" si="2"/>
        <v>50926</v>
      </c>
      <c r="O61" s="33"/>
      <c r="P61" s="20">
        <f t="shared" si="3"/>
        <v>72</v>
      </c>
    </row>
    <row r="62" spans="1:16" ht="15" hidden="1" customHeight="1" x14ac:dyDescent="0.2">
      <c r="A62" s="20" t="s">
        <v>18</v>
      </c>
      <c r="B62" s="61">
        <v>46032</v>
      </c>
      <c r="C62" s="20">
        <f t="shared" si="4"/>
        <v>1216</v>
      </c>
      <c r="D62" s="38">
        <f t="shared" si="5"/>
        <v>0</v>
      </c>
      <c r="G62" s="32" t="s">
        <v>89</v>
      </c>
      <c r="H62" s="20" t="s">
        <v>1217</v>
      </c>
      <c r="I62" s="20">
        <v>1331</v>
      </c>
      <c r="J62" s="20">
        <v>331</v>
      </c>
      <c r="K62" s="20" t="s">
        <v>20</v>
      </c>
      <c r="L62" s="20">
        <v>1</v>
      </c>
      <c r="M62" s="34">
        <v>4074</v>
      </c>
      <c r="N62" s="34">
        <f t="shared" si="2"/>
        <v>4074</v>
      </c>
      <c r="O62" s="33"/>
      <c r="P62" s="20">
        <f t="shared" si="3"/>
        <v>72</v>
      </c>
    </row>
    <row r="63" spans="1:16" ht="15" hidden="1" customHeight="1" x14ac:dyDescent="0.2">
      <c r="A63" s="20" t="s">
        <v>310</v>
      </c>
      <c r="B63" s="61">
        <v>46032</v>
      </c>
      <c r="C63" s="20">
        <f t="shared" si="4"/>
        <v>1217</v>
      </c>
      <c r="D63" s="38">
        <f t="shared" si="5"/>
        <v>1</v>
      </c>
      <c r="G63" s="32" t="s">
        <v>89</v>
      </c>
      <c r="H63" s="20" t="s">
        <v>2721</v>
      </c>
      <c r="I63" s="20">
        <v>331</v>
      </c>
      <c r="J63" s="20">
        <v>1111</v>
      </c>
      <c r="K63" s="20" t="s">
        <v>20</v>
      </c>
      <c r="L63" s="20">
        <v>1</v>
      </c>
      <c r="M63" s="34">
        <v>55000</v>
      </c>
      <c r="N63" s="34">
        <f t="shared" si="2"/>
        <v>55000</v>
      </c>
      <c r="O63" s="33"/>
      <c r="P63" s="20">
        <f t="shared" si="3"/>
        <v>83</v>
      </c>
    </row>
    <row r="64" spans="1:16" ht="15" hidden="1" customHeight="1" x14ac:dyDescent="0.2">
      <c r="A64" s="20" t="s">
        <v>18</v>
      </c>
      <c r="B64" s="61">
        <v>46032</v>
      </c>
      <c r="C64" s="20">
        <f t="shared" si="4"/>
        <v>1218</v>
      </c>
      <c r="D64" s="38">
        <f t="shared" si="5"/>
        <v>1</v>
      </c>
      <c r="G64" s="32" t="s">
        <v>89</v>
      </c>
      <c r="H64" s="20" t="s">
        <v>1218</v>
      </c>
      <c r="I64" s="20">
        <v>64277</v>
      </c>
      <c r="J64" s="20">
        <v>331</v>
      </c>
      <c r="K64" s="20" t="s">
        <v>20</v>
      </c>
      <c r="L64" s="20">
        <v>1</v>
      </c>
      <c r="M64" s="34">
        <v>30555</v>
      </c>
      <c r="N64" s="34">
        <f t="shared" si="2"/>
        <v>30555</v>
      </c>
      <c r="O64" s="33"/>
      <c r="P64" s="20">
        <f t="shared" si="3"/>
        <v>72</v>
      </c>
    </row>
    <row r="65" spans="1:16" ht="15" hidden="1" customHeight="1" x14ac:dyDescent="0.2">
      <c r="A65" s="20" t="s">
        <v>18</v>
      </c>
      <c r="B65" s="61">
        <v>46032</v>
      </c>
      <c r="C65" s="20">
        <f t="shared" si="4"/>
        <v>1218</v>
      </c>
      <c r="D65" s="38">
        <f t="shared" si="5"/>
        <v>0</v>
      </c>
      <c r="G65" s="32" t="s">
        <v>89</v>
      </c>
      <c r="H65" s="20" t="s">
        <v>1218</v>
      </c>
      <c r="I65" s="20">
        <v>1331</v>
      </c>
      <c r="J65" s="20">
        <v>331</v>
      </c>
      <c r="K65" s="20" t="s">
        <v>20</v>
      </c>
      <c r="L65" s="20">
        <v>1</v>
      </c>
      <c r="M65" s="34">
        <v>2445</v>
      </c>
      <c r="N65" s="34">
        <f t="shared" si="2"/>
        <v>2445</v>
      </c>
      <c r="O65" s="33"/>
      <c r="P65" s="20">
        <f t="shared" si="3"/>
        <v>72</v>
      </c>
    </row>
    <row r="66" spans="1:16" ht="15" hidden="1" customHeight="1" x14ac:dyDescent="0.2">
      <c r="A66" s="20" t="s">
        <v>310</v>
      </c>
      <c r="B66" s="61">
        <v>46032</v>
      </c>
      <c r="C66" s="20">
        <f t="shared" si="4"/>
        <v>1219</v>
      </c>
      <c r="D66" s="38">
        <f t="shared" si="5"/>
        <v>1</v>
      </c>
      <c r="G66" s="32" t="s">
        <v>89</v>
      </c>
      <c r="H66" s="20" t="s">
        <v>2722</v>
      </c>
      <c r="I66" s="20">
        <v>331</v>
      </c>
      <c r="J66" s="20">
        <v>1111</v>
      </c>
      <c r="K66" s="20" t="s">
        <v>20</v>
      </c>
      <c r="L66" s="20">
        <v>1</v>
      </c>
      <c r="M66" s="34">
        <v>33000</v>
      </c>
      <c r="N66" s="34">
        <f t="shared" si="2"/>
        <v>33000</v>
      </c>
      <c r="O66" s="33"/>
      <c r="P66" s="20">
        <f t="shared" si="3"/>
        <v>83</v>
      </c>
    </row>
    <row r="67" spans="1:16" ht="15" hidden="1" customHeight="1" x14ac:dyDescent="0.2">
      <c r="A67" s="20" t="s">
        <v>18</v>
      </c>
      <c r="B67" s="61">
        <v>46034</v>
      </c>
      <c r="C67" s="20">
        <f t="shared" si="4"/>
        <v>1220</v>
      </c>
      <c r="D67" s="38">
        <f t="shared" si="5"/>
        <v>1</v>
      </c>
      <c r="G67" s="32" t="s">
        <v>89</v>
      </c>
      <c r="H67" s="20" t="s">
        <v>1219</v>
      </c>
      <c r="I67" s="20">
        <v>64277</v>
      </c>
      <c r="J67" s="20">
        <v>331</v>
      </c>
      <c r="K67" s="20" t="s">
        <v>20</v>
      </c>
      <c r="L67" s="20">
        <v>1</v>
      </c>
      <c r="M67" s="34">
        <v>34259</v>
      </c>
      <c r="N67" s="34">
        <f t="shared" si="2"/>
        <v>34259</v>
      </c>
      <c r="O67" s="33"/>
      <c r="P67" s="20">
        <f t="shared" si="3"/>
        <v>72</v>
      </c>
    </row>
    <row r="68" spans="1:16" ht="15" hidden="1" customHeight="1" x14ac:dyDescent="0.2">
      <c r="A68" s="20" t="s">
        <v>18</v>
      </c>
      <c r="B68" s="61">
        <v>46034</v>
      </c>
      <c r="C68" s="20">
        <f t="shared" si="4"/>
        <v>1220</v>
      </c>
      <c r="D68" s="38">
        <f t="shared" si="5"/>
        <v>0</v>
      </c>
      <c r="G68" s="32" t="s">
        <v>89</v>
      </c>
      <c r="H68" s="20" t="s">
        <v>1219</v>
      </c>
      <c r="I68" s="20">
        <v>1331</v>
      </c>
      <c r="J68" s="20">
        <v>331</v>
      </c>
      <c r="K68" s="20" t="s">
        <v>20</v>
      </c>
      <c r="L68" s="20">
        <v>1</v>
      </c>
      <c r="M68" s="34">
        <v>2741</v>
      </c>
      <c r="N68" s="34">
        <f t="shared" ref="N68:N131" si="6">L68*M68</f>
        <v>2741</v>
      </c>
      <c r="O68" s="33"/>
      <c r="P68" s="20">
        <f t="shared" si="3"/>
        <v>72</v>
      </c>
    </row>
    <row r="69" spans="1:16" ht="15" hidden="1" customHeight="1" x14ac:dyDescent="0.2">
      <c r="A69" s="20" t="s">
        <v>310</v>
      </c>
      <c r="B69" s="61">
        <v>46034</v>
      </c>
      <c r="C69" s="20">
        <f t="shared" si="4"/>
        <v>1221</v>
      </c>
      <c r="D69" s="38">
        <f t="shared" si="5"/>
        <v>1</v>
      </c>
      <c r="G69" s="32" t="s">
        <v>89</v>
      </c>
      <c r="H69" s="20" t="s">
        <v>2723</v>
      </c>
      <c r="I69" s="20">
        <v>331</v>
      </c>
      <c r="J69" s="20">
        <v>1111</v>
      </c>
      <c r="K69" s="20" t="s">
        <v>20</v>
      </c>
      <c r="L69" s="20">
        <v>1</v>
      </c>
      <c r="M69" s="34">
        <v>37000</v>
      </c>
      <c r="N69" s="34">
        <f t="shared" si="6"/>
        <v>37000</v>
      </c>
      <c r="O69" s="33"/>
      <c r="P69" s="20">
        <f t="shared" ref="P69:P132" si="7">LEN(H69)</f>
        <v>83</v>
      </c>
    </row>
    <row r="70" spans="1:16" ht="15" hidden="1" customHeight="1" x14ac:dyDescent="0.2">
      <c r="A70" s="20" t="s">
        <v>18</v>
      </c>
      <c r="B70" s="61">
        <v>46034</v>
      </c>
      <c r="C70" s="20">
        <f t="shared" ref="C70:C133" si="8">C69+D70</f>
        <v>1222</v>
      </c>
      <c r="D70" s="38">
        <f t="shared" ref="D70:D133" si="9">IF(H70=H69,0,1)</f>
        <v>1</v>
      </c>
      <c r="G70" s="32" t="s">
        <v>89</v>
      </c>
      <c r="H70" s="20" t="s">
        <v>1220</v>
      </c>
      <c r="I70" s="20">
        <v>64277</v>
      </c>
      <c r="J70" s="20">
        <v>331</v>
      </c>
      <c r="K70" s="20" t="s">
        <v>20</v>
      </c>
      <c r="L70" s="20">
        <v>1</v>
      </c>
      <c r="M70" s="34">
        <v>49074</v>
      </c>
      <c r="N70" s="34">
        <f t="shared" si="6"/>
        <v>49074</v>
      </c>
      <c r="O70" s="33"/>
      <c r="P70" s="20">
        <f t="shared" si="7"/>
        <v>72</v>
      </c>
    </row>
    <row r="71" spans="1:16" ht="15" hidden="1" customHeight="1" x14ac:dyDescent="0.2">
      <c r="A71" s="20" t="s">
        <v>18</v>
      </c>
      <c r="B71" s="61">
        <v>46034</v>
      </c>
      <c r="C71" s="20">
        <f t="shared" si="8"/>
        <v>1222</v>
      </c>
      <c r="D71" s="38">
        <f t="shared" si="9"/>
        <v>0</v>
      </c>
      <c r="G71" s="32" t="s">
        <v>89</v>
      </c>
      <c r="H71" s="20" t="s">
        <v>1220</v>
      </c>
      <c r="I71" s="20">
        <v>1331</v>
      </c>
      <c r="J71" s="20">
        <v>331</v>
      </c>
      <c r="K71" s="20" t="s">
        <v>20</v>
      </c>
      <c r="L71" s="20">
        <v>1</v>
      </c>
      <c r="M71" s="34">
        <v>3926</v>
      </c>
      <c r="N71" s="34">
        <f t="shared" si="6"/>
        <v>3926</v>
      </c>
      <c r="O71" s="33"/>
      <c r="P71" s="20">
        <f t="shared" si="7"/>
        <v>72</v>
      </c>
    </row>
    <row r="72" spans="1:16" ht="15" hidden="1" customHeight="1" x14ac:dyDescent="0.2">
      <c r="A72" s="20" t="s">
        <v>310</v>
      </c>
      <c r="B72" s="61">
        <v>46034</v>
      </c>
      <c r="C72" s="20">
        <f t="shared" si="8"/>
        <v>1223</v>
      </c>
      <c r="D72" s="38">
        <f t="shared" si="9"/>
        <v>1</v>
      </c>
      <c r="G72" s="32" t="s">
        <v>89</v>
      </c>
      <c r="H72" s="20" t="s">
        <v>2724</v>
      </c>
      <c r="I72" s="20">
        <v>331</v>
      </c>
      <c r="J72" s="20">
        <v>1111</v>
      </c>
      <c r="K72" s="20" t="s">
        <v>20</v>
      </c>
      <c r="L72" s="20">
        <v>1</v>
      </c>
      <c r="M72" s="34">
        <v>53000</v>
      </c>
      <c r="N72" s="34">
        <f t="shared" si="6"/>
        <v>53000</v>
      </c>
      <c r="O72" s="33"/>
      <c r="P72" s="20">
        <f t="shared" si="7"/>
        <v>83</v>
      </c>
    </row>
    <row r="73" spans="1:16" ht="15" hidden="1" customHeight="1" x14ac:dyDescent="0.2">
      <c r="A73" s="20" t="s">
        <v>18</v>
      </c>
      <c r="B73" s="61">
        <v>46034</v>
      </c>
      <c r="C73" s="20">
        <f t="shared" si="8"/>
        <v>1224</v>
      </c>
      <c r="D73" s="38">
        <f t="shared" si="9"/>
        <v>1</v>
      </c>
      <c r="G73" s="32" t="s">
        <v>89</v>
      </c>
      <c r="H73" s="20" t="s">
        <v>1221</v>
      </c>
      <c r="I73" s="20">
        <v>64277</v>
      </c>
      <c r="J73" s="20">
        <v>331</v>
      </c>
      <c r="K73" s="20" t="s">
        <v>20</v>
      </c>
      <c r="L73" s="20">
        <v>1</v>
      </c>
      <c r="M73" s="34">
        <v>30555</v>
      </c>
      <c r="N73" s="34">
        <f t="shared" si="6"/>
        <v>30555</v>
      </c>
      <c r="O73" s="33"/>
      <c r="P73" s="20">
        <f t="shared" si="7"/>
        <v>72</v>
      </c>
    </row>
    <row r="74" spans="1:16" ht="15" hidden="1" customHeight="1" x14ac:dyDescent="0.2">
      <c r="A74" s="20" t="s">
        <v>18</v>
      </c>
      <c r="B74" s="61">
        <v>46034</v>
      </c>
      <c r="C74" s="20">
        <f t="shared" si="8"/>
        <v>1224</v>
      </c>
      <c r="D74" s="38">
        <f t="shared" si="9"/>
        <v>0</v>
      </c>
      <c r="G74" s="32" t="s">
        <v>89</v>
      </c>
      <c r="H74" s="20" t="s">
        <v>1221</v>
      </c>
      <c r="I74" s="20">
        <v>1331</v>
      </c>
      <c r="J74" s="20">
        <v>331</v>
      </c>
      <c r="K74" s="20" t="s">
        <v>20</v>
      </c>
      <c r="L74" s="20">
        <v>1</v>
      </c>
      <c r="M74" s="34">
        <v>2445</v>
      </c>
      <c r="N74" s="34">
        <f t="shared" si="6"/>
        <v>2445</v>
      </c>
      <c r="O74" s="33"/>
      <c r="P74" s="20">
        <f t="shared" si="7"/>
        <v>72</v>
      </c>
    </row>
    <row r="75" spans="1:16" ht="15" hidden="1" customHeight="1" x14ac:dyDescent="0.2">
      <c r="A75" s="20" t="s">
        <v>310</v>
      </c>
      <c r="B75" s="61">
        <v>46034</v>
      </c>
      <c r="C75" s="20">
        <f t="shared" si="8"/>
        <v>1225</v>
      </c>
      <c r="D75" s="38">
        <f t="shared" si="9"/>
        <v>1</v>
      </c>
      <c r="G75" s="32" t="s">
        <v>89</v>
      </c>
      <c r="H75" s="20" t="s">
        <v>2725</v>
      </c>
      <c r="I75" s="20">
        <v>331</v>
      </c>
      <c r="J75" s="20">
        <v>1111</v>
      </c>
      <c r="K75" s="20" t="s">
        <v>20</v>
      </c>
      <c r="L75" s="20">
        <v>1</v>
      </c>
      <c r="M75" s="34">
        <v>33000</v>
      </c>
      <c r="N75" s="34">
        <f t="shared" si="6"/>
        <v>33000</v>
      </c>
      <c r="O75" s="33"/>
      <c r="P75" s="20">
        <f t="shared" si="7"/>
        <v>83</v>
      </c>
    </row>
    <row r="76" spans="1:16" ht="15" hidden="1" customHeight="1" x14ac:dyDescent="0.2">
      <c r="A76" s="20" t="s">
        <v>18</v>
      </c>
      <c r="B76" s="61">
        <v>46035</v>
      </c>
      <c r="C76" s="20">
        <f t="shared" si="8"/>
        <v>1226</v>
      </c>
      <c r="D76" s="38">
        <f t="shared" si="9"/>
        <v>1</v>
      </c>
      <c r="G76" s="32" t="s">
        <v>89</v>
      </c>
      <c r="H76" s="20" t="s">
        <v>1222</v>
      </c>
      <c r="I76" s="20">
        <v>64277</v>
      </c>
      <c r="J76" s="20">
        <v>331</v>
      </c>
      <c r="K76" s="20" t="s">
        <v>20</v>
      </c>
      <c r="L76" s="20">
        <v>1</v>
      </c>
      <c r="M76" s="34">
        <v>27778</v>
      </c>
      <c r="N76" s="34">
        <f t="shared" si="6"/>
        <v>27778</v>
      </c>
      <c r="O76" s="33"/>
      <c r="P76" s="20">
        <f t="shared" si="7"/>
        <v>72</v>
      </c>
    </row>
    <row r="77" spans="1:16" ht="15" hidden="1" customHeight="1" x14ac:dyDescent="0.2">
      <c r="A77" s="20" t="s">
        <v>18</v>
      </c>
      <c r="B77" s="61">
        <v>46035</v>
      </c>
      <c r="C77" s="20">
        <f t="shared" si="8"/>
        <v>1226</v>
      </c>
      <c r="D77" s="38">
        <f t="shared" si="9"/>
        <v>0</v>
      </c>
      <c r="G77" s="32" t="s">
        <v>89</v>
      </c>
      <c r="H77" s="20" t="s">
        <v>1222</v>
      </c>
      <c r="I77" s="20">
        <v>1331</v>
      </c>
      <c r="J77" s="20">
        <v>331</v>
      </c>
      <c r="K77" s="20" t="s">
        <v>20</v>
      </c>
      <c r="L77" s="20">
        <v>1</v>
      </c>
      <c r="M77" s="34">
        <v>2222</v>
      </c>
      <c r="N77" s="34">
        <f t="shared" si="6"/>
        <v>2222</v>
      </c>
      <c r="O77" s="33"/>
      <c r="P77" s="20">
        <f t="shared" si="7"/>
        <v>72</v>
      </c>
    </row>
    <row r="78" spans="1:16" ht="15" hidden="1" customHeight="1" x14ac:dyDescent="0.2">
      <c r="A78" s="20" t="s">
        <v>310</v>
      </c>
      <c r="B78" s="61">
        <v>46035</v>
      </c>
      <c r="C78" s="20">
        <f t="shared" si="8"/>
        <v>1227</v>
      </c>
      <c r="D78" s="38">
        <f t="shared" si="9"/>
        <v>1</v>
      </c>
      <c r="G78" s="32" t="s">
        <v>89</v>
      </c>
      <c r="H78" s="20" t="s">
        <v>2726</v>
      </c>
      <c r="I78" s="20">
        <v>331</v>
      </c>
      <c r="J78" s="20">
        <v>1111</v>
      </c>
      <c r="K78" s="20" t="s">
        <v>20</v>
      </c>
      <c r="L78" s="20">
        <v>1</v>
      </c>
      <c r="M78" s="34">
        <v>30000</v>
      </c>
      <c r="N78" s="34">
        <f t="shared" si="6"/>
        <v>30000</v>
      </c>
      <c r="O78" s="33"/>
      <c r="P78" s="20">
        <f t="shared" si="7"/>
        <v>83</v>
      </c>
    </row>
    <row r="79" spans="1:16" ht="15" hidden="1" customHeight="1" x14ac:dyDescent="0.2">
      <c r="A79" s="20" t="s">
        <v>18</v>
      </c>
      <c r="B79" s="61">
        <v>46035</v>
      </c>
      <c r="C79" s="20">
        <f t="shared" si="8"/>
        <v>1228</v>
      </c>
      <c r="D79" s="38">
        <f t="shared" si="9"/>
        <v>1</v>
      </c>
      <c r="G79" s="32" t="s">
        <v>89</v>
      </c>
      <c r="H79" s="20" t="s">
        <v>1223</v>
      </c>
      <c r="I79" s="38">
        <v>64277</v>
      </c>
      <c r="J79" s="20">
        <v>331</v>
      </c>
      <c r="K79" s="20" t="s">
        <v>20</v>
      </c>
      <c r="L79" s="20">
        <v>1</v>
      </c>
      <c r="M79" s="34">
        <v>36111</v>
      </c>
      <c r="N79" s="34">
        <f t="shared" si="6"/>
        <v>36111</v>
      </c>
      <c r="O79" s="33"/>
      <c r="P79" s="20">
        <f t="shared" si="7"/>
        <v>72</v>
      </c>
    </row>
    <row r="80" spans="1:16" ht="15" hidden="1" customHeight="1" x14ac:dyDescent="0.2">
      <c r="A80" s="20" t="s">
        <v>18</v>
      </c>
      <c r="B80" s="61">
        <v>46035</v>
      </c>
      <c r="C80" s="20">
        <f t="shared" si="8"/>
        <v>1228</v>
      </c>
      <c r="D80" s="38">
        <f t="shared" si="9"/>
        <v>0</v>
      </c>
      <c r="G80" s="32" t="s">
        <v>89</v>
      </c>
      <c r="H80" s="20" t="s">
        <v>1223</v>
      </c>
      <c r="I80" s="20">
        <v>1331</v>
      </c>
      <c r="J80" s="20">
        <v>331</v>
      </c>
      <c r="K80" s="20" t="s">
        <v>20</v>
      </c>
      <c r="L80" s="20">
        <v>1</v>
      </c>
      <c r="M80" s="34">
        <v>2889</v>
      </c>
      <c r="N80" s="34">
        <f t="shared" si="6"/>
        <v>2889</v>
      </c>
      <c r="O80" s="33"/>
      <c r="P80" s="20">
        <f t="shared" si="7"/>
        <v>72</v>
      </c>
    </row>
    <row r="81" spans="1:16" ht="15" hidden="1" customHeight="1" x14ac:dyDescent="0.2">
      <c r="A81" s="20" t="s">
        <v>310</v>
      </c>
      <c r="B81" s="61">
        <v>46035</v>
      </c>
      <c r="C81" s="20">
        <f t="shared" si="8"/>
        <v>1229</v>
      </c>
      <c r="D81" s="38">
        <f t="shared" si="9"/>
        <v>1</v>
      </c>
      <c r="G81" s="32" t="s">
        <v>89</v>
      </c>
      <c r="H81" s="20" t="s">
        <v>2727</v>
      </c>
      <c r="I81" s="20">
        <v>331</v>
      </c>
      <c r="J81" s="20">
        <v>1111</v>
      </c>
      <c r="K81" s="20" t="s">
        <v>20</v>
      </c>
      <c r="L81" s="20">
        <v>1</v>
      </c>
      <c r="M81" s="34">
        <v>39000</v>
      </c>
      <c r="N81" s="34">
        <f t="shared" si="6"/>
        <v>39000</v>
      </c>
      <c r="O81" s="33"/>
      <c r="P81" s="20">
        <f t="shared" si="7"/>
        <v>83</v>
      </c>
    </row>
    <row r="82" spans="1:16" ht="15" hidden="1" customHeight="1" x14ac:dyDescent="0.2">
      <c r="A82" s="20" t="s">
        <v>18</v>
      </c>
      <c r="B82" s="61">
        <v>46035</v>
      </c>
      <c r="C82" s="20">
        <f t="shared" si="8"/>
        <v>1230</v>
      </c>
      <c r="D82" s="38">
        <f t="shared" si="9"/>
        <v>1</v>
      </c>
      <c r="G82" s="32" t="s">
        <v>89</v>
      </c>
      <c r="H82" s="20" t="s">
        <v>1224</v>
      </c>
      <c r="I82" s="20">
        <v>64277</v>
      </c>
      <c r="J82" s="20">
        <v>331</v>
      </c>
      <c r="K82" s="20" t="s">
        <v>20</v>
      </c>
      <c r="L82" s="20">
        <v>1</v>
      </c>
      <c r="M82" s="34">
        <v>62037</v>
      </c>
      <c r="N82" s="34">
        <f t="shared" si="6"/>
        <v>62037</v>
      </c>
      <c r="O82" s="33"/>
      <c r="P82" s="20">
        <f t="shared" si="7"/>
        <v>72</v>
      </c>
    </row>
    <row r="83" spans="1:16" ht="15" hidden="1" customHeight="1" x14ac:dyDescent="0.2">
      <c r="A83" s="20" t="s">
        <v>18</v>
      </c>
      <c r="B83" s="61">
        <v>46035</v>
      </c>
      <c r="C83" s="20">
        <f t="shared" si="8"/>
        <v>1230</v>
      </c>
      <c r="D83" s="38">
        <f t="shared" si="9"/>
        <v>0</v>
      </c>
      <c r="G83" s="32" t="s">
        <v>89</v>
      </c>
      <c r="H83" s="20" t="s">
        <v>1224</v>
      </c>
      <c r="I83" s="20">
        <v>1331</v>
      </c>
      <c r="J83" s="20">
        <v>331</v>
      </c>
      <c r="K83" s="20" t="s">
        <v>20</v>
      </c>
      <c r="L83" s="20">
        <v>1</v>
      </c>
      <c r="M83" s="34">
        <v>4963</v>
      </c>
      <c r="N83" s="34">
        <f t="shared" si="6"/>
        <v>4963</v>
      </c>
      <c r="O83" s="33"/>
      <c r="P83" s="20">
        <f t="shared" si="7"/>
        <v>72</v>
      </c>
    </row>
    <row r="84" spans="1:16" ht="15" hidden="1" customHeight="1" x14ac:dyDescent="0.2">
      <c r="A84" s="20" t="s">
        <v>310</v>
      </c>
      <c r="B84" s="61">
        <v>46035</v>
      </c>
      <c r="C84" s="20">
        <f t="shared" si="8"/>
        <v>1231</v>
      </c>
      <c r="D84" s="38">
        <f t="shared" si="9"/>
        <v>1</v>
      </c>
      <c r="G84" s="32" t="s">
        <v>89</v>
      </c>
      <c r="H84" s="20" t="s">
        <v>2728</v>
      </c>
      <c r="I84" s="20">
        <v>331</v>
      </c>
      <c r="J84" s="20">
        <v>1111</v>
      </c>
      <c r="K84" s="20" t="s">
        <v>20</v>
      </c>
      <c r="L84" s="20">
        <v>1</v>
      </c>
      <c r="M84" s="34">
        <v>67000</v>
      </c>
      <c r="N84" s="34">
        <f t="shared" si="6"/>
        <v>67000</v>
      </c>
      <c r="O84" s="33"/>
      <c r="P84" s="20">
        <f t="shared" si="7"/>
        <v>83</v>
      </c>
    </row>
    <row r="85" spans="1:16" ht="15" hidden="1" customHeight="1" x14ac:dyDescent="0.2">
      <c r="A85" s="20" t="s">
        <v>18</v>
      </c>
      <c r="B85" s="61">
        <v>46035</v>
      </c>
      <c r="C85" s="20">
        <f t="shared" si="8"/>
        <v>1232</v>
      </c>
      <c r="D85" s="38">
        <f t="shared" si="9"/>
        <v>1</v>
      </c>
      <c r="G85" s="32" t="s">
        <v>37</v>
      </c>
      <c r="H85" s="20" t="s">
        <v>2687</v>
      </c>
      <c r="I85" s="20">
        <v>64277</v>
      </c>
      <c r="J85" s="20">
        <v>331</v>
      </c>
      <c r="K85" s="20" t="s">
        <v>20</v>
      </c>
      <c r="L85" s="20">
        <v>1</v>
      </c>
      <c r="M85" s="34">
        <v>2734000</v>
      </c>
      <c r="N85" s="34">
        <f t="shared" si="6"/>
        <v>2734000</v>
      </c>
      <c r="O85" s="33"/>
      <c r="P85" s="20">
        <f t="shared" si="7"/>
        <v>42</v>
      </c>
    </row>
    <row r="86" spans="1:16" ht="15" hidden="1" customHeight="1" x14ac:dyDescent="0.2">
      <c r="A86" s="20" t="s">
        <v>18</v>
      </c>
      <c r="B86" s="61">
        <v>46035</v>
      </c>
      <c r="C86" s="20">
        <f t="shared" si="8"/>
        <v>1232</v>
      </c>
      <c r="D86" s="38">
        <f t="shared" si="9"/>
        <v>0</v>
      </c>
      <c r="G86" s="32" t="s">
        <v>37</v>
      </c>
      <c r="H86" s="20" t="s">
        <v>2687</v>
      </c>
      <c r="I86" s="20">
        <v>1331</v>
      </c>
      <c r="J86" s="20">
        <v>331</v>
      </c>
      <c r="K86" s="20" t="s">
        <v>20</v>
      </c>
      <c r="L86" s="20">
        <v>1</v>
      </c>
      <c r="M86" s="34">
        <v>218720</v>
      </c>
      <c r="N86" s="34">
        <f t="shared" si="6"/>
        <v>218720</v>
      </c>
      <c r="O86" s="33"/>
      <c r="P86" s="20">
        <f t="shared" si="7"/>
        <v>42</v>
      </c>
    </row>
    <row r="87" spans="1:16" ht="15" hidden="1" customHeight="1" x14ac:dyDescent="0.2">
      <c r="A87" s="20" t="s">
        <v>310</v>
      </c>
      <c r="B87" s="61">
        <v>46035</v>
      </c>
      <c r="C87" s="20">
        <f t="shared" si="8"/>
        <v>1233</v>
      </c>
      <c r="D87" s="38">
        <f t="shared" si="9"/>
        <v>1</v>
      </c>
      <c r="G87" s="32" t="s">
        <v>37</v>
      </c>
      <c r="H87" s="20" t="s">
        <v>2729</v>
      </c>
      <c r="I87" s="20">
        <v>331</v>
      </c>
      <c r="J87" s="20">
        <v>1111</v>
      </c>
      <c r="K87" s="20" t="s">
        <v>20</v>
      </c>
      <c r="L87" s="20">
        <v>1</v>
      </c>
      <c r="M87" s="34">
        <v>2952720</v>
      </c>
      <c r="N87" s="34">
        <f t="shared" si="6"/>
        <v>2952720</v>
      </c>
      <c r="O87" s="33"/>
      <c r="P87" s="20">
        <f t="shared" si="7"/>
        <v>53</v>
      </c>
    </row>
    <row r="88" spans="1:16" ht="15" hidden="1" customHeight="1" x14ac:dyDescent="0.2">
      <c r="A88" s="20" t="s">
        <v>18</v>
      </c>
      <c r="B88" s="61">
        <v>46035</v>
      </c>
      <c r="C88" s="20">
        <f t="shared" si="8"/>
        <v>1234</v>
      </c>
      <c r="D88" s="38">
        <f t="shared" si="9"/>
        <v>1</v>
      </c>
      <c r="G88" s="32" t="s">
        <v>1225</v>
      </c>
      <c r="H88" s="20" t="s">
        <v>2688</v>
      </c>
      <c r="I88" s="20">
        <v>64277</v>
      </c>
      <c r="J88" s="20">
        <v>331</v>
      </c>
      <c r="K88" s="20" t="s">
        <v>20</v>
      </c>
      <c r="L88" s="20">
        <v>1</v>
      </c>
      <c r="M88" s="34">
        <v>1466850</v>
      </c>
      <c r="N88" s="34">
        <f t="shared" si="6"/>
        <v>1466850</v>
      </c>
      <c r="O88" s="33"/>
      <c r="P88" s="20">
        <f t="shared" si="7"/>
        <v>40</v>
      </c>
    </row>
    <row r="89" spans="1:16" ht="15" hidden="1" customHeight="1" x14ac:dyDescent="0.2">
      <c r="A89" s="20" t="s">
        <v>18</v>
      </c>
      <c r="B89" s="61">
        <v>46035</v>
      </c>
      <c r="C89" s="20">
        <f t="shared" si="8"/>
        <v>1234</v>
      </c>
      <c r="D89" s="38">
        <f t="shared" si="9"/>
        <v>0</v>
      </c>
      <c r="G89" s="32" t="s">
        <v>1225</v>
      </c>
      <c r="H89" s="20" t="s">
        <v>2688</v>
      </c>
      <c r="I89" s="20">
        <v>1331</v>
      </c>
      <c r="J89" s="20">
        <v>331</v>
      </c>
      <c r="K89" s="20" t="s">
        <v>20</v>
      </c>
      <c r="L89" s="20">
        <v>1</v>
      </c>
      <c r="M89" s="34">
        <v>119217</v>
      </c>
      <c r="N89" s="34">
        <f t="shared" si="6"/>
        <v>119217</v>
      </c>
      <c r="O89" s="33"/>
      <c r="P89" s="20">
        <f t="shared" si="7"/>
        <v>40</v>
      </c>
    </row>
    <row r="90" spans="1:16" ht="15" hidden="1" customHeight="1" x14ac:dyDescent="0.2">
      <c r="A90" s="20" t="s">
        <v>310</v>
      </c>
      <c r="B90" s="61">
        <v>46035</v>
      </c>
      <c r="C90" s="20">
        <f t="shared" si="8"/>
        <v>1235</v>
      </c>
      <c r="D90" s="38">
        <f t="shared" si="9"/>
        <v>1</v>
      </c>
      <c r="G90" s="32" t="s">
        <v>1225</v>
      </c>
      <c r="H90" s="20" t="s">
        <v>2730</v>
      </c>
      <c r="I90" s="20">
        <v>331</v>
      </c>
      <c r="J90" s="20">
        <v>1111</v>
      </c>
      <c r="K90" s="20" t="s">
        <v>20</v>
      </c>
      <c r="L90" s="20">
        <v>1</v>
      </c>
      <c r="M90" s="34">
        <v>1586067</v>
      </c>
      <c r="N90" s="34">
        <f t="shared" si="6"/>
        <v>1586067</v>
      </c>
      <c r="O90" s="33"/>
      <c r="P90" s="20">
        <f t="shared" si="7"/>
        <v>51</v>
      </c>
    </row>
    <row r="91" spans="1:16" ht="15" hidden="1" customHeight="1" x14ac:dyDescent="0.2">
      <c r="A91" s="20" t="s">
        <v>18</v>
      </c>
      <c r="B91" s="61">
        <v>46036</v>
      </c>
      <c r="C91" s="20">
        <f t="shared" si="8"/>
        <v>1236</v>
      </c>
      <c r="D91" s="38">
        <f t="shared" si="9"/>
        <v>1</v>
      </c>
      <c r="G91" s="32" t="s">
        <v>89</v>
      </c>
      <c r="H91" s="20" t="s">
        <v>1226</v>
      </c>
      <c r="I91" s="20">
        <v>64277</v>
      </c>
      <c r="J91" s="20">
        <v>331</v>
      </c>
      <c r="K91" s="20" t="s">
        <v>20</v>
      </c>
      <c r="L91" s="20">
        <v>1</v>
      </c>
      <c r="M91" s="34">
        <v>94444</v>
      </c>
      <c r="N91" s="34">
        <f t="shared" si="6"/>
        <v>94444</v>
      </c>
      <c r="O91" s="33"/>
      <c r="P91" s="20">
        <f t="shared" si="7"/>
        <v>72</v>
      </c>
    </row>
    <row r="92" spans="1:16" ht="15" hidden="1" customHeight="1" x14ac:dyDescent="0.2">
      <c r="A92" s="20" t="s">
        <v>18</v>
      </c>
      <c r="B92" s="61">
        <v>46036</v>
      </c>
      <c r="C92" s="20">
        <f t="shared" si="8"/>
        <v>1236</v>
      </c>
      <c r="D92" s="38">
        <f t="shared" si="9"/>
        <v>0</v>
      </c>
      <c r="G92" s="32" t="s">
        <v>89</v>
      </c>
      <c r="H92" s="20" t="s">
        <v>1226</v>
      </c>
      <c r="I92" s="20">
        <v>1331</v>
      </c>
      <c r="J92" s="20">
        <v>331</v>
      </c>
      <c r="K92" s="20" t="s">
        <v>20</v>
      </c>
      <c r="L92" s="20">
        <v>1</v>
      </c>
      <c r="M92" s="34">
        <v>7556</v>
      </c>
      <c r="N92" s="34">
        <f t="shared" si="6"/>
        <v>7556</v>
      </c>
      <c r="O92" s="33"/>
      <c r="P92" s="20">
        <f t="shared" si="7"/>
        <v>72</v>
      </c>
    </row>
    <row r="93" spans="1:16" ht="15" hidden="1" customHeight="1" x14ac:dyDescent="0.2">
      <c r="A93" s="20" t="s">
        <v>310</v>
      </c>
      <c r="B93" s="61">
        <v>46036</v>
      </c>
      <c r="C93" s="20">
        <f t="shared" si="8"/>
        <v>1237</v>
      </c>
      <c r="D93" s="38">
        <f t="shared" si="9"/>
        <v>1</v>
      </c>
      <c r="G93" s="32" t="s">
        <v>89</v>
      </c>
      <c r="H93" s="20" t="s">
        <v>2731</v>
      </c>
      <c r="I93" s="20">
        <v>331</v>
      </c>
      <c r="J93" s="20">
        <v>1111</v>
      </c>
      <c r="K93" s="20" t="s">
        <v>20</v>
      </c>
      <c r="L93" s="20">
        <v>1</v>
      </c>
      <c r="M93" s="34">
        <v>102000</v>
      </c>
      <c r="N93" s="34">
        <f t="shared" si="6"/>
        <v>102000</v>
      </c>
      <c r="O93" s="33"/>
      <c r="P93" s="20">
        <f t="shared" si="7"/>
        <v>83</v>
      </c>
    </row>
    <row r="94" spans="1:16" ht="15" hidden="1" customHeight="1" x14ac:dyDescent="0.2">
      <c r="A94" s="20" t="s">
        <v>18</v>
      </c>
      <c r="B94" s="61">
        <v>46036</v>
      </c>
      <c r="C94" s="20">
        <f t="shared" si="8"/>
        <v>1238</v>
      </c>
      <c r="D94" s="38">
        <f t="shared" si="9"/>
        <v>1</v>
      </c>
      <c r="G94" s="32" t="s">
        <v>89</v>
      </c>
      <c r="H94" s="20" t="s">
        <v>1227</v>
      </c>
      <c r="I94" s="20">
        <v>64277</v>
      </c>
      <c r="J94" s="20">
        <v>331</v>
      </c>
      <c r="K94" s="20" t="s">
        <v>20</v>
      </c>
      <c r="L94" s="20">
        <v>1</v>
      </c>
      <c r="M94" s="34">
        <v>49074</v>
      </c>
      <c r="N94" s="34">
        <f t="shared" si="6"/>
        <v>49074</v>
      </c>
      <c r="O94" s="33"/>
      <c r="P94" s="20">
        <f t="shared" si="7"/>
        <v>72</v>
      </c>
    </row>
    <row r="95" spans="1:16" ht="15" hidden="1" customHeight="1" x14ac:dyDescent="0.2">
      <c r="A95" s="20" t="s">
        <v>18</v>
      </c>
      <c r="B95" s="61">
        <v>46036</v>
      </c>
      <c r="C95" s="20">
        <f t="shared" si="8"/>
        <v>1238</v>
      </c>
      <c r="D95" s="38">
        <f t="shared" si="9"/>
        <v>0</v>
      </c>
      <c r="G95" s="32" t="s">
        <v>89</v>
      </c>
      <c r="H95" s="20" t="s">
        <v>1227</v>
      </c>
      <c r="I95" s="20">
        <v>1331</v>
      </c>
      <c r="J95" s="20">
        <v>331</v>
      </c>
      <c r="K95" s="20" t="s">
        <v>20</v>
      </c>
      <c r="L95" s="20">
        <v>1</v>
      </c>
      <c r="M95" s="34">
        <v>3926</v>
      </c>
      <c r="N95" s="34">
        <f t="shared" si="6"/>
        <v>3926</v>
      </c>
      <c r="O95" s="33"/>
      <c r="P95" s="20">
        <f t="shared" si="7"/>
        <v>72</v>
      </c>
    </row>
    <row r="96" spans="1:16" ht="15" hidden="1" customHeight="1" x14ac:dyDescent="0.2">
      <c r="A96" s="20" t="s">
        <v>310</v>
      </c>
      <c r="B96" s="61">
        <v>46036</v>
      </c>
      <c r="C96" s="20">
        <f t="shared" si="8"/>
        <v>1239</v>
      </c>
      <c r="D96" s="38">
        <f t="shared" si="9"/>
        <v>1</v>
      </c>
      <c r="G96" s="32" t="s">
        <v>89</v>
      </c>
      <c r="H96" s="20" t="s">
        <v>2732</v>
      </c>
      <c r="I96" s="20">
        <v>331</v>
      </c>
      <c r="J96" s="20">
        <v>1111</v>
      </c>
      <c r="K96" s="20" t="s">
        <v>20</v>
      </c>
      <c r="L96" s="20">
        <v>1</v>
      </c>
      <c r="M96" s="34">
        <v>53000</v>
      </c>
      <c r="N96" s="34">
        <f t="shared" si="6"/>
        <v>53000</v>
      </c>
      <c r="O96" s="33"/>
      <c r="P96" s="20">
        <f t="shared" si="7"/>
        <v>83</v>
      </c>
    </row>
    <row r="97" spans="1:16" ht="15" hidden="1" customHeight="1" x14ac:dyDescent="0.2">
      <c r="A97" s="20" t="s">
        <v>18</v>
      </c>
      <c r="B97" s="61">
        <v>46036</v>
      </c>
      <c r="C97" s="20">
        <f t="shared" si="8"/>
        <v>1240</v>
      </c>
      <c r="D97" s="38">
        <f t="shared" si="9"/>
        <v>1</v>
      </c>
      <c r="G97" s="32" t="s">
        <v>89</v>
      </c>
      <c r="H97" s="20" t="s">
        <v>1228</v>
      </c>
      <c r="I97" s="20">
        <v>64277</v>
      </c>
      <c r="J97" s="20">
        <v>331</v>
      </c>
      <c r="K97" s="20" t="s">
        <v>20</v>
      </c>
      <c r="L97" s="20">
        <v>1</v>
      </c>
      <c r="M97" s="34">
        <v>125000</v>
      </c>
      <c r="N97" s="34">
        <f t="shared" si="6"/>
        <v>125000</v>
      </c>
      <c r="O97" s="33"/>
      <c r="P97" s="20">
        <f t="shared" si="7"/>
        <v>72</v>
      </c>
    </row>
    <row r="98" spans="1:16" ht="15" hidden="1" customHeight="1" x14ac:dyDescent="0.2">
      <c r="A98" s="20" t="s">
        <v>18</v>
      </c>
      <c r="B98" s="61">
        <v>46036</v>
      </c>
      <c r="C98" s="20">
        <f t="shared" si="8"/>
        <v>1240</v>
      </c>
      <c r="D98" s="38">
        <f t="shared" si="9"/>
        <v>0</v>
      </c>
      <c r="G98" s="32" t="s">
        <v>89</v>
      </c>
      <c r="H98" s="20" t="s">
        <v>1228</v>
      </c>
      <c r="I98" s="20">
        <v>1331</v>
      </c>
      <c r="J98" s="20">
        <v>331</v>
      </c>
      <c r="K98" s="20" t="s">
        <v>20</v>
      </c>
      <c r="L98" s="20">
        <v>1</v>
      </c>
      <c r="M98" s="34">
        <v>10000</v>
      </c>
      <c r="N98" s="34">
        <f t="shared" si="6"/>
        <v>10000</v>
      </c>
      <c r="O98" s="33"/>
      <c r="P98" s="20">
        <f t="shared" si="7"/>
        <v>72</v>
      </c>
    </row>
    <row r="99" spans="1:16" ht="15" hidden="1" customHeight="1" x14ac:dyDescent="0.2">
      <c r="A99" s="20" t="s">
        <v>310</v>
      </c>
      <c r="B99" s="61">
        <v>46036</v>
      </c>
      <c r="C99" s="20">
        <f t="shared" si="8"/>
        <v>1241</v>
      </c>
      <c r="D99" s="38">
        <f t="shared" si="9"/>
        <v>1</v>
      </c>
      <c r="G99" s="32" t="s">
        <v>89</v>
      </c>
      <c r="H99" s="20" t="s">
        <v>2733</v>
      </c>
      <c r="I99" s="20">
        <v>331</v>
      </c>
      <c r="J99" s="20">
        <v>1111</v>
      </c>
      <c r="K99" s="20" t="s">
        <v>20</v>
      </c>
      <c r="L99" s="20">
        <v>1</v>
      </c>
      <c r="M99" s="34">
        <v>135000</v>
      </c>
      <c r="N99" s="34">
        <f t="shared" si="6"/>
        <v>135000</v>
      </c>
      <c r="O99" s="33"/>
      <c r="P99" s="20">
        <f t="shared" si="7"/>
        <v>83</v>
      </c>
    </row>
    <row r="100" spans="1:16" ht="15" hidden="1" customHeight="1" x14ac:dyDescent="0.2">
      <c r="A100" s="20" t="s">
        <v>18</v>
      </c>
      <c r="B100" s="61">
        <v>46036</v>
      </c>
      <c r="C100" s="20">
        <f t="shared" si="8"/>
        <v>1242</v>
      </c>
      <c r="D100" s="38">
        <f t="shared" si="9"/>
        <v>1</v>
      </c>
      <c r="G100" s="32" t="s">
        <v>89</v>
      </c>
      <c r="H100" s="20" t="s">
        <v>1229</v>
      </c>
      <c r="I100" s="20">
        <v>64277</v>
      </c>
      <c r="J100" s="20">
        <v>331</v>
      </c>
      <c r="K100" s="20" t="s">
        <v>20</v>
      </c>
      <c r="L100" s="20">
        <v>1</v>
      </c>
      <c r="M100" s="34">
        <v>50926</v>
      </c>
      <c r="N100" s="34">
        <f t="shared" si="6"/>
        <v>50926</v>
      </c>
      <c r="O100" s="33"/>
      <c r="P100" s="20">
        <f t="shared" si="7"/>
        <v>72</v>
      </c>
    </row>
    <row r="101" spans="1:16" ht="15" hidden="1" customHeight="1" x14ac:dyDescent="0.2">
      <c r="A101" s="20" t="s">
        <v>18</v>
      </c>
      <c r="B101" s="61">
        <v>46036</v>
      </c>
      <c r="C101" s="20">
        <f t="shared" si="8"/>
        <v>1242</v>
      </c>
      <c r="D101" s="38">
        <f t="shared" si="9"/>
        <v>0</v>
      </c>
      <c r="G101" s="32" t="s">
        <v>89</v>
      </c>
      <c r="H101" s="20" t="s">
        <v>1229</v>
      </c>
      <c r="I101" s="20">
        <v>1331</v>
      </c>
      <c r="J101" s="20">
        <v>331</v>
      </c>
      <c r="K101" s="20" t="s">
        <v>20</v>
      </c>
      <c r="L101" s="20">
        <v>1</v>
      </c>
      <c r="M101" s="34">
        <v>4074</v>
      </c>
      <c r="N101" s="34">
        <f t="shared" si="6"/>
        <v>4074</v>
      </c>
      <c r="O101" s="33"/>
      <c r="P101" s="20">
        <f t="shared" si="7"/>
        <v>72</v>
      </c>
    </row>
    <row r="102" spans="1:16" ht="15" hidden="1" customHeight="1" x14ac:dyDescent="0.2">
      <c r="A102" s="20" t="s">
        <v>310</v>
      </c>
      <c r="B102" s="61">
        <v>46036</v>
      </c>
      <c r="C102" s="20">
        <f t="shared" si="8"/>
        <v>1243</v>
      </c>
      <c r="D102" s="38">
        <f t="shared" si="9"/>
        <v>1</v>
      </c>
      <c r="G102" s="32" t="s">
        <v>89</v>
      </c>
      <c r="H102" s="20" t="s">
        <v>2734</v>
      </c>
      <c r="I102" s="20">
        <v>331</v>
      </c>
      <c r="J102" s="20">
        <v>1111</v>
      </c>
      <c r="K102" s="20" t="s">
        <v>20</v>
      </c>
      <c r="L102" s="20">
        <v>1</v>
      </c>
      <c r="M102" s="34">
        <v>55000</v>
      </c>
      <c r="N102" s="34">
        <f t="shared" si="6"/>
        <v>55000</v>
      </c>
      <c r="O102" s="33"/>
      <c r="P102" s="20">
        <f t="shared" si="7"/>
        <v>83</v>
      </c>
    </row>
    <row r="103" spans="1:16" ht="15" hidden="1" customHeight="1" x14ac:dyDescent="0.2">
      <c r="A103" s="20" t="s">
        <v>18</v>
      </c>
      <c r="B103" s="61">
        <v>46036</v>
      </c>
      <c r="C103" s="20">
        <f t="shared" si="8"/>
        <v>1244</v>
      </c>
      <c r="D103" s="38">
        <f t="shared" si="9"/>
        <v>1</v>
      </c>
      <c r="G103" s="32" t="s">
        <v>89</v>
      </c>
      <c r="H103" s="20" t="s">
        <v>1230</v>
      </c>
      <c r="I103" s="20">
        <v>64277</v>
      </c>
      <c r="J103" s="20">
        <v>331</v>
      </c>
      <c r="K103" s="20" t="s">
        <v>20</v>
      </c>
      <c r="L103" s="20">
        <v>1</v>
      </c>
      <c r="M103" s="34">
        <v>24074</v>
      </c>
      <c r="N103" s="34">
        <f t="shared" si="6"/>
        <v>24074</v>
      </c>
      <c r="O103" s="33"/>
      <c r="P103" s="20">
        <f t="shared" si="7"/>
        <v>72</v>
      </c>
    </row>
    <row r="104" spans="1:16" ht="15" hidden="1" customHeight="1" x14ac:dyDescent="0.2">
      <c r="A104" s="20" t="s">
        <v>18</v>
      </c>
      <c r="B104" s="61">
        <v>46036</v>
      </c>
      <c r="C104" s="20">
        <f t="shared" si="8"/>
        <v>1244</v>
      </c>
      <c r="D104" s="38">
        <f t="shared" si="9"/>
        <v>0</v>
      </c>
      <c r="G104" s="32" t="s">
        <v>89</v>
      </c>
      <c r="H104" s="20" t="s">
        <v>1230</v>
      </c>
      <c r="I104" s="20">
        <v>1331</v>
      </c>
      <c r="J104" s="20">
        <v>331</v>
      </c>
      <c r="K104" s="20" t="s">
        <v>20</v>
      </c>
      <c r="L104" s="20">
        <v>1</v>
      </c>
      <c r="M104" s="34">
        <v>1926</v>
      </c>
      <c r="N104" s="34">
        <f t="shared" si="6"/>
        <v>1926</v>
      </c>
      <c r="O104" s="33"/>
      <c r="P104" s="20">
        <f t="shared" si="7"/>
        <v>72</v>
      </c>
    </row>
    <row r="105" spans="1:16" ht="15" hidden="1" customHeight="1" x14ac:dyDescent="0.2">
      <c r="A105" s="20" t="s">
        <v>310</v>
      </c>
      <c r="B105" s="61">
        <v>46036</v>
      </c>
      <c r="C105" s="20">
        <f t="shared" si="8"/>
        <v>1245</v>
      </c>
      <c r="D105" s="38">
        <f t="shared" si="9"/>
        <v>1</v>
      </c>
      <c r="G105" s="32" t="s">
        <v>89</v>
      </c>
      <c r="H105" s="20" t="s">
        <v>2735</v>
      </c>
      <c r="I105" s="20">
        <v>331</v>
      </c>
      <c r="J105" s="20">
        <v>1111</v>
      </c>
      <c r="K105" s="20" t="s">
        <v>20</v>
      </c>
      <c r="L105" s="20">
        <v>1</v>
      </c>
      <c r="M105" s="34">
        <v>26000</v>
      </c>
      <c r="N105" s="34">
        <f t="shared" si="6"/>
        <v>26000</v>
      </c>
      <c r="O105" s="33"/>
      <c r="P105" s="20">
        <f t="shared" si="7"/>
        <v>83</v>
      </c>
    </row>
    <row r="106" spans="1:16" ht="15" hidden="1" customHeight="1" x14ac:dyDescent="0.2">
      <c r="A106" s="20" t="s">
        <v>18</v>
      </c>
      <c r="B106" s="61">
        <v>46037</v>
      </c>
      <c r="C106" s="20">
        <f t="shared" si="8"/>
        <v>1246</v>
      </c>
      <c r="D106" s="38">
        <f t="shared" si="9"/>
        <v>1</v>
      </c>
      <c r="G106" s="32" t="s">
        <v>89</v>
      </c>
      <c r="H106" s="20" t="s">
        <v>1231</v>
      </c>
      <c r="I106" s="20">
        <v>64277</v>
      </c>
      <c r="J106" s="20">
        <v>331</v>
      </c>
      <c r="K106" s="20" t="s">
        <v>20</v>
      </c>
      <c r="L106" s="20">
        <v>1</v>
      </c>
      <c r="M106" s="34">
        <v>24074</v>
      </c>
      <c r="N106" s="34">
        <f t="shared" si="6"/>
        <v>24074</v>
      </c>
      <c r="O106" s="33"/>
      <c r="P106" s="20">
        <f t="shared" si="7"/>
        <v>72</v>
      </c>
    </row>
    <row r="107" spans="1:16" ht="15" hidden="1" customHeight="1" x14ac:dyDescent="0.2">
      <c r="A107" s="20" t="s">
        <v>18</v>
      </c>
      <c r="B107" s="61">
        <v>46037</v>
      </c>
      <c r="C107" s="20">
        <f t="shared" si="8"/>
        <v>1246</v>
      </c>
      <c r="D107" s="38">
        <f t="shared" si="9"/>
        <v>0</v>
      </c>
      <c r="G107" s="32" t="s">
        <v>89</v>
      </c>
      <c r="H107" s="20" t="s">
        <v>1231</v>
      </c>
      <c r="I107" s="20">
        <v>1331</v>
      </c>
      <c r="J107" s="20">
        <v>331</v>
      </c>
      <c r="K107" s="20" t="s">
        <v>20</v>
      </c>
      <c r="L107" s="20">
        <v>1</v>
      </c>
      <c r="M107" s="34">
        <v>1926</v>
      </c>
      <c r="N107" s="34">
        <f t="shared" si="6"/>
        <v>1926</v>
      </c>
      <c r="O107" s="33"/>
      <c r="P107" s="20">
        <f t="shared" si="7"/>
        <v>72</v>
      </c>
    </row>
    <row r="108" spans="1:16" ht="15" hidden="1" customHeight="1" x14ac:dyDescent="0.2">
      <c r="A108" s="20" t="s">
        <v>310</v>
      </c>
      <c r="B108" s="61">
        <v>46037</v>
      </c>
      <c r="C108" s="20">
        <f t="shared" si="8"/>
        <v>1247</v>
      </c>
      <c r="D108" s="38">
        <f t="shared" si="9"/>
        <v>1</v>
      </c>
      <c r="G108" s="32" t="s">
        <v>89</v>
      </c>
      <c r="H108" s="20" t="s">
        <v>2736</v>
      </c>
      <c r="I108" s="20">
        <v>331</v>
      </c>
      <c r="J108" s="20">
        <v>1111</v>
      </c>
      <c r="K108" s="20" t="s">
        <v>20</v>
      </c>
      <c r="L108" s="20">
        <v>1</v>
      </c>
      <c r="M108" s="34">
        <v>26000</v>
      </c>
      <c r="N108" s="34">
        <f t="shared" si="6"/>
        <v>26000</v>
      </c>
      <c r="O108" s="33"/>
      <c r="P108" s="20">
        <f t="shared" si="7"/>
        <v>83</v>
      </c>
    </row>
    <row r="109" spans="1:16" ht="15" hidden="1" customHeight="1" x14ac:dyDescent="0.2">
      <c r="A109" s="20" t="s">
        <v>18</v>
      </c>
      <c r="B109" s="61">
        <v>46037</v>
      </c>
      <c r="C109" s="20">
        <f t="shared" si="8"/>
        <v>1248</v>
      </c>
      <c r="D109" s="38">
        <f t="shared" si="9"/>
        <v>1</v>
      </c>
      <c r="G109" s="32" t="s">
        <v>89</v>
      </c>
      <c r="H109" s="20" t="s">
        <v>1232</v>
      </c>
      <c r="I109" s="20">
        <v>64277</v>
      </c>
      <c r="J109" s="20">
        <v>331</v>
      </c>
      <c r="K109" s="20" t="s">
        <v>20</v>
      </c>
      <c r="L109" s="20">
        <v>1</v>
      </c>
      <c r="M109" s="34">
        <v>53703</v>
      </c>
      <c r="N109" s="34">
        <f t="shared" si="6"/>
        <v>53703</v>
      </c>
      <c r="O109" s="33"/>
      <c r="P109" s="20">
        <f t="shared" si="7"/>
        <v>72</v>
      </c>
    </row>
    <row r="110" spans="1:16" ht="15" hidden="1" customHeight="1" x14ac:dyDescent="0.2">
      <c r="A110" s="20" t="s">
        <v>18</v>
      </c>
      <c r="B110" s="61">
        <v>46037</v>
      </c>
      <c r="C110" s="20">
        <f t="shared" si="8"/>
        <v>1248</v>
      </c>
      <c r="D110" s="38">
        <f t="shared" si="9"/>
        <v>0</v>
      </c>
      <c r="G110" s="32" t="s">
        <v>89</v>
      </c>
      <c r="H110" s="20" t="s">
        <v>1232</v>
      </c>
      <c r="I110" s="20">
        <v>1331</v>
      </c>
      <c r="J110" s="20">
        <v>331</v>
      </c>
      <c r="K110" s="20" t="s">
        <v>20</v>
      </c>
      <c r="L110" s="20">
        <v>1</v>
      </c>
      <c r="M110" s="34">
        <v>4297</v>
      </c>
      <c r="N110" s="34">
        <f t="shared" si="6"/>
        <v>4297</v>
      </c>
      <c r="O110" s="33"/>
      <c r="P110" s="20">
        <f t="shared" si="7"/>
        <v>72</v>
      </c>
    </row>
    <row r="111" spans="1:16" ht="15" hidden="1" customHeight="1" x14ac:dyDescent="0.2">
      <c r="A111" s="20" t="s">
        <v>310</v>
      </c>
      <c r="B111" s="61">
        <v>46037</v>
      </c>
      <c r="C111" s="20">
        <f t="shared" si="8"/>
        <v>1249</v>
      </c>
      <c r="D111" s="38">
        <f t="shared" si="9"/>
        <v>1</v>
      </c>
      <c r="G111" s="32" t="s">
        <v>89</v>
      </c>
      <c r="H111" s="20" t="s">
        <v>2737</v>
      </c>
      <c r="I111" s="20">
        <v>331</v>
      </c>
      <c r="J111" s="20">
        <v>1111</v>
      </c>
      <c r="K111" s="20" t="s">
        <v>20</v>
      </c>
      <c r="L111" s="20">
        <v>1</v>
      </c>
      <c r="M111" s="34">
        <v>58000</v>
      </c>
      <c r="N111" s="34">
        <f t="shared" si="6"/>
        <v>58000</v>
      </c>
      <c r="O111" s="33"/>
      <c r="P111" s="20">
        <f t="shared" si="7"/>
        <v>83</v>
      </c>
    </row>
    <row r="112" spans="1:16" ht="15" hidden="1" customHeight="1" x14ac:dyDescent="0.2">
      <c r="A112" s="20" t="s">
        <v>18</v>
      </c>
      <c r="B112" s="61">
        <v>46037</v>
      </c>
      <c r="C112" s="20">
        <f t="shared" si="8"/>
        <v>1250</v>
      </c>
      <c r="D112" s="38">
        <f t="shared" si="9"/>
        <v>1</v>
      </c>
      <c r="G112" s="32" t="s">
        <v>89</v>
      </c>
      <c r="H112" s="20" t="s">
        <v>1233</v>
      </c>
      <c r="I112" s="20">
        <v>64277</v>
      </c>
      <c r="J112" s="20">
        <v>331</v>
      </c>
      <c r="K112" s="20" t="s">
        <v>20</v>
      </c>
      <c r="L112" s="20">
        <v>1</v>
      </c>
      <c r="M112" s="34">
        <v>34259</v>
      </c>
      <c r="N112" s="34">
        <f t="shared" si="6"/>
        <v>34259</v>
      </c>
      <c r="O112" s="33"/>
      <c r="P112" s="20">
        <f t="shared" si="7"/>
        <v>72</v>
      </c>
    </row>
    <row r="113" spans="1:16" ht="15" hidden="1" customHeight="1" x14ac:dyDescent="0.2">
      <c r="A113" s="20" t="s">
        <v>18</v>
      </c>
      <c r="B113" s="61">
        <v>46037</v>
      </c>
      <c r="C113" s="20">
        <f t="shared" si="8"/>
        <v>1250</v>
      </c>
      <c r="D113" s="38">
        <f t="shared" si="9"/>
        <v>0</v>
      </c>
      <c r="G113" s="32" t="s">
        <v>89</v>
      </c>
      <c r="H113" s="20" t="s">
        <v>1233</v>
      </c>
      <c r="I113" s="20">
        <v>1331</v>
      </c>
      <c r="J113" s="20">
        <v>331</v>
      </c>
      <c r="K113" s="20" t="s">
        <v>20</v>
      </c>
      <c r="L113" s="20">
        <v>1</v>
      </c>
      <c r="M113" s="34">
        <v>2741</v>
      </c>
      <c r="N113" s="34">
        <f t="shared" si="6"/>
        <v>2741</v>
      </c>
      <c r="O113" s="33"/>
      <c r="P113" s="20">
        <f t="shared" si="7"/>
        <v>72</v>
      </c>
    </row>
    <row r="114" spans="1:16" ht="15" hidden="1" customHeight="1" x14ac:dyDescent="0.2">
      <c r="A114" s="20" t="s">
        <v>310</v>
      </c>
      <c r="B114" s="61">
        <v>46037</v>
      </c>
      <c r="C114" s="20">
        <f t="shared" si="8"/>
        <v>1251</v>
      </c>
      <c r="D114" s="38">
        <f t="shared" si="9"/>
        <v>1</v>
      </c>
      <c r="G114" s="32" t="s">
        <v>89</v>
      </c>
      <c r="H114" s="20" t="s">
        <v>2738</v>
      </c>
      <c r="I114" s="20">
        <v>331</v>
      </c>
      <c r="J114" s="20">
        <v>1111</v>
      </c>
      <c r="K114" s="20" t="s">
        <v>20</v>
      </c>
      <c r="L114" s="20">
        <v>1</v>
      </c>
      <c r="M114" s="34">
        <v>37000</v>
      </c>
      <c r="N114" s="34">
        <f t="shared" si="6"/>
        <v>37000</v>
      </c>
      <c r="O114" s="33"/>
      <c r="P114" s="20">
        <f t="shared" si="7"/>
        <v>83</v>
      </c>
    </row>
    <row r="115" spans="1:16" ht="15" hidden="1" customHeight="1" x14ac:dyDescent="0.2">
      <c r="A115" s="20" t="s">
        <v>18</v>
      </c>
      <c r="B115" s="61">
        <v>46037</v>
      </c>
      <c r="C115" s="20">
        <f t="shared" si="8"/>
        <v>1252</v>
      </c>
      <c r="D115" s="38">
        <f t="shared" si="9"/>
        <v>1</v>
      </c>
      <c r="G115" s="32" t="s">
        <v>89</v>
      </c>
      <c r="H115" s="20" t="s">
        <v>1234</v>
      </c>
      <c r="I115" s="20">
        <v>64277</v>
      </c>
      <c r="J115" s="20">
        <v>331</v>
      </c>
      <c r="K115" s="20" t="s">
        <v>20</v>
      </c>
      <c r="L115" s="20">
        <v>1</v>
      </c>
      <c r="M115" s="34">
        <v>29630</v>
      </c>
      <c r="N115" s="34">
        <f t="shared" si="6"/>
        <v>29630</v>
      </c>
      <c r="O115" s="33"/>
      <c r="P115" s="20">
        <f t="shared" si="7"/>
        <v>72</v>
      </c>
    </row>
    <row r="116" spans="1:16" ht="15" hidden="1" customHeight="1" x14ac:dyDescent="0.2">
      <c r="A116" s="20" t="s">
        <v>18</v>
      </c>
      <c r="B116" s="61">
        <v>46037</v>
      </c>
      <c r="C116" s="20">
        <f t="shared" si="8"/>
        <v>1252</v>
      </c>
      <c r="D116" s="38">
        <f t="shared" si="9"/>
        <v>0</v>
      </c>
      <c r="G116" s="32" t="s">
        <v>89</v>
      </c>
      <c r="H116" s="20" t="s">
        <v>1234</v>
      </c>
      <c r="I116" s="20">
        <v>1331</v>
      </c>
      <c r="J116" s="20">
        <v>331</v>
      </c>
      <c r="K116" s="20" t="s">
        <v>20</v>
      </c>
      <c r="L116" s="20">
        <v>1</v>
      </c>
      <c r="M116" s="34">
        <v>2370</v>
      </c>
      <c r="N116" s="34">
        <f t="shared" si="6"/>
        <v>2370</v>
      </c>
      <c r="O116" s="33"/>
      <c r="P116" s="20">
        <f t="shared" si="7"/>
        <v>72</v>
      </c>
    </row>
    <row r="117" spans="1:16" ht="15" hidden="1" customHeight="1" x14ac:dyDescent="0.2">
      <c r="A117" s="20" t="s">
        <v>310</v>
      </c>
      <c r="B117" s="61">
        <v>46037</v>
      </c>
      <c r="C117" s="20">
        <f t="shared" si="8"/>
        <v>1253</v>
      </c>
      <c r="D117" s="38">
        <f t="shared" si="9"/>
        <v>1</v>
      </c>
      <c r="G117" s="32" t="s">
        <v>89</v>
      </c>
      <c r="H117" s="20" t="s">
        <v>2739</v>
      </c>
      <c r="I117" s="20">
        <v>331</v>
      </c>
      <c r="J117" s="20">
        <v>1111</v>
      </c>
      <c r="K117" s="20" t="s">
        <v>20</v>
      </c>
      <c r="L117" s="20">
        <v>1</v>
      </c>
      <c r="M117" s="34">
        <v>32000</v>
      </c>
      <c r="N117" s="34">
        <f t="shared" si="6"/>
        <v>32000</v>
      </c>
      <c r="O117" s="33"/>
      <c r="P117" s="20">
        <f t="shared" si="7"/>
        <v>83</v>
      </c>
    </row>
    <row r="118" spans="1:16" ht="15" hidden="1" customHeight="1" x14ac:dyDescent="0.2">
      <c r="A118" s="20" t="s">
        <v>18</v>
      </c>
      <c r="B118" s="61">
        <v>46037</v>
      </c>
      <c r="C118" s="20">
        <f t="shared" si="8"/>
        <v>1254</v>
      </c>
      <c r="D118" s="38">
        <f t="shared" si="9"/>
        <v>1</v>
      </c>
      <c r="G118" s="32" t="s">
        <v>89</v>
      </c>
      <c r="H118" s="20" t="s">
        <v>1235</v>
      </c>
      <c r="I118" s="20">
        <v>64277</v>
      </c>
      <c r="J118" s="20">
        <v>331</v>
      </c>
      <c r="K118" s="20" t="s">
        <v>20</v>
      </c>
      <c r="L118" s="20">
        <v>1</v>
      </c>
      <c r="M118" s="34">
        <v>34259</v>
      </c>
      <c r="N118" s="34">
        <f t="shared" si="6"/>
        <v>34259</v>
      </c>
      <c r="O118" s="33"/>
      <c r="P118" s="20">
        <f t="shared" si="7"/>
        <v>72</v>
      </c>
    </row>
    <row r="119" spans="1:16" ht="15" hidden="1" customHeight="1" x14ac:dyDescent="0.2">
      <c r="A119" s="20" t="s">
        <v>18</v>
      </c>
      <c r="B119" s="61">
        <v>46037</v>
      </c>
      <c r="C119" s="20">
        <f t="shared" si="8"/>
        <v>1254</v>
      </c>
      <c r="D119" s="38">
        <f t="shared" si="9"/>
        <v>0</v>
      </c>
      <c r="G119" s="32" t="s">
        <v>89</v>
      </c>
      <c r="H119" s="20" t="s">
        <v>1235</v>
      </c>
      <c r="I119" s="20">
        <v>1331</v>
      </c>
      <c r="J119" s="20">
        <v>331</v>
      </c>
      <c r="K119" s="20" t="s">
        <v>20</v>
      </c>
      <c r="L119" s="20">
        <v>1</v>
      </c>
      <c r="M119" s="34">
        <v>2741</v>
      </c>
      <c r="N119" s="34">
        <f t="shared" si="6"/>
        <v>2741</v>
      </c>
      <c r="O119" s="33"/>
      <c r="P119" s="20">
        <f t="shared" si="7"/>
        <v>72</v>
      </c>
    </row>
    <row r="120" spans="1:16" ht="15" hidden="1" customHeight="1" x14ac:dyDescent="0.2">
      <c r="A120" s="20" t="s">
        <v>310</v>
      </c>
      <c r="B120" s="61">
        <v>46037</v>
      </c>
      <c r="C120" s="20">
        <f t="shared" si="8"/>
        <v>1255</v>
      </c>
      <c r="D120" s="38">
        <f t="shared" si="9"/>
        <v>1</v>
      </c>
      <c r="G120" s="32" t="s">
        <v>89</v>
      </c>
      <c r="H120" s="20" t="s">
        <v>2740</v>
      </c>
      <c r="I120" s="38">
        <v>331</v>
      </c>
      <c r="J120" s="20">
        <v>1111</v>
      </c>
      <c r="K120" s="20" t="s">
        <v>20</v>
      </c>
      <c r="L120" s="20">
        <v>1</v>
      </c>
      <c r="M120" s="34">
        <v>37000</v>
      </c>
      <c r="N120" s="34">
        <f t="shared" si="6"/>
        <v>37000</v>
      </c>
      <c r="O120" s="33"/>
      <c r="P120" s="20">
        <f t="shared" si="7"/>
        <v>83</v>
      </c>
    </row>
    <row r="121" spans="1:16" ht="15" hidden="1" customHeight="1" x14ac:dyDescent="0.2">
      <c r="A121" s="20" t="s">
        <v>18</v>
      </c>
      <c r="B121" s="61">
        <v>46037</v>
      </c>
      <c r="C121" s="20">
        <f t="shared" si="8"/>
        <v>1256</v>
      </c>
      <c r="D121" s="38">
        <f t="shared" si="9"/>
        <v>1</v>
      </c>
      <c r="G121" s="32" t="s">
        <v>89</v>
      </c>
      <c r="H121" s="20" t="s">
        <v>1236</v>
      </c>
      <c r="I121" s="20">
        <v>64277</v>
      </c>
      <c r="J121" s="20">
        <v>331</v>
      </c>
      <c r="K121" s="20" t="s">
        <v>20</v>
      </c>
      <c r="L121" s="20">
        <v>1</v>
      </c>
      <c r="M121" s="34">
        <v>29629</v>
      </c>
      <c r="N121" s="34">
        <f t="shared" si="6"/>
        <v>29629</v>
      </c>
      <c r="O121" s="33"/>
      <c r="P121" s="20">
        <f t="shared" si="7"/>
        <v>72</v>
      </c>
    </row>
    <row r="122" spans="1:16" ht="15" hidden="1" customHeight="1" x14ac:dyDescent="0.2">
      <c r="A122" s="20" t="s">
        <v>18</v>
      </c>
      <c r="B122" s="61">
        <v>46037</v>
      </c>
      <c r="C122" s="20">
        <f t="shared" si="8"/>
        <v>1256</v>
      </c>
      <c r="D122" s="38">
        <f t="shared" si="9"/>
        <v>0</v>
      </c>
      <c r="G122" s="32" t="s">
        <v>89</v>
      </c>
      <c r="H122" s="20" t="s">
        <v>1236</v>
      </c>
      <c r="I122" s="20">
        <v>1331</v>
      </c>
      <c r="J122" s="20">
        <v>331</v>
      </c>
      <c r="K122" s="20" t="s">
        <v>20</v>
      </c>
      <c r="L122" s="20">
        <v>1</v>
      </c>
      <c r="M122" s="34">
        <v>2371</v>
      </c>
      <c r="N122" s="34">
        <f t="shared" si="6"/>
        <v>2371</v>
      </c>
      <c r="O122" s="33"/>
      <c r="P122" s="20">
        <f t="shared" si="7"/>
        <v>72</v>
      </c>
    </row>
    <row r="123" spans="1:16" ht="15" hidden="1" customHeight="1" x14ac:dyDescent="0.2">
      <c r="A123" s="20" t="s">
        <v>310</v>
      </c>
      <c r="B123" s="61">
        <v>46037</v>
      </c>
      <c r="C123" s="20">
        <f t="shared" si="8"/>
        <v>1257</v>
      </c>
      <c r="D123" s="38">
        <f t="shared" si="9"/>
        <v>1</v>
      </c>
      <c r="G123" s="32" t="s">
        <v>89</v>
      </c>
      <c r="H123" s="20" t="s">
        <v>2741</v>
      </c>
      <c r="I123" s="20">
        <v>331</v>
      </c>
      <c r="J123" s="20">
        <v>1111</v>
      </c>
      <c r="K123" s="20" t="s">
        <v>20</v>
      </c>
      <c r="L123" s="20">
        <v>1</v>
      </c>
      <c r="M123" s="34">
        <v>32000</v>
      </c>
      <c r="N123" s="34">
        <f t="shared" si="6"/>
        <v>32000</v>
      </c>
      <c r="O123" s="33"/>
      <c r="P123" s="20">
        <f t="shared" si="7"/>
        <v>83</v>
      </c>
    </row>
    <row r="124" spans="1:16" ht="15" hidden="1" customHeight="1" x14ac:dyDescent="0.2">
      <c r="A124" s="20" t="s">
        <v>18</v>
      </c>
      <c r="B124" s="61">
        <v>46038</v>
      </c>
      <c r="C124" s="20">
        <f t="shared" si="8"/>
        <v>1258</v>
      </c>
      <c r="D124" s="38">
        <f t="shared" si="9"/>
        <v>1</v>
      </c>
      <c r="G124" s="32" t="s">
        <v>89</v>
      </c>
      <c r="H124" s="20" t="s">
        <v>1237</v>
      </c>
      <c r="I124" s="20">
        <v>64277</v>
      </c>
      <c r="J124" s="20">
        <v>331</v>
      </c>
      <c r="K124" s="20" t="s">
        <v>20</v>
      </c>
      <c r="L124" s="20">
        <v>1</v>
      </c>
      <c r="M124" s="34">
        <v>67592</v>
      </c>
      <c r="N124" s="34">
        <f t="shared" si="6"/>
        <v>67592</v>
      </c>
      <c r="O124" s="33"/>
      <c r="P124" s="20">
        <f t="shared" si="7"/>
        <v>72</v>
      </c>
    </row>
    <row r="125" spans="1:16" ht="15" hidden="1" customHeight="1" x14ac:dyDescent="0.2">
      <c r="A125" s="20" t="s">
        <v>18</v>
      </c>
      <c r="B125" s="61">
        <v>46038</v>
      </c>
      <c r="C125" s="20">
        <f t="shared" si="8"/>
        <v>1258</v>
      </c>
      <c r="D125" s="38">
        <f t="shared" si="9"/>
        <v>0</v>
      </c>
      <c r="G125" s="32" t="s">
        <v>89</v>
      </c>
      <c r="H125" s="20" t="s">
        <v>1237</v>
      </c>
      <c r="I125" s="20">
        <v>1331</v>
      </c>
      <c r="J125" s="20">
        <v>331</v>
      </c>
      <c r="K125" s="20" t="s">
        <v>20</v>
      </c>
      <c r="L125" s="20">
        <v>1</v>
      </c>
      <c r="M125" s="34">
        <v>5408</v>
      </c>
      <c r="N125" s="34">
        <f t="shared" si="6"/>
        <v>5408</v>
      </c>
      <c r="O125" s="33"/>
      <c r="P125" s="20">
        <f t="shared" si="7"/>
        <v>72</v>
      </c>
    </row>
    <row r="126" spans="1:16" ht="15" hidden="1" customHeight="1" x14ac:dyDescent="0.2">
      <c r="A126" s="20" t="s">
        <v>310</v>
      </c>
      <c r="B126" s="61">
        <v>46038</v>
      </c>
      <c r="C126" s="20">
        <f t="shared" si="8"/>
        <v>1259</v>
      </c>
      <c r="D126" s="38">
        <f t="shared" si="9"/>
        <v>1</v>
      </c>
      <c r="G126" s="32" t="s">
        <v>89</v>
      </c>
      <c r="H126" s="20" t="s">
        <v>2742</v>
      </c>
      <c r="I126" s="20">
        <v>331</v>
      </c>
      <c r="J126" s="20">
        <v>1111</v>
      </c>
      <c r="K126" s="20" t="s">
        <v>20</v>
      </c>
      <c r="L126" s="20">
        <v>1</v>
      </c>
      <c r="M126" s="34">
        <v>73000</v>
      </c>
      <c r="N126" s="34">
        <f t="shared" si="6"/>
        <v>73000</v>
      </c>
      <c r="O126" s="33"/>
      <c r="P126" s="20">
        <f t="shared" si="7"/>
        <v>83</v>
      </c>
    </row>
    <row r="127" spans="1:16" ht="15" hidden="1" customHeight="1" x14ac:dyDescent="0.2">
      <c r="A127" s="20" t="s">
        <v>18</v>
      </c>
      <c r="B127" s="61">
        <v>46038</v>
      </c>
      <c r="C127" s="20">
        <f t="shared" si="8"/>
        <v>1260</v>
      </c>
      <c r="D127" s="38">
        <f t="shared" si="9"/>
        <v>1</v>
      </c>
      <c r="G127" s="32" t="s">
        <v>89</v>
      </c>
      <c r="H127" s="20" t="s">
        <v>1238</v>
      </c>
      <c r="I127" s="20">
        <v>64277</v>
      </c>
      <c r="J127" s="20">
        <v>331</v>
      </c>
      <c r="K127" s="20" t="s">
        <v>20</v>
      </c>
      <c r="L127" s="20">
        <v>1</v>
      </c>
      <c r="M127" s="34">
        <v>87963</v>
      </c>
      <c r="N127" s="34">
        <f t="shared" si="6"/>
        <v>87963</v>
      </c>
      <c r="O127" s="33"/>
      <c r="P127" s="20">
        <f t="shared" si="7"/>
        <v>72</v>
      </c>
    </row>
    <row r="128" spans="1:16" ht="15" hidden="1" customHeight="1" x14ac:dyDescent="0.2">
      <c r="A128" s="20" t="s">
        <v>18</v>
      </c>
      <c r="B128" s="61">
        <v>46038</v>
      </c>
      <c r="C128" s="20">
        <f t="shared" si="8"/>
        <v>1260</v>
      </c>
      <c r="D128" s="38">
        <f t="shared" si="9"/>
        <v>0</v>
      </c>
      <c r="G128" s="32" t="s">
        <v>89</v>
      </c>
      <c r="H128" s="20" t="s">
        <v>1238</v>
      </c>
      <c r="I128" s="20">
        <v>1331</v>
      </c>
      <c r="J128" s="20">
        <v>331</v>
      </c>
      <c r="K128" s="20" t="s">
        <v>20</v>
      </c>
      <c r="L128" s="20">
        <v>1</v>
      </c>
      <c r="M128" s="34">
        <v>7037</v>
      </c>
      <c r="N128" s="34">
        <f t="shared" si="6"/>
        <v>7037</v>
      </c>
      <c r="O128" s="33"/>
      <c r="P128" s="20">
        <f t="shared" si="7"/>
        <v>72</v>
      </c>
    </row>
    <row r="129" spans="1:16" ht="15" hidden="1" customHeight="1" x14ac:dyDescent="0.2">
      <c r="A129" s="20" t="s">
        <v>310</v>
      </c>
      <c r="B129" s="61">
        <v>46038</v>
      </c>
      <c r="C129" s="20">
        <f t="shared" si="8"/>
        <v>1261</v>
      </c>
      <c r="D129" s="38">
        <f t="shared" si="9"/>
        <v>1</v>
      </c>
      <c r="G129" s="32" t="s">
        <v>89</v>
      </c>
      <c r="H129" s="20" t="s">
        <v>2743</v>
      </c>
      <c r="I129" s="20">
        <v>331</v>
      </c>
      <c r="J129" s="20">
        <v>1111</v>
      </c>
      <c r="K129" s="20" t="s">
        <v>20</v>
      </c>
      <c r="L129" s="20">
        <v>1</v>
      </c>
      <c r="M129" s="34">
        <v>95000</v>
      </c>
      <c r="N129" s="34">
        <f t="shared" si="6"/>
        <v>95000</v>
      </c>
      <c r="O129" s="33"/>
      <c r="P129" s="20">
        <f t="shared" si="7"/>
        <v>83</v>
      </c>
    </row>
    <row r="130" spans="1:16" ht="15" hidden="1" customHeight="1" x14ac:dyDescent="0.2">
      <c r="A130" s="20" t="s">
        <v>18</v>
      </c>
      <c r="B130" s="61">
        <v>46038</v>
      </c>
      <c r="C130" s="20">
        <f t="shared" si="8"/>
        <v>1262</v>
      </c>
      <c r="D130" s="38">
        <f t="shared" si="9"/>
        <v>1</v>
      </c>
      <c r="G130" s="32" t="s">
        <v>89</v>
      </c>
      <c r="H130" s="20" t="s">
        <v>1239</v>
      </c>
      <c r="I130" s="20">
        <v>64277</v>
      </c>
      <c r="J130" s="20">
        <v>331</v>
      </c>
      <c r="K130" s="20" t="s">
        <v>20</v>
      </c>
      <c r="L130" s="20">
        <v>1</v>
      </c>
      <c r="M130" s="34">
        <v>75926</v>
      </c>
      <c r="N130" s="34">
        <f t="shared" si="6"/>
        <v>75926</v>
      </c>
      <c r="O130" s="33"/>
      <c r="P130" s="20">
        <f t="shared" si="7"/>
        <v>72</v>
      </c>
    </row>
    <row r="131" spans="1:16" ht="15" hidden="1" customHeight="1" x14ac:dyDescent="0.2">
      <c r="A131" s="20" t="s">
        <v>18</v>
      </c>
      <c r="B131" s="61">
        <v>46038</v>
      </c>
      <c r="C131" s="20">
        <f t="shared" si="8"/>
        <v>1262</v>
      </c>
      <c r="D131" s="38">
        <f t="shared" si="9"/>
        <v>0</v>
      </c>
      <c r="G131" s="32" t="s">
        <v>89</v>
      </c>
      <c r="H131" s="20" t="s">
        <v>1239</v>
      </c>
      <c r="I131" s="20">
        <v>1331</v>
      </c>
      <c r="J131" s="20">
        <v>331</v>
      </c>
      <c r="K131" s="20" t="s">
        <v>20</v>
      </c>
      <c r="L131" s="20">
        <v>1</v>
      </c>
      <c r="M131" s="34">
        <v>6074</v>
      </c>
      <c r="N131" s="34">
        <f t="shared" si="6"/>
        <v>6074</v>
      </c>
      <c r="O131" s="33"/>
      <c r="P131" s="20">
        <f t="shared" si="7"/>
        <v>72</v>
      </c>
    </row>
    <row r="132" spans="1:16" ht="15" hidden="1" customHeight="1" x14ac:dyDescent="0.2">
      <c r="A132" s="20" t="s">
        <v>310</v>
      </c>
      <c r="B132" s="61">
        <v>46038</v>
      </c>
      <c r="C132" s="20">
        <f t="shared" si="8"/>
        <v>1263</v>
      </c>
      <c r="D132" s="38">
        <f t="shared" si="9"/>
        <v>1</v>
      </c>
      <c r="G132" s="32" t="s">
        <v>89</v>
      </c>
      <c r="H132" s="20" t="s">
        <v>2744</v>
      </c>
      <c r="I132" s="20">
        <v>331</v>
      </c>
      <c r="J132" s="20">
        <v>1111</v>
      </c>
      <c r="K132" s="20" t="s">
        <v>20</v>
      </c>
      <c r="L132" s="20">
        <v>1</v>
      </c>
      <c r="M132" s="34">
        <v>82000</v>
      </c>
      <c r="N132" s="34">
        <f t="shared" ref="N132:N195" si="10">L132*M132</f>
        <v>82000</v>
      </c>
      <c r="O132" s="33"/>
      <c r="P132" s="20">
        <f t="shared" si="7"/>
        <v>83</v>
      </c>
    </row>
    <row r="133" spans="1:16" ht="15" hidden="1" customHeight="1" x14ac:dyDescent="0.2">
      <c r="A133" s="20" t="s">
        <v>18</v>
      </c>
      <c r="B133" s="61">
        <v>46038</v>
      </c>
      <c r="C133" s="20">
        <f t="shared" si="8"/>
        <v>1264</v>
      </c>
      <c r="D133" s="38">
        <f t="shared" si="9"/>
        <v>1</v>
      </c>
      <c r="G133" s="32" t="s">
        <v>89</v>
      </c>
      <c r="H133" s="20" t="s">
        <v>1240</v>
      </c>
      <c r="I133" s="20">
        <v>64277</v>
      </c>
      <c r="J133" s="20">
        <v>331</v>
      </c>
      <c r="K133" s="20" t="s">
        <v>20</v>
      </c>
      <c r="L133" s="20">
        <v>1</v>
      </c>
      <c r="M133" s="34">
        <v>82407</v>
      </c>
      <c r="N133" s="34">
        <f t="shared" si="10"/>
        <v>82407</v>
      </c>
      <c r="O133" s="33"/>
      <c r="P133" s="20">
        <f t="shared" ref="P133:P196" si="11">LEN(H133)</f>
        <v>72</v>
      </c>
    </row>
    <row r="134" spans="1:16" ht="15" hidden="1" customHeight="1" x14ac:dyDescent="0.2">
      <c r="A134" s="20" t="s">
        <v>18</v>
      </c>
      <c r="B134" s="61">
        <v>46038</v>
      </c>
      <c r="C134" s="20">
        <f t="shared" ref="C134:C197" si="12">C133+D134</f>
        <v>1264</v>
      </c>
      <c r="D134" s="38">
        <f t="shared" ref="D134:D197" si="13">IF(H134=H133,0,1)</f>
        <v>0</v>
      </c>
      <c r="G134" s="32" t="s">
        <v>89</v>
      </c>
      <c r="H134" s="20" t="s">
        <v>1240</v>
      </c>
      <c r="I134" s="20">
        <v>1331</v>
      </c>
      <c r="J134" s="20">
        <v>331</v>
      </c>
      <c r="K134" s="20" t="s">
        <v>20</v>
      </c>
      <c r="L134" s="20">
        <v>1</v>
      </c>
      <c r="M134" s="34">
        <v>6593</v>
      </c>
      <c r="N134" s="34">
        <f t="shared" si="10"/>
        <v>6593</v>
      </c>
      <c r="O134" s="33"/>
      <c r="P134" s="20">
        <f t="shared" si="11"/>
        <v>72</v>
      </c>
    </row>
    <row r="135" spans="1:16" ht="15" hidden="1" customHeight="1" x14ac:dyDescent="0.2">
      <c r="A135" s="20" t="s">
        <v>310</v>
      </c>
      <c r="B135" s="61">
        <v>46038</v>
      </c>
      <c r="C135" s="20">
        <f t="shared" si="12"/>
        <v>1265</v>
      </c>
      <c r="D135" s="38">
        <f t="shared" si="13"/>
        <v>1</v>
      </c>
      <c r="G135" s="32" t="s">
        <v>89</v>
      </c>
      <c r="H135" s="20" t="s">
        <v>2745</v>
      </c>
      <c r="I135" s="20">
        <v>331</v>
      </c>
      <c r="J135" s="20">
        <v>1111</v>
      </c>
      <c r="K135" s="20" t="s">
        <v>20</v>
      </c>
      <c r="L135" s="20">
        <v>1</v>
      </c>
      <c r="M135" s="34">
        <v>89000</v>
      </c>
      <c r="N135" s="34">
        <f t="shared" si="10"/>
        <v>89000</v>
      </c>
      <c r="O135" s="33"/>
      <c r="P135" s="20">
        <f t="shared" si="11"/>
        <v>83</v>
      </c>
    </row>
    <row r="136" spans="1:16" ht="15" hidden="1" customHeight="1" x14ac:dyDescent="0.2">
      <c r="A136" s="20" t="s">
        <v>18</v>
      </c>
      <c r="B136" s="61">
        <v>46038</v>
      </c>
      <c r="C136" s="20">
        <f t="shared" si="12"/>
        <v>1266</v>
      </c>
      <c r="D136" s="38">
        <f t="shared" si="13"/>
        <v>1</v>
      </c>
      <c r="G136" s="32" t="s">
        <v>89</v>
      </c>
      <c r="H136" s="20" t="s">
        <v>1241</v>
      </c>
      <c r="I136" s="20">
        <v>64277</v>
      </c>
      <c r="J136" s="20">
        <v>331</v>
      </c>
      <c r="K136" s="20" t="s">
        <v>20</v>
      </c>
      <c r="L136" s="20">
        <v>1</v>
      </c>
      <c r="M136" s="34">
        <v>39814</v>
      </c>
      <c r="N136" s="34">
        <f t="shared" si="10"/>
        <v>39814</v>
      </c>
      <c r="O136" s="33"/>
      <c r="P136" s="20">
        <f t="shared" si="11"/>
        <v>72</v>
      </c>
    </row>
    <row r="137" spans="1:16" ht="15" hidden="1" customHeight="1" x14ac:dyDescent="0.2">
      <c r="A137" s="20" t="s">
        <v>18</v>
      </c>
      <c r="B137" s="61">
        <v>46038</v>
      </c>
      <c r="C137" s="20">
        <f t="shared" si="12"/>
        <v>1266</v>
      </c>
      <c r="D137" s="38">
        <f t="shared" si="13"/>
        <v>0</v>
      </c>
      <c r="G137" s="32" t="s">
        <v>89</v>
      </c>
      <c r="H137" s="20" t="s">
        <v>1241</v>
      </c>
      <c r="I137" s="20">
        <v>1331</v>
      </c>
      <c r="J137" s="20">
        <v>331</v>
      </c>
      <c r="K137" s="20" t="s">
        <v>20</v>
      </c>
      <c r="L137" s="20">
        <v>1</v>
      </c>
      <c r="M137" s="34">
        <v>3186</v>
      </c>
      <c r="N137" s="34">
        <f t="shared" si="10"/>
        <v>3186</v>
      </c>
      <c r="O137" s="33"/>
      <c r="P137" s="20">
        <f t="shared" si="11"/>
        <v>72</v>
      </c>
    </row>
    <row r="138" spans="1:16" ht="15" hidden="1" customHeight="1" x14ac:dyDescent="0.2">
      <c r="A138" s="20" t="s">
        <v>310</v>
      </c>
      <c r="B138" s="61">
        <v>46038</v>
      </c>
      <c r="C138" s="20">
        <f t="shared" si="12"/>
        <v>1267</v>
      </c>
      <c r="D138" s="38">
        <f t="shared" si="13"/>
        <v>1</v>
      </c>
      <c r="G138" s="32" t="s">
        <v>89</v>
      </c>
      <c r="H138" s="20" t="s">
        <v>2746</v>
      </c>
      <c r="I138" s="20">
        <v>331</v>
      </c>
      <c r="J138" s="20">
        <v>1111</v>
      </c>
      <c r="K138" s="20" t="s">
        <v>20</v>
      </c>
      <c r="L138" s="20">
        <v>1</v>
      </c>
      <c r="M138" s="34">
        <v>43000</v>
      </c>
      <c r="N138" s="34">
        <f t="shared" si="10"/>
        <v>43000</v>
      </c>
      <c r="O138" s="33"/>
      <c r="P138" s="20">
        <f t="shared" si="11"/>
        <v>83</v>
      </c>
    </row>
    <row r="139" spans="1:16" ht="15" hidden="1" customHeight="1" x14ac:dyDescent="0.2">
      <c r="A139" s="20" t="s">
        <v>18</v>
      </c>
      <c r="B139" s="61">
        <v>46038</v>
      </c>
      <c r="C139" s="20">
        <f t="shared" si="12"/>
        <v>1268</v>
      </c>
      <c r="D139" s="38">
        <f t="shared" si="13"/>
        <v>1</v>
      </c>
      <c r="G139" s="32" t="s">
        <v>89</v>
      </c>
      <c r="H139" s="20" t="s">
        <v>1242</v>
      </c>
      <c r="I139" s="20">
        <v>64277</v>
      </c>
      <c r="J139" s="20">
        <v>331</v>
      </c>
      <c r="K139" s="20" t="s">
        <v>20</v>
      </c>
      <c r="L139" s="20">
        <v>1</v>
      </c>
      <c r="M139" s="34">
        <v>44445</v>
      </c>
      <c r="N139" s="34">
        <f t="shared" si="10"/>
        <v>44445</v>
      </c>
      <c r="O139" s="33"/>
      <c r="P139" s="20">
        <f t="shared" si="11"/>
        <v>72</v>
      </c>
    </row>
    <row r="140" spans="1:16" ht="15" hidden="1" customHeight="1" x14ac:dyDescent="0.2">
      <c r="A140" s="20" t="s">
        <v>18</v>
      </c>
      <c r="B140" s="61">
        <v>46038</v>
      </c>
      <c r="C140" s="20">
        <f t="shared" si="12"/>
        <v>1268</v>
      </c>
      <c r="D140" s="38">
        <f t="shared" si="13"/>
        <v>0</v>
      </c>
      <c r="G140" s="32" t="s">
        <v>89</v>
      </c>
      <c r="H140" s="20" t="s">
        <v>1242</v>
      </c>
      <c r="I140" s="20">
        <v>1331</v>
      </c>
      <c r="J140" s="20">
        <v>331</v>
      </c>
      <c r="K140" s="20" t="s">
        <v>20</v>
      </c>
      <c r="L140" s="20">
        <v>1</v>
      </c>
      <c r="M140" s="34">
        <v>3555</v>
      </c>
      <c r="N140" s="34">
        <f t="shared" si="10"/>
        <v>3555</v>
      </c>
      <c r="O140" s="33"/>
      <c r="P140" s="20">
        <f t="shared" si="11"/>
        <v>72</v>
      </c>
    </row>
    <row r="141" spans="1:16" ht="15" hidden="1" customHeight="1" x14ac:dyDescent="0.2">
      <c r="A141" s="20" t="s">
        <v>310</v>
      </c>
      <c r="B141" s="61">
        <v>46038</v>
      </c>
      <c r="C141" s="20">
        <f t="shared" si="12"/>
        <v>1269</v>
      </c>
      <c r="D141" s="38">
        <f t="shared" si="13"/>
        <v>1</v>
      </c>
      <c r="G141" s="32" t="s">
        <v>89</v>
      </c>
      <c r="H141" s="20" t="s">
        <v>2747</v>
      </c>
      <c r="I141" s="20">
        <v>331</v>
      </c>
      <c r="J141" s="20">
        <v>1111</v>
      </c>
      <c r="K141" s="20" t="s">
        <v>20</v>
      </c>
      <c r="L141" s="20">
        <v>1</v>
      </c>
      <c r="M141" s="34">
        <v>48000</v>
      </c>
      <c r="N141" s="34">
        <f t="shared" si="10"/>
        <v>48000</v>
      </c>
      <c r="O141" s="33"/>
      <c r="P141" s="20">
        <f t="shared" si="11"/>
        <v>83</v>
      </c>
    </row>
    <row r="142" spans="1:16" ht="15" hidden="1" customHeight="1" x14ac:dyDescent="0.2">
      <c r="A142" s="20" t="s">
        <v>18</v>
      </c>
      <c r="B142" s="61">
        <v>46038</v>
      </c>
      <c r="C142" s="20">
        <f t="shared" si="12"/>
        <v>1270</v>
      </c>
      <c r="D142" s="38">
        <f t="shared" si="13"/>
        <v>1</v>
      </c>
      <c r="G142" s="32" t="s">
        <v>275</v>
      </c>
      <c r="H142" s="20" t="s">
        <v>1243</v>
      </c>
      <c r="I142" s="20">
        <v>64277</v>
      </c>
      <c r="J142" s="20">
        <v>331</v>
      </c>
      <c r="K142" s="20" t="s">
        <v>20</v>
      </c>
      <c r="L142" s="20">
        <v>1</v>
      </c>
      <c r="M142" s="34">
        <v>962037</v>
      </c>
      <c r="N142" s="34">
        <f t="shared" si="10"/>
        <v>962037</v>
      </c>
      <c r="O142" s="33"/>
      <c r="P142" s="20">
        <f t="shared" si="11"/>
        <v>88</v>
      </c>
    </row>
    <row r="143" spans="1:16" ht="15" hidden="1" customHeight="1" x14ac:dyDescent="0.2">
      <c r="A143" s="20" t="s">
        <v>18</v>
      </c>
      <c r="B143" s="61">
        <v>46038</v>
      </c>
      <c r="C143" s="20">
        <f t="shared" si="12"/>
        <v>1270</v>
      </c>
      <c r="D143" s="38">
        <f t="shared" si="13"/>
        <v>0</v>
      </c>
      <c r="G143" s="32" t="s">
        <v>275</v>
      </c>
      <c r="H143" s="20" t="s">
        <v>1243</v>
      </c>
      <c r="I143" s="20">
        <v>1331</v>
      </c>
      <c r="J143" s="20">
        <v>331</v>
      </c>
      <c r="K143" s="20" t="s">
        <v>20</v>
      </c>
      <c r="L143" s="20">
        <v>1</v>
      </c>
      <c r="M143" s="34">
        <v>76963</v>
      </c>
      <c r="N143" s="34">
        <f t="shared" si="10"/>
        <v>76963</v>
      </c>
      <c r="O143" s="33"/>
      <c r="P143" s="20">
        <f t="shared" si="11"/>
        <v>88</v>
      </c>
    </row>
    <row r="144" spans="1:16" ht="15" hidden="1" customHeight="1" x14ac:dyDescent="0.2">
      <c r="A144" s="20" t="s">
        <v>310</v>
      </c>
      <c r="B144" s="61">
        <v>46038</v>
      </c>
      <c r="C144" s="20">
        <f t="shared" si="12"/>
        <v>1271</v>
      </c>
      <c r="D144" s="38">
        <f t="shared" si="13"/>
        <v>1</v>
      </c>
      <c r="G144" s="32" t="s">
        <v>275</v>
      </c>
      <c r="H144" s="20" t="s">
        <v>2748</v>
      </c>
      <c r="I144" s="20">
        <v>331</v>
      </c>
      <c r="J144" s="20">
        <v>1111</v>
      </c>
      <c r="K144" s="20" t="s">
        <v>20</v>
      </c>
      <c r="L144" s="20">
        <v>1</v>
      </c>
      <c r="M144" s="34">
        <v>1039000</v>
      </c>
      <c r="N144" s="34">
        <f t="shared" si="10"/>
        <v>1039000</v>
      </c>
      <c r="O144" s="33"/>
      <c r="P144" s="20">
        <f t="shared" si="11"/>
        <v>99</v>
      </c>
    </row>
    <row r="145" spans="1:16" ht="15" hidden="1" customHeight="1" x14ac:dyDescent="0.2">
      <c r="A145" s="20" t="s">
        <v>18</v>
      </c>
      <c r="B145" s="61">
        <v>46038</v>
      </c>
      <c r="C145" s="20">
        <f t="shared" si="12"/>
        <v>1272</v>
      </c>
      <c r="D145" s="38">
        <f t="shared" si="13"/>
        <v>1</v>
      </c>
      <c r="G145" s="32" t="s">
        <v>275</v>
      </c>
      <c r="H145" s="20" t="s">
        <v>1244</v>
      </c>
      <c r="I145" s="20">
        <v>64277</v>
      </c>
      <c r="J145" s="20">
        <v>331</v>
      </c>
      <c r="K145" s="20" t="s">
        <v>20</v>
      </c>
      <c r="L145" s="20">
        <v>1</v>
      </c>
      <c r="M145" s="34">
        <v>1620370</v>
      </c>
      <c r="N145" s="34">
        <f t="shared" si="10"/>
        <v>1620370</v>
      </c>
      <c r="O145" s="33"/>
      <c r="P145" s="20">
        <f t="shared" si="11"/>
        <v>73</v>
      </c>
    </row>
    <row r="146" spans="1:16" ht="15" hidden="1" customHeight="1" x14ac:dyDescent="0.2">
      <c r="A146" s="20" t="s">
        <v>18</v>
      </c>
      <c r="B146" s="61">
        <v>46038</v>
      </c>
      <c r="C146" s="20">
        <f t="shared" si="12"/>
        <v>1272</v>
      </c>
      <c r="D146" s="38">
        <f t="shared" si="13"/>
        <v>0</v>
      </c>
      <c r="G146" s="32" t="s">
        <v>275</v>
      </c>
      <c r="H146" s="20" t="s">
        <v>1244</v>
      </c>
      <c r="I146" s="20">
        <v>1331</v>
      </c>
      <c r="J146" s="20">
        <v>331</v>
      </c>
      <c r="K146" s="20" t="s">
        <v>20</v>
      </c>
      <c r="L146" s="20">
        <v>1</v>
      </c>
      <c r="M146" s="34">
        <v>129630</v>
      </c>
      <c r="N146" s="34">
        <f t="shared" si="10"/>
        <v>129630</v>
      </c>
      <c r="O146" s="33"/>
      <c r="P146" s="20">
        <f t="shared" si="11"/>
        <v>73</v>
      </c>
    </row>
    <row r="147" spans="1:16" ht="15" hidden="1" customHeight="1" x14ac:dyDescent="0.2">
      <c r="A147" s="20" t="s">
        <v>310</v>
      </c>
      <c r="B147" s="61">
        <v>46038</v>
      </c>
      <c r="C147" s="20">
        <f t="shared" si="12"/>
        <v>1273</v>
      </c>
      <c r="D147" s="38">
        <f t="shared" si="13"/>
        <v>1</v>
      </c>
      <c r="G147" s="32" t="s">
        <v>275</v>
      </c>
      <c r="H147" s="20" t="s">
        <v>2749</v>
      </c>
      <c r="I147" s="20">
        <v>331</v>
      </c>
      <c r="J147" s="20">
        <v>1111</v>
      </c>
      <c r="K147" s="20" t="s">
        <v>20</v>
      </c>
      <c r="L147" s="20">
        <v>1</v>
      </c>
      <c r="M147" s="34">
        <v>1750000</v>
      </c>
      <c r="N147" s="34">
        <f t="shared" si="10"/>
        <v>1750000</v>
      </c>
      <c r="O147" s="33"/>
      <c r="P147" s="20">
        <f t="shared" si="11"/>
        <v>84</v>
      </c>
    </row>
    <row r="148" spans="1:16" ht="15" hidden="1" customHeight="1" x14ac:dyDescent="0.2">
      <c r="A148" s="20" t="s">
        <v>18</v>
      </c>
      <c r="B148" s="61">
        <v>46039</v>
      </c>
      <c r="C148" s="20">
        <f t="shared" si="12"/>
        <v>1274</v>
      </c>
      <c r="D148" s="38">
        <f t="shared" si="13"/>
        <v>1</v>
      </c>
      <c r="G148" s="32" t="s">
        <v>89</v>
      </c>
      <c r="H148" s="37" t="s">
        <v>1245</v>
      </c>
      <c r="I148" s="38">
        <v>64277</v>
      </c>
      <c r="J148" s="20">
        <v>331</v>
      </c>
      <c r="K148" s="20" t="s">
        <v>20</v>
      </c>
      <c r="L148" s="20">
        <v>1</v>
      </c>
      <c r="M148" s="34">
        <v>45370</v>
      </c>
      <c r="N148" s="34">
        <f t="shared" si="10"/>
        <v>45370</v>
      </c>
      <c r="O148" s="33"/>
      <c r="P148" s="20">
        <f t="shared" si="11"/>
        <v>72</v>
      </c>
    </row>
    <row r="149" spans="1:16" ht="15" hidden="1" customHeight="1" x14ac:dyDescent="0.2">
      <c r="A149" s="20" t="s">
        <v>18</v>
      </c>
      <c r="B149" s="61">
        <v>46039</v>
      </c>
      <c r="C149" s="20">
        <f t="shared" si="12"/>
        <v>1274</v>
      </c>
      <c r="D149" s="38">
        <f t="shared" si="13"/>
        <v>0</v>
      </c>
      <c r="G149" s="32" t="s">
        <v>89</v>
      </c>
      <c r="H149" s="37" t="s">
        <v>1245</v>
      </c>
      <c r="I149" s="38">
        <v>1331</v>
      </c>
      <c r="J149" s="20">
        <v>331</v>
      </c>
      <c r="K149" s="20" t="s">
        <v>20</v>
      </c>
      <c r="L149" s="20">
        <v>1</v>
      </c>
      <c r="M149" s="34">
        <v>3630</v>
      </c>
      <c r="N149" s="34">
        <f t="shared" si="10"/>
        <v>3630</v>
      </c>
      <c r="O149" s="33"/>
      <c r="P149" s="20">
        <f t="shared" si="11"/>
        <v>72</v>
      </c>
    </row>
    <row r="150" spans="1:16" ht="15" hidden="1" customHeight="1" x14ac:dyDescent="0.2">
      <c r="A150" s="20" t="s">
        <v>310</v>
      </c>
      <c r="B150" s="61">
        <v>46039</v>
      </c>
      <c r="C150" s="20">
        <f t="shared" si="12"/>
        <v>1275</v>
      </c>
      <c r="D150" s="38">
        <f t="shared" si="13"/>
        <v>1</v>
      </c>
      <c r="G150" s="32" t="s">
        <v>89</v>
      </c>
      <c r="H150" s="20" t="s">
        <v>2750</v>
      </c>
      <c r="I150" s="38">
        <v>331</v>
      </c>
      <c r="J150" s="20">
        <v>1111</v>
      </c>
      <c r="K150" s="20" t="s">
        <v>20</v>
      </c>
      <c r="L150" s="20">
        <v>1</v>
      </c>
      <c r="M150" s="34">
        <v>49000</v>
      </c>
      <c r="N150" s="34">
        <f t="shared" si="10"/>
        <v>49000</v>
      </c>
      <c r="O150" s="33"/>
      <c r="P150" s="20">
        <f t="shared" si="11"/>
        <v>83</v>
      </c>
    </row>
    <row r="151" spans="1:16" ht="15" hidden="1" customHeight="1" x14ac:dyDescent="0.2">
      <c r="A151" s="20" t="s">
        <v>18</v>
      </c>
      <c r="B151" s="61">
        <v>46039</v>
      </c>
      <c r="C151" s="20">
        <f t="shared" si="12"/>
        <v>1276</v>
      </c>
      <c r="D151" s="38">
        <f t="shared" si="13"/>
        <v>1</v>
      </c>
      <c r="G151" s="32" t="s">
        <v>89</v>
      </c>
      <c r="H151" s="20" t="s">
        <v>1246</v>
      </c>
      <c r="I151" s="20">
        <v>64277</v>
      </c>
      <c r="J151" s="20">
        <v>331</v>
      </c>
      <c r="K151" s="20" t="s">
        <v>20</v>
      </c>
      <c r="L151" s="20">
        <v>1</v>
      </c>
      <c r="M151" s="34">
        <v>104629</v>
      </c>
      <c r="N151" s="34">
        <f t="shared" si="10"/>
        <v>104629</v>
      </c>
      <c r="O151" s="33"/>
      <c r="P151" s="20">
        <f t="shared" si="11"/>
        <v>72</v>
      </c>
    </row>
    <row r="152" spans="1:16" ht="15" hidden="1" customHeight="1" x14ac:dyDescent="0.2">
      <c r="A152" s="20" t="s">
        <v>18</v>
      </c>
      <c r="B152" s="61">
        <v>46039</v>
      </c>
      <c r="C152" s="20">
        <f t="shared" si="12"/>
        <v>1276</v>
      </c>
      <c r="D152" s="38">
        <f t="shared" si="13"/>
        <v>0</v>
      </c>
      <c r="G152" s="32" t="s">
        <v>89</v>
      </c>
      <c r="H152" s="20" t="s">
        <v>1246</v>
      </c>
      <c r="I152" s="20">
        <v>1331</v>
      </c>
      <c r="J152" s="20">
        <v>331</v>
      </c>
      <c r="K152" s="20" t="s">
        <v>20</v>
      </c>
      <c r="L152" s="20">
        <v>1</v>
      </c>
      <c r="M152" s="34">
        <v>8371</v>
      </c>
      <c r="N152" s="34">
        <f t="shared" si="10"/>
        <v>8371</v>
      </c>
      <c r="O152" s="33"/>
      <c r="P152" s="20">
        <f t="shared" si="11"/>
        <v>72</v>
      </c>
    </row>
    <row r="153" spans="1:16" ht="15" hidden="1" customHeight="1" x14ac:dyDescent="0.2">
      <c r="A153" s="20" t="s">
        <v>310</v>
      </c>
      <c r="B153" s="61">
        <v>46039</v>
      </c>
      <c r="C153" s="20">
        <f t="shared" si="12"/>
        <v>1277</v>
      </c>
      <c r="D153" s="38">
        <f t="shared" si="13"/>
        <v>1</v>
      </c>
      <c r="G153" s="32" t="s">
        <v>89</v>
      </c>
      <c r="H153" s="20" t="s">
        <v>2751</v>
      </c>
      <c r="I153" s="20">
        <v>331</v>
      </c>
      <c r="J153" s="20">
        <v>1111</v>
      </c>
      <c r="K153" s="20" t="s">
        <v>20</v>
      </c>
      <c r="L153" s="20">
        <v>1</v>
      </c>
      <c r="M153" s="34">
        <v>113000</v>
      </c>
      <c r="N153" s="34">
        <f t="shared" si="10"/>
        <v>113000</v>
      </c>
      <c r="O153" s="33"/>
      <c r="P153" s="20">
        <f t="shared" si="11"/>
        <v>83</v>
      </c>
    </row>
    <row r="154" spans="1:16" ht="15" hidden="1" customHeight="1" x14ac:dyDescent="0.2">
      <c r="A154" s="20" t="s">
        <v>18</v>
      </c>
      <c r="B154" s="61">
        <v>46039</v>
      </c>
      <c r="C154" s="20">
        <f t="shared" si="12"/>
        <v>1278</v>
      </c>
      <c r="D154" s="38">
        <f t="shared" si="13"/>
        <v>1</v>
      </c>
      <c r="G154" s="32" t="s">
        <v>89</v>
      </c>
      <c r="H154" s="20" t="s">
        <v>1247</v>
      </c>
      <c r="I154" s="20">
        <v>64277</v>
      </c>
      <c r="J154" s="20">
        <v>331</v>
      </c>
      <c r="K154" s="20" t="s">
        <v>20</v>
      </c>
      <c r="L154" s="20">
        <v>1</v>
      </c>
      <c r="M154" s="34">
        <v>102778</v>
      </c>
      <c r="N154" s="34">
        <f t="shared" si="10"/>
        <v>102778</v>
      </c>
      <c r="O154" s="33"/>
      <c r="P154" s="20">
        <f t="shared" si="11"/>
        <v>72</v>
      </c>
    </row>
    <row r="155" spans="1:16" ht="15" hidden="1" customHeight="1" x14ac:dyDescent="0.2">
      <c r="A155" s="20" t="s">
        <v>18</v>
      </c>
      <c r="B155" s="61">
        <v>46039</v>
      </c>
      <c r="C155" s="20">
        <f t="shared" si="12"/>
        <v>1278</v>
      </c>
      <c r="D155" s="38">
        <f t="shared" si="13"/>
        <v>0</v>
      </c>
      <c r="G155" s="32" t="s">
        <v>89</v>
      </c>
      <c r="H155" s="20" t="s">
        <v>1247</v>
      </c>
      <c r="I155" s="20">
        <v>1331</v>
      </c>
      <c r="J155" s="20">
        <v>331</v>
      </c>
      <c r="K155" s="20" t="s">
        <v>20</v>
      </c>
      <c r="L155" s="20">
        <v>1</v>
      </c>
      <c r="M155" s="34">
        <v>8222</v>
      </c>
      <c r="N155" s="34">
        <f t="shared" si="10"/>
        <v>8222</v>
      </c>
      <c r="O155" s="33"/>
      <c r="P155" s="20">
        <f t="shared" si="11"/>
        <v>72</v>
      </c>
    </row>
    <row r="156" spans="1:16" ht="15" hidden="1" customHeight="1" x14ac:dyDescent="0.2">
      <c r="A156" s="20" t="s">
        <v>310</v>
      </c>
      <c r="B156" s="61">
        <v>46039</v>
      </c>
      <c r="C156" s="20">
        <f t="shared" si="12"/>
        <v>1279</v>
      </c>
      <c r="D156" s="38">
        <f t="shared" si="13"/>
        <v>1</v>
      </c>
      <c r="G156" s="32" t="s">
        <v>89</v>
      </c>
      <c r="H156" s="20" t="s">
        <v>2752</v>
      </c>
      <c r="I156" s="20">
        <v>331</v>
      </c>
      <c r="J156" s="20">
        <v>1111</v>
      </c>
      <c r="K156" s="20" t="s">
        <v>20</v>
      </c>
      <c r="L156" s="20">
        <v>1</v>
      </c>
      <c r="M156" s="34">
        <v>111000</v>
      </c>
      <c r="N156" s="34">
        <f t="shared" si="10"/>
        <v>111000</v>
      </c>
      <c r="O156" s="33"/>
      <c r="P156" s="20">
        <f t="shared" si="11"/>
        <v>83</v>
      </c>
    </row>
    <row r="157" spans="1:16" ht="15" hidden="1" customHeight="1" x14ac:dyDescent="0.2">
      <c r="A157" s="20" t="s">
        <v>18</v>
      </c>
      <c r="B157" s="61">
        <v>46039</v>
      </c>
      <c r="C157" s="20">
        <f t="shared" si="12"/>
        <v>1280</v>
      </c>
      <c r="D157" s="38">
        <f t="shared" si="13"/>
        <v>1</v>
      </c>
      <c r="G157" s="32" t="s">
        <v>89</v>
      </c>
      <c r="H157" s="20" t="s">
        <v>1248</v>
      </c>
      <c r="I157" s="20">
        <v>64277</v>
      </c>
      <c r="J157" s="20">
        <v>331</v>
      </c>
      <c r="K157" s="20" t="s">
        <v>20</v>
      </c>
      <c r="L157" s="20">
        <v>1</v>
      </c>
      <c r="M157" s="34">
        <v>30555</v>
      </c>
      <c r="N157" s="34">
        <f t="shared" si="10"/>
        <v>30555</v>
      </c>
      <c r="O157" s="33"/>
      <c r="P157" s="20">
        <f t="shared" si="11"/>
        <v>72</v>
      </c>
    </row>
    <row r="158" spans="1:16" ht="15" hidden="1" customHeight="1" x14ac:dyDescent="0.2">
      <c r="A158" s="20" t="s">
        <v>18</v>
      </c>
      <c r="B158" s="61">
        <v>46039</v>
      </c>
      <c r="C158" s="20">
        <f t="shared" si="12"/>
        <v>1280</v>
      </c>
      <c r="D158" s="38">
        <f t="shared" si="13"/>
        <v>0</v>
      </c>
      <c r="G158" s="32" t="s">
        <v>89</v>
      </c>
      <c r="H158" s="20" t="s">
        <v>1248</v>
      </c>
      <c r="I158" s="20">
        <v>1331</v>
      </c>
      <c r="J158" s="20">
        <v>331</v>
      </c>
      <c r="K158" s="20" t="s">
        <v>20</v>
      </c>
      <c r="L158" s="20">
        <v>1</v>
      </c>
      <c r="M158" s="34">
        <v>2445</v>
      </c>
      <c r="N158" s="34">
        <f t="shared" si="10"/>
        <v>2445</v>
      </c>
      <c r="O158" s="33"/>
      <c r="P158" s="20">
        <f t="shared" si="11"/>
        <v>72</v>
      </c>
    </row>
    <row r="159" spans="1:16" ht="15" hidden="1" customHeight="1" x14ac:dyDescent="0.2">
      <c r="A159" s="20" t="s">
        <v>310</v>
      </c>
      <c r="B159" s="61">
        <v>46039</v>
      </c>
      <c r="C159" s="20">
        <f t="shared" si="12"/>
        <v>1281</v>
      </c>
      <c r="D159" s="38">
        <f t="shared" si="13"/>
        <v>1</v>
      </c>
      <c r="G159" s="32" t="s">
        <v>89</v>
      </c>
      <c r="H159" s="20" t="s">
        <v>2753</v>
      </c>
      <c r="I159" s="20">
        <v>331</v>
      </c>
      <c r="J159" s="20">
        <v>1111</v>
      </c>
      <c r="K159" s="20" t="s">
        <v>20</v>
      </c>
      <c r="L159" s="20">
        <v>1</v>
      </c>
      <c r="M159" s="34">
        <v>33000</v>
      </c>
      <c r="N159" s="34">
        <f t="shared" si="10"/>
        <v>33000</v>
      </c>
      <c r="O159" s="33"/>
      <c r="P159" s="20">
        <f t="shared" si="11"/>
        <v>83</v>
      </c>
    </row>
    <row r="160" spans="1:16" ht="15" hidden="1" customHeight="1" x14ac:dyDescent="0.2">
      <c r="A160" s="20" t="s">
        <v>18</v>
      </c>
      <c r="B160" s="61">
        <v>46040</v>
      </c>
      <c r="C160" s="20">
        <f t="shared" si="12"/>
        <v>1282</v>
      </c>
      <c r="D160" s="38">
        <f t="shared" si="13"/>
        <v>1</v>
      </c>
      <c r="G160" s="32" t="s">
        <v>89</v>
      </c>
      <c r="H160" s="20" t="s">
        <v>1249</v>
      </c>
      <c r="I160" s="20">
        <v>64277</v>
      </c>
      <c r="J160" s="20">
        <v>331</v>
      </c>
      <c r="K160" s="20" t="s">
        <v>20</v>
      </c>
      <c r="L160" s="20">
        <v>1</v>
      </c>
      <c r="M160" s="34">
        <v>76852</v>
      </c>
      <c r="N160" s="34">
        <f t="shared" si="10"/>
        <v>76852</v>
      </c>
      <c r="O160" s="33"/>
      <c r="P160" s="20">
        <f t="shared" si="11"/>
        <v>72</v>
      </c>
    </row>
    <row r="161" spans="1:16" ht="15" hidden="1" customHeight="1" x14ac:dyDescent="0.2">
      <c r="A161" s="20" t="s">
        <v>18</v>
      </c>
      <c r="B161" s="61">
        <v>46040</v>
      </c>
      <c r="C161" s="20">
        <f t="shared" si="12"/>
        <v>1282</v>
      </c>
      <c r="D161" s="38">
        <f t="shared" si="13"/>
        <v>0</v>
      </c>
      <c r="G161" s="32" t="s">
        <v>89</v>
      </c>
      <c r="H161" s="20" t="s">
        <v>1249</v>
      </c>
      <c r="I161" s="20">
        <v>1331</v>
      </c>
      <c r="J161" s="20">
        <v>331</v>
      </c>
      <c r="K161" s="20" t="s">
        <v>20</v>
      </c>
      <c r="L161" s="20">
        <v>1</v>
      </c>
      <c r="M161" s="34">
        <v>6148</v>
      </c>
      <c r="N161" s="34">
        <f t="shared" si="10"/>
        <v>6148</v>
      </c>
      <c r="O161" s="33"/>
      <c r="P161" s="20">
        <f t="shared" si="11"/>
        <v>72</v>
      </c>
    </row>
    <row r="162" spans="1:16" ht="15" hidden="1" customHeight="1" x14ac:dyDescent="0.2">
      <c r="A162" s="20" t="s">
        <v>310</v>
      </c>
      <c r="B162" s="61">
        <v>46040</v>
      </c>
      <c r="C162" s="20">
        <f t="shared" si="12"/>
        <v>1283</v>
      </c>
      <c r="D162" s="38">
        <f t="shared" si="13"/>
        <v>1</v>
      </c>
      <c r="G162" s="32" t="s">
        <v>89</v>
      </c>
      <c r="H162" s="20" t="s">
        <v>2754</v>
      </c>
      <c r="I162" s="20">
        <v>331</v>
      </c>
      <c r="J162" s="20">
        <v>1111</v>
      </c>
      <c r="K162" s="20" t="s">
        <v>20</v>
      </c>
      <c r="L162" s="20">
        <v>1</v>
      </c>
      <c r="M162" s="34">
        <v>83000</v>
      </c>
      <c r="N162" s="34">
        <f t="shared" si="10"/>
        <v>83000</v>
      </c>
      <c r="O162" s="33"/>
      <c r="P162" s="20">
        <f t="shared" si="11"/>
        <v>83</v>
      </c>
    </row>
    <row r="163" spans="1:16" ht="15" hidden="1" customHeight="1" x14ac:dyDescent="0.2">
      <c r="A163" s="20" t="s">
        <v>18</v>
      </c>
      <c r="B163" s="61">
        <v>46040</v>
      </c>
      <c r="C163" s="20">
        <f t="shared" si="12"/>
        <v>1284</v>
      </c>
      <c r="D163" s="38">
        <f t="shared" si="13"/>
        <v>1</v>
      </c>
      <c r="G163" s="32" t="s">
        <v>89</v>
      </c>
      <c r="H163" s="20" t="s">
        <v>1250</v>
      </c>
      <c r="I163" s="20">
        <v>64277</v>
      </c>
      <c r="J163" s="20">
        <v>331</v>
      </c>
      <c r="K163" s="20" t="s">
        <v>20</v>
      </c>
      <c r="L163" s="20">
        <v>1</v>
      </c>
      <c r="M163" s="34">
        <v>60185</v>
      </c>
      <c r="N163" s="34">
        <f t="shared" si="10"/>
        <v>60185</v>
      </c>
      <c r="O163" s="33"/>
      <c r="P163" s="20">
        <f t="shared" si="11"/>
        <v>72</v>
      </c>
    </row>
    <row r="164" spans="1:16" ht="15" hidden="1" customHeight="1" x14ac:dyDescent="0.2">
      <c r="A164" s="20" t="s">
        <v>18</v>
      </c>
      <c r="B164" s="61">
        <v>46040</v>
      </c>
      <c r="C164" s="20">
        <f t="shared" si="12"/>
        <v>1284</v>
      </c>
      <c r="D164" s="38">
        <f t="shared" si="13"/>
        <v>0</v>
      </c>
      <c r="G164" s="32" t="s">
        <v>89</v>
      </c>
      <c r="H164" s="20" t="s">
        <v>1250</v>
      </c>
      <c r="I164" s="20">
        <v>1331</v>
      </c>
      <c r="J164" s="20">
        <v>331</v>
      </c>
      <c r="K164" s="20" t="s">
        <v>20</v>
      </c>
      <c r="L164" s="20">
        <v>1</v>
      </c>
      <c r="M164" s="34">
        <v>4815</v>
      </c>
      <c r="N164" s="34">
        <f t="shared" si="10"/>
        <v>4815</v>
      </c>
      <c r="O164" s="33"/>
      <c r="P164" s="20">
        <f t="shared" si="11"/>
        <v>72</v>
      </c>
    </row>
    <row r="165" spans="1:16" ht="15" hidden="1" customHeight="1" x14ac:dyDescent="0.2">
      <c r="A165" s="20" t="s">
        <v>310</v>
      </c>
      <c r="B165" s="61">
        <v>46040</v>
      </c>
      <c r="C165" s="20">
        <f t="shared" si="12"/>
        <v>1285</v>
      </c>
      <c r="D165" s="38">
        <f t="shared" si="13"/>
        <v>1</v>
      </c>
      <c r="G165" s="32" t="s">
        <v>89</v>
      </c>
      <c r="H165" s="20" t="s">
        <v>2755</v>
      </c>
      <c r="I165" s="20">
        <v>331</v>
      </c>
      <c r="J165" s="20">
        <v>1111</v>
      </c>
      <c r="K165" s="20" t="s">
        <v>20</v>
      </c>
      <c r="L165" s="20">
        <v>1</v>
      </c>
      <c r="M165" s="34">
        <v>65000</v>
      </c>
      <c r="N165" s="34">
        <f t="shared" si="10"/>
        <v>65000</v>
      </c>
      <c r="O165" s="33"/>
      <c r="P165" s="20">
        <f t="shared" si="11"/>
        <v>83</v>
      </c>
    </row>
    <row r="166" spans="1:16" ht="15" hidden="1" customHeight="1" x14ac:dyDescent="0.2">
      <c r="A166" s="20" t="s">
        <v>18</v>
      </c>
      <c r="B166" s="61">
        <v>46040</v>
      </c>
      <c r="C166" s="20">
        <f t="shared" si="12"/>
        <v>1286</v>
      </c>
      <c r="D166" s="38">
        <f t="shared" si="13"/>
        <v>1</v>
      </c>
      <c r="G166" s="32" t="s">
        <v>89</v>
      </c>
      <c r="H166" s="20" t="s">
        <v>1251</v>
      </c>
      <c r="I166" s="20">
        <v>64277</v>
      </c>
      <c r="J166" s="20">
        <v>331</v>
      </c>
      <c r="K166" s="20" t="s">
        <v>20</v>
      </c>
      <c r="L166" s="20">
        <v>1</v>
      </c>
      <c r="M166" s="34">
        <v>50926</v>
      </c>
      <c r="N166" s="34">
        <f t="shared" si="10"/>
        <v>50926</v>
      </c>
      <c r="O166" s="33"/>
      <c r="P166" s="20">
        <f t="shared" si="11"/>
        <v>72</v>
      </c>
    </row>
    <row r="167" spans="1:16" ht="15" hidden="1" customHeight="1" x14ac:dyDescent="0.2">
      <c r="A167" s="20" t="s">
        <v>18</v>
      </c>
      <c r="B167" s="61">
        <v>46040</v>
      </c>
      <c r="C167" s="20">
        <f t="shared" si="12"/>
        <v>1286</v>
      </c>
      <c r="D167" s="38">
        <f t="shared" si="13"/>
        <v>0</v>
      </c>
      <c r="G167" s="32" t="s">
        <v>89</v>
      </c>
      <c r="H167" s="20" t="s">
        <v>1251</v>
      </c>
      <c r="I167" s="20">
        <v>1331</v>
      </c>
      <c r="J167" s="20">
        <v>331</v>
      </c>
      <c r="K167" s="20" t="s">
        <v>20</v>
      </c>
      <c r="L167" s="20">
        <v>1</v>
      </c>
      <c r="M167" s="34">
        <v>4074</v>
      </c>
      <c r="N167" s="34">
        <f t="shared" si="10"/>
        <v>4074</v>
      </c>
      <c r="O167" s="33"/>
      <c r="P167" s="20">
        <f t="shared" si="11"/>
        <v>72</v>
      </c>
    </row>
    <row r="168" spans="1:16" ht="15" hidden="1" customHeight="1" x14ac:dyDescent="0.2">
      <c r="A168" s="20" t="s">
        <v>310</v>
      </c>
      <c r="B168" s="61">
        <v>46040</v>
      </c>
      <c r="C168" s="20">
        <f t="shared" si="12"/>
        <v>1287</v>
      </c>
      <c r="D168" s="38">
        <f t="shared" si="13"/>
        <v>1</v>
      </c>
      <c r="G168" s="32" t="s">
        <v>89</v>
      </c>
      <c r="H168" s="20" t="s">
        <v>2756</v>
      </c>
      <c r="I168" s="20">
        <v>331</v>
      </c>
      <c r="J168" s="20">
        <v>1111</v>
      </c>
      <c r="K168" s="20" t="s">
        <v>20</v>
      </c>
      <c r="L168" s="20">
        <v>1</v>
      </c>
      <c r="M168" s="34">
        <v>55000</v>
      </c>
      <c r="N168" s="34">
        <f t="shared" si="10"/>
        <v>55000</v>
      </c>
      <c r="O168" s="33"/>
      <c r="P168" s="20">
        <f t="shared" si="11"/>
        <v>83</v>
      </c>
    </row>
    <row r="169" spans="1:16" ht="15" hidden="1" customHeight="1" x14ac:dyDescent="0.2">
      <c r="A169" s="20" t="s">
        <v>18</v>
      </c>
      <c r="B169" s="61">
        <v>46040</v>
      </c>
      <c r="C169" s="20">
        <f t="shared" si="12"/>
        <v>1288</v>
      </c>
      <c r="D169" s="38">
        <f t="shared" si="13"/>
        <v>1</v>
      </c>
      <c r="G169" s="32" t="s">
        <v>89</v>
      </c>
      <c r="H169" s="20" t="s">
        <v>1252</v>
      </c>
      <c r="I169" s="20">
        <v>64277</v>
      </c>
      <c r="J169" s="20">
        <v>331</v>
      </c>
      <c r="K169" s="20" t="s">
        <v>20</v>
      </c>
      <c r="L169" s="20">
        <v>1</v>
      </c>
      <c r="M169" s="34">
        <v>30555</v>
      </c>
      <c r="N169" s="34">
        <f t="shared" si="10"/>
        <v>30555</v>
      </c>
      <c r="O169" s="33"/>
      <c r="P169" s="20">
        <f t="shared" si="11"/>
        <v>72</v>
      </c>
    </row>
    <row r="170" spans="1:16" ht="15" hidden="1" customHeight="1" x14ac:dyDescent="0.2">
      <c r="A170" s="20" t="s">
        <v>18</v>
      </c>
      <c r="B170" s="61">
        <v>46040</v>
      </c>
      <c r="C170" s="20">
        <f t="shared" si="12"/>
        <v>1288</v>
      </c>
      <c r="D170" s="38">
        <f t="shared" si="13"/>
        <v>0</v>
      </c>
      <c r="G170" s="32" t="s">
        <v>89</v>
      </c>
      <c r="H170" s="20" t="s">
        <v>1252</v>
      </c>
      <c r="I170" s="20">
        <v>1331</v>
      </c>
      <c r="J170" s="20">
        <v>331</v>
      </c>
      <c r="K170" s="20" t="s">
        <v>20</v>
      </c>
      <c r="L170" s="20">
        <v>1</v>
      </c>
      <c r="M170" s="34">
        <v>2445</v>
      </c>
      <c r="N170" s="34">
        <f t="shared" si="10"/>
        <v>2445</v>
      </c>
      <c r="O170" s="33"/>
      <c r="P170" s="20">
        <f t="shared" si="11"/>
        <v>72</v>
      </c>
    </row>
    <row r="171" spans="1:16" ht="15" hidden="1" customHeight="1" x14ac:dyDescent="0.2">
      <c r="A171" s="20" t="s">
        <v>310</v>
      </c>
      <c r="B171" s="61">
        <v>46040</v>
      </c>
      <c r="C171" s="20">
        <f t="shared" si="12"/>
        <v>1289</v>
      </c>
      <c r="D171" s="38">
        <f t="shared" si="13"/>
        <v>1</v>
      </c>
      <c r="G171" s="32" t="s">
        <v>89</v>
      </c>
      <c r="H171" s="20" t="s">
        <v>2757</v>
      </c>
      <c r="I171" s="20">
        <v>331</v>
      </c>
      <c r="J171" s="20">
        <v>1111</v>
      </c>
      <c r="K171" s="20" t="s">
        <v>20</v>
      </c>
      <c r="L171" s="20">
        <v>1</v>
      </c>
      <c r="M171" s="34">
        <v>33000</v>
      </c>
      <c r="N171" s="34">
        <f t="shared" si="10"/>
        <v>33000</v>
      </c>
      <c r="O171" s="33"/>
      <c r="P171" s="20">
        <f t="shared" si="11"/>
        <v>83</v>
      </c>
    </row>
    <row r="172" spans="1:16" ht="15" hidden="1" customHeight="1" x14ac:dyDescent="0.2">
      <c r="A172" s="20" t="s">
        <v>18</v>
      </c>
      <c r="B172" s="61">
        <v>46041</v>
      </c>
      <c r="C172" s="20">
        <f t="shared" si="12"/>
        <v>1290</v>
      </c>
      <c r="D172" s="38">
        <f t="shared" si="13"/>
        <v>1</v>
      </c>
      <c r="G172" s="32" t="s">
        <v>89</v>
      </c>
      <c r="H172" s="20" t="s">
        <v>1253</v>
      </c>
      <c r="I172" s="20">
        <v>64277</v>
      </c>
      <c r="J172" s="20">
        <v>331</v>
      </c>
      <c r="K172" s="20" t="s">
        <v>20</v>
      </c>
      <c r="L172" s="20">
        <v>1</v>
      </c>
      <c r="M172" s="34">
        <v>50926</v>
      </c>
      <c r="N172" s="34">
        <f t="shared" si="10"/>
        <v>50926</v>
      </c>
      <c r="O172" s="33"/>
      <c r="P172" s="20">
        <f t="shared" si="11"/>
        <v>72</v>
      </c>
    </row>
    <row r="173" spans="1:16" ht="15" hidden="1" customHeight="1" x14ac:dyDescent="0.2">
      <c r="A173" s="20" t="s">
        <v>18</v>
      </c>
      <c r="B173" s="61">
        <v>46041</v>
      </c>
      <c r="C173" s="20">
        <f t="shared" si="12"/>
        <v>1290</v>
      </c>
      <c r="D173" s="38">
        <f t="shared" si="13"/>
        <v>0</v>
      </c>
      <c r="G173" s="32" t="s">
        <v>89</v>
      </c>
      <c r="H173" s="20" t="s">
        <v>1253</v>
      </c>
      <c r="I173" s="20">
        <v>1331</v>
      </c>
      <c r="J173" s="20">
        <v>331</v>
      </c>
      <c r="K173" s="20" t="s">
        <v>20</v>
      </c>
      <c r="L173" s="20">
        <v>1</v>
      </c>
      <c r="M173" s="34">
        <v>4074</v>
      </c>
      <c r="N173" s="34">
        <f t="shared" si="10"/>
        <v>4074</v>
      </c>
      <c r="O173" s="33"/>
      <c r="P173" s="20">
        <f t="shared" si="11"/>
        <v>72</v>
      </c>
    </row>
    <row r="174" spans="1:16" ht="15" hidden="1" customHeight="1" x14ac:dyDescent="0.2">
      <c r="A174" s="20" t="s">
        <v>310</v>
      </c>
      <c r="B174" s="61">
        <v>46041</v>
      </c>
      <c r="C174" s="20">
        <f t="shared" si="12"/>
        <v>1291</v>
      </c>
      <c r="D174" s="38">
        <f t="shared" si="13"/>
        <v>1</v>
      </c>
      <c r="G174" s="32" t="s">
        <v>89</v>
      </c>
      <c r="H174" s="20" t="s">
        <v>2758</v>
      </c>
      <c r="I174" s="20">
        <v>331</v>
      </c>
      <c r="J174" s="20">
        <v>1111</v>
      </c>
      <c r="K174" s="20" t="s">
        <v>20</v>
      </c>
      <c r="L174" s="20">
        <v>1</v>
      </c>
      <c r="M174" s="34">
        <v>55000</v>
      </c>
      <c r="N174" s="34">
        <f t="shared" si="10"/>
        <v>55000</v>
      </c>
      <c r="O174" s="33"/>
      <c r="P174" s="20">
        <f t="shared" si="11"/>
        <v>83</v>
      </c>
    </row>
    <row r="175" spans="1:16" ht="15" hidden="1" customHeight="1" x14ac:dyDescent="0.2">
      <c r="A175" s="20" t="s">
        <v>18</v>
      </c>
      <c r="B175" s="61">
        <v>46041</v>
      </c>
      <c r="C175" s="20">
        <f t="shared" si="12"/>
        <v>1292</v>
      </c>
      <c r="D175" s="38">
        <f t="shared" si="13"/>
        <v>1</v>
      </c>
      <c r="G175" s="32" t="s">
        <v>89</v>
      </c>
      <c r="H175" s="20" t="s">
        <v>1254</v>
      </c>
      <c r="I175" s="20">
        <v>64277</v>
      </c>
      <c r="J175" s="20">
        <v>331</v>
      </c>
      <c r="K175" s="20" t="s">
        <v>20</v>
      </c>
      <c r="L175" s="20">
        <v>1</v>
      </c>
      <c r="M175" s="34">
        <v>30555</v>
      </c>
      <c r="N175" s="34">
        <f t="shared" si="10"/>
        <v>30555</v>
      </c>
      <c r="O175" s="33"/>
      <c r="P175" s="20">
        <f t="shared" si="11"/>
        <v>72</v>
      </c>
    </row>
    <row r="176" spans="1:16" ht="15" hidden="1" customHeight="1" x14ac:dyDescent="0.2">
      <c r="A176" s="20" t="s">
        <v>18</v>
      </c>
      <c r="B176" s="61">
        <v>46041</v>
      </c>
      <c r="C176" s="20">
        <f t="shared" si="12"/>
        <v>1292</v>
      </c>
      <c r="D176" s="38">
        <f t="shared" si="13"/>
        <v>0</v>
      </c>
      <c r="G176" s="32" t="s">
        <v>89</v>
      </c>
      <c r="H176" s="37" t="s">
        <v>1254</v>
      </c>
      <c r="I176" s="20">
        <v>1331</v>
      </c>
      <c r="J176" s="20">
        <v>331</v>
      </c>
      <c r="K176" s="20" t="s">
        <v>20</v>
      </c>
      <c r="L176" s="20">
        <v>1</v>
      </c>
      <c r="M176" s="34">
        <v>2445</v>
      </c>
      <c r="N176" s="34">
        <f t="shared" si="10"/>
        <v>2445</v>
      </c>
      <c r="O176" s="33"/>
      <c r="P176" s="20">
        <f t="shared" si="11"/>
        <v>72</v>
      </c>
    </row>
    <row r="177" spans="1:16" ht="15" hidden="1" customHeight="1" x14ac:dyDescent="0.2">
      <c r="A177" s="20" t="s">
        <v>310</v>
      </c>
      <c r="B177" s="61">
        <v>46041</v>
      </c>
      <c r="C177" s="20">
        <f t="shared" si="12"/>
        <v>1293</v>
      </c>
      <c r="D177" s="38">
        <f t="shared" si="13"/>
        <v>1</v>
      </c>
      <c r="G177" s="32" t="s">
        <v>89</v>
      </c>
      <c r="H177" s="20" t="s">
        <v>2759</v>
      </c>
      <c r="I177" s="20">
        <v>331</v>
      </c>
      <c r="J177" s="20">
        <v>1111</v>
      </c>
      <c r="K177" s="20" t="s">
        <v>20</v>
      </c>
      <c r="L177" s="20">
        <v>1</v>
      </c>
      <c r="M177" s="34">
        <v>33000</v>
      </c>
      <c r="N177" s="34">
        <f t="shared" si="10"/>
        <v>33000</v>
      </c>
      <c r="O177" s="33"/>
      <c r="P177" s="20">
        <f t="shared" si="11"/>
        <v>83</v>
      </c>
    </row>
    <row r="178" spans="1:16" ht="15" hidden="1" customHeight="1" x14ac:dyDescent="0.2">
      <c r="A178" s="20" t="s">
        <v>18</v>
      </c>
      <c r="B178" s="61">
        <v>46042</v>
      </c>
      <c r="C178" s="20">
        <f t="shared" si="12"/>
        <v>1294</v>
      </c>
      <c r="D178" s="38">
        <f t="shared" si="13"/>
        <v>1</v>
      </c>
      <c r="G178" s="32" t="s">
        <v>89</v>
      </c>
      <c r="H178" s="20" t="s">
        <v>1255</v>
      </c>
      <c r="I178" s="20">
        <v>64277</v>
      </c>
      <c r="J178" s="20">
        <v>331</v>
      </c>
      <c r="K178" s="20" t="s">
        <v>20</v>
      </c>
      <c r="L178" s="20">
        <v>1</v>
      </c>
      <c r="M178" s="34">
        <v>64814</v>
      </c>
      <c r="N178" s="34">
        <f t="shared" si="10"/>
        <v>64814</v>
      </c>
      <c r="O178" s="33"/>
      <c r="P178" s="20">
        <f t="shared" si="11"/>
        <v>72</v>
      </c>
    </row>
    <row r="179" spans="1:16" ht="15" hidden="1" customHeight="1" x14ac:dyDescent="0.2">
      <c r="A179" s="20" t="s">
        <v>18</v>
      </c>
      <c r="B179" s="61">
        <v>46042</v>
      </c>
      <c r="C179" s="20">
        <f t="shared" si="12"/>
        <v>1294</v>
      </c>
      <c r="D179" s="38">
        <f t="shared" si="13"/>
        <v>0</v>
      </c>
      <c r="G179" s="32" t="s">
        <v>89</v>
      </c>
      <c r="H179" s="37" t="s">
        <v>1255</v>
      </c>
      <c r="I179" s="20">
        <v>1331</v>
      </c>
      <c r="J179" s="20">
        <v>331</v>
      </c>
      <c r="K179" s="20" t="s">
        <v>20</v>
      </c>
      <c r="L179" s="20">
        <v>1</v>
      </c>
      <c r="M179" s="34">
        <v>5186</v>
      </c>
      <c r="N179" s="34">
        <f t="shared" si="10"/>
        <v>5186</v>
      </c>
      <c r="O179" s="33"/>
      <c r="P179" s="20">
        <f t="shared" si="11"/>
        <v>72</v>
      </c>
    </row>
    <row r="180" spans="1:16" ht="15" hidden="1" customHeight="1" x14ac:dyDescent="0.2">
      <c r="A180" s="20" t="s">
        <v>310</v>
      </c>
      <c r="B180" s="61">
        <v>46042</v>
      </c>
      <c r="C180" s="20">
        <f t="shared" si="12"/>
        <v>1295</v>
      </c>
      <c r="D180" s="38">
        <f t="shared" si="13"/>
        <v>1</v>
      </c>
      <c r="G180" s="32" t="s">
        <v>89</v>
      </c>
      <c r="H180" s="20" t="s">
        <v>2760</v>
      </c>
      <c r="I180" s="20">
        <v>331</v>
      </c>
      <c r="J180" s="20">
        <v>1111</v>
      </c>
      <c r="K180" s="20" t="s">
        <v>20</v>
      </c>
      <c r="L180" s="20">
        <v>1</v>
      </c>
      <c r="M180" s="34">
        <v>70000</v>
      </c>
      <c r="N180" s="34">
        <f t="shared" si="10"/>
        <v>70000</v>
      </c>
      <c r="O180" s="33"/>
      <c r="P180" s="20">
        <f t="shared" si="11"/>
        <v>83</v>
      </c>
    </row>
    <row r="181" spans="1:16" ht="15" hidden="1" customHeight="1" x14ac:dyDescent="0.2">
      <c r="A181" s="20" t="s">
        <v>18</v>
      </c>
      <c r="B181" s="61">
        <v>46042</v>
      </c>
      <c r="C181" s="20">
        <f t="shared" si="12"/>
        <v>1296</v>
      </c>
      <c r="D181" s="38">
        <f t="shared" si="13"/>
        <v>1</v>
      </c>
      <c r="G181" s="32" t="s">
        <v>89</v>
      </c>
      <c r="H181" s="20" t="s">
        <v>1256</v>
      </c>
      <c r="I181" s="20">
        <v>64277</v>
      </c>
      <c r="J181" s="20">
        <v>331</v>
      </c>
      <c r="K181" s="20" t="s">
        <v>20</v>
      </c>
      <c r="L181" s="20">
        <v>1</v>
      </c>
      <c r="M181" s="34">
        <v>47222</v>
      </c>
      <c r="N181" s="34">
        <f t="shared" si="10"/>
        <v>47222</v>
      </c>
      <c r="O181" s="33"/>
      <c r="P181" s="20">
        <f t="shared" si="11"/>
        <v>72</v>
      </c>
    </row>
    <row r="182" spans="1:16" ht="15" hidden="1" customHeight="1" x14ac:dyDescent="0.2">
      <c r="A182" s="20" t="s">
        <v>18</v>
      </c>
      <c r="B182" s="61">
        <v>46042</v>
      </c>
      <c r="C182" s="20">
        <f t="shared" si="12"/>
        <v>1296</v>
      </c>
      <c r="D182" s="38">
        <f t="shared" si="13"/>
        <v>0</v>
      </c>
      <c r="G182" s="32" t="s">
        <v>89</v>
      </c>
      <c r="H182" s="20" t="s">
        <v>1256</v>
      </c>
      <c r="I182" s="20">
        <v>1331</v>
      </c>
      <c r="J182" s="20">
        <v>331</v>
      </c>
      <c r="K182" s="20" t="s">
        <v>20</v>
      </c>
      <c r="L182" s="20">
        <v>1</v>
      </c>
      <c r="M182" s="34">
        <v>3778</v>
      </c>
      <c r="N182" s="34">
        <f t="shared" si="10"/>
        <v>3778</v>
      </c>
      <c r="O182" s="33"/>
      <c r="P182" s="20">
        <f t="shared" si="11"/>
        <v>72</v>
      </c>
    </row>
    <row r="183" spans="1:16" ht="15" hidden="1" customHeight="1" x14ac:dyDescent="0.2">
      <c r="A183" s="20" t="s">
        <v>310</v>
      </c>
      <c r="B183" s="61">
        <v>46042</v>
      </c>
      <c r="C183" s="20">
        <f t="shared" si="12"/>
        <v>1297</v>
      </c>
      <c r="D183" s="38">
        <f t="shared" si="13"/>
        <v>1</v>
      </c>
      <c r="G183" s="32" t="s">
        <v>89</v>
      </c>
      <c r="H183" s="20" t="s">
        <v>2761</v>
      </c>
      <c r="I183" s="20">
        <v>331</v>
      </c>
      <c r="J183" s="20">
        <v>1111</v>
      </c>
      <c r="K183" s="20" t="s">
        <v>20</v>
      </c>
      <c r="L183" s="20">
        <v>1</v>
      </c>
      <c r="M183" s="34">
        <v>51000</v>
      </c>
      <c r="N183" s="34">
        <f t="shared" si="10"/>
        <v>51000</v>
      </c>
      <c r="O183" s="33"/>
      <c r="P183" s="20">
        <f t="shared" si="11"/>
        <v>83</v>
      </c>
    </row>
    <row r="184" spans="1:16" ht="15" hidden="1" customHeight="1" x14ac:dyDescent="0.2">
      <c r="A184" s="20" t="s">
        <v>18</v>
      </c>
      <c r="B184" s="61">
        <v>46042</v>
      </c>
      <c r="C184" s="20">
        <f t="shared" si="12"/>
        <v>1298</v>
      </c>
      <c r="D184" s="38">
        <f t="shared" si="13"/>
        <v>1</v>
      </c>
      <c r="G184" s="32" t="s">
        <v>89</v>
      </c>
      <c r="H184" s="20" t="s">
        <v>1257</v>
      </c>
      <c r="I184" s="20">
        <v>64277</v>
      </c>
      <c r="J184" s="20">
        <v>331</v>
      </c>
      <c r="K184" s="20" t="s">
        <v>20</v>
      </c>
      <c r="L184" s="20">
        <v>1</v>
      </c>
      <c r="M184" s="34">
        <v>60186</v>
      </c>
      <c r="N184" s="34">
        <f t="shared" si="10"/>
        <v>60186</v>
      </c>
      <c r="O184" s="33"/>
      <c r="P184" s="20">
        <f t="shared" si="11"/>
        <v>72</v>
      </c>
    </row>
    <row r="185" spans="1:16" ht="15" hidden="1" customHeight="1" x14ac:dyDescent="0.2">
      <c r="A185" s="20" t="s">
        <v>18</v>
      </c>
      <c r="B185" s="61">
        <v>46042</v>
      </c>
      <c r="C185" s="20">
        <f t="shared" si="12"/>
        <v>1298</v>
      </c>
      <c r="D185" s="38">
        <f t="shared" si="13"/>
        <v>0</v>
      </c>
      <c r="G185" s="32" t="s">
        <v>89</v>
      </c>
      <c r="H185" s="20" t="s">
        <v>1257</v>
      </c>
      <c r="I185" s="20">
        <v>1331</v>
      </c>
      <c r="J185" s="20">
        <v>331</v>
      </c>
      <c r="K185" s="20" t="s">
        <v>20</v>
      </c>
      <c r="L185" s="20">
        <v>1</v>
      </c>
      <c r="M185" s="34">
        <v>4814</v>
      </c>
      <c r="N185" s="34">
        <f t="shared" si="10"/>
        <v>4814</v>
      </c>
      <c r="O185" s="33"/>
      <c r="P185" s="20">
        <f t="shared" si="11"/>
        <v>72</v>
      </c>
    </row>
    <row r="186" spans="1:16" ht="15" hidden="1" customHeight="1" x14ac:dyDescent="0.2">
      <c r="A186" s="20" t="s">
        <v>310</v>
      </c>
      <c r="B186" s="61">
        <v>46042</v>
      </c>
      <c r="C186" s="20">
        <f t="shared" si="12"/>
        <v>1299</v>
      </c>
      <c r="D186" s="38">
        <f t="shared" si="13"/>
        <v>1</v>
      </c>
      <c r="G186" s="32" t="s">
        <v>89</v>
      </c>
      <c r="H186" s="20" t="s">
        <v>2762</v>
      </c>
      <c r="I186" s="20">
        <v>331</v>
      </c>
      <c r="J186" s="20">
        <v>1111</v>
      </c>
      <c r="K186" s="20" t="s">
        <v>20</v>
      </c>
      <c r="L186" s="20">
        <v>1</v>
      </c>
      <c r="M186" s="34">
        <v>65000</v>
      </c>
      <c r="N186" s="34">
        <f t="shared" si="10"/>
        <v>65000</v>
      </c>
      <c r="O186" s="33"/>
      <c r="P186" s="20">
        <f t="shared" si="11"/>
        <v>83</v>
      </c>
    </row>
    <row r="187" spans="1:16" ht="15" hidden="1" customHeight="1" x14ac:dyDescent="0.2">
      <c r="A187" s="20" t="s">
        <v>18</v>
      </c>
      <c r="B187" s="61">
        <v>46042</v>
      </c>
      <c r="C187" s="20">
        <f t="shared" si="12"/>
        <v>1300</v>
      </c>
      <c r="D187" s="38">
        <f t="shared" si="13"/>
        <v>1</v>
      </c>
      <c r="G187" s="32" t="s">
        <v>89</v>
      </c>
      <c r="H187" s="20" t="s">
        <v>1258</v>
      </c>
      <c r="I187" s="20">
        <v>64277</v>
      </c>
      <c r="J187" s="20">
        <v>331</v>
      </c>
      <c r="K187" s="20" t="s">
        <v>20</v>
      </c>
      <c r="L187" s="20">
        <v>1</v>
      </c>
      <c r="M187" s="34">
        <v>23148</v>
      </c>
      <c r="N187" s="34">
        <f t="shared" si="10"/>
        <v>23148</v>
      </c>
      <c r="O187" s="33"/>
      <c r="P187" s="20">
        <f t="shared" si="11"/>
        <v>72</v>
      </c>
    </row>
    <row r="188" spans="1:16" ht="15" hidden="1" customHeight="1" x14ac:dyDescent="0.2">
      <c r="A188" s="20" t="s">
        <v>18</v>
      </c>
      <c r="B188" s="61">
        <v>46042</v>
      </c>
      <c r="C188" s="20">
        <f t="shared" si="12"/>
        <v>1300</v>
      </c>
      <c r="D188" s="38">
        <f t="shared" si="13"/>
        <v>0</v>
      </c>
      <c r="G188" s="32" t="s">
        <v>89</v>
      </c>
      <c r="H188" s="20" t="s">
        <v>1258</v>
      </c>
      <c r="I188" s="20">
        <v>1331</v>
      </c>
      <c r="J188" s="20">
        <v>331</v>
      </c>
      <c r="K188" s="20" t="s">
        <v>20</v>
      </c>
      <c r="L188" s="20">
        <v>1</v>
      </c>
      <c r="M188" s="34">
        <v>1852</v>
      </c>
      <c r="N188" s="34">
        <f t="shared" si="10"/>
        <v>1852</v>
      </c>
      <c r="O188" s="33"/>
      <c r="P188" s="20">
        <f t="shared" si="11"/>
        <v>72</v>
      </c>
    </row>
    <row r="189" spans="1:16" ht="15" hidden="1" customHeight="1" x14ac:dyDescent="0.2">
      <c r="A189" s="20" t="s">
        <v>310</v>
      </c>
      <c r="B189" s="61">
        <v>46042</v>
      </c>
      <c r="C189" s="20">
        <f t="shared" si="12"/>
        <v>1301</v>
      </c>
      <c r="D189" s="38">
        <f t="shared" si="13"/>
        <v>1</v>
      </c>
      <c r="G189" s="32" t="s">
        <v>89</v>
      </c>
      <c r="H189" s="20" t="s">
        <v>2763</v>
      </c>
      <c r="I189" s="20">
        <v>331</v>
      </c>
      <c r="J189" s="20">
        <v>1111</v>
      </c>
      <c r="K189" s="20" t="s">
        <v>20</v>
      </c>
      <c r="L189" s="20">
        <v>1</v>
      </c>
      <c r="M189" s="34">
        <v>25000</v>
      </c>
      <c r="N189" s="34">
        <f t="shared" si="10"/>
        <v>25000</v>
      </c>
      <c r="O189" s="33"/>
      <c r="P189" s="20">
        <f t="shared" si="11"/>
        <v>83</v>
      </c>
    </row>
    <row r="190" spans="1:16" ht="15" hidden="1" customHeight="1" x14ac:dyDescent="0.2">
      <c r="A190" s="20" t="s">
        <v>18</v>
      </c>
      <c r="B190" s="61">
        <v>46042</v>
      </c>
      <c r="C190" s="20">
        <f t="shared" si="12"/>
        <v>1302</v>
      </c>
      <c r="D190" s="38">
        <f t="shared" si="13"/>
        <v>1</v>
      </c>
      <c r="G190" s="32" t="s">
        <v>36</v>
      </c>
      <c r="H190" s="20" t="s">
        <v>1259</v>
      </c>
      <c r="I190" s="20">
        <v>64277</v>
      </c>
      <c r="J190" s="20">
        <v>331</v>
      </c>
      <c r="K190" s="20" t="s">
        <v>20</v>
      </c>
      <c r="L190" s="20">
        <v>1</v>
      </c>
      <c r="M190" s="34">
        <v>395000</v>
      </c>
      <c r="N190" s="34">
        <f t="shared" si="10"/>
        <v>395000</v>
      </c>
      <c r="O190" s="33"/>
      <c r="P190" s="20">
        <f t="shared" si="11"/>
        <v>99</v>
      </c>
    </row>
    <row r="191" spans="1:16" ht="15" hidden="1" customHeight="1" x14ac:dyDescent="0.2">
      <c r="A191" s="20" t="s">
        <v>18</v>
      </c>
      <c r="B191" s="61">
        <v>46042</v>
      </c>
      <c r="C191" s="20">
        <f t="shared" si="12"/>
        <v>1302</v>
      </c>
      <c r="D191" s="38">
        <f t="shared" si="13"/>
        <v>0</v>
      </c>
      <c r="G191" s="32" t="s">
        <v>36</v>
      </c>
      <c r="H191" s="20" t="s">
        <v>1259</v>
      </c>
      <c r="I191" s="20">
        <v>1331</v>
      </c>
      <c r="J191" s="20">
        <v>331</v>
      </c>
      <c r="K191" s="20" t="s">
        <v>20</v>
      </c>
      <c r="L191" s="20">
        <v>1</v>
      </c>
      <c r="M191" s="34">
        <v>31600</v>
      </c>
      <c r="N191" s="34">
        <f t="shared" si="10"/>
        <v>31600</v>
      </c>
      <c r="O191" s="33"/>
      <c r="P191" s="20">
        <f t="shared" si="11"/>
        <v>99</v>
      </c>
    </row>
    <row r="192" spans="1:16" ht="15" hidden="1" customHeight="1" x14ac:dyDescent="0.2">
      <c r="A192" s="20" t="s">
        <v>310</v>
      </c>
      <c r="B192" s="61">
        <v>46042</v>
      </c>
      <c r="C192" s="20">
        <f t="shared" si="12"/>
        <v>1303</v>
      </c>
      <c r="D192" s="38">
        <f t="shared" si="13"/>
        <v>1</v>
      </c>
      <c r="G192" s="32" t="s">
        <v>36</v>
      </c>
      <c r="H192" s="20" t="s">
        <v>2764</v>
      </c>
      <c r="I192" s="20">
        <v>331</v>
      </c>
      <c r="J192" s="20">
        <v>1111</v>
      </c>
      <c r="K192" s="20" t="s">
        <v>20</v>
      </c>
      <c r="L192" s="20">
        <v>1</v>
      </c>
      <c r="M192" s="34">
        <v>426600</v>
      </c>
      <c r="N192" s="34">
        <f t="shared" si="10"/>
        <v>426600</v>
      </c>
      <c r="O192" s="33"/>
      <c r="P192" s="20">
        <f t="shared" si="11"/>
        <v>110</v>
      </c>
    </row>
    <row r="193" spans="1:16" ht="15" hidden="1" customHeight="1" x14ac:dyDescent="0.2">
      <c r="A193" s="20" t="s">
        <v>18</v>
      </c>
      <c r="B193" s="61">
        <v>46043</v>
      </c>
      <c r="C193" s="20">
        <f t="shared" si="12"/>
        <v>1304</v>
      </c>
      <c r="D193" s="38">
        <f t="shared" si="13"/>
        <v>1</v>
      </c>
      <c r="G193" s="32" t="s">
        <v>89</v>
      </c>
      <c r="H193" s="20" t="s">
        <v>1260</v>
      </c>
      <c r="I193" s="20">
        <v>64277</v>
      </c>
      <c r="J193" s="20">
        <v>331</v>
      </c>
      <c r="K193" s="20" t="s">
        <v>20</v>
      </c>
      <c r="L193" s="20">
        <v>1</v>
      </c>
      <c r="M193" s="34">
        <v>47222</v>
      </c>
      <c r="N193" s="34">
        <f t="shared" si="10"/>
        <v>47222</v>
      </c>
      <c r="O193" s="33"/>
      <c r="P193" s="20">
        <f t="shared" si="11"/>
        <v>72</v>
      </c>
    </row>
    <row r="194" spans="1:16" ht="15" hidden="1" customHeight="1" x14ac:dyDescent="0.2">
      <c r="A194" s="20" t="s">
        <v>18</v>
      </c>
      <c r="B194" s="61">
        <v>46043</v>
      </c>
      <c r="C194" s="20">
        <f t="shared" si="12"/>
        <v>1304</v>
      </c>
      <c r="D194" s="38">
        <f t="shared" si="13"/>
        <v>0</v>
      </c>
      <c r="G194" s="32" t="s">
        <v>89</v>
      </c>
      <c r="H194" s="20" t="s">
        <v>1260</v>
      </c>
      <c r="I194" s="20">
        <v>1331</v>
      </c>
      <c r="J194" s="20">
        <v>331</v>
      </c>
      <c r="K194" s="20" t="s">
        <v>20</v>
      </c>
      <c r="L194" s="20">
        <v>1</v>
      </c>
      <c r="M194" s="34">
        <v>3778</v>
      </c>
      <c r="N194" s="34">
        <f t="shared" si="10"/>
        <v>3778</v>
      </c>
      <c r="O194" s="33"/>
      <c r="P194" s="20">
        <f t="shared" si="11"/>
        <v>72</v>
      </c>
    </row>
    <row r="195" spans="1:16" ht="15" hidden="1" customHeight="1" x14ac:dyDescent="0.2">
      <c r="A195" s="20" t="s">
        <v>310</v>
      </c>
      <c r="B195" s="61">
        <v>46043</v>
      </c>
      <c r="C195" s="20">
        <f t="shared" si="12"/>
        <v>1305</v>
      </c>
      <c r="D195" s="38">
        <f t="shared" si="13"/>
        <v>1</v>
      </c>
      <c r="G195" s="32" t="s">
        <v>89</v>
      </c>
      <c r="H195" s="20" t="s">
        <v>2765</v>
      </c>
      <c r="I195" s="20">
        <v>331</v>
      </c>
      <c r="J195" s="20">
        <v>1111</v>
      </c>
      <c r="K195" s="20" t="s">
        <v>20</v>
      </c>
      <c r="L195" s="20">
        <v>1</v>
      </c>
      <c r="M195" s="34">
        <v>51000</v>
      </c>
      <c r="N195" s="34">
        <f t="shared" si="10"/>
        <v>51000</v>
      </c>
      <c r="O195" s="33"/>
      <c r="P195" s="20">
        <f t="shared" si="11"/>
        <v>83</v>
      </c>
    </row>
    <row r="196" spans="1:16" ht="15" hidden="1" customHeight="1" x14ac:dyDescent="0.2">
      <c r="A196" s="20" t="s">
        <v>18</v>
      </c>
      <c r="B196" s="61">
        <v>46043</v>
      </c>
      <c r="C196" s="20">
        <f t="shared" si="12"/>
        <v>1306</v>
      </c>
      <c r="D196" s="38">
        <f t="shared" si="13"/>
        <v>1</v>
      </c>
      <c r="G196" s="32" t="s">
        <v>89</v>
      </c>
      <c r="H196" s="20" t="s">
        <v>1261</v>
      </c>
      <c r="I196" s="20">
        <v>64277</v>
      </c>
      <c r="J196" s="20">
        <v>331</v>
      </c>
      <c r="K196" s="20" t="s">
        <v>20</v>
      </c>
      <c r="L196" s="20">
        <v>1</v>
      </c>
      <c r="M196" s="34">
        <v>60186</v>
      </c>
      <c r="N196" s="34">
        <f t="shared" ref="N196:N259" si="14">L196*M196</f>
        <v>60186</v>
      </c>
      <c r="O196" s="33"/>
      <c r="P196" s="20">
        <f t="shared" si="11"/>
        <v>72</v>
      </c>
    </row>
    <row r="197" spans="1:16" ht="15" hidden="1" customHeight="1" x14ac:dyDescent="0.2">
      <c r="A197" s="20" t="s">
        <v>18</v>
      </c>
      <c r="B197" s="61">
        <v>46043</v>
      </c>
      <c r="C197" s="20">
        <f t="shared" si="12"/>
        <v>1306</v>
      </c>
      <c r="D197" s="38">
        <f t="shared" si="13"/>
        <v>0</v>
      </c>
      <c r="G197" s="32" t="s">
        <v>89</v>
      </c>
      <c r="H197" s="20" t="s">
        <v>1261</v>
      </c>
      <c r="I197" s="20">
        <v>1331</v>
      </c>
      <c r="J197" s="20">
        <v>331</v>
      </c>
      <c r="K197" s="20" t="s">
        <v>20</v>
      </c>
      <c r="L197" s="20">
        <v>1</v>
      </c>
      <c r="M197" s="34">
        <v>4814</v>
      </c>
      <c r="N197" s="34">
        <f t="shared" si="14"/>
        <v>4814</v>
      </c>
      <c r="O197" s="33"/>
      <c r="P197" s="20">
        <f t="shared" ref="P197:P260" si="15">LEN(H197)</f>
        <v>72</v>
      </c>
    </row>
    <row r="198" spans="1:16" ht="15" hidden="1" customHeight="1" x14ac:dyDescent="0.2">
      <c r="A198" s="20" t="s">
        <v>310</v>
      </c>
      <c r="B198" s="61">
        <v>46043</v>
      </c>
      <c r="C198" s="20">
        <f t="shared" ref="C198:C261" si="16">C197+D198</f>
        <v>1307</v>
      </c>
      <c r="D198" s="38">
        <f t="shared" ref="D198:D261" si="17">IF(H198=H197,0,1)</f>
        <v>1</v>
      </c>
      <c r="G198" s="32" t="s">
        <v>89</v>
      </c>
      <c r="H198" s="20" t="s">
        <v>2766</v>
      </c>
      <c r="I198" s="20">
        <v>331</v>
      </c>
      <c r="J198" s="20">
        <v>1111</v>
      </c>
      <c r="K198" s="20" t="s">
        <v>20</v>
      </c>
      <c r="L198" s="20">
        <v>1</v>
      </c>
      <c r="M198" s="34">
        <v>65000</v>
      </c>
      <c r="N198" s="34">
        <f t="shared" si="14"/>
        <v>65000</v>
      </c>
      <c r="O198" s="33"/>
      <c r="P198" s="20">
        <f t="shared" si="15"/>
        <v>83</v>
      </c>
    </row>
    <row r="199" spans="1:16" ht="15" hidden="1" customHeight="1" x14ac:dyDescent="0.2">
      <c r="A199" s="20" t="s">
        <v>18</v>
      </c>
      <c r="B199" s="61">
        <v>46044</v>
      </c>
      <c r="C199" s="20">
        <f t="shared" si="16"/>
        <v>1308</v>
      </c>
      <c r="D199" s="38">
        <f t="shared" si="17"/>
        <v>1</v>
      </c>
      <c r="G199" s="32" t="s">
        <v>89</v>
      </c>
      <c r="H199" s="20" t="s">
        <v>1262</v>
      </c>
      <c r="I199" s="20">
        <v>64277</v>
      </c>
      <c r="J199" s="20">
        <v>331</v>
      </c>
      <c r="K199" s="20" t="s">
        <v>20</v>
      </c>
      <c r="L199" s="20">
        <v>1</v>
      </c>
      <c r="M199" s="34">
        <v>44444</v>
      </c>
      <c r="N199" s="34">
        <f t="shared" si="14"/>
        <v>44444</v>
      </c>
      <c r="O199" s="33"/>
      <c r="P199" s="20">
        <f t="shared" si="15"/>
        <v>72</v>
      </c>
    </row>
    <row r="200" spans="1:16" ht="15" hidden="1" customHeight="1" x14ac:dyDescent="0.2">
      <c r="A200" s="20" t="s">
        <v>18</v>
      </c>
      <c r="B200" s="61">
        <v>46044</v>
      </c>
      <c r="C200" s="20">
        <f t="shared" si="16"/>
        <v>1308</v>
      </c>
      <c r="D200" s="38">
        <f t="shared" si="17"/>
        <v>0</v>
      </c>
      <c r="G200" s="32" t="s">
        <v>89</v>
      </c>
      <c r="H200" s="20" t="s">
        <v>1262</v>
      </c>
      <c r="I200" s="20">
        <v>1331</v>
      </c>
      <c r="J200" s="20">
        <v>331</v>
      </c>
      <c r="K200" s="20" t="s">
        <v>20</v>
      </c>
      <c r="L200" s="20">
        <v>1</v>
      </c>
      <c r="M200" s="34">
        <v>3556</v>
      </c>
      <c r="N200" s="34">
        <f t="shared" si="14"/>
        <v>3556</v>
      </c>
      <c r="O200" s="33"/>
      <c r="P200" s="20">
        <f t="shared" si="15"/>
        <v>72</v>
      </c>
    </row>
    <row r="201" spans="1:16" ht="15" hidden="1" customHeight="1" x14ac:dyDescent="0.2">
      <c r="A201" s="20" t="s">
        <v>310</v>
      </c>
      <c r="B201" s="61">
        <v>46044</v>
      </c>
      <c r="C201" s="20">
        <f t="shared" si="16"/>
        <v>1309</v>
      </c>
      <c r="D201" s="38">
        <f t="shared" si="17"/>
        <v>1</v>
      </c>
      <c r="G201" s="32" t="s">
        <v>89</v>
      </c>
      <c r="H201" s="20" t="s">
        <v>2767</v>
      </c>
      <c r="I201" s="20">
        <v>331</v>
      </c>
      <c r="J201" s="20">
        <v>1111</v>
      </c>
      <c r="K201" s="20" t="s">
        <v>20</v>
      </c>
      <c r="L201" s="20">
        <v>1</v>
      </c>
      <c r="M201" s="34">
        <v>48000</v>
      </c>
      <c r="N201" s="34">
        <f t="shared" si="14"/>
        <v>48000</v>
      </c>
      <c r="O201" s="33"/>
      <c r="P201" s="20">
        <f t="shared" si="15"/>
        <v>83</v>
      </c>
    </row>
    <row r="202" spans="1:16" ht="15" hidden="1" customHeight="1" x14ac:dyDescent="0.2">
      <c r="A202" s="20" t="s">
        <v>18</v>
      </c>
      <c r="B202" s="67">
        <v>46044</v>
      </c>
      <c r="C202" s="20">
        <f t="shared" si="16"/>
        <v>1310</v>
      </c>
      <c r="D202" s="38">
        <f t="shared" si="17"/>
        <v>1</v>
      </c>
      <c r="G202" s="59" t="s">
        <v>89</v>
      </c>
      <c r="H202" s="20" t="s">
        <v>1263</v>
      </c>
      <c r="I202" s="20">
        <v>64277</v>
      </c>
      <c r="J202" s="20">
        <v>331</v>
      </c>
      <c r="K202" s="20" t="s">
        <v>20</v>
      </c>
      <c r="L202" s="20">
        <v>1</v>
      </c>
      <c r="M202" s="65">
        <v>26852</v>
      </c>
      <c r="N202" s="34">
        <f t="shared" si="14"/>
        <v>26852</v>
      </c>
      <c r="O202" s="33"/>
      <c r="P202" s="20">
        <f t="shared" si="15"/>
        <v>72</v>
      </c>
    </row>
    <row r="203" spans="1:16" ht="15" hidden="1" customHeight="1" x14ac:dyDescent="0.2">
      <c r="A203" s="20" t="s">
        <v>18</v>
      </c>
      <c r="B203" s="67">
        <v>46044</v>
      </c>
      <c r="C203" s="20">
        <f t="shared" si="16"/>
        <v>1310</v>
      </c>
      <c r="D203" s="38">
        <f t="shared" si="17"/>
        <v>0</v>
      </c>
      <c r="G203" s="59" t="s">
        <v>89</v>
      </c>
      <c r="H203" s="20" t="s">
        <v>1263</v>
      </c>
      <c r="I203" s="20">
        <v>1331</v>
      </c>
      <c r="J203" s="20">
        <v>331</v>
      </c>
      <c r="K203" s="20" t="s">
        <v>20</v>
      </c>
      <c r="L203" s="20">
        <v>1</v>
      </c>
      <c r="M203" s="65">
        <v>2148</v>
      </c>
      <c r="N203" s="34">
        <f t="shared" si="14"/>
        <v>2148</v>
      </c>
      <c r="O203" s="33"/>
      <c r="P203" s="20">
        <f t="shared" si="15"/>
        <v>72</v>
      </c>
    </row>
    <row r="204" spans="1:16" ht="15" hidden="1" customHeight="1" x14ac:dyDescent="0.2">
      <c r="A204" s="20" t="s">
        <v>310</v>
      </c>
      <c r="B204" s="67">
        <v>46044</v>
      </c>
      <c r="C204" s="20">
        <f t="shared" si="16"/>
        <v>1311</v>
      </c>
      <c r="D204" s="38">
        <f t="shared" si="17"/>
        <v>1</v>
      </c>
      <c r="G204" s="59" t="s">
        <v>89</v>
      </c>
      <c r="H204" s="20" t="s">
        <v>2768</v>
      </c>
      <c r="I204" s="20">
        <v>331</v>
      </c>
      <c r="J204" s="20">
        <v>1111</v>
      </c>
      <c r="K204" s="20" t="s">
        <v>20</v>
      </c>
      <c r="L204" s="20">
        <v>1</v>
      </c>
      <c r="M204" s="65">
        <v>29000</v>
      </c>
      <c r="N204" s="34">
        <f t="shared" si="14"/>
        <v>29000</v>
      </c>
      <c r="O204" s="33"/>
      <c r="P204" s="20">
        <f t="shared" si="15"/>
        <v>83</v>
      </c>
    </row>
    <row r="205" spans="1:16" ht="15" hidden="1" customHeight="1" x14ac:dyDescent="0.2">
      <c r="A205" s="20" t="s">
        <v>18</v>
      </c>
      <c r="B205" s="61">
        <v>46044</v>
      </c>
      <c r="C205" s="20">
        <f t="shared" si="16"/>
        <v>1312</v>
      </c>
      <c r="D205" s="38">
        <f t="shared" si="17"/>
        <v>1</v>
      </c>
      <c r="G205" s="32" t="s">
        <v>89</v>
      </c>
      <c r="H205" s="20" t="s">
        <v>1264</v>
      </c>
      <c r="I205" s="20">
        <v>64277</v>
      </c>
      <c r="J205" s="20">
        <v>331</v>
      </c>
      <c r="K205" s="20" t="s">
        <v>20</v>
      </c>
      <c r="L205" s="20">
        <v>1</v>
      </c>
      <c r="M205" s="34">
        <v>51852</v>
      </c>
      <c r="N205" s="34">
        <f t="shared" si="14"/>
        <v>51852</v>
      </c>
      <c r="O205" s="33"/>
      <c r="P205" s="20">
        <f t="shared" si="15"/>
        <v>72</v>
      </c>
    </row>
    <row r="206" spans="1:16" ht="15" hidden="1" customHeight="1" x14ac:dyDescent="0.2">
      <c r="A206" s="20" t="s">
        <v>18</v>
      </c>
      <c r="B206" s="61">
        <v>46044</v>
      </c>
      <c r="C206" s="20">
        <f t="shared" si="16"/>
        <v>1312</v>
      </c>
      <c r="D206" s="38">
        <f t="shared" si="17"/>
        <v>0</v>
      </c>
      <c r="G206" s="32" t="s">
        <v>89</v>
      </c>
      <c r="H206" s="20" t="s">
        <v>1264</v>
      </c>
      <c r="I206" s="20">
        <v>1331</v>
      </c>
      <c r="J206" s="20">
        <v>331</v>
      </c>
      <c r="K206" s="20" t="s">
        <v>20</v>
      </c>
      <c r="L206" s="20">
        <v>1</v>
      </c>
      <c r="M206" s="34">
        <v>4148</v>
      </c>
      <c r="N206" s="34">
        <f t="shared" si="14"/>
        <v>4148</v>
      </c>
      <c r="O206" s="33"/>
      <c r="P206" s="20">
        <f t="shared" si="15"/>
        <v>72</v>
      </c>
    </row>
    <row r="207" spans="1:16" ht="15" hidden="1" customHeight="1" x14ac:dyDescent="0.2">
      <c r="A207" s="20" t="s">
        <v>310</v>
      </c>
      <c r="B207" s="61">
        <v>46044</v>
      </c>
      <c r="C207" s="20">
        <f t="shared" si="16"/>
        <v>1313</v>
      </c>
      <c r="D207" s="38">
        <f t="shared" si="17"/>
        <v>1</v>
      </c>
      <c r="G207" s="32" t="s">
        <v>89</v>
      </c>
      <c r="H207" s="20" t="s">
        <v>2769</v>
      </c>
      <c r="I207" s="20">
        <v>331</v>
      </c>
      <c r="J207" s="20">
        <v>1111</v>
      </c>
      <c r="K207" s="20" t="s">
        <v>20</v>
      </c>
      <c r="L207" s="20">
        <v>1</v>
      </c>
      <c r="M207" s="34">
        <v>56000</v>
      </c>
      <c r="N207" s="34">
        <f t="shared" si="14"/>
        <v>56000</v>
      </c>
      <c r="O207" s="33"/>
      <c r="P207" s="20">
        <f t="shared" si="15"/>
        <v>83</v>
      </c>
    </row>
    <row r="208" spans="1:16" ht="15" hidden="1" customHeight="1" x14ac:dyDescent="0.2">
      <c r="A208" s="20" t="s">
        <v>18</v>
      </c>
      <c r="B208" s="61">
        <v>46044</v>
      </c>
      <c r="C208" s="20">
        <f t="shared" si="16"/>
        <v>1314</v>
      </c>
      <c r="D208" s="38">
        <f t="shared" si="17"/>
        <v>1</v>
      </c>
      <c r="G208" s="32" t="s">
        <v>89</v>
      </c>
      <c r="H208" s="20" t="s">
        <v>1265</v>
      </c>
      <c r="I208" s="20">
        <v>64277</v>
      </c>
      <c r="J208" s="20">
        <v>331</v>
      </c>
      <c r="K208" s="20" t="s">
        <v>20</v>
      </c>
      <c r="L208" s="20">
        <v>1</v>
      </c>
      <c r="M208" s="34">
        <v>41667</v>
      </c>
      <c r="N208" s="34">
        <f t="shared" si="14"/>
        <v>41667</v>
      </c>
      <c r="O208" s="33"/>
      <c r="P208" s="20">
        <f t="shared" si="15"/>
        <v>72</v>
      </c>
    </row>
    <row r="209" spans="1:16" ht="15" hidden="1" customHeight="1" x14ac:dyDescent="0.2">
      <c r="A209" s="20" t="s">
        <v>18</v>
      </c>
      <c r="B209" s="61">
        <v>46044</v>
      </c>
      <c r="C209" s="20">
        <f t="shared" si="16"/>
        <v>1314</v>
      </c>
      <c r="D209" s="38">
        <f t="shared" si="17"/>
        <v>0</v>
      </c>
      <c r="G209" s="32" t="s">
        <v>89</v>
      </c>
      <c r="H209" s="20" t="s">
        <v>1265</v>
      </c>
      <c r="I209" s="20">
        <v>1331</v>
      </c>
      <c r="J209" s="20">
        <v>331</v>
      </c>
      <c r="K209" s="20" t="s">
        <v>20</v>
      </c>
      <c r="L209" s="20">
        <v>1</v>
      </c>
      <c r="M209" s="34">
        <v>3333</v>
      </c>
      <c r="N209" s="34">
        <f t="shared" si="14"/>
        <v>3333</v>
      </c>
      <c r="O209" s="33"/>
      <c r="P209" s="20">
        <f t="shared" si="15"/>
        <v>72</v>
      </c>
    </row>
    <row r="210" spans="1:16" ht="15" hidden="1" customHeight="1" x14ac:dyDescent="0.2">
      <c r="A210" s="20" t="s">
        <v>310</v>
      </c>
      <c r="B210" s="61">
        <v>46044</v>
      </c>
      <c r="C210" s="20">
        <f t="shared" si="16"/>
        <v>1315</v>
      </c>
      <c r="D210" s="38">
        <f t="shared" si="17"/>
        <v>1</v>
      </c>
      <c r="G210" s="32" t="s">
        <v>89</v>
      </c>
      <c r="H210" s="20" t="s">
        <v>2770</v>
      </c>
      <c r="I210" s="20">
        <v>331</v>
      </c>
      <c r="J210" s="20">
        <v>1111</v>
      </c>
      <c r="K210" s="20" t="s">
        <v>20</v>
      </c>
      <c r="L210" s="20">
        <v>1</v>
      </c>
      <c r="M210" s="34">
        <v>45000</v>
      </c>
      <c r="N210" s="34">
        <f t="shared" si="14"/>
        <v>45000</v>
      </c>
      <c r="O210" s="33"/>
      <c r="P210" s="20">
        <f t="shared" si="15"/>
        <v>83</v>
      </c>
    </row>
    <row r="211" spans="1:16" ht="15" hidden="1" customHeight="1" x14ac:dyDescent="0.2">
      <c r="A211" s="20" t="s">
        <v>18</v>
      </c>
      <c r="B211" s="61">
        <v>46044</v>
      </c>
      <c r="C211" s="20">
        <f t="shared" si="16"/>
        <v>1316</v>
      </c>
      <c r="D211" s="38">
        <f t="shared" si="17"/>
        <v>1</v>
      </c>
      <c r="G211" s="32" t="s">
        <v>89</v>
      </c>
      <c r="H211" s="20" t="s">
        <v>1266</v>
      </c>
      <c r="I211" s="20">
        <v>64277</v>
      </c>
      <c r="J211" s="20">
        <v>331</v>
      </c>
      <c r="K211" s="20" t="s">
        <v>20</v>
      </c>
      <c r="L211" s="20">
        <v>1</v>
      </c>
      <c r="M211" s="34">
        <v>24074</v>
      </c>
      <c r="N211" s="34">
        <f t="shared" si="14"/>
        <v>24074</v>
      </c>
      <c r="O211" s="33"/>
      <c r="P211" s="20">
        <f t="shared" si="15"/>
        <v>72</v>
      </c>
    </row>
    <row r="212" spans="1:16" ht="15" hidden="1" customHeight="1" x14ac:dyDescent="0.2">
      <c r="A212" s="20" t="s">
        <v>18</v>
      </c>
      <c r="B212" s="61">
        <v>46044</v>
      </c>
      <c r="C212" s="20">
        <f t="shared" si="16"/>
        <v>1316</v>
      </c>
      <c r="D212" s="38">
        <f t="shared" si="17"/>
        <v>0</v>
      </c>
      <c r="G212" s="32" t="s">
        <v>89</v>
      </c>
      <c r="H212" s="20" t="s">
        <v>1266</v>
      </c>
      <c r="I212" s="20">
        <v>1331</v>
      </c>
      <c r="J212" s="20">
        <v>331</v>
      </c>
      <c r="K212" s="20" t="s">
        <v>20</v>
      </c>
      <c r="L212" s="20">
        <v>1</v>
      </c>
      <c r="M212" s="34">
        <v>1926</v>
      </c>
      <c r="N212" s="34">
        <f t="shared" si="14"/>
        <v>1926</v>
      </c>
      <c r="O212" s="33"/>
      <c r="P212" s="20">
        <f t="shared" si="15"/>
        <v>72</v>
      </c>
    </row>
    <row r="213" spans="1:16" ht="15" hidden="1" customHeight="1" x14ac:dyDescent="0.2">
      <c r="A213" s="20" t="s">
        <v>310</v>
      </c>
      <c r="B213" s="61">
        <v>46044</v>
      </c>
      <c r="C213" s="20">
        <f t="shared" si="16"/>
        <v>1317</v>
      </c>
      <c r="D213" s="38">
        <f t="shared" si="17"/>
        <v>1</v>
      </c>
      <c r="G213" s="32" t="s">
        <v>89</v>
      </c>
      <c r="H213" s="20" t="s">
        <v>2771</v>
      </c>
      <c r="I213" s="20">
        <v>331</v>
      </c>
      <c r="J213" s="20">
        <v>1111</v>
      </c>
      <c r="K213" s="20" t="s">
        <v>20</v>
      </c>
      <c r="L213" s="20">
        <v>1</v>
      </c>
      <c r="M213" s="34">
        <v>26000</v>
      </c>
      <c r="N213" s="34">
        <f t="shared" si="14"/>
        <v>26000</v>
      </c>
      <c r="O213" s="33"/>
      <c r="P213" s="20">
        <f t="shared" si="15"/>
        <v>83</v>
      </c>
    </row>
    <row r="214" spans="1:16" ht="15" hidden="1" customHeight="1" x14ac:dyDescent="0.2">
      <c r="A214" s="20" t="s">
        <v>18</v>
      </c>
      <c r="B214" s="61">
        <v>46044</v>
      </c>
      <c r="C214" s="20">
        <f t="shared" si="16"/>
        <v>1318</v>
      </c>
      <c r="D214" s="38">
        <f t="shared" si="17"/>
        <v>1</v>
      </c>
      <c r="G214" s="32" t="s">
        <v>89</v>
      </c>
      <c r="H214" s="20" t="s">
        <v>1267</v>
      </c>
      <c r="I214" s="20">
        <v>64277</v>
      </c>
      <c r="J214" s="20">
        <v>331</v>
      </c>
      <c r="K214" s="20" t="s">
        <v>20</v>
      </c>
      <c r="L214" s="20">
        <v>1</v>
      </c>
      <c r="M214" s="34">
        <v>26852</v>
      </c>
      <c r="N214" s="34">
        <f t="shared" si="14"/>
        <v>26852</v>
      </c>
      <c r="O214" s="33"/>
      <c r="P214" s="20">
        <f t="shared" si="15"/>
        <v>72</v>
      </c>
    </row>
    <row r="215" spans="1:16" ht="15" hidden="1" customHeight="1" x14ac:dyDescent="0.2">
      <c r="A215" s="20" t="s">
        <v>18</v>
      </c>
      <c r="B215" s="61">
        <v>46044</v>
      </c>
      <c r="C215" s="20">
        <f t="shared" si="16"/>
        <v>1318</v>
      </c>
      <c r="D215" s="38">
        <f t="shared" si="17"/>
        <v>0</v>
      </c>
      <c r="G215" s="32" t="s">
        <v>89</v>
      </c>
      <c r="H215" s="20" t="s">
        <v>1267</v>
      </c>
      <c r="I215" s="20">
        <v>1331</v>
      </c>
      <c r="J215" s="20">
        <v>331</v>
      </c>
      <c r="K215" s="20" t="s">
        <v>20</v>
      </c>
      <c r="L215" s="20">
        <v>1</v>
      </c>
      <c r="M215" s="34">
        <v>2148</v>
      </c>
      <c r="N215" s="34">
        <f t="shared" si="14"/>
        <v>2148</v>
      </c>
      <c r="O215" s="33"/>
      <c r="P215" s="20">
        <f t="shared" si="15"/>
        <v>72</v>
      </c>
    </row>
    <row r="216" spans="1:16" ht="15" hidden="1" customHeight="1" x14ac:dyDescent="0.2">
      <c r="A216" s="20" t="s">
        <v>310</v>
      </c>
      <c r="B216" s="61">
        <v>46044</v>
      </c>
      <c r="C216" s="20">
        <f t="shared" si="16"/>
        <v>1319</v>
      </c>
      <c r="D216" s="38">
        <f t="shared" si="17"/>
        <v>1</v>
      </c>
      <c r="G216" s="32" t="s">
        <v>89</v>
      </c>
      <c r="H216" s="20" t="s">
        <v>2772</v>
      </c>
      <c r="I216" s="20">
        <v>331</v>
      </c>
      <c r="J216" s="20">
        <v>1111</v>
      </c>
      <c r="K216" s="20" t="s">
        <v>20</v>
      </c>
      <c r="L216" s="20">
        <v>1</v>
      </c>
      <c r="M216" s="34">
        <v>29000</v>
      </c>
      <c r="N216" s="34">
        <f t="shared" si="14"/>
        <v>29000</v>
      </c>
      <c r="O216" s="33"/>
      <c r="P216" s="20">
        <f t="shared" si="15"/>
        <v>83</v>
      </c>
    </row>
    <row r="217" spans="1:16" ht="15" hidden="1" customHeight="1" x14ac:dyDescent="0.2">
      <c r="A217" s="20" t="s">
        <v>18</v>
      </c>
      <c r="B217" s="61">
        <v>46044</v>
      </c>
      <c r="C217" s="20">
        <f t="shared" si="16"/>
        <v>1320</v>
      </c>
      <c r="D217" s="38">
        <f t="shared" si="17"/>
        <v>1</v>
      </c>
      <c r="G217" s="32" t="s">
        <v>25</v>
      </c>
      <c r="H217" s="20" t="s">
        <v>2689</v>
      </c>
      <c r="I217" s="20">
        <v>64277</v>
      </c>
      <c r="J217" s="20">
        <v>331</v>
      </c>
      <c r="K217" s="20" t="s">
        <v>20</v>
      </c>
      <c r="L217" s="20">
        <v>1</v>
      </c>
      <c r="M217" s="34">
        <v>1145000</v>
      </c>
      <c r="N217" s="34">
        <f t="shared" si="14"/>
        <v>1145000</v>
      </c>
      <c r="O217" s="33"/>
      <c r="P217" s="20">
        <f t="shared" si="15"/>
        <v>43</v>
      </c>
    </row>
    <row r="218" spans="1:16" ht="15" hidden="1" customHeight="1" x14ac:dyDescent="0.2">
      <c r="A218" s="20" t="s">
        <v>18</v>
      </c>
      <c r="B218" s="61">
        <v>46044</v>
      </c>
      <c r="C218" s="20">
        <f t="shared" si="16"/>
        <v>1320</v>
      </c>
      <c r="D218" s="38">
        <f t="shared" si="17"/>
        <v>0</v>
      </c>
      <c r="G218" s="32" t="s">
        <v>25</v>
      </c>
      <c r="H218" s="20" t="s">
        <v>2689</v>
      </c>
      <c r="I218" s="20">
        <v>1331</v>
      </c>
      <c r="J218" s="20">
        <v>331</v>
      </c>
      <c r="K218" s="20" t="s">
        <v>20</v>
      </c>
      <c r="L218" s="20">
        <v>1</v>
      </c>
      <c r="M218" s="34">
        <v>91600</v>
      </c>
      <c r="N218" s="34">
        <f t="shared" si="14"/>
        <v>91600</v>
      </c>
      <c r="O218" s="33"/>
      <c r="P218" s="20">
        <f t="shared" si="15"/>
        <v>43</v>
      </c>
    </row>
    <row r="219" spans="1:16" ht="15" hidden="1" customHeight="1" x14ac:dyDescent="0.2">
      <c r="A219" s="20" t="s">
        <v>310</v>
      </c>
      <c r="B219" s="61">
        <v>46044</v>
      </c>
      <c r="C219" s="20">
        <f t="shared" si="16"/>
        <v>1321</v>
      </c>
      <c r="D219" s="38">
        <f t="shared" si="17"/>
        <v>1</v>
      </c>
      <c r="G219" s="32" t="s">
        <v>25</v>
      </c>
      <c r="H219" s="20" t="s">
        <v>2773</v>
      </c>
      <c r="I219" s="20">
        <v>331</v>
      </c>
      <c r="J219" s="20">
        <v>1111</v>
      </c>
      <c r="K219" s="20" t="s">
        <v>20</v>
      </c>
      <c r="L219" s="20">
        <v>1</v>
      </c>
      <c r="M219" s="34">
        <v>1236600</v>
      </c>
      <c r="N219" s="34">
        <f t="shared" si="14"/>
        <v>1236600</v>
      </c>
      <c r="O219" s="33"/>
      <c r="P219" s="20">
        <f t="shared" si="15"/>
        <v>54</v>
      </c>
    </row>
    <row r="220" spans="1:16" ht="15" hidden="1" customHeight="1" x14ac:dyDescent="0.2">
      <c r="A220" s="20" t="s">
        <v>18</v>
      </c>
      <c r="B220" s="61">
        <v>46045</v>
      </c>
      <c r="C220" s="20">
        <f t="shared" si="16"/>
        <v>1322</v>
      </c>
      <c r="D220" s="38">
        <f t="shared" si="17"/>
        <v>1</v>
      </c>
      <c r="G220" s="32" t="s">
        <v>89</v>
      </c>
      <c r="H220" s="20" t="s">
        <v>1268</v>
      </c>
      <c r="I220" s="20">
        <v>64277</v>
      </c>
      <c r="J220" s="20">
        <v>331</v>
      </c>
      <c r="K220" s="20" t="s">
        <v>20</v>
      </c>
      <c r="L220" s="20">
        <v>1</v>
      </c>
      <c r="M220" s="34">
        <v>41667</v>
      </c>
      <c r="N220" s="34">
        <f t="shared" si="14"/>
        <v>41667</v>
      </c>
      <c r="O220" s="33"/>
      <c r="P220" s="20">
        <f t="shared" si="15"/>
        <v>72</v>
      </c>
    </row>
    <row r="221" spans="1:16" ht="15" hidden="1" customHeight="1" x14ac:dyDescent="0.2">
      <c r="A221" s="20" t="s">
        <v>18</v>
      </c>
      <c r="B221" s="61">
        <v>46045</v>
      </c>
      <c r="C221" s="20">
        <f t="shared" si="16"/>
        <v>1322</v>
      </c>
      <c r="D221" s="38">
        <f t="shared" si="17"/>
        <v>0</v>
      </c>
      <c r="G221" s="32" t="s">
        <v>89</v>
      </c>
      <c r="H221" s="20" t="s">
        <v>1268</v>
      </c>
      <c r="I221" s="20">
        <v>1331</v>
      </c>
      <c r="J221" s="20">
        <v>331</v>
      </c>
      <c r="K221" s="20" t="s">
        <v>20</v>
      </c>
      <c r="L221" s="20">
        <v>1</v>
      </c>
      <c r="M221" s="34">
        <v>3333</v>
      </c>
      <c r="N221" s="34">
        <f t="shared" si="14"/>
        <v>3333</v>
      </c>
      <c r="O221" s="33"/>
      <c r="P221" s="20">
        <f t="shared" si="15"/>
        <v>72</v>
      </c>
    </row>
    <row r="222" spans="1:16" ht="15" hidden="1" customHeight="1" x14ac:dyDescent="0.2">
      <c r="A222" s="20" t="s">
        <v>310</v>
      </c>
      <c r="B222" s="61">
        <v>46045</v>
      </c>
      <c r="C222" s="20">
        <f t="shared" si="16"/>
        <v>1323</v>
      </c>
      <c r="D222" s="38">
        <f t="shared" si="17"/>
        <v>1</v>
      </c>
      <c r="G222" s="32" t="s">
        <v>89</v>
      </c>
      <c r="H222" s="20" t="s">
        <v>2774</v>
      </c>
      <c r="I222" s="20">
        <v>331</v>
      </c>
      <c r="J222" s="20">
        <v>1111</v>
      </c>
      <c r="K222" s="20" t="s">
        <v>20</v>
      </c>
      <c r="L222" s="20">
        <v>1</v>
      </c>
      <c r="M222" s="34">
        <v>45000</v>
      </c>
      <c r="N222" s="34">
        <f t="shared" si="14"/>
        <v>45000</v>
      </c>
      <c r="O222" s="33"/>
      <c r="P222" s="20">
        <f t="shared" si="15"/>
        <v>83</v>
      </c>
    </row>
    <row r="223" spans="1:16" ht="15" hidden="1" customHeight="1" x14ac:dyDescent="0.2">
      <c r="A223" s="20" t="s">
        <v>18</v>
      </c>
      <c r="B223" s="61">
        <v>46045</v>
      </c>
      <c r="C223" s="20">
        <f t="shared" si="16"/>
        <v>1324</v>
      </c>
      <c r="D223" s="38">
        <f t="shared" si="17"/>
        <v>1</v>
      </c>
      <c r="G223" s="32" t="s">
        <v>89</v>
      </c>
      <c r="H223" s="20" t="s">
        <v>1269</v>
      </c>
      <c r="I223" s="20">
        <v>64277</v>
      </c>
      <c r="J223" s="20">
        <v>331</v>
      </c>
      <c r="K223" s="20" t="s">
        <v>20</v>
      </c>
      <c r="L223" s="20">
        <v>1</v>
      </c>
      <c r="M223" s="34">
        <v>50926</v>
      </c>
      <c r="N223" s="34">
        <f t="shared" si="14"/>
        <v>50926</v>
      </c>
      <c r="O223" s="33"/>
      <c r="P223" s="20">
        <f t="shared" si="15"/>
        <v>72</v>
      </c>
    </row>
    <row r="224" spans="1:16" ht="15" hidden="1" customHeight="1" x14ac:dyDescent="0.2">
      <c r="A224" s="20" t="s">
        <v>18</v>
      </c>
      <c r="B224" s="61">
        <v>46045</v>
      </c>
      <c r="C224" s="20">
        <f t="shared" si="16"/>
        <v>1324</v>
      </c>
      <c r="D224" s="38">
        <f t="shared" si="17"/>
        <v>0</v>
      </c>
      <c r="G224" s="32" t="s">
        <v>89</v>
      </c>
      <c r="H224" s="20" t="s">
        <v>1269</v>
      </c>
      <c r="I224" s="20">
        <v>1331</v>
      </c>
      <c r="J224" s="20">
        <v>331</v>
      </c>
      <c r="K224" s="20" t="s">
        <v>20</v>
      </c>
      <c r="L224" s="20">
        <v>1</v>
      </c>
      <c r="M224" s="34">
        <v>4074</v>
      </c>
      <c r="N224" s="34">
        <f t="shared" si="14"/>
        <v>4074</v>
      </c>
      <c r="O224" s="33"/>
      <c r="P224" s="20">
        <f t="shared" si="15"/>
        <v>72</v>
      </c>
    </row>
    <row r="225" spans="1:16" ht="15" hidden="1" customHeight="1" x14ac:dyDescent="0.2">
      <c r="A225" s="20" t="s">
        <v>310</v>
      </c>
      <c r="B225" s="61">
        <v>46045</v>
      </c>
      <c r="C225" s="20">
        <f t="shared" si="16"/>
        <v>1325</v>
      </c>
      <c r="D225" s="38">
        <f t="shared" si="17"/>
        <v>1</v>
      </c>
      <c r="G225" s="32" t="s">
        <v>89</v>
      </c>
      <c r="H225" s="20" t="s">
        <v>2775</v>
      </c>
      <c r="I225" s="20">
        <v>331</v>
      </c>
      <c r="J225" s="20">
        <v>1111</v>
      </c>
      <c r="K225" s="20" t="s">
        <v>20</v>
      </c>
      <c r="L225" s="20">
        <v>1</v>
      </c>
      <c r="M225" s="34">
        <v>55000</v>
      </c>
      <c r="N225" s="34">
        <f t="shared" si="14"/>
        <v>55000</v>
      </c>
      <c r="O225" s="33"/>
      <c r="P225" s="20">
        <f t="shared" si="15"/>
        <v>83</v>
      </c>
    </row>
    <row r="226" spans="1:16" ht="15" hidden="1" customHeight="1" x14ac:dyDescent="0.2">
      <c r="A226" s="20" t="s">
        <v>18</v>
      </c>
      <c r="B226" s="61">
        <v>46045</v>
      </c>
      <c r="C226" s="20">
        <f t="shared" si="16"/>
        <v>1326</v>
      </c>
      <c r="D226" s="38">
        <f t="shared" si="17"/>
        <v>1</v>
      </c>
      <c r="G226" s="32" t="s">
        <v>89</v>
      </c>
      <c r="H226" s="20" t="s">
        <v>1270</v>
      </c>
      <c r="I226" s="20">
        <v>64277</v>
      </c>
      <c r="J226" s="20">
        <v>331</v>
      </c>
      <c r="K226" s="20" t="s">
        <v>20</v>
      </c>
      <c r="L226" s="20">
        <v>1</v>
      </c>
      <c r="M226" s="34">
        <v>21297</v>
      </c>
      <c r="N226" s="34">
        <f t="shared" si="14"/>
        <v>21297</v>
      </c>
      <c r="O226" s="33"/>
      <c r="P226" s="20">
        <f t="shared" si="15"/>
        <v>72</v>
      </c>
    </row>
    <row r="227" spans="1:16" ht="15" hidden="1" customHeight="1" x14ac:dyDescent="0.2">
      <c r="A227" s="20" t="s">
        <v>18</v>
      </c>
      <c r="B227" s="61">
        <v>46045</v>
      </c>
      <c r="C227" s="20">
        <f t="shared" si="16"/>
        <v>1326</v>
      </c>
      <c r="D227" s="38">
        <f t="shared" si="17"/>
        <v>0</v>
      </c>
      <c r="G227" s="32" t="s">
        <v>89</v>
      </c>
      <c r="H227" s="20" t="s">
        <v>1270</v>
      </c>
      <c r="I227" s="20">
        <v>1331</v>
      </c>
      <c r="J227" s="20">
        <v>331</v>
      </c>
      <c r="K227" s="20" t="s">
        <v>20</v>
      </c>
      <c r="L227" s="20">
        <v>1</v>
      </c>
      <c r="M227" s="34">
        <v>1703</v>
      </c>
      <c r="N227" s="34">
        <f t="shared" si="14"/>
        <v>1703</v>
      </c>
      <c r="O227" s="33"/>
      <c r="P227" s="20">
        <f t="shared" si="15"/>
        <v>72</v>
      </c>
    </row>
    <row r="228" spans="1:16" ht="15" hidden="1" customHeight="1" x14ac:dyDescent="0.2">
      <c r="A228" s="20" t="s">
        <v>310</v>
      </c>
      <c r="B228" s="61">
        <v>46045</v>
      </c>
      <c r="C228" s="20">
        <f t="shared" si="16"/>
        <v>1327</v>
      </c>
      <c r="D228" s="38">
        <f t="shared" si="17"/>
        <v>1</v>
      </c>
      <c r="G228" s="32" t="s">
        <v>89</v>
      </c>
      <c r="H228" s="20" t="s">
        <v>2776</v>
      </c>
      <c r="I228" s="20">
        <v>331</v>
      </c>
      <c r="J228" s="20">
        <v>1111</v>
      </c>
      <c r="K228" s="20" t="s">
        <v>20</v>
      </c>
      <c r="L228" s="20">
        <v>1</v>
      </c>
      <c r="M228" s="34">
        <v>23000</v>
      </c>
      <c r="N228" s="34">
        <f t="shared" si="14"/>
        <v>23000</v>
      </c>
      <c r="O228" s="33"/>
      <c r="P228" s="20">
        <f t="shared" si="15"/>
        <v>83</v>
      </c>
    </row>
    <row r="229" spans="1:16" ht="15" hidden="1" customHeight="1" x14ac:dyDescent="0.2">
      <c r="A229" s="20" t="s">
        <v>18</v>
      </c>
      <c r="B229" s="61">
        <v>46045</v>
      </c>
      <c r="C229" s="20">
        <f t="shared" si="16"/>
        <v>1328</v>
      </c>
      <c r="D229" s="38">
        <f t="shared" si="17"/>
        <v>1</v>
      </c>
      <c r="G229" s="32" t="s">
        <v>89</v>
      </c>
      <c r="H229" s="20" t="s">
        <v>1271</v>
      </c>
      <c r="I229" s="20">
        <v>64277</v>
      </c>
      <c r="J229" s="20">
        <v>331</v>
      </c>
      <c r="K229" s="20" t="s">
        <v>20</v>
      </c>
      <c r="L229" s="20">
        <v>1</v>
      </c>
      <c r="M229" s="34">
        <v>19444</v>
      </c>
      <c r="N229" s="34">
        <f t="shared" si="14"/>
        <v>19444</v>
      </c>
      <c r="O229" s="33"/>
      <c r="P229" s="20">
        <f t="shared" si="15"/>
        <v>72</v>
      </c>
    </row>
    <row r="230" spans="1:16" ht="15" hidden="1" customHeight="1" x14ac:dyDescent="0.2">
      <c r="A230" s="20" t="s">
        <v>18</v>
      </c>
      <c r="B230" s="61">
        <v>46045</v>
      </c>
      <c r="C230" s="20">
        <f t="shared" si="16"/>
        <v>1328</v>
      </c>
      <c r="D230" s="38">
        <f t="shared" si="17"/>
        <v>0</v>
      </c>
      <c r="G230" s="32" t="s">
        <v>89</v>
      </c>
      <c r="H230" s="20" t="s">
        <v>1271</v>
      </c>
      <c r="I230" s="20">
        <v>1331</v>
      </c>
      <c r="J230" s="20">
        <v>331</v>
      </c>
      <c r="K230" s="20" t="s">
        <v>20</v>
      </c>
      <c r="L230" s="20">
        <v>1</v>
      </c>
      <c r="M230" s="34">
        <v>1556</v>
      </c>
      <c r="N230" s="34">
        <f t="shared" si="14"/>
        <v>1556</v>
      </c>
      <c r="O230" s="33"/>
      <c r="P230" s="20">
        <f t="shared" si="15"/>
        <v>72</v>
      </c>
    </row>
    <row r="231" spans="1:16" ht="15" hidden="1" customHeight="1" x14ac:dyDescent="0.2">
      <c r="A231" s="20" t="s">
        <v>310</v>
      </c>
      <c r="B231" s="61">
        <v>46045</v>
      </c>
      <c r="C231" s="20">
        <f t="shared" si="16"/>
        <v>1329</v>
      </c>
      <c r="D231" s="38">
        <f t="shared" si="17"/>
        <v>1</v>
      </c>
      <c r="G231" s="32" t="s">
        <v>89</v>
      </c>
      <c r="H231" s="20" t="s">
        <v>2777</v>
      </c>
      <c r="I231" s="20">
        <v>331</v>
      </c>
      <c r="J231" s="20">
        <v>1111</v>
      </c>
      <c r="K231" s="20" t="s">
        <v>20</v>
      </c>
      <c r="L231" s="20">
        <v>1</v>
      </c>
      <c r="M231" s="34">
        <v>21000</v>
      </c>
      <c r="N231" s="34">
        <f t="shared" si="14"/>
        <v>21000</v>
      </c>
      <c r="O231" s="33"/>
      <c r="P231" s="20">
        <f t="shared" si="15"/>
        <v>83</v>
      </c>
    </row>
    <row r="232" spans="1:16" ht="15" hidden="1" customHeight="1" x14ac:dyDescent="0.2">
      <c r="A232" s="20" t="s">
        <v>18</v>
      </c>
      <c r="B232" s="61">
        <v>46045</v>
      </c>
      <c r="C232" s="20">
        <f t="shared" si="16"/>
        <v>1330</v>
      </c>
      <c r="D232" s="38">
        <f t="shared" si="17"/>
        <v>1</v>
      </c>
      <c r="G232" s="32" t="s">
        <v>89</v>
      </c>
      <c r="H232" s="20" t="s">
        <v>1272</v>
      </c>
      <c r="I232" s="20">
        <v>64277</v>
      </c>
      <c r="J232" s="20">
        <v>331</v>
      </c>
      <c r="K232" s="20" t="s">
        <v>20</v>
      </c>
      <c r="L232" s="20">
        <v>1</v>
      </c>
      <c r="M232" s="34">
        <v>34259</v>
      </c>
      <c r="N232" s="34">
        <f t="shared" si="14"/>
        <v>34259</v>
      </c>
      <c r="O232" s="33"/>
      <c r="P232" s="20">
        <f t="shared" si="15"/>
        <v>72</v>
      </c>
    </row>
    <row r="233" spans="1:16" ht="15" hidden="1" customHeight="1" x14ac:dyDescent="0.2">
      <c r="A233" s="20" t="s">
        <v>18</v>
      </c>
      <c r="B233" s="61">
        <v>46045</v>
      </c>
      <c r="C233" s="20">
        <f t="shared" si="16"/>
        <v>1330</v>
      </c>
      <c r="D233" s="38">
        <f t="shared" si="17"/>
        <v>0</v>
      </c>
      <c r="G233" s="32" t="s">
        <v>89</v>
      </c>
      <c r="H233" s="20" t="s">
        <v>1272</v>
      </c>
      <c r="I233" s="20">
        <v>1331</v>
      </c>
      <c r="J233" s="20">
        <v>331</v>
      </c>
      <c r="K233" s="20" t="s">
        <v>20</v>
      </c>
      <c r="L233" s="20">
        <v>1</v>
      </c>
      <c r="M233" s="34">
        <v>2741</v>
      </c>
      <c r="N233" s="34">
        <f t="shared" si="14"/>
        <v>2741</v>
      </c>
      <c r="O233" s="33"/>
      <c r="P233" s="20">
        <f t="shared" si="15"/>
        <v>72</v>
      </c>
    </row>
    <row r="234" spans="1:16" ht="15" hidden="1" customHeight="1" x14ac:dyDescent="0.2">
      <c r="A234" s="20" t="s">
        <v>310</v>
      </c>
      <c r="B234" s="61">
        <v>46045</v>
      </c>
      <c r="C234" s="20">
        <f t="shared" si="16"/>
        <v>1331</v>
      </c>
      <c r="D234" s="38">
        <f t="shared" si="17"/>
        <v>1</v>
      </c>
      <c r="G234" s="32" t="s">
        <v>89</v>
      </c>
      <c r="H234" s="20" t="s">
        <v>2778</v>
      </c>
      <c r="I234" s="20">
        <v>331</v>
      </c>
      <c r="J234" s="20">
        <v>1111</v>
      </c>
      <c r="K234" s="20" t="s">
        <v>20</v>
      </c>
      <c r="L234" s="20">
        <v>1</v>
      </c>
      <c r="M234" s="34">
        <v>37000</v>
      </c>
      <c r="N234" s="34">
        <f t="shared" si="14"/>
        <v>37000</v>
      </c>
      <c r="O234" s="33"/>
      <c r="P234" s="20">
        <f t="shared" si="15"/>
        <v>83</v>
      </c>
    </row>
    <row r="235" spans="1:16" ht="15" hidden="1" customHeight="1" x14ac:dyDescent="0.2">
      <c r="A235" s="20" t="s">
        <v>18</v>
      </c>
      <c r="B235" s="61">
        <v>46045</v>
      </c>
      <c r="C235" s="20">
        <f t="shared" si="16"/>
        <v>1332</v>
      </c>
      <c r="D235" s="38">
        <f t="shared" si="17"/>
        <v>1</v>
      </c>
      <c r="G235" s="32" t="s">
        <v>89</v>
      </c>
      <c r="H235" s="20" t="s">
        <v>1273</v>
      </c>
      <c r="I235" s="20">
        <v>64277</v>
      </c>
      <c r="J235" s="20">
        <v>331</v>
      </c>
      <c r="K235" s="20" t="s">
        <v>20</v>
      </c>
      <c r="L235" s="20">
        <v>1</v>
      </c>
      <c r="M235" s="34">
        <v>42593</v>
      </c>
      <c r="N235" s="34">
        <f t="shared" si="14"/>
        <v>42593</v>
      </c>
      <c r="O235" s="33"/>
      <c r="P235" s="20">
        <f t="shared" si="15"/>
        <v>72</v>
      </c>
    </row>
    <row r="236" spans="1:16" ht="15" hidden="1" customHeight="1" x14ac:dyDescent="0.2">
      <c r="A236" s="20" t="s">
        <v>18</v>
      </c>
      <c r="B236" s="61">
        <v>46045</v>
      </c>
      <c r="C236" s="20">
        <f t="shared" si="16"/>
        <v>1332</v>
      </c>
      <c r="D236" s="38">
        <f t="shared" si="17"/>
        <v>0</v>
      </c>
      <c r="G236" s="32" t="s">
        <v>89</v>
      </c>
      <c r="H236" s="20" t="s">
        <v>1273</v>
      </c>
      <c r="I236" s="20">
        <v>1331</v>
      </c>
      <c r="J236" s="20">
        <v>331</v>
      </c>
      <c r="K236" s="20" t="s">
        <v>20</v>
      </c>
      <c r="L236" s="20">
        <v>1</v>
      </c>
      <c r="M236" s="34">
        <v>3407</v>
      </c>
      <c r="N236" s="34">
        <f t="shared" si="14"/>
        <v>3407</v>
      </c>
      <c r="O236" s="33"/>
      <c r="P236" s="20">
        <f t="shared" si="15"/>
        <v>72</v>
      </c>
    </row>
    <row r="237" spans="1:16" ht="15" hidden="1" customHeight="1" x14ac:dyDescent="0.2">
      <c r="A237" s="20" t="s">
        <v>310</v>
      </c>
      <c r="B237" s="61">
        <v>46045</v>
      </c>
      <c r="C237" s="20">
        <f t="shared" si="16"/>
        <v>1333</v>
      </c>
      <c r="D237" s="38">
        <f t="shared" si="17"/>
        <v>1</v>
      </c>
      <c r="G237" s="32" t="s">
        <v>89</v>
      </c>
      <c r="H237" s="20" t="s">
        <v>2779</v>
      </c>
      <c r="I237" s="20">
        <v>331</v>
      </c>
      <c r="J237" s="20">
        <v>1111</v>
      </c>
      <c r="K237" s="20" t="s">
        <v>20</v>
      </c>
      <c r="L237" s="20">
        <v>1</v>
      </c>
      <c r="M237" s="34">
        <v>46000</v>
      </c>
      <c r="N237" s="34">
        <f t="shared" si="14"/>
        <v>46000</v>
      </c>
      <c r="O237" s="33"/>
      <c r="P237" s="20">
        <f t="shared" si="15"/>
        <v>83</v>
      </c>
    </row>
    <row r="238" spans="1:16" ht="15" hidden="1" customHeight="1" x14ac:dyDescent="0.2">
      <c r="A238" s="20" t="s">
        <v>18</v>
      </c>
      <c r="B238" s="61">
        <v>46045</v>
      </c>
      <c r="C238" s="20">
        <f t="shared" si="16"/>
        <v>1334</v>
      </c>
      <c r="D238" s="38">
        <f t="shared" si="17"/>
        <v>1</v>
      </c>
      <c r="G238" s="32" t="s">
        <v>1274</v>
      </c>
      <c r="H238" s="20" t="s">
        <v>1275</v>
      </c>
      <c r="I238" s="20">
        <v>64277</v>
      </c>
      <c r="J238" s="20">
        <v>331</v>
      </c>
      <c r="K238" s="20" t="s">
        <v>20</v>
      </c>
      <c r="L238" s="20">
        <v>1</v>
      </c>
      <c r="M238" s="34">
        <v>880000</v>
      </c>
      <c r="N238" s="34">
        <f t="shared" si="14"/>
        <v>880000</v>
      </c>
      <c r="O238" s="33"/>
      <c r="P238" s="20">
        <f t="shared" si="15"/>
        <v>104</v>
      </c>
    </row>
    <row r="239" spans="1:16" ht="15" hidden="1" customHeight="1" x14ac:dyDescent="0.2">
      <c r="A239" s="20" t="s">
        <v>18</v>
      </c>
      <c r="B239" s="61">
        <v>46045</v>
      </c>
      <c r="C239" s="20">
        <f t="shared" si="16"/>
        <v>1334</v>
      </c>
      <c r="D239" s="38">
        <f t="shared" si="17"/>
        <v>0</v>
      </c>
      <c r="G239" s="32" t="s">
        <v>1274</v>
      </c>
      <c r="H239" s="20" t="s">
        <v>1275</v>
      </c>
      <c r="I239" s="20">
        <v>1331</v>
      </c>
      <c r="J239" s="20">
        <v>331</v>
      </c>
      <c r="K239" s="20" t="s">
        <v>20</v>
      </c>
      <c r="L239" s="20">
        <v>1</v>
      </c>
      <c r="M239" s="34">
        <v>71020</v>
      </c>
      <c r="N239" s="34">
        <f t="shared" si="14"/>
        <v>71020</v>
      </c>
      <c r="O239" s="33"/>
      <c r="P239" s="20">
        <f t="shared" si="15"/>
        <v>104</v>
      </c>
    </row>
    <row r="240" spans="1:16" ht="15" hidden="1" customHeight="1" x14ac:dyDescent="0.2">
      <c r="A240" s="20" t="s">
        <v>310</v>
      </c>
      <c r="B240" s="61">
        <v>46045</v>
      </c>
      <c r="C240" s="20">
        <f t="shared" si="16"/>
        <v>1335</v>
      </c>
      <c r="D240" s="38">
        <f t="shared" si="17"/>
        <v>1</v>
      </c>
      <c r="G240" s="32" t="s">
        <v>1274</v>
      </c>
      <c r="H240" s="20" t="s">
        <v>2780</v>
      </c>
      <c r="I240" s="20">
        <v>331</v>
      </c>
      <c r="J240" s="20">
        <v>1111</v>
      </c>
      <c r="K240" s="20" t="s">
        <v>20</v>
      </c>
      <c r="L240" s="20">
        <v>1</v>
      </c>
      <c r="M240" s="34">
        <v>951020</v>
      </c>
      <c r="N240" s="34">
        <f t="shared" si="14"/>
        <v>951020</v>
      </c>
      <c r="O240" s="33"/>
      <c r="P240" s="20">
        <f t="shared" si="15"/>
        <v>115</v>
      </c>
    </row>
    <row r="241" spans="1:16" ht="15" hidden="1" customHeight="1" x14ac:dyDescent="0.2">
      <c r="A241" s="20" t="s">
        <v>18</v>
      </c>
      <c r="B241" s="61">
        <v>46046</v>
      </c>
      <c r="C241" s="20">
        <f t="shared" si="16"/>
        <v>1336</v>
      </c>
      <c r="D241" s="38">
        <f t="shared" si="17"/>
        <v>1</v>
      </c>
      <c r="G241" s="32" t="s">
        <v>89</v>
      </c>
      <c r="H241" s="20" t="s">
        <v>1276</v>
      </c>
      <c r="I241" s="20">
        <v>64277</v>
      </c>
      <c r="J241" s="20">
        <v>331</v>
      </c>
      <c r="K241" s="20" t="s">
        <v>20</v>
      </c>
      <c r="L241" s="20">
        <v>1</v>
      </c>
      <c r="M241" s="34">
        <v>50926</v>
      </c>
      <c r="N241" s="34">
        <f t="shared" si="14"/>
        <v>50926</v>
      </c>
      <c r="O241" s="33"/>
      <c r="P241" s="20">
        <f t="shared" si="15"/>
        <v>72</v>
      </c>
    </row>
    <row r="242" spans="1:16" ht="15" hidden="1" customHeight="1" x14ac:dyDescent="0.2">
      <c r="A242" s="20" t="s">
        <v>18</v>
      </c>
      <c r="B242" s="61">
        <v>46046</v>
      </c>
      <c r="C242" s="20">
        <f t="shared" si="16"/>
        <v>1336</v>
      </c>
      <c r="D242" s="38">
        <f t="shared" si="17"/>
        <v>0</v>
      </c>
      <c r="G242" s="32" t="s">
        <v>89</v>
      </c>
      <c r="H242" s="20" t="s">
        <v>1276</v>
      </c>
      <c r="I242" s="20">
        <v>1331</v>
      </c>
      <c r="J242" s="20">
        <v>331</v>
      </c>
      <c r="K242" s="20" t="s">
        <v>20</v>
      </c>
      <c r="L242" s="20">
        <v>1</v>
      </c>
      <c r="M242" s="34">
        <v>4074</v>
      </c>
      <c r="N242" s="34">
        <f t="shared" si="14"/>
        <v>4074</v>
      </c>
      <c r="O242" s="33"/>
      <c r="P242" s="20">
        <f t="shared" si="15"/>
        <v>72</v>
      </c>
    </row>
    <row r="243" spans="1:16" ht="15" hidden="1" customHeight="1" x14ac:dyDescent="0.2">
      <c r="A243" s="20" t="s">
        <v>310</v>
      </c>
      <c r="B243" s="61">
        <v>46046</v>
      </c>
      <c r="C243" s="20">
        <f t="shared" si="16"/>
        <v>1337</v>
      </c>
      <c r="D243" s="38">
        <f t="shared" si="17"/>
        <v>1</v>
      </c>
      <c r="G243" s="32" t="s">
        <v>89</v>
      </c>
      <c r="H243" s="20" t="s">
        <v>2781</v>
      </c>
      <c r="I243" s="20">
        <v>331</v>
      </c>
      <c r="J243" s="20">
        <v>1111</v>
      </c>
      <c r="K243" s="20" t="s">
        <v>20</v>
      </c>
      <c r="L243" s="20">
        <v>1</v>
      </c>
      <c r="M243" s="34">
        <v>55000</v>
      </c>
      <c r="N243" s="34">
        <f t="shared" si="14"/>
        <v>55000</v>
      </c>
      <c r="O243" s="33"/>
      <c r="P243" s="20">
        <f t="shared" si="15"/>
        <v>83</v>
      </c>
    </row>
    <row r="244" spans="1:16" ht="15" hidden="1" customHeight="1" x14ac:dyDescent="0.2">
      <c r="A244" s="20" t="s">
        <v>18</v>
      </c>
      <c r="B244" s="61">
        <v>46046</v>
      </c>
      <c r="C244" s="20">
        <f t="shared" si="16"/>
        <v>1338</v>
      </c>
      <c r="D244" s="38">
        <f t="shared" si="17"/>
        <v>1</v>
      </c>
      <c r="G244" s="32" t="s">
        <v>89</v>
      </c>
      <c r="H244" s="20" t="s">
        <v>1277</v>
      </c>
      <c r="I244" s="20">
        <v>64277</v>
      </c>
      <c r="J244" s="20">
        <v>331</v>
      </c>
      <c r="K244" s="20" t="s">
        <v>20</v>
      </c>
      <c r="L244" s="20">
        <v>1</v>
      </c>
      <c r="M244" s="34">
        <v>29629</v>
      </c>
      <c r="N244" s="34">
        <f t="shared" si="14"/>
        <v>29629</v>
      </c>
      <c r="O244" s="33"/>
      <c r="P244" s="20">
        <f t="shared" si="15"/>
        <v>72</v>
      </c>
    </row>
    <row r="245" spans="1:16" ht="15" hidden="1" customHeight="1" x14ac:dyDescent="0.2">
      <c r="A245" s="20" t="s">
        <v>18</v>
      </c>
      <c r="B245" s="61">
        <v>46046</v>
      </c>
      <c r="C245" s="20">
        <f t="shared" si="16"/>
        <v>1338</v>
      </c>
      <c r="D245" s="38">
        <f t="shared" si="17"/>
        <v>0</v>
      </c>
      <c r="G245" s="32" t="s">
        <v>89</v>
      </c>
      <c r="H245" s="20" t="s">
        <v>1277</v>
      </c>
      <c r="I245" s="20">
        <v>1331</v>
      </c>
      <c r="J245" s="20">
        <v>331</v>
      </c>
      <c r="K245" s="20" t="s">
        <v>20</v>
      </c>
      <c r="L245" s="20">
        <v>1</v>
      </c>
      <c r="M245" s="34">
        <v>2371</v>
      </c>
      <c r="N245" s="34">
        <f t="shared" si="14"/>
        <v>2371</v>
      </c>
      <c r="O245" s="33"/>
      <c r="P245" s="20">
        <f t="shared" si="15"/>
        <v>72</v>
      </c>
    </row>
    <row r="246" spans="1:16" ht="15" hidden="1" customHeight="1" x14ac:dyDescent="0.2">
      <c r="A246" s="20" t="s">
        <v>310</v>
      </c>
      <c r="B246" s="61">
        <v>46046</v>
      </c>
      <c r="C246" s="20">
        <f t="shared" si="16"/>
        <v>1339</v>
      </c>
      <c r="D246" s="38">
        <f t="shared" si="17"/>
        <v>1</v>
      </c>
      <c r="G246" s="32" t="s">
        <v>89</v>
      </c>
      <c r="H246" s="20" t="s">
        <v>2782</v>
      </c>
      <c r="I246" s="20">
        <v>331</v>
      </c>
      <c r="J246" s="20">
        <v>1111</v>
      </c>
      <c r="K246" s="20" t="s">
        <v>20</v>
      </c>
      <c r="L246" s="20">
        <v>1</v>
      </c>
      <c r="M246" s="34">
        <v>32000</v>
      </c>
      <c r="N246" s="34">
        <f t="shared" si="14"/>
        <v>32000</v>
      </c>
      <c r="O246" s="33"/>
      <c r="P246" s="20">
        <f t="shared" si="15"/>
        <v>83</v>
      </c>
    </row>
    <row r="247" spans="1:16" ht="15" hidden="1" customHeight="1" x14ac:dyDescent="0.2">
      <c r="A247" s="20" t="s">
        <v>18</v>
      </c>
      <c r="B247" s="61">
        <v>46047</v>
      </c>
      <c r="C247" s="20">
        <f t="shared" si="16"/>
        <v>1340</v>
      </c>
      <c r="D247" s="38">
        <f t="shared" si="17"/>
        <v>1</v>
      </c>
      <c r="G247" s="32" t="s">
        <v>89</v>
      </c>
      <c r="H247" s="20" t="s">
        <v>1278</v>
      </c>
      <c r="I247" s="20">
        <v>64277</v>
      </c>
      <c r="J247" s="20">
        <v>331</v>
      </c>
      <c r="K247" s="20" t="s">
        <v>20</v>
      </c>
      <c r="L247" s="20">
        <v>1</v>
      </c>
      <c r="M247" s="34">
        <v>88889</v>
      </c>
      <c r="N247" s="34">
        <f t="shared" si="14"/>
        <v>88889</v>
      </c>
      <c r="O247" s="33"/>
      <c r="P247" s="20">
        <f t="shared" si="15"/>
        <v>72</v>
      </c>
    </row>
    <row r="248" spans="1:16" ht="15" hidden="1" customHeight="1" x14ac:dyDescent="0.2">
      <c r="A248" s="20" t="s">
        <v>18</v>
      </c>
      <c r="B248" s="61">
        <v>46047</v>
      </c>
      <c r="C248" s="20">
        <f t="shared" si="16"/>
        <v>1340</v>
      </c>
      <c r="D248" s="38">
        <f t="shared" si="17"/>
        <v>0</v>
      </c>
      <c r="G248" s="32" t="s">
        <v>89</v>
      </c>
      <c r="H248" s="20" t="s">
        <v>1278</v>
      </c>
      <c r="I248" s="20">
        <v>1331</v>
      </c>
      <c r="J248" s="20">
        <v>331</v>
      </c>
      <c r="K248" s="20" t="s">
        <v>20</v>
      </c>
      <c r="L248" s="20">
        <v>1</v>
      </c>
      <c r="M248" s="34">
        <v>7111</v>
      </c>
      <c r="N248" s="34">
        <f t="shared" si="14"/>
        <v>7111</v>
      </c>
      <c r="O248" s="33"/>
      <c r="P248" s="20">
        <f t="shared" si="15"/>
        <v>72</v>
      </c>
    </row>
    <row r="249" spans="1:16" ht="15" hidden="1" customHeight="1" x14ac:dyDescent="0.2">
      <c r="A249" s="20" t="s">
        <v>310</v>
      </c>
      <c r="B249" s="61">
        <v>46047</v>
      </c>
      <c r="C249" s="20">
        <f t="shared" si="16"/>
        <v>1341</v>
      </c>
      <c r="D249" s="38">
        <f t="shared" si="17"/>
        <v>1</v>
      </c>
      <c r="G249" s="32" t="s">
        <v>89</v>
      </c>
      <c r="H249" s="20" t="s">
        <v>2783</v>
      </c>
      <c r="I249" s="20">
        <v>331</v>
      </c>
      <c r="J249" s="20">
        <v>1111</v>
      </c>
      <c r="K249" s="20" t="s">
        <v>20</v>
      </c>
      <c r="L249" s="20">
        <v>1</v>
      </c>
      <c r="M249" s="34">
        <v>96000</v>
      </c>
      <c r="N249" s="34">
        <f t="shared" si="14"/>
        <v>96000</v>
      </c>
      <c r="O249" s="33"/>
      <c r="P249" s="20">
        <f t="shared" si="15"/>
        <v>83</v>
      </c>
    </row>
    <row r="250" spans="1:16" ht="15" hidden="1" customHeight="1" x14ac:dyDescent="0.2">
      <c r="A250" s="20" t="s">
        <v>18</v>
      </c>
      <c r="B250" s="61">
        <v>46048</v>
      </c>
      <c r="C250" s="20">
        <f t="shared" si="16"/>
        <v>1342</v>
      </c>
      <c r="D250" s="38">
        <f t="shared" si="17"/>
        <v>1</v>
      </c>
      <c r="G250" s="32" t="s">
        <v>89</v>
      </c>
      <c r="H250" s="20" t="s">
        <v>1279</v>
      </c>
      <c r="I250" s="20">
        <v>64277</v>
      </c>
      <c r="J250" s="20">
        <v>331</v>
      </c>
      <c r="K250" s="20" t="s">
        <v>20</v>
      </c>
      <c r="L250" s="20">
        <v>1</v>
      </c>
      <c r="M250" s="34">
        <v>87963</v>
      </c>
      <c r="N250" s="34">
        <f t="shared" si="14"/>
        <v>87963</v>
      </c>
      <c r="O250" s="33"/>
      <c r="P250" s="20">
        <f t="shared" si="15"/>
        <v>72</v>
      </c>
    </row>
    <row r="251" spans="1:16" ht="15" hidden="1" customHeight="1" x14ac:dyDescent="0.2">
      <c r="A251" s="20" t="s">
        <v>18</v>
      </c>
      <c r="B251" s="61">
        <v>46048</v>
      </c>
      <c r="C251" s="20">
        <f t="shared" si="16"/>
        <v>1342</v>
      </c>
      <c r="D251" s="38">
        <f t="shared" si="17"/>
        <v>0</v>
      </c>
      <c r="G251" s="32" t="s">
        <v>89</v>
      </c>
      <c r="H251" s="20" t="s">
        <v>1279</v>
      </c>
      <c r="I251" s="20">
        <v>1331</v>
      </c>
      <c r="J251" s="20">
        <v>331</v>
      </c>
      <c r="K251" s="20" t="s">
        <v>20</v>
      </c>
      <c r="L251" s="20">
        <v>1</v>
      </c>
      <c r="M251" s="34">
        <v>7037</v>
      </c>
      <c r="N251" s="34">
        <f t="shared" si="14"/>
        <v>7037</v>
      </c>
      <c r="O251" s="33"/>
      <c r="P251" s="20">
        <f t="shared" si="15"/>
        <v>72</v>
      </c>
    </row>
    <row r="252" spans="1:16" ht="15" hidden="1" customHeight="1" x14ac:dyDescent="0.2">
      <c r="A252" s="20" t="s">
        <v>310</v>
      </c>
      <c r="B252" s="61">
        <v>46048</v>
      </c>
      <c r="C252" s="20">
        <f t="shared" si="16"/>
        <v>1343</v>
      </c>
      <c r="D252" s="38">
        <f t="shared" si="17"/>
        <v>1</v>
      </c>
      <c r="G252" s="32" t="s">
        <v>89</v>
      </c>
      <c r="H252" s="20" t="s">
        <v>2784</v>
      </c>
      <c r="I252" s="20">
        <v>331</v>
      </c>
      <c r="J252" s="20">
        <v>1111</v>
      </c>
      <c r="K252" s="20" t="s">
        <v>20</v>
      </c>
      <c r="L252" s="20">
        <v>1</v>
      </c>
      <c r="M252" s="34">
        <v>95000</v>
      </c>
      <c r="N252" s="34">
        <f t="shared" si="14"/>
        <v>95000</v>
      </c>
      <c r="O252" s="33"/>
      <c r="P252" s="20">
        <f t="shared" si="15"/>
        <v>83</v>
      </c>
    </row>
    <row r="253" spans="1:16" ht="15" hidden="1" customHeight="1" x14ac:dyDescent="0.2">
      <c r="A253" s="20" t="s">
        <v>18</v>
      </c>
      <c r="B253" s="61">
        <v>46049</v>
      </c>
      <c r="C253" s="20">
        <f t="shared" si="16"/>
        <v>1344</v>
      </c>
      <c r="D253" s="38">
        <f t="shared" si="17"/>
        <v>1</v>
      </c>
      <c r="G253" s="32" t="s">
        <v>89</v>
      </c>
      <c r="H253" s="20" t="s">
        <v>1280</v>
      </c>
      <c r="I253" s="20">
        <v>64277</v>
      </c>
      <c r="J253" s="20">
        <v>331</v>
      </c>
      <c r="K253" s="20" t="s">
        <v>20</v>
      </c>
      <c r="L253" s="20">
        <v>1</v>
      </c>
      <c r="M253" s="34">
        <v>89815</v>
      </c>
      <c r="N253" s="34">
        <f t="shared" si="14"/>
        <v>89815</v>
      </c>
      <c r="O253" s="33"/>
      <c r="P253" s="20">
        <f t="shared" si="15"/>
        <v>72</v>
      </c>
    </row>
    <row r="254" spans="1:16" ht="15" hidden="1" customHeight="1" x14ac:dyDescent="0.2">
      <c r="A254" s="20" t="s">
        <v>18</v>
      </c>
      <c r="B254" s="61">
        <v>46049</v>
      </c>
      <c r="C254" s="20">
        <f t="shared" si="16"/>
        <v>1344</v>
      </c>
      <c r="D254" s="38">
        <f t="shared" si="17"/>
        <v>0</v>
      </c>
      <c r="G254" s="32" t="s">
        <v>89</v>
      </c>
      <c r="H254" s="20" t="s">
        <v>1280</v>
      </c>
      <c r="I254" s="20">
        <v>1331</v>
      </c>
      <c r="J254" s="20">
        <v>331</v>
      </c>
      <c r="K254" s="20" t="s">
        <v>20</v>
      </c>
      <c r="L254" s="20">
        <v>1</v>
      </c>
      <c r="M254" s="34">
        <v>7185</v>
      </c>
      <c r="N254" s="34">
        <f t="shared" si="14"/>
        <v>7185</v>
      </c>
      <c r="O254" s="33"/>
      <c r="P254" s="20">
        <f t="shared" si="15"/>
        <v>72</v>
      </c>
    </row>
    <row r="255" spans="1:16" ht="15" hidden="1" customHeight="1" x14ac:dyDescent="0.2">
      <c r="A255" s="20" t="s">
        <v>310</v>
      </c>
      <c r="B255" s="61">
        <v>46049</v>
      </c>
      <c r="C255" s="20">
        <f t="shared" si="16"/>
        <v>1345</v>
      </c>
      <c r="D255" s="38">
        <f t="shared" si="17"/>
        <v>1</v>
      </c>
      <c r="G255" s="32" t="s">
        <v>89</v>
      </c>
      <c r="H255" s="20" t="s">
        <v>2785</v>
      </c>
      <c r="I255" s="20">
        <v>331</v>
      </c>
      <c r="J255" s="20">
        <v>1111</v>
      </c>
      <c r="K255" s="20" t="s">
        <v>20</v>
      </c>
      <c r="L255" s="20">
        <v>1</v>
      </c>
      <c r="M255" s="34">
        <v>97000</v>
      </c>
      <c r="N255" s="34">
        <f t="shared" si="14"/>
        <v>97000</v>
      </c>
      <c r="O255" s="33"/>
      <c r="P255" s="20">
        <f t="shared" si="15"/>
        <v>83</v>
      </c>
    </row>
    <row r="256" spans="1:16" ht="15" hidden="1" customHeight="1" x14ac:dyDescent="0.2">
      <c r="A256" s="20" t="s">
        <v>18</v>
      </c>
      <c r="B256" s="61">
        <v>46049</v>
      </c>
      <c r="C256" s="20">
        <f t="shared" si="16"/>
        <v>1346</v>
      </c>
      <c r="D256" s="38">
        <f t="shared" si="17"/>
        <v>1</v>
      </c>
      <c r="G256" s="32" t="s">
        <v>89</v>
      </c>
      <c r="H256" s="20" t="s">
        <v>1281</v>
      </c>
      <c r="I256" s="20">
        <v>64277</v>
      </c>
      <c r="J256" s="20">
        <v>331</v>
      </c>
      <c r="K256" s="20" t="s">
        <v>20</v>
      </c>
      <c r="L256" s="20">
        <v>1</v>
      </c>
      <c r="M256" s="34">
        <v>56481</v>
      </c>
      <c r="N256" s="34">
        <f t="shared" si="14"/>
        <v>56481</v>
      </c>
      <c r="O256" s="33"/>
      <c r="P256" s="20">
        <f t="shared" si="15"/>
        <v>72</v>
      </c>
    </row>
    <row r="257" spans="1:16" ht="15" hidden="1" customHeight="1" x14ac:dyDescent="0.2">
      <c r="A257" s="20" t="s">
        <v>18</v>
      </c>
      <c r="B257" s="61">
        <v>46049</v>
      </c>
      <c r="C257" s="20">
        <f t="shared" si="16"/>
        <v>1346</v>
      </c>
      <c r="D257" s="38">
        <f t="shared" si="17"/>
        <v>0</v>
      </c>
      <c r="G257" s="32" t="s">
        <v>89</v>
      </c>
      <c r="H257" s="20" t="s">
        <v>1281</v>
      </c>
      <c r="I257" s="20">
        <v>1331</v>
      </c>
      <c r="J257" s="20">
        <v>331</v>
      </c>
      <c r="K257" s="20" t="s">
        <v>20</v>
      </c>
      <c r="L257" s="20">
        <v>1</v>
      </c>
      <c r="M257" s="34">
        <v>4519</v>
      </c>
      <c r="N257" s="34">
        <f t="shared" si="14"/>
        <v>4519</v>
      </c>
      <c r="O257" s="33"/>
      <c r="P257" s="20">
        <f t="shared" si="15"/>
        <v>72</v>
      </c>
    </row>
    <row r="258" spans="1:16" ht="15" hidden="1" customHeight="1" x14ac:dyDescent="0.2">
      <c r="A258" s="20" t="s">
        <v>310</v>
      </c>
      <c r="B258" s="61">
        <v>46049</v>
      </c>
      <c r="C258" s="20">
        <f t="shared" si="16"/>
        <v>1347</v>
      </c>
      <c r="D258" s="38">
        <f t="shared" si="17"/>
        <v>1</v>
      </c>
      <c r="G258" s="32" t="s">
        <v>89</v>
      </c>
      <c r="H258" s="20" t="s">
        <v>2786</v>
      </c>
      <c r="I258" s="20">
        <v>331</v>
      </c>
      <c r="J258" s="20">
        <v>1111</v>
      </c>
      <c r="K258" s="20" t="s">
        <v>20</v>
      </c>
      <c r="L258" s="20">
        <v>1</v>
      </c>
      <c r="M258" s="34">
        <v>61000</v>
      </c>
      <c r="N258" s="34">
        <f t="shared" si="14"/>
        <v>61000</v>
      </c>
      <c r="O258" s="33"/>
      <c r="P258" s="20">
        <f t="shared" si="15"/>
        <v>83</v>
      </c>
    </row>
    <row r="259" spans="1:16" ht="15" hidden="1" customHeight="1" x14ac:dyDescent="0.2">
      <c r="A259" s="20" t="s">
        <v>18</v>
      </c>
      <c r="B259" s="61">
        <v>46049</v>
      </c>
      <c r="C259" s="20">
        <f t="shared" si="16"/>
        <v>1348</v>
      </c>
      <c r="D259" s="38">
        <f t="shared" si="17"/>
        <v>1</v>
      </c>
      <c r="G259" s="32" t="s">
        <v>89</v>
      </c>
      <c r="H259" s="20" t="s">
        <v>1282</v>
      </c>
      <c r="I259" s="20">
        <v>64277</v>
      </c>
      <c r="J259" s="20">
        <v>331</v>
      </c>
      <c r="K259" s="20" t="s">
        <v>20</v>
      </c>
      <c r="L259" s="20">
        <v>1</v>
      </c>
      <c r="M259" s="34">
        <v>41667</v>
      </c>
      <c r="N259" s="34">
        <f t="shared" si="14"/>
        <v>41667</v>
      </c>
      <c r="O259" s="33"/>
      <c r="P259" s="20">
        <f t="shared" si="15"/>
        <v>72</v>
      </c>
    </row>
    <row r="260" spans="1:16" ht="15" hidden="1" customHeight="1" x14ac:dyDescent="0.2">
      <c r="A260" s="20" t="s">
        <v>18</v>
      </c>
      <c r="B260" s="61">
        <v>46049</v>
      </c>
      <c r="C260" s="20">
        <f t="shared" si="16"/>
        <v>1348</v>
      </c>
      <c r="D260" s="38">
        <f t="shared" si="17"/>
        <v>0</v>
      </c>
      <c r="G260" s="32" t="s">
        <v>89</v>
      </c>
      <c r="H260" s="20" t="s">
        <v>1282</v>
      </c>
      <c r="I260" s="20">
        <v>1331</v>
      </c>
      <c r="J260" s="20">
        <v>331</v>
      </c>
      <c r="K260" s="20" t="s">
        <v>20</v>
      </c>
      <c r="L260" s="20">
        <v>1</v>
      </c>
      <c r="M260" s="34">
        <v>3333</v>
      </c>
      <c r="N260" s="34">
        <f t="shared" ref="N260:N322" si="18">L260*M260</f>
        <v>3333</v>
      </c>
      <c r="O260" s="33"/>
      <c r="P260" s="20">
        <f t="shared" si="15"/>
        <v>72</v>
      </c>
    </row>
    <row r="261" spans="1:16" ht="15" hidden="1" customHeight="1" x14ac:dyDescent="0.2">
      <c r="A261" s="20" t="s">
        <v>310</v>
      </c>
      <c r="B261" s="61">
        <v>46049</v>
      </c>
      <c r="C261" s="20">
        <f t="shared" si="16"/>
        <v>1349</v>
      </c>
      <c r="D261" s="38">
        <f t="shared" si="17"/>
        <v>1</v>
      </c>
      <c r="G261" s="32" t="s">
        <v>89</v>
      </c>
      <c r="H261" s="20" t="s">
        <v>2787</v>
      </c>
      <c r="I261" s="20">
        <v>331</v>
      </c>
      <c r="J261" s="20">
        <v>1111</v>
      </c>
      <c r="K261" s="20" t="s">
        <v>20</v>
      </c>
      <c r="L261" s="20">
        <v>1</v>
      </c>
      <c r="M261" s="34">
        <v>45000</v>
      </c>
      <c r="N261" s="34">
        <f t="shared" si="18"/>
        <v>45000</v>
      </c>
      <c r="O261" s="33"/>
      <c r="P261" s="20">
        <f t="shared" ref="P261:P323" si="19">LEN(H261)</f>
        <v>83</v>
      </c>
    </row>
    <row r="262" spans="1:16" ht="15" hidden="1" customHeight="1" x14ac:dyDescent="0.2">
      <c r="A262" s="20" t="s">
        <v>18</v>
      </c>
      <c r="B262" s="61">
        <v>46049</v>
      </c>
      <c r="C262" s="20">
        <f t="shared" ref="C262:C325" si="20">C261+D262</f>
        <v>1350</v>
      </c>
      <c r="D262" s="38">
        <f t="shared" ref="D262:D325" si="21">IF(H262=H261,0,1)</f>
        <v>1</v>
      </c>
      <c r="G262" s="32" t="s">
        <v>89</v>
      </c>
      <c r="H262" s="20" t="s">
        <v>1283</v>
      </c>
      <c r="I262" s="20">
        <v>64277</v>
      </c>
      <c r="J262" s="20">
        <v>331</v>
      </c>
      <c r="K262" s="20" t="s">
        <v>20</v>
      </c>
      <c r="L262" s="20">
        <v>1</v>
      </c>
      <c r="M262" s="34">
        <v>19444</v>
      </c>
      <c r="N262" s="34">
        <f t="shared" si="18"/>
        <v>19444</v>
      </c>
      <c r="O262" s="33"/>
      <c r="P262" s="20">
        <f t="shared" si="19"/>
        <v>72</v>
      </c>
    </row>
    <row r="263" spans="1:16" ht="15" hidden="1" customHeight="1" x14ac:dyDescent="0.2">
      <c r="A263" s="20" t="s">
        <v>18</v>
      </c>
      <c r="B263" s="61">
        <v>46049</v>
      </c>
      <c r="C263" s="20">
        <f t="shared" si="20"/>
        <v>1350</v>
      </c>
      <c r="D263" s="38">
        <f t="shared" si="21"/>
        <v>0</v>
      </c>
      <c r="G263" s="32" t="s">
        <v>89</v>
      </c>
      <c r="H263" s="20" t="s">
        <v>1283</v>
      </c>
      <c r="I263" s="20">
        <v>1331</v>
      </c>
      <c r="J263" s="20">
        <v>331</v>
      </c>
      <c r="K263" s="20" t="s">
        <v>20</v>
      </c>
      <c r="L263" s="20">
        <v>1</v>
      </c>
      <c r="M263" s="34">
        <v>1556</v>
      </c>
      <c r="N263" s="34">
        <f t="shared" si="18"/>
        <v>1556</v>
      </c>
      <c r="O263" s="33"/>
      <c r="P263" s="20">
        <f t="shared" si="19"/>
        <v>72</v>
      </c>
    </row>
    <row r="264" spans="1:16" ht="15" hidden="1" customHeight="1" x14ac:dyDescent="0.2">
      <c r="A264" s="20" t="s">
        <v>310</v>
      </c>
      <c r="B264" s="61">
        <v>46049</v>
      </c>
      <c r="C264" s="20">
        <f t="shared" si="20"/>
        <v>1351</v>
      </c>
      <c r="D264" s="38">
        <f t="shared" si="21"/>
        <v>1</v>
      </c>
      <c r="G264" s="32" t="s">
        <v>89</v>
      </c>
      <c r="H264" s="20" t="s">
        <v>2788</v>
      </c>
      <c r="I264" s="20">
        <v>331</v>
      </c>
      <c r="J264" s="20">
        <v>1111</v>
      </c>
      <c r="K264" s="20" t="s">
        <v>20</v>
      </c>
      <c r="L264" s="20">
        <v>1</v>
      </c>
      <c r="M264" s="34">
        <v>21000</v>
      </c>
      <c r="N264" s="34">
        <f t="shared" si="18"/>
        <v>21000</v>
      </c>
      <c r="O264" s="33"/>
      <c r="P264" s="20">
        <f t="shared" si="19"/>
        <v>83</v>
      </c>
    </row>
    <row r="265" spans="1:16" ht="15" hidden="1" customHeight="1" x14ac:dyDescent="0.2">
      <c r="A265" s="20" t="s">
        <v>18</v>
      </c>
      <c r="B265" s="61">
        <v>46049</v>
      </c>
      <c r="C265" s="20">
        <f t="shared" si="20"/>
        <v>1352</v>
      </c>
      <c r="D265" s="38">
        <f t="shared" si="21"/>
        <v>1</v>
      </c>
      <c r="G265" s="32" t="s">
        <v>1284</v>
      </c>
      <c r="H265" s="20" t="s">
        <v>1285</v>
      </c>
      <c r="I265" s="20">
        <v>64277</v>
      </c>
      <c r="J265" s="20">
        <v>331</v>
      </c>
      <c r="K265" s="20" t="s">
        <v>20</v>
      </c>
      <c r="L265" s="20">
        <v>1</v>
      </c>
      <c r="M265" s="34">
        <v>34629630</v>
      </c>
      <c r="N265" s="34">
        <f t="shared" si="18"/>
        <v>34629630</v>
      </c>
      <c r="O265" s="33"/>
      <c r="P265" s="20">
        <f t="shared" si="19"/>
        <v>121</v>
      </c>
    </row>
    <row r="266" spans="1:16" ht="15" hidden="1" customHeight="1" x14ac:dyDescent="0.2">
      <c r="A266" s="20" t="s">
        <v>18</v>
      </c>
      <c r="B266" s="61">
        <v>46049</v>
      </c>
      <c r="C266" s="20">
        <f t="shared" si="20"/>
        <v>1352</v>
      </c>
      <c r="D266" s="38">
        <f t="shared" si="21"/>
        <v>0</v>
      </c>
      <c r="G266" s="32" t="s">
        <v>1284</v>
      </c>
      <c r="H266" s="20" t="s">
        <v>1285</v>
      </c>
      <c r="I266" s="20">
        <v>1331</v>
      </c>
      <c r="J266" s="20">
        <v>331</v>
      </c>
      <c r="K266" s="20" t="s">
        <v>20</v>
      </c>
      <c r="L266" s="20">
        <v>1</v>
      </c>
      <c r="M266" s="34">
        <v>2770370</v>
      </c>
      <c r="N266" s="34">
        <f t="shared" si="18"/>
        <v>2770370</v>
      </c>
      <c r="O266" s="33"/>
      <c r="P266" s="20">
        <f t="shared" si="19"/>
        <v>121</v>
      </c>
    </row>
    <row r="267" spans="1:16" ht="15" hidden="1" customHeight="1" x14ac:dyDescent="0.2">
      <c r="A267" s="20" t="s">
        <v>18</v>
      </c>
      <c r="B267" s="61">
        <v>46050</v>
      </c>
      <c r="C267" s="20">
        <f t="shared" si="20"/>
        <v>1353</v>
      </c>
      <c r="D267" s="38">
        <f t="shared" si="21"/>
        <v>1</v>
      </c>
      <c r="G267" s="20" t="s">
        <v>89</v>
      </c>
      <c r="H267" s="37" t="s">
        <v>1286</v>
      </c>
      <c r="I267" s="38">
        <v>64277</v>
      </c>
      <c r="J267" s="38">
        <v>331</v>
      </c>
      <c r="K267" s="20" t="s">
        <v>20</v>
      </c>
      <c r="L267" s="20">
        <v>1</v>
      </c>
      <c r="M267" s="34">
        <v>38888</v>
      </c>
      <c r="N267" s="34">
        <f t="shared" si="18"/>
        <v>38888</v>
      </c>
      <c r="O267" s="33"/>
      <c r="P267" s="20">
        <f t="shared" si="19"/>
        <v>72</v>
      </c>
    </row>
    <row r="268" spans="1:16" ht="15" hidden="1" customHeight="1" x14ac:dyDescent="0.2">
      <c r="A268" s="20" t="s">
        <v>18</v>
      </c>
      <c r="B268" s="61">
        <v>46050</v>
      </c>
      <c r="C268" s="20">
        <f t="shared" si="20"/>
        <v>1353</v>
      </c>
      <c r="D268" s="38">
        <f t="shared" si="21"/>
        <v>0</v>
      </c>
      <c r="G268" s="20" t="s">
        <v>89</v>
      </c>
      <c r="H268" s="37" t="s">
        <v>1286</v>
      </c>
      <c r="I268" s="38">
        <v>1331</v>
      </c>
      <c r="J268" s="38">
        <v>331</v>
      </c>
      <c r="K268" s="20" t="s">
        <v>20</v>
      </c>
      <c r="L268" s="20">
        <v>1</v>
      </c>
      <c r="M268" s="34">
        <v>3112</v>
      </c>
      <c r="N268" s="34">
        <f t="shared" si="18"/>
        <v>3112</v>
      </c>
      <c r="O268" s="33"/>
      <c r="P268" s="20">
        <f t="shared" si="19"/>
        <v>72</v>
      </c>
    </row>
    <row r="269" spans="1:16" ht="15" hidden="1" customHeight="1" x14ac:dyDescent="0.2">
      <c r="A269" s="20" t="s">
        <v>310</v>
      </c>
      <c r="B269" s="61">
        <v>46050</v>
      </c>
      <c r="C269" s="20">
        <f t="shared" si="20"/>
        <v>1354</v>
      </c>
      <c r="D269" s="38">
        <f t="shared" si="21"/>
        <v>1</v>
      </c>
      <c r="G269" s="20" t="s">
        <v>89</v>
      </c>
      <c r="H269" s="20" t="s">
        <v>2789</v>
      </c>
      <c r="I269" s="38">
        <v>331</v>
      </c>
      <c r="J269" s="38">
        <v>1111</v>
      </c>
      <c r="K269" s="20" t="s">
        <v>20</v>
      </c>
      <c r="L269" s="20">
        <v>1</v>
      </c>
      <c r="M269" s="34">
        <v>42000</v>
      </c>
      <c r="N269" s="34">
        <f t="shared" si="18"/>
        <v>42000</v>
      </c>
      <c r="O269" s="33"/>
      <c r="P269" s="20">
        <f t="shared" si="19"/>
        <v>83</v>
      </c>
    </row>
    <row r="270" spans="1:16" ht="15" hidden="1" customHeight="1" x14ac:dyDescent="0.2">
      <c r="A270" s="20" t="s">
        <v>18</v>
      </c>
      <c r="B270" s="61">
        <v>46050</v>
      </c>
      <c r="C270" s="20">
        <f t="shared" si="20"/>
        <v>1355</v>
      </c>
      <c r="D270" s="38">
        <f t="shared" si="21"/>
        <v>1</v>
      </c>
      <c r="G270" s="20" t="s">
        <v>89</v>
      </c>
      <c r="H270" s="37" t="s">
        <v>1287</v>
      </c>
      <c r="I270" s="38">
        <v>64277</v>
      </c>
      <c r="J270" s="38">
        <v>331</v>
      </c>
      <c r="K270" s="20" t="s">
        <v>20</v>
      </c>
      <c r="L270" s="20">
        <v>1</v>
      </c>
      <c r="M270" s="34">
        <v>19444</v>
      </c>
      <c r="N270" s="34">
        <f t="shared" si="18"/>
        <v>19444</v>
      </c>
      <c r="O270" s="33"/>
      <c r="P270" s="20">
        <f t="shared" si="19"/>
        <v>72</v>
      </c>
    </row>
    <row r="271" spans="1:16" ht="15" hidden="1" customHeight="1" x14ac:dyDescent="0.2">
      <c r="A271" s="20" t="s">
        <v>18</v>
      </c>
      <c r="B271" s="61">
        <v>46050</v>
      </c>
      <c r="C271" s="20">
        <f t="shared" si="20"/>
        <v>1355</v>
      </c>
      <c r="D271" s="38">
        <f t="shared" si="21"/>
        <v>0</v>
      </c>
      <c r="G271" s="20" t="s">
        <v>89</v>
      </c>
      <c r="H271" s="37" t="s">
        <v>1287</v>
      </c>
      <c r="I271" s="38">
        <v>1331</v>
      </c>
      <c r="J271" s="38">
        <v>331</v>
      </c>
      <c r="K271" s="20" t="s">
        <v>20</v>
      </c>
      <c r="L271" s="20">
        <v>1</v>
      </c>
      <c r="M271" s="34">
        <v>1556</v>
      </c>
      <c r="N271" s="34">
        <f t="shared" si="18"/>
        <v>1556</v>
      </c>
      <c r="O271" s="33"/>
      <c r="P271" s="20">
        <f t="shared" si="19"/>
        <v>72</v>
      </c>
    </row>
    <row r="272" spans="1:16" ht="15" hidden="1" customHeight="1" x14ac:dyDescent="0.2">
      <c r="A272" s="20" t="s">
        <v>310</v>
      </c>
      <c r="B272" s="61">
        <v>46050</v>
      </c>
      <c r="C272" s="20">
        <f t="shared" si="20"/>
        <v>1356</v>
      </c>
      <c r="D272" s="38">
        <f t="shared" si="21"/>
        <v>1</v>
      </c>
      <c r="G272" s="20" t="s">
        <v>89</v>
      </c>
      <c r="H272" s="20" t="s">
        <v>2790</v>
      </c>
      <c r="I272" s="38">
        <v>331</v>
      </c>
      <c r="J272" s="38">
        <v>1111</v>
      </c>
      <c r="K272" s="20" t="s">
        <v>20</v>
      </c>
      <c r="L272" s="20">
        <v>1</v>
      </c>
      <c r="M272" s="34">
        <v>21000</v>
      </c>
      <c r="N272" s="34">
        <f t="shared" si="18"/>
        <v>21000</v>
      </c>
      <c r="O272" s="33"/>
      <c r="P272" s="20">
        <f t="shared" si="19"/>
        <v>83</v>
      </c>
    </row>
    <row r="273" spans="1:16" ht="15" hidden="1" customHeight="1" x14ac:dyDescent="0.2">
      <c r="A273" s="20" t="s">
        <v>18</v>
      </c>
      <c r="B273" s="61">
        <v>46050</v>
      </c>
      <c r="C273" s="20">
        <f t="shared" si="20"/>
        <v>1357</v>
      </c>
      <c r="D273" s="38">
        <f t="shared" si="21"/>
        <v>1</v>
      </c>
      <c r="G273" s="20" t="s">
        <v>1288</v>
      </c>
      <c r="H273" s="37" t="s">
        <v>2690</v>
      </c>
      <c r="I273" s="38">
        <v>64277</v>
      </c>
      <c r="J273" s="38">
        <v>331</v>
      </c>
      <c r="K273" s="20" t="s">
        <v>20</v>
      </c>
      <c r="L273" s="20">
        <v>1</v>
      </c>
      <c r="M273" s="34">
        <v>1364000</v>
      </c>
      <c r="N273" s="34">
        <f t="shared" si="18"/>
        <v>1364000</v>
      </c>
      <c r="O273" s="33"/>
      <c r="P273" s="20">
        <f t="shared" si="19"/>
        <v>41</v>
      </c>
    </row>
    <row r="274" spans="1:16" ht="15" hidden="1" customHeight="1" x14ac:dyDescent="0.2">
      <c r="A274" s="20" t="s">
        <v>18</v>
      </c>
      <c r="B274" s="61">
        <v>46050</v>
      </c>
      <c r="C274" s="20">
        <f t="shared" si="20"/>
        <v>1357</v>
      </c>
      <c r="D274" s="38">
        <f t="shared" si="21"/>
        <v>0</v>
      </c>
      <c r="G274" s="20" t="s">
        <v>1288</v>
      </c>
      <c r="H274" s="37" t="s">
        <v>2690</v>
      </c>
      <c r="I274" s="38">
        <v>1331</v>
      </c>
      <c r="J274" s="38">
        <v>331</v>
      </c>
      <c r="K274" s="20" t="s">
        <v>20</v>
      </c>
      <c r="L274" s="20">
        <v>1</v>
      </c>
      <c r="M274" s="34">
        <v>0</v>
      </c>
      <c r="N274" s="34">
        <f t="shared" si="18"/>
        <v>0</v>
      </c>
      <c r="O274" s="33"/>
      <c r="P274" s="20">
        <f t="shared" si="19"/>
        <v>41</v>
      </c>
    </row>
    <row r="275" spans="1:16" ht="15" hidden="1" customHeight="1" x14ac:dyDescent="0.2">
      <c r="A275" s="20" t="s">
        <v>310</v>
      </c>
      <c r="B275" s="61">
        <v>46050</v>
      </c>
      <c r="C275" s="20">
        <f t="shared" si="20"/>
        <v>1358</v>
      </c>
      <c r="D275" s="38">
        <f t="shared" si="21"/>
        <v>1</v>
      </c>
      <c r="G275" s="20" t="s">
        <v>1288</v>
      </c>
      <c r="H275" s="20" t="s">
        <v>2791</v>
      </c>
      <c r="I275" s="38">
        <v>331</v>
      </c>
      <c r="J275" s="38">
        <v>1111</v>
      </c>
      <c r="K275" s="20" t="s">
        <v>20</v>
      </c>
      <c r="L275" s="20">
        <v>1</v>
      </c>
      <c r="M275" s="34">
        <v>1364000</v>
      </c>
      <c r="N275" s="34">
        <f t="shared" si="18"/>
        <v>1364000</v>
      </c>
      <c r="O275" s="33"/>
      <c r="P275" s="20">
        <f t="shared" si="19"/>
        <v>52</v>
      </c>
    </row>
    <row r="276" spans="1:16" ht="15" hidden="1" customHeight="1" x14ac:dyDescent="0.2">
      <c r="A276" s="20" t="s">
        <v>18</v>
      </c>
      <c r="B276" s="61">
        <v>46051</v>
      </c>
      <c r="C276" s="20">
        <f t="shared" si="20"/>
        <v>1359</v>
      </c>
      <c r="D276" s="38">
        <f t="shared" si="21"/>
        <v>1</v>
      </c>
      <c r="G276" s="20" t="s">
        <v>89</v>
      </c>
      <c r="H276" s="37" t="s">
        <v>1289</v>
      </c>
      <c r="I276" s="38">
        <v>64277</v>
      </c>
      <c r="J276" s="38">
        <v>331</v>
      </c>
      <c r="K276" s="20" t="s">
        <v>20</v>
      </c>
      <c r="L276" s="20">
        <v>1</v>
      </c>
      <c r="M276" s="34">
        <v>41667</v>
      </c>
      <c r="N276" s="34">
        <f t="shared" si="18"/>
        <v>41667</v>
      </c>
      <c r="O276" s="33"/>
      <c r="P276" s="20">
        <f t="shared" si="19"/>
        <v>72</v>
      </c>
    </row>
    <row r="277" spans="1:16" ht="15" hidden="1" customHeight="1" x14ac:dyDescent="0.2">
      <c r="A277" s="20" t="s">
        <v>18</v>
      </c>
      <c r="B277" s="61">
        <v>46051</v>
      </c>
      <c r="C277" s="20">
        <f t="shared" si="20"/>
        <v>1359</v>
      </c>
      <c r="D277" s="38">
        <f t="shared" si="21"/>
        <v>0</v>
      </c>
      <c r="G277" s="20" t="s">
        <v>89</v>
      </c>
      <c r="H277" s="37" t="s">
        <v>1289</v>
      </c>
      <c r="I277" s="38">
        <v>1331</v>
      </c>
      <c r="J277" s="38">
        <v>331</v>
      </c>
      <c r="K277" s="20" t="s">
        <v>20</v>
      </c>
      <c r="L277" s="20">
        <v>1</v>
      </c>
      <c r="M277" s="34">
        <v>3333</v>
      </c>
      <c r="N277" s="34">
        <f t="shared" si="18"/>
        <v>3333</v>
      </c>
      <c r="O277" s="33"/>
      <c r="P277" s="20">
        <f t="shared" si="19"/>
        <v>72</v>
      </c>
    </row>
    <row r="278" spans="1:16" ht="15" hidden="1" customHeight="1" x14ac:dyDescent="0.2">
      <c r="A278" s="20" t="s">
        <v>310</v>
      </c>
      <c r="B278" s="61">
        <v>46051</v>
      </c>
      <c r="C278" s="20">
        <f t="shared" si="20"/>
        <v>1360</v>
      </c>
      <c r="D278" s="38">
        <f t="shared" si="21"/>
        <v>1</v>
      </c>
      <c r="G278" s="20" t="s">
        <v>89</v>
      </c>
      <c r="H278" s="20" t="s">
        <v>2792</v>
      </c>
      <c r="I278" s="38">
        <v>331</v>
      </c>
      <c r="J278" s="38">
        <v>1111</v>
      </c>
      <c r="K278" s="20" t="s">
        <v>20</v>
      </c>
      <c r="L278" s="20">
        <v>1</v>
      </c>
      <c r="M278" s="34">
        <v>45000</v>
      </c>
      <c r="N278" s="34">
        <f t="shared" si="18"/>
        <v>45000</v>
      </c>
      <c r="O278" s="33"/>
      <c r="P278" s="20">
        <f t="shared" si="19"/>
        <v>83</v>
      </c>
    </row>
    <row r="279" spans="1:16" ht="15" hidden="1" customHeight="1" x14ac:dyDescent="0.2">
      <c r="A279" s="20" t="s">
        <v>18</v>
      </c>
      <c r="B279" s="61">
        <v>46051</v>
      </c>
      <c r="C279" s="20">
        <f t="shared" si="20"/>
        <v>1361</v>
      </c>
      <c r="D279" s="38">
        <f t="shared" si="21"/>
        <v>1</v>
      </c>
      <c r="G279" s="20" t="s">
        <v>89</v>
      </c>
      <c r="H279" s="37" t="s">
        <v>1290</v>
      </c>
      <c r="I279" s="38">
        <v>64277</v>
      </c>
      <c r="J279" s="38">
        <v>331</v>
      </c>
      <c r="K279" s="20" t="s">
        <v>20</v>
      </c>
      <c r="L279" s="20">
        <v>1</v>
      </c>
      <c r="M279" s="34">
        <v>24074</v>
      </c>
      <c r="N279" s="34">
        <f t="shared" si="18"/>
        <v>24074</v>
      </c>
      <c r="O279" s="33"/>
      <c r="P279" s="20">
        <f t="shared" si="19"/>
        <v>72</v>
      </c>
    </row>
    <row r="280" spans="1:16" ht="15" hidden="1" customHeight="1" x14ac:dyDescent="0.2">
      <c r="A280" s="20" t="s">
        <v>18</v>
      </c>
      <c r="B280" s="61">
        <v>46051</v>
      </c>
      <c r="C280" s="20">
        <f t="shared" si="20"/>
        <v>1361</v>
      </c>
      <c r="D280" s="38">
        <f t="shared" si="21"/>
        <v>0</v>
      </c>
      <c r="G280" s="20" t="s">
        <v>89</v>
      </c>
      <c r="H280" s="37" t="s">
        <v>1290</v>
      </c>
      <c r="I280" s="38">
        <v>1331</v>
      </c>
      <c r="J280" s="38">
        <v>331</v>
      </c>
      <c r="K280" s="20" t="s">
        <v>20</v>
      </c>
      <c r="L280" s="20">
        <v>1</v>
      </c>
      <c r="M280" s="34">
        <v>1926</v>
      </c>
      <c r="N280" s="34">
        <f t="shared" si="18"/>
        <v>1926</v>
      </c>
      <c r="O280" s="33"/>
      <c r="P280" s="20">
        <f t="shared" si="19"/>
        <v>72</v>
      </c>
    </row>
    <row r="281" spans="1:16" ht="15" hidden="1" customHeight="1" x14ac:dyDescent="0.2">
      <c r="A281" s="20" t="s">
        <v>310</v>
      </c>
      <c r="B281" s="61">
        <v>46051</v>
      </c>
      <c r="C281" s="20">
        <f t="shared" si="20"/>
        <v>1362</v>
      </c>
      <c r="D281" s="38">
        <f t="shared" si="21"/>
        <v>1</v>
      </c>
      <c r="G281" s="20" t="s">
        <v>89</v>
      </c>
      <c r="H281" s="20" t="s">
        <v>2793</v>
      </c>
      <c r="I281" s="38">
        <v>331</v>
      </c>
      <c r="J281" s="38">
        <v>1111</v>
      </c>
      <c r="K281" s="20" t="s">
        <v>20</v>
      </c>
      <c r="L281" s="20">
        <v>1</v>
      </c>
      <c r="M281" s="34">
        <v>26000</v>
      </c>
      <c r="N281" s="34">
        <f t="shared" si="18"/>
        <v>26000</v>
      </c>
      <c r="O281" s="33"/>
      <c r="P281" s="20">
        <f t="shared" si="19"/>
        <v>83</v>
      </c>
    </row>
    <row r="282" spans="1:16" ht="15" hidden="1" customHeight="1" x14ac:dyDescent="0.2">
      <c r="A282" s="20" t="s">
        <v>18</v>
      </c>
      <c r="B282" s="61">
        <v>46051</v>
      </c>
      <c r="C282" s="20">
        <f t="shared" si="20"/>
        <v>1363</v>
      </c>
      <c r="D282" s="38">
        <f t="shared" si="21"/>
        <v>1</v>
      </c>
      <c r="G282" s="20" t="s">
        <v>89</v>
      </c>
      <c r="H282" s="37" t="s">
        <v>1291</v>
      </c>
      <c r="I282" s="38">
        <v>64277</v>
      </c>
      <c r="J282" s="38">
        <v>331</v>
      </c>
      <c r="K282" s="20" t="s">
        <v>20</v>
      </c>
      <c r="L282" s="20">
        <v>1</v>
      </c>
      <c r="M282" s="34">
        <v>30555</v>
      </c>
      <c r="N282" s="34">
        <f t="shared" si="18"/>
        <v>30555</v>
      </c>
      <c r="O282" s="33"/>
      <c r="P282" s="20">
        <f t="shared" si="19"/>
        <v>72</v>
      </c>
    </row>
    <row r="283" spans="1:16" ht="15" hidden="1" customHeight="1" x14ac:dyDescent="0.2">
      <c r="A283" s="20" t="s">
        <v>18</v>
      </c>
      <c r="B283" s="61">
        <v>46051</v>
      </c>
      <c r="C283" s="20">
        <f t="shared" si="20"/>
        <v>1363</v>
      </c>
      <c r="D283" s="38">
        <f t="shared" si="21"/>
        <v>0</v>
      </c>
      <c r="G283" s="20" t="s">
        <v>89</v>
      </c>
      <c r="H283" s="37" t="s">
        <v>1291</v>
      </c>
      <c r="I283" s="38">
        <v>1331</v>
      </c>
      <c r="J283" s="38">
        <v>331</v>
      </c>
      <c r="K283" s="20" t="s">
        <v>20</v>
      </c>
      <c r="L283" s="20">
        <v>1</v>
      </c>
      <c r="M283" s="34">
        <v>2445</v>
      </c>
      <c r="N283" s="34">
        <f t="shared" si="18"/>
        <v>2445</v>
      </c>
      <c r="O283" s="33"/>
      <c r="P283" s="20">
        <f t="shared" si="19"/>
        <v>72</v>
      </c>
    </row>
    <row r="284" spans="1:16" ht="15" hidden="1" customHeight="1" x14ac:dyDescent="0.2">
      <c r="A284" s="20" t="s">
        <v>310</v>
      </c>
      <c r="B284" s="61">
        <v>46051</v>
      </c>
      <c r="C284" s="20">
        <f t="shared" si="20"/>
        <v>1364</v>
      </c>
      <c r="D284" s="38">
        <f t="shared" si="21"/>
        <v>1</v>
      </c>
      <c r="G284" s="20" t="s">
        <v>89</v>
      </c>
      <c r="H284" s="20" t="s">
        <v>2794</v>
      </c>
      <c r="I284" s="38">
        <v>331</v>
      </c>
      <c r="J284" s="38">
        <v>1111</v>
      </c>
      <c r="K284" s="20" t="s">
        <v>20</v>
      </c>
      <c r="L284" s="20">
        <v>1</v>
      </c>
      <c r="M284" s="34">
        <v>33000</v>
      </c>
      <c r="N284" s="34">
        <f t="shared" si="18"/>
        <v>33000</v>
      </c>
      <c r="O284" s="33"/>
      <c r="P284" s="20">
        <f t="shared" si="19"/>
        <v>83</v>
      </c>
    </row>
    <row r="285" spans="1:16" ht="15" hidden="1" customHeight="1" x14ac:dyDescent="0.2">
      <c r="A285" s="20" t="s">
        <v>18</v>
      </c>
      <c r="B285" s="61">
        <v>46051</v>
      </c>
      <c r="C285" s="20">
        <f t="shared" si="20"/>
        <v>1365</v>
      </c>
      <c r="D285" s="38">
        <f t="shared" si="21"/>
        <v>1</v>
      </c>
      <c r="G285" s="20" t="s">
        <v>89</v>
      </c>
      <c r="H285" s="37" t="s">
        <v>1292</v>
      </c>
      <c r="I285" s="38">
        <v>64277</v>
      </c>
      <c r="J285" s="38">
        <v>331</v>
      </c>
      <c r="K285" s="20" t="s">
        <v>20</v>
      </c>
      <c r="L285" s="20">
        <v>1</v>
      </c>
      <c r="M285" s="34">
        <v>83334</v>
      </c>
      <c r="N285" s="34">
        <f t="shared" si="18"/>
        <v>83334</v>
      </c>
      <c r="O285" s="33"/>
      <c r="P285" s="20">
        <f t="shared" si="19"/>
        <v>72</v>
      </c>
    </row>
    <row r="286" spans="1:16" ht="15" hidden="1" customHeight="1" x14ac:dyDescent="0.2">
      <c r="A286" s="20" t="s">
        <v>18</v>
      </c>
      <c r="B286" s="61">
        <v>46051</v>
      </c>
      <c r="C286" s="20">
        <f t="shared" si="20"/>
        <v>1365</v>
      </c>
      <c r="D286" s="38">
        <f t="shared" si="21"/>
        <v>0</v>
      </c>
      <c r="G286" s="20" t="s">
        <v>89</v>
      </c>
      <c r="H286" s="37" t="s">
        <v>1292</v>
      </c>
      <c r="I286" s="38">
        <v>1331</v>
      </c>
      <c r="J286" s="38">
        <v>331</v>
      </c>
      <c r="K286" s="20" t="s">
        <v>20</v>
      </c>
      <c r="L286" s="20">
        <v>1</v>
      </c>
      <c r="M286" s="34">
        <v>6666</v>
      </c>
      <c r="N286" s="34">
        <f t="shared" si="18"/>
        <v>6666</v>
      </c>
      <c r="O286" s="33"/>
      <c r="P286" s="20">
        <f t="shared" si="19"/>
        <v>72</v>
      </c>
    </row>
    <row r="287" spans="1:16" ht="15" hidden="1" customHeight="1" x14ac:dyDescent="0.2">
      <c r="A287" s="20" t="s">
        <v>310</v>
      </c>
      <c r="B287" s="61">
        <v>46051</v>
      </c>
      <c r="C287" s="20">
        <f t="shared" si="20"/>
        <v>1366</v>
      </c>
      <c r="D287" s="38">
        <f t="shared" si="21"/>
        <v>1</v>
      </c>
      <c r="G287" s="20" t="s">
        <v>89</v>
      </c>
      <c r="H287" s="20" t="s">
        <v>2795</v>
      </c>
      <c r="I287" s="38">
        <v>331</v>
      </c>
      <c r="J287" s="38">
        <v>1111</v>
      </c>
      <c r="K287" s="20" t="s">
        <v>20</v>
      </c>
      <c r="L287" s="20">
        <v>1</v>
      </c>
      <c r="M287" s="34">
        <v>90000</v>
      </c>
      <c r="N287" s="34">
        <f t="shared" si="18"/>
        <v>90000</v>
      </c>
      <c r="O287" s="33"/>
      <c r="P287" s="20">
        <f t="shared" si="19"/>
        <v>83</v>
      </c>
    </row>
    <row r="288" spans="1:16" ht="15" hidden="1" customHeight="1" x14ac:dyDescent="0.2">
      <c r="A288" s="20" t="s">
        <v>18</v>
      </c>
      <c r="B288" s="61">
        <v>46052</v>
      </c>
      <c r="C288" s="20">
        <f t="shared" si="20"/>
        <v>1367</v>
      </c>
      <c r="D288" s="38">
        <f t="shared" si="21"/>
        <v>1</v>
      </c>
      <c r="G288" s="20" t="s">
        <v>35</v>
      </c>
      <c r="H288" s="37" t="s">
        <v>1293</v>
      </c>
      <c r="I288" s="38">
        <v>64277</v>
      </c>
      <c r="J288" s="38">
        <v>331</v>
      </c>
      <c r="K288" s="20" t="s">
        <v>20</v>
      </c>
      <c r="L288" s="20">
        <v>1</v>
      </c>
      <c r="M288" s="34">
        <v>3000000</v>
      </c>
      <c r="N288" s="34">
        <f t="shared" si="18"/>
        <v>3000000</v>
      </c>
      <c r="O288" s="33"/>
      <c r="P288" s="20">
        <f t="shared" si="19"/>
        <v>41</v>
      </c>
    </row>
    <row r="289" spans="1:22" ht="15" hidden="1" customHeight="1" x14ac:dyDescent="0.2">
      <c r="A289" s="20" t="s">
        <v>18</v>
      </c>
      <c r="B289" s="61">
        <v>46052</v>
      </c>
      <c r="C289" s="20">
        <f t="shared" si="20"/>
        <v>1367</v>
      </c>
      <c r="D289" s="38">
        <f t="shared" si="21"/>
        <v>0</v>
      </c>
      <c r="G289" s="20" t="s">
        <v>35</v>
      </c>
      <c r="H289" s="37" t="s">
        <v>1293</v>
      </c>
      <c r="I289" s="38">
        <v>1331</v>
      </c>
      <c r="J289" s="38">
        <v>331</v>
      </c>
      <c r="K289" s="20" t="s">
        <v>20</v>
      </c>
      <c r="L289" s="20">
        <v>1</v>
      </c>
      <c r="M289" s="34">
        <v>240000</v>
      </c>
      <c r="N289" s="34">
        <f t="shared" si="18"/>
        <v>240000</v>
      </c>
      <c r="O289" s="33"/>
      <c r="P289" s="20">
        <f t="shared" si="19"/>
        <v>41</v>
      </c>
    </row>
    <row r="290" spans="1:22" ht="15" hidden="1" customHeight="1" x14ac:dyDescent="0.2">
      <c r="A290" s="20" t="s">
        <v>310</v>
      </c>
      <c r="B290" s="61">
        <v>46052</v>
      </c>
      <c r="C290" s="20">
        <f t="shared" si="20"/>
        <v>1368</v>
      </c>
      <c r="D290" s="38">
        <f t="shared" si="21"/>
        <v>1</v>
      </c>
      <c r="G290" s="32" t="s">
        <v>35</v>
      </c>
      <c r="H290" s="20" t="s">
        <v>2796</v>
      </c>
      <c r="I290" s="38">
        <v>331</v>
      </c>
      <c r="J290" s="38">
        <v>1111</v>
      </c>
      <c r="K290" s="20" t="s">
        <v>20</v>
      </c>
      <c r="L290" s="20">
        <v>1</v>
      </c>
      <c r="M290" s="34">
        <v>3240000</v>
      </c>
      <c r="N290" s="34">
        <f t="shared" si="18"/>
        <v>3240000</v>
      </c>
      <c r="O290" s="33"/>
      <c r="P290" s="20">
        <f t="shared" si="19"/>
        <v>52</v>
      </c>
    </row>
    <row r="291" spans="1:22" ht="15" hidden="1" customHeight="1" x14ac:dyDescent="0.2">
      <c r="A291" s="20" t="s">
        <v>18</v>
      </c>
      <c r="B291" s="61">
        <v>46052</v>
      </c>
      <c r="C291" s="20">
        <f t="shared" si="20"/>
        <v>1369</v>
      </c>
      <c r="D291" s="38">
        <f t="shared" si="21"/>
        <v>1</v>
      </c>
      <c r="G291" s="32" t="s">
        <v>89</v>
      </c>
      <c r="H291" s="37" t="s">
        <v>1294</v>
      </c>
      <c r="I291" s="38">
        <v>64277</v>
      </c>
      <c r="J291" s="38">
        <v>331</v>
      </c>
      <c r="K291" s="20" t="s">
        <v>20</v>
      </c>
      <c r="L291" s="20">
        <v>1</v>
      </c>
      <c r="M291" s="34">
        <v>44444</v>
      </c>
      <c r="N291" s="34">
        <f t="shared" si="18"/>
        <v>44444</v>
      </c>
      <c r="O291" s="33"/>
      <c r="P291" s="20">
        <f t="shared" si="19"/>
        <v>72</v>
      </c>
    </row>
    <row r="292" spans="1:22" ht="15" hidden="1" customHeight="1" x14ac:dyDescent="0.2">
      <c r="A292" s="20" t="s">
        <v>18</v>
      </c>
      <c r="B292" s="61">
        <v>46052</v>
      </c>
      <c r="C292" s="20">
        <f t="shared" si="20"/>
        <v>1369</v>
      </c>
      <c r="D292" s="38">
        <f t="shared" si="21"/>
        <v>0</v>
      </c>
      <c r="G292" s="32" t="s">
        <v>89</v>
      </c>
      <c r="H292" s="37" t="s">
        <v>1294</v>
      </c>
      <c r="I292" s="38">
        <v>1331</v>
      </c>
      <c r="J292" s="38">
        <v>331</v>
      </c>
      <c r="K292" s="20" t="s">
        <v>20</v>
      </c>
      <c r="L292" s="20">
        <v>1</v>
      </c>
      <c r="M292" s="34">
        <v>3556</v>
      </c>
      <c r="N292" s="34">
        <f t="shared" si="18"/>
        <v>3556</v>
      </c>
      <c r="O292" s="33"/>
      <c r="P292" s="20">
        <f t="shared" si="19"/>
        <v>72</v>
      </c>
    </row>
    <row r="293" spans="1:22" ht="15" hidden="1" customHeight="1" x14ac:dyDescent="0.25">
      <c r="A293" s="20" t="s">
        <v>310</v>
      </c>
      <c r="B293" s="61">
        <v>46052</v>
      </c>
      <c r="C293" s="20">
        <f t="shared" si="20"/>
        <v>1370</v>
      </c>
      <c r="D293" s="38">
        <f t="shared" si="21"/>
        <v>1</v>
      </c>
      <c r="G293" s="32" t="s">
        <v>89</v>
      </c>
      <c r="H293" s="20" t="s">
        <v>2797</v>
      </c>
      <c r="I293" s="20">
        <v>331</v>
      </c>
      <c r="J293" s="20">
        <v>1111</v>
      </c>
      <c r="K293" s="20" t="s">
        <v>20</v>
      </c>
      <c r="L293" s="20">
        <v>1</v>
      </c>
      <c r="M293" s="34">
        <v>48000</v>
      </c>
      <c r="N293" s="34">
        <f t="shared" si="18"/>
        <v>48000</v>
      </c>
      <c r="O293" s="33"/>
      <c r="P293" s="20">
        <f t="shared" si="19"/>
        <v>83</v>
      </c>
      <c r="R293"/>
      <c r="S293"/>
      <c r="T293"/>
      <c r="U293"/>
      <c r="V293"/>
    </row>
    <row r="294" spans="1:22" ht="15" hidden="1" customHeight="1" x14ac:dyDescent="0.25">
      <c r="A294" s="20" t="s">
        <v>18</v>
      </c>
      <c r="B294" s="61">
        <v>46052</v>
      </c>
      <c r="C294" s="20">
        <f t="shared" si="20"/>
        <v>1371</v>
      </c>
      <c r="D294" s="38">
        <f t="shared" si="21"/>
        <v>1</v>
      </c>
      <c r="G294" s="32" t="s">
        <v>89</v>
      </c>
      <c r="H294" s="20" t="s">
        <v>1295</v>
      </c>
      <c r="I294" s="20">
        <v>64277</v>
      </c>
      <c r="J294" s="20">
        <v>331</v>
      </c>
      <c r="K294" s="20" t="s">
        <v>20</v>
      </c>
      <c r="L294" s="20">
        <v>1</v>
      </c>
      <c r="M294" s="34">
        <v>36112</v>
      </c>
      <c r="N294" s="34">
        <f t="shared" si="18"/>
        <v>36112</v>
      </c>
      <c r="O294" s="33"/>
      <c r="P294" s="20">
        <f t="shared" si="19"/>
        <v>72</v>
      </c>
      <c r="R294"/>
      <c r="S294"/>
      <c r="T294"/>
      <c r="U294"/>
      <c r="V294"/>
    </row>
    <row r="295" spans="1:22" ht="15" hidden="1" customHeight="1" x14ac:dyDescent="0.25">
      <c r="A295" s="20" t="s">
        <v>18</v>
      </c>
      <c r="B295" s="61">
        <v>46052</v>
      </c>
      <c r="C295" s="20">
        <f t="shared" si="20"/>
        <v>1371</v>
      </c>
      <c r="D295" s="38">
        <f t="shared" si="21"/>
        <v>0</v>
      </c>
      <c r="G295" s="32" t="s">
        <v>89</v>
      </c>
      <c r="H295" s="20" t="s">
        <v>1295</v>
      </c>
      <c r="I295" s="20">
        <v>1331</v>
      </c>
      <c r="J295" s="20">
        <v>331</v>
      </c>
      <c r="K295" s="20" t="s">
        <v>20</v>
      </c>
      <c r="L295" s="20">
        <v>1</v>
      </c>
      <c r="M295" s="34">
        <v>2888</v>
      </c>
      <c r="N295" s="34">
        <f t="shared" si="18"/>
        <v>2888</v>
      </c>
      <c r="O295" s="33"/>
      <c r="P295" s="20">
        <f t="shared" si="19"/>
        <v>72</v>
      </c>
      <c r="R295"/>
      <c r="S295"/>
      <c r="T295"/>
      <c r="U295"/>
      <c r="V295"/>
    </row>
    <row r="296" spans="1:22" ht="15" hidden="1" customHeight="1" x14ac:dyDescent="0.25">
      <c r="A296" s="20" t="s">
        <v>310</v>
      </c>
      <c r="B296" s="61">
        <v>46052</v>
      </c>
      <c r="C296" s="20">
        <f t="shared" si="20"/>
        <v>1372</v>
      </c>
      <c r="D296" s="38">
        <f t="shared" si="21"/>
        <v>1</v>
      </c>
      <c r="G296" s="32" t="s">
        <v>89</v>
      </c>
      <c r="H296" s="20" t="s">
        <v>2798</v>
      </c>
      <c r="I296" s="20">
        <v>331</v>
      </c>
      <c r="J296" s="20">
        <v>1111</v>
      </c>
      <c r="K296" s="20" t="s">
        <v>20</v>
      </c>
      <c r="L296" s="20">
        <v>1</v>
      </c>
      <c r="M296" s="34">
        <v>39000</v>
      </c>
      <c r="N296" s="34">
        <f t="shared" si="18"/>
        <v>39000</v>
      </c>
      <c r="O296" s="33"/>
      <c r="P296" s="20">
        <f t="shared" si="19"/>
        <v>83</v>
      </c>
      <c r="R296"/>
      <c r="S296"/>
      <c r="T296"/>
      <c r="U296"/>
      <c r="V296"/>
    </row>
    <row r="297" spans="1:22" ht="15" hidden="1" customHeight="1" x14ac:dyDescent="0.25">
      <c r="A297" s="20" t="s">
        <v>18</v>
      </c>
      <c r="B297" s="61">
        <v>46053</v>
      </c>
      <c r="C297" s="20">
        <f t="shared" si="20"/>
        <v>1373</v>
      </c>
      <c r="D297" s="38">
        <f t="shared" si="21"/>
        <v>1</v>
      </c>
      <c r="G297" s="32" t="s">
        <v>89</v>
      </c>
      <c r="H297" s="20" t="s">
        <v>1296</v>
      </c>
      <c r="I297" s="20">
        <v>64277</v>
      </c>
      <c r="J297" s="20">
        <v>331</v>
      </c>
      <c r="K297" s="20" t="s">
        <v>20</v>
      </c>
      <c r="L297" s="20">
        <v>1</v>
      </c>
      <c r="M297" s="34">
        <v>81481</v>
      </c>
      <c r="N297" s="34">
        <f t="shared" si="18"/>
        <v>81481</v>
      </c>
      <c r="O297" s="33"/>
      <c r="P297" s="20">
        <f t="shared" si="19"/>
        <v>72</v>
      </c>
      <c r="R297"/>
      <c r="S297"/>
      <c r="T297"/>
      <c r="U297"/>
      <c r="V297"/>
    </row>
    <row r="298" spans="1:22" ht="15" hidden="1" customHeight="1" x14ac:dyDescent="0.25">
      <c r="A298" s="20" t="s">
        <v>18</v>
      </c>
      <c r="B298" s="61">
        <v>46053</v>
      </c>
      <c r="C298" s="20">
        <f t="shared" si="20"/>
        <v>1373</v>
      </c>
      <c r="D298" s="38">
        <f t="shared" si="21"/>
        <v>0</v>
      </c>
      <c r="G298" s="32" t="s">
        <v>89</v>
      </c>
      <c r="H298" s="20" t="s">
        <v>1296</v>
      </c>
      <c r="I298" s="20">
        <v>1331</v>
      </c>
      <c r="J298" s="20">
        <v>331</v>
      </c>
      <c r="K298" s="20" t="s">
        <v>20</v>
      </c>
      <c r="L298" s="20">
        <v>1</v>
      </c>
      <c r="M298" s="34">
        <v>6519</v>
      </c>
      <c r="N298" s="34">
        <f t="shared" si="18"/>
        <v>6519</v>
      </c>
      <c r="O298" s="33"/>
      <c r="P298" s="20">
        <f t="shared" si="19"/>
        <v>72</v>
      </c>
      <c r="R298"/>
      <c r="S298"/>
      <c r="T298"/>
      <c r="U298"/>
      <c r="V298"/>
    </row>
    <row r="299" spans="1:22" ht="15" hidden="1" customHeight="1" x14ac:dyDescent="0.25">
      <c r="A299" s="20" t="s">
        <v>310</v>
      </c>
      <c r="B299" s="61">
        <v>46053</v>
      </c>
      <c r="C299" s="20">
        <f t="shared" si="20"/>
        <v>1374</v>
      </c>
      <c r="D299" s="38">
        <f t="shared" si="21"/>
        <v>1</v>
      </c>
      <c r="G299" s="32" t="s">
        <v>89</v>
      </c>
      <c r="H299" s="20" t="s">
        <v>2799</v>
      </c>
      <c r="I299" s="20">
        <v>331</v>
      </c>
      <c r="J299" s="20">
        <v>1111</v>
      </c>
      <c r="K299" s="20" t="s">
        <v>20</v>
      </c>
      <c r="L299" s="20">
        <v>1</v>
      </c>
      <c r="M299" s="34">
        <v>88000</v>
      </c>
      <c r="N299" s="34">
        <f t="shared" si="18"/>
        <v>88000</v>
      </c>
      <c r="O299" s="33"/>
      <c r="P299" s="20">
        <f t="shared" si="19"/>
        <v>83</v>
      </c>
      <c r="R299"/>
      <c r="S299"/>
      <c r="T299"/>
      <c r="U299"/>
      <c r="V299"/>
    </row>
    <row r="300" spans="1:22" ht="15" hidden="1" customHeight="1" x14ac:dyDescent="0.25">
      <c r="A300" s="20" t="s">
        <v>18</v>
      </c>
      <c r="B300" s="61">
        <v>46053</v>
      </c>
      <c r="C300" s="20">
        <f t="shared" si="20"/>
        <v>1375</v>
      </c>
      <c r="D300" s="38">
        <f t="shared" si="21"/>
        <v>1</v>
      </c>
      <c r="G300" s="32" t="s">
        <v>89</v>
      </c>
      <c r="H300" s="20" t="s">
        <v>1297</v>
      </c>
      <c r="I300" s="20">
        <v>64277</v>
      </c>
      <c r="J300" s="20">
        <v>331</v>
      </c>
      <c r="K300" s="20" t="s">
        <v>20</v>
      </c>
      <c r="L300" s="20">
        <v>1</v>
      </c>
      <c r="M300" s="34">
        <v>38888</v>
      </c>
      <c r="N300" s="34">
        <f t="shared" si="18"/>
        <v>38888</v>
      </c>
      <c r="O300" s="33"/>
      <c r="P300" s="20">
        <f t="shared" si="19"/>
        <v>72</v>
      </c>
      <c r="R300"/>
      <c r="S300"/>
      <c r="T300"/>
      <c r="U300"/>
      <c r="V300"/>
    </row>
    <row r="301" spans="1:22" ht="15" hidden="1" customHeight="1" x14ac:dyDescent="0.25">
      <c r="A301" s="20" t="s">
        <v>18</v>
      </c>
      <c r="B301" s="61">
        <v>46053</v>
      </c>
      <c r="C301" s="20">
        <f t="shared" si="20"/>
        <v>1375</v>
      </c>
      <c r="D301" s="38">
        <f t="shared" si="21"/>
        <v>0</v>
      </c>
      <c r="G301" s="32" t="s">
        <v>89</v>
      </c>
      <c r="H301" s="20" t="s">
        <v>1297</v>
      </c>
      <c r="I301" s="20">
        <v>1331</v>
      </c>
      <c r="J301" s="20">
        <v>331</v>
      </c>
      <c r="K301" s="20" t="s">
        <v>20</v>
      </c>
      <c r="L301" s="20">
        <v>1</v>
      </c>
      <c r="M301" s="34">
        <v>3112</v>
      </c>
      <c r="N301" s="34">
        <f t="shared" si="18"/>
        <v>3112</v>
      </c>
      <c r="O301" s="33"/>
      <c r="P301" s="20">
        <f t="shared" si="19"/>
        <v>72</v>
      </c>
      <c r="R301"/>
      <c r="S301"/>
      <c r="T301"/>
      <c r="U301"/>
      <c r="V301"/>
    </row>
    <row r="302" spans="1:22" ht="15" hidden="1" customHeight="1" x14ac:dyDescent="0.25">
      <c r="A302" s="20" t="s">
        <v>310</v>
      </c>
      <c r="B302" s="61">
        <v>46053</v>
      </c>
      <c r="C302" s="20">
        <f t="shared" si="20"/>
        <v>1376</v>
      </c>
      <c r="D302" s="38">
        <f t="shared" si="21"/>
        <v>1</v>
      </c>
      <c r="G302" s="32" t="s">
        <v>89</v>
      </c>
      <c r="H302" s="20" t="s">
        <v>2800</v>
      </c>
      <c r="I302" s="20">
        <v>331</v>
      </c>
      <c r="J302" s="20">
        <v>1111</v>
      </c>
      <c r="K302" s="20" t="s">
        <v>20</v>
      </c>
      <c r="L302" s="20">
        <v>1</v>
      </c>
      <c r="M302" s="34">
        <v>42000</v>
      </c>
      <c r="N302" s="34">
        <f t="shared" si="18"/>
        <v>42000</v>
      </c>
      <c r="O302" s="33"/>
      <c r="P302" s="20">
        <f t="shared" si="19"/>
        <v>83</v>
      </c>
      <c r="R302"/>
      <c r="S302"/>
      <c r="T302"/>
      <c r="U302"/>
      <c r="V302"/>
    </row>
    <row r="303" spans="1:22" ht="15" hidden="1" customHeight="1" x14ac:dyDescent="0.25">
      <c r="A303" s="20" t="s">
        <v>18</v>
      </c>
      <c r="B303" s="61">
        <v>46053</v>
      </c>
      <c r="C303" s="20">
        <f t="shared" si="20"/>
        <v>1377</v>
      </c>
      <c r="D303" s="38">
        <f t="shared" si="21"/>
        <v>1</v>
      </c>
      <c r="G303" s="32" t="s">
        <v>89</v>
      </c>
      <c r="H303" s="20" t="s">
        <v>1298</v>
      </c>
      <c r="I303" s="20">
        <v>64277</v>
      </c>
      <c r="J303" s="20">
        <v>331</v>
      </c>
      <c r="K303" s="20" t="s">
        <v>20</v>
      </c>
      <c r="L303" s="20">
        <v>1</v>
      </c>
      <c r="M303" s="34">
        <v>118519</v>
      </c>
      <c r="N303" s="34">
        <f t="shared" si="18"/>
        <v>118519</v>
      </c>
      <c r="O303" s="33"/>
      <c r="P303" s="20">
        <f t="shared" si="19"/>
        <v>72</v>
      </c>
      <c r="R303"/>
      <c r="S303"/>
      <c r="T303"/>
      <c r="U303"/>
      <c r="V303"/>
    </row>
    <row r="304" spans="1:22" ht="15" hidden="1" customHeight="1" x14ac:dyDescent="0.25">
      <c r="A304" s="20" t="s">
        <v>18</v>
      </c>
      <c r="B304" s="61">
        <v>46053</v>
      </c>
      <c r="C304" s="20">
        <f t="shared" si="20"/>
        <v>1377</v>
      </c>
      <c r="D304" s="38">
        <f t="shared" si="21"/>
        <v>0</v>
      </c>
      <c r="G304" s="32" t="s">
        <v>89</v>
      </c>
      <c r="H304" s="20" t="s">
        <v>1298</v>
      </c>
      <c r="I304" s="20">
        <v>1331</v>
      </c>
      <c r="J304" s="20">
        <v>331</v>
      </c>
      <c r="K304" s="20" t="s">
        <v>20</v>
      </c>
      <c r="L304" s="20">
        <v>1</v>
      </c>
      <c r="M304" s="34">
        <v>9481</v>
      </c>
      <c r="N304" s="34">
        <f t="shared" si="18"/>
        <v>9481</v>
      </c>
      <c r="O304" s="33"/>
      <c r="P304" s="20">
        <f t="shared" si="19"/>
        <v>72</v>
      </c>
      <c r="R304"/>
      <c r="S304"/>
      <c r="T304"/>
      <c r="U304"/>
      <c r="V304"/>
    </row>
    <row r="305" spans="1:22" ht="15" hidden="1" customHeight="1" x14ac:dyDescent="0.25">
      <c r="A305" s="20" t="s">
        <v>310</v>
      </c>
      <c r="B305" s="61">
        <v>46053</v>
      </c>
      <c r="C305" s="20">
        <f t="shared" si="20"/>
        <v>1378</v>
      </c>
      <c r="D305" s="38">
        <f t="shared" si="21"/>
        <v>1</v>
      </c>
      <c r="G305" s="32" t="s">
        <v>89</v>
      </c>
      <c r="H305" s="20" t="s">
        <v>2801</v>
      </c>
      <c r="I305" s="20">
        <v>331</v>
      </c>
      <c r="J305" s="20">
        <v>1111</v>
      </c>
      <c r="K305" s="20" t="s">
        <v>20</v>
      </c>
      <c r="L305" s="20">
        <v>1</v>
      </c>
      <c r="M305" s="34">
        <v>128000</v>
      </c>
      <c r="N305" s="34">
        <f t="shared" si="18"/>
        <v>128000</v>
      </c>
      <c r="O305" s="33"/>
      <c r="P305" s="20">
        <f t="shared" si="19"/>
        <v>83</v>
      </c>
      <c r="R305"/>
      <c r="S305"/>
      <c r="T305"/>
      <c r="U305"/>
      <c r="V305"/>
    </row>
    <row r="306" spans="1:22" ht="15" hidden="1" customHeight="1" x14ac:dyDescent="0.25">
      <c r="A306" s="20" t="s">
        <v>18</v>
      </c>
      <c r="B306" s="61">
        <v>46053</v>
      </c>
      <c r="C306" s="20">
        <f t="shared" si="20"/>
        <v>1379</v>
      </c>
      <c r="D306" s="38">
        <f t="shared" si="21"/>
        <v>1</v>
      </c>
      <c r="G306" s="32" t="s">
        <v>89</v>
      </c>
      <c r="H306" s="20" t="s">
        <v>1299</v>
      </c>
      <c r="I306" s="20">
        <v>64277</v>
      </c>
      <c r="J306" s="20">
        <v>331</v>
      </c>
      <c r="K306" s="20" t="s">
        <v>20</v>
      </c>
      <c r="L306" s="20">
        <v>1</v>
      </c>
      <c r="M306" s="34">
        <v>75926</v>
      </c>
      <c r="N306" s="34">
        <f t="shared" si="18"/>
        <v>75926</v>
      </c>
      <c r="O306" s="33"/>
      <c r="P306" s="20">
        <f t="shared" si="19"/>
        <v>72</v>
      </c>
      <c r="R306"/>
      <c r="S306"/>
      <c r="T306"/>
      <c r="U306"/>
      <c r="V306"/>
    </row>
    <row r="307" spans="1:22" ht="15" hidden="1" customHeight="1" x14ac:dyDescent="0.25">
      <c r="A307" s="20" t="s">
        <v>18</v>
      </c>
      <c r="B307" s="61">
        <v>46053</v>
      </c>
      <c r="C307" s="20">
        <f t="shared" si="20"/>
        <v>1379</v>
      </c>
      <c r="D307" s="38">
        <f t="shared" si="21"/>
        <v>0</v>
      </c>
      <c r="G307" s="32" t="s">
        <v>89</v>
      </c>
      <c r="H307" s="20" t="s">
        <v>1299</v>
      </c>
      <c r="I307" s="20">
        <v>1331</v>
      </c>
      <c r="J307" s="20">
        <v>331</v>
      </c>
      <c r="K307" s="20" t="s">
        <v>20</v>
      </c>
      <c r="L307" s="20">
        <v>1</v>
      </c>
      <c r="M307" s="34">
        <v>6074</v>
      </c>
      <c r="N307" s="34">
        <f t="shared" si="18"/>
        <v>6074</v>
      </c>
      <c r="O307" s="33"/>
      <c r="P307" s="20">
        <f t="shared" si="19"/>
        <v>72</v>
      </c>
      <c r="R307"/>
      <c r="S307"/>
      <c r="T307"/>
      <c r="U307"/>
      <c r="V307"/>
    </row>
    <row r="308" spans="1:22" ht="15" hidden="1" customHeight="1" x14ac:dyDescent="0.25">
      <c r="A308" s="20" t="s">
        <v>310</v>
      </c>
      <c r="B308" s="61">
        <v>46053</v>
      </c>
      <c r="C308" s="20">
        <f t="shared" si="20"/>
        <v>1380</v>
      </c>
      <c r="D308" s="38">
        <f t="shared" si="21"/>
        <v>1</v>
      </c>
      <c r="G308" s="32" t="s">
        <v>89</v>
      </c>
      <c r="H308" s="20" t="s">
        <v>2802</v>
      </c>
      <c r="I308" s="20">
        <v>331</v>
      </c>
      <c r="J308" s="20">
        <v>1111</v>
      </c>
      <c r="K308" s="20" t="s">
        <v>20</v>
      </c>
      <c r="L308" s="20">
        <v>1</v>
      </c>
      <c r="M308" s="34">
        <v>82000</v>
      </c>
      <c r="N308" s="34">
        <f t="shared" si="18"/>
        <v>82000</v>
      </c>
      <c r="O308" s="33"/>
      <c r="P308" s="20">
        <f t="shared" si="19"/>
        <v>83</v>
      </c>
      <c r="R308"/>
      <c r="S308"/>
      <c r="T308"/>
      <c r="U308"/>
      <c r="V308"/>
    </row>
    <row r="309" spans="1:22" ht="15" hidden="1" customHeight="1" x14ac:dyDescent="0.25">
      <c r="A309" s="20" t="s">
        <v>18</v>
      </c>
      <c r="B309" s="61">
        <v>46053</v>
      </c>
      <c r="C309" s="20">
        <f t="shared" si="20"/>
        <v>1381</v>
      </c>
      <c r="D309" s="38">
        <f t="shared" si="21"/>
        <v>1</v>
      </c>
      <c r="G309" s="32" t="s">
        <v>89</v>
      </c>
      <c r="H309" s="20" t="s">
        <v>1300</v>
      </c>
      <c r="I309" s="20">
        <v>64277</v>
      </c>
      <c r="J309" s="20">
        <v>331</v>
      </c>
      <c r="K309" s="20" t="s">
        <v>20</v>
      </c>
      <c r="L309" s="20">
        <v>1</v>
      </c>
      <c r="M309" s="34">
        <v>37037</v>
      </c>
      <c r="N309" s="34">
        <f t="shared" si="18"/>
        <v>37037</v>
      </c>
      <c r="O309" s="33"/>
      <c r="P309" s="20">
        <f t="shared" si="19"/>
        <v>72</v>
      </c>
      <c r="R309"/>
      <c r="S309"/>
      <c r="T309"/>
      <c r="U309"/>
      <c r="V309"/>
    </row>
    <row r="310" spans="1:22" ht="15" hidden="1" customHeight="1" x14ac:dyDescent="0.25">
      <c r="A310" s="20" t="s">
        <v>18</v>
      </c>
      <c r="B310" s="61">
        <v>46053</v>
      </c>
      <c r="C310" s="20">
        <f t="shared" si="20"/>
        <v>1381</v>
      </c>
      <c r="D310" s="38">
        <f t="shared" si="21"/>
        <v>0</v>
      </c>
      <c r="G310" s="32" t="s">
        <v>89</v>
      </c>
      <c r="H310" s="20" t="s">
        <v>1300</v>
      </c>
      <c r="I310" s="20">
        <v>1331</v>
      </c>
      <c r="J310" s="20">
        <v>331</v>
      </c>
      <c r="K310" s="20" t="s">
        <v>20</v>
      </c>
      <c r="L310" s="20">
        <v>1</v>
      </c>
      <c r="M310" s="34">
        <v>2963</v>
      </c>
      <c r="N310" s="34">
        <f t="shared" si="18"/>
        <v>2963</v>
      </c>
      <c r="O310" s="33"/>
      <c r="P310" s="20">
        <f t="shared" si="19"/>
        <v>72</v>
      </c>
      <c r="R310"/>
      <c r="S310"/>
      <c r="T310"/>
      <c r="U310"/>
      <c r="V310"/>
    </row>
    <row r="311" spans="1:22" ht="15" hidden="1" customHeight="1" x14ac:dyDescent="0.25">
      <c r="A311" s="20" t="s">
        <v>310</v>
      </c>
      <c r="B311" s="61">
        <v>46053</v>
      </c>
      <c r="C311" s="20">
        <f t="shared" si="20"/>
        <v>1382</v>
      </c>
      <c r="D311" s="38">
        <f t="shared" si="21"/>
        <v>1</v>
      </c>
      <c r="G311" s="32" t="s">
        <v>89</v>
      </c>
      <c r="H311" s="20" t="s">
        <v>2803</v>
      </c>
      <c r="I311" s="20">
        <v>331</v>
      </c>
      <c r="J311" s="20">
        <v>1111</v>
      </c>
      <c r="K311" s="20" t="s">
        <v>20</v>
      </c>
      <c r="L311" s="20">
        <v>1</v>
      </c>
      <c r="M311" s="34">
        <v>40000</v>
      </c>
      <c r="N311" s="34">
        <f t="shared" si="18"/>
        <v>40000</v>
      </c>
      <c r="O311" s="33"/>
      <c r="P311" s="20">
        <f t="shared" si="19"/>
        <v>83</v>
      </c>
      <c r="R311"/>
      <c r="S311"/>
      <c r="T311"/>
      <c r="U311"/>
      <c r="V311"/>
    </row>
    <row r="312" spans="1:22" ht="15" hidden="1" customHeight="1" x14ac:dyDescent="0.25">
      <c r="A312" s="20" t="s">
        <v>18</v>
      </c>
      <c r="B312" s="61">
        <v>46055</v>
      </c>
      <c r="C312" s="20">
        <f t="shared" si="20"/>
        <v>1383</v>
      </c>
      <c r="D312" s="38">
        <f t="shared" si="21"/>
        <v>1</v>
      </c>
      <c r="G312" s="32" t="s">
        <v>89</v>
      </c>
      <c r="H312" s="20" t="s">
        <v>1301</v>
      </c>
      <c r="I312" s="20">
        <v>64277</v>
      </c>
      <c r="J312" s="20">
        <v>331</v>
      </c>
      <c r="K312" s="20" t="s">
        <v>20</v>
      </c>
      <c r="L312" s="20">
        <v>1</v>
      </c>
      <c r="M312" s="34">
        <v>22222</v>
      </c>
      <c r="N312" s="34">
        <f t="shared" si="18"/>
        <v>22222</v>
      </c>
      <c r="O312" s="33"/>
      <c r="P312" s="20">
        <f t="shared" si="19"/>
        <v>72</v>
      </c>
      <c r="R312"/>
      <c r="S312"/>
      <c r="T312"/>
      <c r="U312"/>
      <c r="V312"/>
    </row>
    <row r="313" spans="1:22" ht="15" hidden="1" customHeight="1" x14ac:dyDescent="0.25">
      <c r="A313" s="20" t="s">
        <v>18</v>
      </c>
      <c r="B313" s="61">
        <v>46055</v>
      </c>
      <c r="C313" s="20">
        <f t="shared" si="20"/>
        <v>1383</v>
      </c>
      <c r="D313" s="38">
        <f t="shared" si="21"/>
        <v>0</v>
      </c>
      <c r="G313" s="32" t="s">
        <v>89</v>
      </c>
      <c r="H313" s="20" t="s">
        <v>1301</v>
      </c>
      <c r="I313" s="20">
        <v>1331</v>
      </c>
      <c r="J313" s="20">
        <v>331</v>
      </c>
      <c r="K313" s="20" t="s">
        <v>20</v>
      </c>
      <c r="L313" s="20">
        <v>1</v>
      </c>
      <c r="M313" s="34">
        <v>1778</v>
      </c>
      <c r="N313" s="34">
        <f t="shared" si="18"/>
        <v>1778</v>
      </c>
      <c r="O313" s="33"/>
      <c r="P313" s="20">
        <f t="shared" si="19"/>
        <v>72</v>
      </c>
      <c r="R313"/>
      <c r="S313"/>
      <c r="T313"/>
      <c r="U313"/>
      <c r="V313"/>
    </row>
    <row r="314" spans="1:22" ht="15" hidden="1" customHeight="1" x14ac:dyDescent="0.25">
      <c r="A314" s="20" t="s">
        <v>310</v>
      </c>
      <c r="B314" s="61">
        <v>46055</v>
      </c>
      <c r="C314" s="20">
        <f t="shared" si="20"/>
        <v>1384</v>
      </c>
      <c r="D314" s="38">
        <f t="shared" si="21"/>
        <v>1</v>
      </c>
      <c r="G314" s="32" t="s">
        <v>89</v>
      </c>
      <c r="H314" s="20" t="s">
        <v>2804</v>
      </c>
      <c r="I314" s="20">
        <v>331</v>
      </c>
      <c r="J314" s="20">
        <v>1111</v>
      </c>
      <c r="K314" s="20" t="s">
        <v>20</v>
      </c>
      <c r="L314" s="20">
        <v>1</v>
      </c>
      <c r="M314" s="34">
        <v>24000</v>
      </c>
      <c r="N314" s="34">
        <f t="shared" si="18"/>
        <v>24000</v>
      </c>
      <c r="O314" s="33"/>
      <c r="P314" s="20">
        <f t="shared" si="19"/>
        <v>83</v>
      </c>
      <c r="R314"/>
      <c r="S314"/>
      <c r="T314"/>
      <c r="U314"/>
      <c r="V314"/>
    </row>
    <row r="315" spans="1:22" ht="15" hidden="1" customHeight="1" x14ac:dyDescent="0.25">
      <c r="A315" s="20" t="s">
        <v>18</v>
      </c>
      <c r="B315" s="61">
        <v>46055</v>
      </c>
      <c r="C315" s="20">
        <f t="shared" si="20"/>
        <v>1385</v>
      </c>
      <c r="D315" s="38">
        <f t="shared" si="21"/>
        <v>1</v>
      </c>
      <c r="G315" s="32" t="s">
        <v>275</v>
      </c>
      <c r="H315" s="20" t="s">
        <v>1302</v>
      </c>
      <c r="I315" s="20">
        <v>64277</v>
      </c>
      <c r="J315" s="20">
        <v>331</v>
      </c>
      <c r="K315" s="20" t="s">
        <v>20</v>
      </c>
      <c r="L315" s="20">
        <v>1</v>
      </c>
      <c r="M315" s="34">
        <v>2305556</v>
      </c>
      <c r="N315" s="34">
        <f t="shared" ref="N315" si="22">L315*M315</f>
        <v>2305556</v>
      </c>
      <c r="O315" s="33"/>
      <c r="P315" s="20">
        <f t="shared" si="19"/>
        <v>91</v>
      </c>
      <c r="R315"/>
      <c r="S315"/>
      <c r="T315"/>
      <c r="U315"/>
      <c r="V315"/>
    </row>
    <row r="316" spans="1:22" ht="15" hidden="1" customHeight="1" x14ac:dyDescent="0.25">
      <c r="A316" s="20" t="s">
        <v>18</v>
      </c>
      <c r="B316" s="61">
        <v>46055</v>
      </c>
      <c r="C316" s="20">
        <f t="shared" si="20"/>
        <v>1385</v>
      </c>
      <c r="D316" s="38">
        <f t="shared" si="21"/>
        <v>0</v>
      </c>
      <c r="G316" s="32" t="s">
        <v>275</v>
      </c>
      <c r="H316" s="20" t="s">
        <v>1302</v>
      </c>
      <c r="I316" s="20">
        <v>1331</v>
      </c>
      <c r="J316" s="20">
        <v>331</v>
      </c>
      <c r="K316" s="20" t="s">
        <v>20</v>
      </c>
      <c r="L316" s="20">
        <v>1</v>
      </c>
      <c r="M316" s="34">
        <v>184444</v>
      </c>
      <c r="N316" s="34">
        <f t="shared" si="18"/>
        <v>184444</v>
      </c>
      <c r="O316" s="33"/>
      <c r="P316" s="20">
        <f t="shared" si="19"/>
        <v>91</v>
      </c>
      <c r="R316"/>
      <c r="S316"/>
      <c r="T316"/>
      <c r="U316"/>
      <c r="V316"/>
    </row>
    <row r="317" spans="1:22" ht="15" hidden="1" customHeight="1" x14ac:dyDescent="0.25">
      <c r="A317" s="20" t="s">
        <v>310</v>
      </c>
      <c r="B317" s="61">
        <v>46055</v>
      </c>
      <c r="C317" s="20">
        <f t="shared" si="20"/>
        <v>1386</v>
      </c>
      <c r="D317" s="38">
        <f t="shared" si="21"/>
        <v>1</v>
      </c>
      <c r="G317" s="32" t="s">
        <v>275</v>
      </c>
      <c r="H317" s="20" t="s">
        <v>2805</v>
      </c>
      <c r="I317" s="20">
        <v>331</v>
      </c>
      <c r="J317" s="20">
        <v>1111</v>
      </c>
      <c r="K317" s="20" t="s">
        <v>20</v>
      </c>
      <c r="L317" s="20">
        <v>1</v>
      </c>
      <c r="M317" s="34">
        <v>2490000</v>
      </c>
      <c r="N317" s="34">
        <f t="shared" si="18"/>
        <v>2490000</v>
      </c>
      <c r="O317" s="33"/>
      <c r="P317" s="20">
        <f t="shared" si="19"/>
        <v>102</v>
      </c>
      <c r="R317"/>
      <c r="S317"/>
      <c r="T317"/>
      <c r="U317"/>
      <c r="V317"/>
    </row>
    <row r="318" spans="1:22" ht="15" hidden="1" customHeight="1" x14ac:dyDescent="0.25">
      <c r="A318" s="20" t="s">
        <v>18</v>
      </c>
      <c r="B318" s="61">
        <v>46056</v>
      </c>
      <c r="C318" s="20">
        <f t="shared" si="20"/>
        <v>1387</v>
      </c>
      <c r="D318" s="38">
        <f t="shared" si="21"/>
        <v>1</v>
      </c>
      <c r="G318" s="32" t="s">
        <v>1303</v>
      </c>
      <c r="H318" s="20" t="s">
        <v>1304</v>
      </c>
      <c r="I318" s="20">
        <v>64277</v>
      </c>
      <c r="J318" s="20">
        <v>331</v>
      </c>
      <c r="K318" s="20" t="s">
        <v>20</v>
      </c>
      <c r="L318" s="20">
        <v>1</v>
      </c>
      <c r="M318" s="34">
        <v>4071297</v>
      </c>
      <c r="N318" s="34">
        <f t="shared" si="18"/>
        <v>4071297</v>
      </c>
      <c r="O318" s="33"/>
      <c r="P318" s="20">
        <f t="shared" si="19"/>
        <v>51</v>
      </c>
      <c r="R318"/>
      <c r="S318"/>
      <c r="T318"/>
      <c r="U318"/>
      <c r="V318"/>
    </row>
    <row r="319" spans="1:22" ht="15" hidden="1" customHeight="1" x14ac:dyDescent="0.25">
      <c r="A319" s="20" t="s">
        <v>18</v>
      </c>
      <c r="B319" s="61">
        <v>46056</v>
      </c>
      <c r="C319" s="20">
        <f t="shared" si="20"/>
        <v>1387</v>
      </c>
      <c r="D319" s="38">
        <f t="shared" si="21"/>
        <v>0</v>
      </c>
      <c r="G319" s="32" t="s">
        <v>1303</v>
      </c>
      <c r="H319" s="20" t="s">
        <v>1304</v>
      </c>
      <c r="I319" s="20">
        <v>1331</v>
      </c>
      <c r="J319" s="20">
        <v>331</v>
      </c>
      <c r="K319" s="20" t="s">
        <v>20</v>
      </c>
      <c r="L319" s="20">
        <v>1</v>
      </c>
      <c r="M319" s="34">
        <v>325703</v>
      </c>
      <c r="N319" s="34">
        <f t="shared" si="18"/>
        <v>325703</v>
      </c>
      <c r="O319" s="33"/>
      <c r="P319" s="20">
        <f t="shared" si="19"/>
        <v>51</v>
      </c>
      <c r="R319"/>
      <c r="S319"/>
      <c r="T319"/>
      <c r="U319"/>
      <c r="V319"/>
    </row>
    <row r="320" spans="1:22" ht="15" hidden="1" customHeight="1" x14ac:dyDescent="0.25">
      <c r="A320" s="20" t="s">
        <v>310</v>
      </c>
      <c r="B320" s="61">
        <v>46056</v>
      </c>
      <c r="C320" s="20">
        <f t="shared" si="20"/>
        <v>1388</v>
      </c>
      <c r="D320" s="38">
        <f t="shared" si="21"/>
        <v>1</v>
      </c>
      <c r="G320" s="32" t="s">
        <v>1303</v>
      </c>
      <c r="H320" s="20" t="s">
        <v>2806</v>
      </c>
      <c r="I320" s="20">
        <v>331</v>
      </c>
      <c r="J320" s="20">
        <v>1111</v>
      </c>
      <c r="K320" s="20" t="s">
        <v>20</v>
      </c>
      <c r="L320" s="20">
        <v>1</v>
      </c>
      <c r="M320" s="34">
        <v>4397000</v>
      </c>
      <c r="N320" s="34">
        <f t="shared" si="18"/>
        <v>4397000</v>
      </c>
      <c r="O320" s="33"/>
      <c r="P320" s="20">
        <f t="shared" si="19"/>
        <v>62</v>
      </c>
      <c r="R320"/>
      <c r="S320"/>
      <c r="T320"/>
      <c r="U320"/>
      <c r="V320"/>
    </row>
    <row r="321" spans="1:22" ht="15" hidden="1" customHeight="1" x14ac:dyDescent="0.25">
      <c r="A321" s="20" t="s">
        <v>18</v>
      </c>
      <c r="B321" s="61">
        <v>46056</v>
      </c>
      <c r="C321" s="20">
        <f t="shared" si="20"/>
        <v>1389</v>
      </c>
      <c r="D321" s="38">
        <f t="shared" si="21"/>
        <v>1</v>
      </c>
      <c r="G321" s="32" t="s">
        <v>89</v>
      </c>
      <c r="H321" s="20" t="s">
        <v>1305</v>
      </c>
      <c r="I321" s="20">
        <v>64277</v>
      </c>
      <c r="J321" s="20">
        <v>331</v>
      </c>
      <c r="K321" s="20" t="s">
        <v>20</v>
      </c>
      <c r="L321" s="20">
        <v>1</v>
      </c>
      <c r="M321" s="34">
        <v>128703</v>
      </c>
      <c r="N321" s="34">
        <f t="shared" si="18"/>
        <v>128703</v>
      </c>
      <c r="O321" s="33"/>
      <c r="P321" s="20">
        <f t="shared" si="19"/>
        <v>72</v>
      </c>
      <c r="R321"/>
      <c r="S321"/>
      <c r="T321"/>
      <c r="U321"/>
      <c r="V321"/>
    </row>
    <row r="322" spans="1:22" ht="15" hidden="1" customHeight="1" x14ac:dyDescent="0.25">
      <c r="A322" s="20" t="s">
        <v>18</v>
      </c>
      <c r="B322" s="61">
        <v>46056</v>
      </c>
      <c r="C322" s="20">
        <f t="shared" si="20"/>
        <v>1389</v>
      </c>
      <c r="D322" s="38">
        <f t="shared" si="21"/>
        <v>0</v>
      </c>
      <c r="G322" s="32" t="s">
        <v>89</v>
      </c>
      <c r="H322" s="20" t="s">
        <v>1305</v>
      </c>
      <c r="I322" s="20">
        <v>1331</v>
      </c>
      <c r="J322" s="20">
        <v>331</v>
      </c>
      <c r="K322" s="20" t="s">
        <v>20</v>
      </c>
      <c r="L322" s="20">
        <v>1</v>
      </c>
      <c r="M322" s="34">
        <v>10297</v>
      </c>
      <c r="N322" s="34">
        <f t="shared" si="18"/>
        <v>10297</v>
      </c>
      <c r="O322" s="33"/>
      <c r="P322" s="20">
        <f t="shared" si="19"/>
        <v>72</v>
      </c>
      <c r="R322"/>
      <c r="S322"/>
      <c r="T322"/>
      <c r="U322"/>
      <c r="V322"/>
    </row>
    <row r="323" spans="1:22" ht="15" hidden="1" customHeight="1" x14ac:dyDescent="0.25">
      <c r="A323" s="20" t="s">
        <v>310</v>
      </c>
      <c r="B323" s="61">
        <v>46056</v>
      </c>
      <c r="C323" s="20">
        <f t="shared" si="20"/>
        <v>1390</v>
      </c>
      <c r="D323" s="38">
        <f t="shared" si="21"/>
        <v>1</v>
      </c>
      <c r="G323" s="32" t="s">
        <v>89</v>
      </c>
      <c r="H323" s="20" t="s">
        <v>2807</v>
      </c>
      <c r="I323" s="20">
        <v>331</v>
      </c>
      <c r="J323" s="20">
        <v>1111</v>
      </c>
      <c r="K323" s="20" t="s">
        <v>20</v>
      </c>
      <c r="L323" s="20">
        <v>1</v>
      </c>
      <c r="M323" s="34">
        <v>139000</v>
      </c>
      <c r="N323" s="34">
        <f t="shared" ref="N323:N386" si="23">L323*M323</f>
        <v>139000</v>
      </c>
      <c r="O323" s="33"/>
      <c r="P323" s="20">
        <f t="shared" si="19"/>
        <v>83</v>
      </c>
      <c r="R323"/>
      <c r="S323"/>
      <c r="T323"/>
      <c r="U323"/>
      <c r="V323"/>
    </row>
    <row r="324" spans="1:22" ht="15" hidden="1" customHeight="1" x14ac:dyDescent="0.2">
      <c r="A324" s="20" t="s">
        <v>18</v>
      </c>
      <c r="B324" s="61">
        <v>46056</v>
      </c>
      <c r="C324" s="20">
        <f t="shared" si="20"/>
        <v>1391</v>
      </c>
      <c r="D324" s="38">
        <f t="shared" si="21"/>
        <v>1</v>
      </c>
      <c r="G324" s="32" t="s">
        <v>89</v>
      </c>
      <c r="H324" s="20" t="s">
        <v>1306</v>
      </c>
      <c r="I324" s="20">
        <v>64277</v>
      </c>
      <c r="J324" s="20">
        <v>331</v>
      </c>
      <c r="K324" s="20" t="s">
        <v>20</v>
      </c>
      <c r="L324" s="20">
        <v>1</v>
      </c>
      <c r="M324" s="34">
        <v>12037</v>
      </c>
      <c r="N324" s="34">
        <f t="shared" si="23"/>
        <v>12037</v>
      </c>
      <c r="O324" s="33"/>
      <c r="P324" s="20">
        <f t="shared" ref="P324:P387" si="24">LEN(H324)</f>
        <v>72</v>
      </c>
    </row>
    <row r="325" spans="1:22" ht="15" hidden="1" customHeight="1" x14ac:dyDescent="0.2">
      <c r="A325" s="20" t="s">
        <v>18</v>
      </c>
      <c r="B325" s="61">
        <v>46056</v>
      </c>
      <c r="C325" s="20">
        <f t="shared" si="20"/>
        <v>1391</v>
      </c>
      <c r="D325" s="38">
        <f t="shared" si="21"/>
        <v>0</v>
      </c>
      <c r="G325" s="32" t="s">
        <v>89</v>
      </c>
      <c r="H325" s="20" t="s">
        <v>1306</v>
      </c>
      <c r="I325" s="20">
        <v>1331</v>
      </c>
      <c r="J325" s="20">
        <v>331</v>
      </c>
      <c r="K325" s="20" t="s">
        <v>20</v>
      </c>
      <c r="L325" s="20">
        <v>1</v>
      </c>
      <c r="M325" s="34">
        <v>963</v>
      </c>
      <c r="N325" s="34">
        <f t="shared" si="23"/>
        <v>963</v>
      </c>
      <c r="O325" s="33"/>
      <c r="P325" s="20">
        <f t="shared" si="24"/>
        <v>72</v>
      </c>
    </row>
    <row r="326" spans="1:22" ht="15" hidden="1" customHeight="1" x14ac:dyDescent="0.2">
      <c r="A326" s="20" t="s">
        <v>310</v>
      </c>
      <c r="B326" s="61">
        <v>46056</v>
      </c>
      <c r="C326" s="20">
        <f t="shared" ref="C326:C389" si="25">C325+D326</f>
        <v>1392</v>
      </c>
      <c r="D326" s="38">
        <f t="shared" ref="D326:D389" si="26">IF(H326=H325,0,1)</f>
        <v>1</v>
      </c>
      <c r="G326" s="32" t="s">
        <v>89</v>
      </c>
      <c r="H326" s="20" t="s">
        <v>2808</v>
      </c>
      <c r="I326" s="20">
        <v>331</v>
      </c>
      <c r="J326" s="20">
        <v>1111</v>
      </c>
      <c r="K326" s="20" t="s">
        <v>20</v>
      </c>
      <c r="L326" s="20">
        <v>1</v>
      </c>
      <c r="M326" s="34">
        <v>13000</v>
      </c>
      <c r="N326" s="34">
        <f t="shared" si="23"/>
        <v>13000</v>
      </c>
      <c r="O326" s="33"/>
      <c r="P326" s="20">
        <f t="shared" si="24"/>
        <v>83</v>
      </c>
    </row>
    <row r="327" spans="1:22" ht="15" hidden="1" customHeight="1" x14ac:dyDescent="0.2">
      <c r="A327" s="20" t="s">
        <v>18</v>
      </c>
      <c r="B327" s="61">
        <v>46056</v>
      </c>
      <c r="C327" s="20">
        <f t="shared" si="25"/>
        <v>1393</v>
      </c>
      <c r="D327" s="38">
        <f t="shared" si="26"/>
        <v>1</v>
      </c>
      <c r="G327" s="32" t="s">
        <v>89</v>
      </c>
      <c r="H327" s="20" t="s">
        <v>1307</v>
      </c>
      <c r="I327" s="20">
        <v>64277</v>
      </c>
      <c r="J327" s="20">
        <v>331</v>
      </c>
      <c r="K327" s="20" t="s">
        <v>20</v>
      </c>
      <c r="L327" s="20">
        <v>1</v>
      </c>
      <c r="M327" s="34">
        <v>16666</v>
      </c>
      <c r="N327" s="34">
        <f t="shared" si="23"/>
        <v>16666</v>
      </c>
      <c r="O327" s="33"/>
      <c r="P327" s="20">
        <f t="shared" si="24"/>
        <v>72</v>
      </c>
    </row>
    <row r="328" spans="1:22" ht="15" hidden="1" customHeight="1" x14ac:dyDescent="0.2">
      <c r="A328" s="20" t="s">
        <v>18</v>
      </c>
      <c r="B328" s="61">
        <v>46056</v>
      </c>
      <c r="C328" s="20">
        <f t="shared" si="25"/>
        <v>1393</v>
      </c>
      <c r="D328" s="38">
        <f t="shared" si="26"/>
        <v>0</v>
      </c>
      <c r="G328" s="32" t="s">
        <v>89</v>
      </c>
      <c r="H328" s="20" t="s">
        <v>1307</v>
      </c>
      <c r="I328" s="20">
        <v>1331</v>
      </c>
      <c r="J328" s="20">
        <v>331</v>
      </c>
      <c r="K328" s="20" t="s">
        <v>20</v>
      </c>
      <c r="L328" s="20">
        <v>1</v>
      </c>
      <c r="M328" s="34">
        <v>1334</v>
      </c>
      <c r="N328" s="34">
        <f t="shared" si="23"/>
        <v>1334</v>
      </c>
      <c r="O328" s="33"/>
      <c r="P328" s="20">
        <f t="shared" si="24"/>
        <v>72</v>
      </c>
    </row>
    <row r="329" spans="1:22" ht="15" hidden="1" customHeight="1" x14ac:dyDescent="0.2">
      <c r="A329" s="20" t="s">
        <v>310</v>
      </c>
      <c r="B329" s="61">
        <v>46056</v>
      </c>
      <c r="C329" s="20">
        <f t="shared" si="25"/>
        <v>1394</v>
      </c>
      <c r="D329" s="38">
        <f t="shared" si="26"/>
        <v>1</v>
      </c>
      <c r="G329" s="32" t="s">
        <v>89</v>
      </c>
      <c r="H329" s="20" t="s">
        <v>2809</v>
      </c>
      <c r="I329" s="20">
        <v>331</v>
      </c>
      <c r="J329" s="20">
        <v>1111</v>
      </c>
      <c r="K329" s="20" t="s">
        <v>20</v>
      </c>
      <c r="L329" s="20">
        <v>1</v>
      </c>
      <c r="M329" s="34">
        <v>18000</v>
      </c>
      <c r="N329" s="34">
        <f t="shared" si="23"/>
        <v>18000</v>
      </c>
      <c r="O329" s="33"/>
      <c r="P329" s="20">
        <f t="shared" si="24"/>
        <v>83</v>
      </c>
    </row>
    <row r="330" spans="1:22" ht="15" hidden="1" customHeight="1" x14ac:dyDescent="0.2">
      <c r="A330" s="20" t="s">
        <v>18</v>
      </c>
      <c r="B330" s="61">
        <v>46056</v>
      </c>
      <c r="C330" s="20">
        <f t="shared" si="25"/>
        <v>1395</v>
      </c>
      <c r="D330" s="38">
        <f t="shared" si="26"/>
        <v>1</v>
      </c>
      <c r="G330" s="32" t="s">
        <v>89</v>
      </c>
      <c r="H330" s="20" t="s">
        <v>1308</v>
      </c>
      <c r="I330" s="20">
        <v>64277</v>
      </c>
      <c r="J330" s="20">
        <v>331</v>
      </c>
      <c r="K330" s="20" t="s">
        <v>20</v>
      </c>
      <c r="L330" s="20">
        <v>1</v>
      </c>
      <c r="M330" s="34">
        <v>38888</v>
      </c>
      <c r="N330" s="34">
        <f t="shared" si="23"/>
        <v>38888</v>
      </c>
      <c r="O330" s="33"/>
      <c r="P330" s="20">
        <f t="shared" si="24"/>
        <v>72</v>
      </c>
    </row>
    <row r="331" spans="1:22" ht="15" hidden="1" customHeight="1" x14ac:dyDescent="0.2">
      <c r="A331" s="20" t="s">
        <v>18</v>
      </c>
      <c r="B331" s="61">
        <v>46056</v>
      </c>
      <c r="C331" s="20">
        <f t="shared" si="25"/>
        <v>1395</v>
      </c>
      <c r="D331" s="38">
        <f t="shared" si="26"/>
        <v>0</v>
      </c>
      <c r="G331" s="32" t="s">
        <v>89</v>
      </c>
      <c r="H331" s="20" t="s">
        <v>1308</v>
      </c>
      <c r="I331" s="20">
        <v>1331</v>
      </c>
      <c r="J331" s="20">
        <v>331</v>
      </c>
      <c r="K331" s="20" t="s">
        <v>20</v>
      </c>
      <c r="L331" s="20">
        <v>1</v>
      </c>
      <c r="M331" s="34">
        <v>3112</v>
      </c>
      <c r="N331" s="34">
        <f t="shared" si="23"/>
        <v>3112</v>
      </c>
      <c r="O331" s="33"/>
      <c r="P331" s="20">
        <f t="shared" si="24"/>
        <v>72</v>
      </c>
    </row>
    <row r="332" spans="1:22" ht="15" hidden="1" customHeight="1" x14ac:dyDescent="0.2">
      <c r="A332" s="20" t="s">
        <v>310</v>
      </c>
      <c r="B332" s="61">
        <v>46056</v>
      </c>
      <c r="C332" s="20">
        <f t="shared" si="25"/>
        <v>1396</v>
      </c>
      <c r="D332" s="38">
        <f t="shared" si="26"/>
        <v>1</v>
      </c>
      <c r="G332" s="32" t="s">
        <v>89</v>
      </c>
      <c r="H332" s="20" t="s">
        <v>2810</v>
      </c>
      <c r="I332" s="20">
        <v>331</v>
      </c>
      <c r="J332" s="20">
        <v>1111</v>
      </c>
      <c r="K332" s="20" t="s">
        <v>20</v>
      </c>
      <c r="L332" s="20">
        <v>1</v>
      </c>
      <c r="M332" s="34">
        <v>42000</v>
      </c>
      <c r="N332" s="34">
        <f t="shared" si="23"/>
        <v>42000</v>
      </c>
      <c r="O332" s="33"/>
      <c r="P332" s="20">
        <f t="shared" si="24"/>
        <v>83</v>
      </c>
    </row>
    <row r="333" spans="1:22" ht="15" hidden="1" customHeight="1" x14ac:dyDescent="0.2">
      <c r="A333" s="20" t="s">
        <v>18</v>
      </c>
      <c r="B333" s="61">
        <v>46056</v>
      </c>
      <c r="C333" s="20">
        <f t="shared" si="25"/>
        <v>1397</v>
      </c>
      <c r="D333" s="38">
        <f t="shared" si="26"/>
        <v>1</v>
      </c>
      <c r="G333" s="32" t="s">
        <v>89</v>
      </c>
      <c r="H333" s="20" t="s">
        <v>1309</v>
      </c>
      <c r="I333" s="20">
        <v>64277</v>
      </c>
      <c r="J333" s="20">
        <v>331</v>
      </c>
      <c r="K333" s="20" t="s">
        <v>20</v>
      </c>
      <c r="L333" s="20">
        <v>1</v>
      </c>
      <c r="M333" s="34">
        <v>73148</v>
      </c>
      <c r="N333" s="34">
        <f t="shared" si="23"/>
        <v>73148</v>
      </c>
      <c r="O333" s="33"/>
      <c r="P333" s="20">
        <f t="shared" si="24"/>
        <v>72</v>
      </c>
    </row>
    <row r="334" spans="1:22" ht="15" hidden="1" customHeight="1" x14ac:dyDescent="0.2">
      <c r="A334" s="20" t="s">
        <v>18</v>
      </c>
      <c r="B334" s="61">
        <v>46056</v>
      </c>
      <c r="C334" s="20">
        <f t="shared" si="25"/>
        <v>1397</v>
      </c>
      <c r="D334" s="38">
        <f t="shared" si="26"/>
        <v>0</v>
      </c>
      <c r="G334" s="32" t="s">
        <v>89</v>
      </c>
      <c r="H334" s="20" t="s">
        <v>1309</v>
      </c>
      <c r="I334" s="20">
        <v>1331</v>
      </c>
      <c r="J334" s="20">
        <v>331</v>
      </c>
      <c r="K334" s="20" t="s">
        <v>20</v>
      </c>
      <c r="L334" s="20">
        <v>1</v>
      </c>
      <c r="M334" s="34">
        <v>5852</v>
      </c>
      <c r="N334" s="34">
        <f t="shared" si="23"/>
        <v>5852</v>
      </c>
      <c r="O334" s="33"/>
      <c r="P334" s="20">
        <f t="shared" si="24"/>
        <v>72</v>
      </c>
    </row>
    <row r="335" spans="1:22" ht="15" hidden="1" customHeight="1" x14ac:dyDescent="0.2">
      <c r="A335" s="20" t="s">
        <v>310</v>
      </c>
      <c r="B335" s="61">
        <v>46056</v>
      </c>
      <c r="C335" s="20">
        <f t="shared" si="25"/>
        <v>1398</v>
      </c>
      <c r="D335" s="38">
        <f t="shared" si="26"/>
        <v>1</v>
      </c>
      <c r="G335" s="32" t="s">
        <v>89</v>
      </c>
      <c r="H335" s="20" t="s">
        <v>2811</v>
      </c>
      <c r="I335" s="20">
        <v>331</v>
      </c>
      <c r="J335" s="20">
        <v>1111</v>
      </c>
      <c r="K335" s="20" t="s">
        <v>20</v>
      </c>
      <c r="L335" s="20">
        <v>1</v>
      </c>
      <c r="M335" s="34">
        <v>79000</v>
      </c>
      <c r="N335" s="34">
        <f t="shared" si="23"/>
        <v>79000</v>
      </c>
      <c r="O335" s="33"/>
      <c r="P335" s="20">
        <f t="shared" si="24"/>
        <v>83</v>
      </c>
    </row>
    <row r="336" spans="1:22" ht="15" hidden="1" customHeight="1" x14ac:dyDescent="0.2">
      <c r="A336" s="20" t="s">
        <v>18</v>
      </c>
      <c r="B336" s="61">
        <v>46056</v>
      </c>
      <c r="C336" s="20">
        <f t="shared" si="25"/>
        <v>1399</v>
      </c>
      <c r="D336" s="38">
        <f t="shared" si="26"/>
        <v>1</v>
      </c>
      <c r="G336" s="32" t="s">
        <v>89</v>
      </c>
      <c r="H336" s="20" t="s">
        <v>1310</v>
      </c>
      <c r="I336" s="20">
        <v>64277</v>
      </c>
      <c r="J336" s="20">
        <v>331</v>
      </c>
      <c r="K336" s="20" t="s">
        <v>20</v>
      </c>
      <c r="L336" s="20">
        <v>1</v>
      </c>
      <c r="M336" s="34">
        <v>29630</v>
      </c>
      <c r="N336" s="34">
        <f t="shared" si="23"/>
        <v>29630</v>
      </c>
      <c r="O336" s="33"/>
      <c r="P336" s="20">
        <f t="shared" si="24"/>
        <v>72</v>
      </c>
    </row>
    <row r="337" spans="1:16" ht="15" hidden="1" customHeight="1" x14ac:dyDescent="0.2">
      <c r="A337" s="20" t="s">
        <v>18</v>
      </c>
      <c r="B337" s="61">
        <v>46056</v>
      </c>
      <c r="C337" s="20">
        <f t="shared" si="25"/>
        <v>1399</v>
      </c>
      <c r="D337" s="38">
        <f t="shared" si="26"/>
        <v>0</v>
      </c>
      <c r="G337" s="32" t="s">
        <v>89</v>
      </c>
      <c r="H337" s="20" t="s">
        <v>1310</v>
      </c>
      <c r="I337" s="20">
        <v>1331</v>
      </c>
      <c r="J337" s="20">
        <v>331</v>
      </c>
      <c r="K337" s="20" t="s">
        <v>20</v>
      </c>
      <c r="L337" s="20">
        <v>1</v>
      </c>
      <c r="M337" s="34">
        <v>2370</v>
      </c>
      <c r="N337" s="34">
        <f t="shared" si="23"/>
        <v>2370</v>
      </c>
      <c r="O337" s="33"/>
      <c r="P337" s="20">
        <f t="shared" si="24"/>
        <v>72</v>
      </c>
    </row>
    <row r="338" spans="1:16" ht="15" hidden="1" customHeight="1" x14ac:dyDescent="0.2">
      <c r="A338" s="20" t="s">
        <v>310</v>
      </c>
      <c r="B338" s="61">
        <v>46056</v>
      </c>
      <c r="C338" s="20">
        <f t="shared" si="25"/>
        <v>1400</v>
      </c>
      <c r="D338" s="38">
        <f t="shared" si="26"/>
        <v>1</v>
      </c>
      <c r="G338" s="32" t="s">
        <v>89</v>
      </c>
      <c r="H338" s="20" t="s">
        <v>2812</v>
      </c>
      <c r="I338" s="20">
        <v>331</v>
      </c>
      <c r="J338" s="20">
        <v>1111</v>
      </c>
      <c r="K338" s="20" t="s">
        <v>20</v>
      </c>
      <c r="L338" s="20">
        <v>1</v>
      </c>
      <c r="M338" s="34">
        <v>32000</v>
      </c>
      <c r="N338" s="34">
        <f t="shared" si="23"/>
        <v>32000</v>
      </c>
      <c r="O338" s="33"/>
      <c r="P338" s="20">
        <f t="shared" si="24"/>
        <v>83</v>
      </c>
    </row>
    <row r="339" spans="1:16" ht="15" hidden="1" customHeight="1" x14ac:dyDescent="0.2">
      <c r="A339" s="20" t="s">
        <v>18</v>
      </c>
      <c r="B339" s="61">
        <v>46057</v>
      </c>
      <c r="C339" s="20">
        <f t="shared" si="25"/>
        <v>1401</v>
      </c>
      <c r="D339" s="38">
        <f t="shared" si="26"/>
        <v>1</v>
      </c>
      <c r="G339" s="32" t="s">
        <v>89</v>
      </c>
      <c r="H339" s="20" t="s">
        <v>1311</v>
      </c>
      <c r="I339" s="20">
        <v>64277</v>
      </c>
      <c r="J339" s="20">
        <v>331</v>
      </c>
      <c r="K339" s="20" t="s">
        <v>20</v>
      </c>
      <c r="L339" s="20">
        <v>1</v>
      </c>
      <c r="M339" s="34">
        <v>126852</v>
      </c>
      <c r="N339" s="34">
        <f t="shared" si="23"/>
        <v>126852</v>
      </c>
      <c r="O339" s="33"/>
      <c r="P339" s="20">
        <f t="shared" si="24"/>
        <v>72</v>
      </c>
    </row>
    <row r="340" spans="1:16" ht="15" hidden="1" customHeight="1" x14ac:dyDescent="0.2">
      <c r="A340" s="20" t="s">
        <v>18</v>
      </c>
      <c r="B340" s="61">
        <v>46057</v>
      </c>
      <c r="C340" s="20">
        <f t="shared" si="25"/>
        <v>1401</v>
      </c>
      <c r="D340" s="38">
        <f t="shared" si="26"/>
        <v>0</v>
      </c>
      <c r="G340" s="32" t="s">
        <v>89</v>
      </c>
      <c r="H340" s="20" t="s">
        <v>1311</v>
      </c>
      <c r="I340" s="20">
        <v>1331</v>
      </c>
      <c r="J340" s="20">
        <v>331</v>
      </c>
      <c r="K340" s="20" t="s">
        <v>20</v>
      </c>
      <c r="L340" s="20">
        <v>1</v>
      </c>
      <c r="M340" s="34">
        <v>10148</v>
      </c>
      <c r="N340" s="34">
        <f t="shared" si="23"/>
        <v>10148</v>
      </c>
      <c r="O340" s="33"/>
      <c r="P340" s="20">
        <f t="shared" si="24"/>
        <v>72</v>
      </c>
    </row>
    <row r="341" spans="1:16" ht="15" hidden="1" customHeight="1" x14ac:dyDescent="0.2">
      <c r="A341" s="20" t="s">
        <v>310</v>
      </c>
      <c r="B341" s="61">
        <v>46057</v>
      </c>
      <c r="C341" s="20">
        <f t="shared" si="25"/>
        <v>1402</v>
      </c>
      <c r="D341" s="38">
        <f t="shared" si="26"/>
        <v>1</v>
      </c>
      <c r="G341" s="32" t="s">
        <v>89</v>
      </c>
      <c r="H341" s="20" t="s">
        <v>2813</v>
      </c>
      <c r="I341" s="20">
        <v>331</v>
      </c>
      <c r="J341" s="20">
        <v>1111</v>
      </c>
      <c r="K341" s="20" t="s">
        <v>20</v>
      </c>
      <c r="L341" s="20">
        <v>1</v>
      </c>
      <c r="M341" s="34">
        <v>137000</v>
      </c>
      <c r="N341" s="34">
        <f t="shared" si="23"/>
        <v>137000</v>
      </c>
      <c r="O341" s="33"/>
      <c r="P341" s="20">
        <f t="shared" si="24"/>
        <v>83</v>
      </c>
    </row>
    <row r="342" spans="1:16" ht="15" hidden="1" customHeight="1" x14ac:dyDescent="0.2">
      <c r="A342" s="20" t="s">
        <v>18</v>
      </c>
      <c r="B342" s="61">
        <v>46057</v>
      </c>
      <c r="C342" s="20">
        <f t="shared" si="25"/>
        <v>1403</v>
      </c>
      <c r="D342" s="38">
        <f t="shared" si="26"/>
        <v>1</v>
      </c>
      <c r="G342" s="32" t="s">
        <v>89</v>
      </c>
      <c r="H342" s="20" t="s">
        <v>1312</v>
      </c>
      <c r="I342" s="20">
        <v>64277</v>
      </c>
      <c r="J342" s="20">
        <v>331</v>
      </c>
      <c r="K342" s="20" t="s">
        <v>20</v>
      </c>
      <c r="L342" s="20">
        <v>1</v>
      </c>
      <c r="M342" s="34">
        <v>64815</v>
      </c>
      <c r="N342" s="34">
        <f t="shared" si="23"/>
        <v>64815</v>
      </c>
      <c r="O342" s="33"/>
      <c r="P342" s="20">
        <f t="shared" si="24"/>
        <v>72</v>
      </c>
    </row>
    <row r="343" spans="1:16" ht="15" hidden="1" customHeight="1" x14ac:dyDescent="0.2">
      <c r="A343" s="20" t="s">
        <v>18</v>
      </c>
      <c r="B343" s="61">
        <v>46057</v>
      </c>
      <c r="C343" s="20">
        <f t="shared" si="25"/>
        <v>1403</v>
      </c>
      <c r="D343" s="38">
        <f t="shared" si="26"/>
        <v>0</v>
      </c>
      <c r="G343" s="32" t="s">
        <v>89</v>
      </c>
      <c r="H343" s="20" t="s">
        <v>1312</v>
      </c>
      <c r="I343" s="20">
        <v>1331</v>
      </c>
      <c r="J343" s="20">
        <v>331</v>
      </c>
      <c r="K343" s="20" t="s">
        <v>20</v>
      </c>
      <c r="L343" s="20">
        <v>1</v>
      </c>
      <c r="M343" s="34">
        <v>5185</v>
      </c>
      <c r="N343" s="34">
        <f t="shared" si="23"/>
        <v>5185</v>
      </c>
      <c r="O343" s="33"/>
      <c r="P343" s="20">
        <f t="shared" si="24"/>
        <v>72</v>
      </c>
    </row>
    <row r="344" spans="1:16" ht="15" hidden="1" customHeight="1" x14ac:dyDescent="0.2">
      <c r="A344" s="20" t="s">
        <v>310</v>
      </c>
      <c r="B344" s="61">
        <v>46057</v>
      </c>
      <c r="C344" s="20">
        <f t="shared" si="25"/>
        <v>1404</v>
      </c>
      <c r="D344" s="38">
        <f t="shared" si="26"/>
        <v>1</v>
      </c>
      <c r="G344" s="32" t="s">
        <v>89</v>
      </c>
      <c r="H344" s="20" t="s">
        <v>2814</v>
      </c>
      <c r="I344" s="20">
        <v>331</v>
      </c>
      <c r="J344" s="20">
        <v>1111</v>
      </c>
      <c r="K344" s="20" t="s">
        <v>20</v>
      </c>
      <c r="L344" s="20">
        <v>1</v>
      </c>
      <c r="M344" s="34">
        <v>70000</v>
      </c>
      <c r="N344" s="34">
        <f t="shared" si="23"/>
        <v>70000</v>
      </c>
      <c r="O344" s="33"/>
      <c r="P344" s="20">
        <f t="shared" si="24"/>
        <v>83</v>
      </c>
    </row>
    <row r="345" spans="1:16" ht="15" hidden="1" customHeight="1" x14ac:dyDescent="0.2">
      <c r="A345" s="20" t="s">
        <v>18</v>
      </c>
      <c r="B345" s="61">
        <v>46057</v>
      </c>
      <c r="C345" s="20">
        <f t="shared" si="25"/>
        <v>1405</v>
      </c>
      <c r="D345" s="38">
        <f t="shared" si="26"/>
        <v>1</v>
      </c>
      <c r="G345" s="32" t="s">
        <v>89</v>
      </c>
      <c r="H345" s="20" t="s">
        <v>1313</v>
      </c>
      <c r="I345" s="20">
        <v>64277</v>
      </c>
      <c r="J345" s="20">
        <v>331</v>
      </c>
      <c r="K345" s="20" t="s">
        <v>20</v>
      </c>
      <c r="L345" s="20">
        <v>1</v>
      </c>
      <c r="M345" s="34">
        <v>110185</v>
      </c>
      <c r="N345" s="34">
        <f t="shared" si="23"/>
        <v>110185</v>
      </c>
      <c r="O345" s="33"/>
      <c r="P345" s="20">
        <f t="shared" si="24"/>
        <v>72</v>
      </c>
    </row>
    <row r="346" spans="1:16" ht="15" hidden="1" customHeight="1" x14ac:dyDescent="0.2">
      <c r="A346" s="20" t="s">
        <v>18</v>
      </c>
      <c r="B346" s="61">
        <v>46057</v>
      </c>
      <c r="C346" s="20">
        <f t="shared" si="25"/>
        <v>1405</v>
      </c>
      <c r="D346" s="38">
        <f t="shared" si="26"/>
        <v>0</v>
      </c>
      <c r="G346" s="32" t="s">
        <v>89</v>
      </c>
      <c r="H346" s="20" t="s">
        <v>1313</v>
      </c>
      <c r="I346" s="20">
        <v>1331</v>
      </c>
      <c r="J346" s="20">
        <v>331</v>
      </c>
      <c r="K346" s="20" t="s">
        <v>20</v>
      </c>
      <c r="L346" s="20">
        <v>1</v>
      </c>
      <c r="M346" s="34">
        <v>8815</v>
      </c>
      <c r="N346" s="34">
        <f t="shared" si="23"/>
        <v>8815</v>
      </c>
      <c r="O346" s="33"/>
      <c r="P346" s="20">
        <f t="shared" si="24"/>
        <v>72</v>
      </c>
    </row>
    <row r="347" spans="1:16" ht="15" hidden="1" customHeight="1" x14ac:dyDescent="0.2">
      <c r="A347" s="20" t="s">
        <v>310</v>
      </c>
      <c r="B347" s="61">
        <v>46057</v>
      </c>
      <c r="C347" s="20">
        <f t="shared" si="25"/>
        <v>1406</v>
      </c>
      <c r="D347" s="38">
        <f t="shared" si="26"/>
        <v>1</v>
      </c>
      <c r="G347" s="32" t="s">
        <v>89</v>
      </c>
      <c r="H347" s="20" t="s">
        <v>2815</v>
      </c>
      <c r="I347" s="20">
        <v>331</v>
      </c>
      <c r="J347" s="20">
        <v>1111</v>
      </c>
      <c r="K347" s="20" t="s">
        <v>20</v>
      </c>
      <c r="L347" s="20">
        <v>1</v>
      </c>
      <c r="M347" s="34">
        <v>119000</v>
      </c>
      <c r="N347" s="34">
        <f t="shared" si="23"/>
        <v>119000</v>
      </c>
      <c r="O347" s="33"/>
      <c r="P347" s="20">
        <f t="shared" si="24"/>
        <v>83</v>
      </c>
    </row>
    <row r="348" spans="1:16" ht="15" hidden="1" customHeight="1" x14ac:dyDescent="0.2">
      <c r="A348" s="20" t="s">
        <v>18</v>
      </c>
      <c r="B348" s="61">
        <v>46057</v>
      </c>
      <c r="C348" s="20">
        <f t="shared" si="25"/>
        <v>1407</v>
      </c>
      <c r="D348" s="38">
        <f t="shared" si="26"/>
        <v>1</v>
      </c>
      <c r="G348" s="32" t="s">
        <v>89</v>
      </c>
      <c r="H348" s="20" t="s">
        <v>1314</v>
      </c>
      <c r="I348" s="20">
        <v>64277</v>
      </c>
      <c r="J348" s="20">
        <v>331</v>
      </c>
      <c r="K348" s="20" t="s">
        <v>20</v>
      </c>
      <c r="L348" s="20">
        <v>1</v>
      </c>
      <c r="M348" s="34">
        <v>37963</v>
      </c>
      <c r="N348" s="34">
        <f t="shared" si="23"/>
        <v>37963</v>
      </c>
      <c r="O348" s="33"/>
      <c r="P348" s="20">
        <f t="shared" si="24"/>
        <v>72</v>
      </c>
    </row>
    <row r="349" spans="1:16" ht="15" hidden="1" customHeight="1" x14ac:dyDescent="0.2">
      <c r="A349" s="20" t="s">
        <v>18</v>
      </c>
      <c r="B349" s="61">
        <v>46057</v>
      </c>
      <c r="C349" s="20">
        <f t="shared" si="25"/>
        <v>1407</v>
      </c>
      <c r="D349" s="38">
        <f t="shared" si="26"/>
        <v>0</v>
      </c>
      <c r="G349" s="32" t="s">
        <v>89</v>
      </c>
      <c r="H349" s="20" t="s">
        <v>1314</v>
      </c>
      <c r="I349" s="20">
        <v>1331</v>
      </c>
      <c r="J349" s="20">
        <v>331</v>
      </c>
      <c r="K349" s="20" t="s">
        <v>20</v>
      </c>
      <c r="L349" s="20">
        <v>1</v>
      </c>
      <c r="M349" s="34">
        <v>3037</v>
      </c>
      <c r="N349" s="34">
        <f t="shared" si="23"/>
        <v>3037</v>
      </c>
      <c r="O349" s="33"/>
      <c r="P349" s="20">
        <f t="shared" si="24"/>
        <v>72</v>
      </c>
    </row>
    <row r="350" spans="1:16" ht="15" hidden="1" customHeight="1" x14ac:dyDescent="0.2">
      <c r="A350" s="20" t="s">
        <v>310</v>
      </c>
      <c r="B350" s="61">
        <v>46057</v>
      </c>
      <c r="C350" s="20">
        <f t="shared" si="25"/>
        <v>1408</v>
      </c>
      <c r="D350" s="38">
        <f t="shared" si="26"/>
        <v>1</v>
      </c>
      <c r="G350" s="32" t="s">
        <v>89</v>
      </c>
      <c r="H350" s="20" t="s">
        <v>2816</v>
      </c>
      <c r="I350" s="20">
        <v>331</v>
      </c>
      <c r="J350" s="20">
        <v>1111</v>
      </c>
      <c r="K350" s="20" t="s">
        <v>20</v>
      </c>
      <c r="L350" s="20">
        <v>1</v>
      </c>
      <c r="M350" s="34">
        <v>41000</v>
      </c>
      <c r="N350" s="34">
        <f t="shared" si="23"/>
        <v>41000</v>
      </c>
      <c r="O350" s="33"/>
      <c r="P350" s="20">
        <f t="shared" si="24"/>
        <v>83</v>
      </c>
    </row>
    <row r="351" spans="1:16" ht="15" hidden="1" customHeight="1" x14ac:dyDescent="0.2">
      <c r="A351" s="20" t="s">
        <v>18</v>
      </c>
      <c r="B351" s="61">
        <v>46057</v>
      </c>
      <c r="C351" s="20">
        <f t="shared" si="25"/>
        <v>1409</v>
      </c>
      <c r="D351" s="38">
        <f t="shared" si="26"/>
        <v>1</v>
      </c>
      <c r="G351" s="32" t="s">
        <v>89</v>
      </c>
      <c r="H351" s="20" t="s">
        <v>1315</v>
      </c>
      <c r="I351" s="20">
        <v>64277</v>
      </c>
      <c r="J351" s="20">
        <v>331</v>
      </c>
      <c r="K351" s="20" t="s">
        <v>20</v>
      </c>
      <c r="L351" s="20">
        <v>1</v>
      </c>
      <c r="M351" s="34">
        <v>24074</v>
      </c>
      <c r="N351" s="34">
        <f t="shared" si="23"/>
        <v>24074</v>
      </c>
      <c r="O351" s="33"/>
      <c r="P351" s="20">
        <f t="shared" si="24"/>
        <v>72</v>
      </c>
    </row>
    <row r="352" spans="1:16" ht="15" hidden="1" customHeight="1" x14ac:dyDescent="0.2">
      <c r="A352" s="20" t="s">
        <v>18</v>
      </c>
      <c r="B352" s="61">
        <v>46057</v>
      </c>
      <c r="C352" s="20">
        <f t="shared" si="25"/>
        <v>1409</v>
      </c>
      <c r="D352" s="38">
        <f t="shared" si="26"/>
        <v>0</v>
      </c>
      <c r="G352" s="32" t="s">
        <v>89</v>
      </c>
      <c r="H352" s="20" t="s">
        <v>1315</v>
      </c>
      <c r="I352" s="20">
        <v>1331</v>
      </c>
      <c r="J352" s="20">
        <v>331</v>
      </c>
      <c r="K352" s="20" t="s">
        <v>20</v>
      </c>
      <c r="L352" s="20">
        <v>1</v>
      </c>
      <c r="M352" s="34">
        <v>1926</v>
      </c>
      <c r="N352" s="34">
        <f t="shared" si="23"/>
        <v>1926</v>
      </c>
      <c r="O352" s="33"/>
      <c r="P352" s="20">
        <f t="shared" si="24"/>
        <v>72</v>
      </c>
    </row>
    <row r="353" spans="1:16" ht="15" hidden="1" customHeight="1" x14ac:dyDescent="0.2">
      <c r="A353" s="20" t="s">
        <v>310</v>
      </c>
      <c r="B353" s="61">
        <v>46057</v>
      </c>
      <c r="C353" s="20">
        <f t="shared" si="25"/>
        <v>1410</v>
      </c>
      <c r="D353" s="38">
        <f t="shared" si="26"/>
        <v>1</v>
      </c>
      <c r="G353" s="32" t="s">
        <v>89</v>
      </c>
      <c r="H353" s="20" t="s">
        <v>2817</v>
      </c>
      <c r="I353" s="20">
        <v>331</v>
      </c>
      <c r="J353" s="20">
        <v>1111</v>
      </c>
      <c r="K353" s="20" t="s">
        <v>20</v>
      </c>
      <c r="L353" s="20">
        <v>1</v>
      </c>
      <c r="M353" s="34">
        <v>26000</v>
      </c>
      <c r="N353" s="34">
        <f t="shared" si="23"/>
        <v>26000</v>
      </c>
      <c r="O353" s="33"/>
      <c r="P353" s="20">
        <f t="shared" si="24"/>
        <v>83</v>
      </c>
    </row>
    <row r="354" spans="1:16" ht="15" hidden="1" customHeight="1" x14ac:dyDescent="0.2">
      <c r="A354" s="20" t="s">
        <v>18</v>
      </c>
      <c r="B354" s="61">
        <v>46057</v>
      </c>
      <c r="C354" s="20">
        <f t="shared" si="25"/>
        <v>1411</v>
      </c>
      <c r="D354" s="38">
        <f t="shared" si="26"/>
        <v>1</v>
      </c>
      <c r="G354" s="32" t="s">
        <v>89</v>
      </c>
      <c r="H354" s="20" t="s">
        <v>1316</v>
      </c>
      <c r="I354" s="20">
        <v>64277</v>
      </c>
      <c r="J354" s="20">
        <v>331</v>
      </c>
      <c r="K354" s="20" t="s">
        <v>20</v>
      </c>
      <c r="L354" s="20">
        <v>1</v>
      </c>
      <c r="M354" s="34">
        <v>51852</v>
      </c>
      <c r="N354" s="34">
        <f t="shared" si="23"/>
        <v>51852</v>
      </c>
      <c r="O354" s="33"/>
      <c r="P354" s="20">
        <f t="shared" si="24"/>
        <v>72</v>
      </c>
    </row>
    <row r="355" spans="1:16" ht="15" hidden="1" customHeight="1" x14ac:dyDescent="0.2">
      <c r="A355" s="20" t="s">
        <v>18</v>
      </c>
      <c r="B355" s="67">
        <v>46057</v>
      </c>
      <c r="C355" s="20">
        <f t="shared" si="25"/>
        <v>1411</v>
      </c>
      <c r="D355" s="38">
        <f t="shared" si="26"/>
        <v>0</v>
      </c>
      <c r="E355" s="38"/>
      <c r="G355" s="59" t="s">
        <v>89</v>
      </c>
      <c r="H355" s="20" t="s">
        <v>1316</v>
      </c>
      <c r="I355" s="20">
        <v>1331</v>
      </c>
      <c r="J355" s="20">
        <v>331</v>
      </c>
      <c r="K355" s="20" t="s">
        <v>20</v>
      </c>
      <c r="L355" s="20">
        <v>1</v>
      </c>
      <c r="M355" s="65">
        <v>4148</v>
      </c>
      <c r="N355" s="34">
        <f t="shared" si="23"/>
        <v>4148</v>
      </c>
      <c r="O355" s="33"/>
      <c r="P355" s="20">
        <f t="shared" si="24"/>
        <v>72</v>
      </c>
    </row>
    <row r="356" spans="1:16" ht="15" hidden="1" customHeight="1" x14ac:dyDescent="0.2">
      <c r="A356" s="20" t="s">
        <v>310</v>
      </c>
      <c r="B356" s="67">
        <v>46057</v>
      </c>
      <c r="C356" s="20">
        <f t="shared" si="25"/>
        <v>1412</v>
      </c>
      <c r="D356" s="38">
        <f t="shared" si="26"/>
        <v>1</v>
      </c>
      <c r="E356" s="38"/>
      <c r="G356" s="59" t="s">
        <v>89</v>
      </c>
      <c r="H356" s="20" t="s">
        <v>2818</v>
      </c>
      <c r="I356" s="20">
        <v>331</v>
      </c>
      <c r="J356" s="20">
        <v>1111</v>
      </c>
      <c r="K356" s="20" t="s">
        <v>20</v>
      </c>
      <c r="L356" s="20">
        <v>1</v>
      </c>
      <c r="M356" s="65">
        <v>56000</v>
      </c>
      <c r="N356" s="34">
        <f t="shared" si="23"/>
        <v>56000</v>
      </c>
      <c r="O356" s="33"/>
      <c r="P356" s="20">
        <f t="shared" si="24"/>
        <v>83</v>
      </c>
    </row>
    <row r="357" spans="1:16" ht="15" hidden="1" customHeight="1" x14ac:dyDescent="0.2">
      <c r="A357" s="20" t="s">
        <v>18</v>
      </c>
      <c r="B357" s="67">
        <v>46057</v>
      </c>
      <c r="C357" s="20">
        <f t="shared" si="25"/>
        <v>1413</v>
      </c>
      <c r="D357" s="38">
        <f t="shared" si="26"/>
        <v>1</v>
      </c>
      <c r="E357" s="38"/>
      <c r="G357" s="59" t="s">
        <v>89</v>
      </c>
      <c r="H357" s="20" t="s">
        <v>1317</v>
      </c>
      <c r="I357" s="20">
        <v>64277</v>
      </c>
      <c r="J357" s="20">
        <v>331</v>
      </c>
      <c r="K357" s="20" t="s">
        <v>20</v>
      </c>
      <c r="L357" s="20">
        <v>1</v>
      </c>
      <c r="M357" s="65">
        <v>12037</v>
      </c>
      <c r="N357" s="34">
        <f t="shared" si="23"/>
        <v>12037</v>
      </c>
      <c r="O357" s="33"/>
      <c r="P357" s="20">
        <f t="shared" si="24"/>
        <v>72</v>
      </c>
    </row>
    <row r="358" spans="1:16" ht="15" hidden="1" customHeight="1" x14ac:dyDescent="0.2">
      <c r="A358" s="20" t="s">
        <v>18</v>
      </c>
      <c r="B358" s="61">
        <v>46057</v>
      </c>
      <c r="C358" s="20">
        <f t="shared" si="25"/>
        <v>1413</v>
      </c>
      <c r="D358" s="38">
        <f t="shared" si="26"/>
        <v>0</v>
      </c>
      <c r="G358" s="32" t="s">
        <v>89</v>
      </c>
      <c r="H358" s="20" t="s">
        <v>1317</v>
      </c>
      <c r="I358" s="20">
        <v>1331</v>
      </c>
      <c r="J358" s="20">
        <v>331</v>
      </c>
      <c r="K358" s="20" t="s">
        <v>20</v>
      </c>
      <c r="L358" s="20">
        <v>1</v>
      </c>
      <c r="M358" s="34">
        <v>963</v>
      </c>
      <c r="N358" s="34">
        <f t="shared" si="23"/>
        <v>963</v>
      </c>
      <c r="O358" s="33"/>
      <c r="P358" s="20">
        <f t="shared" si="24"/>
        <v>72</v>
      </c>
    </row>
    <row r="359" spans="1:16" ht="15" hidden="1" customHeight="1" x14ac:dyDescent="0.2">
      <c r="A359" s="20" t="s">
        <v>310</v>
      </c>
      <c r="B359" s="61">
        <v>46057</v>
      </c>
      <c r="C359" s="20">
        <f t="shared" si="25"/>
        <v>1414</v>
      </c>
      <c r="D359" s="38">
        <f t="shared" si="26"/>
        <v>1</v>
      </c>
      <c r="G359" s="32" t="s">
        <v>89</v>
      </c>
      <c r="H359" s="20" t="s">
        <v>2819</v>
      </c>
      <c r="I359" s="20">
        <v>331</v>
      </c>
      <c r="J359" s="20">
        <v>1111</v>
      </c>
      <c r="K359" s="20" t="s">
        <v>20</v>
      </c>
      <c r="L359" s="20">
        <v>1</v>
      </c>
      <c r="M359" s="34">
        <v>13000</v>
      </c>
      <c r="N359" s="34">
        <f t="shared" si="23"/>
        <v>13000</v>
      </c>
      <c r="O359" s="33"/>
      <c r="P359" s="20">
        <f t="shared" si="24"/>
        <v>83</v>
      </c>
    </row>
    <row r="360" spans="1:16" ht="15" hidden="1" customHeight="1" x14ac:dyDescent="0.2">
      <c r="A360" s="20" t="s">
        <v>18</v>
      </c>
      <c r="B360" s="61">
        <v>46057</v>
      </c>
      <c r="C360" s="20">
        <f t="shared" si="25"/>
        <v>1415</v>
      </c>
      <c r="D360" s="38">
        <f t="shared" si="26"/>
        <v>1</v>
      </c>
      <c r="G360" s="32" t="s">
        <v>89</v>
      </c>
      <c r="H360" s="20" t="s">
        <v>1318</v>
      </c>
      <c r="I360" s="20">
        <v>64277</v>
      </c>
      <c r="J360" s="20">
        <v>331</v>
      </c>
      <c r="K360" s="20" t="s">
        <v>20</v>
      </c>
      <c r="L360" s="20">
        <v>1</v>
      </c>
      <c r="M360" s="34">
        <v>40741</v>
      </c>
      <c r="N360" s="34">
        <f t="shared" si="23"/>
        <v>40741</v>
      </c>
      <c r="O360" s="33"/>
      <c r="P360" s="20">
        <f t="shared" si="24"/>
        <v>72</v>
      </c>
    </row>
    <row r="361" spans="1:16" ht="15" hidden="1" customHeight="1" x14ac:dyDescent="0.2">
      <c r="A361" s="20" t="s">
        <v>18</v>
      </c>
      <c r="B361" s="61">
        <v>46057</v>
      </c>
      <c r="C361" s="20">
        <f t="shared" si="25"/>
        <v>1415</v>
      </c>
      <c r="D361" s="38">
        <f t="shared" si="26"/>
        <v>0</v>
      </c>
      <c r="G361" s="32" t="s">
        <v>89</v>
      </c>
      <c r="H361" s="20" t="s">
        <v>1318</v>
      </c>
      <c r="I361" s="20">
        <v>1331</v>
      </c>
      <c r="J361" s="20">
        <v>331</v>
      </c>
      <c r="K361" s="20" t="s">
        <v>20</v>
      </c>
      <c r="L361" s="20">
        <v>1</v>
      </c>
      <c r="M361" s="34">
        <v>3259</v>
      </c>
      <c r="N361" s="34">
        <f t="shared" si="23"/>
        <v>3259</v>
      </c>
      <c r="O361" s="33"/>
      <c r="P361" s="20">
        <f t="shared" si="24"/>
        <v>72</v>
      </c>
    </row>
    <row r="362" spans="1:16" ht="15" hidden="1" customHeight="1" x14ac:dyDescent="0.2">
      <c r="A362" s="20" t="s">
        <v>310</v>
      </c>
      <c r="B362" s="61">
        <v>46057</v>
      </c>
      <c r="C362" s="20">
        <f t="shared" si="25"/>
        <v>1416</v>
      </c>
      <c r="D362" s="38">
        <f t="shared" si="26"/>
        <v>1</v>
      </c>
      <c r="G362" s="32" t="s">
        <v>89</v>
      </c>
      <c r="H362" s="20" t="s">
        <v>2820</v>
      </c>
      <c r="I362" s="20">
        <v>331</v>
      </c>
      <c r="J362" s="20">
        <v>1111</v>
      </c>
      <c r="K362" s="20" t="s">
        <v>20</v>
      </c>
      <c r="L362" s="20">
        <v>1</v>
      </c>
      <c r="M362" s="34">
        <v>44000</v>
      </c>
      <c r="N362" s="34">
        <f t="shared" si="23"/>
        <v>44000</v>
      </c>
      <c r="O362" s="33"/>
      <c r="P362" s="20">
        <f t="shared" si="24"/>
        <v>83</v>
      </c>
    </row>
    <row r="363" spans="1:16" ht="15" hidden="1" customHeight="1" x14ac:dyDescent="0.2">
      <c r="A363" s="20" t="s">
        <v>18</v>
      </c>
      <c r="B363" s="61">
        <v>46057</v>
      </c>
      <c r="C363" s="20">
        <f t="shared" si="25"/>
        <v>1417</v>
      </c>
      <c r="D363" s="38">
        <f t="shared" si="26"/>
        <v>1</v>
      </c>
      <c r="G363" s="32" t="s">
        <v>89</v>
      </c>
      <c r="H363" s="20" t="s">
        <v>1319</v>
      </c>
      <c r="I363" s="20">
        <v>64277</v>
      </c>
      <c r="J363" s="20">
        <v>331</v>
      </c>
      <c r="K363" s="20" t="s">
        <v>20</v>
      </c>
      <c r="L363" s="20">
        <v>1</v>
      </c>
      <c r="M363" s="34">
        <v>20371</v>
      </c>
      <c r="N363" s="34">
        <f t="shared" si="23"/>
        <v>20371</v>
      </c>
      <c r="O363" s="33"/>
      <c r="P363" s="20">
        <f t="shared" si="24"/>
        <v>72</v>
      </c>
    </row>
    <row r="364" spans="1:16" ht="15" hidden="1" customHeight="1" x14ac:dyDescent="0.2">
      <c r="A364" s="20" t="s">
        <v>18</v>
      </c>
      <c r="B364" s="61">
        <v>46057</v>
      </c>
      <c r="C364" s="20">
        <f t="shared" si="25"/>
        <v>1417</v>
      </c>
      <c r="D364" s="38">
        <f t="shared" si="26"/>
        <v>0</v>
      </c>
      <c r="G364" s="32" t="s">
        <v>89</v>
      </c>
      <c r="H364" s="20" t="s">
        <v>1319</v>
      </c>
      <c r="I364" s="20">
        <v>1331</v>
      </c>
      <c r="J364" s="20">
        <v>331</v>
      </c>
      <c r="K364" s="20" t="s">
        <v>20</v>
      </c>
      <c r="L364" s="20">
        <v>1</v>
      </c>
      <c r="M364" s="34">
        <v>1629</v>
      </c>
      <c r="N364" s="34">
        <f t="shared" si="23"/>
        <v>1629</v>
      </c>
      <c r="O364" s="33"/>
      <c r="P364" s="20">
        <f t="shared" si="24"/>
        <v>72</v>
      </c>
    </row>
    <row r="365" spans="1:16" ht="15" hidden="1" customHeight="1" x14ac:dyDescent="0.2">
      <c r="A365" s="20" t="s">
        <v>310</v>
      </c>
      <c r="B365" s="61">
        <v>46057</v>
      </c>
      <c r="C365" s="20">
        <f t="shared" si="25"/>
        <v>1418</v>
      </c>
      <c r="D365" s="38">
        <f t="shared" si="26"/>
        <v>1</v>
      </c>
      <c r="G365" s="32" t="s">
        <v>89</v>
      </c>
      <c r="H365" s="20" t="s">
        <v>2821</v>
      </c>
      <c r="I365" s="20">
        <v>331</v>
      </c>
      <c r="J365" s="20">
        <v>1111</v>
      </c>
      <c r="K365" s="20" t="s">
        <v>20</v>
      </c>
      <c r="L365" s="20">
        <v>1</v>
      </c>
      <c r="M365" s="34">
        <v>22000</v>
      </c>
      <c r="N365" s="34">
        <f t="shared" si="23"/>
        <v>22000</v>
      </c>
      <c r="O365" s="33"/>
      <c r="P365" s="20">
        <f t="shared" si="24"/>
        <v>83</v>
      </c>
    </row>
    <row r="366" spans="1:16" ht="15" hidden="1" customHeight="1" x14ac:dyDescent="0.2">
      <c r="A366" s="20" t="s">
        <v>18</v>
      </c>
      <c r="B366" s="61">
        <v>46057</v>
      </c>
      <c r="C366" s="20">
        <f t="shared" si="25"/>
        <v>1419</v>
      </c>
      <c r="D366" s="38">
        <f t="shared" si="26"/>
        <v>1</v>
      </c>
      <c r="G366" s="32" t="s">
        <v>275</v>
      </c>
      <c r="H366" s="20" t="s">
        <v>1320</v>
      </c>
      <c r="I366" s="20">
        <v>64277</v>
      </c>
      <c r="J366" s="20">
        <v>331</v>
      </c>
      <c r="K366" s="20" t="s">
        <v>20</v>
      </c>
      <c r="L366" s="20">
        <v>1</v>
      </c>
      <c r="M366" s="34">
        <v>635185</v>
      </c>
      <c r="N366" s="34">
        <f t="shared" si="23"/>
        <v>635185</v>
      </c>
      <c r="O366" s="33"/>
      <c r="P366" s="20">
        <f t="shared" si="24"/>
        <v>73</v>
      </c>
    </row>
    <row r="367" spans="1:16" ht="15" hidden="1" customHeight="1" x14ac:dyDescent="0.2">
      <c r="A367" s="20" t="s">
        <v>18</v>
      </c>
      <c r="B367" s="61">
        <v>46057</v>
      </c>
      <c r="C367" s="20">
        <f t="shared" si="25"/>
        <v>1419</v>
      </c>
      <c r="D367" s="38">
        <f t="shared" si="26"/>
        <v>0</v>
      </c>
      <c r="G367" s="32" t="s">
        <v>275</v>
      </c>
      <c r="H367" s="20" t="s">
        <v>1320</v>
      </c>
      <c r="I367" s="20">
        <v>1331</v>
      </c>
      <c r="J367" s="20">
        <v>331</v>
      </c>
      <c r="K367" s="20" t="s">
        <v>20</v>
      </c>
      <c r="L367" s="20">
        <v>1</v>
      </c>
      <c r="M367" s="34">
        <v>50815</v>
      </c>
      <c r="N367" s="34">
        <f t="shared" si="23"/>
        <v>50815</v>
      </c>
      <c r="O367" s="33"/>
      <c r="P367" s="20">
        <f t="shared" si="24"/>
        <v>73</v>
      </c>
    </row>
    <row r="368" spans="1:16" ht="15" hidden="1" customHeight="1" x14ac:dyDescent="0.2">
      <c r="A368" s="20" t="s">
        <v>310</v>
      </c>
      <c r="B368" s="61">
        <v>46057</v>
      </c>
      <c r="C368" s="20">
        <f t="shared" si="25"/>
        <v>1420</v>
      </c>
      <c r="D368" s="38">
        <f t="shared" si="26"/>
        <v>1</v>
      </c>
      <c r="G368" s="32" t="s">
        <v>275</v>
      </c>
      <c r="H368" s="20" t="s">
        <v>2822</v>
      </c>
      <c r="I368" s="20">
        <v>331</v>
      </c>
      <c r="J368" s="20">
        <v>1111</v>
      </c>
      <c r="K368" s="20" t="s">
        <v>20</v>
      </c>
      <c r="L368" s="20">
        <v>1</v>
      </c>
      <c r="M368" s="34">
        <v>686000</v>
      </c>
      <c r="N368" s="34">
        <f t="shared" si="23"/>
        <v>686000</v>
      </c>
      <c r="O368" s="33"/>
      <c r="P368" s="20">
        <f t="shared" si="24"/>
        <v>84</v>
      </c>
    </row>
    <row r="369" spans="1:16" ht="15" hidden="1" customHeight="1" x14ac:dyDescent="0.2">
      <c r="A369" s="20" t="s">
        <v>18</v>
      </c>
      <c r="B369" s="61">
        <v>46057</v>
      </c>
      <c r="C369" s="20">
        <f t="shared" si="25"/>
        <v>1421</v>
      </c>
      <c r="D369" s="38">
        <f t="shared" si="26"/>
        <v>1</v>
      </c>
      <c r="G369" s="32" t="s">
        <v>1321</v>
      </c>
      <c r="H369" s="20" t="s">
        <v>2691</v>
      </c>
      <c r="I369" s="20">
        <v>64277</v>
      </c>
      <c r="J369" s="20">
        <v>331</v>
      </c>
      <c r="K369" s="20" t="s">
        <v>20</v>
      </c>
      <c r="L369" s="20">
        <v>1</v>
      </c>
      <c r="M369" s="34">
        <v>1361000</v>
      </c>
      <c r="N369" s="34">
        <f t="shared" si="23"/>
        <v>1361000</v>
      </c>
      <c r="O369" s="33"/>
      <c r="P369" s="20">
        <f t="shared" si="24"/>
        <v>41</v>
      </c>
    </row>
    <row r="370" spans="1:16" ht="15" hidden="1" customHeight="1" x14ac:dyDescent="0.2">
      <c r="A370" s="20" t="s">
        <v>18</v>
      </c>
      <c r="B370" s="61">
        <v>46057</v>
      </c>
      <c r="C370" s="20">
        <f t="shared" si="25"/>
        <v>1421</v>
      </c>
      <c r="D370" s="38">
        <f t="shared" si="26"/>
        <v>0</v>
      </c>
      <c r="G370" s="32" t="s">
        <v>1321</v>
      </c>
      <c r="H370" s="20" t="s">
        <v>2691</v>
      </c>
      <c r="I370" s="20">
        <v>1331</v>
      </c>
      <c r="J370" s="20">
        <v>331</v>
      </c>
      <c r="K370" s="20" t="s">
        <v>20</v>
      </c>
      <c r="L370" s="20">
        <v>1</v>
      </c>
      <c r="M370" s="34">
        <v>108880</v>
      </c>
      <c r="N370" s="34">
        <f t="shared" si="23"/>
        <v>108880</v>
      </c>
      <c r="O370" s="33"/>
      <c r="P370" s="20">
        <f t="shared" si="24"/>
        <v>41</v>
      </c>
    </row>
    <row r="371" spans="1:16" ht="15" hidden="1" customHeight="1" x14ac:dyDescent="0.2">
      <c r="A371" s="20" t="s">
        <v>310</v>
      </c>
      <c r="B371" s="61">
        <v>46057</v>
      </c>
      <c r="C371" s="20">
        <f t="shared" si="25"/>
        <v>1422</v>
      </c>
      <c r="D371" s="38">
        <f t="shared" si="26"/>
        <v>1</v>
      </c>
      <c r="G371" s="32" t="s">
        <v>1321</v>
      </c>
      <c r="H371" s="20" t="s">
        <v>2823</v>
      </c>
      <c r="I371" s="20">
        <v>331</v>
      </c>
      <c r="J371" s="20">
        <v>1111</v>
      </c>
      <c r="K371" s="20" t="s">
        <v>20</v>
      </c>
      <c r="L371" s="20">
        <v>1</v>
      </c>
      <c r="M371" s="34">
        <v>1469880</v>
      </c>
      <c r="N371" s="34">
        <f t="shared" si="23"/>
        <v>1469880</v>
      </c>
      <c r="O371" s="33"/>
      <c r="P371" s="20">
        <f t="shared" si="24"/>
        <v>52</v>
      </c>
    </row>
    <row r="372" spans="1:16" ht="15" hidden="1" customHeight="1" x14ac:dyDescent="0.2">
      <c r="A372" s="20" t="s">
        <v>18</v>
      </c>
      <c r="B372" s="61">
        <v>46062</v>
      </c>
      <c r="C372" s="20">
        <f t="shared" si="25"/>
        <v>1423</v>
      </c>
      <c r="D372" s="38">
        <f t="shared" si="26"/>
        <v>1</v>
      </c>
      <c r="G372" s="32" t="s">
        <v>89</v>
      </c>
      <c r="H372" s="20" t="s">
        <v>1322</v>
      </c>
      <c r="I372" s="20">
        <v>64277</v>
      </c>
      <c r="J372" s="20">
        <v>331</v>
      </c>
      <c r="K372" s="20" t="s">
        <v>20</v>
      </c>
      <c r="L372" s="20">
        <v>1</v>
      </c>
      <c r="M372" s="34">
        <v>16666</v>
      </c>
      <c r="N372" s="34">
        <f t="shared" si="23"/>
        <v>16666</v>
      </c>
      <c r="O372" s="33"/>
      <c r="P372" s="20">
        <f t="shared" si="24"/>
        <v>72</v>
      </c>
    </row>
    <row r="373" spans="1:16" ht="15" hidden="1" customHeight="1" x14ac:dyDescent="0.2">
      <c r="A373" s="20" t="s">
        <v>18</v>
      </c>
      <c r="B373" s="61">
        <v>46062</v>
      </c>
      <c r="C373" s="20">
        <f t="shared" si="25"/>
        <v>1423</v>
      </c>
      <c r="D373" s="38">
        <f t="shared" si="26"/>
        <v>0</v>
      </c>
      <c r="G373" s="32" t="s">
        <v>89</v>
      </c>
      <c r="H373" s="20" t="s">
        <v>1322</v>
      </c>
      <c r="I373" s="20">
        <v>1331</v>
      </c>
      <c r="J373" s="20">
        <v>331</v>
      </c>
      <c r="K373" s="20" t="s">
        <v>20</v>
      </c>
      <c r="L373" s="20">
        <v>1</v>
      </c>
      <c r="M373" s="34">
        <v>1334</v>
      </c>
      <c r="N373" s="34">
        <f t="shared" si="23"/>
        <v>1334</v>
      </c>
      <c r="O373" s="33"/>
      <c r="P373" s="20">
        <f t="shared" si="24"/>
        <v>72</v>
      </c>
    </row>
    <row r="374" spans="1:16" ht="15" hidden="1" customHeight="1" x14ac:dyDescent="0.2">
      <c r="A374" s="20" t="s">
        <v>310</v>
      </c>
      <c r="B374" s="61">
        <v>46062</v>
      </c>
      <c r="C374" s="20">
        <f t="shared" si="25"/>
        <v>1424</v>
      </c>
      <c r="D374" s="38">
        <f t="shared" si="26"/>
        <v>1</v>
      </c>
      <c r="G374" s="32" t="s">
        <v>89</v>
      </c>
      <c r="H374" s="20" t="s">
        <v>2824</v>
      </c>
      <c r="I374" s="20">
        <v>331</v>
      </c>
      <c r="J374" s="20">
        <v>1111</v>
      </c>
      <c r="K374" s="20" t="s">
        <v>20</v>
      </c>
      <c r="L374" s="20">
        <v>1</v>
      </c>
      <c r="M374" s="34">
        <v>18000</v>
      </c>
      <c r="N374" s="34">
        <f t="shared" si="23"/>
        <v>18000</v>
      </c>
      <c r="O374" s="33"/>
      <c r="P374" s="20">
        <f t="shared" si="24"/>
        <v>83</v>
      </c>
    </row>
    <row r="375" spans="1:16" ht="15" hidden="1" customHeight="1" x14ac:dyDescent="0.2">
      <c r="A375" s="20" t="s">
        <v>18</v>
      </c>
      <c r="B375" s="61">
        <v>46062</v>
      </c>
      <c r="C375" s="20">
        <f t="shared" si="25"/>
        <v>1425</v>
      </c>
      <c r="D375" s="38">
        <f t="shared" si="26"/>
        <v>1</v>
      </c>
      <c r="G375" s="32" t="s">
        <v>89</v>
      </c>
      <c r="H375" s="20" t="s">
        <v>1323</v>
      </c>
      <c r="I375" s="20">
        <v>64277</v>
      </c>
      <c r="J375" s="20">
        <v>331</v>
      </c>
      <c r="K375" s="20" t="s">
        <v>20</v>
      </c>
      <c r="L375" s="20">
        <v>1</v>
      </c>
      <c r="M375" s="34">
        <v>24074</v>
      </c>
      <c r="N375" s="34">
        <f t="shared" si="23"/>
        <v>24074</v>
      </c>
      <c r="O375" s="33"/>
      <c r="P375" s="20">
        <f t="shared" si="24"/>
        <v>72</v>
      </c>
    </row>
    <row r="376" spans="1:16" ht="15" hidden="1" customHeight="1" x14ac:dyDescent="0.2">
      <c r="A376" s="20" t="s">
        <v>18</v>
      </c>
      <c r="B376" s="61">
        <v>46062</v>
      </c>
      <c r="C376" s="20">
        <f t="shared" si="25"/>
        <v>1425</v>
      </c>
      <c r="D376" s="38">
        <f t="shared" si="26"/>
        <v>0</v>
      </c>
      <c r="G376" s="32" t="s">
        <v>89</v>
      </c>
      <c r="H376" s="20" t="s">
        <v>1323</v>
      </c>
      <c r="I376" s="20">
        <v>1331</v>
      </c>
      <c r="J376" s="20">
        <v>331</v>
      </c>
      <c r="K376" s="20" t="s">
        <v>20</v>
      </c>
      <c r="L376" s="20">
        <v>1</v>
      </c>
      <c r="M376" s="34">
        <v>1926</v>
      </c>
      <c r="N376" s="34">
        <f t="shared" si="23"/>
        <v>1926</v>
      </c>
      <c r="O376" s="33"/>
      <c r="P376" s="20">
        <f t="shared" si="24"/>
        <v>72</v>
      </c>
    </row>
    <row r="377" spans="1:16" ht="15" hidden="1" customHeight="1" x14ac:dyDescent="0.2">
      <c r="A377" s="20" t="s">
        <v>310</v>
      </c>
      <c r="B377" s="61">
        <v>46062</v>
      </c>
      <c r="C377" s="20">
        <f t="shared" si="25"/>
        <v>1426</v>
      </c>
      <c r="D377" s="38">
        <f t="shared" si="26"/>
        <v>1</v>
      </c>
      <c r="G377" s="32" t="s">
        <v>89</v>
      </c>
      <c r="H377" s="20" t="s">
        <v>2825</v>
      </c>
      <c r="I377" s="20">
        <v>331</v>
      </c>
      <c r="J377" s="20">
        <v>1111</v>
      </c>
      <c r="K377" s="20" t="s">
        <v>20</v>
      </c>
      <c r="L377" s="20">
        <v>1</v>
      </c>
      <c r="M377" s="34">
        <v>26000</v>
      </c>
      <c r="N377" s="34">
        <f t="shared" si="23"/>
        <v>26000</v>
      </c>
      <c r="O377" s="33"/>
      <c r="P377" s="20">
        <f t="shared" si="24"/>
        <v>83</v>
      </c>
    </row>
    <row r="378" spans="1:16" ht="15" hidden="1" customHeight="1" x14ac:dyDescent="0.2">
      <c r="A378" s="20" t="s">
        <v>18</v>
      </c>
      <c r="B378" s="61">
        <v>46062</v>
      </c>
      <c r="C378" s="20">
        <f t="shared" si="25"/>
        <v>1427</v>
      </c>
      <c r="D378" s="38">
        <f t="shared" si="26"/>
        <v>1</v>
      </c>
      <c r="G378" s="32" t="s">
        <v>89</v>
      </c>
      <c r="H378" s="20" t="s">
        <v>1324</v>
      </c>
      <c r="I378" s="20">
        <v>64277</v>
      </c>
      <c r="J378" s="20">
        <v>331</v>
      </c>
      <c r="K378" s="20" t="s">
        <v>20</v>
      </c>
      <c r="L378" s="20">
        <v>1</v>
      </c>
      <c r="M378" s="34">
        <v>78704</v>
      </c>
      <c r="N378" s="34">
        <f t="shared" si="23"/>
        <v>78704</v>
      </c>
      <c r="O378" s="33"/>
      <c r="P378" s="20">
        <f t="shared" si="24"/>
        <v>72</v>
      </c>
    </row>
    <row r="379" spans="1:16" ht="15" hidden="1" customHeight="1" x14ac:dyDescent="0.2">
      <c r="A379" s="20" t="s">
        <v>18</v>
      </c>
      <c r="B379" s="61">
        <v>46062</v>
      </c>
      <c r="C379" s="20">
        <f t="shared" si="25"/>
        <v>1427</v>
      </c>
      <c r="D379" s="38">
        <f t="shared" si="26"/>
        <v>0</v>
      </c>
      <c r="G379" s="32" t="s">
        <v>89</v>
      </c>
      <c r="H379" s="20" t="s">
        <v>1324</v>
      </c>
      <c r="I379" s="20">
        <v>1331</v>
      </c>
      <c r="J379" s="20">
        <v>331</v>
      </c>
      <c r="K379" s="20" t="s">
        <v>20</v>
      </c>
      <c r="L379" s="20">
        <v>1</v>
      </c>
      <c r="M379" s="34">
        <v>6296</v>
      </c>
      <c r="N379" s="34">
        <f t="shared" si="23"/>
        <v>6296</v>
      </c>
      <c r="O379" s="33"/>
      <c r="P379" s="20">
        <f t="shared" si="24"/>
        <v>72</v>
      </c>
    </row>
    <row r="380" spans="1:16" ht="15" hidden="1" customHeight="1" x14ac:dyDescent="0.2">
      <c r="A380" s="20" t="s">
        <v>310</v>
      </c>
      <c r="B380" s="61">
        <v>46062</v>
      </c>
      <c r="C380" s="20">
        <f t="shared" si="25"/>
        <v>1428</v>
      </c>
      <c r="D380" s="38">
        <f t="shared" si="26"/>
        <v>1</v>
      </c>
      <c r="G380" s="32" t="s">
        <v>89</v>
      </c>
      <c r="H380" s="20" t="s">
        <v>2826</v>
      </c>
      <c r="I380" s="20">
        <v>331</v>
      </c>
      <c r="J380" s="20">
        <v>1111</v>
      </c>
      <c r="K380" s="20" t="s">
        <v>20</v>
      </c>
      <c r="L380" s="20">
        <v>1</v>
      </c>
      <c r="M380" s="34">
        <v>85000</v>
      </c>
      <c r="N380" s="34">
        <f t="shared" si="23"/>
        <v>85000</v>
      </c>
      <c r="O380" s="33"/>
      <c r="P380" s="20">
        <f t="shared" si="24"/>
        <v>83</v>
      </c>
    </row>
    <row r="381" spans="1:16" ht="15" hidden="1" customHeight="1" x14ac:dyDescent="0.2">
      <c r="A381" s="20" t="s">
        <v>18</v>
      </c>
      <c r="B381" s="61">
        <v>46062</v>
      </c>
      <c r="C381" s="20">
        <f t="shared" si="25"/>
        <v>1429</v>
      </c>
      <c r="D381" s="38">
        <f t="shared" si="26"/>
        <v>1</v>
      </c>
      <c r="G381" s="32" t="s">
        <v>89</v>
      </c>
      <c r="H381" s="20" t="s">
        <v>1325</v>
      </c>
      <c r="I381" s="20">
        <v>64277</v>
      </c>
      <c r="J381" s="20">
        <v>331</v>
      </c>
      <c r="K381" s="20" t="s">
        <v>20</v>
      </c>
      <c r="L381" s="20">
        <v>1</v>
      </c>
      <c r="M381" s="34">
        <v>40741</v>
      </c>
      <c r="N381" s="34">
        <f t="shared" si="23"/>
        <v>40741</v>
      </c>
      <c r="O381" s="33"/>
      <c r="P381" s="20">
        <f t="shared" si="24"/>
        <v>72</v>
      </c>
    </row>
    <row r="382" spans="1:16" ht="15" hidden="1" customHeight="1" x14ac:dyDescent="0.2">
      <c r="A382" s="20" t="s">
        <v>18</v>
      </c>
      <c r="B382" s="61">
        <v>46062</v>
      </c>
      <c r="C382" s="20">
        <f t="shared" si="25"/>
        <v>1429</v>
      </c>
      <c r="D382" s="38">
        <f t="shared" si="26"/>
        <v>0</v>
      </c>
      <c r="G382" s="32" t="s">
        <v>89</v>
      </c>
      <c r="H382" s="20" t="s">
        <v>1325</v>
      </c>
      <c r="I382" s="20">
        <v>1331</v>
      </c>
      <c r="J382" s="20">
        <v>331</v>
      </c>
      <c r="K382" s="20" t="s">
        <v>20</v>
      </c>
      <c r="L382" s="20">
        <v>1</v>
      </c>
      <c r="M382" s="34">
        <v>3259</v>
      </c>
      <c r="N382" s="34">
        <f t="shared" si="23"/>
        <v>3259</v>
      </c>
      <c r="O382" s="33"/>
      <c r="P382" s="20">
        <f t="shared" si="24"/>
        <v>72</v>
      </c>
    </row>
    <row r="383" spans="1:16" ht="15" hidden="1" customHeight="1" x14ac:dyDescent="0.2">
      <c r="A383" s="20" t="s">
        <v>310</v>
      </c>
      <c r="B383" s="61">
        <v>46062</v>
      </c>
      <c r="C383" s="20">
        <f t="shared" si="25"/>
        <v>1430</v>
      </c>
      <c r="D383" s="38">
        <f t="shared" si="26"/>
        <v>1</v>
      </c>
      <c r="G383" s="32" t="s">
        <v>89</v>
      </c>
      <c r="H383" s="20" t="s">
        <v>2827</v>
      </c>
      <c r="I383" s="20">
        <v>331</v>
      </c>
      <c r="J383" s="20">
        <v>1111</v>
      </c>
      <c r="K383" s="20" t="s">
        <v>20</v>
      </c>
      <c r="L383" s="20">
        <v>1</v>
      </c>
      <c r="M383" s="34">
        <v>44000</v>
      </c>
      <c r="N383" s="34">
        <f t="shared" si="23"/>
        <v>44000</v>
      </c>
      <c r="O383" s="33"/>
      <c r="P383" s="20">
        <f t="shared" si="24"/>
        <v>83</v>
      </c>
    </row>
    <row r="384" spans="1:16" ht="15" hidden="1" customHeight="1" x14ac:dyDescent="0.2">
      <c r="A384" s="20" t="s">
        <v>18</v>
      </c>
      <c r="B384" s="61">
        <v>46062</v>
      </c>
      <c r="C384" s="20">
        <f t="shared" si="25"/>
        <v>1431</v>
      </c>
      <c r="D384" s="38">
        <f t="shared" si="26"/>
        <v>1</v>
      </c>
      <c r="G384" s="32" t="s">
        <v>89</v>
      </c>
      <c r="H384" s="20" t="s">
        <v>1326</v>
      </c>
      <c r="I384" s="20">
        <v>64277</v>
      </c>
      <c r="J384" s="20">
        <v>331</v>
      </c>
      <c r="K384" s="20" t="s">
        <v>20</v>
      </c>
      <c r="L384" s="20">
        <v>1</v>
      </c>
      <c r="M384" s="34">
        <v>122223</v>
      </c>
      <c r="N384" s="34">
        <f t="shared" si="23"/>
        <v>122223</v>
      </c>
      <c r="O384" s="33"/>
      <c r="P384" s="20">
        <f t="shared" si="24"/>
        <v>85</v>
      </c>
    </row>
    <row r="385" spans="1:16" ht="15" hidden="1" customHeight="1" x14ac:dyDescent="0.2">
      <c r="A385" s="20" t="s">
        <v>18</v>
      </c>
      <c r="B385" s="61">
        <v>46062</v>
      </c>
      <c r="C385" s="20">
        <f t="shared" si="25"/>
        <v>1431</v>
      </c>
      <c r="D385" s="38">
        <f t="shared" si="26"/>
        <v>0</v>
      </c>
      <c r="G385" s="32" t="s">
        <v>89</v>
      </c>
      <c r="H385" s="20" t="s">
        <v>1326</v>
      </c>
      <c r="I385" s="20">
        <v>1331</v>
      </c>
      <c r="J385" s="20">
        <v>331</v>
      </c>
      <c r="K385" s="20" t="s">
        <v>20</v>
      </c>
      <c r="L385" s="20">
        <v>1</v>
      </c>
      <c r="M385" s="34">
        <v>9777</v>
      </c>
      <c r="N385" s="34">
        <f t="shared" si="23"/>
        <v>9777</v>
      </c>
      <c r="O385" s="33"/>
      <c r="P385" s="20">
        <f t="shared" si="24"/>
        <v>85</v>
      </c>
    </row>
    <row r="386" spans="1:16" ht="15" hidden="1" customHeight="1" x14ac:dyDescent="0.2">
      <c r="A386" s="20" t="s">
        <v>310</v>
      </c>
      <c r="B386" s="61">
        <v>46062</v>
      </c>
      <c r="C386" s="20">
        <f t="shared" si="25"/>
        <v>1432</v>
      </c>
      <c r="D386" s="38">
        <f t="shared" si="26"/>
        <v>1</v>
      </c>
      <c r="G386" s="32" t="s">
        <v>89</v>
      </c>
      <c r="H386" s="20" t="s">
        <v>2828</v>
      </c>
      <c r="I386" s="20">
        <v>331</v>
      </c>
      <c r="J386" s="20">
        <v>1111</v>
      </c>
      <c r="K386" s="20" t="s">
        <v>20</v>
      </c>
      <c r="L386" s="20">
        <v>1</v>
      </c>
      <c r="M386" s="34">
        <v>132000</v>
      </c>
      <c r="N386" s="34">
        <f t="shared" si="23"/>
        <v>132000</v>
      </c>
      <c r="O386" s="33"/>
      <c r="P386" s="20">
        <f t="shared" si="24"/>
        <v>96</v>
      </c>
    </row>
    <row r="387" spans="1:16" ht="15" hidden="1" customHeight="1" x14ac:dyDescent="0.2">
      <c r="A387" s="20" t="s">
        <v>18</v>
      </c>
      <c r="B387" s="61">
        <v>46062</v>
      </c>
      <c r="C387" s="20">
        <f t="shared" si="25"/>
        <v>1433</v>
      </c>
      <c r="D387" s="38">
        <f t="shared" si="26"/>
        <v>1</v>
      </c>
      <c r="G387" s="32" t="s">
        <v>1213</v>
      </c>
      <c r="H387" s="20" t="s">
        <v>2692</v>
      </c>
      <c r="I387" s="20">
        <v>64277</v>
      </c>
      <c r="J387" s="20">
        <v>331</v>
      </c>
      <c r="K387" s="20" t="s">
        <v>20</v>
      </c>
      <c r="L387" s="20">
        <v>1</v>
      </c>
      <c r="M387" s="34">
        <v>3540000</v>
      </c>
      <c r="N387" s="34">
        <f t="shared" ref="N387:N449" si="27">L387*M387</f>
        <v>3540000</v>
      </c>
      <c r="O387" s="33"/>
      <c r="P387" s="20">
        <f t="shared" si="24"/>
        <v>41</v>
      </c>
    </row>
    <row r="388" spans="1:16" ht="15" hidden="1" customHeight="1" x14ac:dyDescent="0.2">
      <c r="A388" s="20" t="s">
        <v>18</v>
      </c>
      <c r="B388" s="61">
        <v>46062</v>
      </c>
      <c r="C388" s="20">
        <f t="shared" si="25"/>
        <v>1433</v>
      </c>
      <c r="D388" s="38">
        <f t="shared" si="26"/>
        <v>0</v>
      </c>
      <c r="G388" s="32" t="s">
        <v>1213</v>
      </c>
      <c r="H388" s="20" t="s">
        <v>2692</v>
      </c>
      <c r="I388" s="20">
        <v>1331</v>
      </c>
      <c r="J388" s="20">
        <v>331</v>
      </c>
      <c r="K388" s="20" t="s">
        <v>20</v>
      </c>
      <c r="L388" s="20">
        <v>1</v>
      </c>
      <c r="M388" s="34">
        <v>289200</v>
      </c>
      <c r="N388" s="34">
        <f t="shared" si="27"/>
        <v>289200</v>
      </c>
      <c r="O388" s="33"/>
      <c r="P388" s="20">
        <f t="shared" ref="P388:P451" si="28">LEN(H388)</f>
        <v>41</v>
      </c>
    </row>
    <row r="389" spans="1:16" ht="15" hidden="1" customHeight="1" x14ac:dyDescent="0.2">
      <c r="A389" s="20" t="s">
        <v>310</v>
      </c>
      <c r="B389" s="61">
        <v>46062</v>
      </c>
      <c r="C389" s="20">
        <f t="shared" si="25"/>
        <v>1434</v>
      </c>
      <c r="D389" s="38">
        <f t="shared" si="26"/>
        <v>1</v>
      </c>
      <c r="G389" s="32" t="s">
        <v>1213</v>
      </c>
      <c r="H389" s="20" t="s">
        <v>2829</v>
      </c>
      <c r="I389" s="20">
        <v>331</v>
      </c>
      <c r="J389" s="20">
        <v>1111</v>
      </c>
      <c r="K389" s="20" t="s">
        <v>20</v>
      </c>
      <c r="L389" s="20">
        <v>1</v>
      </c>
      <c r="M389" s="34">
        <v>3829200</v>
      </c>
      <c r="N389" s="34">
        <f t="shared" si="27"/>
        <v>3829200</v>
      </c>
      <c r="O389" s="33"/>
      <c r="P389" s="20">
        <f t="shared" si="28"/>
        <v>52</v>
      </c>
    </row>
    <row r="390" spans="1:16" ht="15" hidden="1" customHeight="1" x14ac:dyDescent="0.2">
      <c r="A390" s="20" t="s">
        <v>18</v>
      </c>
      <c r="B390" s="61">
        <v>46063</v>
      </c>
      <c r="C390" s="20">
        <f t="shared" ref="C390:C453" si="29">C389+D390</f>
        <v>1435</v>
      </c>
      <c r="D390" s="38">
        <f t="shared" ref="D390:D453" si="30">IF(H390=H389,0,1)</f>
        <v>1</v>
      </c>
      <c r="G390" s="32" t="s">
        <v>89</v>
      </c>
      <c r="H390" s="20" t="s">
        <v>1327</v>
      </c>
      <c r="I390" s="20">
        <v>64277</v>
      </c>
      <c r="J390" s="20">
        <v>331</v>
      </c>
      <c r="K390" s="20" t="s">
        <v>20</v>
      </c>
      <c r="L390" s="20">
        <v>1</v>
      </c>
      <c r="M390" s="34">
        <v>52778</v>
      </c>
      <c r="N390" s="34">
        <f t="shared" si="27"/>
        <v>52778</v>
      </c>
      <c r="O390" s="33"/>
      <c r="P390" s="20">
        <f t="shared" si="28"/>
        <v>73</v>
      </c>
    </row>
    <row r="391" spans="1:16" ht="15" hidden="1" customHeight="1" x14ac:dyDescent="0.2">
      <c r="A391" s="20" t="s">
        <v>18</v>
      </c>
      <c r="B391" s="61">
        <v>46063</v>
      </c>
      <c r="C391" s="20">
        <f t="shared" si="29"/>
        <v>1435</v>
      </c>
      <c r="D391" s="38">
        <f t="shared" si="30"/>
        <v>0</v>
      </c>
      <c r="G391" s="32" t="s">
        <v>89</v>
      </c>
      <c r="H391" s="20" t="s">
        <v>1327</v>
      </c>
      <c r="I391" s="20">
        <v>1331</v>
      </c>
      <c r="J391" s="20">
        <v>331</v>
      </c>
      <c r="K391" s="20" t="s">
        <v>20</v>
      </c>
      <c r="L391" s="20">
        <v>1</v>
      </c>
      <c r="M391" s="34">
        <v>4222</v>
      </c>
      <c r="N391" s="34">
        <f t="shared" si="27"/>
        <v>4222</v>
      </c>
      <c r="O391" s="33"/>
      <c r="P391" s="20">
        <f t="shared" si="28"/>
        <v>73</v>
      </c>
    </row>
    <row r="392" spans="1:16" ht="15" hidden="1" customHeight="1" x14ac:dyDescent="0.2">
      <c r="A392" s="20" t="s">
        <v>310</v>
      </c>
      <c r="B392" s="61">
        <v>46063</v>
      </c>
      <c r="C392" s="20">
        <f t="shared" si="29"/>
        <v>1436</v>
      </c>
      <c r="D392" s="38">
        <f t="shared" si="30"/>
        <v>1</v>
      </c>
      <c r="G392" s="32" t="s">
        <v>89</v>
      </c>
      <c r="H392" s="20" t="s">
        <v>2830</v>
      </c>
      <c r="I392" s="20">
        <v>331</v>
      </c>
      <c r="J392" s="20">
        <v>1111</v>
      </c>
      <c r="K392" s="20" t="s">
        <v>20</v>
      </c>
      <c r="L392" s="20">
        <v>1</v>
      </c>
      <c r="M392" s="34">
        <v>57000</v>
      </c>
      <c r="N392" s="34">
        <f t="shared" si="27"/>
        <v>57000</v>
      </c>
      <c r="O392" s="33"/>
      <c r="P392" s="20">
        <f t="shared" si="28"/>
        <v>84</v>
      </c>
    </row>
    <row r="393" spans="1:16" ht="15" hidden="1" customHeight="1" x14ac:dyDescent="0.2">
      <c r="A393" s="20" t="s">
        <v>18</v>
      </c>
      <c r="B393" s="61">
        <v>46063</v>
      </c>
      <c r="C393" s="20">
        <f t="shared" si="29"/>
        <v>1437</v>
      </c>
      <c r="D393" s="38">
        <f t="shared" si="30"/>
        <v>1</v>
      </c>
      <c r="G393" s="32" t="s">
        <v>89</v>
      </c>
      <c r="H393" s="20" t="s">
        <v>1328</v>
      </c>
      <c r="I393" s="20">
        <v>64277</v>
      </c>
      <c r="J393" s="20">
        <v>331</v>
      </c>
      <c r="K393" s="20" t="s">
        <v>20</v>
      </c>
      <c r="L393" s="20">
        <v>1</v>
      </c>
      <c r="M393" s="34">
        <v>50000</v>
      </c>
      <c r="N393" s="34">
        <f t="shared" si="27"/>
        <v>50000</v>
      </c>
      <c r="O393" s="33"/>
      <c r="P393" s="20">
        <f t="shared" si="28"/>
        <v>73</v>
      </c>
    </row>
    <row r="394" spans="1:16" ht="15" hidden="1" customHeight="1" x14ac:dyDescent="0.2">
      <c r="A394" s="20" t="s">
        <v>18</v>
      </c>
      <c r="B394" s="61">
        <v>46063</v>
      </c>
      <c r="C394" s="20">
        <f t="shared" si="29"/>
        <v>1437</v>
      </c>
      <c r="D394" s="38">
        <f t="shared" si="30"/>
        <v>0</v>
      </c>
      <c r="G394" s="32" t="s">
        <v>89</v>
      </c>
      <c r="H394" s="20" t="s">
        <v>1328</v>
      </c>
      <c r="I394" s="20">
        <v>1331</v>
      </c>
      <c r="J394" s="20">
        <v>331</v>
      </c>
      <c r="K394" s="20" t="s">
        <v>20</v>
      </c>
      <c r="L394" s="20">
        <v>1</v>
      </c>
      <c r="M394" s="34">
        <v>4000</v>
      </c>
      <c r="N394" s="34">
        <f t="shared" si="27"/>
        <v>4000</v>
      </c>
      <c r="O394" s="33"/>
      <c r="P394" s="20">
        <f t="shared" si="28"/>
        <v>73</v>
      </c>
    </row>
    <row r="395" spans="1:16" ht="15" hidden="1" customHeight="1" x14ac:dyDescent="0.2">
      <c r="A395" s="20" t="s">
        <v>310</v>
      </c>
      <c r="B395" s="61">
        <v>46063</v>
      </c>
      <c r="C395" s="20">
        <f t="shared" si="29"/>
        <v>1438</v>
      </c>
      <c r="D395" s="38">
        <f t="shared" si="30"/>
        <v>1</v>
      </c>
      <c r="G395" s="32" t="s">
        <v>89</v>
      </c>
      <c r="H395" s="20" t="s">
        <v>2831</v>
      </c>
      <c r="I395" s="20">
        <v>331</v>
      </c>
      <c r="J395" s="20">
        <v>1111</v>
      </c>
      <c r="K395" s="20" t="s">
        <v>20</v>
      </c>
      <c r="L395" s="20">
        <v>1</v>
      </c>
      <c r="M395" s="34">
        <v>54000</v>
      </c>
      <c r="N395" s="34">
        <f t="shared" si="27"/>
        <v>54000</v>
      </c>
      <c r="O395" s="33"/>
      <c r="P395" s="20">
        <f t="shared" si="28"/>
        <v>84</v>
      </c>
    </row>
    <row r="396" spans="1:16" ht="15" hidden="1" customHeight="1" x14ac:dyDescent="0.2">
      <c r="A396" s="20" t="s">
        <v>18</v>
      </c>
      <c r="B396" s="61">
        <v>46063</v>
      </c>
      <c r="C396" s="20">
        <f t="shared" si="29"/>
        <v>1439</v>
      </c>
      <c r="D396" s="38">
        <f t="shared" si="30"/>
        <v>1</v>
      </c>
      <c r="G396" s="32" t="s">
        <v>89</v>
      </c>
      <c r="H396" s="20" t="s">
        <v>1329</v>
      </c>
      <c r="I396" s="20">
        <v>64277</v>
      </c>
      <c r="J396" s="20">
        <v>331</v>
      </c>
      <c r="K396" s="20" t="s">
        <v>20</v>
      </c>
      <c r="L396" s="20">
        <v>1</v>
      </c>
      <c r="M396" s="34">
        <v>97222</v>
      </c>
      <c r="N396" s="34">
        <f t="shared" si="27"/>
        <v>97222</v>
      </c>
      <c r="O396" s="33"/>
      <c r="P396" s="20">
        <f t="shared" si="28"/>
        <v>73</v>
      </c>
    </row>
    <row r="397" spans="1:16" ht="15" hidden="1" customHeight="1" x14ac:dyDescent="0.2">
      <c r="A397" s="20" t="s">
        <v>18</v>
      </c>
      <c r="B397" s="61">
        <v>46063</v>
      </c>
      <c r="C397" s="20">
        <f t="shared" si="29"/>
        <v>1439</v>
      </c>
      <c r="D397" s="38">
        <f t="shared" si="30"/>
        <v>0</v>
      </c>
      <c r="G397" s="32" t="s">
        <v>89</v>
      </c>
      <c r="H397" s="20" t="s">
        <v>1329</v>
      </c>
      <c r="I397" s="20">
        <v>1331</v>
      </c>
      <c r="J397" s="20">
        <v>331</v>
      </c>
      <c r="K397" s="20" t="s">
        <v>20</v>
      </c>
      <c r="L397" s="20">
        <v>1</v>
      </c>
      <c r="M397" s="34">
        <v>7778</v>
      </c>
      <c r="N397" s="34">
        <f t="shared" si="27"/>
        <v>7778</v>
      </c>
      <c r="O397" s="33"/>
      <c r="P397" s="20">
        <f t="shared" si="28"/>
        <v>73</v>
      </c>
    </row>
    <row r="398" spans="1:16" ht="15" hidden="1" customHeight="1" x14ac:dyDescent="0.2">
      <c r="A398" s="20" t="s">
        <v>310</v>
      </c>
      <c r="B398" s="61">
        <v>46063</v>
      </c>
      <c r="C398" s="20">
        <f t="shared" si="29"/>
        <v>1440</v>
      </c>
      <c r="D398" s="38">
        <f t="shared" si="30"/>
        <v>1</v>
      </c>
      <c r="G398" s="32" t="s">
        <v>89</v>
      </c>
      <c r="H398" s="20" t="s">
        <v>2832</v>
      </c>
      <c r="I398" s="20">
        <v>331</v>
      </c>
      <c r="J398" s="20">
        <v>1111</v>
      </c>
      <c r="K398" s="20" t="s">
        <v>20</v>
      </c>
      <c r="L398" s="20">
        <v>1</v>
      </c>
      <c r="M398" s="34">
        <v>105000</v>
      </c>
      <c r="N398" s="34">
        <f t="shared" si="27"/>
        <v>105000</v>
      </c>
      <c r="O398" s="33"/>
      <c r="P398" s="20">
        <f t="shared" si="28"/>
        <v>84</v>
      </c>
    </row>
    <row r="399" spans="1:16" ht="15" hidden="1" customHeight="1" x14ac:dyDescent="0.2">
      <c r="A399" s="20" t="s">
        <v>18</v>
      </c>
      <c r="B399" s="61">
        <v>46063</v>
      </c>
      <c r="C399" s="20">
        <f t="shared" si="29"/>
        <v>1441</v>
      </c>
      <c r="D399" s="38">
        <f t="shared" si="30"/>
        <v>1</v>
      </c>
      <c r="G399" s="32" t="s">
        <v>89</v>
      </c>
      <c r="H399" s="20" t="s">
        <v>1330</v>
      </c>
      <c r="I399" s="20">
        <v>64277</v>
      </c>
      <c r="J399" s="20">
        <v>331</v>
      </c>
      <c r="K399" s="20" t="s">
        <v>20</v>
      </c>
      <c r="L399" s="20">
        <v>1</v>
      </c>
      <c r="M399" s="34">
        <v>141667</v>
      </c>
      <c r="N399" s="34">
        <f t="shared" si="27"/>
        <v>141667</v>
      </c>
      <c r="O399" s="33"/>
      <c r="P399" s="20">
        <f t="shared" si="28"/>
        <v>73</v>
      </c>
    </row>
    <row r="400" spans="1:16" ht="15" hidden="1" customHeight="1" x14ac:dyDescent="0.2">
      <c r="A400" s="20" t="s">
        <v>18</v>
      </c>
      <c r="B400" s="61">
        <v>46063</v>
      </c>
      <c r="C400" s="20">
        <f t="shared" si="29"/>
        <v>1441</v>
      </c>
      <c r="D400" s="38">
        <f t="shared" si="30"/>
        <v>0</v>
      </c>
      <c r="G400" s="32" t="s">
        <v>89</v>
      </c>
      <c r="H400" s="20" t="s">
        <v>1330</v>
      </c>
      <c r="I400" s="20">
        <v>1331</v>
      </c>
      <c r="J400" s="20">
        <v>331</v>
      </c>
      <c r="K400" s="20" t="s">
        <v>20</v>
      </c>
      <c r="L400" s="20">
        <v>1</v>
      </c>
      <c r="M400" s="34">
        <v>11333</v>
      </c>
      <c r="N400" s="34">
        <f t="shared" si="27"/>
        <v>11333</v>
      </c>
      <c r="O400" s="33"/>
      <c r="P400" s="20">
        <f t="shared" si="28"/>
        <v>73</v>
      </c>
    </row>
    <row r="401" spans="1:16" ht="15" hidden="1" customHeight="1" x14ac:dyDescent="0.2">
      <c r="A401" s="20" t="s">
        <v>310</v>
      </c>
      <c r="B401" s="61">
        <v>46063</v>
      </c>
      <c r="C401" s="20">
        <f t="shared" si="29"/>
        <v>1442</v>
      </c>
      <c r="D401" s="38">
        <f t="shared" si="30"/>
        <v>1</v>
      </c>
      <c r="G401" s="32" t="s">
        <v>89</v>
      </c>
      <c r="H401" s="20" t="s">
        <v>2833</v>
      </c>
      <c r="I401" s="20">
        <v>331</v>
      </c>
      <c r="J401" s="20">
        <v>1111</v>
      </c>
      <c r="K401" s="20" t="s">
        <v>20</v>
      </c>
      <c r="L401" s="20">
        <v>1</v>
      </c>
      <c r="M401" s="34">
        <v>153000</v>
      </c>
      <c r="N401" s="34">
        <f t="shared" si="27"/>
        <v>153000</v>
      </c>
      <c r="O401" s="33"/>
      <c r="P401" s="20">
        <f t="shared" si="28"/>
        <v>84</v>
      </c>
    </row>
    <row r="402" spans="1:16" ht="15" hidden="1" customHeight="1" x14ac:dyDescent="0.2">
      <c r="A402" s="20" t="s">
        <v>18</v>
      </c>
      <c r="B402" s="61">
        <v>46063</v>
      </c>
      <c r="C402" s="20">
        <f t="shared" si="29"/>
        <v>1443</v>
      </c>
      <c r="D402" s="38">
        <f t="shared" si="30"/>
        <v>1</v>
      </c>
      <c r="G402" s="32" t="s">
        <v>23</v>
      </c>
      <c r="H402" s="20" t="s">
        <v>1331</v>
      </c>
      <c r="I402" s="20">
        <v>64277</v>
      </c>
      <c r="J402" s="20">
        <v>331</v>
      </c>
      <c r="K402" s="20" t="s">
        <v>20</v>
      </c>
      <c r="L402" s="20">
        <v>1</v>
      </c>
      <c r="M402" s="34">
        <v>69907</v>
      </c>
      <c r="N402" s="34">
        <f t="shared" si="27"/>
        <v>69907</v>
      </c>
      <c r="O402" s="33"/>
      <c r="P402" s="20">
        <f t="shared" si="28"/>
        <v>98</v>
      </c>
    </row>
    <row r="403" spans="1:16" ht="15" hidden="1" customHeight="1" x14ac:dyDescent="0.2">
      <c r="A403" s="20" t="s">
        <v>18</v>
      </c>
      <c r="B403" s="61">
        <v>46063</v>
      </c>
      <c r="C403" s="20">
        <f t="shared" si="29"/>
        <v>1443</v>
      </c>
      <c r="D403" s="38">
        <f t="shared" si="30"/>
        <v>0</v>
      </c>
      <c r="G403" s="32" t="s">
        <v>23</v>
      </c>
      <c r="H403" s="20" t="s">
        <v>1331</v>
      </c>
      <c r="I403" s="20">
        <v>1331</v>
      </c>
      <c r="J403" s="20">
        <v>331</v>
      </c>
      <c r="K403" s="20" t="s">
        <v>20</v>
      </c>
      <c r="L403" s="20">
        <v>1</v>
      </c>
      <c r="M403" s="34">
        <v>5593</v>
      </c>
      <c r="N403" s="34">
        <f t="shared" si="27"/>
        <v>5593</v>
      </c>
      <c r="O403" s="33"/>
      <c r="P403" s="20">
        <f t="shared" si="28"/>
        <v>98</v>
      </c>
    </row>
    <row r="404" spans="1:16" ht="15" hidden="1" customHeight="1" x14ac:dyDescent="0.2">
      <c r="A404" s="20" t="s">
        <v>310</v>
      </c>
      <c r="B404" s="61">
        <v>46063</v>
      </c>
      <c r="C404" s="20">
        <f t="shared" si="29"/>
        <v>1444</v>
      </c>
      <c r="D404" s="38">
        <f t="shared" si="30"/>
        <v>1</v>
      </c>
      <c r="G404" s="32" t="s">
        <v>23</v>
      </c>
      <c r="H404" s="20" t="s">
        <v>2834</v>
      </c>
      <c r="I404" s="20">
        <v>331</v>
      </c>
      <c r="J404" s="20">
        <v>1111</v>
      </c>
      <c r="K404" s="20" t="s">
        <v>20</v>
      </c>
      <c r="L404" s="20">
        <v>1</v>
      </c>
      <c r="M404" s="34">
        <v>75500</v>
      </c>
      <c r="N404" s="34">
        <f t="shared" si="27"/>
        <v>75500</v>
      </c>
      <c r="O404" s="33"/>
      <c r="P404" s="20">
        <f t="shared" si="28"/>
        <v>109</v>
      </c>
    </row>
    <row r="405" spans="1:16" ht="15" hidden="1" customHeight="1" x14ac:dyDescent="0.2">
      <c r="A405" s="20" t="s">
        <v>18</v>
      </c>
      <c r="B405" s="61">
        <v>46064</v>
      </c>
      <c r="C405" s="20">
        <f t="shared" si="29"/>
        <v>1445</v>
      </c>
      <c r="D405" s="38">
        <f t="shared" si="30"/>
        <v>1</v>
      </c>
      <c r="G405" s="32" t="s">
        <v>89</v>
      </c>
      <c r="H405" s="20" t="s">
        <v>1332</v>
      </c>
      <c r="I405" s="20">
        <v>64277</v>
      </c>
      <c r="J405" s="20">
        <v>331</v>
      </c>
      <c r="K405" s="20" t="s">
        <v>20</v>
      </c>
      <c r="L405" s="20">
        <v>1</v>
      </c>
      <c r="M405" s="34">
        <v>82407</v>
      </c>
      <c r="N405" s="34">
        <f t="shared" si="27"/>
        <v>82407</v>
      </c>
      <c r="O405" s="33"/>
      <c r="P405" s="20">
        <f t="shared" si="28"/>
        <v>73</v>
      </c>
    </row>
    <row r="406" spans="1:16" ht="15" hidden="1" customHeight="1" x14ac:dyDescent="0.2">
      <c r="A406" s="20" t="s">
        <v>18</v>
      </c>
      <c r="B406" s="61">
        <v>46064</v>
      </c>
      <c r="C406" s="20">
        <f t="shared" si="29"/>
        <v>1445</v>
      </c>
      <c r="D406" s="38">
        <f t="shared" si="30"/>
        <v>0</v>
      </c>
      <c r="G406" s="32" t="s">
        <v>89</v>
      </c>
      <c r="H406" s="20" t="s">
        <v>1332</v>
      </c>
      <c r="I406" s="20">
        <v>1331</v>
      </c>
      <c r="J406" s="20">
        <v>331</v>
      </c>
      <c r="K406" s="20" t="s">
        <v>20</v>
      </c>
      <c r="L406" s="20">
        <v>1</v>
      </c>
      <c r="M406" s="34">
        <v>6593</v>
      </c>
      <c r="N406" s="34">
        <f t="shared" si="27"/>
        <v>6593</v>
      </c>
      <c r="O406" s="33"/>
      <c r="P406" s="20">
        <f t="shared" si="28"/>
        <v>73</v>
      </c>
    </row>
    <row r="407" spans="1:16" ht="15" hidden="1" customHeight="1" x14ac:dyDescent="0.2">
      <c r="A407" s="20" t="s">
        <v>310</v>
      </c>
      <c r="B407" s="61">
        <v>46064</v>
      </c>
      <c r="C407" s="20">
        <f t="shared" si="29"/>
        <v>1446</v>
      </c>
      <c r="D407" s="38">
        <f t="shared" si="30"/>
        <v>1</v>
      </c>
      <c r="G407" s="32" t="s">
        <v>89</v>
      </c>
      <c r="H407" s="20" t="s">
        <v>2835</v>
      </c>
      <c r="I407" s="20">
        <v>331</v>
      </c>
      <c r="J407" s="20">
        <v>1111</v>
      </c>
      <c r="K407" s="20" t="s">
        <v>20</v>
      </c>
      <c r="L407" s="20">
        <v>1</v>
      </c>
      <c r="M407" s="34">
        <v>89000</v>
      </c>
      <c r="N407" s="34">
        <f t="shared" si="27"/>
        <v>89000</v>
      </c>
      <c r="O407" s="33"/>
      <c r="P407" s="20">
        <f t="shared" si="28"/>
        <v>84</v>
      </c>
    </row>
    <row r="408" spans="1:16" ht="15" hidden="1" customHeight="1" x14ac:dyDescent="0.2">
      <c r="A408" s="20" t="s">
        <v>18</v>
      </c>
      <c r="B408" s="61">
        <v>46064</v>
      </c>
      <c r="C408" s="20">
        <f t="shared" si="29"/>
        <v>1447</v>
      </c>
      <c r="D408" s="38">
        <f t="shared" si="30"/>
        <v>1</v>
      </c>
      <c r="G408" s="32" t="s">
        <v>89</v>
      </c>
      <c r="H408" s="20" t="s">
        <v>1333</v>
      </c>
      <c r="I408" s="20">
        <v>64277</v>
      </c>
      <c r="J408" s="20">
        <v>331</v>
      </c>
      <c r="K408" s="20" t="s">
        <v>20</v>
      </c>
      <c r="L408" s="20">
        <v>1</v>
      </c>
      <c r="M408" s="34">
        <v>52777</v>
      </c>
      <c r="N408" s="34">
        <f t="shared" si="27"/>
        <v>52777</v>
      </c>
      <c r="O408" s="33"/>
      <c r="P408" s="20">
        <f t="shared" si="28"/>
        <v>73</v>
      </c>
    </row>
    <row r="409" spans="1:16" ht="15" hidden="1" customHeight="1" x14ac:dyDescent="0.2">
      <c r="A409" s="20" t="s">
        <v>18</v>
      </c>
      <c r="B409" s="61">
        <v>46064</v>
      </c>
      <c r="C409" s="20">
        <f t="shared" si="29"/>
        <v>1447</v>
      </c>
      <c r="D409" s="38">
        <f t="shared" si="30"/>
        <v>0</v>
      </c>
      <c r="G409" s="32" t="s">
        <v>89</v>
      </c>
      <c r="H409" s="20" t="s">
        <v>1333</v>
      </c>
      <c r="I409" s="20">
        <v>1331</v>
      </c>
      <c r="J409" s="20">
        <v>331</v>
      </c>
      <c r="K409" s="20" t="s">
        <v>20</v>
      </c>
      <c r="L409" s="20">
        <v>1</v>
      </c>
      <c r="M409" s="34">
        <v>4223</v>
      </c>
      <c r="N409" s="34">
        <f t="shared" si="27"/>
        <v>4223</v>
      </c>
      <c r="O409" s="33"/>
      <c r="P409" s="20">
        <f t="shared" si="28"/>
        <v>73</v>
      </c>
    </row>
    <row r="410" spans="1:16" ht="15" hidden="1" customHeight="1" x14ac:dyDescent="0.2">
      <c r="A410" s="20" t="s">
        <v>310</v>
      </c>
      <c r="B410" s="61">
        <v>46064</v>
      </c>
      <c r="C410" s="20">
        <f t="shared" si="29"/>
        <v>1448</v>
      </c>
      <c r="D410" s="38">
        <f t="shared" si="30"/>
        <v>1</v>
      </c>
      <c r="G410" s="32" t="s">
        <v>89</v>
      </c>
      <c r="H410" s="20" t="s">
        <v>2836</v>
      </c>
      <c r="I410" s="20">
        <v>331</v>
      </c>
      <c r="J410" s="20">
        <v>1111</v>
      </c>
      <c r="K410" s="20" t="s">
        <v>20</v>
      </c>
      <c r="L410" s="20">
        <v>1</v>
      </c>
      <c r="M410" s="34">
        <v>57000</v>
      </c>
      <c r="N410" s="34">
        <f t="shared" si="27"/>
        <v>57000</v>
      </c>
      <c r="O410" s="33"/>
      <c r="P410" s="20">
        <f t="shared" si="28"/>
        <v>84</v>
      </c>
    </row>
    <row r="411" spans="1:16" ht="15" hidden="1" customHeight="1" x14ac:dyDescent="0.2">
      <c r="A411" s="20" t="s">
        <v>18</v>
      </c>
      <c r="B411" s="61">
        <v>46064</v>
      </c>
      <c r="C411" s="20">
        <f t="shared" si="29"/>
        <v>1449</v>
      </c>
      <c r="D411" s="38">
        <f t="shared" si="30"/>
        <v>1</v>
      </c>
      <c r="G411" s="32" t="s">
        <v>89</v>
      </c>
      <c r="H411" s="20" t="s">
        <v>1334</v>
      </c>
      <c r="I411" s="20">
        <v>64277</v>
      </c>
      <c r="J411" s="20">
        <v>331</v>
      </c>
      <c r="K411" s="20" t="s">
        <v>20</v>
      </c>
      <c r="L411" s="20">
        <v>1</v>
      </c>
      <c r="M411" s="34">
        <v>97222</v>
      </c>
      <c r="N411" s="34">
        <f t="shared" si="27"/>
        <v>97222</v>
      </c>
      <c r="O411" s="33"/>
      <c r="P411" s="20">
        <f t="shared" si="28"/>
        <v>73</v>
      </c>
    </row>
    <row r="412" spans="1:16" ht="15" hidden="1" customHeight="1" x14ac:dyDescent="0.2">
      <c r="A412" s="20" t="s">
        <v>18</v>
      </c>
      <c r="B412" s="61">
        <v>46064</v>
      </c>
      <c r="C412" s="20">
        <f t="shared" si="29"/>
        <v>1449</v>
      </c>
      <c r="D412" s="38">
        <f t="shared" si="30"/>
        <v>0</v>
      </c>
      <c r="G412" s="32" t="s">
        <v>89</v>
      </c>
      <c r="H412" s="20" t="s">
        <v>1334</v>
      </c>
      <c r="I412" s="20">
        <v>1331</v>
      </c>
      <c r="J412" s="20">
        <v>331</v>
      </c>
      <c r="K412" s="20" t="s">
        <v>20</v>
      </c>
      <c r="L412" s="20">
        <v>1</v>
      </c>
      <c r="M412" s="34">
        <v>7778</v>
      </c>
      <c r="N412" s="34">
        <f t="shared" si="27"/>
        <v>7778</v>
      </c>
      <c r="O412" s="33"/>
      <c r="P412" s="20">
        <f t="shared" si="28"/>
        <v>73</v>
      </c>
    </row>
    <row r="413" spans="1:16" ht="15" hidden="1" customHeight="1" x14ac:dyDescent="0.2">
      <c r="A413" s="20" t="s">
        <v>310</v>
      </c>
      <c r="B413" s="61">
        <v>46064</v>
      </c>
      <c r="C413" s="20">
        <f t="shared" si="29"/>
        <v>1450</v>
      </c>
      <c r="D413" s="38">
        <f t="shared" si="30"/>
        <v>1</v>
      </c>
      <c r="G413" s="32" t="s">
        <v>89</v>
      </c>
      <c r="H413" s="20" t="s">
        <v>2837</v>
      </c>
      <c r="I413" s="20">
        <v>331</v>
      </c>
      <c r="J413" s="20">
        <v>1111</v>
      </c>
      <c r="K413" s="20" t="s">
        <v>20</v>
      </c>
      <c r="L413" s="20">
        <v>1</v>
      </c>
      <c r="M413" s="34">
        <v>105000</v>
      </c>
      <c r="N413" s="34">
        <f t="shared" si="27"/>
        <v>105000</v>
      </c>
      <c r="O413" s="33"/>
      <c r="P413" s="20">
        <f t="shared" si="28"/>
        <v>84</v>
      </c>
    </row>
    <row r="414" spans="1:16" ht="15" hidden="1" customHeight="1" x14ac:dyDescent="0.2">
      <c r="A414" s="20" t="s">
        <v>18</v>
      </c>
      <c r="B414" s="61">
        <v>46064</v>
      </c>
      <c r="C414" s="20">
        <f t="shared" si="29"/>
        <v>1451</v>
      </c>
      <c r="D414" s="38">
        <f t="shared" si="30"/>
        <v>1</v>
      </c>
      <c r="G414" s="32" t="s">
        <v>89</v>
      </c>
      <c r="H414" s="20" t="s">
        <v>1335</v>
      </c>
      <c r="I414" s="20">
        <v>64277</v>
      </c>
      <c r="J414" s="20">
        <v>331</v>
      </c>
      <c r="K414" s="20" t="s">
        <v>20</v>
      </c>
      <c r="L414" s="20">
        <v>1</v>
      </c>
      <c r="M414" s="34">
        <v>43518</v>
      </c>
      <c r="N414" s="34">
        <f t="shared" si="27"/>
        <v>43518</v>
      </c>
      <c r="O414" s="33"/>
      <c r="P414" s="20">
        <f t="shared" si="28"/>
        <v>73</v>
      </c>
    </row>
    <row r="415" spans="1:16" ht="15" hidden="1" customHeight="1" x14ac:dyDescent="0.2">
      <c r="A415" s="20" t="s">
        <v>18</v>
      </c>
      <c r="B415" s="61">
        <v>46064</v>
      </c>
      <c r="C415" s="20">
        <f t="shared" si="29"/>
        <v>1451</v>
      </c>
      <c r="D415" s="38">
        <f t="shared" si="30"/>
        <v>0</v>
      </c>
      <c r="G415" s="32" t="s">
        <v>89</v>
      </c>
      <c r="H415" s="20" t="s">
        <v>1335</v>
      </c>
      <c r="I415" s="20">
        <v>1331</v>
      </c>
      <c r="J415" s="20">
        <v>331</v>
      </c>
      <c r="K415" s="20" t="s">
        <v>20</v>
      </c>
      <c r="L415" s="20">
        <v>1</v>
      </c>
      <c r="M415" s="34">
        <v>3482</v>
      </c>
      <c r="N415" s="34">
        <f t="shared" si="27"/>
        <v>3482</v>
      </c>
      <c r="O415" s="33"/>
      <c r="P415" s="20">
        <f t="shared" si="28"/>
        <v>73</v>
      </c>
    </row>
    <row r="416" spans="1:16" ht="15" hidden="1" customHeight="1" x14ac:dyDescent="0.2">
      <c r="A416" s="20" t="s">
        <v>310</v>
      </c>
      <c r="B416" s="61">
        <v>46064</v>
      </c>
      <c r="C416" s="20">
        <f t="shared" si="29"/>
        <v>1452</v>
      </c>
      <c r="D416" s="38">
        <f t="shared" si="30"/>
        <v>1</v>
      </c>
      <c r="G416" s="32" t="s">
        <v>89</v>
      </c>
      <c r="H416" s="20" t="s">
        <v>2838</v>
      </c>
      <c r="I416" s="20">
        <v>331</v>
      </c>
      <c r="J416" s="20">
        <v>1111</v>
      </c>
      <c r="K416" s="20" t="s">
        <v>20</v>
      </c>
      <c r="L416" s="20">
        <v>1</v>
      </c>
      <c r="M416" s="34">
        <v>47000</v>
      </c>
      <c r="N416" s="34">
        <f t="shared" si="27"/>
        <v>47000</v>
      </c>
      <c r="O416" s="33"/>
      <c r="P416" s="20">
        <f t="shared" si="28"/>
        <v>84</v>
      </c>
    </row>
    <row r="417" spans="1:16" ht="15" hidden="1" customHeight="1" x14ac:dyDescent="0.2">
      <c r="A417" s="20" t="s">
        <v>18</v>
      </c>
      <c r="B417" s="61">
        <v>46064</v>
      </c>
      <c r="C417" s="20">
        <f t="shared" si="29"/>
        <v>1453</v>
      </c>
      <c r="D417" s="38">
        <f t="shared" si="30"/>
        <v>1</v>
      </c>
      <c r="G417" s="32" t="s">
        <v>89</v>
      </c>
      <c r="H417" s="20" t="s">
        <v>1336</v>
      </c>
      <c r="I417" s="20">
        <v>64277</v>
      </c>
      <c r="J417" s="20">
        <v>331</v>
      </c>
      <c r="K417" s="20" t="s">
        <v>20</v>
      </c>
      <c r="L417" s="20">
        <v>1</v>
      </c>
      <c r="M417" s="34">
        <v>64814</v>
      </c>
      <c r="N417" s="34">
        <f t="shared" si="27"/>
        <v>64814</v>
      </c>
      <c r="O417" s="33"/>
      <c r="P417" s="20">
        <f t="shared" si="28"/>
        <v>73</v>
      </c>
    </row>
    <row r="418" spans="1:16" ht="15" hidden="1" customHeight="1" x14ac:dyDescent="0.2">
      <c r="A418" s="20" t="s">
        <v>18</v>
      </c>
      <c r="B418" s="61">
        <v>46064</v>
      </c>
      <c r="C418" s="20">
        <f t="shared" si="29"/>
        <v>1453</v>
      </c>
      <c r="D418" s="38">
        <f t="shared" si="30"/>
        <v>0</v>
      </c>
      <c r="G418" s="32" t="s">
        <v>89</v>
      </c>
      <c r="H418" s="20" t="s">
        <v>1336</v>
      </c>
      <c r="I418" s="20">
        <v>1331</v>
      </c>
      <c r="J418" s="20">
        <v>331</v>
      </c>
      <c r="K418" s="20" t="s">
        <v>20</v>
      </c>
      <c r="L418" s="20">
        <v>1</v>
      </c>
      <c r="M418" s="34">
        <v>5186</v>
      </c>
      <c r="N418" s="34">
        <f t="shared" si="27"/>
        <v>5186</v>
      </c>
      <c r="O418" s="33"/>
      <c r="P418" s="20">
        <f t="shared" si="28"/>
        <v>73</v>
      </c>
    </row>
    <row r="419" spans="1:16" ht="15" hidden="1" customHeight="1" x14ac:dyDescent="0.2">
      <c r="A419" s="20" t="s">
        <v>310</v>
      </c>
      <c r="B419" s="61">
        <v>46064</v>
      </c>
      <c r="C419" s="20">
        <f t="shared" si="29"/>
        <v>1454</v>
      </c>
      <c r="D419" s="38">
        <f t="shared" si="30"/>
        <v>1</v>
      </c>
      <c r="G419" s="32" t="s">
        <v>89</v>
      </c>
      <c r="H419" s="20" t="s">
        <v>2839</v>
      </c>
      <c r="I419" s="20">
        <v>331</v>
      </c>
      <c r="J419" s="20">
        <v>1111</v>
      </c>
      <c r="K419" s="20" t="s">
        <v>20</v>
      </c>
      <c r="L419" s="20">
        <v>1</v>
      </c>
      <c r="M419" s="34">
        <v>70000</v>
      </c>
      <c r="N419" s="34">
        <f t="shared" si="27"/>
        <v>70000</v>
      </c>
      <c r="O419" s="33"/>
      <c r="P419" s="20">
        <f t="shared" si="28"/>
        <v>84</v>
      </c>
    </row>
    <row r="420" spans="1:16" ht="15" hidden="1" customHeight="1" x14ac:dyDescent="0.2">
      <c r="A420" s="20" t="s">
        <v>18</v>
      </c>
      <c r="B420" s="61">
        <v>46064</v>
      </c>
      <c r="C420" s="20">
        <f t="shared" si="29"/>
        <v>1455</v>
      </c>
      <c r="D420" s="38">
        <f t="shared" si="30"/>
        <v>1</v>
      </c>
      <c r="G420" s="32" t="s">
        <v>89</v>
      </c>
      <c r="H420" s="20" t="s">
        <v>1337</v>
      </c>
      <c r="I420" s="20">
        <v>64277</v>
      </c>
      <c r="J420" s="20">
        <v>331</v>
      </c>
      <c r="K420" s="20" t="s">
        <v>20</v>
      </c>
      <c r="L420" s="20">
        <v>1</v>
      </c>
      <c r="M420" s="34">
        <v>32407</v>
      </c>
      <c r="N420" s="34">
        <f t="shared" si="27"/>
        <v>32407</v>
      </c>
      <c r="O420" s="33"/>
      <c r="P420" s="20">
        <f t="shared" si="28"/>
        <v>73</v>
      </c>
    </row>
    <row r="421" spans="1:16" ht="15" hidden="1" customHeight="1" x14ac:dyDescent="0.2">
      <c r="A421" s="20" t="s">
        <v>18</v>
      </c>
      <c r="B421" s="61">
        <v>46064</v>
      </c>
      <c r="C421" s="20">
        <f t="shared" si="29"/>
        <v>1455</v>
      </c>
      <c r="D421" s="38">
        <f t="shared" si="30"/>
        <v>0</v>
      </c>
      <c r="G421" s="32" t="s">
        <v>89</v>
      </c>
      <c r="H421" s="20" t="s">
        <v>1337</v>
      </c>
      <c r="I421" s="20">
        <v>1331</v>
      </c>
      <c r="J421" s="20">
        <v>331</v>
      </c>
      <c r="K421" s="20" t="s">
        <v>20</v>
      </c>
      <c r="L421" s="20">
        <v>1</v>
      </c>
      <c r="M421" s="34">
        <v>2593</v>
      </c>
      <c r="N421" s="34">
        <f t="shared" si="27"/>
        <v>2593</v>
      </c>
      <c r="O421" s="33"/>
      <c r="P421" s="20">
        <f t="shared" si="28"/>
        <v>73</v>
      </c>
    </row>
    <row r="422" spans="1:16" ht="15" hidden="1" customHeight="1" x14ac:dyDescent="0.2">
      <c r="A422" s="20" t="s">
        <v>310</v>
      </c>
      <c r="B422" s="61">
        <v>46064</v>
      </c>
      <c r="C422" s="20">
        <f t="shared" si="29"/>
        <v>1456</v>
      </c>
      <c r="D422" s="38">
        <f t="shared" si="30"/>
        <v>1</v>
      </c>
      <c r="G422" s="32" t="s">
        <v>89</v>
      </c>
      <c r="H422" s="20" t="s">
        <v>2840</v>
      </c>
      <c r="I422" s="20">
        <v>331</v>
      </c>
      <c r="J422" s="20">
        <v>1111</v>
      </c>
      <c r="K422" s="20" t="s">
        <v>20</v>
      </c>
      <c r="L422" s="20">
        <v>1</v>
      </c>
      <c r="M422" s="34">
        <v>35000</v>
      </c>
      <c r="N422" s="34">
        <f t="shared" si="27"/>
        <v>35000</v>
      </c>
      <c r="O422" s="33"/>
      <c r="P422" s="20">
        <f t="shared" si="28"/>
        <v>84</v>
      </c>
    </row>
    <row r="423" spans="1:16" ht="15" hidden="1" customHeight="1" x14ac:dyDescent="0.2">
      <c r="A423" s="20" t="s">
        <v>18</v>
      </c>
      <c r="B423" s="61">
        <v>46064</v>
      </c>
      <c r="C423" s="20">
        <f t="shared" si="29"/>
        <v>1457</v>
      </c>
      <c r="D423" s="38">
        <f t="shared" si="30"/>
        <v>1</v>
      </c>
      <c r="G423" s="32" t="s">
        <v>89</v>
      </c>
      <c r="H423" s="20" t="s">
        <v>1338</v>
      </c>
      <c r="I423" s="20">
        <v>64277</v>
      </c>
      <c r="J423" s="20">
        <v>331</v>
      </c>
      <c r="K423" s="20" t="s">
        <v>20</v>
      </c>
      <c r="L423" s="20">
        <v>1</v>
      </c>
      <c r="M423" s="34">
        <v>29629</v>
      </c>
      <c r="N423" s="34">
        <f t="shared" si="27"/>
        <v>29629</v>
      </c>
      <c r="O423" s="33"/>
      <c r="P423" s="20">
        <f t="shared" si="28"/>
        <v>73</v>
      </c>
    </row>
    <row r="424" spans="1:16" ht="15" hidden="1" customHeight="1" x14ac:dyDescent="0.2">
      <c r="A424" s="20" t="s">
        <v>18</v>
      </c>
      <c r="B424" s="61">
        <v>46064</v>
      </c>
      <c r="C424" s="20">
        <f t="shared" si="29"/>
        <v>1457</v>
      </c>
      <c r="D424" s="38">
        <f t="shared" si="30"/>
        <v>0</v>
      </c>
      <c r="G424" s="32" t="s">
        <v>89</v>
      </c>
      <c r="H424" s="20" t="s">
        <v>1338</v>
      </c>
      <c r="I424" s="20">
        <v>1331</v>
      </c>
      <c r="J424" s="20">
        <v>331</v>
      </c>
      <c r="K424" s="20" t="s">
        <v>20</v>
      </c>
      <c r="L424" s="20">
        <v>1</v>
      </c>
      <c r="M424" s="34">
        <v>2371</v>
      </c>
      <c r="N424" s="34">
        <f t="shared" si="27"/>
        <v>2371</v>
      </c>
      <c r="O424" s="33"/>
      <c r="P424" s="20">
        <f t="shared" si="28"/>
        <v>73</v>
      </c>
    </row>
    <row r="425" spans="1:16" ht="15" hidden="1" customHeight="1" x14ac:dyDescent="0.2">
      <c r="A425" s="20" t="s">
        <v>310</v>
      </c>
      <c r="B425" s="61">
        <v>46064</v>
      </c>
      <c r="C425" s="20">
        <f t="shared" si="29"/>
        <v>1458</v>
      </c>
      <c r="D425" s="38">
        <f t="shared" si="30"/>
        <v>1</v>
      </c>
      <c r="G425" s="32" t="s">
        <v>89</v>
      </c>
      <c r="H425" s="20" t="s">
        <v>2841</v>
      </c>
      <c r="I425" s="20">
        <v>331</v>
      </c>
      <c r="J425" s="20">
        <v>1111</v>
      </c>
      <c r="K425" s="20" t="s">
        <v>20</v>
      </c>
      <c r="L425" s="20">
        <v>1</v>
      </c>
      <c r="M425" s="34">
        <v>32000</v>
      </c>
      <c r="N425" s="34">
        <f t="shared" si="27"/>
        <v>32000</v>
      </c>
      <c r="O425" s="33"/>
      <c r="P425" s="20">
        <f t="shared" si="28"/>
        <v>84</v>
      </c>
    </row>
    <row r="426" spans="1:16" ht="15" hidden="1" customHeight="1" x14ac:dyDescent="0.2">
      <c r="A426" s="20" t="s">
        <v>18</v>
      </c>
      <c r="B426" s="61">
        <v>46064</v>
      </c>
      <c r="C426" s="20">
        <f t="shared" si="29"/>
        <v>1459</v>
      </c>
      <c r="D426" s="38">
        <f t="shared" si="30"/>
        <v>1</v>
      </c>
      <c r="G426" s="32" t="s">
        <v>89</v>
      </c>
      <c r="H426" s="20" t="s">
        <v>1339</v>
      </c>
      <c r="I426" s="20">
        <v>64277</v>
      </c>
      <c r="J426" s="20">
        <v>331</v>
      </c>
      <c r="K426" s="20" t="s">
        <v>20</v>
      </c>
      <c r="L426" s="20">
        <v>1</v>
      </c>
      <c r="M426" s="34">
        <v>23148</v>
      </c>
      <c r="N426" s="34">
        <f t="shared" si="27"/>
        <v>23148</v>
      </c>
      <c r="O426" s="33"/>
      <c r="P426" s="20">
        <f t="shared" si="28"/>
        <v>72</v>
      </c>
    </row>
    <row r="427" spans="1:16" ht="15" hidden="1" customHeight="1" x14ac:dyDescent="0.2">
      <c r="A427" s="20" t="s">
        <v>18</v>
      </c>
      <c r="B427" s="61">
        <v>46064</v>
      </c>
      <c r="C427" s="20">
        <f t="shared" si="29"/>
        <v>1459</v>
      </c>
      <c r="D427" s="38">
        <f t="shared" si="30"/>
        <v>0</v>
      </c>
      <c r="G427" s="32" t="s">
        <v>89</v>
      </c>
      <c r="H427" s="20" t="s">
        <v>1339</v>
      </c>
      <c r="I427" s="20">
        <v>1331</v>
      </c>
      <c r="J427" s="20">
        <v>331</v>
      </c>
      <c r="K427" s="20" t="s">
        <v>20</v>
      </c>
      <c r="L427" s="20">
        <v>1</v>
      </c>
      <c r="M427" s="34">
        <v>1852</v>
      </c>
      <c r="N427" s="34">
        <f t="shared" si="27"/>
        <v>1852</v>
      </c>
      <c r="O427" s="33"/>
      <c r="P427" s="20">
        <f t="shared" si="28"/>
        <v>72</v>
      </c>
    </row>
    <row r="428" spans="1:16" ht="15" hidden="1" customHeight="1" x14ac:dyDescent="0.2">
      <c r="A428" s="20" t="s">
        <v>310</v>
      </c>
      <c r="B428" s="61">
        <v>46064</v>
      </c>
      <c r="C428" s="20">
        <f t="shared" si="29"/>
        <v>1460</v>
      </c>
      <c r="D428" s="38">
        <f t="shared" si="30"/>
        <v>1</v>
      </c>
      <c r="G428" s="32" t="s">
        <v>89</v>
      </c>
      <c r="H428" s="20" t="s">
        <v>2842</v>
      </c>
      <c r="I428" s="20">
        <v>331</v>
      </c>
      <c r="J428" s="20">
        <v>1111</v>
      </c>
      <c r="K428" s="20" t="s">
        <v>20</v>
      </c>
      <c r="L428" s="20">
        <v>1</v>
      </c>
      <c r="M428" s="34">
        <v>25000</v>
      </c>
      <c r="N428" s="34">
        <f t="shared" si="27"/>
        <v>25000</v>
      </c>
      <c r="O428" s="33"/>
      <c r="P428" s="20">
        <f t="shared" si="28"/>
        <v>83</v>
      </c>
    </row>
    <row r="429" spans="1:16" ht="15" hidden="1" customHeight="1" x14ac:dyDescent="0.2">
      <c r="A429" s="20" t="s">
        <v>18</v>
      </c>
      <c r="B429" s="61">
        <v>46065</v>
      </c>
      <c r="C429" s="20">
        <f t="shared" si="29"/>
        <v>1461</v>
      </c>
      <c r="D429" s="38">
        <f t="shared" si="30"/>
        <v>1</v>
      </c>
      <c r="G429" s="32" t="s">
        <v>89</v>
      </c>
      <c r="H429" s="20" t="s">
        <v>1340</v>
      </c>
      <c r="I429" s="20">
        <v>64277</v>
      </c>
      <c r="J429" s="20">
        <v>331</v>
      </c>
      <c r="K429" s="20" t="s">
        <v>20</v>
      </c>
      <c r="L429" s="20">
        <v>1</v>
      </c>
      <c r="M429" s="34">
        <v>187963</v>
      </c>
      <c r="N429" s="34">
        <f t="shared" si="27"/>
        <v>187963</v>
      </c>
      <c r="O429" s="33"/>
      <c r="P429" s="20">
        <f t="shared" si="28"/>
        <v>73</v>
      </c>
    </row>
    <row r="430" spans="1:16" ht="15" hidden="1" customHeight="1" x14ac:dyDescent="0.2">
      <c r="A430" s="20" t="s">
        <v>18</v>
      </c>
      <c r="B430" s="61">
        <v>46065</v>
      </c>
      <c r="C430" s="20">
        <f t="shared" si="29"/>
        <v>1461</v>
      </c>
      <c r="D430" s="38">
        <f t="shared" si="30"/>
        <v>0</v>
      </c>
      <c r="G430" s="32" t="s">
        <v>89</v>
      </c>
      <c r="H430" s="20" t="s">
        <v>1340</v>
      </c>
      <c r="I430" s="20">
        <v>1331</v>
      </c>
      <c r="J430" s="20">
        <v>331</v>
      </c>
      <c r="K430" s="20" t="s">
        <v>20</v>
      </c>
      <c r="L430" s="20">
        <v>1</v>
      </c>
      <c r="M430" s="34">
        <v>15037</v>
      </c>
      <c r="N430" s="34">
        <f t="shared" si="27"/>
        <v>15037</v>
      </c>
      <c r="O430" s="33"/>
      <c r="P430" s="20">
        <f t="shared" si="28"/>
        <v>73</v>
      </c>
    </row>
    <row r="431" spans="1:16" ht="15" hidden="1" customHeight="1" x14ac:dyDescent="0.2">
      <c r="A431" s="20" t="s">
        <v>310</v>
      </c>
      <c r="B431" s="61">
        <v>46065</v>
      </c>
      <c r="C431" s="20">
        <f t="shared" si="29"/>
        <v>1462</v>
      </c>
      <c r="D431" s="38">
        <f t="shared" si="30"/>
        <v>1</v>
      </c>
      <c r="G431" s="32" t="s">
        <v>89</v>
      </c>
      <c r="H431" s="20" t="s">
        <v>2843</v>
      </c>
      <c r="I431" s="20">
        <v>331</v>
      </c>
      <c r="J431" s="20">
        <v>1111</v>
      </c>
      <c r="K431" s="20" t="s">
        <v>20</v>
      </c>
      <c r="L431" s="20">
        <v>1</v>
      </c>
      <c r="M431" s="34">
        <v>203000</v>
      </c>
      <c r="N431" s="34">
        <f t="shared" si="27"/>
        <v>203000</v>
      </c>
      <c r="O431" s="33"/>
      <c r="P431" s="20">
        <f t="shared" si="28"/>
        <v>84</v>
      </c>
    </row>
    <row r="432" spans="1:16" ht="15" hidden="1" customHeight="1" x14ac:dyDescent="0.2">
      <c r="A432" s="20" t="s">
        <v>18</v>
      </c>
      <c r="B432" s="61">
        <v>46065</v>
      </c>
      <c r="C432" s="20">
        <f t="shared" si="29"/>
        <v>1463</v>
      </c>
      <c r="D432" s="38">
        <f t="shared" si="30"/>
        <v>1</v>
      </c>
      <c r="G432" s="32" t="s">
        <v>89</v>
      </c>
      <c r="H432" s="20" t="s">
        <v>1341</v>
      </c>
      <c r="I432" s="20">
        <v>64277</v>
      </c>
      <c r="J432" s="20">
        <v>331</v>
      </c>
      <c r="K432" s="20" t="s">
        <v>20</v>
      </c>
      <c r="L432" s="20">
        <v>1</v>
      </c>
      <c r="M432" s="34">
        <v>42593</v>
      </c>
      <c r="N432" s="34">
        <f t="shared" si="27"/>
        <v>42593</v>
      </c>
      <c r="O432" s="33"/>
      <c r="P432" s="20">
        <f t="shared" si="28"/>
        <v>73</v>
      </c>
    </row>
    <row r="433" spans="1:16" ht="15" hidden="1" customHeight="1" x14ac:dyDescent="0.2">
      <c r="A433" s="20" t="s">
        <v>18</v>
      </c>
      <c r="B433" s="61">
        <v>46065</v>
      </c>
      <c r="C433" s="20">
        <f t="shared" si="29"/>
        <v>1463</v>
      </c>
      <c r="D433" s="38">
        <f t="shared" si="30"/>
        <v>0</v>
      </c>
      <c r="G433" s="32" t="s">
        <v>89</v>
      </c>
      <c r="H433" s="20" t="s">
        <v>1341</v>
      </c>
      <c r="I433" s="20">
        <v>1331</v>
      </c>
      <c r="J433" s="20">
        <v>331</v>
      </c>
      <c r="K433" s="20" t="s">
        <v>20</v>
      </c>
      <c r="L433" s="20">
        <v>1</v>
      </c>
      <c r="M433" s="34">
        <v>3407</v>
      </c>
      <c r="N433" s="34">
        <f t="shared" si="27"/>
        <v>3407</v>
      </c>
      <c r="O433" s="33"/>
      <c r="P433" s="20">
        <f t="shared" si="28"/>
        <v>73</v>
      </c>
    </row>
    <row r="434" spans="1:16" ht="15" hidden="1" customHeight="1" x14ac:dyDescent="0.2">
      <c r="A434" s="20" t="s">
        <v>310</v>
      </c>
      <c r="B434" s="61">
        <v>46065</v>
      </c>
      <c r="C434" s="20">
        <f t="shared" si="29"/>
        <v>1464</v>
      </c>
      <c r="D434" s="38">
        <f t="shared" si="30"/>
        <v>1</v>
      </c>
      <c r="G434" s="32" t="s">
        <v>89</v>
      </c>
      <c r="H434" s="20" t="s">
        <v>2844</v>
      </c>
      <c r="I434" s="20">
        <v>331</v>
      </c>
      <c r="J434" s="20">
        <v>1111</v>
      </c>
      <c r="K434" s="20" t="s">
        <v>20</v>
      </c>
      <c r="L434" s="20">
        <v>1</v>
      </c>
      <c r="M434" s="34">
        <v>46000</v>
      </c>
      <c r="N434" s="34">
        <f t="shared" si="27"/>
        <v>46000</v>
      </c>
      <c r="O434" s="33"/>
      <c r="P434" s="20">
        <f t="shared" si="28"/>
        <v>84</v>
      </c>
    </row>
    <row r="435" spans="1:16" ht="15" hidden="1" customHeight="1" x14ac:dyDescent="0.2">
      <c r="A435" s="20" t="s">
        <v>18</v>
      </c>
      <c r="B435" s="61">
        <v>46065</v>
      </c>
      <c r="C435" s="20">
        <f t="shared" si="29"/>
        <v>1465</v>
      </c>
      <c r="D435" s="38">
        <f t="shared" si="30"/>
        <v>1</v>
      </c>
      <c r="G435" s="32" t="s">
        <v>89</v>
      </c>
      <c r="H435" s="20" t="s">
        <v>1342</v>
      </c>
      <c r="I435" s="20">
        <v>64277</v>
      </c>
      <c r="J435" s="20">
        <v>331</v>
      </c>
      <c r="K435" s="20" t="s">
        <v>20</v>
      </c>
      <c r="L435" s="20">
        <v>1</v>
      </c>
      <c r="M435" s="34">
        <v>131481</v>
      </c>
      <c r="N435" s="34">
        <f t="shared" si="27"/>
        <v>131481</v>
      </c>
      <c r="O435" s="33"/>
      <c r="P435" s="20">
        <f t="shared" si="28"/>
        <v>73</v>
      </c>
    </row>
    <row r="436" spans="1:16" ht="15" hidden="1" customHeight="1" x14ac:dyDescent="0.2">
      <c r="A436" s="20" t="s">
        <v>18</v>
      </c>
      <c r="B436" s="61">
        <v>46065</v>
      </c>
      <c r="C436" s="20">
        <f t="shared" si="29"/>
        <v>1465</v>
      </c>
      <c r="D436" s="38">
        <f t="shared" si="30"/>
        <v>0</v>
      </c>
      <c r="G436" s="32" t="s">
        <v>89</v>
      </c>
      <c r="H436" s="20" t="s">
        <v>1342</v>
      </c>
      <c r="I436" s="20">
        <v>1331</v>
      </c>
      <c r="J436" s="20">
        <v>331</v>
      </c>
      <c r="K436" s="20" t="s">
        <v>20</v>
      </c>
      <c r="L436" s="20">
        <v>1</v>
      </c>
      <c r="M436" s="34">
        <v>10519</v>
      </c>
      <c r="N436" s="34">
        <f t="shared" si="27"/>
        <v>10519</v>
      </c>
      <c r="O436" s="33"/>
      <c r="P436" s="20">
        <f t="shared" si="28"/>
        <v>73</v>
      </c>
    </row>
    <row r="437" spans="1:16" ht="15" hidden="1" customHeight="1" x14ac:dyDescent="0.2">
      <c r="A437" s="20" t="s">
        <v>310</v>
      </c>
      <c r="B437" s="61">
        <v>46065</v>
      </c>
      <c r="C437" s="20">
        <f t="shared" si="29"/>
        <v>1466</v>
      </c>
      <c r="D437" s="38">
        <f t="shared" si="30"/>
        <v>1</v>
      </c>
      <c r="G437" s="32" t="s">
        <v>89</v>
      </c>
      <c r="H437" s="20" t="s">
        <v>2845</v>
      </c>
      <c r="I437" s="20">
        <v>331</v>
      </c>
      <c r="J437" s="20">
        <v>1111</v>
      </c>
      <c r="K437" s="20" t="s">
        <v>20</v>
      </c>
      <c r="L437" s="20">
        <v>1</v>
      </c>
      <c r="M437" s="34">
        <v>142000</v>
      </c>
      <c r="N437" s="34">
        <f t="shared" si="27"/>
        <v>142000</v>
      </c>
      <c r="O437" s="33"/>
      <c r="P437" s="20">
        <f t="shared" si="28"/>
        <v>84</v>
      </c>
    </row>
    <row r="438" spans="1:16" ht="15" hidden="1" customHeight="1" x14ac:dyDescent="0.2">
      <c r="A438" s="20" t="s">
        <v>18</v>
      </c>
      <c r="B438" s="61">
        <v>46065</v>
      </c>
      <c r="C438" s="20">
        <f t="shared" si="29"/>
        <v>1467</v>
      </c>
      <c r="D438" s="38">
        <f t="shared" si="30"/>
        <v>1</v>
      </c>
      <c r="G438" s="32" t="s">
        <v>89</v>
      </c>
      <c r="H438" s="20" t="s">
        <v>1343</v>
      </c>
      <c r="I438" s="20">
        <v>64277</v>
      </c>
      <c r="J438" s="20">
        <v>331</v>
      </c>
      <c r="K438" s="20" t="s">
        <v>20</v>
      </c>
      <c r="L438" s="20">
        <v>1</v>
      </c>
      <c r="M438" s="34">
        <v>31481</v>
      </c>
      <c r="N438" s="34">
        <f t="shared" si="27"/>
        <v>31481</v>
      </c>
      <c r="O438" s="33"/>
      <c r="P438" s="20">
        <f t="shared" si="28"/>
        <v>73</v>
      </c>
    </row>
    <row r="439" spans="1:16" ht="15" hidden="1" customHeight="1" x14ac:dyDescent="0.2">
      <c r="A439" s="20" t="s">
        <v>18</v>
      </c>
      <c r="B439" s="61">
        <v>46065</v>
      </c>
      <c r="C439" s="20">
        <f t="shared" si="29"/>
        <v>1467</v>
      </c>
      <c r="D439" s="38">
        <f t="shared" si="30"/>
        <v>0</v>
      </c>
      <c r="G439" s="32" t="s">
        <v>89</v>
      </c>
      <c r="H439" s="37" t="s">
        <v>1343</v>
      </c>
      <c r="I439" s="20">
        <v>1331</v>
      </c>
      <c r="J439" s="20">
        <v>331</v>
      </c>
      <c r="K439" s="20" t="s">
        <v>20</v>
      </c>
      <c r="L439" s="20">
        <v>1</v>
      </c>
      <c r="M439" s="34">
        <v>2519</v>
      </c>
      <c r="N439" s="34">
        <f t="shared" si="27"/>
        <v>2519</v>
      </c>
      <c r="O439" s="33"/>
      <c r="P439" s="20">
        <f t="shared" si="28"/>
        <v>73</v>
      </c>
    </row>
    <row r="440" spans="1:16" ht="15" hidden="1" customHeight="1" x14ac:dyDescent="0.2">
      <c r="A440" s="20" t="s">
        <v>310</v>
      </c>
      <c r="B440" s="61">
        <v>46065</v>
      </c>
      <c r="C440" s="20">
        <f t="shared" si="29"/>
        <v>1468</v>
      </c>
      <c r="D440" s="38">
        <f t="shared" si="30"/>
        <v>1</v>
      </c>
      <c r="G440" s="32" t="s">
        <v>89</v>
      </c>
      <c r="H440" s="20" t="s">
        <v>2846</v>
      </c>
      <c r="I440" s="20">
        <v>331</v>
      </c>
      <c r="J440" s="20">
        <v>1111</v>
      </c>
      <c r="K440" s="20" t="s">
        <v>20</v>
      </c>
      <c r="L440" s="20">
        <v>1</v>
      </c>
      <c r="M440" s="34">
        <v>34000</v>
      </c>
      <c r="N440" s="34">
        <f t="shared" si="27"/>
        <v>34000</v>
      </c>
      <c r="O440" s="33"/>
      <c r="P440" s="20">
        <f t="shared" si="28"/>
        <v>84</v>
      </c>
    </row>
    <row r="441" spans="1:16" ht="15" hidden="1" customHeight="1" x14ac:dyDescent="0.2">
      <c r="A441" s="20" t="s">
        <v>18</v>
      </c>
      <c r="B441" s="61">
        <v>46065</v>
      </c>
      <c r="C441" s="20">
        <f t="shared" si="29"/>
        <v>1469</v>
      </c>
      <c r="D441" s="38">
        <f t="shared" si="30"/>
        <v>1</v>
      </c>
      <c r="G441" s="32" t="s">
        <v>89</v>
      </c>
      <c r="H441" s="20" t="s">
        <v>1344</v>
      </c>
      <c r="I441" s="20">
        <v>64277</v>
      </c>
      <c r="J441" s="20">
        <v>331</v>
      </c>
      <c r="K441" s="20" t="s">
        <v>20</v>
      </c>
      <c r="L441" s="20">
        <v>1</v>
      </c>
      <c r="M441" s="34">
        <v>24074</v>
      </c>
      <c r="N441" s="34">
        <f t="shared" si="27"/>
        <v>24074</v>
      </c>
      <c r="O441" s="33"/>
      <c r="P441" s="20">
        <f t="shared" si="28"/>
        <v>73</v>
      </c>
    </row>
    <row r="442" spans="1:16" ht="15" hidden="1" customHeight="1" x14ac:dyDescent="0.2">
      <c r="A442" s="20" t="s">
        <v>18</v>
      </c>
      <c r="B442" s="61">
        <v>46065</v>
      </c>
      <c r="C442" s="20">
        <f t="shared" si="29"/>
        <v>1469</v>
      </c>
      <c r="D442" s="38">
        <f t="shared" si="30"/>
        <v>0</v>
      </c>
      <c r="G442" s="32" t="s">
        <v>89</v>
      </c>
      <c r="H442" s="20" t="s">
        <v>1344</v>
      </c>
      <c r="I442" s="20">
        <v>1331</v>
      </c>
      <c r="J442" s="20">
        <v>331</v>
      </c>
      <c r="K442" s="20" t="s">
        <v>20</v>
      </c>
      <c r="L442" s="20">
        <v>1</v>
      </c>
      <c r="M442" s="34">
        <v>1926</v>
      </c>
      <c r="N442" s="34">
        <f t="shared" si="27"/>
        <v>1926</v>
      </c>
      <c r="O442" s="33"/>
      <c r="P442" s="20">
        <f t="shared" si="28"/>
        <v>73</v>
      </c>
    </row>
    <row r="443" spans="1:16" ht="15" hidden="1" customHeight="1" x14ac:dyDescent="0.2">
      <c r="A443" s="20" t="s">
        <v>310</v>
      </c>
      <c r="B443" s="61">
        <v>46065</v>
      </c>
      <c r="C443" s="20">
        <f t="shared" si="29"/>
        <v>1470</v>
      </c>
      <c r="D443" s="38">
        <f t="shared" si="30"/>
        <v>1</v>
      </c>
      <c r="G443" s="32" t="s">
        <v>89</v>
      </c>
      <c r="H443" s="20" t="s">
        <v>2847</v>
      </c>
      <c r="I443" s="20">
        <v>331</v>
      </c>
      <c r="J443" s="20">
        <v>1111</v>
      </c>
      <c r="K443" s="20" t="s">
        <v>20</v>
      </c>
      <c r="L443" s="20">
        <v>1</v>
      </c>
      <c r="M443" s="34">
        <v>26000</v>
      </c>
      <c r="N443" s="34">
        <f t="shared" si="27"/>
        <v>26000</v>
      </c>
      <c r="O443" s="33"/>
      <c r="P443" s="20">
        <f t="shared" si="28"/>
        <v>84</v>
      </c>
    </row>
    <row r="444" spans="1:16" ht="15" hidden="1" customHeight="1" x14ac:dyDescent="0.2">
      <c r="A444" s="20" t="s">
        <v>18</v>
      </c>
      <c r="B444" s="61">
        <v>46065</v>
      </c>
      <c r="C444" s="20">
        <f t="shared" si="29"/>
        <v>1471</v>
      </c>
      <c r="D444" s="38">
        <f t="shared" si="30"/>
        <v>1</v>
      </c>
      <c r="G444" s="32" t="s">
        <v>1345</v>
      </c>
      <c r="H444" s="20" t="s">
        <v>2693</v>
      </c>
      <c r="I444" s="20">
        <v>64277</v>
      </c>
      <c r="J444" s="20">
        <v>331</v>
      </c>
      <c r="K444" s="20" t="s">
        <v>20</v>
      </c>
      <c r="L444" s="20">
        <v>1</v>
      </c>
      <c r="M444" s="34">
        <v>2991450</v>
      </c>
      <c r="N444" s="34">
        <f t="shared" si="27"/>
        <v>2991450</v>
      </c>
      <c r="O444" s="33"/>
      <c r="P444" s="20">
        <f t="shared" si="28"/>
        <v>41</v>
      </c>
    </row>
    <row r="445" spans="1:16" ht="15" hidden="1" customHeight="1" x14ac:dyDescent="0.2">
      <c r="A445" s="20" t="s">
        <v>18</v>
      </c>
      <c r="B445" s="61">
        <v>46065</v>
      </c>
      <c r="C445" s="20">
        <f t="shared" si="29"/>
        <v>1471</v>
      </c>
      <c r="D445" s="38">
        <f t="shared" si="30"/>
        <v>0</v>
      </c>
      <c r="G445" s="32" t="s">
        <v>1345</v>
      </c>
      <c r="H445" s="20" t="s">
        <v>2693</v>
      </c>
      <c r="I445" s="20">
        <v>1331</v>
      </c>
      <c r="J445" s="20">
        <v>331</v>
      </c>
      <c r="K445" s="20" t="s">
        <v>20</v>
      </c>
      <c r="L445" s="20">
        <v>1</v>
      </c>
      <c r="M445" s="34">
        <v>242516</v>
      </c>
      <c r="N445" s="34">
        <f t="shared" si="27"/>
        <v>242516</v>
      </c>
      <c r="O445" s="33"/>
      <c r="P445" s="20">
        <f t="shared" si="28"/>
        <v>41</v>
      </c>
    </row>
    <row r="446" spans="1:16" ht="15" hidden="1" customHeight="1" x14ac:dyDescent="0.2">
      <c r="A446" s="20" t="s">
        <v>310</v>
      </c>
      <c r="B446" s="61">
        <v>46065</v>
      </c>
      <c r="C446" s="20">
        <f t="shared" si="29"/>
        <v>1472</v>
      </c>
      <c r="D446" s="38">
        <f t="shared" si="30"/>
        <v>1</v>
      </c>
      <c r="G446" s="32" t="s">
        <v>1345</v>
      </c>
      <c r="H446" s="20" t="s">
        <v>2848</v>
      </c>
      <c r="I446" s="20">
        <v>331</v>
      </c>
      <c r="J446" s="20">
        <v>1111</v>
      </c>
      <c r="K446" s="20" t="s">
        <v>20</v>
      </c>
      <c r="L446" s="20">
        <v>1</v>
      </c>
      <c r="M446" s="34">
        <v>3233966</v>
      </c>
      <c r="N446" s="34">
        <f t="shared" si="27"/>
        <v>3233966</v>
      </c>
      <c r="O446" s="33"/>
      <c r="P446" s="20">
        <f t="shared" si="28"/>
        <v>52</v>
      </c>
    </row>
    <row r="447" spans="1:16" ht="15" hidden="1" customHeight="1" x14ac:dyDescent="0.2">
      <c r="A447" s="20" t="s">
        <v>18</v>
      </c>
      <c r="B447" s="61">
        <v>46066</v>
      </c>
      <c r="C447" s="20">
        <f t="shared" si="29"/>
        <v>1473</v>
      </c>
      <c r="D447" s="38">
        <f t="shared" si="30"/>
        <v>1</v>
      </c>
      <c r="G447" s="32" t="s">
        <v>89</v>
      </c>
      <c r="H447" s="20" t="s">
        <v>1346</v>
      </c>
      <c r="I447" s="20">
        <v>64277</v>
      </c>
      <c r="J447" s="20">
        <v>331</v>
      </c>
      <c r="K447" s="20" t="s">
        <v>20</v>
      </c>
      <c r="L447" s="20">
        <v>1</v>
      </c>
      <c r="M447" s="34">
        <v>64814</v>
      </c>
      <c r="N447" s="34">
        <f t="shared" si="27"/>
        <v>64814</v>
      </c>
      <c r="O447" s="33"/>
      <c r="P447" s="20">
        <f t="shared" si="28"/>
        <v>73</v>
      </c>
    </row>
    <row r="448" spans="1:16" ht="15" hidden="1" customHeight="1" x14ac:dyDescent="0.2">
      <c r="A448" s="20" t="s">
        <v>18</v>
      </c>
      <c r="B448" s="61">
        <v>46066</v>
      </c>
      <c r="C448" s="20">
        <f t="shared" si="29"/>
        <v>1473</v>
      </c>
      <c r="D448" s="38">
        <f t="shared" si="30"/>
        <v>0</v>
      </c>
      <c r="G448" s="32" t="s">
        <v>89</v>
      </c>
      <c r="H448" s="20" t="s">
        <v>1346</v>
      </c>
      <c r="I448" s="20">
        <v>1331</v>
      </c>
      <c r="J448" s="20">
        <v>331</v>
      </c>
      <c r="K448" s="20" t="s">
        <v>20</v>
      </c>
      <c r="L448" s="20">
        <v>1</v>
      </c>
      <c r="M448" s="34">
        <v>5186</v>
      </c>
      <c r="N448" s="34">
        <f t="shared" si="27"/>
        <v>5186</v>
      </c>
      <c r="O448" s="33"/>
      <c r="P448" s="20">
        <f t="shared" si="28"/>
        <v>73</v>
      </c>
    </row>
    <row r="449" spans="1:16" ht="15" hidden="1" customHeight="1" x14ac:dyDescent="0.2">
      <c r="A449" s="20" t="s">
        <v>310</v>
      </c>
      <c r="B449" s="61">
        <v>46066</v>
      </c>
      <c r="C449" s="20">
        <f t="shared" si="29"/>
        <v>1474</v>
      </c>
      <c r="D449" s="38">
        <f t="shared" si="30"/>
        <v>1</v>
      </c>
      <c r="G449" s="32" t="s">
        <v>89</v>
      </c>
      <c r="H449" s="20" t="s">
        <v>2849</v>
      </c>
      <c r="I449" s="20">
        <v>331</v>
      </c>
      <c r="J449" s="20">
        <v>1111</v>
      </c>
      <c r="K449" s="20" t="s">
        <v>20</v>
      </c>
      <c r="L449" s="20">
        <v>1</v>
      </c>
      <c r="M449" s="34">
        <v>70000</v>
      </c>
      <c r="N449" s="34">
        <f t="shared" si="27"/>
        <v>70000</v>
      </c>
      <c r="O449" s="33"/>
      <c r="P449" s="20">
        <f t="shared" si="28"/>
        <v>84</v>
      </c>
    </row>
    <row r="450" spans="1:16" ht="15" hidden="1" customHeight="1" x14ac:dyDescent="0.2">
      <c r="A450" s="20" t="s">
        <v>18</v>
      </c>
      <c r="B450" s="61">
        <v>46066</v>
      </c>
      <c r="C450" s="20">
        <f t="shared" si="29"/>
        <v>1475</v>
      </c>
      <c r="D450" s="38">
        <f t="shared" si="30"/>
        <v>1</v>
      </c>
      <c r="G450" s="32" t="s">
        <v>89</v>
      </c>
      <c r="H450" s="20" t="s">
        <v>1347</v>
      </c>
      <c r="I450" s="20">
        <v>64277</v>
      </c>
      <c r="J450" s="20">
        <v>331</v>
      </c>
      <c r="K450" s="20" t="s">
        <v>20</v>
      </c>
      <c r="L450" s="20">
        <v>1</v>
      </c>
      <c r="M450" s="34">
        <v>130555</v>
      </c>
      <c r="N450" s="34">
        <f t="shared" ref="N450:N513" si="31">L450*M450</f>
        <v>130555</v>
      </c>
      <c r="O450" s="33"/>
      <c r="P450" s="20">
        <f t="shared" si="28"/>
        <v>73</v>
      </c>
    </row>
    <row r="451" spans="1:16" ht="15" hidden="1" customHeight="1" x14ac:dyDescent="0.2">
      <c r="A451" s="20" t="s">
        <v>18</v>
      </c>
      <c r="B451" s="61">
        <v>46066</v>
      </c>
      <c r="C451" s="20">
        <f t="shared" si="29"/>
        <v>1475</v>
      </c>
      <c r="D451" s="38">
        <f t="shared" si="30"/>
        <v>0</v>
      </c>
      <c r="G451" s="32" t="s">
        <v>89</v>
      </c>
      <c r="H451" s="20" t="s">
        <v>1347</v>
      </c>
      <c r="I451" s="20">
        <v>1331</v>
      </c>
      <c r="J451" s="20">
        <v>331</v>
      </c>
      <c r="K451" s="20" t="s">
        <v>20</v>
      </c>
      <c r="L451" s="20">
        <v>1</v>
      </c>
      <c r="M451" s="34">
        <v>10445</v>
      </c>
      <c r="N451" s="34">
        <f t="shared" si="31"/>
        <v>10445</v>
      </c>
      <c r="O451" s="33"/>
      <c r="P451" s="20">
        <f t="shared" si="28"/>
        <v>73</v>
      </c>
    </row>
    <row r="452" spans="1:16" ht="15" hidden="1" customHeight="1" x14ac:dyDescent="0.2">
      <c r="A452" s="20" t="s">
        <v>310</v>
      </c>
      <c r="B452" s="61">
        <v>46066</v>
      </c>
      <c r="C452" s="20">
        <f t="shared" si="29"/>
        <v>1476</v>
      </c>
      <c r="D452" s="38">
        <f t="shared" si="30"/>
        <v>1</v>
      </c>
      <c r="G452" s="32" t="s">
        <v>89</v>
      </c>
      <c r="H452" s="20" t="s">
        <v>2850</v>
      </c>
      <c r="I452" s="20">
        <v>331</v>
      </c>
      <c r="J452" s="20">
        <v>1111</v>
      </c>
      <c r="K452" s="20" t="s">
        <v>20</v>
      </c>
      <c r="L452" s="20">
        <v>1</v>
      </c>
      <c r="M452" s="34">
        <v>141000</v>
      </c>
      <c r="N452" s="34">
        <f t="shared" si="31"/>
        <v>141000</v>
      </c>
      <c r="O452" s="33"/>
      <c r="P452" s="20">
        <f t="shared" ref="P452:P515" si="32">LEN(H452)</f>
        <v>84</v>
      </c>
    </row>
    <row r="453" spans="1:16" ht="15" hidden="1" customHeight="1" x14ac:dyDescent="0.2">
      <c r="A453" s="20" t="s">
        <v>18</v>
      </c>
      <c r="B453" s="61">
        <v>46066</v>
      </c>
      <c r="C453" s="20">
        <f t="shared" si="29"/>
        <v>1477</v>
      </c>
      <c r="D453" s="38">
        <f t="shared" si="30"/>
        <v>1</v>
      </c>
      <c r="G453" s="32" t="s">
        <v>89</v>
      </c>
      <c r="H453" s="20" t="s">
        <v>1348</v>
      </c>
      <c r="I453" s="20">
        <v>64277</v>
      </c>
      <c r="J453" s="20">
        <v>331</v>
      </c>
      <c r="K453" s="20" t="s">
        <v>20</v>
      </c>
      <c r="L453" s="20">
        <v>1</v>
      </c>
      <c r="M453" s="34">
        <v>45370</v>
      </c>
      <c r="N453" s="34">
        <f t="shared" si="31"/>
        <v>45370</v>
      </c>
      <c r="O453" s="33"/>
      <c r="P453" s="20">
        <f t="shared" si="32"/>
        <v>73</v>
      </c>
    </row>
    <row r="454" spans="1:16" ht="15" hidden="1" customHeight="1" x14ac:dyDescent="0.2">
      <c r="A454" s="20" t="s">
        <v>18</v>
      </c>
      <c r="B454" s="61">
        <v>46066</v>
      </c>
      <c r="C454" s="20">
        <f t="shared" ref="C454:C517" si="33">C453+D454</f>
        <v>1477</v>
      </c>
      <c r="D454" s="38">
        <f t="shared" ref="D454:D517" si="34">IF(H454=H453,0,1)</f>
        <v>0</v>
      </c>
      <c r="G454" s="32" t="s">
        <v>89</v>
      </c>
      <c r="H454" s="20" t="s">
        <v>1348</v>
      </c>
      <c r="I454" s="20">
        <v>1331</v>
      </c>
      <c r="J454" s="20">
        <v>331</v>
      </c>
      <c r="K454" s="20" t="s">
        <v>20</v>
      </c>
      <c r="L454" s="20">
        <v>1</v>
      </c>
      <c r="M454" s="34">
        <v>3630</v>
      </c>
      <c r="N454" s="34">
        <f t="shared" si="31"/>
        <v>3630</v>
      </c>
      <c r="O454" s="33"/>
      <c r="P454" s="20">
        <f t="shared" si="32"/>
        <v>73</v>
      </c>
    </row>
    <row r="455" spans="1:16" ht="15" hidden="1" customHeight="1" x14ac:dyDescent="0.2">
      <c r="A455" s="20" t="s">
        <v>310</v>
      </c>
      <c r="B455" s="61">
        <v>46066</v>
      </c>
      <c r="C455" s="20">
        <f t="shared" si="33"/>
        <v>1478</v>
      </c>
      <c r="D455" s="38">
        <f t="shared" si="34"/>
        <v>1</v>
      </c>
      <c r="G455" s="32" t="s">
        <v>89</v>
      </c>
      <c r="H455" s="20" t="s">
        <v>2851</v>
      </c>
      <c r="I455" s="20">
        <v>331</v>
      </c>
      <c r="J455" s="20">
        <v>1111</v>
      </c>
      <c r="K455" s="20" t="s">
        <v>20</v>
      </c>
      <c r="L455" s="20">
        <v>1</v>
      </c>
      <c r="M455" s="34">
        <v>49000</v>
      </c>
      <c r="N455" s="34">
        <f t="shared" si="31"/>
        <v>49000</v>
      </c>
      <c r="O455" s="33"/>
      <c r="P455" s="20">
        <f t="shared" si="32"/>
        <v>84</v>
      </c>
    </row>
    <row r="456" spans="1:16" ht="15" hidden="1" customHeight="1" x14ac:dyDescent="0.2">
      <c r="A456" s="20" t="s">
        <v>18</v>
      </c>
      <c r="B456" s="61">
        <v>46066</v>
      </c>
      <c r="C456" s="20">
        <f t="shared" si="33"/>
        <v>1479</v>
      </c>
      <c r="D456" s="38">
        <f t="shared" si="34"/>
        <v>1</v>
      </c>
      <c r="G456" s="32" t="s">
        <v>89</v>
      </c>
      <c r="H456" s="20" t="s">
        <v>1349</v>
      </c>
      <c r="I456" s="20">
        <v>64277</v>
      </c>
      <c r="J456" s="20">
        <v>331</v>
      </c>
      <c r="K456" s="20" t="s">
        <v>20</v>
      </c>
      <c r="L456" s="20">
        <v>1</v>
      </c>
      <c r="M456" s="34">
        <v>71297</v>
      </c>
      <c r="N456" s="34">
        <f t="shared" si="31"/>
        <v>71297</v>
      </c>
      <c r="O456" s="33"/>
      <c r="P456" s="20">
        <f t="shared" si="32"/>
        <v>73</v>
      </c>
    </row>
    <row r="457" spans="1:16" ht="15" hidden="1" customHeight="1" x14ac:dyDescent="0.2">
      <c r="A457" s="20" t="s">
        <v>18</v>
      </c>
      <c r="B457" s="61">
        <v>46066</v>
      </c>
      <c r="C457" s="20">
        <f t="shared" si="33"/>
        <v>1479</v>
      </c>
      <c r="D457" s="38">
        <f t="shared" si="34"/>
        <v>0</v>
      </c>
      <c r="G457" s="32" t="s">
        <v>89</v>
      </c>
      <c r="H457" s="20" t="s">
        <v>1349</v>
      </c>
      <c r="I457" s="20">
        <v>1331</v>
      </c>
      <c r="J457" s="20">
        <v>331</v>
      </c>
      <c r="K457" s="20" t="s">
        <v>20</v>
      </c>
      <c r="L457" s="20">
        <v>1</v>
      </c>
      <c r="M457" s="34">
        <v>5703</v>
      </c>
      <c r="N457" s="34">
        <f t="shared" si="31"/>
        <v>5703</v>
      </c>
      <c r="O457" s="33"/>
      <c r="P457" s="20">
        <f t="shared" si="32"/>
        <v>73</v>
      </c>
    </row>
    <row r="458" spans="1:16" ht="15" hidden="1" customHeight="1" x14ac:dyDescent="0.2">
      <c r="A458" s="20" t="s">
        <v>310</v>
      </c>
      <c r="B458" s="61">
        <v>46066</v>
      </c>
      <c r="C458" s="20">
        <f t="shared" si="33"/>
        <v>1480</v>
      </c>
      <c r="D458" s="38">
        <f t="shared" si="34"/>
        <v>1</v>
      </c>
      <c r="G458" s="32" t="s">
        <v>89</v>
      </c>
      <c r="H458" s="20" t="s">
        <v>2852</v>
      </c>
      <c r="I458" s="20">
        <v>331</v>
      </c>
      <c r="J458" s="20">
        <v>1111</v>
      </c>
      <c r="K458" s="20" t="s">
        <v>20</v>
      </c>
      <c r="L458" s="20">
        <v>1</v>
      </c>
      <c r="M458" s="34">
        <v>77000</v>
      </c>
      <c r="N458" s="34">
        <f t="shared" si="31"/>
        <v>77000</v>
      </c>
      <c r="O458" s="33"/>
      <c r="P458" s="20">
        <f t="shared" si="32"/>
        <v>84</v>
      </c>
    </row>
    <row r="459" spans="1:16" ht="15" hidden="1" customHeight="1" x14ac:dyDescent="0.2">
      <c r="A459" s="20" t="s">
        <v>18</v>
      </c>
      <c r="B459" s="61">
        <v>46066</v>
      </c>
      <c r="C459" s="20">
        <f t="shared" si="33"/>
        <v>1481</v>
      </c>
      <c r="D459" s="38">
        <f t="shared" si="34"/>
        <v>1</v>
      </c>
      <c r="G459" s="32" t="s">
        <v>89</v>
      </c>
      <c r="H459" s="20" t="s">
        <v>1350</v>
      </c>
      <c r="I459" s="20">
        <v>64277</v>
      </c>
      <c r="J459" s="20">
        <v>331</v>
      </c>
      <c r="K459" s="20" t="s">
        <v>20</v>
      </c>
      <c r="L459" s="20">
        <v>1</v>
      </c>
      <c r="M459" s="34">
        <v>43518</v>
      </c>
      <c r="N459" s="34">
        <f t="shared" si="31"/>
        <v>43518</v>
      </c>
      <c r="O459" s="33"/>
      <c r="P459" s="20">
        <f t="shared" si="32"/>
        <v>73</v>
      </c>
    </row>
    <row r="460" spans="1:16" ht="15" hidden="1" customHeight="1" x14ac:dyDescent="0.2">
      <c r="A460" s="20" t="s">
        <v>18</v>
      </c>
      <c r="B460" s="61">
        <v>46066</v>
      </c>
      <c r="C460" s="20">
        <f t="shared" si="33"/>
        <v>1481</v>
      </c>
      <c r="D460" s="38">
        <f t="shared" si="34"/>
        <v>0</v>
      </c>
      <c r="G460" s="32" t="s">
        <v>89</v>
      </c>
      <c r="H460" s="20" t="s">
        <v>1350</v>
      </c>
      <c r="I460" s="20">
        <v>1331</v>
      </c>
      <c r="J460" s="20">
        <v>331</v>
      </c>
      <c r="K460" s="20" t="s">
        <v>20</v>
      </c>
      <c r="L460" s="20">
        <v>1</v>
      </c>
      <c r="M460" s="34">
        <v>3482</v>
      </c>
      <c r="N460" s="34">
        <f t="shared" si="31"/>
        <v>3482</v>
      </c>
      <c r="O460" s="33"/>
      <c r="P460" s="20">
        <f t="shared" si="32"/>
        <v>73</v>
      </c>
    </row>
    <row r="461" spans="1:16" ht="15" hidden="1" customHeight="1" x14ac:dyDescent="0.2">
      <c r="A461" s="20" t="s">
        <v>310</v>
      </c>
      <c r="B461" s="61">
        <v>46066</v>
      </c>
      <c r="C461" s="20">
        <f t="shared" si="33"/>
        <v>1482</v>
      </c>
      <c r="D461" s="38">
        <f t="shared" si="34"/>
        <v>1</v>
      </c>
      <c r="G461" s="32" t="s">
        <v>89</v>
      </c>
      <c r="H461" s="20" t="s">
        <v>2853</v>
      </c>
      <c r="I461" s="20">
        <v>331</v>
      </c>
      <c r="J461" s="20">
        <v>1111</v>
      </c>
      <c r="K461" s="20" t="s">
        <v>20</v>
      </c>
      <c r="L461" s="20">
        <v>1</v>
      </c>
      <c r="M461" s="34">
        <v>47000</v>
      </c>
      <c r="N461" s="34">
        <f t="shared" si="31"/>
        <v>47000</v>
      </c>
      <c r="O461" s="33"/>
      <c r="P461" s="20">
        <f t="shared" si="32"/>
        <v>84</v>
      </c>
    </row>
    <row r="462" spans="1:16" ht="15" hidden="1" customHeight="1" x14ac:dyDescent="0.2">
      <c r="A462" s="20" t="s">
        <v>18</v>
      </c>
      <c r="B462" s="61">
        <v>46066</v>
      </c>
      <c r="C462" s="20">
        <f t="shared" si="33"/>
        <v>1483</v>
      </c>
      <c r="D462" s="38">
        <f t="shared" si="34"/>
        <v>1</v>
      </c>
      <c r="G462" s="32" t="s">
        <v>89</v>
      </c>
      <c r="H462" s="20" t="s">
        <v>1351</v>
      </c>
      <c r="I462" s="20">
        <v>64277</v>
      </c>
      <c r="J462" s="20">
        <v>331</v>
      </c>
      <c r="K462" s="20" t="s">
        <v>20</v>
      </c>
      <c r="L462" s="20">
        <v>1</v>
      </c>
      <c r="M462" s="34">
        <v>125926</v>
      </c>
      <c r="N462" s="34">
        <f t="shared" si="31"/>
        <v>125926</v>
      </c>
      <c r="O462" s="33"/>
      <c r="P462" s="20">
        <f t="shared" si="32"/>
        <v>73</v>
      </c>
    </row>
    <row r="463" spans="1:16" ht="15" hidden="1" customHeight="1" x14ac:dyDescent="0.2">
      <c r="A463" s="20" t="s">
        <v>18</v>
      </c>
      <c r="B463" s="61">
        <v>46066</v>
      </c>
      <c r="C463" s="20">
        <f t="shared" si="33"/>
        <v>1483</v>
      </c>
      <c r="D463" s="38">
        <f t="shared" si="34"/>
        <v>0</v>
      </c>
      <c r="G463" s="32" t="s">
        <v>89</v>
      </c>
      <c r="H463" s="20" t="s">
        <v>1351</v>
      </c>
      <c r="I463" s="20">
        <v>1331</v>
      </c>
      <c r="J463" s="20">
        <v>331</v>
      </c>
      <c r="K463" s="20" t="s">
        <v>20</v>
      </c>
      <c r="L463" s="20">
        <v>1</v>
      </c>
      <c r="M463" s="34">
        <v>10074</v>
      </c>
      <c r="N463" s="34">
        <f t="shared" si="31"/>
        <v>10074</v>
      </c>
      <c r="O463" s="33"/>
      <c r="P463" s="20">
        <f t="shared" si="32"/>
        <v>73</v>
      </c>
    </row>
    <row r="464" spans="1:16" ht="15" hidden="1" customHeight="1" x14ac:dyDescent="0.2">
      <c r="A464" s="20" t="s">
        <v>310</v>
      </c>
      <c r="B464" s="61">
        <v>46066</v>
      </c>
      <c r="C464" s="20">
        <f t="shared" si="33"/>
        <v>1484</v>
      </c>
      <c r="D464" s="38">
        <f t="shared" si="34"/>
        <v>1</v>
      </c>
      <c r="G464" s="32" t="s">
        <v>89</v>
      </c>
      <c r="H464" s="20" t="s">
        <v>2854</v>
      </c>
      <c r="I464" s="20">
        <v>331</v>
      </c>
      <c r="J464" s="20">
        <v>1111</v>
      </c>
      <c r="K464" s="20" t="s">
        <v>20</v>
      </c>
      <c r="L464" s="20">
        <v>1</v>
      </c>
      <c r="M464" s="34">
        <v>136000</v>
      </c>
      <c r="N464" s="34">
        <f t="shared" si="31"/>
        <v>136000</v>
      </c>
      <c r="O464" s="33"/>
      <c r="P464" s="20">
        <f t="shared" si="32"/>
        <v>84</v>
      </c>
    </row>
    <row r="465" spans="1:16" ht="15" hidden="1" customHeight="1" x14ac:dyDescent="0.2">
      <c r="A465" s="20" t="s">
        <v>18</v>
      </c>
      <c r="B465" s="61">
        <v>46067</v>
      </c>
      <c r="C465" s="20">
        <f t="shared" si="33"/>
        <v>1485</v>
      </c>
      <c r="D465" s="38">
        <f t="shared" si="34"/>
        <v>1</v>
      </c>
      <c r="G465" s="32" t="s">
        <v>89</v>
      </c>
      <c r="H465" s="20" t="s">
        <v>1352</v>
      </c>
      <c r="I465" s="20">
        <v>64277</v>
      </c>
      <c r="J465" s="20">
        <v>331</v>
      </c>
      <c r="K465" s="20" t="s">
        <v>20</v>
      </c>
      <c r="L465" s="20">
        <v>1</v>
      </c>
      <c r="M465" s="34">
        <v>134259</v>
      </c>
      <c r="N465" s="34">
        <f t="shared" si="31"/>
        <v>134259</v>
      </c>
      <c r="O465" s="33"/>
      <c r="P465" s="20">
        <f t="shared" si="32"/>
        <v>73</v>
      </c>
    </row>
    <row r="466" spans="1:16" ht="15" hidden="1" customHeight="1" x14ac:dyDescent="0.2">
      <c r="A466" s="20" t="s">
        <v>18</v>
      </c>
      <c r="B466" s="61">
        <v>46067</v>
      </c>
      <c r="C466" s="20">
        <f t="shared" si="33"/>
        <v>1485</v>
      </c>
      <c r="D466" s="38">
        <f t="shared" si="34"/>
        <v>0</v>
      </c>
      <c r="G466" s="32" t="s">
        <v>89</v>
      </c>
      <c r="H466" s="20" t="s">
        <v>1352</v>
      </c>
      <c r="I466" s="20">
        <v>1331</v>
      </c>
      <c r="J466" s="20">
        <v>331</v>
      </c>
      <c r="K466" s="20" t="s">
        <v>20</v>
      </c>
      <c r="L466" s="20">
        <v>1</v>
      </c>
      <c r="M466" s="34">
        <v>10741</v>
      </c>
      <c r="N466" s="34">
        <f t="shared" si="31"/>
        <v>10741</v>
      </c>
      <c r="O466" s="33"/>
      <c r="P466" s="20">
        <f t="shared" si="32"/>
        <v>73</v>
      </c>
    </row>
    <row r="467" spans="1:16" ht="15" hidden="1" customHeight="1" x14ac:dyDescent="0.2">
      <c r="A467" s="20" t="s">
        <v>310</v>
      </c>
      <c r="B467" s="61">
        <v>46067</v>
      </c>
      <c r="C467" s="20">
        <f t="shared" si="33"/>
        <v>1486</v>
      </c>
      <c r="D467" s="38">
        <f t="shared" si="34"/>
        <v>1</v>
      </c>
      <c r="G467" s="32" t="s">
        <v>89</v>
      </c>
      <c r="H467" s="20" t="s">
        <v>2855</v>
      </c>
      <c r="I467" s="20">
        <v>331</v>
      </c>
      <c r="J467" s="20">
        <v>1111</v>
      </c>
      <c r="K467" s="20" t="s">
        <v>20</v>
      </c>
      <c r="L467" s="20">
        <v>1</v>
      </c>
      <c r="M467" s="34">
        <v>145000</v>
      </c>
      <c r="N467" s="34">
        <f t="shared" si="31"/>
        <v>145000</v>
      </c>
      <c r="O467" s="33"/>
      <c r="P467" s="20">
        <f t="shared" si="32"/>
        <v>84</v>
      </c>
    </row>
    <row r="468" spans="1:16" ht="15" hidden="1" customHeight="1" x14ac:dyDescent="0.2">
      <c r="A468" s="20" t="s">
        <v>18</v>
      </c>
      <c r="B468" s="61">
        <v>46067</v>
      </c>
      <c r="C468" s="20">
        <f t="shared" si="33"/>
        <v>1487</v>
      </c>
      <c r="D468" s="38">
        <f t="shared" si="34"/>
        <v>1</v>
      </c>
      <c r="G468" s="32" t="s">
        <v>89</v>
      </c>
      <c r="H468" s="37" t="s">
        <v>1353</v>
      </c>
      <c r="I468" s="20">
        <v>64277</v>
      </c>
      <c r="J468" s="20">
        <v>331</v>
      </c>
      <c r="K468" s="20" t="s">
        <v>20</v>
      </c>
      <c r="L468" s="20">
        <v>1</v>
      </c>
      <c r="M468" s="34">
        <v>20370</v>
      </c>
      <c r="N468" s="34">
        <f t="shared" si="31"/>
        <v>20370</v>
      </c>
      <c r="O468" s="33"/>
      <c r="P468" s="20">
        <f t="shared" si="32"/>
        <v>73</v>
      </c>
    </row>
    <row r="469" spans="1:16" ht="15" hidden="1" customHeight="1" x14ac:dyDescent="0.2">
      <c r="A469" s="20" t="s">
        <v>18</v>
      </c>
      <c r="B469" s="61">
        <v>46067</v>
      </c>
      <c r="C469" s="20">
        <f t="shared" si="33"/>
        <v>1487</v>
      </c>
      <c r="D469" s="38">
        <f t="shared" si="34"/>
        <v>0</v>
      </c>
      <c r="G469" s="32" t="s">
        <v>89</v>
      </c>
      <c r="H469" s="37" t="s">
        <v>1353</v>
      </c>
      <c r="I469" s="20">
        <v>1331</v>
      </c>
      <c r="J469" s="20">
        <v>331</v>
      </c>
      <c r="K469" s="20" t="s">
        <v>20</v>
      </c>
      <c r="L469" s="20">
        <v>1</v>
      </c>
      <c r="M469" s="34">
        <v>1630</v>
      </c>
      <c r="N469" s="34">
        <f t="shared" si="31"/>
        <v>1630</v>
      </c>
      <c r="O469" s="33"/>
      <c r="P469" s="20">
        <f t="shared" si="32"/>
        <v>73</v>
      </c>
    </row>
    <row r="470" spans="1:16" ht="15" hidden="1" customHeight="1" x14ac:dyDescent="0.2">
      <c r="A470" s="20" t="s">
        <v>310</v>
      </c>
      <c r="B470" s="61">
        <v>46067</v>
      </c>
      <c r="C470" s="20">
        <f t="shared" si="33"/>
        <v>1488</v>
      </c>
      <c r="D470" s="38">
        <f t="shared" si="34"/>
        <v>1</v>
      </c>
      <c r="G470" s="32" t="s">
        <v>89</v>
      </c>
      <c r="H470" s="20" t="s">
        <v>2856</v>
      </c>
      <c r="I470" s="20">
        <v>331</v>
      </c>
      <c r="J470" s="20">
        <v>1111</v>
      </c>
      <c r="K470" s="20" t="s">
        <v>20</v>
      </c>
      <c r="L470" s="20">
        <v>1</v>
      </c>
      <c r="M470" s="34">
        <v>22000</v>
      </c>
      <c r="N470" s="34">
        <f t="shared" si="31"/>
        <v>22000</v>
      </c>
      <c r="O470" s="33"/>
      <c r="P470" s="20">
        <f t="shared" si="32"/>
        <v>84</v>
      </c>
    </row>
    <row r="471" spans="1:16" ht="15" hidden="1" customHeight="1" x14ac:dyDescent="0.2">
      <c r="A471" s="20" t="s">
        <v>18</v>
      </c>
      <c r="B471" s="61">
        <v>46067</v>
      </c>
      <c r="C471" s="20">
        <f t="shared" si="33"/>
        <v>1489</v>
      </c>
      <c r="D471" s="38">
        <f t="shared" si="34"/>
        <v>1</v>
      </c>
      <c r="G471" s="32" t="s">
        <v>89</v>
      </c>
      <c r="H471" s="20" t="s">
        <v>1354</v>
      </c>
      <c r="I471" s="20">
        <v>64277</v>
      </c>
      <c r="J471" s="20">
        <v>331</v>
      </c>
      <c r="K471" s="20" t="s">
        <v>20</v>
      </c>
      <c r="L471" s="20">
        <v>1</v>
      </c>
      <c r="M471" s="34">
        <v>50000</v>
      </c>
      <c r="N471" s="34">
        <f t="shared" si="31"/>
        <v>50000</v>
      </c>
      <c r="O471" s="33"/>
      <c r="P471" s="20">
        <f t="shared" si="32"/>
        <v>73</v>
      </c>
    </row>
    <row r="472" spans="1:16" ht="15" hidden="1" customHeight="1" x14ac:dyDescent="0.2">
      <c r="A472" s="20" t="s">
        <v>18</v>
      </c>
      <c r="B472" s="61">
        <v>46067</v>
      </c>
      <c r="C472" s="20">
        <f t="shared" si="33"/>
        <v>1489</v>
      </c>
      <c r="D472" s="38">
        <f t="shared" si="34"/>
        <v>0</v>
      </c>
      <c r="G472" s="32" t="s">
        <v>89</v>
      </c>
      <c r="H472" s="20" t="s">
        <v>1354</v>
      </c>
      <c r="I472" s="20">
        <v>1331</v>
      </c>
      <c r="J472" s="20">
        <v>331</v>
      </c>
      <c r="K472" s="20" t="s">
        <v>20</v>
      </c>
      <c r="L472" s="20">
        <v>1</v>
      </c>
      <c r="M472" s="34">
        <v>4000</v>
      </c>
      <c r="N472" s="34">
        <f t="shared" si="31"/>
        <v>4000</v>
      </c>
      <c r="O472" s="33"/>
      <c r="P472" s="20">
        <f t="shared" si="32"/>
        <v>73</v>
      </c>
    </row>
    <row r="473" spans="1:16" ht="15" hidden="1" customHeight="1" x14ac:dyDescent="0.2">
      <c r="A473" s="20" t="s">
        <v>310</v>
      </c>
      <c r="B473" s="61">
        <v>46067</v>
      </c>
      <c r="C473" s="20">
        <f t="shared" si="33"/>
        <v>1490</v>
      </c>
      <c r="D473" s="38">
        <f t="shared" si="34"/>
        <v>1</v>
      </c>
      <c r="G473" s="32" t="s">
        <v>89</v>
      </c>
      <c r="H473" s="20" t="s">
        <v>2857</v>
      </c>
      <c r="I473" s="20">
        <v>331</v>
      </c>
      <c r="J473" s="20">
        <v>1111</v>
      </c>
      <c r="K473" s="20" t="s">
        <v>20</v>
      </c>
      <c r="L473" s="20">
        <v>1</v>
      </c>
      <c r="M473" s="34">
        <v>54000</v>
      </c>
      <c r="N473" s="34">
        <f t="shared" si="31"/>
        <v>54000</v>
      </c>
      <c r="O473" s="33"/>
      <c r="P473" s="20">
        <f t="shared" si="32"/>
        <v>84</v>
      </c>
    </row>
    <row r="474" spans="1:16" ht="15" hidden="1" customHeight="1" x14ac:dyDescent="0.2">
      <c r="A474" s="20" t="s">
        <v>18</v>
      </c>
      <c r="B474" s="61">
        <v>46067</v>
      </c>
      <c r="C474" s="20">
        <f t="shared" si="33"/>
        <v>1491</v>
      </c>
      <c r="D474" s="38">
        <f t="shared" si="34"/>
        <v>1</v>
      </c>
      <c r="G474" s="32" t="s">
        <v>89</v>
      </c>
      <c r="H474" s="20" t="s">
        <v>1355</v>
      </c>
      <c r="I474" s="20">
        <v>64277</v>
      </c>
      <c r="J474" s="20">
        <v>331</v>
      </c>
      <c r="K474" s="20" t="s">
        <v>20</v>
      </c>
      <c r="L474" s="20">
        <v>1</v>
      </c>
      <c r="M474" s="34">
        <v>63889</v>
      </c>
      <c r="N474" s="34">
        <f t="shared" si="31"/>
        <v>63889</v>
      </c>
      <c r="O474" s="33"/>
      <c r="P474" s="20">
        <f t="shared" si="32"/>
        <v>72</v>
      </c>
    </row>
    <row r="475" spans="1:16" ht="15" hidden="1" customHeight="1" x14ac:dyDescent="0.2">
      <c r="A475" s="20" t="s">
        <v>18</v>
      </c>
      <c r="B475" s="61">
        <v>46067</v>
      </c>
      <c r="C475" s="20">
        <f t="shared" si="33"/>
        <v>1491</v>
      </c>
      <c r="D475" s="38">
        <f t="shared" si="34"/>
        <v>0</v>
      </c>
      <c r="G475" s="32" t="s">
        <v>89</v>
      </c>
      <c r="H475" s="20" t="s">
        <v>1355</v>
      </c>
      <c r="I475" s="20">
        <v>1331</v>
      </c>
      <c r="J475" s="20">
        <v>331</v>
      </c>
      <c r="K475" s="20" t="s">
        <v>20</v>
      </c>
      <c r="L475" s="20">
        <v>1</v>
      </c>
      <c r="M475" s="34">
        <v>5111</v>
      </c>
      <c r="N475" s="34">
        <f t="shared" si="31"/>
        <v>5111</v>
      </c>
      <c r="O475" s="33"/>
      <c r="P475" s="20">
        <f t="shared" si="32"/>
        <v>72</v>
      </c>
    </row>
    <row r="476" spans="1:16" ht="15" hidden="1" customHeight="1" x14ac:dyDescent="0.2">
      <c r="A476" s="20" t="s">
        <v>310</v>
      </c>
      <c r="B476" s="61">
        <v>46067</v>
      </c>
      <c r="C476" s="20">
        <f t="shared" si="33"/>
        <v>1492</v>
      </c>
      <c r="D476" s="38">
        <f t="shared" si="34"/>
        <v>1</v>
      </c>
      <c r="G476" s="32" t="s">
        <v>89</v>
      </c>
      <c r="H476" s="20" t="s">
        <v>2858</v>
      </c>
      <c r="I476" s="20">
        <v>331</v>
      </c>
      <c r="J476" s="20">
        <v>1111</v>
      </c>
      <c r="K476" s="20" t="s">
        <v>20</v>
      </c>
      <c r="L476" s="20">
        <v>1</v>
      </c>
      <c r="M476" s="34">
        <v>69000</v>
      </c>
      <c r="N476" s="34">
        <f t="shared" si="31"/>
        <v>69000</v>
      </c>
      <c r="O476" s="33"/>
      <c r="P476" s="20">
        <f t="shared" si="32"/>
        <v>83</v>
      </c>
    </row>
    <row r="477" spans="1:16" ht="15" hidden="1" customHeight="1" x14ac:dyDescent="0.2">
      <c r="A477" s="20" t="s">
        <v>18</v>
      </c>
      <c r="B477" s="61">
        <v>46067</v>
      </c>
      <c r="C477" s="20">
        <f t="shared" si="33"/>
        <v>1493</v>
      </c>
      <c r="D477" s="38">
        <f t="shared" si="34"/>
        <v>1</v>
      </c>
      <c r="G477" s="32" t="s">
        <v>89</v>
      </c>
      <c r="H477" s="20" t="s">
        <v>1356</v>
      </c>
      <c r="I477" s="20">
        <v>64277</v>
      </c>
      <c r="J477" s="20">
        <v>331</v>
      </c>
      <c r="K477" s="20" t="s">
        <v>20</v>
      </c>
      <c r="L477" s="20">
        <v>1</v>
      </c>
      <c r="M477" s="34">
        <v>58334</v>
      </c>
      <c r="N477" s="34">
        <f t="shared" si="31"/>
        <v>58334</v>
      </c>
      <c r="O477" s="33"/>
      <c r="P477" s="20">
        <f t="shared" si="32"/>
        <v>72</v>
      </c>
    </row>
    <row r="478" spans="1:16" ht="15" hidden="1" customHeight="1" x14ac:dyDescent="0.2">
      <c r="A478" s="20" t="s">
        <v>18</v>
      </c>
      <c r="B478" s="61">
        <v>46067</v>
      </c>
      <c r="C478" s="20">
        <f t="shared" si="33"/>
        <v>1493</v>
      </c>
      <c r="D478" s="38">
        <f t="shared" si="34"/>
        <v>0</v>
      </c>
      <c r="G478" s="32" t="s">
        <v>89</v>
      </c>
      <c r="H478" s="20" t="s">
        <v>1356</v>
      </c>
      <c r="I478" s="20">
        <v>1331</v>
      </c>
      <c r="J478" s="20">
        <v>331</v>
      </c>
      <c r="K478" s="20" t="s">
        <v>20</v>
      </c>
      <c r="L478" s="20">
        <v>1</v>
      </c>
      <c r="M478" s="34">
        <v>4666</v>
      </c>
      <c r="N478" s="34">
        <f t="shared" si="31"/>
        <v>4666</v>
      </c>
      <c r="O478" s="33"/>
      <c r="P478" s="20">
        <f t="shared" si="32"/>
        <v>72</v>
      </c>
    </row>
    <row r="479" spans="1:16" ht="15" hidden="1" customHeight="1" x14ac:dyDescent="0.2">
      <c r="A479" s="20" t="s">
        <v>310</v>
      </c>
      <c r="B479" s="61">
        <v>46067</v>
      </c>
      <c r="C479" s="20">
        <f t="shared" si="33"/>
        <v>1494</v>
      </c>
      <c r="D479" s="38">
        <f t="shared" si="34"/>
        <v>1</v>
      </c>
      <c r="G479" s="32" t="s">
        <v>89</v>
      </c>
      <c r="H479" s="20" t="s">
        <v>2859</v>
      </c>
      <c r="I479" s="20">
        <v>331</v>
      </c>
      <c r="J479" s="20">
        <v>1111</v>
      </c>
      <c r="K479" s="20" t="s">
        <v>20</v>
      </c>
      <c r="L479" s="20">
        <v>1</v>
      </c>
      <c r="M479" s="34">
        <v>63000</v>
      </c>
      <c r="N479" s="34">
        <f t="shared" si="31"/>
        <v>63000</v>
      </c>
      <c r="O479" s="33"/>
      <c r="P479" s="20">
        <f t="shared" si="32"/>
        <v>83</v>
      </c>
    </row>
    <row r="480" spans="1:16" ht="15" hidden="1" customHeight="1" x14ac:dyDescent="0.2">
      <c r="A480" s="20" t="s">
        <v>18</v>
      </c>
      <c r="B480" s="61">
        <v>46068</v>
      </c>
      <c r="C480" s="20">
        <f t="shared" si="33"/>
        <v>1495</v>
      </c>
      <c r="D480" s="38">
        <f t="shared" si="34"/>
        <v>1</v>
      </c>
      <c r="G480" s="32" t="s">
        <v>990</v>
      </c>
      <c r="H480" s="20" t="s">
        <v>1357</v>
      </c>
      <c r="I480" s="20">
        <v>64277</v>
      </c>
      <c r="J480" s="20">
        <v>331</v>
      </c>
      <c r="K480" s="20" t="s">
        <v>20</v>
      </c>
      <c r="L480" s="20">
        <v>1</v>
      </c>
      <c r="M480" s="34">
        <v>2643000</v>
      </c>
      <c r="N480" s="34">
        <f t="shared" si="31"/>
        <v>2643000</v>
      </c>
      <c r="O480" s="33"/>
      <c r="P480" s="20">
        <f t="shared" si="32"/>
        <v>62</v>
      </c>
    </row>
    <row r="481" spans="1:16" ht="15" hidden="1" customHeight="1" x14ac:dyDescent="0.2">
      <c r="A481" s="20" t="s">
        <v>18</v>
      </c>
      <c r="B481" s="61">
        <v>46068</v>
      </c>
      <c r="C481" s="20">
        <f t="shared" si="33"/>
        <v>1495</v>
      </c>
      <c r="D481" s="38">
        <f t="shared" si="34"/>
        <v>0</v>
      </c>
      <c r="G481" s="32" t="s">
        <v>990</v>
      </c>
      <c r="H481" s="20" t="s">
        <v>1357</v>
      </c>
      <c r="I481" s="20">
        <v>1331</v>
      </c>
      <c r="J481" s="20">
        <v>331</v>
      </c>
      <c r="K481" s="20" t="s">
        <v>20</v>
      </c>
      <c r="L481" s="20">
        <v>1</v>
      </c>
      <c r="M481" s="34">
        <v>195778</v>
      </c>
      <c r="N481" s="34">
        <f t="shared" si="31"/>
        <v>195778</v>
      </c>
      <c r="O481" s="33"/>
      <c r="P481" s="20">
        <f t="shared" si="32"/>
        <v>62</v>
      </c>
    </row>
    <row r="482" spans="1:16" ht="15" hidden="1" customHeight="1" x14ac:dyDescent="0.2">
      <c r="A482" s="20" t="s">
        <v>310</v>
      </c>
      <c r="B482" s="61">
        <v>46068</v>
      </c>
      <c r="C482" s="20">
        <f t="shared" si="33"/>
        <v>1496</v>
      </c>
      <c r="D482" s="38">
        <f t="shared" si="34"/>
        <v>1</v>
      </c>
      <c r="G482" s="32" t="s">
        <v>990</v>
      </c>
      <c r="H482" s="20" t="s">
        <v>2860</v>
      </c>
      <c r="I482" s="20">
        <v>331</v>
      </c>
      <c r="J482" s="20">
        <v>1111</v>
      </c>
      <c r="K482" s="20" t="s">
        <v>20</v>
      </c>
      <c r="L482" s="20">
        <v>1</v>
      </c>
      <c r="M482" s="34">
        <v>2643000</v>
      </c>
      <c r="N482" s="34">
        <f t="shared" si="31"/>
        <v>2643000</v>
      </c>
      <c r="O482" s="33"/>
      <c r="P482" s="20">
        <f t="shared" si="32"/>
        <v>73</v>
      </c>
    </row>
    <row r="483" spans="1:16" ht="15" hidden="1" customHeight="1" x14ac:dyDescent="0.2">
      <c r="A483" s="20" t="s">
        <v>18</v>
      </c>
      <c r="B483" s="61">
        <v>46068</v>
      </c>
      <c r="C483" s="20">
        <f t="shared" si="33"/>
        <v>1497</v>
      </c>
      <c r="D483" s="38">
        <f t="shared" si="34"/>
        <v>1</v>
      </c>
      <c r="G483" s="32" t="s">
        <v>93</v>
      </c>
      <c r="H483" s="20" t="s">
        <v>1358</v>
      </c>
      <c r="I483" s="20">
        <v>64277</v>
      </c>
      <c r="J483" s="20">
        <v>331</v>
      </c>
      <c r="K483" s="20" t="s">
        <v>20</v>
      </c>
      <c r="L483" s="20">
        <v>1</v>
      </c>
      <c r="M483" s="34">
        <v>792470</v>
      </c>
      <c r="N483" s="34">
        <f t="shared" si="31"/>
        <v>792470</v>
      </c>
      <c r="O483" s="33"/>
      <c r="P483" s="20">
        <f t="shared" si="32"/>
        <v>80</v>
      </c>
    </row>
    <row r="484" spans="1:16" ht="15" hidden="1" customHeight="1" x14ac:dyDescent="0.2">
      <c r="A484" s="20" t="s">
        <v>18</v>
      </c>
      <c r="B484" s="61">
        <v>46068</v>
      </c>
      <c r="C484" s="20">
        <f t="shared" si="33"/>
        <v>1497</v>
      </c>
      <c r="D484" s="38">
        <f t="shared" si="34"/>
        <v>0</v>
      </c>
      <c r="G484" s="32" t="s">
        <v>93</v>
      </c>
      <c r="H484" s="20" t="s">
        <v>1358</v>
      </c>
      <c r="I484" s="20">
        <v>1331</v>
      </c>
      <c r="J484" s="20">
        <v>331</v>
      </c>
      <c r="K484" s="20" t="s">
        <v>20</v>
      </c>
      <c r="L484" s="20">
        <v>1</v>
      </c>
      <c r="M484" s="34">
        <v>63398</v>
      </c>
      <c r="N484" s="34">
        <f t="shared" si="31"/>
        <v>63398</v>
      </c>
      <c r="O484" s="33"/>
      <c r="P484" s="20">
        <f t="shared" si="32"/>
        <v>80</v>
      </c>
    </row>
    <row r="485" spans="1:16" ht="15" hidden="1" customHeight="1" x14ac:dyDescent="0.2">
      <c r="A485" s="20" t="s">
        <v>310</v>
      </c>
      <c r="B485" s="61">
        <v>46068</v>
      </c>
      <c r="C485" s="20">
        <f t="shared" si="33"/>
        <v>1498</v>
      </c>
      <c r="D485" s="38">
        <f t="shared" si="34"/>
        <v>1</v>
      </c>
      <c r="G485" s="32" t="s">
        <v>93</v>
      </c>
      <c r="H485" s="20" t="s">
        <v>2861</v>
      </c>
      <c r="I485" s="20">
        <v>331</v>
      </c>
      <c r="J485" s="20">
        <v>1111</v>
      </c>
      <c r="K485" s="20" t="s">
        <v>20</v>
      </c>
      <c r="L485" s="20">
        <v>1</v>
      </c>
      <c r="M485" s="34">
        <v>855868</v>
      </c>
      <c r="N485" s="34">
        <f t="shared" si="31"/>
        <v>855868</v>
      </c>
      <c r="O485" s="33"/>
      <c r="P485" s="20">
        <f t="shared" si="32"/>
        <v>91</v>
      </c>
    </row>
    <row r="486" spans="1:16" ht="15" hidden="1" customHeight="1" x14ac:dyDescent="0.2">
      <c r="A486" s="20" t="s">
        <v>18</v>
      </c>
      <c r="B486" s="61">
        <v>46069</v>
      </c>
      <c r="C486" s="20">
        <f t="shared" si="33"/>
        <v>1499</v>
      </c>
      <c r="D486" s="38">
        <f t="shared" si="34"/>
        <v>1</v>
      </c>
      <c r="G486" s="32" t="s">
        <v>89</v>
      </c>
      <c r="H486" s="20" t="s">
        <v>1359</v>
      </c>
      <c r="I486" s="20">
        <v>64277</v>
      </c>
      <c r="J486" s="20">
        <v>331</v>
      </c>
      <c r="K486" s="20" t="s">
        <v>20</v>
      </c>
      <c r="L486" s="20">
        <v>1</v>
      </c>
      <c r="M486" s="34">
        <v>82407</v>
      </c>
      <c r="N486" s="34">
        <f t="shared" si="31"/>
        <v>82407</v>
      </c>
      <c r="O486" s="33"/>
      <c r="P486" s="20">
        <f t="shared" si="32"/>
        <v>73</v>
      </c>
    </row>
    <row r="487" spans="1:16" ht="15" hidden="1" customHeight="1" x14ac:dyDescent="0.2">
      <c r="A487" s="20" t="s">
        <v>18</v>
      </c>
      <c r="B487" s="61">
        <v>46069</v>
      </c>
      <c r="C487" s="20">
        <f t="shared" si="33"/>
        <v>1499</v>
      </c>
      <c r="D487" s="38">
        <f t="shared" si="34"/>
        <v>0</v>
      </c>
      <c r="G487" s="32" t="s">
        <v>89</v>
      </c>
      <c r="H487" s="20" t="s">
        <v>1359</v>
      </c>
      <c r="I487" s="20">
        <v>1331</v>
      </c>
      <c r="J487" s="20">
        <v>331</v>
      </c>
      <c r="K487" s="20" t="s">
        <v>20</v>
      </c>
      <c r="L487" s="20">
        <v>1</v>
      </c>
      <c r="M487" s="34">
        <v>6593</v>
      </c>
      <c r="N487" s="34">
        <f t="shared" si="31"/>
        <v>6593</v>
      </c>
      <c r="O487" s="33"/>
      <c r="P487" s="20">
        <f t="shared" si="32"/>
        <v>73</v>
      </c>
    </row>
    <row r="488" spans="1:16" ht="15" hidden="1" customHeight="1" x14ac:dyDescent="0.2">
      <c r="A488" s="20" t="s">
        <v>310</v>
      </c>
      <c r="B488" s="61">
        <v>46069</v>
      </c>
      <c r="C488" s="20">
        <f t="shared" si="33"/>
        <v>1500</v>
      </c>
      <c r="D488" s="38">
        <f t="shared" si="34"/>
        <v>1</v>
      </c>
      <c r="G488" s="32" t="s">
        <v>89</v>
      </c>
      <c r="H488" s="20" t="s">
        <v>2862</v>
      </c>
      <c r="I488" s="20">
        <v>331</v>
      </c>
      <c r="J488" s="20">
        <v>1111</v>
      </c>
      <c r="K488" s="20" t="s">
        <v>20</v>
      </c>
      <c r="L488" s="20">
        <v>1</v>
      </c>
      <c r="M488" s="34">
        <v>89000</v>
      </c>
      <c r="N488" s="34">
        <f t="shared" si="31"/>
        <v>89000</v>
      </c>
      <c r="O488" s="33"/>
      <c r="P488" s="20">
        <f t="shared" si="32"/>
        <v>84</v>
      </c>
    </row>
    <row r="489" spans="1:16" ht="15" hidden="1" customHeight="1" x14ac:dyDescent="0.2">
      <c r="A489" s="20" t="s">
        <v>18</v>
      </c>
      <c r="B489" s="61">
        <v>46069</v>
      </c>
      <c r="C489" s="20">
        <f t="shared" si="33"/>
        <v>1501</v>
      </c>
      <c r="D489" s="38">
        <f t="shared" si="34"/>
        <v>1</v>
      </c>
      <c r="G489" s="32" t="s">
        <v>89</v>
      </c>
      <c r="H489" s="20" t="s">
        <v>1360</v>
      </c>
      <c r="I489" s="20">
        <v>64277</v>
      </c>
      <c r="J489" s="20">
        <v>331</v>
      </c>
      <c r="K489" s="20" t="s">
        <v>20</v>
      </c>
      <c r="L489" s="20">
        <v>1</v>
      </c>
      <c r="M489" s="34">
        <v>140741</v>
      </c>
      <c r="N489" s="34">
        <f t="shared" si="31"/>
        <v>140741</v>
      </c>
      <c r="O489" s="33"/>
      <c r="P489" s="20">
        <f t="shared" si="32"/>
        <v>73</v>
      </c>
    </row>
    <row r="490" spans="1:16" ht="15" hidden="1" customHeight="1" x14ac:dyDescent="0.2">
      <c r="A490" s="20" t="s">
        <v>18</v>
      </c>
      <c r="B490" s="61">
        <v>46069</v>
      </c>
      <c r="C490" s="20">
        <f t="shared" si="33"/>
        <v>1501</v>
      </c>
      <c r="D490" s="38">
        <f t="shared" si="34"/>
        <v>0</v>
      </c>
      <c r="G490" s="32" t="s">
        <v>89</v>
      </c>
      <c r="H490" s="20" t="s">
        <v>1360</v>
      </c>
      <c r="I490" s="20">
        <v>1331</v>
      </c>
      <c r="J490" s="20">
        <v>331</v>
      </c>
      <c r="K490" s="20" t="s">
        <v>20</v>
      </c>
      <c r="L490" s="20">
        <v>1</v>
      </c>
      <c r="M490" s="34">
        <v>11259</v>
      </c>
      <c r="N490" s="34">
        <f t="shared" si="31"/>
        <v>11259</v>
      </c>
      <c r="O490" s="33"/>
      <c r="P490" s="20">
        <f t="shared" si="32"/>
        <v>73</v>
      </c>
    </row>
    <row r="491" spans="1:16" ht="15" hidden="1" customHeight="1" x14ac:dyDescent="0.2">
      <c r="A491" s="20" t="s">
        <v>310</v>
      </c>
      <c r="B491" s="61">
        <v>46069</v>
      </c>
      <c r="C491" s="20">
        <f t="shared" si="33"/>
        <v>1502</v>
      </c>
      <c r="D491" s="38">
        <f t="shared" si="34"/>
        <v>1</v>
      </c>
      <c r="G491" s="32" t="s">
        <v>89</v>
      </c>
      <c r="H491" s="20" t="s">
        <v>2863</v>
      </c>
      <c r="I491" s="20">
        <v>331</v>
      </c>
      <c r="J491" s="20">
        <v>1111</v>
      </c>
      <c r="K491" s="20" t="s">
        <v>20</v>
      </c>
      <c r="L491" s="20">
        <v>1</v>
      </c>
      <c r="M491" s="34">
        <v>152000</v>
      </c>
      <c r="N491" s="34">
        <f t="shared" si="31"/>
        <v>152000</v>
      </c>
      <c r="O491" s="33"/>
      <c r="P491" s="20">
        <f t="shared" si="32"/>
        <v>84</v>
      </c>
    </row>
    <row r="492" spans="1:16" ht="15" hidden="1" customHeight="1" x14ac:dyDescent="0.2">
      <c r="A492" s="20" t="s">
        <v>18</v>
      </c>
      <c r="B492" s="61">
        <v>46069</v>
      </c>
      <c r="C492" s="20">
        <f t="shared" si="33"/>
        <v>1503</v>
      </c>
      <c r="D492" s="38">
        <f t="shared" si="34"/>
        <v>1</v>
      </c>
      <c r="G492" s="32" t="s">
        <v>89</v>
      </c>
      <c r="H492" s="20" t="s">
        <v>1361</v>
      </c>
      <c r="I492" s="20">
        <v>64277</v>
      </c>
      <c r="J492" s="20">
        <v>331</v>
      </c>
      <c r="K492" s="20" t="s">
        <v>20</v>
      </c>
      <c r="L492" s="20">
        <v>1</v>
      </c>
      <c r="M492" s="34">
        <v>16666</v>
      </c>
      <c r="N492" s="34">
        <f t="shared" si="31"/>
        <v>16666</v>
      </c>
      <c r="O492" s="33"/>
      <c r="P492" s="20">
        <f t="shared" si="32"/>
        <v>73</v>
      </c>
    </row>
    <row r="493" spans="1:16" ht="15" hidden="1" customHeight="1" x14ac:dyDescent="0.2">
      <c r="A493" s="20" t="s">
        <v>18</v>
      </c>
      <c r="B493" s="61">
        <v>46069</v>
      </c>
      <c r="C493" s="20">
        <f t="shared" si="33"/>
        <v>1503</v>
      </c>
      <c r="D493" s="38">
        <f t="shared" si="34"/>
        <v>0</v>
      </c>
      <c r="G493" s="32" t="s">
        <v>89</v>
      </c>
      <c r="H493" s="20" t="s">
        <v>1361</v>
      </c>
      <c r="I493" s="20">
        <v>1331</v>
      </c>
      <c r="J493" s="20">
        <v>331</v>
      </c>
      <c r="K493" s="20" t="s">
        <v>20</v>
      </c>
      <c r="L493" s="20">
        <v>1</v>
      </c>
      <c r="M493" s="34">
        <v>1334</v>
      </c>
      <c r="N493" s="34">
        <f t="shared" si="31"/>
        <v>1334</v>
      </c>
      <c r="O493" s="33"/>
      <c r="P493" s="20">
        <f t="shared" si="32"/>
        <v>73</v>
      </c>
    </row>
    <row r="494" spans="1:16" ht="15" hidden="1" customHeight="1" x14ac:dyDescent="0.2">
      <c r="A494" s="20" t="s">
        <v>310</v>
      </c>
      <c r="B494" s="61">
        <v>46069</v>
      </c>
      <c r="C494" s="20">
        <f t="shared" si="33"/>
        <v>1504</v>
      </c>
      <c r="D494" s="38">
        <f t="shared" si="34"/>
        <v>1</v>
      </c>
      <c r="G494" s="32" t="s">
        <v>89</v>
      </c>
      <c r="H494" s="20" t="s">
        <v>2864</v>
      </c>
      <c r="I494" s="20">
        <v>331</v>
      </c>
      <c r="J494" s="20">
        <v>1111</v>
      </c>
      <c r="K494" s="20" t="s">
        <v>20</v>
      </c>
      <c r="L494" s="20">
        <v>1</v>
      </c>
      <c r="M494" s="34">
        <v>18000</v>
      </c>
      <c r="N494" s="34">
        <f t="shared" si="31"/>
        <v>18000</v>
      </c>
      <c r="O494" s="33"/>
      <c r="P494" s="20">
        <f t="shared" si="32"/>
        <v>84</v>
      </c>
    </row>
    <row r="495" spans="1:16" ht="15" hidden="1" customHeight="1" x14ac:dyDescent="0.2">
      <c r="A495" s="20" t="s">
        <v>18</v>
      </c>
      <c r="B495" s="61">
        <v>46069</v>
      </c>
      <c r="C495" s="20">
        <f t="shared" si="33"/>
        <v>1505</v>
      </c>
      <c r="D495" s="38">
        <f t="shared" si="34"/>
        <v>1</v>
      </c>
      <c r="G495" s="32" t="s">
        <v>89</v>
      </c>
      <c r="H495" s="37" t="s">
        <v>1362</v>
      </c>
      <c r="I495" s="20">
        <v>64277</v>
      </c>
      <c r="J495" s="20">
        <v>331</v>
      </c>
      <c r="K495" s="20" t="s">
        <v>20</v>
      </c>
      <c r="L495" s="20">
        <v>1</v>
      </c>
      <c r="M495" s="34">
        <v>49074</v>
      </c>
      <c r="N495" s="34">
        <f t="shared" si="31"/>
        <v>49074</v>
      </c>
      <c r="O495" s="33"/>
      <c r="P495" s="20">
        <f t="shared" si="32"/>
        <v>73</v>
      </c>
    </row>
    <row r="496" spans="1:16" ht="15" hidden="1" customHeight="1" x14ac:dyDescent="0.2">
      <c r="A496" s="20" t="s">
        <v>18</v>
      </c>
      <c r="B496" s="61">
        <v>46069</v>
      </c>
      <c r="C496" s="20">
        <f t="shared" si="33"/>
        <v>1505</v>
      </c>
      <c r="D496" s="38">
        <f t="shared" si="34"/>
        <v>0</v>
      </c>
      <c r="G496" s="32" t="s">
        <v>89</v>
      </c>
      <c r="H496" s="20" t="s">
        <v>1362</v>
      </c>
      <c r="I496" s="20">
        <v>1331</v>
      </c>
      <c r="J496" s="20">
        <v>331</v>
      </c>
      <c r="K496" s="20" t="s">
        <v>20</v>
      </c>
      <c r="L496" s="20">
        <v>1</v>
      </c>
      <c r="M496" s="34">
        <v>3926</v>
      </c>
      <c r="N496" s="34">
        <f t="shared" si="31"/>
        <v>3926</v>
      </c>
      <c r="O496" s="33"/>
      <c r="P496" s="20">
        <f t="shared" si="32"/>
        <v>73</v>
      </c>
    </row>
    <row r="497" spans="1:16" ht="15" hidden="1" customHeight="1" x14ac:dyDescent="0.2">
      <c r="A497" s="20" t="s">
        <v>310</v>
      </c>
      <c r="B497" s="61">
        <v>46069</v>
      </c>
      <c r="C497" s="20">
        <f t="shared" si="33"/>
        <v>1506</v>
      </c>
      <c r="D497" s="38">
        <f t="shared" si="34"/>
        <v>1</v>
      </c>
      <c r="G497" s="32" t="s">
        <v>89</v>
      </c>
      <c r="H497" s="20" t="s">
        <v>2865</v>
      </c>
      <c r="I497" s="20">
        <v>331</v>
      </c>
      <c r="J497" s="20">
        <v>1111</v>
      </c>
      <c r="K497" s="20" t="s">
        <v>20</v>
      </c>
      <c r="L497" s="20">
        <v>1</v>
      </c>
      <c r="M497" s="34">
        <v>53000</v>
      </c>
      <c r="N497" s="34">
        <f t="shared" si="31"/>
        <v>53000</v>
      </c>
      <c r="O497" s="33"/>
      <c r="P497" s="20">
        <f t="shared" si="32"/>
        <v>84</v>
      </c>
    </row>
    <row r="498" spans="1:16" ht="15" hidden="1" customHeight="1" x14ac:dyDescent="0.2">
      <c r="A498" s="20" t="s">
        <v>18</v>
      </c>
      <c r="B498" s="61">
        <v>46070</v>
      </c>
      <c r="C498" s="20">
        <f t="shared" si="33"/>
        <v>1507</v>
      </c>
      <c r="D498" s="38">
        <f t="shared" si="34"/>
        <v>1</v>
      </c>
      <c r="G498" s="32" t="s">
        <v>89</v>
      </c>
      <c r="H498" s="37" t="s">
        <v>1363</v>
      </c>
      <c r="I498" s="20">
        <v>64277</v>
      </c>
      <c r="J498" s="20">
        <v>331</v>
      </c>
      <c r="K498" s="20" t="s">
        <v>20</v>
      </c>
      <c r="L498" s="20">
        <v>1</v>
      </c>
      <c r="M498" s="34">
        <v>181481</v>
      </c>
      <c r="N498" s="34">
        <f t="shared" si="31"/>
        <v>181481</v>
      </c>
      <c r="O498" s="33"/>
      <c r="P498" s="20">
        <f t="shared" si="32"/>
        <v>73</v>
      </c>
    </row>
    <row r="499" spans="1:16" ht="15" hidden="1" customHeight="1" x14ac:dyDescent="0.2">
      <c r="A499" s="20" t="s">
        <v>18</v>
      </c>
      <c r="B499" s="61">
        <v>46070</v>
      </c>
      <c r="C499" s="20">
        <f t="shared" si="33"/>
        <v>1507</v>
      </c>
      <c r="D499" s="38">
        <f t="shared" si="34"/>
        <v>0</v>
      </c>
      <c r="G499" s="32" t="s">
        <v>89</v>
      </c>
      <c r="H499" s="20" t="s">
        <v>1363</v>
      </c>
      <c r="I499" s="20">
        <v>1331</v>
      </c>
      <c r="J499" s="20">
        <v>331</v>
      </c>
      <c r="K499" s="20" t="s">
        <v>20</v>
      </c>
      <c r="L499" s="20">
        <v>1</v>
      </c>
      <c r="M499" s="34">
        <v>14519</v>
      </c>
      <c r="N499" s="34">
        <f t="shared" si="31"/>
        <v>14519</v>
      </c>
      <c r="O499" s="33"/>
      <c r="P499" s="20">
        <f t="shared" si="32"/>
        <v>73</v>
      </c>
    </row>
    <row r="500" spans="1:16" ht="15" hidden="1" customHeight="1" x14ac:dyDescent="0.2">
      <c r="A500" s="20" t="s">
        <v>310</v>
      </c>
      <c r="B500" s="61">
        <v>46070</v>
      </c>
      <c r="C500" s="20">
        <f t="shared" si="33"/>
        <v>1508</v>
      </c>
      <c r="D500" s="38">
        <f t="shared" si="34"/>
        <v>1</v>
      </c>
      <c r="G500" s="32" t="s">
        <v>89</v>
      </c>
      <c r="H500" s="20" t="s">
        <v>2866</v>
      </c>
      <c r="I500" s="20">
        <v>331</v>
      </c>
      <c r="J500" s="20">
        <v>1111</v>
      </c>
      <c r="K500" s="20" t="s">
        <v>20</v>
      </c>
      <c r="L500" s="20">
        <v>1</v>
      </c>
      <c r="M500" s="34">
        <v>196000</v>
      </c>
      <c r="N500" s="34">
        <f t="shared" si="31"/>
        <v>196000</v>
      </c>
      <c r="O500" s="33"/>
      <c r="P500" s="20">
        <f t="shared" si="32"/>
        <v>84</v>
      </c>
    </row>
    <row r="501" spans="1:16" ht="15" hidden="1" customHeight="1" x14ac:dyDescent="0.2">
      <c r="A501" s="20" t="s">
        <v>18</v>
      </c>
      <c r="B501" s="61">
        <v>46071</v>
      </c>
      <c r="C501" s="20">
        <f t="shared" si="33"/>
        <v>1509</v>
      </c>
      <c r="D501" s="38">
        <f t="shared" si="34"/>
        <v>1</v>
      </c>
      <c r="G501" s="32" t="s">
        <v>89</v>
      </c>
      <c r="H501" s="20" t="s">
        <v>1364</v>
      </c>
      <c r="I501" s="20">
        <v>64277</v>
      </c>
      <c r="J501" s="20">
        <v>331</v>
      </c>
      <c r="K501" s="20" t="s">
        <v>20</v>
      </c>
      <c r="L501" s="20">
        <v>1</v>
      </c>
      <c r="M501" s="34">
        <v>49074</v>
      </c>
      <c r="N501" s="34">
        <f t="shared" si="31"/>
        <v>49074</v>
      </c>
      <c r="O501" s="33"/>
      <c r="P501" s="20">
        <f t="shared" si="32"/>
        <v>73</v>
      </c>
    </row>
    <row r="502" spans="1:16" ht="15" hidden="1" customHeight="1" x14ac:dyDescent="0.2">
      <c r="A502" s="20" t="s">
        <v>18</v>
      </c>
      <c r="B502" s="61">
        <v>46071</v>
      </c>
      <c r="C502" s="20">
        <f t="shared" si="33"/>
        <v>1509</v>
      </c>
      <c r="D502" s="38">
        <f t="shared" si="34"/>
        <v>0</v>
      </c>
      <c r="G502" s="32" t="s">
        <v>89</v>
      </c>
      <c r="H502" s="20" t="s">
        <v>1364</v>
      </c>
      <c r="I502" s="20">
        <v>1331</v>
      </c>
      <c r="J502" s="20">
        <v>331</v>
      </c>
      <c r="K502" s="20" t="s">
        <v>20</v>
      </c>
      <c r="L502" s="20">
        <v>1</v>
      </c>
      <c r="M502" s="34">
        <v>3926</v>
      </c>
      <c r="N502" s="34">
        <f t="shared" si="31"/>
        <v>3926</v>
      </c>
      <c r="O502" s="33"/>
      <c r="P502" s="20">
        <f t="shared" si="32"/>
        <v>73</v>
      </c>
    </row>
    <row r="503" spans="1:16" ht="15" hidden="1" customHeight="1" x14ac:dyDescent="0.2">
      <c r="A503" s="20" t="s">
        <v>310</v>
      </c>
      <c r="B503" s="61">
        <v>46071</v>
      </c>
      <c r="C503" s="20">
        <f t="shared" si="33"/>
        <v>1510</v>
      </c>
      <c r="D503" s="38">
        <f t="shared" si="34"/>
        <v>1</v>
      </c>
      <c r="G503" s="32" t="s">
        <v>89</v>
      </c>
      <c r="H503" s="20" t="s">
        <v>2867</v>
      </c>
      <c r="I503" s="20">
        <v>331</v>
      </c>
      <c r="J503" s="20">
        <v>1111</v>
      </c>
      <c r="K503" s="20" t="s">
        <v>20</v>
      </c>
      <c r="L503" s="20">
        <v>1</v>
      </c>
      <c r="M503" s="34">
        <v>53000</v>
      </c>
      <c r="N503" s="34">
        <f t="shared" si="31"/>
        <v>53000</v>
      </c>
      <c r="O503" s="33"/>
      <c r="P503" s="20">
        <f t="shared" si="32"/>
        <v>84</v>
      </c>
    </row>
    <row r="504" spans="1:16" ht="15" hidden="1" customHeight="1" x14ac:dyDescent="0.2">
      <c r="A504" s="20" t="s">
        <v>18</v>
      </c>
      <c r="B504" s="61">
        <v>46071</v>
      </c>
      <c r="C504" s="20">
        <f t="shared" si="33"/>
        <v>1511</v>
      </c>
      <c r="D504" s="38">
        <f t="shared" si="34"/>
        <v>1</v>
      </c>
      <c r="G504" s="32" t="s">
        <v>89</v>
      </c>
      <c r="H504" s="20" t="s">
        <v>1365</v>
      </c>
      <c r="I504" s="20">
        <v>64277</v>
      </c>
      <c r="J504" s="20">
        <v>331</v>
      </c>
      <c r="K504" s="20" t="s">
        <v>20</v>
      </c>
      <c r="L504" s="20">
        <v>1</v>
      </c>
      <c r="M504" s="34">
        <v>27777</v>
      </c>
      <c r="N504" s="34">
        <f t="shared" si="31"/>
        <v>27777</v>
      </c>
      <c r="O504" s="33"/>
      <c r="P504" s="20">
        <f t="shared" si="32"/>
        <v>73</v>
      </c>
    </row>
    <row r="505" spans="1:16" ht="15" hidden="1" customHeight="1" x14ac:dyDescent="0.2">
      <c r="A505" s="20" t="s">
        <v>18</v>
      </c>
      <c r="B505" s="61">
        <v>46071</v>
      </c>
      <c r="C505" s="20">
        <f t="shared" si="33"/>
        <v>1511</v>
      </c>
      <c r="D505" s="38">
        <f t="shared" si="34"/>
        <v>0</v>
      </c>
      <c r="G505" s="32" t="s">
        <v>89</v>
      </c>
      <c r="H505" s="20" t="s">
        <v>1365</v>
      </c>
      <c r="I505" s="20">
        <v>1331</v>
      </c>
      <c r="J505" s="20">
        <v>331</v>
      </c>
      <c r="K505" s="20" t="s">
        <v>20</v>
      </c>
      <c r="L505" s="20">
        <v>1</v>
      </c>
      <c r="M505" s="34">
        <v>2223</v>
      </c>
      <c r="N505" s="34">
        <f t="shared" si="31"/>
        <v>2223</v>
      </c>
      <c r="O505" s="33"/>
      <c r="P505" s="20">
        <f t="shared" si="32"/>
        <v>73</v>
      </c>
    </row>
    <row r="506" spans="1:16" ht="15" hidden="1" customHeight="1" x14ac:dyDescent="0.2">
      <c r="A506" s="20" t="s">
        <v>310</v>
      </c>
      <c r="B506" s="61">
        <v>46071</v>
      </c>
      <c r="C506" s="20">
        <f t="shared" si="33"/>
        <v>1512</v>
      </c>
      <c r="D506" s="38">
        <f t="shared" si="34"/>
        <v>1</v>
      </c>
      <c r="G506" s="32" t="s">
        <v>89</v>
      </c>
      <c r="H506" s="20" t="s">
        <v>2868</v>
      </c>
      <c r="I506" s="20">
        <v>331</v>
      </c>
      <c r="J506" s="20">
        <v>1111</v>
      </c>
      <c r="K506" s="20" t="s">
        <v>20</v>
      </c>
      <c r="L506" s="20">
        <v>1</v>
      </c>
      <c r="M506" s="34">
        <v>30000</v>
      </c>
      <c r="N506" s="34">
        <f t="shared" si="31"/>
        <v>30000</v>
      </c>
      <c r="O506" s="33"/>
      <c r="P506" s="20">
        <f t="shared" si="32"/>
        <v>84</v>
      </c>
    </row>
    <row r="507" spans="1:16" ht="15" hidden="1" customHeight="1" x14ac:dyDescent="0.2">
      <c r="A507" s="20" t="s">
        <v>18</v>
      </c>
      <c r="B507" s="61">
        <v>46071</v>
      </c>
      <c r="C507" s="20">
        <f t="shared" si="33"/>
        <v>1513</v>
      </c>
      <c r="D507" s="38">
        <f t="shared" si="34"/>
        <v>1</v>
      </c>
      <c r="G507" s="32" t="s">
        <v>89</v>
      </c>
      <c r="H507" s="20" t="s">
        <v>1366</v>
      </c>
      <c r="I507" s="20">
        <v>64277</v>
      </c>
      <c r="J507" s="20">
        <v>331</v>
      </c>
      <c r="K507" s="20" t="s">
        <v>20</v>
      </c>
      <c r="L507" s="20">
        <v>1</v>
      </c>
      <c r="M507" s="34">
        <v>23148</v>
      </c>
      <c r="N507" s="34">
        <f t="shared" si="31"/>
        <v>23148</v>
      </c>
      <c r="O507" s="33"/>
      <c r="P507" s="20">
        <f t="shared" si="32"/>
        <v>73</v>
      </c>
    </row>
    <row r="508" spans="1:16" ht="15" hidden="1" customHeight="1" x14ac:dyDescent="0.2">
      <c r="A508" s="20" t="s">
        <v>18</v>
      </c>
      <c r="B508" s="61">
        <v>46071</v>
      </c>
      <c r="C508" s="20">
        <f t="shared" si="33"/>
        <v>1513</v>
      </c>
      <c r="D508" s="38">
        <f t="shared" si="34"/>
        <v>0</v>
      </c>
      <c r="G508" s="32" t="s">
        <v>89</v>
      </c>
      <c r="H508" s="20" t="s">
        <v>1366</v>
      </c>
      <c r="I508" s="20">
        <v>1331</v>
      </c>
      <c r="J508" s="20">
        <v>331</v>
      </c>
      <c r="K508" s="20" t="s">
        <v>20</v>
      </c>
      <c r="L508" s="20">
        <v>1</v>
      </c>
      <c r="M508" s="34">
        <v>1852</v>
      </c>
      <c r="N508" s="34">
        <f t="shared" si="31"/>
        <v>1852</v>
      </c>
      <c r="O508" s="33"/>
      <c r="P508" s="20">
        <f t="shared" si="32"/>
        <v>73</v>
      </c>
    </row>
    <row r="509" spans="1:16" ht="15" hidden="1" customHeight="1" x14ac:dyDescent="0.2">
      <c r="A509" s="20" t="s">
        <v>310</v>
      </c>
      <c r="B509" s="61">
        <v>46071</v>
      </c>
      <c r="C509" s="20">
        <f t="shared" si="33"/>
        <v>1514</v>
      </c>
      <c r="D509" s="38">
        <f t="shared" si="34"/>
        <v>1</v>
      </c>
      <c r="G509" s="32" t="s">
        <v>89</v>
      </c>
      <c r="H509" s="20" t="s">
        <v>2869</v>
      </c>
      <c r="I509" s="20">
        <v>331</v>
      </c>
      <c r="J509" s="20">
        <v>1111</v>
      </c>
      <c r="K509" s="20" t="s">
        <v>20</v>
      </c>
      <c r="L509" s="20">
        <v>1</v>
      </c>
      <c r="M509" s="34">
        <v>25000</v>
      </c>
      <c r="N509" s="34">
        <f t="shared" si="31"/>
        <v>25000</v>
      </c>
      <c r="O509" s="33"/>
      <c r="P509" s="20">
        <f t="shared" si="32"/>
        <v>84</v>
      </c>
    </row>
    <row r="510" spans="1:16" ht="15" hidden="1" customHeight="1" x14ac:dyDescent="0.2">
      <c r="A510" s="20" t="s">
        <v>18</v>
      </c>
      <c r="B510" s="61">
        <v>46072</v>
      </c>
      <c r="C510" s="20">
        <f t="shared" si="33"/>
        <v>1515</v>
      </c>
      <c r="D510" s="38">
        <f t="shared" si="34"/>
        <v>1</v>
      </c>
      <c r="G510" s="32" t="s">
        <v>89</v>
      </c>
      <c r="H510" s="20" t="s">
        <v>1367</v>
      </c>
      <c r="I510" s="20">
        <v>64277</v>
      </c>
      <c r="J510" s="20">
        <v>331</v>
      </c>
      <c r="K510" s="20" t="s">
        <v>20</v>
      </c>
      <c r="L510" s="20">
        <v>1</v>
      </c>
      <c r="M510" s="34">
        <v>54630</v>
      </c>
      <c r="N510" s="34">
        <f t="shared" si="31"/>
        <v>54630</v>
      </c>
      <c r="O510" s="33"/>
      <c r="P510" s="20">
        <f t="shared" si="32"/>
        <v>73</v>
      </c>
    </row>
    <row r="511" spans="1:16" ht="15" hidden="1" customHeight="1" x14ac:dyDescent="0.2">
      <c r="A511" s="20" t="s">
        <v>18</v>
      </c>
      <c r="B511" s="61">
        <v>46072</v>
      </c>
      <c r="C511" s="20">
        <f t="shared" si="33"/>
        <v>1515</v>
      </c>
      <c r="D511" s="38">
        <f t="shared" si="34"/>
        <v>0</v>
      </c>
      <c r="G511" s="32" t="s">
        <v>89</v>
      </c>
      <c r="H511" s="20" t="s">
        <v>1367</v>
      </c>
      <c r="I511" s="20">
        <v>1331</v>
      </c>
      <c r="J511" s="20">
        <v>331</v>
      </c>
      <c r="K511" s="20" t="s">
        <v>20</v>
      </c>
      <c r="L511" s="20">
        <v>1</v>
      </c>
      <c r="M511" s="34">
        <v>4370</v>
      </c>
      <c r="N511" s="34">
        <f t="shared" si="31"/>
        <v>4370</v>
      </c>
      <c r="O511" s="33"/>
      <c r="P511" s="20">
        <f t="shared" si="32"/>
        <v>73</v>
      </c>
    </row>
    <row r="512" spans="1:16" ht="15" hidden="1" customHeight="1" x14ac:dyDescent="0.2">
      <c r="A512" s="20" t="s">
        <v>310</v>
      </c>
      <c r="B512" s="61">
        <v>46072</v>
      </c>
      <c r="C512" s="20">
        <f t="shared" si="33"/>
        <v>1516</v>
      </c>
      <c r="D512" s="38">
        <f t="shared" si="34"/>
        <v>1</v>
      </c>
      <c r="G512" s="32" t="s">
        <v>89</v>
      </c>
      <c r="H512" s="20" t="s">
        <v>2870</v>
      </c>
      <c r="I512" s="20">
        <v>331</v>
      </c>
      <c r="J512" s="20">
        <v>1111</v>
      </c>
      <c r="K512" s="20" t="s">
        <v>20</v>
      </c>
      <c r="L512" s="20">
        <v>1</v>
      </c>
      <c r="M512" s="34">
        <v>59000</v>
      </c>
      <c r="N512" s="34">
        <f t="shared" si="31"/>
        <v>59000</v>
      </c>
      <c r="O512" s="33"/>
      <c r="P512" s="20">
        <f t="shared" si="32"/>
        <v>84</v>
      </c>
    </row>
    <row r="513" spans="1:16" ht="15" hidden="1" customHeight="1" x14ac:dyDescent="0.2">
      <c r="A513" s="20" t="s">
        <v>18</v>
      </c>
      <c r="B513" s="61">
        <v>46072</v>
      </c>
      <c r="C513" s="20">
        <f t="shared" si="33"/>
        <v>1517</v>
      </c>
      <c r="D513" s="38">
        <f t="shared" si="34"/>
        <v>1</v>
      </c>
      <c r="G513" s="32" t="s">
        <v>89</v>
      </c>
      <c r="H513" s="20" t="s">
        <v>1368</v>
      </c>
      <c r="I513" s="20">
        <v>64277</v>
      </c>
      <c r="J513" s="20">
        <v>331</v>
      </c>
      <c r="K513" s="20" t="s">
        <v>20</v>
      </c>
      <c r="L513" s="20">
        <v>1</v>
      </c>
      <c r="M513" s="34">
        <v>49074</v>
      </c>
      <c r="N513" s="34">
        <f t="shared" si="31"/>
        <v>49074</v>
      </c>
      <c r="O513" s="33"/>
      <c r="P513" s="20">
        <f t="shared" si="32"/>
        <v>73</v>
      </c>
    </row>
    <row r="514" spans="1:16" ht="15" hidden="1" customHeight="1" x14ac:dyDescent="0.2">
      <c r="A514" s="20" t="s">
        <v>18</v>
      </c>
      <c r="B514" s="61">
        <v>46072</v>
      </c>
      <c r="C514" s="20">
        <f t="shared" si="33"/>
        <v>1517</v>
      </c>
      <c r="D514" s="38">
        <f t="shared" si="34"/>
        <v>0</v>
      </c>
      <c r="G514" s="32" t="s">
        <v>89</v>
      </c>
      <c r="H514" s="20" t="s">
        <v>1368</v>
      </c>
      <c r="I514" s="20">
        <v>1331</v>
      </c>
      <c r="J514" s="20">
        <v>331</v>
      </c>
      <c r="K514" s="20" t="s">
        <v>20</v>
      </c>
      <c r="L514" s="20">
        <v>1</v>
      </c>
      <c r="M514" s="34">
        <v>3926</v>
      </c>
      <c r="N514" s="34">
        <f t="shared" ref="N514:N577" si="35">L514*M514</f>
        <v>3926</v>
      </c>
      <c r="O514" s="33"/>
      <c r="P514" s="20">
        <f t="shared" si="32"/>
        <v>73</v>
      </c>
    </row>
    <row r="515" spans="1:16" ht="15" hidden="1" customHeight="1" x14ac:dyDescent="0.2">
      <c r="A515" s="20" t="s">
        <v>310</v>
      </c>
      <c r="B515" s="61">
        <v>46072</v>
      </c>
      <c r="C515" s="20">
        <f t="shared" si="33"/>
        <v>1518</v>
      </c>
      <c r="D515" s="38">
        <f t="shared" si="34"/>
        <v>1</v>
      </c>
      <c r="G515" s="32" t="s">
        <v>89</v>
      </c>
      <c r="H515" s="20" t="s">
        <v>2871</v>
      </c>
      <c r="I515" s="20">
        <v>331</v>
      </c>
      <c r="J515" s="20">
        <v>1111</v>
      </c>
      <c r="K515" s="20" t="s">
        <v>20</v>
      </c>
      <c r="L515" s="20">
        <v>1</v>
      </c>
      <c r="M515" s="34">
        <v>53000</v>
      </c>
      <c r="N515" s="34">
        <f t="shared" si="35"/>
        <v>53000</v>
      </c>
      <c r="O515" s="33"/>
      <c r="P515" s="20">
        <f t="shared" si="32"/>
        <v>84</v>
      </c>
    </row>
    <row r="516" spans="1:16" ht="15" hidden="1" customHeight="1" x14ac:dyDescent="0.2">
      <c r="A516" s="20" t="s">
        <v>18</v>
      </c>
      <c r="B516" s="61">
        <v>46073</v>
      </c>
      <c r="C516" s="20">
        <f t="shared" si="33"/>
        <v>1519</v>
      </c>
      <c r="D516" s="38">
        <f t="shared" si="34"/>
        <v>1</v>
      </c>
      <c r="G516" s="32" t="s">
        <v>89</v>
      </c>
      <c r="H516" s="20" t="s">
        <v>1369</v>
      </c>
      <c r="I516" s="20">
        <v>64277</v>
      </c>
      <c r="J516" s="20">
        <v>331</v>
      </c>
      <c r="K516" s="20" t="s">
        <v>20</v>
      </c>
      <c r="L516" s="20">
        <v>1</v>
      </c>
      <c r="M516" s="34">
        <v>13889</v>
      </c>
      <c r="N516" s="34">
        <f t="shared" si="35"/>
        <v>13889</v>
      </c>
      <c r="O516" s="33"/>
      <c r="P516" s="20">
        <f t="shared" ref="P516:P579" si="36">LEN(H516)</f>
        <v>73</v>
      </c>
    </row>
    <row r="517" spans="1:16" ht="15" hidden="1" customHeight="1" x14ac:dyDescent="0.2">
      <c r="A517" s="20" t="s">
        <v>18</v>
      </c>
      <c r="B517" s="61">
        <v>46073</v>
      </c>
      <c r="C517" s="20">
        <f t="shared" si="33"/>
        <v>1519</v>
      </c>
      <c r="D517" s="38">
        <f t="shared" si="34"/>
        <v>0</v>
      </c>
      <c r="G517" s="32" t="s">
        <v>89</v>
      </c>
      <c r="H517" s="20" t="s">
        <v>1369</v>
      </c>
      <c r="I517" s="20">
        <v>1331</v>
      </c>
      <c r="J517" s="20">
        <v>331</v>
      </c>
      <c r="K517" s="20" t="s">
        <v>20</v>
      </c>
      <c r="L517" s="20">
        <v>1</v>
      </c>
      <c r="M517" s="34">
        <v>1111</v>
      </c>
      <c r="N517" s="34">
        <f t="shared" si="35"/>
        <v>1111</v>
      </c>
      <c r="O517" s="33"/>
      <c r="P517" s="20">
        <f t="shared" si="36"/>
        <v>73</v>
      </c>
    </row>
    <row r="518" spans="1:16" ht="15" hidden="1" customHeight="1" x14ac:dyDescent="0.2">
      <c r="A518" s="20" t="s">
        <v>310</v>
      </c>
      <c r="B518" s="61">
        <v>46073</v>
      </c>
      <c r="C518" s="20">
        <f t="shared" ref="C518:C581" si="37">C517+D518</f>
        <v>1520</v>
      </c>
      <c r="D518" s="38">
        <f t="shared" ref="D518:D581" si="38">IF(H518=H517,0,1)</f>
        <v>1</v>
      </c>
      <c r="G518" s="32" t="s">
        <v>89</v>
      </c>
      <c r="H518" s="20" t="s">
        <v>2872</v>
      </c>
      <c r="I518" s="20">
        <v>331</v>
      </c>
      <c r="J518" s="20">
        <v>1111</v>
      </c>
      <c r="K518" s="20" t="s">
        <v>20</v>
      </c>
      <c r="L518" s="20">
        <v>1</v>
      </c>
      <c r="M518" s="34">
        <v>15000</v>
      </c>
      <c r="N518" s="34">
        <f t="shared" si="35"/>
        <v>15000</v>
      </c>
      <c r="O518" s="33"/>
      <c r="P518" s="20">
        <f t="shared" si="36"/>
        <v>84</v>
      </c>
    </row>
    <row r="519" spans="1:16" ht="15" hidden="1" customHeight="1" x14ac:dyDescent="0.2">
      <c r="A519" s="20" t="s">
        <v>18</v>
      </c>
      <c r="B519" s="61">
        <v>46073</v>
      </c>
      <c r="C519" s="20">
        <f t="shared" si="37"/>
        <v>1521</v>
      </c>
      <c r="D519" s="38">
        <f t="shared" si="38"/>
        <v>1</v>
      </c>
      <c r="G519" s="32" t="s">
        <v>89</v>
      </c>
      <c r="H519" s="20" t="s">
        <v>1370</v>
      </c>
      <c r="I519" s="20">
        <v>64277</v>
      </c>
      <c r="J519" s="20">
        <v>331</v>
      </c>
      <c r="K519" s="20" t="s">
        <v>20</v>
      </c>
      <c r="L519" s="20">
        <v>1</v>
      </c>
      <c r="M519" s="34">
        <v>37963</v>
      </c>
      <c r="N519" s="34">
        <f t="shared" si="35"/>
        <v>37963</v>
      </c>
      <c r="O519" s="33"/>
      <c r="P519" s="20">
        <f t="shared" si="36"/>
        <v>73</v>
      </c>
    </row>
    <row r="520" spans="1:16" ht="15" hidden="1" customHeight="1" x14ac:dyDescent="0.2">
      <c r="A520" s="20" t="s">
        <v>18</v>
      </c>
      <c r="B520" s="61">
        <v>46073</v>
      </c>
      <c r="C520" s="20">
        <f t="shared" si="37"/>
        <v>1521</v>
      </c>
      <c r="D520" s="38">
        <f t="shared" si="38"/>
        <v>0</v>
      </c>
      <c r="G520" s="32" t="s">
        <v>89</v>
      </c>
      <c r="H520" s="20" t="s">
        <v>1370</v>
      </c>
      <c r="I520" s="20">
        <v>1331</v>
      </c>
      <c r="J520" s="20">
        <v>331</v>
      </c>
      <c r="K520" s="20" t="s">
        <v>20</v>
      </c>
      <c r="L520" s="20">
        <v>1</v>
      </c>
      <c r="M520" s="34">
        <v>3037</v>
      </c>
      <c r="N520" s="34">
        <f t="shared" si="35"/>
        <v>3037</v>
      </c>
      <c r="O520" s="33"/>
      <c r="P520" s="20">
        <f t="shared" si="36"/>
        <v>73</v>
      </c>
    </row>
    <row r="521" spans="1:16" ht="15" hidden="1" customHeight="1" x14ac:dyDescent="0.2">
      <c r="A521" s="20" t="s">
        <v>310</v>
      </c>
      <c r="B521" s="67">
        <v>46073</v>
      </c>
      <c r="C521" s="20">
        <f t="shared" si="37"/>
        <v>1522</v>
      </c>
      <c r="D521" s="38">
        <f t="shared" si="38"/>
        <v>1</v>
      </c>
      <c r="G521" s="59" t="s">
        <v>89</v>
      </c>
      <c r="H521" s="20" t="s">
        <v>2873</v>
      </c>
      <c r="I521" s="20">
        <v>331</v>
      </c>
      <c r="J521" s="20">
        <v>1111</v>
      </c>
      <c r="K521" s="20" t="s">
        <v>20</v>
      </c>
      <c r="L521" s="20">
        <v>1</v>
      </c>
      <c r="M521" s="65">
        <v>41000</v>
      </c>
      <c r="N521" s="34">
        <f t="shared" si="35"/>
        <v>41000</v>
      </c>
      <c r="O521" s="33"/>
      <c r="P521" s="20">
        <f t="shared" si="36"/>
        <v>84</v>
      </c>
    </row>
    <row r="522" spans="1:16" ht="15" hidden="1" customHeight="1" x14ac:dyDescent="0.2">
      <c r="A522" s="20" t="s">
        <v>18</v>
      </c>
      <c r="B522" s="67">
        <v>46073</v>
      </c>
      <c r="C522" s="20">
        <f t="shared" si="37"/>
        <v>1523</v>
      </c>
      <c r="D522" s="38">
        <f t="shared" si="38"/>
        <v>1</v>
      </c>
      <c r="G522" s="59" t="s">
        <v>89</v>
      </c>
      <c r="H522" s="20" t="s">
        <v>1371</v>
      </c>
      <c r="I522" s="20">
        <v>64277</v>
      </c>
      <c r="J522" s="20">
        <v>331</v>
      </c>
      <c r="K522" s="20" t="s">
        <v>20</v>
      </c>
      <c r="L522" s="20">
        <v>1</v>
      </c>
      <c r="M522" s="65">
        <v>35185</v>
      </c>
      <c r="N522" s="34">
        <f t="shared" si="35"/>
        <v>35185</v>
      </c>
      <c r="O522" s="33"/>
      <c r="P522" s="20">
        <f t="shared" si="36"/>
        <v>73</v>
      </c>
    </row>
    <row r="523" spans="1:16" ht="15" hidden="1" customHeight="1" x14ac:dyDescent="0.2">
      <c r="A523" s="20" t="s">
        <v>18</v>
      </c>
      <c r="B523" s="67">
        <v>46073</v>
      </c>
      <c r="C523" s="20">
        <f t="shared" si="37"/>
        <v>1523</v>
      </c>
      <c r="D523" s="38">
        <f t="shared" si="38"/>
        <v>0</v>
      </c>
      <c r="G523" s="59" t="s">
        <v>89</v>
      </c>
      <c r="H523" s="20" t="s">
        <v>1371</v>
      </c>
      <c r="I523" s="20">
        <v>1331</v>
      </c>
      <c r="J523" s="20">
        <v>331</v>
      </c>
      <c r="K523" s="20" t="s">
        <v>20</v>
      </c>
      <c r="L523" s="20">
        <v>1</v>
      </c>
      <c r="M523" s="65">
        <v>2815</v>
      </c>
      <c r="N523" s="34">
        <f t="shared" si="35"/>
        <v>2815</v>
      </c>
      <c r="O523" s="33"/>
      <c r="P523" s="20">
        <f t="shared" si="36"/>
        <v>73</v>
      </c>
    </row>
    <row r="524" spans="1:16" ht="15" hidden="1" customHeight="1" x14ac:dyDescent="0.2">
      <c r="A524" s="20" t="s">
        <v>310</v>
      </c>
      <c r="B524" s="61">
        <v>46073</v>
      </c>
      <c r="C524" s="20">
        <f t="shared" si="37"/>
        <v>1524</v>
      </c>
      <c r="D524" s="38">
        <f t="shared" si="38"/>
        <v>1</v>
      </c>
      <c r="G524" s="32" t="s">
        <v>89</v>
      </c>
      <c r="H524" s="20" t="s">
        <v>2874</v>
      </c>
      <c r="I524" s="20">
        <v>331</v>
      </c>
      <c r="J524" s="20">
        <v>1111</v>
      </c>
      <c r="K524" s="20" t="s">
        <v>20</v>
      </c>
      <c r="L524" s="20">
        <v>1</v>
      </c>
      <c r="M524" s="34">
        <v>38000</v>
      </c>
      <c r="N524" s="34">
        <f t="shared" si="35"/>
        <v>38000</v>
      </c>
      <c r="O524" s="33"/>
      <c r="P524" s="20">
        <f t="shared" si="36"/>
        <v>84</v>
      </c>
    </row>
    <row r="525" spans="1:16" ht="15" hidden="1" customHeight="1" x14ac:dyDescent="0.2">
      <c r="A525" s="20" t="s">
        <v>18</v>
      </c>
      <c r="B525" s="61">
        <v>46073</v>
      </c>
      <c r="C525" s="20">
        <f t="shared" si="37"/>
        <v>1525</v>
      </c>
      <c r="D525" s="38">
        <f t="shared" si="38"/>
        <v>1</v>
      </c>
      <c r="G525" s="32" t="s">
        <v>28</v>
      </c>
      <c r="H525" s="20" t="s">
        <v>2694</v>
      </c>
      <c r="I525" s="20">
        <v>64277</v>
      </c>
      <c r="J525" s="20">
        <v>331</v>
      </c>
      <c r="K525" s="20" t="s">
        <v>20</v>
      </c>
      <c r="L525" s="20">
        <v>1</v>
      </c>
      <c r="M525" s="34">
        <v>1140800</v>
      </c>
      <c r="N525" s="34">
        <f t="shared" si="35"/>
        <v>1140800</v>
      </c>
      <c r="O525" s="33"/>
      <c r="P525" s="20">
        <f t="shared" si="36"/>
        <v>41</v>
      </c>
    </row>
    <row r="526" spans="1:16" ht="15" hidden="1" customHeight="1" x14ac:dyDescent="0.2">
      <c r="A526" s="20" t="s">
        <v>18</v>
      </c>
      <c r="B526" s="61">
        <v>46073</v>
      </c>
      <c r="C526" s="20">
        <f t="shared" si="37"/>
        <v>1525</v>
      </c>
      <c r="D526" s="38">
        <f t="shared" si="38"/>
        <v>0</v>
      </c>
      <c r="G526" s="32" t="s">
        <v>28</v>
      </c>
      <c r="H526" s="20" t="s">
        <v>2694</v>
      </c>
      <c r="I526" s="20">
        <v>1331</v>
      </c>
      <c r="J526" s="20">
        <v>331</v>
      </c>
      <c r="K526" s="20" t="s">
        <v>20</v>
      </c>
      <c r="L526" s="20">
        <v>1</v>
      </c>
      <c r="M526" s="34">
        <v>91264</v>
      </c>
      <c r="N526" s="34">
        <f t="shared" si="35"/>
        <v>91264</v>
      </c>
      <c r="O526" s="33"/>
      <c r="P526" s="20">
        <f t="shared" si="36"/>
        <v>41</v>
      </c>
    </row>
    <row r="527" spans="1:16" ht="15" hidden="1" customHeight="1" x14ac:dyDescent="0.2">
      <c r="A527" s="20" t="s">
        <v>310</v>
      </c>
      <c r="B527" s="61">
        <v>46073</v>
      </c>
      <c r="C527" s="20">
        <f t="shared" si="37"/>
        <v>1526</v>
      </c>
      <c r="D527" s="38">
        <f t="shared" si="38"/>
        <v>1</v>
      </c>
      <c r="G527" s="32" t="s">
        <v>28</v>
      </c>
      <c r="H527" s="20" t="s">
        <v>2875</v>
      </c>
      <c r="I527" s="20">
        <v>331</v>
      </c>
      <c r="J527" s="20">
        <v>1111</v>
      </c>
      <c r="K527" s="20" t="s">
        <v>20</v>
      </c>
      <c r="L527" s="20">
        <v>1</v>
      </c>
      <c r="M527" s="34">
        <v>1232064</v>
      </c>
      <c r="N527" s="34">
        <f t="shared" si="35"/>
        <v>1232064</v>
      </c>
      <c r="O527" s="33"/>
      <c r="P527" s="20">
        <f t="shared" si="36"/>
        <v>52</v>
      </c>
    </row>
    <row r="528" spans="1:16" ht="15" hidden="1" customHeight="1" x14ac:dyDescent="0.2">
      <c r="A528" s="20" t="s">
        <v>18</v>
      </c>
      <c r="B528" s="61">
        <v>46073</v>
      </c>
      <c r="C528" s="20">
        <f t="shared" si="37"/>
        <v>1527</v>
      </c>
      <c r="D528" s="38">
        <f t="shared" si="38"/>
        <v>1</v>
      </c>
      <c r="G528" s="32" t="s">
        <v>274</v>
      </c>
      <c r="H528" s="20" t="s">
        <v>2695</v>
      </c>
      <c r="I528" s="20">
        <v>64277</v>
      </c>
      <c r="J528" s="20">
        <v>331</v>
      </c>
      <c r="K528" s="20" t="s">
        <v>20</v>
      </c>
      <c r="L528" s="20">
        <v>1</v>
      </c>
      <c r="M528" s="34">
        <v>902880</v>
      </c>
      <c r="N528" s="34">
        <f t="shared" si="35"/>
        <v>902880</v>
      </c>
      <c r="O528" s="33"/>
      <c r="P528" s="20">
        <f t="shared" si="36"/>
        <v>41</v>
      </c>
    </row>
    <row r="529" spans="1:16" ht="15" hidden="1" customHeight="1" x14ac:dyDescent="0.2">
      <c r="A529" s="20" t="s">
        <v>18</v>
      </c>
      <c r="B529" s="61">
        <v>46073</v>
      </c>
      <c r="C529" s="20">
        <f t="shared" si="37"/>
        <v>1527</v>
      </c>
      <c r="D529" s="38">
        <f t="shared" si="38"/>
        <v>0</v>
      </c>
      <c r="G529" s="32" t="s">
        <v>274</v>
      </c>
      <c r="H529" s="20" t="s">
        <v>2695</v>
      </c>
      <c r="I529" s="20">
        <v>1331</v>
      </c>
      <c r="J529" s="20">
        <v>331</v>
      </c>
      <c r="K529" s="20" t="s">
        <v>20</v>
      </c>
      <c r="L529" s="20">
        <v>1</v>
      </c>
      <c r="M529" s="34">
        <v>72230</v>
      </c>
      <c r="N529" s="34">
        <f t="shared" si="35"/>
        <v>72230</v>
      </c>
      <c r="O529" s="33"/>
      <c r="P529" s="20">
        <f t="shared" si="36"/>
        <v>41</v>
      </c>
    </row>
    <row r="530" spans="1:16" ht="15" hidden="1" customHeight="1" x14ac:dyDescent="0.2">
      <c r="A530" s="20" t="s">
        <v>310</v>
      </c>
      <c r="B530" s="61">
        <v>46073</v>
      </c>
      <c r="C530" s="20">
        <f t="shared" si="37"/>
        <v>1528</v>
      </c>
      <c r="D530" s="38">
        <f t="shared" si="38"/>
        <v>1</v>
      </c>
      <c r="G530" s="32" t="s">
        <v>274</v>
      </c>
      <c r="H530" s="20" t="s">
        <v>2876</v>
      </c>
      <c r="I530" s="20">
        <v>331</v>
      </c>
      <c r="J530" s="20">
        <v>1111</v>
      </c>
      <c r="K530" s="20" t="s">
        <v>20</v>
      </c>
      <c r="L530" s="20">
        <v>1</v>
      </c>
      <c r="M530" s="34">
        <v>975110</v>
      </c>
      <c r="N530" s="34">
        <f t="shared" si="35"/>
        <v>975110</v>
      </c>
      <c r="O530" s="33"/>
      <c r="P530" s="20">
        <f t="shared" si="36"/>
        <v>52</v>
      </c>
    </row>
    <row r="531" spans="1:16" ht="15" hidden="1" customHeight="1" x14ac:dyDescent="0.2">
      <c r="A531" s="20" t="s">
        <v>18</v>
      </c>
      <c r="B531" s="61">
        <v>46074</v>
      </c>
      <c r="C531" s="20">
        <f t="shared" si="37"/>
        <v>1529</v>
      </c>
      <c r="D531" s="38">
        <f t="shared" si="38"/>
        <v>1</v>
      </c>
      <c r="G531" s="32" t="s">
        <v>89</v>
      </c>
      <c r="H531" s="20" t="s">
        <v>1372</v>
      </c>
      <c r="I531" s="20">
        <v>64277</v>
      </c>
      <c r="J531" s="20">
        <v>331</v>
      </c>
      <c r="K531" s="20" t="s">
        <v>20</v>
      </c>
      <c r="L531" s="20">
        <v>1</v>
      </c>
      <c r="M531" s="34">
        <v>26851</v>
      </c>
      <c r="N531" s="34">
        <f t="shared" si="35"/>
        <v>26851</v>
      </c>
      <c r="O531" s="33"/>
      <c r="P531" s="20">
        <f t="shared" si="36"/>
        <v>73</v>
      </c>
    </row>
    <row r="532" spans="1:16" ht="15" hidden="1" customHeight="1" x14ac:dyDescent="0.2">
      <c r="A532" s="20" t="s">
        <v>18</v>
      </c>
      <c r="B532" s="61">
        <v>46074</v>
      </c>
      <c r="C532" s="20">
        <f t="shared" si="37"/>
        <v>1529</v>
      </c>
      <c r="D532" s="38">
        <f t="shared" si="38"/>
        <v>0</v>
      </c>
      <c r="G532" s="32" t="s">
        <v>89</v>
      </c>
      <c r="H532" s="20" t="s">
        <v>1372</v>
      </c>
      <c r="I532" s="20">
        <v>1331</v>
      </c>
      <c r="J532" s="20">
        <v>331</v>
      </c>
      <c r="K532" s="20" t="s">
        <v>20</v>
      </c>
      <c r="L532" s="20">
        <v>1</v>
      </c>
      <c r="M532" s="34">
        <v>2149</v>
      </c>
      <c r="N532" s="34">
        <f t="shared" si="35"/>
        <v>2149</v>
      </c>
      <c r="O532" s="33"/>
      <c r="P532" s="20">
        <f t="shared" si="36"/>
        <v>73</v>
      </c>
    </row>
    <row r="533" spans="1:16" ht="15" hidden="1" customHeight="1" x14ac:dyDescent="0.2">
      <c r="A533" s="20" t="s">
        <v>310</v>
      </c>
      <c r="B533" s="61">
        <v>46074</v>
      </c>
      <c r="C533" s="20">
        <f t="shared" si="37"/>
        <v>1530</v>
      </c>
      <c r="D533" s="38">
        <f t="shared" si="38"/>
        <v>1</v>
      </c>
      <c r="G533" s="32" t="s">
        <v>89</v>
      </c>
      <c r="H533" s="20" t="s">
        <v>2877</v>
      </c>
      <c r="I533" s="20">
        <v>331</v>
      </c>
      <c r="J533" s="20">
        <v>1111</v>
      </c>
      <c r="K533" s="20" t="s">
        <v>20</v>
      </c>
      <c r="L533" s="20">
        <v>1</v>
      </c>
      <c r="M533" s="34">
        <v>29000</v>
      </c>
      <c r="N533" s="34">
        <f t="shared" si="35"/>
        <v>29000</v>
      </c>
      <c r="O533" s="33"/>
      <c r="P533" s="20">
        <f t="shared" si="36"/>
        <v>84</v>
      </c>
    </row>
    <row r="534" spans="1:16" ht="15" hidden="1" customHeight="1" x14ac:dyDescent="0.2">
      <c r="A534" s="20" t="s">
        <v>18</v>
      </c>
      <c r="B534" s="61">
        <v>46074</v>
      </c>
      <c r="C534" s="20">
        <f t="shared" si="37"/>
        <v>1531</v>
      </c>
      <c r="D534" s="38">
        <f t="shared" si="38"/>
        <v>1</v>
      </c>
      <c r="G534" s="32" t="s">
        <v>89</v>
      </c>
      <c r="H534" s="20" t="s">
        <v>1373</v>
      </c>
      <c r="I534" s="20">
        <v>64277</v>
      </c>
      <c r="J534" s="20">
        <v>331</v>
      </c>
      <c r="K534" s="20" t="s">
        <v>20</v>
      </c>
      <c r="L534" s="20">
        <v>1</v>
      </c>
      <c r="M534" s="34">
        <v>25926</v>
      </c>
      <c r="N534" s="34">
        <f t="shared" si="35"/>
        <v>25926</v>
      </c>
      <c r="O534" s="33"/>
      <c r="P534" s="20">
        <f t="shared" si="36"/>
        <v>73</v>
      </c>
    </row>
    <row r="535" spans="1:16" ht="15" hidden="1" customHeight="1" x14ac:dyDescent="0.2">
      <c r="A535" s="20" t="s">
        <v>18</v>
      </c>
      <c r="B535" s="61">
        <v>46074</v>
      </c>
      <c r="C535" s="20">
        <f t="shared" si="37"/>
        <v>1531</v>
      </c>
      <c r="D535" s="38">
        <f t="shared" si="38"/>
        <v>0</v>
      </c>
      <c r="G535" s="32" t="s">
        <v>89</v>
      </c>
      <c r="H535" s="20" t="s">
        <v>1373</v>
      </c>
      <c r="I535" s="20">
        <v>1331</v>
      </c>
      <c r="J535" s="20">
        <v>331</v>
      </c>
      <c r="K535" s="20" t="s">
        <v>20</v>
      </c>
      <c r="L535" s="20">
        <v>1</v>
      </c>
      <c r="M535" s="34">
        <v>2074</v>
      </c>
      <c r="N535" s="34">
        <f t="shared" si="35"/>
        <v>2074</v>
      </c>
      <c r="O535" s="33"/>
      <c r="P535" s="20">
        <f t="shared" si="36"/>
        <v>73</v>
      </c>
    </row>
    <row r="536" spans="1:16" ht="15" hidden="1" customHeight="1" x14ac:dyDescent="0.2">
      <c r="A536" s="20" t="s">
        <v>310</v>
      </c>
      <c r="B536" s="61">
        <v>46074</v>
      </c>
      <c r="C536" s="20">
        <f t="shared" si="37"/>
        <v>1532</v>
      </c>
      <c r="D536" s="38">
        <f t="shared" si="38"/>
        <v>1</v>
      </c>
      <c r="G536" s="32" t="s">
        <v>89</v>
      </c>
      <c r="H536" s="20" t="s">
        <v>2878</v>
      </c>
      <c r="I536" s="20">
        <v>331</v>
      </c>
      <c r="J536" s="20">
        <v>1111</v>
      </c>
      <c r="K536" s="20" t="s">
        <v>20</v>
      </c>
      <c r="L536" s="20">
        <v>1</v>
      </c>
      <c r="M536" s="34">
        <v>28000</v>
      </c>
      <c r="N536" s="34">
        <f t="shared" si="35"/>
        <v>28000</v>
      </c>
      <c r="O536" s="33"/>
      <c r="P536" s="20">
        <f t="shared" si="36"/>
        <v>84</v>
      </c>
    </row>
    <row r="537" spans="1:16" ht="15" hidden="1" customHeight="1" x14ac:dyDescent="0.2">
      <c r="A537" s="20" t="s">
        <v>18</v>
      </c>
      <c r="B537" s="61">
        <v>46074</v>
      </c>
      <c r="C537" s="20">
        <f t="shared" si="37"/>
        <v>1533</v>
      </c>
      <c r="D537" s="38">
        <f t="shared" si="38"/>
        <v>1</v>
      </c>
      <c r="G537" s="32" t="s">
        <v>89</v>
      </c>
      <c r="H537" s="20" t="s">
        <v>1374</v>
      </c>
      <c r="I537" s="20">
        <v>64277</v>
      </c>
      <c r="J537" s="20">
        <v>331</v>
      </c>
      <c r="K537" s="20" t="s">
        <v>20</v>
      </c>
      <c r="L537" s="20">
        <v>1</v>
      </c>
      <c r="M537" s="34">
        <v>69445</v>
      </c>
      <c r="N537" s="34">
        <f t="shared" si="35"/>
        <v>69445</v>
      </c>
      <c r="O537" s="33"/>
      <c r="P537" s="20">
        <f t="shared" si="36"/>
        <v>73</v>
      </c>
    </row>
    <row r="538" spans="1:16" ht="15" hidden="1" customHeight="1" x14ac:dyDescent="0.2">
      <c r="A538" s="20" t="s">
        <v>18</v>
      </c>
      <c r="B538" s="61">
        <v>46074</v>
      </c>
      <c r="C538" s="20">
        <f t="shared" si="37"/>
        <v>1533</v>
      </c>
      <c r="D538" s="38">
        <f t="shared" si="38"/>
        <v>0</v>
      </c>
      <c r="G538" s="32" t="s">
        <v>89</v>
      </c>
      <c r="H538" s="20" t="s">
        <v>1374</v>
      </c>
      <c r="I538" s="20">
        <v>1331</v>
      </c>
      <c r="J538" s="20">
        <v>331</v>
      </c>
      <c r="K538" s="20" t="s">
        <v>20</v>
      </c>
      <c r="L538" s="20">
        <v>1</v>
      </c>
      <c r="M538" s="34">
        <v>5555</v>
      </c>
      <c r="N538" s="34">
        <f t="shared" si="35"/>
        <v>5555</v>
      </c>
      <c r="O538" s="33"/>
      <c r="P538" s="20">
        <f t="shared" si="36"/>
        <v>73</v>
      </c>
    </row>
    <row r="539" spans="1:16" ht="15" hidden="1" customHeight="1" x14ac:dyDescent="0.2">
      <c r="A539" s="20" t="s">
        <v>310</v>
      </c>
      <c r="B539" s="61">
        <v>46074</v>
      </c>
      <c r="C539" s="20">
        <f t="shared" si="37"/>
        <v>1534</v>
      </c>
      <c r="D539" s="38">
        <f t="shared" si="38"/>
        <v>1</v>
      </c>
      <c r="G539" s="32" t="s">
        <v>89</v>
      </c>
      <c r="H539" s="20" t="s">
        <v>2879</v>
      </c>
      <c r="I539" s="20">
        <v>331</v>
      </c>
      <c r="J539" s="20">
        <v>1111</v>
      </c>
      <c r="K539" s="20" t="s">
        <v>20</v>
      </c>
      <c r="L539" s="20">
        <v>1</v>
      </c>
      <c r="M539" s="34">
        <v>75000</v>
      </c>
      <c r="N539" s="34">
        <f t="shared" si="35"/>
        <v>75000</v>
      </c>
      <c r="O539" s="33"/>
      <c r="P539" s="20">
        <f t="shared" si="36"/>
        <v>84</v>
      </c>
    </row>
    <row r="540" spans="1:16" ht="15" hidden="1" customHeight="1" x14ac:dyDescent="0.2">
      <c r="A540" s="20" t="s">
        <v>18</v>
      </c>
      <c r="B540" s="61">
        <v>46074</v>
      </c>
      <c r="C540" s="20">
        <f t="shared" si="37"/>
        <v>1535</v>
      </c>
      <c r="D540" s="38">
        <f t="shared" si="38"/>
        <v>1</v>
      </c>
      <c r="G540" s="32" t="s">
        <v>89</v>
      </c>
      <c r="H540" s="20" t="s">
        <v>1375</v>
      </c>
      <c r="I540" s="20">
        <v>64277</v>
      </c>
      <c r="J540" s="20">
        <v>331</v>
      </c>
      <c r="K540" s="20" t="s">
        <v>20</v>
      </c>
      <c r="L540" s="20">
        <v>1</v>
      </c>
      <c r="M540" s="34">
        <v>29630</v>
      </c>
      <c r="N540" s="34">
        <f t="shared" si="35"/>
        <v>29630</v>
      </c>
      <c r="O540" s="33"/>
      <c r="P540" s="20">
        <f t="shared" si="36"/>
        <v>73</v>
      </c>
    </row>
    <row r="541" spans="1:16" ht="15" hidden="1" customHeight="1" x14ac:dyDescent="0.2">
      <c r="A541" s="20" t="s">
        <v>18</v>
      </c>
      <c r="B541" s="61">
        <v>46074</v>
      </c>
      <c r="C541" s="20">
        <f t="shared" si="37"/>
        <v>1535</v>
      </c>
      <c r="D541" s="38">
        <f t="shared" si="38"/>
        <v>0</v>
      </c>
      <c r="G541" s="32" t="s">
        <v>89</v>
      </c>
      <c r="H541" s="20" t="s">
        <v>1375</v>
      </c>
      <c r="I541" s="20">
        <v>1331</v>
      </c>
      <c r="J541" s="20">
        <v>331</v>
      </c>
      <c r="K541" s="20" t="s">
        <v>20</v>
      </c>
      <c r="L541" s="20">
        <v>1</v>
      </c>
      <c r="M541" s="34">
        <v>2370</v>
      </c>
      <c r="N541" s="34">
        <f t="shared" si="35"/>
        <v>2370</v>
      </c>
      <c r="O541" s="33"/>
      <c r="P541" s="20">
        <f t="shared" si="36"/>
        <v>73</v>
      </c>
    </row>
    <row r="542" spans="1:16" ht="15" hidden="1" customHeight="1" x14ac:dyDescent="0.2">
      <c r="A542" s="20" t="s">
        <v>310</v>
      </c>
      <c r="B542" s="61">
        <v>46074</v>
      </c>
      <c r="C542" s="20">
        <f t="shared" si="37"/>
        <v>1536</v>
      </c>
      <c r="D542" s="38">
        <f t="shared" si="38"/>
        <v>1</v>
      </c>
      <c r="G542" s="32" t="s">
        <v>89</v>
      </c>
      <c r="H542" s="20" t="s">
        <v>2880</v>
      </c>
      <c r="I542" s="20">
        <v>331</v>
      </c>
      <c r="J542" s="20">
        <v>1111</v>
      </c>
      <c r="K542" s="20" t="s">
        <v>20</v>
      </c>
      <c r="L542" s="20">
        <v>1</v>
      </c>
      <c r="M542" s="34">
        <v>32000</v>
      </c>
      <c r="N542" s="34">
        <f t="shared" si="35"/>
        <v>32000</v>
      </c>
      <c r="O542" s="33"/>
      <c r="P542" s="20">
        <f t="shared" si="36"/>
        <v>84</v>
      </c>
    </row>
    <row r="543" spans="1:16" ht="15" hidden="1" customHeight="1" x14ac:dyDescent="0.2">
      <c r="A543" s="20" t="s">
        <v>18</v>
      </c>
      <c r="B543" s="61">
        <v>46075</v>
      </c>
      <c r="C543" s="20">
        <f t="shared" si="37"/>
        <v>1537</v>
      </c>
      <c r="D543" s="38">
        <f t="shared" si="38"/>
        <v>1</v>
      </c>
      <c r="G543" s="32" t="s">
        <v>89</v>
      </c>
      <c r="H543" s="20" t="s">
        <v>1376</v>
      </c>
      <c r="I543" s="20">
        <v>64277</v>
      </c>
      <c r="J543" s="20">
        <v>331</v>
      </c>
      <c r="K543" s="20" t="s">
        <v>20</v>
      </c>
      <c r="L543" s="20">
        <v>1</v>
      </c>
      <c r="M543" s="34">
        <v>51852</v>
      </c>
      <c r="N543" s="34">
        <f t="shared" si="35"/>
        <v>51852</v>
      </c>
      <c r="O543" s="33"/>
      <c r="P543" s="20">
        <f t="shared" si="36"/>
        <v>73</v>
      </c>
    </row>
    <row r="544" spans="1:16" ht="15" hidden="1" customHeight="1" x14ac:dyDescent="0.2">
      <c r="A544" s="20" t="s">
        <v>18</v>
      </c>
      <c r="B544" s="61">
        <v>46075</v>
      </c>
      <c r="C544" s="20">
        <f t="shared" si="37"/>
        <v>1537</v>
      </c>
      <c r="D544" s="38">
        <f t="shared" si="38"/>
        <v>0</v>
      </c>
      <c r="G544" s="32" t="s">
        <v>89</v>
      </c>
      <c r="H544" s="20" t="s">
        <v>1376</v>
      </c>
      <c r="I544" s="20">
        <v>1331</v>
      </c>
      <c r="J544" s="20">
        <v>331</v>
      </c>
      <c r="K544" s="20" t="s">
        <v>20</v>
      </c>
      <c r="L544" s="20">
        <v>1</v>
      </c>
      <c r="M544" s="34">
        <v>4148</v>
      </c>
      <c r="N544" s="34">
        <f t="shared" si="35"/>
        <v>4148</v>
      </c>
      <c r="O544" s="33"/>
      <c r="P544" s="20">
        <f t="shared" si="36"/>
        <v>73</v>
      </c>
    </row>
    <row r="545" spans="1:16" ht="15" hidden="1" customHeight="1" x14ac:dyDescent="0.2">
      <c r="A545" s="20" t="s">
        <v>310</v>
      </c>
      <c r="B545" s="61">
        <v>46075</v>
      </c>
      <c r="C545" s="20">
        <f t="shared" si="37"/>
        <v>1538</v>
      </c>
      <c r="D545" s="38">
        <f t="shared" si="38"/>
        <v>1</v>
      </c>
      <c r="G545" s="32" t="s">
        <v>89</v>
      </c>
      <c r="H545" s="20" t="s">
        <v>2881</v>
      </c>
      <c r="I545" s="20">
        <v>331</v>
      </c>
      <c r="J545" s="20">
        <v>1111</v>
      </c>
      <c r="K545" s="20" t="s">
        <v>20</v>
      </c>
      <c r="L545" s="20">
        <v>1</v>
      </c>
      <c r="M545" s="34">
        <v>56000</v>
      </c>
      <c r="N545" s="34">
        <f t="shared" si="35"/>
        <v>56000</v>
      </c>
      <c r="O545" s="33"/>
      <c r="P545" s="20">
        <f t="shared" si="36"/>
        <v>84</v>
      </c>
    </row>
    <row r="546" spans="1:16" ht="15" hidden="1" customHeight="1" x14ac:dyDescent="0.2">
      <c r="A546" s="20" t="s">
        <v>18</v>
      </c>
      <c r="B546" s="61">
        <v>46075</v>
      </c>
      <c r="C546" s="20">
        <f t="shared" si="37"/>
        <v>1539</v>
      </c>
      <c r="D546" s="38">
        <f t="shared" si="38"/>
        <v>1</v>
      </c>
      <c r="G546" s="32" t="s">
        <v>89</v>
      </c>
      <c r="H546" s="20" t="s">
        <v>1377</v>
      </c>
      <c r="I546" s="20">
        <v>64277</v>
      </c>
      <c r="J546" s="20">
        <v>331</v>
      </c>
      <c r="K546" s="20" t="s">
        <v>20</v>
      </c>
      <c r="L546" s="20">
        <v>1</v>
      </c>
      <c r="M546" s="34">
        <v>34260</v>
      </c>
      <c r="N546" s="34">
        <f t="shared" si="35"/>
        <v>34260</v>
      </c>
      <c r="O546" s="33"/>
      <c r="P546" s="20">
        <f t="shared" si="36"/>
        <v>73</v>
      </c>
    </row>
    <row r="547" spans="1:16" ht="15" hidden="1" customHeight="1" x14ac:dyDescent="0.2">
      <c r="A547" s="20" t="s">
        <v>18</v>
      </c>
      <c r="B547" s="61">
        <v>46075</v>
      </c>
      <c r="C547" s="20">
        <f t="shared" si="37"/>
        <v>1539</v>
      </c>
      <c r="D547" s="38">
        <f t="shared" si="38"/>
        <v>0</v>
      </c>
      <c r="G547" s="32" t="s">
        <v>89</v>
      </c>
      <c r="H547" s="20" t="s">
        <v>1377</v>
      </c>
      <c r="I547" s="20">
        <v>1331</v>
      </c>
      <c r="J547" s="20">
        <v>331</v>
      </c>
      <c r="K547" s="20" t="s">
        <v>20</v>
      </c>
      <c r="L547" s="20">
        <v>1</v>
      </c>
      <c r="M547" s="34">
        <v>2740</v>
      </c>
      <c r="N547" s="34">
        <f t="shared" si="35"/>
        <v>2740</v>
      </c>
      <c r="O547" s="33"/>
      <c r="P547" s="20">
        <f t="shared" si="36"/>
        <v>73</v>
      </c>
    </row>
    <row r="548" spans="1:16" ht="15" hidden="1" customHeight="1" x14ac:dyDescent="0.2">
      <c r="A548" s="20" t="s">
        <v>310</v>
      </c>
      <c r="B548" s="61">
        <v>46075</v>
      </c>
      <c r="C548" s="20">
        <f t="shared" si="37"/>
        <v>1540</v>
      </c>
      <c r="D548" s="38">
        <f t="shared" si="38"/>
        <v>1</v>
      </c>
      <c r="G548" s="32" t="s">
        <v>89</v>
      </c>
      <c r="H548" s="20" t="s">
        <v>2882</v>
      </c>
      <c r="I548" s="20">
        <v>331</v>
      </c>
      <c r="J548" s="20">
        <v>1111</v>
      </c>
      <c r="K548" s="20" t="s">
        <v>20</v>
      </c>
      <c r="L548" s="20">
        <v>1</v>
      </c>
      <c r="M548" s="34">
        <v>37000</v>
      </c>
      <c r="N548" s="34">
        <f t="shared" si="35"/>
        <v>37000</v>
      </c>
      <c r="O548" s="33"/>
      <c r="P548" s="20">
        <f t="shared" si="36"/>
        <v>84</v>
      </c>
    </row>
    <row r="549" spans="1:16" ht="15" hidden="1" customHeight="1" x14ac:dyDescent="0.2">
      <c r="A549" s="20" t="s">
        <v>18</v>
      </c>
      <c r="B549" s="61">
        <v>46075</v>
      </c>
      <c r="C549" s="20">
        <f t="shared" si="37"/>
        <v>1541</v>
      </c>
      <c r="D549" s="38">
        <f t="shared" si="38"/>
        <v>1</v>
      </c>
      <c r="G549" s="32" t="s">
        <v>47</v>
      </c>
      <c r="H549" s="20" t="s">
        <v>1378</v>
      </c>
      <c r="I549" s="20">
        <v>64277</v>
      </c>
      <c r="J549" s="20">
        <v>331</v>
      </c>
      <c r="K549" s="20" t="s">
        <v>20</v>
      </c>
      <c r="L549" s="20">
        <v>1</v>
      </c>
      <c r="M549" s="34">
        <v>374850</v>
      </c>
      <c r="N549" s="34">
        <f t="shared" si="35"/>
        <v>374850</v>
      </c>
      <c r="O549" s="33"/>
      <c r="P549" s="20">
        <f t="shared" si="36"/>
        <v>147</v>
      </c>
    </row>
    <row r="550" spans="1:16" ht="15" hidden="1" customHeight="1" x14ac:dyDescent="0.2">
      <c r="A550" s="20" t="s">
        <v>18</v>
      </c>
      <c r="B550" s="61">
        <v>46075</v>
      </c>
      <c r="C550" s="20">
        <f t="shared" si="37"/>
        <v>1541</v>
      </c>
      <c r="D550" s="38">
        <f t="shared" si="38"/>
        <v>0</v>
      </c>
      <c r="G550" s="32" t="s">
        <v>47</v>
      </c>
      <c r="H550" s="20" t="s">
        <v>1378</v>
      </c>
      <c r="I550" s="20">
        <v>1331</v>
      </c>
      <c r="J550" s="20">
        <v>331</v>
      </c>
      <c r="K550" s="20" t="s">
        <v>20</v>
      </c>
      <c r="L550" s="20">
        <v>1</v>
      </c>
      <c r="M550" s="34">
        <v>29988</v>
      </c>
      <c r="N550" s="34">
        <f t="shared" si="35"/>
        <v>29988</v>
      </c>
      <c r="O550" s="33"/>
      <c r="P550" s="20">
        <f t="shared" si="36"/>
        <v>147</v>
      </c>
    </row>
    <row r="551" spans="1:16" ht="15" hidden="1" customHeight="1" x14ac:dyDescent="0.2">
      <c r="A551" s="20" t="s">
        <v>310</v>
      </c>
      <c r="B551" s="61">
        <v>46075</v>
      </c>
      <c r="C551" s="20">
        <f t="shared" si="37"/>
        <v>1542</v>
      </c>
      <c r="D551" s="38">
        <f t="shared" si="38"/>
        <v>1</v>
      </c>
      <c r="G551" s="32" t="s">
        <v>47</v>
      </c>
      <c r="H551" s="20" t="s">
        <v>2883</v>
      </c>
      <c r="I551" s="20">
        <v>331</v>
      </c>
      <c r="J551" s="20">
        <v>1111</v>
      </c>
      <c r="K551" s="20" t="s">
        <v>20</v>
      </c>
      <c r="L551" s="20">
        <v>1</v>
      </c>
      <c r="M551" s="34">
        <v>404838</v>
      </c>
      <c r="N551" s="34">
        <f t="shared" si="35"/>
        <v>404838</v>
      </c>
      <c r="O551" s="33"/>
      <c r="P551" s="20">
        <f t="shared" si="36"/>
        <v>158</v>
      </c>
    </row>
    <row r="552" spans="1:16" ht="15" hidden="1" customHeight="1" x14ac:dyDescent="0.2">
      <c r="A552" s="20" t="s">
        <v>18</v>
      </c>
      <c r="B552" s="61">
        <v>46076</v>
      </c>
      <c r="C552" s="20">
        <f t="shared" si="37"/>
        <v>1543</v>
      </c>
      <c r="D552" s="38">
        <f t="shared" si="38"/>
        <v>1</v>
      </c>
      <c r="G552" s="32" t="s">
        <v>40</v>
      </c>
      <c r="H552" s="20" t="s">
        <v>1379</v>
      </c>
      <c r="I552" s="20">
        <v>64277</v>
      </c>
      <c r="J552" s="20">
        <v>331</v>
      </c>
      <c r="K552" s="20" t="s">
        <v>20</v>
      </c>
      <c r="L552" s="20">
        <v>1</v>
      </c>
      <c r="M552" s="34">
        <v>6114444</v>
      </c>
      <c r="N552" s="34">
        <f t="shared" si="35"/>
        <v>6114444</v>
      </c>
      <c r="O552" s="33"/>
      <c r="P552" s="20">
        <f t="shared" si="36"/>
        <v>61</v>
      </c>
    </row>
    <row r="553" spans="1:16" ht="15" hidden="1" customHeight="1" x14ac:dyDescent="0.2">
      <c r="A553" s="20" t="s">
        <v>18</v>
      </c>
      <c r="B553" s="61">
        <v>46076</v>
      </c>
      <c r="C553" s="20">
        <f t="shared" si="37"/>
        <v>1543</v>
      </c>
      <c r="D553" s="38">
        <f t="shared" si="38"/>
        <v>0</v>
      </c>
      <c r="G553" s="32" t="s">
        <v>40</v>
      </c>
      <c r="H553" s="20" t="s">
        <v>1379</v>
      </c>
      <c r="I553" s="20">
        <v>1331</v>
      </c>
      <c r="J553" s="20">
        <v>331</v>
      </c>
      <c r="K553" s="20" t="s">
        <v>20</v>
      </c>
      <c r="L553" s="20">
        <v>1</v>
      </c>
      <c r="M553" s="34">
        <v>489156</v>
      </c>
      <c r="N553" s="34">
        <f t="shared" si="35"/>
        <v>489156</v>
      </c>
      <c r="O553" s="33"/>
      <c r="P553" s="20">
        <f t="shared" si="36"/>
        <v>61</v>
      </c>
    </row>
    <row r="554" spans="1:16" ht="15" hidden="1" customHeight="1" x14ac:dyDescent="0.2">
      <c r="A554" s="20" t="s">
        <v>310</v>
      </c>
      <c r="B554" s="61">
        <v>46076</v>
      </c>
      <c r="C554" s="20">
        <f t="shared" si="37"/>
        <v>1544</v>
      </c>
      <c r="D554" s="38">
        <f t="shared" si="38"/>
        <v>1</v>
      </c>
      <c r="G554" s="32" t="s">
        <v>40</v>
      </c>
      <c r="H554" s="20" t="s">
        <v>2884</v>
      </c>
      <c r="I554" s="20">
        <v>331</v>
      </c>
      <c r="J554" s="20">
        <v>1111</v>
      </c>
      <c r="K554" s="20" t="s">
        <v>20</v>
      </c>
      <c r="L554" s="20">
        <v>1</v>
      </c>
      <c r="M554" s="34">
        <v>7323600</v>
      </c>
      <c r="N554" s="34">
        <f t="shared" si="35"/>
        <v>7323600</v>
      </c>
      <c r="O554" s="33"/>
      <c r="P554" s="20">
        <f t="shared" si="36"/>
        <v>72</v>
      </c>
    </row>
    <row r="555" spans="1:16" ht="15" hidden="1" customHeight="1" x14ac:dyDescent="0.2">
      <c r="A555" s="20" t="s">
        <v>18</v>
      </c>
      <c r="B555" s="61">
        <v>46076</v>
      </c>
      <c r="C555" s="20">
        <f t="shared" si="37"/>
        <v>1545</v>
      </c>
      <c r="D555" s="38">
        <f t="shared" si="38"/>
        <v>1</v>
      </c>
      <c r="G555" s="32" t="s">
        <v>89</v>
      </c>
      <c r="H555" s="20" t="s">
        <v>1380</v>
      </c>
      <c r="I555" s="20">
        <v>64277</v>
      </c>
      <c r="J555" s="20">
        <v>331</v>
      </c>
      <c r="K555" s="20" t="s">
        <v>20</v>
      </c>
      <c r="L555" s="20">
        <v>1</v>
      </c>
      <c r="M555" s="34">
        <v>144445</v>
      </c>
      <c r="N555" s="34">
        <f t="shared" si="35"/>
        <v>144445</v>
      </c>
      <c r="O555" s="33"/>
      <c r="P555" s="20">
        <f t="shared" si="36"/>
        <v>73</v>
      </c>
    </row>
    <row r="556" spans="1:16" ht="15" hidden="1" customHeight="1" x14ac:dyDescent="0.2">
      <c r="A556" s="20" t="s">
        <v>18</v>
      </c>
      <c r="B556" s="61">
        <v>46076</v>
      </c>
      <c r="C556" s="20">
        <f t="shared" si="37"/>
        <v>1545</v>
      </c>
      <c r="D556" s="38">
        <f t="shared" si="38"/>
        <v>0</v>
      </c>
      <c r="G556" s="32" t="s">
        <v>89</v>
      </c>
      <c r="H556" s="20" t="s">
        <v>1380</v>
      </c>
      <c r="I556" s="20">
        <v>1331</v>
      </c>
      <c r="J556" s="20">
        <v>331</v>
      </c>
      <c r="K556" s="20" t="s">
        <v>20</v>
      </c>
      <c r="L556" s="20">
        <v>1</v>
      </c>
      <c r="M556" s="34">
        <v>11555</v>
      </c>
      <c r="N556" s="34">
        <f t="shared" si="35"/>
        <v>11555</v>
      </c>
      <c r="O556" s="33"/>
      <c r="P556" s="20">
        <f t="shared" si="36"/>
        <v>73</v>
      </c>
    </row>
    <row r="557" spans="1:16" ht="15" hidden="1" customHeight="1" x14ac:dyDescent="0.2">
      <c r="A557" s="20" t="s">
        <v>310</v>
      </c>
      <c r="B557" s="61">
        <v>46076</v>
      </c>
      <c r="C557" s="20">
        <f t="shared" si="37"/>
        <v>1546</v>
      </c>
      <c r="D557" s="38">
        <f t="shared" si="38"/>
        <v>1</v>
      </c>
      <c r="G557" s="32" t="s">
        <v>89</v>
      </c>
      <c r="H557" s="20" t="s">
        <v>2885</v>
      </c>
      <c r="I557" s="20">
        <v>331</v>
      </c>
      <c r="J557" s="20">
        <v>1111</v>
      </c>
      <c r="K557" s="20" t="s">
        <v>20</v>
      </c>
      <c r="L557" s="20">
        <v>1</v>
      </c>
      <c r="M557" s="34">
        <v>156000</v>
      </c>
      <c r="N557" s="34">
        <f t="shared" si="35"/>
        <v>156000</v>
      </c>
      <c r="O557" s="33"/>
      <c r="P557" s="20">
        <f t="shared" si="36"/>
        <v>84</v>
      </c>
    </row>
    <row r="558" spans="1:16" ht="15" hidden="1" customHeight="1" x14ac:dyDescent="0.2">
      <c r="A558" s="20" t="s">
        <v>18</v>
      </c>
      <c r="B558" s="61">
        <v>46076</v>
      </c>
      <c r="C558" s="20">
        <f t="shared" si="37"/>
        <v>1547</v>
      </c>
      <c r="D558" s="38">
        <f t="shared" si="38"/>
        <v>1</v>
      </c>
      <c r="G558" s="32" t="s">
        <v>89</v>
      </c>
      <c r="H558" s="20" t="s">
        <v>1381</v>
      </c>
      <c r="I558" s="20">
        <v>64277</v>
      </c>
      <c r="J558" s="20">
        <v>331</v>
      </c>
      <c r="K558" s="20" t="s">
        <v>20</v>
      </c>
      <c r="L558" s="20">
        <v>1</v>
      </c>
      <c r="M558" s="34">
        <v>66667</v>
      </c>
      <c r="N558" s="34">
        <f t="shared" si="35"/>
        <v>66667</v>
      </c>
      <c r="O558" s="33"/>
      <c r="P558" s="20">
        <f t="shared" si="36"/>
        <v>73</v>
      </c>
    </row>
    <row r="559" spans="1:16" ht="15" hidden="1" customHeight="1" x14ac:dyDescent="0.2">
      <c r="A559" s="20" t="s">
        <v>18</v>
      </c>
      <c r="B559" s="61">
        <v>46076</v>
      </c>
      <c r="C559" s="20">
        <f t="shared" si="37"/>
        <v>1547</v>
      </c>
      <c r="D559" s="38">
        <f t="shared" si="38"/>
        <v>0</v>
      </c>
      <c r="G559" s="32" t="s">
        <v>89</v>
      </c>
      <c r="H559" s="20" t="s">
        <v>1381</v>
      </c>
      <c r="I559" s="20">
        <v>1331</v>
      </c>
      <c r="J559" s="20">
        <v>331</v>
      </c>
      <c r="K559" s="20" t="s">
        <v>20</v>
      </c>
      <c r="L559" s="20">
        <v>1</v>
      </c>
      <c r="M559" s="34">
        <v>5333</v>
      </c>
      <c r="N559" s="34">
        <f t="shared" si="35"/>
        <v>5333</v>
      </c>
      <c r="O559" s="33"/>
      <c r="P559" s="20">
        <f t="shared" si="36"/>
        <v>73</v>
      </c>
    </row>
    <row r="560" spans="1:16" ht="15" hidden="1" customHeight="1" x14ac:dyDescent="0.2">
      <c r="A560" s="20" t="s">
        <v>310</v>
      </c>
      <c r="B560" s="61">
        <v>46076</v>
      </c>
      <c r="C560" s="20">
        <f t="shared" si="37"/>
        <v>1548</v>
      </c>
      <c r="D560" s="38">
        <f t="shared" si="38"/>
        <v>1</v>
      </c>
      <c r="G560" s="32" t="s">
        <v>89</v>
      </c>
      <c r="H560" s="20" t="s">
        <v>2886</v>
      </c>
      <c r="I560" s="20">
        <v>331</v>
      </c>
      <c r="J560" s="20">
        <v>1111</v>
      </c>
      <c r="K560" s="20" t="s">
        <v>20</v>
      </c>
      <c r="L560" s="20">
        <v>1</v>
      </c>
      <c r="M560" s="34">
        <v>72000</v>
      </c>
      <c r="N560" s="34">
        <f t="shared" si="35"/>
        <v>72000</v>
      </c>
      <c r="O560" s="33"/>
      <c r="P560" s="20">
        <f t="shared" si="36"/>
        <v>84</v>
      </c>
    </row>
    <row r="561" spans="1:16" ht="15" hidden="1" customHeight="1" x14ac:dyDescent="0.2">
      <c r="A561" s="20" t="s">
        <v>18</v>
      </c>
      <c r="B561" s="61">
        <v>46076</v>
      </c>
      <c r="C561" s="20">
        <f t="shared" si="37"/>
        <v>1549</v>
      </c>
      <c r="D561" s="38">
        <f t="shared" si="38"/>
        <v>1</v>
      </c>
      <c r="G561" s="32" t="s">
        <v>89</v>
      </c>
      <c r="H561" s="20" t="s">
        <v>1382</v>
      </c>
      <c r="I561" s="20">
        <v>64277</v>
      </c>
      <c r="J561" s="20">
        <v>331</v>
      </c>
      <c r="K561" s="20" t="s">
        <v>20</v>
      </c>
      <c r="L561" s="20">
        <v>1</v>
      </c>
      <c r="M561" s="34">
        <v>29630</v>
      </c>
      <c r="N561" s="34">
        <f t="shared" si="35"/>
        <v>29630</v>
      </c>
      <c r="O561" s="33"/>
      <c r="P561" s="20">
        <f t="shared" si="36"/>
        <v>73</v>
      </c>
    </row>
    <row r="562" spans="1:16" ht="15" hidden="1" customHeight="1" x14ac:dyDescent="0.2">
      <c r="A562" s="20" t="s">
        <v>18</v>
      </c>
      <c r="B562" s="61">
        <v>46076</v>
      </c>
      <c r="C562" s="20">
        <f t="shared" si="37"/>
        <v>1549</v>
      </c>
      <c r="D562" s="38">
        <f t="shared" si="38"/>
        <v>0</v>
      </c>
      <c r="G562" s="32" t="s">
        <v>89</v>
      </c>
      <c r="H562" s="20" t="s">
        <v>1382</v>
      </c>
      <c r="I562" s="20">
        <v>1331</v>
      </c>
      <c r="J562" s="20">
        <v>331</v>
      </c>
      <c r="K562" s="20" t="s">
        <v>20</v>
      </c>
      <c r="L562" s="20">
        <v>1</v>
      </c>
      <c r="M562" s="34">
        <v>2370</v>
      </c>
      <c r="N562" s="34">
        <f t="shared" si="35"/>
        <v>2370</v>
      </c>
      <c r="O562" s="33"/>
      <c r="P562" s="20">
        <f t="shared" si="36"/>
        <v>73</v>
      </c>
    </row>
    <row r="563" spans="1:16" ht="15" hidden="1" customHeight="1" x14ac:dyDescent="0.2">
      <c r="A563" s="20" t="s">
        <v>310</v>
      </c>
      <c r="B563" s="61">
        <v>46076</v>
      </c>
      <c r="C563" s="20">
        <f t="shared" si="37"/>
        <v>1550</v>
      </c>
      <c r="D563" s="38">
        <f t="shared" si="38"/>
        <v>1</v>
      </c>
      <c r="G563" s="32" t="s">
        <v>89</v>
      </c>
      <c r="H563" s="20" t="s">
        <v>2887</v>
      </c>
      <c r="I563" s="20">
        <v>331</v>
      </c>
      <c r="J563" s="20">
        <v>1111</v>
      </c>
      <c r="K563" s="20" t="s">
        <v>20</v>
      </c>
      <c r="L563" s="20">
        <v>1</v>
      </c>
      <c r="M563" s="34">
        <v>32000</v>
      </c>
      <c r="N563" s="34">
        <f t="shared" si="35"/>
        <v>32000</v>
      </c>
      <c r="O563" s="33"/>
      <c r="P563" s="20">
        <f t="shared" si="36"/>
        <v>84</v>
      </c>
    </row>
    <row r="564" spans="1:16" ht="15" hidden="1" customHeight="1" x14ac:dyDescent="0.2">
      <c r="A564" s="20" t="s">
        <v>18</v>
      </c>
      <c r="B564" s="61">
        <v>46076</v>
      </c>
      <c r="C564" s="20">
        <f t="shared" si="37"/>
        <v>1551</v>
      </c>
      <c r="D564" s="38">
        <f t="shared" si="38"/>
        <v>1</v>
      </c>
      <c r="G564" s="32" t="s">
        <v>1213</v>
      </c>
      <c r="H564" s="20" t="s">
        <v>1383</v>
      </c>
      <c r="I564" s="20">
        <v>64277</v>
      </c>
      <c r="J564" s="20">
        <v>331</v>
      </c>
      <c r="K564" s="20" t="s">
        <v>20</v>
      </c>
      <c r="L564" s="20">
        <v>1</v>
      </c>
      <c r="M564" s="34">
        <v>882800</v>
      </c>
      <c r="N564" s="34">
        <f t="shared" si="35"/>
        <v>882800</v>
      </c>
      <c r="O564" s="33"/>
      <c r="P564" s="20">
        <f t="shared" si="36"/>
        <v>121</v>
      </c>
    </row>
    <row r="565" spans="1:16" ht="15" hidden="1" customHeight="1" x14ac:dyDescent="0.2">
      <c r="A565" s="20" t="s">
        <v>18</v>
      </c>
      <c r="B565" s="61">
        <v>46076</v>
      </c>
      <c r="C565" s="20">
        <f t="shared" si="37"/>
        <v>1551</v>
      </c>
      <c r="D565" s="38">
        <f t="shared" si="38"/>
        <v>0</v>
      </c>
      <c r="G565" s="32" t="s">
        <v>1213</v>
      </c>
      <c r="H565" s="20" t="s">
        <v>1383</v>
      </c>
      <c r="I565" s="20">
        <v>1331</v>
      </c>
      <c r="J565" s="20">
        <v>331</v>
      </c>
      <c r="K565" s="20" t="s">
        <v>20</v>
      </c>
      <c r="L565" s="20">
        <v>1</v>
      </c>
      <c r="M565" s="34">
        <v>65393</v>
      </c>
      <c r="N565" s="34">
        <f t="shared" si="35"/>
        <v>65393</v>
      </c>
      <c r="O565" s="33"/>
      <c r="P565" s="20">
        <f t="shared" si="36"/>
        <v>121</v>
      </c>
    </row>
    <row r="566" spans="1:16" ht="15" hidden="1" customHeight="1" x14ac:dyDescent="0.2">
      <c r="A566" s="20" t="s">
        <v>310</v>
      </c>
      <c r="B566" s="61">
        <v>46076</v>
      </c>
      <c r="C566" s="20">
        <f t="shared" si="37"/>
        <v>1552</v>
      </c>
      <c r="D566" s="38">
        <f t="shared" si="38"/>
        <v>1</v>
      </c>
      <c r="G566" s="32" t="s">
        <v>1213</v>
      </c>
      <c r="H566" s="20" t="s">
        <v>2888</v>
      </c>
      <c r="I566" s="20">
        <v>331</v>
      </c>
      <c r="J566" s="20">
        <v>1111</v>
      </c>
      <c r="K566" s="20" t="s">
        <v>20</v>
      </c>
      <c r="L566" s="20">
        <v>1</v>
      </c>
      <c r="M566" s="34">
        <v>882800</v>
      </c>
      <c r="N566" s="34">
        <f t="shared" si="35"/>
        <v>882800</v>
      </c>
      <c r="O566" s="33"/>
      <c r="P566" s="20">
        <f t="shared" si="36"/>
        <v>132</v>
      </c>
    </row>
    <row r="567" spans="1:16" ht="15" hidden="1" customHeight="1" x14ac:dyDescent="0.2">
      <c r="A567" s="20" t="s">
        <v>18</v>
      </c>
      <c r="B567" s="61">
        <v>46077</v>
      </c>
      <c r="C567" s="20">
        <f t="shared" si="37"/>
        <v>1553</v>
      </c>
      <c r="D567" s="38">
        <f t="shared" si="38"/>
        <v>1</v>
      </c>
      <c r="G567" s="32" t="s">
        <v>89</v>
      </c>
      <c r="H567" s="20" t="s">
        <v>1384</v>
      </c>
      <c r="I567" s="20">
        <v>64277</v>
      </c>
      <c r="J567" s="20">
        <v>331</v>
      </c>
      <c r="K567" s="20" t="s">
        <v>20</v>
      </c>
      <c r="L567" s="20">
        <v>1</v>
      </c>
      <c r="M567" s="34">
        <v>112963</v>
      </c>
      <c r="N567" s="34">
        <f t="shared" si="35"/>
        <v>112963</v>
      </c>
      <c r="O567" s="33"/>
      <c r="P567" s="20">
        <f t="shared" si="36"/>
        <v>73</v>
      </c>
    </row>
    <row r="568" spans="1:16" ht="15" hidden="1" customHeight="1" x14ac:dyDescent="0.2">
      <c r="A568" s="20" t="s">
        <v>18</v>
      </c>
      <c r="B568" s="61">
        <v>46077</v>
      </c>
      <c r="C568" s="20">
        <f t="shared" si="37"/>
        <v>1553</v>
      </c>
      <c r="D568" s="38">
        <f t="shared" si="38"/>
        <v>0</v>
      </c>
      <c r="G568" s="32" t="s">
        <v>89</v>
      </c>
      <c r="H568" s="20" t="s">
        <v>1384</v>
      </c>
      <c r="I568" s="20">
        <v>1331</v>
      </c>
      <c r="J568" s="20">
        <v>331</v>
      </c>
      <c r="K568" s="20" t="s">
        <v>20</v>
      </c>
      <c r="L568" s="20">
        <v>1</v>
      </c>
      <c r="M568" s="34">
        <v>9037</v>
      </c>
      <c r="N568" s="34">
        <f t="shared" si="35"/>
        <v>9037</v>
      </c>
      <c r="O568" s="33"/>
      <c r="P568" s="20">
        <f t="shared" si="36"/>
        <v>73</v>
      </c>
    </row>
    <row r="569" spans="1:16" ht="15" hidden="1" customHeight="1" x14ac:dyDescent="0.2">
      <c r="A569" s="20" t="s">
        <v>310</v>
      </c>
      <c r="B569" s="61">
        <v>46077</v>
      </c>
      <c r="C569" s="20">
        <f t="shared" si="37"/>
        <v>1554</v>
      </c>
      <c r="D569" s="38">
        <f t="shared" si="38"/>
        <v>1</v>
      </c>
      <c r="G569" s="32" t="s">
        <v>89</v>
      </c>
      <c r="H569" s="20" t="s">
        <v>2889</v>
      </c>
      <c r="I569" s="20">
        <v>331</v>
      </c>
      <c r="J569" s="20">
        <v>1111</v>
      </c>
      <c r="K569" s="20" t="s">
        <v>20</v>
      </c>
      <c r="L569" s="20">
        <v>1</v>
      </c>
      <c r="M569" s="34">
        <v>122000</v>
      </c>
      <c r="N569" s="34">
        <f t="shared" si="35"/>
        <v>122000</v>
      </c>
      <c r="O569" s="33"/>
      <c r="P569" s="20">
        <f t="shared" si="36"/>
        <v>84</v>
      </c>
    </row>
    <row r="570" spans="1:16" ht="15" hidden="1" customHeight="1" x14ac:dyDescent="0.2">
      <c r="A570" s="20" t="s">
        <v>18</v>
      </c>
      <c r="B570" s="61">
        <v>46077</v>
      </c>
      <c r="C570" s="20">
        <f t="shared" si="37"/>
        <v>1555</v>
      </c>
      <c r="D570" s="38">
        <f t="shared" si="38"/>
        <v>1</v>
      </c>
      <c r="G570" s="32" t="s">
        <v>89</v>
      </c>
      <c r="H570" s="20" t="s">
        <v>1385</v>
      </c>
      <c r="I570" s="20">
        <v>64277</v>
      </c>
      <c r="J570" s="20">
        <v>331</v>
      </c>
      <c r="K570" s="20" t="s">
        <v>20</v>
      </c>
      <c r="L570" s="20">
        <v>1</v>
      </c>
      <c r="M570" s="34">
        <v>18519</v>
      </c>
      <c r="N570" s="34">
        <f t="shared" si="35"/>
        <v>18519</v>
      </c>
      <c r="O570" s="33"/>
      <c r="P570" s="20">
        <f t="shared" si="36"/>
        <v>73</v>
      </c>
    </row>
    <row r="571" spans="1:16" ht="15" hidden="1" customHeight="1" x14ac:dyDescent="0.2">
      <c r="A571" s="20" t="s">
        <v>18</v>
      </c>
      <c r="B571" s="61">
        <v>46077</v>
      </c>
      <c r="C571" s="20">
        <f t="shared" si="37"/>
        <v>1555</v>
      </c>
      <c r="D571" s="38">
        <f t="shared" si="38"/>
        <v>0</v>
      </c>
      <c r="G571" s="32" t="s">
        <v>89</v>
      </c>
      <c r="H571" s="20" t="s">
        <v>1385</v>
      </c>
      <c r="I571" s="20">
        <v>1331</v>
      </c>
      <c r="J571" s="20">
        <v>331</v>
      </c>
      <c r="K571" s="20" t="s">
        <v>20</v>
      </c>
      <c r="L571" s="20">
        <v>1</v>
      </c>
      <c r="M571" s="34">
        <v>1481</v>
      </c>
      <c r="N571" s="34">
        <f t="shared" si="35"/>
        <v>1481</v>
      </c>
      <c r="O571" s="33"/>
      <c r="P571" s="20">
        <f t="shared" si="36"/>
        <v>73</v>
      </c>
    </row>
    <row r="572" spans="1:16" ht="15" hidden="1" customHeight="1" x14ac:dyDescent="0.2">
      <c r="A572" s="20" t="s">
        <v>310</v>
      </c>
      <c r="B572" s="61">
        <v>46077</v>
      </c>
      <c r="C572" s="20">
        <f t="shared" si="37"/>
        <v>1556</v>
      </c>
      <c r="D572" s="38">
        <f t="shared" si="38"/>
        <v>1</v>
      </c>
      <c r="G572" s="32" t="s">
        <v>89</v>
      </c>
      <c r="H572" s="20" t="s">
        <v>2890</v>
      </c>
      <c r="I572" s="20">
        <v>331</v>
      </c>
      <c r="J572" s="20">
        <v>1111</v>
      </c>
      <c r="K572" s="20" t="s">
        <v>20</v>
      </c>
      <c r="L572" s="20">
        <v>1</v>
      </c>
      <c r="M572" s="34">
        <v>20000</v>
      </c>
      <c r="N572" s="34">
        <f t="shared" si="35"/>
        <v>20000</v>
      </c>
      <c r="O572" s="33"/>
      <c r="P572" s="20">
        <f t="shared" si="36"/>
        <v>84</v>
      </c>
    </row>
    <row r="573" spans="1:16" ht="15" hidden="1" customHeight="1" x14ac:dyDescent="0.2">
      <c r="A573" s="20" t="s">
        <v>18</v>
      </c>
      <c r="B573" s="61">
        <v>46077</v>
      </c>
      <c r="C573" s="20">
        <f t="shared" si="37"/>
        <v>1557</v>
      </c>
      <c r="D573" s="38">
        <f t="shared" si="38"/>
        <v>1</v>
      </c>
      <c r="G573" s="32" t="s">
        <v>89</v>
      </c>
      <c r="H573" s="20" t="s">
        <v>1386</v>
      </c>
      <c r="I573" s="20">
        <v>64277</v>
      </c>
      <c r="J573" s="20">
        <v>331</v>
      </c>
      <c r="K573" s="20" t="s">
        <v>20</v>
      </c>
      <c r="L573" s="20">
        <v>1</v>
      </c>
      <c r="M573" s="34">
        <v>106481</v>
      </c>
      <c r="N573" s="34">
        <f t="shared" si="35"/>
        <v>106481</v>
      </c>
      <c r="O573" s="33"/>
      <c r="P573" s="20">
        <f t="shared" si="36"/>
        <v>73</v>
      </c>
    </row>
    <row r="574" spans="1:16" ht="15" hidden="1" customHeight="1" x14ac:dyDescent="0.2">
      <c r="A574" s="20" t="s">
        <v>18</v>
      </c>
      <c r="B574" s="61">
        <v>46077</v>
      </c>
      <c r="C574" s="20">
        <f t="shared" si="37"/>
        <v>1557</v>
      </c>
      <c r="D574" s="38">
        <f t="shared" si="38"/>
        <v>0</v>
      </c>
      <c r="G574" s="32" t="s">
        <v>89</v>
      </c>
      <c r="H574" s="20" t="s">
        <v>1386</v>
      </c>
      <c r="I574" s="20">
        <v>1331</v>
      </c>
      <c r="J574" s="20">
        <v>331</v>
      </c>
      <c r="K574" s="20" t="s">
        <v>20</v>
      </c>
      <c r="L574" s="20">
        <v>1</v>
      </c>
      <c r="M574" s="34">
        <v>8519</v>
      </c>
      <c r="N574" s="34">
        <f t="shared" si="35"/>
        <v>8519</v>
      </c>
      <c r="O574" s="33"/>
      <c r="P574" s="20">
        <f t="shared" si="36"/>
        <v>73</v>
      </c>
    </row>
    <row r="575" spans="1:16" ht="15" hidden="1" customHeight="1" x14ac:dyDescent="0.2">
      <c r="A575" s="20" t="s">
        <v>310</v>
      </c>
      <c r="B575" s="61">
        <v>46077</v>
      </c>
      <c r="C575" s="20">
        <f t="shared" si="37"/>
        <v>1558</v>
      </c>
      <c r="D575" s="38">
        <f t="shared" si="38"/>
        <v>1</v>
      </c>
      <c r="G575" s="32" t="s">
        <v>89</v>
      </c>
      <c r="H575" s="20" t="s">
        <v>2891</v>
      </c>
      <c r="I575" s="20">
        <v>331</v>
      </c>
      <c r="J575" s="20">
        <v>1111</v>
      </c>
      <c r="K575" s="20" t="s">
        <v>20</v>
      </c>
      <c r="L575" s="20">
        <v>1</v>
      </c>
      <c r="M575" s="34">
        <v>115000</v>
      </c>
      <c r="N575" s="34">
        <f t="shared" si="35"/>
        <v>115000</v>
      </c>
      <c r="O575" s="33"/>
      <c r="P575" s="20">
        <f t="shared" si="36"/>
        <v>84</v>
      </c>
    </row>
    <row r="576" spans="1:16" ht="15" hidden="1" customHeight="1" x14ac:dyDescent="0.2">
      <c r="A576" s="20" t="s">
        <v>18</v>
      </c>
      <c r="B576" s="61">
        <v>46077</v>
      </c>
      <c r="C576" s="20">
        <f t="shared" si="37"/>
        <v>1559</v>
      </c>
      <c r="D576" s="38">
        <f t="shared" si="38"/>
        <v>1</v>
      </c>
      <c r="G576" s="32" t="s">
        <v>89</v>
      </c>
      <c r="H576" s="20" t="s">
        <v>1387</v>
      </c>
      <c r="I576" s="20">
        <v>64277</v>
      </c>
      <c r="J576" s="20">
        <v>331</v>
      </c>
      <c r="K576" s="20" t="s">
        <v>20</v>
      </c>
      <c r="L576" s="20">
        <v>1</v>
      </c>
      <c r="M576" s="34">
        <v>107408</v>
      </c>
      <c r="N576" s="34">
        <f t="shared" si="35"/>
        <v>107408</v>
      </c>
      <c r="O576" s="33"/>
      <c r="P576" s="20">
        <f t="shared" si="36"/>
        <v>73</v>
      </c>
    </row>
    <row r="577" spans="1:16" ht="15" hidden="1" customHeight="1" x14ac:dyDescent="0.2">
      <c r="A577" s="20" t="s">
        <v>18</v>
      </c>
      <c r="B577" s="61">
        <v>46077</v>
      </c>
      <c r="C577" s="20">
        <f t="shared" si="37"/>
        <v>1559</v>
      </c>
      <c r="D577" s="38">
        <f t="shared" si="38"/>
        <v>0</v>
      </c>
      <c r="G577" s="32" t="s">
        <v>89</v>
      </c>
      <c r="H577" s="20" t="s">
        <v>1387</v>
      </c>
      <c r="I577" s="20">
        <v>1331</v>
      </c>
      <c r="J577" s="20">
        <v>331</v>
      </c>
      <c r="K577" s="20" t="s">
        <v>20</v>
      </c>
      <c r="L577" s="20">
        <v>1</v>
      </c>
      <c r="M577" s="34">
        <v>8592</v>
      </c>
      <c r="N577" s="34">
        <f t="shared" si="35"/>
        <v>8592</v>
      </c>
      <c r="O577" s="33"/>
      <c r="P577" s="20">
        <f t="shared" si="36"/>
        <v>73</v>
      </c>
    </row>
    <row r="578" spans="1:16" ht="15" hidden="1" customHeight="1" x14ac:dyDescent="0.2">
      <c r="A578" s="20" t="s">
        <v>310</v>
      </c>
      <c r="B578" s="61">
        <v>46077</v>
      </c>
      <c r="C578" s="20">
        <f t="shared" si="37"/>
        <v>1560</v>
      </c>
      <c r="D578" s="38">
        <f t="shared" si="38"/>
        <v>1</v>
      </c>
      <c r="G578" s="32" t="s">
        <v>89</v>
      </c>
      <c r="H578" s="20" t="s">
        <v>2892</v>
      </c>
      <c r="I578" s="20">
        <v>331</v>
      </c>
      <c r="J578" s="20">
        <v>1111</v>
      </c>
      <c r="K578" s="20" t="s">
        <v>20</v>
      </c>
      <c r="L578" s="20">
        <v>1</v>
      </c>
      <c r="M578" s="34">
        <v>116000</v>
      </c>
      <c r="N578" s="34">
        <f t="shared" ref="N578:N641" si="39">L578*M578</f>
        <v>116000</v>
      </c>
      <c r="O578" s="33"/>
      <c r="P578" s="20">
        <f t="shared" si="36"/>
        <v>84</v>
      </c>
    </row>
    <row r="579" spans="1:16" ht="15" hidden="1" customHeight="1" x14ac:dyDescent="0.2">
      <c r="A579" s="20" t="s">
        <v>18</v>
      </c>
      <c r="B579" s="61">
        <v>46077</v>
      </c>
      <c r="C579" s="20">
        <f t="shared" si="37"/>
        <v>1561</v>
      </c>
      <c r="D579" s="38">
        <f t="shared" si="38"/>
        <v>1</v>
      </c>
      <c r="G579" s="32" t="s">
        <v>89</v>
      </c>
      <c r="H579" s="20" t="s">
        <v>1388</v>
      </c>
      <c r="I579" s="20">
        <v>64277</v>
      </c>
      <c r="J579" s="20">
        <v>331</v>
      </c>
      <c r="K579" s="20" t="s">
        <v>20</v>
      </c>
      <c r="L579" s="20">
        <v>1</v>
      </c>
      <c r="M579" s="34">
        <v>65741</v>
      </c>
      <c r="N579" s="34">
        <f t="shared" si="39"/>
        <v>65741</v>
      </c>
      <c r="O579" s="33"/>
      <c r="P579" s="20">
        <f t="shared" si="36"/>
        <v>73</v>
      </c>
    </row>
    <row r="580" spans="1:16" ht="15" hidden="1" customHeight="1" x14ac:dyDescent="0.2">
      <c r="A580" s="20" t="s">
        <v>18</v>
      </c>
      <c r="B580" s="61">
        <v>46077</v>
      </c>
      <c r="C580" s="20">
        <f t="shared" si="37"/>
        <v>1561</v>
      </c>
      <c r="D580" s="38">
        <f t="shared" si="38"/>
        <v>0</v>
      </c>
      <c r="G580" s="32" t="s">
        <v>89</v>
      </c>
      <c r="H580" s="20" t="s">
        <v>1388</v>
      </c>
      <c r="I580" s="20">
        <v>1331</v>
      </c>
      <c r="J580" s="20">
        <v>331</v>
      </c>
      <c r="K580" s="20" t="s">
        <v>20</v>
      </c>
      <c r="L580" s="20">
        <v>1</v>
      </c>
      <c r="M580" s="34">
        <v>5259</v>
      </c>
      <c r="N580" s="34">
        <f t="shared" si="39"/>
        <v>5259</v>
      </c>
      <c r="O580" s="33"/>
      <c r="P580" s="20">
        <f t="shared" ref="P580:P643" si="40">LEN(H580)</f>
        <v>73</v>
      </c>
    </row>
    <row r="581" spans="1:16" ht="15" hidden="1" customHeight="1" x14ac:dyDescent="0.2">
      <c r="A581" s="20" t="s">
        <v>310</v>
      </c>
      <c r="B581" s="61">
        <v>46077</v>
      </c>
      <c r="C581" s="20">
        <f t="shared" si="37"/>
        <v>1562</v>
      </c>
      <c r="D581" s="38">
        <f t="shared" si="38"/>
        <v>1</v>
      </c>
      <c r="G581" s="32" t="s">
        <v>89</v>
      </c>
      <c r="H581" s="20" t="s">
        <v>2893</v>
      </c>
      <c r="I581" s="20">
        <v>331</v>
      </c>
      <c r="J581" s="20">
        <v>1111</v>
      </c>
      <c r="K581" s="20" t="s">
        <v>20</v>
      </c>
      <c r="L581" s="20">
        <v>1</v>
      </c>
      <c r="M581" s="34">
        <v>71000</v>
      </c>
      <c r="N581" s="34">
        <f t="shared" si="39"/>
        <v>71000</v>
      </c>
      <c r="O581" s="33"/>
      <c r="P581" s="20">
        <f t="shared" si="40"/>
        <v>84</v>
      </c>
    </row>
    <row r="582" spans="1:16" ht="15" hidden="1" customHeight="1" x14ac:dyDescent="0.2">
      <c r="A582" s="20" t="s">
        <v>18</v>
      </c>
      <c r="B582" s="61">
        <v>46078</v>
      </c>
      <c r="C582" s="20">
        <f t="shared" ref="C582:C645" si="41">C581+D582</f>
        <v>1563</v>
      </c>
      <c r="D582" s="38">
        <f t="shared" ref="D582:D645" si="42">IF(H582=H581,0,1)</f>
        <v>1</v>
      </c>
      <c r="G582" s="32" t="s">
        <v>89</v>
      </c>
      <c r="H582" s="20" t="s">
        <v>1389</v>
      </c>
      <c r="I582" s="20">
        <v>64277</v>
      </c>
      <c r="J582" s="20">
        <v>331</v>
      </c>
      <c r="K582" s="20" t="s">
        <v>20</v>
      </c>
      <c r="L582" s="20">
        <v>1</v>
      </c>
      <c r="M582" s="34">
        <v>66666</v>
      </c>
      <c r="N582" s="34">
        <f t="shared" si="39"/>
        <v>66666</v>
      </c>
      <c r="O582" s="33"/>
      <c r="P582" s="20">
        <f t="shared" si="40"/>
        <v>73</v>
      </c>
    </row>
    <row r="583" spans="1:16" ht="15" hidden="1" customHeight="1" x14ac:dyDescent="0.2">
      <c r="A583" s="20" t="s">
        <v>18</v>
      </c>
      <c r="B583" s="61">
        <v>46078</v>
      </c>
      <c r="C583" s="20">
        <f t="shared" si="41"/>
        <v>1563</v>
      </c>
      <c r="D583" s="38">
        <f t="shared" si="42"/>
        <v>0</v>
      </c>
      <c r="G583" s="32" t="s">
        <v>89</v>
      </c>
      <c r="H583" s="20" t="s">
        <v>1389</v>
      </c>
      <c r="I583" s="20">
        <v>1331</v>
      </c>
      <c r="J583" s="20">
        <v>331</v>
      </c>
      <c r="K583" s="20" t="s">
        <v>20</v>
      </c>
      <c r="L583" s="20">
        <v>1</v>
      </c>
      <c r="M583" s="34">
        <v>5334</v>
      </c>
      <c r="N583" s="34">
        <f t="shared" si="39"/>
        <v>5334</v>
      </c>
      <c r="O583" s="33"/>
      <c r="P583" s="20">
        <f t="shared" si="40"/>
        <v>73</v>
      </c>
    </row>
    <row r="584" spans="1:16" ht="15" hidden="1" customHeight="1" x14ac:dyDescent="0.2">
      <c r="A584" s="20" t="s">
        <v>310</v>
      </c>
      <c r="B584" s="61">
        <v>46078</v>
      </c>
      <c r="C584" s="20">
        <f t="shared" si="41"/>
        <v>1564</v>
      </c>
      <c r="D584" s="38">
        <f t="shared" si="42"/>
        <v>1</v>
      </c>
      <c r="G584" s="32" t="s">
        <v>89</v>
      </c>
      <c r="H584" s="20" t="s">
        <v>2894</v>
      </c>
      <c r="I584" s="20">
        <v>331</v>
      </c>
      <c r="J584" s="20">
        <v>1111</v>
      </c>
      <c r="K584" s="20" t="s">
        <v>20</v>
      </c>
      <c r="L584" s="20">
        <v>1</v>
      </c>
      <c r="M584" s="34">
        <v>72000</v>
      </c>
      <c r="N584" s="34">
        <f t="shared" si="39"/>
        <v>72000</v>
      </c>
      <c r="O584" s="33"/>
      <c r="P584" s="20">
        <f t="shared" si="40"/>
        <v>84</v>
      </c>
    </row>
    <row r="585" spans="1:16" ht="15" hidden="1" customHeight="1" x14ac:dyDescent="0.2">
      <c r="A585" s="20" t="s">
        <v>18</v>
      </c>
      <c r="B585" s="61">
        <v>46078</v>
      </c>
      <c r="C585" s="20">
        <f t="shared" si="41"/>
        <v>1565</v>
      </c>
      <c r="D585" s="38">
        <f t="shared" si="42"/>
        <v>1</v>
      </c>
      <c r="G585" s="32" t="s">
        <v>89</v>
      </c>
      <c r="H585" s="20" t="s">
        <v>1390</v>
      </c>
      <c r="I585" s="20">
        <v>64277</v>
      </c>
      <c r="J585" s="20">
        <v>331</v>
      </c>
      <c r="K585" s="20" t="s">
        <v>20</v>
      </c>
      <c r="L585" s="20">
        <v>1</v>
      </c>
      <c r="M585" s="34">
        <v>66666</v>
      </c>
      <c r="N585" s="34">
        <f t="shared" si="39"/>
        <v>66666</v>
      </c>
      <c r="O585" s="33"/>
      <c r="P585" s="20">
        <f t="shared" si="40"/>
        <v>73</v>
      </c>
    </row>
    <row r="586" spans="1:16" ht="15" hidden="1" customHeight="1" x14ac:dyDescent="0.2">
      <c r="A586" s="20" t="s">
        <v>18</v>
      </c>
      <c r="B586" s="61">
        <v>46078</v>
      </c>
      <c r="C586" s="20">
        <f t="shared" si="41"/>
        <v>1565</v>
      </c>
      <c r="D586" s="38">
        <f t="shared" si="42"/>
        <v>0</v>
      </c>
      <c r="G586" s="32" t="s">
        <v>89</v>
      </c>
      <c r="H586" s="20" t="s">
        <v>1390</v>
      </c>
      <c r="I586" s="20">
        <v>1331</v>
      </c>
      <c r="J586" s="20">
        <v>331</v>
      </c>
      <c r="K586" s="20" t="s">
        <v>20</v>
      </c>
      <c r="L586" s="20">
        <v>1</v>
      </c>
      <c r="M586" s="34">
        <v>5334</v>
      </c>
      <c r="N586" s="34">
        <f t="shared" si="39"/>
        <v>5334</v>
      </c>
      <c r="O586" s="33"/>
      <c r="P586" s="20">
        <f t="shared" si="40"/>
        <v>73</v>
      </c>
    </row>
    <row r="587" spans="1:16" ht="15" hidden="1" customHeight="1" x14ac:dyDescent="0.2">
      <c r="A587" s="20" t="s">
        <v>310</v>
      </c>
      <c r="B587" s="61">
        <v>46078</v>
      </c>
      <c r="C587" s="20">
        <f t="shared" si="41"/>
        <v>1566</v>
      </c>
      <c r="D587" s="38">
        <f t="shared" si="42"/>
        <v>1</v>
      </c>
      <c r="G587" s="32" t="s">
        <v>89</v>
      </c>
      <c r="H587" s="20" t="s">
        <v>2895</v>
      </c>
      <c r="I587" s="20">
        <v>331</v>
      </c>
      <c r="J587" s="20">
        <v>1111</v>
      </c>
      <c r="K587" s="20" t="s">
        <v>20</v>
      </c>
      <c r="L587" s="20">
        <v>1</v>
      </c>
      <c r="M587" s="34">
        <v>72000</v>
      </c>
      <c r="N587" s="34">
        <f t="shared" si="39"/>
        <v>72000</v>
      </c>
      <c r="O587" s="33"/>
      <c r="P587" s="20">
        <f t="shared" si="40"/>
        <v>84</v>
      </c>
    </row>
    <row r="588" spans="1:16" ht="15" hidden="1" customHeight="1" x14ac:dyDescent="0.2">
      <c r="A588" s="20" t="s">
        <v>18</v>
      </c>
      <c r="B588" s="61">
        <v>46078</v>
      </c>
      <c r="C588" s="20">
        <f t="shared" si="41"/>
        <v>1567</v>
      </c>
      <c r="D588" s="38">
        <f t="shared" si="42"/>
        <v>1</v>
      </c>
      <c r="G588" s="32" t="s">
        <v>89</v>
      </c>
      <c r="H588" s="20" t="s">
        <v>1391</v>
      </c>
      <c r="I588" s="20">
        <v>64277</v>
      </c>
      <c r="J588" s="20">
        <v>331</v>
      </c>
      <c r="K588" s="20" t="s">
        <v>20</v>
      </c>
      <c r="L588" s="20">
        <v>1</v>
      </c>
      <c r="M588" s="34">
        <v>55556</v>
      </c>
      <c r="N588" s="34">
        <f t="shared" si="39"/>
        <v>55556</v>
      </c>
      <c r="O588" s="33"/>
      <c r="P588" s="20">
        <f t="shared" si="40"/>
        <v>73</v>
      </c>
    </row>
    <row r="589" spans="1:16" ht="15" hidden="1" customHeight="1" x14ac:dyDescent="0.2">
      <c r="A589" s="20" t="s">
        <v>18</v>
      </c>
      <c r="B589" s="61">
        <v>46078</v>
      </c>
      <c r="C589" s="20">
        <f t="shared" si="41"/>
        <v>1567</v>
      </c>
      <c r="D589" s="38">
        <f t="shared" si="42"/>
        <v>0</v>
      </c>
      <c r="G589" s="32" t="s">
        <v>89</v>
      </c>
      <c r="H589" s="20" t="s">
        <v>1391</v>
      </c>
      <c r="I589" s="20">
        <v>1331</v>
      </c>
      <c r="J589" s="20">
        <v>331</v>
      </c>
      <c r="K589" s="20" t="s">
        <v>20</v>
      </c>
      <c r="L589" s="20">
        <v>1</v>
      </c>
      <c r="M589" s="34">
        <v>4444</v>
      </c>
      <c r="N589" s="34">
        <f t="shared" si="39"/>
        <v>4444</v>
      </c>
      <c r="O589" s="33"/>
      <c r="P589" s="20">
        <f t="shared" si="40"/>
        <v>73</v>
      </c>
    </row>
    <row r="590" spans="1:16" ht="15" hidden="1" customHeight="1" x14ac:dyDescent="0.2">
      <c r="A590" s="20" t="s">
        <v>310</v>
      </c>
      <c r="B590" s="61">
        <v>46078</v>
      </c>
      <c r="C590" s="20">
        <f t="shared" si="41"/>
        <v>1568</v>
      </c>
      <c r="D590" s="38">
        <f t="shared" si="42"/>
        <v>1</v>
      </c>
      <c r="G590" s="32" t="s">
        <v>89</v>
      </c>
      <c r="H590" s="20" t="s">
        <v>2896</v>
      </c>
      <c r="I590" s="20">
        <v>331</v>
      </c>
      <c r="J590" s="20">
        <v>1111</v>
      </c>
      <c r="K590" s="20" t="s">
        <v>20</v>
      </c>
      <c r="L590" s="20">
        <v>1</v>
      </c>
      <c r="M590" s="34">
        <v>60000</v>
      </c>
      <c r="N590" s="34">
        <f t="shared" si="39"/>
        <v>60000</v>
      </c>
      <c r="P590" s="20">
        <f t="shared" si="40"/>
        <v>84</v>
      </c>
    </row>
    <row r="591" spans="1:16" ht="15" hidden="1" customHeight="1" x14ac:dyDescent="0.2">
      <c r="A591" s="20" t="s">
        <v>18</v>
      </c>
      <c r="B591" s="61">
        <v>46078</v>
      </c>
      <c r="C591" s="20">
        <f t="shared" si="41"/>
        <v>1569</v>
      </c>
      <c r="D591" s="38">
        <f t="shared" si="42"/>
        <v>1</v>
      </c>
      <c r="G591" s="32" t="s">
        <v>89</v>
      </c>
      <c r="H591" s="20" t="s">
        <v>1392</v>
      </c>
      <c r="I591" s="20">
        <v>64277</v>
      </c>
      <c r="J591" s="20">
        <v>331</v>
      </c>
      <c r="K591" s="20" t="s">
        <v>20</v>
      </c>
      <c r="L591" s="20">
        <v>1</v>
      </c>
      <c r="M591" s="34">
        <v>50926</v>
      </c>
      <c r="N591" s="34">
        <f t="shared" si="39"/>
        <v>50926</v>
      </c>
      <c r="P591" s="20">
        <f t="shared" si="40"/>
        <v>73</v>
      </c>
    </row>
    <row r="592" spans="1:16" ht="15" hidden="1" customHeight="1" x14ac:dyDescent="0.2">
      <c r="A592" s="20" t="s">
        <v>18</v>
      </c>
      <c r="B592" s="61">
        <v>46078</v>
      </c>
      <c r="C592" s="20">
        <f t="shared" si="41"/>
        <v>1569</v>
      </c>
      <c r="D592" s="38">
        <f t="shared" si="42"/>
        <v>0</v>
      </c>
      <c r="G592" s="32" t="s">
        <v>89</v>
      </c>
      <c r="H592" s="20" t="s">
        <v>1392</v>
      </c>
      <c r="I592" s="20">
        <v>1331</v>
      </c>
      <c r="J592" s="20">
        <v>331</v>
      </c>
      <c r="K592" s="20" t="s">
        <v>20</v>
      </c>
      <c r="L592" s="20">
        <v>1</v>
      </c>
      <c r="M592" s="34">
        <v>4074</v>
      </c>
      <c r="N592" s="34">
        <f t="shared" si="39"/>
        <v>4074</v>
      </c>
      <c r="P592" s="20">
        <f t="shared" si="40"/>
        <v>73</v>
      </c>
    </row>
    <row r="593" spans="1:16" ht="15" hidden="1" customHeight="1" x14ac:dyDescent="0.2">
      <c r="A593" s="20" t="s">
        <v>310</v>
      </c>
      <c r="B593" s="61">
        <v>46078</v>
      </c>
      <c r="C593" s="20">
        <f t="shared" si="41"/>
        <v>1570</v>
      </c>
      <c r="D593" s="38">
        <f t="shared" si="42"/>
        <v>1</v>
      </c>
      <c r="G593" s="32" t="s">
        <v>89</v>
      </c>
      <c r="H593" s="20" t="s">
        <v>2897</v>
      </c>
      <c r="I593" s="20">
        <v>331</v>
      </c>
      <c r="J593" s="20">
        <v>1111</v>
      </c>
      <c r="K593" s="20" t="s">
        <v>20</v>
      </c>
      <c r="L593" s="20">
        <v>1</v>
      </c>
      <c r="M593" s="34">
        <v>55000</v>
      </c>
      <c r="N593" s="34">
        <f t="shared" si="39"/>
        <v>55000</v>
      </c>
      <c r="P593" s="20">
        <f t="shared" si="40"/>
        <v>84</v>
      </c>
    </row>
    <row r="594" spans="1:16" ht="15" hidden="1" customHeight="1" x14ac:dyDescent="0.2">
      <c r="A594" s="20" t="s">
        <v>18</v>
      </c>
      <c r="B594" s="61">
        <v>46078</v>
      </c>
      <c r="C594" s="20">
        <f t="shared" si="41"/>
        <v>1571</v>
      </c>
      <c r="D594" s="38">
        <f t="shared" si="42"/>
        <v>1</v>
      </c>
      <c r="G594" s="32" t="s">
        <v>89</v>
      </c>
      <c r="H594" s="20" t="s">
        <v>1393</v>
      </c>
      <c r="I594" s="20">
        <v>64277</v>
      </c>
      <c r="J594" s="20">
        <v>331</v>
      </c>
      <c r="K594" s="20" t="s">
        <v>20</v>
      </c>
      <c r="L594" s="20">
        <v>1</v>
      </c>
      <c r="M594" s="34">
        <v>20371</v>
      </c>
      <c r="N594" s="34">
        <f t="shared" si="39"/>
        <v>20371</v>
      </c>
      <c r="P594" s="20">
        <f t="shared" si="40"/>
        <v>73</v>
      </c>
    </row>
    <row r="595" spans="1:16" ht="15" hidden="1" customHeight="1" x14ac:dyDescent="0.2">
      <c r="A595" s="20" t="s">
        <v>18</v>
      </c>
      <c r="B595" s="61">
        <v>46078</v>
      </c>
      <c r="C595" s="20">
        <f t="shared" si="41"/>
        <v>1571</v>
      </c>
      <c r="D595" s="38">
        <f t="shared" si="42"/>
        <v>0</v>
      </c>
      <c r="G595" s="32" t="s">
        <v>89</v>
      </c>
      <c r="H595" s="20" t="s">
        <v>1393</v>
      </c>
      <c r="I595" s="20">
        <v>1331</v>
      </c>
      <c r="J595" s="20">
        <v>331</v>
      </c>
      <c r="K595" s="20" t="s">
        <v>20</v>
      </c>
      <c r="L595" s="20">
        <v>1</v>
      </c>
      <c r="M595" s="34">
        <v>1629</v>
      </c>
      <c r="N595" s="34">
        <f t="shared" si="39"/>
        <v>1629</v>
      </c>
      <c r="P595" s="20">
        <f t="shared" si="40"/>
        <v>73</v>
      </c>
    </row>
    <row r="596" spans="1:16" ht="15" hidden="1" customHeight="1" x14ac:dyDescent="0.2">
      <c r="A596" s="20" t="s">
        <v>310</v>
      </c>
      <c r="B596" s="61">
        <v>46078</v>
      </c>
      <c r="C596" s="20">
        <f t="shared" si="41"/>
        <v>1572</v>
      </c>
      <c r="D596" s="38">
        <f t="shared" si="42"/>
        <v>1</v>
      </c>
      <c r="G596" s="32" t="s">
        <v>89</v>
      </c>
      <c r="H596" s="20" t="s">
        <v>2898</v>
      </c>
      <c r="I596" s="20">
        <v>331</v>
      </c>
      <c r="J596" s="20">
        <v>1111</v>
      </c>
      <c r="K596" s="20" t="s">
        <v>20</v>
      </c>
      <c r="L596" s="20">
        <v>1</v>
      </c>
      <c r="M596" s="34">
        <v>22000</v>
      </c>
      <c r="N596" s="34">
        <f t="shared" si="39"/>
        <v>22000</v>
      </c>
      <c r="P596" s="20">
        <f t="shared" si="40"/>
        <v>84</v>
      </c>
    </row>
    <row r="597" spans="1:16" ht="15" hidden="1" customHeight="1" x14ac:dyDescent="0.2">
      <c r="A597" s="20" t="s">
        <v>18</v>
      </c>
      <c r="B597" s="61">
        <v>46078</v>
      </c>
      <c r="C597" s="20">
        <f t="shared" si="41"/>
        <v>1573</v>
      </c>
      <c r="D597" s="38">
        <f t="shared" si="42"/>
        <v>1</v>
      </c>
      <c r="G597" s="32" t="s">
        <v>89</v>
      </c>
      <c r="H597" s="20" t="s">
        <v>1394</v>
      </c>
      <c r="I597" s="20">
        <v>64277</v>
      </c>
      <c r="J597" s="20">
        <v>331</v>
      </c>
      <c r="K597" s="20" t="s">
        <v>20</v>
      </c>
      <c r="L597" s="20">
        <v>1</v>
      </c>
      <c r="M597" s="34">
        <v>165741</v>
      </c>
      <c r="N597" s="34">
        <f t="shared" si="39"/>
        <v>165741</v>
      </c>
      <c r="P597" s="20">
        <f t="shared" si="40"/>
        <v>73</v>
      </c>
    </row>
    <row r="598" spans="1:16" ht="15" hidden="1" customHeight="1" x14ac:dyDescent="0.2">
      <c r="A598" s="20" t="s">
        <v>18</v>
      </c>
      <c r="B598" s="61">
        <v>46078</v>
      </c>
      <c r="C598" s="20">
        <f t="shared" si="41"/>
        <v>1573</v>
      </c>
      <c r="D598" s="38">
        <f t="shared" si="42"/>
        <v>0</v>
      </c>
      <c r="G598" s="32" t="s">
        <v>89</v>
      </c>
      <c r="H598" s="20" t="s">
        <v>1394</v>
      </c>
      <c r="I598" s="20">
        <v>1331</v>
      </c>
      <c r="J598" s="20">
        <v>331</v>
      </c>
      <c r="K598" s="20" t="s">
        <v>20</v>
      </c>
      <c r="L598" s="20">
        <v>1</v>
      </c>
      <c r="M598" s="34">
        <v>13259</v>
      </c>
      <c r="N598" s="34">
        <f t="shared" si="39"/>
        <v>13259</v>
      </c>
      <c r="P598" s="20">
        <f t="shared" si="40"/>
        <v>73</v>
      </c>
    </row>
    <row r="599" spans="1:16" ht="15" hidden="1" customHeight="1" x14ac:dyDescent="0.2">
      <c r="A599" s="20" t="s">
        <v>310</v>
      </c>
      <c r="B599" s="61">
        <v>46078</v>
      </c>
      <c r="C599" s="20">
        <f t="shared" si="41"/>
        <v>1574</v>
      </c>
      <c r="D599" s="38">
        <f t="shared" si="42"/>
        <v>1</v>
      </c>
      <c r="G599" s="32" t="s">
        <v>89</v>
      </c>
      <c r="H599" s="20" t="s">
        <v>2899</v>
      </c>
      <c r="I599" s="20">
        <v>331</v>
      </c>
      <c r="J599" s="20">
        <v>1111</v>
      </c>
      <c r="K599" s="20" t="s">
        <v>20</v>
      </c>
      <c r="L599" s="20">
        <v>1</v>
      </c>
      <c r="M599" s="34">
        <v>179000</v>
      </c>
      <c r="N599" s="34">
        <f t="shared" si="39"/>
        <v>179000</v>
      </c>
      <c r="P599" s="20">
        <f t="shared" si="40"/>
        <v>84</v>
      </c>
    </row>
    <row r="600" spans="1:16" ht="15" hidden="1" customHeight="1" x14ac:dyDescent="0.2">
      <c r="A600" s="20" t="s">
        <v>18</v>
      </c>
      <c r="B600" s="61">
        <v>46079</v>
      </c>
      <c r="C600" s="20">
        <f t="shared" si="41"/>
        <v>1575</v>
      </c>
      <c r="D600" s="38">
        <f t="shared" si="42"/>
        <v>1</v>
      </c>
      <c r="G600" s="32" t="s">
        <v>89</v>
      </c>
      <c r="H600" s="20" t="s">
        <v>1395</v>
      </c>
      <c r="I600" s="20">
        <v>64277</v>
      </c>
      <c r="J600" s="20">
        <v>331</v>
      </c>
      <c r="K600" s="20" t="s">
        <v>20</v>
      </c>
      <c r="L600" s="20">
        <v>1</v>
      </c>
      <c r="M600" s="34">
        <v>102777</v>
      </c>
      <c r="N600" s="34">
        <f t="shared" si="39"/>
        <v>102777</v>
      </c>
      <c r="P600" s="20">
        <f t="shared" si="40"/>
        <v>73</v>
      </c>
    </row>
    <row r="601" spans="1:16" ht="15" hidden="1" customHeight="1" x14ac:dyDescent="0.2">
      <c r="A601" s="20" t="s">
        <v>18</v>
      </c>
      <c r="B601" s="61">
        <v>46079</v>
      </c>
      <c r="C601" s="20">
        <f t="shared" si="41"/>
        <v>1575</v>
      </c>
      <c r="D601" s="38">
        <f t="shared" si="42"/>
        <v>0</v>
      </c>
      <c r="G601" s="32" t="s">
        <v>89</v>
      </c>
      <c r="H601" s="20" t="s">
        <v>1395</v>
      </c>
      <c r="I601" s="20">
        <v>1331</v>
      </c>
      <c r="J601" s="20">
        <v>331</v>
      </c>
      <c r="K601" s="20" t="s">
        <v>20</v>
      </c>
      <c r="L601" s="20">
        <v>1</v>
      </c>
      <c r="M601" s="34">
        <v>8223</v>
      </c>
      <c r="N601" s="34">
        <f t="shared" si="39"/>
        <v>8223</v>
      </c>
      <c r="P601" s="20">
        <f t="shared" si="40"/>
        <v>73</v>
      </c>
    </row>
    <row r="602" spans="1:16" ht="15" hidden="1" customHeight="1" x14ac:dyDescent="0.2">
      <c r="A602" s="20" t="s">
        <v>310</v>
      </c>
      <c r="B602" s="61">
        <v>46079</v>
      </c>
      <c r="C602" s="20">
        <f t="shared" si="41"/>
        <v>1576</v>
      </c>
      <c r="D602" s="38">
        <f t="shared" si="42"/>
        <v>1</v>
      </c>
      <c r="G602" s="32" t="s">
        <v>89</v>
      </c>
      <c r="H602" s="20" t="s">
        <v>2900</v>
      </c>
      <c r="I602" s="20">
        <v>331</v>
      </c>
      <c r="J602" s="20">
        <v>1111</v>
      </c>
      <c r="K602" s="20" t="s">
        <v>20</v>
      </c>
      <c r="L602" s="20">
        <v>1</v>
      </c>
      <c r="M602" s="34">
        <v>111000</v>
      </c>
      <c r="N602" s="34">
        <f t="shared" si="39"/>
        <v>111000</v>
      </c>
      <c r="P602" s="20">
        <f t="shared" si="40"/>
        <v>84</v>
      </c>
    </row>
    <row r="603" spans="1:16" ht="15" hidden="1" customHeight="1" x14ac:dyDescent="0.2">
      <c r="A603" s="20" t="s">
        <v>18</v>
      </c>
      <c r="B603" s="61">
        <v>46079</v>
      </c>
      <c r="C603" s="20">
        <f t="shared" si="41"/>
        <v>1577</v>
      </c>
      <c r="D603" s="38">
        <f t="shared" si="42"/>
        <v>1</v>
      </c>
      <c r="G603" s="32" t="s">
        <v>89</v>
      </c>
      <c r="H603" s="20" t="s">
        <v>1396</v>
      </c>
      <c r="I603" s="20">
        <v>64277</v>
      </c>
      <c r="J603" s="20">
        <v>331</v>
      </c>
      <c r="K603" s="20" t="s">
        <v>20</v>
      </c>
      <c r="L603" s="20">
        <v>1</v>
      </c>
      <c r="M603" s="34">
        <v>40740</v>
      </c>
      <c r="N603" s="34">
        <f t="shared" si="39"/>
        <v>40740</v>
      </c>
      <c r="P603" s="20">
        <f t="shared" si="40"/>
        <v>73</v>
      </c>
    </row>
    <row r="604" spans="1:16" ht="15" hidden="1" customHeight="1" x14ac:dyDescent="0.2">
      <c r="A604" s="20" t="s">
        <v>18</v>
      </c>
      <c r="B604" s="61">
        <v>46079</v>
      </c>
      <c r="C604" s="20">
        <f t="shared" si="41"/>
        <v>1577</v>
      </c>
      <c r="D604" s="38">
        <f t="shared" si="42"/>
        <v>0</v>
      </c>
      <c r="G604" s="32" t="s">
        <v>89</v>
      </c>
      <c r="H604" s="20" t="s">
        <v>1396</v>
      </c>
      <c r="I604" s="20">
        <v>1331</v>
      </c>
      <c r="J604" s="20">
        <v>331</v>
      </c>
      <c r="K604" s="20" t="s">
        <v>20</v>
      </c>
      <c r="L604" s="20">
        <v>1</v>
      </c>
      <c r="M604" s="34">
        <v>3260</v>
      </c>
      <c r="N604" s="34">
        <f t="shared" si="39"/>
        <v>3260</v>
      </c>
      <c r="P604" s="20">
        <f t="shared" si="40"/>
        <v>73</v>
      </c>
    </row>
    <row r="605" spans="1:16" ht="15" hidden="1" customHeight="1" x14ac:dyDescent="0.2">
      <c r="A605" s="20" t="s">
        <v>310</v>
      </c>
      <c r="B605" s="61">
        <v>46079</v>
      </c>
      <c r="C605" s="20">
        <f t="shared" si="41"/>
        <v>1578</v>
      </c>
      <c r="D605" s="38">
        <f t="shared" si="42"/>
        <v>1</v>
      </c>
      <c r="G605" s="32" t="s">
        <v>89</v>
      </c>
      <c r="H605" s="20" t="s">
        <v>2901</v>
      </c>
      <c r="I605" s="20">
        <v>331</v>
      </c>
      <c r="J605" s="20">
        <v>1111</v>
      </c>
      <c r="K605" s="20" t="s">
        <v>20</v>
      </c>
      <c r="L605" s="20">
        <v>1</v>
      </c>
      <c r="M605" s="34">
        <v>44000</v>
      </c>
      <c r="N605" s="34">
        <f t="shared" si="39"/>
        <v>44000</v>
      </c>
      <c r="P605" s="20">
        <f t="shared" si="40"/>
        <v>84</v>
      </c>
    </row>
    <row r="606" spans="1:16" ht="15" hidden="1" customHeight="1" x14ac:dyDescent="0.2">
      <c r="A606" s="20" t="s">
        <v>18</v>
      </c>
      <c r="B606" s="61">
        <v>46079</v>
      </c>
      <c r="C606" s="20">
        <f t="shared" si="41"/>
        <v>1579</v>
      </c>
      <c r="D606" s="38">
        <f t="shared" si="42"/>
        <v>1</v>
      </c>
      <c r="G606" s="32" t="s">
        <v>89</v>
      </c>
      <c r="H606" s="20" t="s">
        <v>1397</v>
      </c>
      <c r="I606" s="20">
        <v>64277</v>
      </c>
      <c r="J606" s="20">
        <v>331</v>
      </c>
      <c r="K606" s="20" t="s">
        <v>20</v>
      </c>
      <c r="L606" s="20">
        <v>1</v>
      </c>
      <c r="M606" s="34">
        <v>62963</v>
      </c>
      <c r="N606" s="34">
        <f t="shared" si="39"/>
        <v>62963</v>
      </c>
      <c r="P606" s="20">
        <f t="shared" si="40"/>
        <v>73</v>
      </c>
    </row>
    <row r="607" spans="1:16" ht="15" hidden="1" customHeight="1" x14ac:dyDescent="0.2">
      <c r="A607" s="20" t="s">
        <v>18</v>
      </c>
      <c r="B607" s="61">
        <v>46079</v>
      </c>
      <c r="C607" s="20">
        <f t="shared" si="41"/>
        <v>1579</v>
      </c>
      <c r="D607" s="38">
        <f t="shared" si="42"/>
        <v>0</v>
      </c>
      <c r="G607" s="32" t="s">
        <v>89</v>
      </c>
      <c r="H607" s="20" t="s">
        <v>1397</v>
      </c>
      <c r="I607" s="20">
        <v>1331</v>
      </c>
      <c r="J607" s="20">
        <v>331</v>
      </c>
      <c r="K607" s="20" t="s">
        <v>20</v>
      </c>
      <c r="L607" s="20">
        <v>1</v>
      </c>
      <c r="M607" s="34">
        <v>5037</v>
      </c>
      <c r="N607" s="34">
        <f t="shared" si="39"/>
        <v>5037</v>
      </c>
      <c r="P607" s="20">
        <f t="shared" si="40"/>
        <v>73</v>
      </c>
    </row>
    <row r="608" spans="1:16" ht="15" hidden="1" customHeight="1" x14ac:dyDescent="0.2">
      <c r="A608" s="20" t="s">
        <v>310</v>
      </c>
      <c r="B608" s="61">
        <v>46079</v>
      </c>
      <c r="C608" s="20">
        <f t="shared" si="41"/>
        <v>1580</v>
      </c>
      <c r="D608" s="38">
        <f t="shared" si="42"/>
        <v>1</v>
      </c>
      <c r="G608" s="32" t="s">
        <v>89</v>
      </c>
      <c r="H608" s="20" t="s">
        <v>2902</v>
      </c>
      <c r="I608" s="20">
        <v>331</v>
      </c>
      <c r="J608" s="20">
        <v>1111</v>
      </c>
      <c r="K608" s="20" t="s">
        <v>20</v>
      </c>
      <c r="L608" s="20">
        <v>1</v>
      </c>
      <c r="M608" s="34">
        <v>68000</v>
      </c>
      <c r="N608" s="34">
        <f t="shared" si="39"/>
        <v>68000</v>
      </c>
      <c r="P608" s="20">
        <f t="shared" si="40"/>
        <v>84</v>
      </c>
    </row>
    <row r="609" spans="1:16" ht="15" hidden="1" customHeight="1" x14ac:dyDescent="0.2">
      <c r="A609" s="20" t="s">
        <v>18</v>
      </c>
      <c r="B609" s="61">
        <v>46079</v>
      </c>
      <c r="C609" s="20">
        <f t="shared" si="41"/>
        <v>1581</v>
      </c>
      <c r="D609" s="38">
        <f t="shared" si="42"/>
        <v>1</v>
      </c>
      <c r="G609" s="32" t="s">
        <v>89</v>
      </c>
      <c r="H609" s="20" t="s">
        <v>1398</v>
      </c>
      <c r="I609" s="20">
        <v>64277</v>
      </c>
      <c r="J609" s="20">
        <v>331</v>
      </c>
      <c r="K609" s="20" t="s">
        <v>20</v>
      </c>
      <c r="L609" s="20">
        <v>1</v>
      </c>
      <c r="M609" s="34">
        <v>175000</v>
      </c>
      <c r="N609" s="34">
        <f t="shared" si="39"/>
        <v>175000</v>
      </c>
      <c r="P609" s="20">
        <f t="shared" si="40"/>
        <v>73</v>
      </c>
    </row>
    <row r="610" spans="1:16" ht="15" hidden="1" customHeight="1" x14ac:dyDescent="0.2">
      <c r="A610" s="20" t="s">
        <v>18</v>
      </c>
      <c r="B610" s="61">
        <v>46079</v>
      </c>
      <c r="C610" s="20">
        <f t="shared" si="41"/>
        <v>1581</v>
      </c>
      <c r="D610" s="38">
        <f t="shared" si="42"/>
        <v>0</v>
      </c>
      <c r="G610" s="32" t="s">
        <v>89</v>
      </c>
      <c r="H610" s="20" t="s">
        <v>1398</v>
      </c>
      <c r="I610" s="20">
        <v>1331</v>
      </c>
      <c r="J610" s="20">
        <v>331</v>
      </c>
      <c r="K610" s="20" t="s">
        <v>20</v>
      </c>
      <c r="L610" s="20">
        <v>1</v>
      </c>
      <c r="M610" s="34">
        <v>14000</v>
      </c>
      <c r="N610" s="34">
        <f t="shared" si="39"/>
        <v>14000</v>
      </c>
      <c r="P610" s="20">
        <f t="shared" si="40"/>
        <v>73</v>
      </c>
    </row>
    <row r="611" spans="1:16" ht="15" hidden="1" customHeight="1" x14ac:dyDescent="0.2">
      <c r="A611" s="20" t="s">
        <v>310</v>
      </c>
      <c r="B611" s="61">
        <v>46079</v>
      </c>
      <c r="C611" s="20">
        <f t="shared" si="41"/>
        <v>1582</v>
      </c>
      <c r="D611" s="38">
        <f t="shared" si="42"/>
        <v>1</v>
      </c>
      <c r="G611" s="32" t="s">
        <v>89</v>
      </c>
      <c r="H611" s="20" t="s">
        <v>2903</v>
      </c>
      <c r="I611" s="20">
        <v>331</v>
      </c>
      <c r="J611" s="20">
        <v>1111</v>
      </c>
      <c r="K611" s="20" t="s">
        <v>20</v>
      </c>
      <c r="L611" s="20">
        <v>1</v>
      </c>
      <c r="M611" s="34">
        <v>189000</v>
      </c>
      <c r="N611" s="34">
        <f t="shared" si="39"/>
        <v>189000</v>
      </c>
      <c r="P611" s="20">
        <f t="shared" si="40"/>
        <v>84</v>
      </c>
    </row>
    <row r="612" spans="1:16" ht="15" hidden="1" customHeight="1" x14ac:dyDescent="0.2">
      <c r="A612" s="20" t="s">
        <v>18</v>
      </c>
      <c r="B612" s="61">
        <v>46079</v>
      </c>
      <c r="C612" s="20">
        <f t="shared" si="41"/>
        <v>1583</v>
      </c>
      <c r="D612" s="38">
        <f t="shared" si="42"/>
        <v>1</v>
      </c>
      <c r="G612" s="32" t="s">
        <v>89</v>
      </c>
      <c r="H612" s="20" t="s">
        <v>1399</v>
      </c>
      <c r="I612" s="20">
        <v>64277</v>
      </c>
      <c r="J612" s="20">
        <v>331</v>
      </c>
      <c r="K612" s="20" t="s">
        <v>20</v>
      </c>
      <c r="L612" s="20">
        <v>1</v>
      </c>
      <c r="M612" s="34">
        <v>52778</v>
      </c>
      <c r="N612" s="34">
        <f t="shared" si="39"/>
        <v>52778</v>
      </c>
      <c r="P612" s="20">
        <f t="shared" si="40"/>
        <v>73</v>
      </c>
    </row>
    <row r="613" spans="1:16" ht="15" hidden="1" customHeight="1" x14ac:dyDescent="0.2">
      <c r="A613" s="20" t="s">
        <v>18</v>
      </c>
      <c r="B613" s="61">
        <v>46079</v>
      </c>
      <c r="C613" s="20">
        <f t="shared" si="41"/>
        <v>1583</v>
      </c>
      <c r="D613" s="38">
        <f t="shared" si="42"/>
        <v>0</v>
      </c>
      <c r="G613" s="32" t="s">
        <v>89</v>
      </c>
      <c r="H613" s="20" t="s">
        <v>1399</v>
      </c>
      <c r="I613" s="20">
        <v>1331</v>
      </c>
      <c r="J613" s="20">
        <v>331</v>
      </c>
      <c r="K613" s="20" t="s">
        <v>20</v>
      </c>
      <c r="L613" s="20">
        <v>1</v>
      </c>
      <c r="M613" s="34">
        <v>4222</v>
      </c>
      <c r="N613" s="34">
        <f t="shared" si="39"/>
        <v>4222</v>
      </c>
      <c r="P613" s="20">
        <f t="shared" si="40"/>
        <v>73</v>
      </c>
    </row>
    <row r="614" spans="1:16" ht="15" hidden="1" customHeight="1" x14ac:dyDescent="0.2">
      <c r="A614" s="20" t="s">
        <v>310</v>
      </c>
      <c r="B614" s="61">
        <v>46079</v>
      </c>
      <c r="C614" s="20">
        <f t="shared" si="41"/>
        <v>1584</v>
      </c>
      <c r="D614" s="38">
        <f t="shared" si="42"/>
        <v>1</v>
      </c>
      <c r="G614" s="32" t="s">
        <v>89</v>
      </c>
      <c r="H614" s="20" t="s">
        <v>2904</v>
      </c>
      <c r="I614" s="20">
        <v>331</v>
      </c>
      <c r="J614" s="20">
        <v>1111</v>
      </c>
      <c r="K614" s="20" t="s">
        <v>20</v>
      </c>
      <c r="L614" s="20">
        <v>1</v>
      </c>
      <c r="M614" s="34">
        <v>57000</v>
      </c>
      <c r="N614" s="34">
        <f t="shared" si="39"/>
        <v>57000</v>
      </c>
      <c r="P614" s="20">
        <f t="shared" si="40"/>
        <v>84</v>
      </c>
    </row>
    <row r="615" spans="1:16" ht="15" hidden="1" customHeight="1" x14ac:dyDescent="0.2">
      <c r="A615" s="20" t="s">
        <v>18</v>
      </c>
      <c r="B615" s="61">
        <v>46079</v>
      </c>
      <c r="C615" s="20">
        <f t="shared" si="41"/>
        <v>1585</v>
      </c>
      <c r="D615" s="38">
        <f t="shared" si="42"/>
        <v>1</v>
      </c>
      <c r="G615" s="32" t="s">
        <v>89</v>
      </c>
      <c r="H615" s="20" t="s">
        <v>1400</v>
      </c>
      <c r="I615" s="20">
        <v>64277</v>
      </c>
      <c r="J615" s="20">
        <v>331</v>
      </c>
      <c r="K615" s="20" t="s">
        <v>20</v>
      </c>
      <c r="L615" s="20">
        <v>1</v>
      </c>
      <c r="M615" s="34">
        <v>70371</v>
      </c>
      <c r="N615" s="34">
        <f t="shared" si="39"/>
        <v>70371</v>
      </c>
      <c r="P615" s="20">
        <f t="shared" si="40"/>
        <v>73</v>
      </c>
    </row>
    <row r="616" spans="1:16" ht="15" hidden="1" customHeight="1" x14ac:dyDescent="0.2">
      <c r="A616" s="20" t="s">
        <v>18</v>
      </c>
      <c r="B616" s="61">
        <v>46079</v>
      </c>
      <c r="C616" s="20">
        <f t="shared" si="41"/>
        <v>1585</v>
      </c>
      <c r="D616" s="38">
        <f t="shared" si="42"/>
        <v>0</v>
      </c>
      <c r="G616" s="32" t="s">
        <v>89</v>
      </c>
      <c r="H616" s="20" t="s">
        <v>1400</v>
      </c>
      <c r="I616" s="20">
        <v>1331</v>
      </c>
      <c r="J616" s="20">
        <v>331</v>
      </c>
      <c r="K616" s="20" t="s">
        <v>20</v>
      </c>
      <c r="L616" s="20">
        <v>1</v>
      </c>
      <c r="M616" s="34">
        <v>5629</v>
      </c>
      <c r="N616" s="34">
        <f t="shared" si="39"/>
        <v>5629</v>
      </c>
      <c r="P616" s="20">
        <f t="shared" si="40"/>
        <v>73</v>
      </c>
    </row>
    <row r="617" spans="1:16" ht="15" hidden="1" customHeight="1" x14ac:dyDescent="0.2">
      <c r="A617" s="20" t="s">
        <v>310</v>
      </c>
      <c r="B617" s="61">
        <v>46079</v>
      </c>
      <c r="C617" s="20">
        <f t="shared" si="41"/>
        <v>1586</v>
      </c>
      <c r="D617" s="38">
        <f t="shared" si="42"/>
        <v>1</v>
      </c>
      <c r="G617" s="32" t="s">
        <v>89</v>
      </c>
      <c r="H617" s="20" t="s">
        <v>2905</v>
      </c>
      <c r="I617" s="20">
        <v>331</v>
      </c>
      <c r="J617" s="20">
        <v>1111</v>
      </c>
      <c r="K617" s="20" t="s">
        <v>20</v>
      </c>
      <c r="L617" s="20">
        <v>1</v>
      </c>
      <c r="M617" s="34">
        <v>76000</v>
      </c>
      <c r="N617" s="34">
        <f t="shared" si="39"/>
        <v>76000</v>
      </c>
      <c r="P617" s="20">
        <f t="shared" si="40"/>
        <v>84</v>
      </c>
    </row>
    <row r="618" spans="1:16" ht="15" hidden="1" customHeight="1" x14ac:dyDescent="0.2">
      <c r="A618" s="20" t="s">
        <v>18</v>
      </c>
      <c r="B618" s="61">
        <v>46079</v>
      </c>
      <c r="C618" s="20">
        <f t="shared" si="41"/>
        <v>1587</v>
      </c>
      <c r="D618" s="38">
        <f t="shared" si="42"/>
        <v>1</v>
      </c>
      <c r="G618" s="32" t="s">
        <v>25</v>
      </c>
      <c r="H618" s="20" t="s">
        <v>1401</v>
      </c>
      <c r="I618" s="20">
        <v>64277</v>
      </c>
      <c r="J618" s="20">
        <v>331</v>
      </c>
      <c r="K618" s="20" t="s">
        <v>20</v>
      </c>
      <c r="L618" s="20">
        <v>1</v>
      </c>
      <c r="M618" s="34">
        <v>389000</v>
      </c>
      <c r="N618" s="34">
        <f t="shared" si="39"/>
        <v>389000</v>
      </c>
      <c r="P618" s="20">
        <f t="shared" si="40"/>
        <v>120</v>
      </c>
    </row>
    <row r="619" spans="1:16" ht="15" hidden="1" customHeight="1" x14ac:dyDescent="0.2">
      <c r="A619" s="20" t="s">
        <v>18</v>
      </c>
      <c r="B619" s="61">
        <v>46079</v>
      </c>
      <c r="C619" s="20">
        <f t="shared" si="41"/>
        <v>1587</v>
      </c>
      <c r="D619" s="38">
        <f t="shared" si="42"/>
        <v>0</v>
      </c>
      <c r="G619" s="32" t="s">
        <v>25</v>
      </c>
      <c r="H619" s="20" t="s">
        <v>1401</v>
      </c>
      <c r="I619" s="20">
        <v>1331</v>
      </c>
      <c r="J619" s="20">
        <v>331</v>
      </c>
      <c r="K619" s="20" t="s">
        <v>20</v>
      </c>
      <c r="L619" s="20">
        <v>1</v>
      </c>
      <c r="M619" s="34">
        <v>31120</v>
      </c>
      <c r="N619" s="34">
        <f t="shared" si="39"/>
        <v>31120</v>
      </c>
      <c r="P619" s="20">
        <f t="shared" si="40"/>
        <v>120</v>
      </c>
    </row>
    <row r="620" spans="1:16" ht="15" hidden="1" customHeight="1" x14ac:dyDescent="0.2">
      <c r="A620" s="20" t="s">
        <v>310</v>
      </c>
      <c r="B620" s="61">
        <v>46079</v>
      </c>
      <c r="C620" s="20">
        <f t="shared" si="41"/>
        <v>1588</v>
      </c>
      <c r="D620" s="38">
        <f t="shared" si="42"/>
        <v>1</v>
      </c>
      <c r="G620" s="32" t="s">
        <v>25</v>
      </c>
      <c r="H620" s="20" t="s">
        <v>2906</v>
      </c>
      <c r="I620" s="20">
        <v>331</v>
      </c>
      <c r="J620" s="20">
        <v>1111</v>
      </c>
      <c r="K620" s="20" t="s">
        <v>20</v>
      </c>
      <c r="L620" s="20">
        <v>1</v>
      </c>
      <c r="M620" s="34">
        <v>420120</v>
      </c>
      <c r="N620" s="34">
        <f t="shared" si="39"/>
        <v>420120</v>
      </c>
      <c r="P620" s="20">
        <f t="shared" si="40"/>
        <v>131</v>
      </c>
    </row>
    <row r="621" spans="1:16" ht="15" hidden="1" customHeight="1" x14ac:dyDescent="0.2">
      <c r="A621" s="20" t="s">
        <v>18</v>
      </c>
      <c r="B621" s="61">
        <v>46080</v>
      </c>
      <c r="C621" s="20">
        <f t="shared" si="41"/>
        <v>1589</v>
      </c>
      <c r="D621" s="38">
        <f t="shared" si="42"/>
        <v>1</v>
      </c>
      <c r="G621" s="32" t="s">
        <v>89</v>
      </c>
      <c r="H621" s="20" t="s">
        <v>1402</v>
      </c>
      <c r="I621" s="20">
        <v>64277</v>
      </c>
      <c r="J621" s="20">
        <v>331</v>
      </c>
      <c r="K621" s="20" t="s">
        <v>20</v>
      </c>
      <c r="L621" s="20">
        <v>1</v>
      </c>
      <c r="M621" s="34">
        <v>87963</v>
      </c>
      <c r="N621" s="34">
        <f t="shared" si="39"/>
        <v>87963</v>
      </c>
      <c r="P621" s="20">
        <f t="shared" si="40"/>
        <v>73</v>
      </c>
    </row>
    <row r="622" spans="1:16" ht="15" hidden="1" customHeight="1" x14ac:dyDescent="0.2">
      <c r="A622" s="20" t="s">
        <v>18</v>
      </c>
      <c r="B622" s="61">
        <v>46080</v>
      </c>
      <c r="C622" s="20">
        <f t="shared" si="41"/>
        <v>1589</v>
      </c>
      <c r="D622" s="38">
        <f t="shared" si="42"/>
        <v>0</v>
      </c>
      <c r="G622" s="32" t="s">
        <v>89</v>
      </c>
      <c r="H622" s="20" t="s">
        <v>1402</v>
      </c>
      <c r="I622" s="20">
        <v>1331</v>
      </c>
      <c r="J622" s="20">
        <v>331</v>
      </c>
      <c r="K622" s="20" t="s">
        <v>20</v>
      </c>
      <c r="L622" s="20">
        <v>1</v>
      </c>
      <c r="M622" s="34">
        <v>7037</v>
      </c>
      <c r="N622" s="34">
        <f t="shared" si="39"/>
        <v>7037</v>
      </c>
      <c r="P622" s="20">
        <f t="shared" si="40"/>
        <v>73</v>
      </c>
    </row>
    <row r="623" spans="1:16" ht="15" hidden="1" customHeight="1" x14ac:dyDescent="0.2">
      <c r="A623" s="20" t="s">
        <v>310</v>
      </c>
      <c r="B623" s="61">
        <v>46080</v>
      </c>
      <c r="C623" s="20">
        <f t="shared" si="41"/>
        <v>1590</v>
      </c>
      <c r="D623" s="38">
        <f t="shared" si="42"/>
        <v>1</v>
      </c>
      <c r="G623" s="32" t="s">
        <v>89</v>
      </c>
      <c r="H623" s="20" t="s">
        <v>2907</v>
      </c>
      <c r="I623" s="20">
        <v>331</v>
      </c>
      <c r="J623" s="20">
        <v>1111</v>
      </c>
      <c r="K623" s="20" t="s">
        <v>20</v>
      </c>
      <c r="L623" s="20">
        <v>1</v>
      </c>
      <c r="M623" s="34">
        <v>95000</v>
      </c>
      <c r="N623" s="34">
        <f t="shared" si="39"/>
        <v>95000</v>
      </c>
      <c r="P623" s="20">
        <f t="shared" si="40"/>
        <v>84</v>
      </c>
    </row>
    <row r="624" spans="1:16" ht="15" hidden="1" customHeight="1" x14ac:dyDescent="0.2">
      <c r="A624" s="20" t="s">
        <v>18</v>
      </c>
      <c r="B624" s="61">
        <v>46080</v>
      </c>
      <c r="C624" s="20">
        <f t="shared" si="41"/>
        <v>1591</v>
      </c>
      <c r="D624" s="38">
        <f t="shared" si="42"/>
        <v>1</v>
      </c>
      <c r="G624" s="32" t="s">
        <v>89</v>
      </c>
      <c r="H624" s="20" t="s">
        <v>1403</v>
      </c>
      <c r="I624" s="20">
        <v>64277</v>
      </c>
      <c r="J624" s="20">
        <v>331</v>
      </c>
      <c r="K624" s="20" t="s">
        <v>20</v>
      </c>
      <c r="L624" s="20">
        <v>1</v>
      </c>
      <c r="M624" s="34">
        <v>165741</v>
      </c>
      <c r="N624" s="34">
        <f t="shared" si="39"/>
        <v>165741</v>
      </c>
      <c r="P624" s="20">
        <f t="shared" si="40"/>
        <v>73</v>
      </c>
    </row>
    <row r="625" spans="1:16" ht="15" hidden="1" customHeight="1" x14ac:dyDescent="0.2">
      <c r="A625" s="20" t="s">
        <v>18</v>
      </c>
      <c r="B625" s="61">
        <v>46080</v>
      </c>
      <c r="C625" s="20">
        <f t="shared" si="41"/>
        <v>1591</v>
      </c>
      <c r="D625" s="38">
        <f t="shared" si="42"/>
        <v>0</v>
      </c>
      <c r="G625" s="32" t="s">
        <v>89</v>
      </c>
      <c r="H625" s="20" t="s">
        <v>1403</v>
      </c>
      <c r="I625" s="20">
        <v>1331</v>
      </c>
      <c r="J625" s="20">
        <v>331</v>
      </c>
      <c r="K625" s="20" t="s">
        <v>20</v>
      </c>
      <c r="L625" s="20">
        <v>1</v>
      </c>
      <c r="M625" s="34">
        <v>13259</v>
      </c>
      <c r="N625" s="34">
        <f t="shared" si="39"/>
        <v>13259</v>
      </c>
      <c r="P625" s="20">
        <f t="shared" si="40"/>
        <v>73</v>
      </c>
    </row>
    <row r="626" spans="1:16" ht="15" hidden="1" customHeight="1" x14ac:dyDescent="0.2">
      <c r="A626" s="20" t="s">
        <v>310</v>
      </c>
      <c r="B626" s="61">
        <v>46080</v>
      </c>
      <c r="C626" s="20">
        <f t="shared" si="41"/>
        <v>1592</v>
      </c>
      <c r="D626" s="38">
        <f t="shared" si="42"/>
        <v>1</v>
      </c>
      <c r="G626" s="32" t="s">
        <v>89</v>
      </c>
      <c r="H626" s="20" t="s">
        <v>2908</v>
      </c>
      <c r="I626" s="20">
        <v>331</v>
      </c>
      <c r="J626" s="20">
        <v>1111</v>
      </c>
      <c r="K626" s="20" t="s">
        <v>20</v>
      </c>
      <c r="L626" s="20">
        <v>1</v>
      </c>
      <c r="M626" s="34">
        <v>179000</v>
      </c>
      <c r="N626" s="34">
        <f t="shared" si="39"/>
        <v>179000</v>
      </c>
      <c r="P626" s="20">
        <f t="shared" si="40"/>
        <v>84</v>
      </c>
    </row>
    <row r="627" spans="1:16" ht="15" hidden="1" customHeight="1" x14ac:dyDescent="0.2">
      <c r="A627" s="20" t="s">
        <v>18</v>
      </c>
      <c r="B627" s="61">
        <v>46081</v>
      </c>
      <c r="C627" s="20">
        <f t="shared" si="41"/>
        <v>1593</v>
      </c>
      <c r="D627" s="38">
        <f t="shared" si="42"/>
        <v>1</v>
      </c>
      <c r="G627" s="32" t="s">
        <v>89</v>
      </c>
      <c r="H627" s="20" t="s">
        <v>1404</v>
      </c>
      <c r="I627" s="20">
        <v>64277</v>
      </c>
      <c r="J627" s="20">
        <v>331</v>
      </c>
      <c r="K627" s="20" t="s">
        <v>20</v>
      </c>
      <c r="L627" s="20">
        <v>1</v>
      </c>
      <c r="M627" s="34">
        <v>74074</v>
      </c>
      <c r="N627" s="34">
        <f t="shared" si="39"/>
        <v>74074</v>
      </c>
      <c r="P627" s="20">
        <f t="shared" si="40"/>
        <v>73</v>
      </c>
    </row>
    <row r="628" spans="1:16" ht="15" hidden="1" customHeight="1" x14ac:dyDescent="0.2">
      <c r="A628" s="20" t="s">
        <v>18</v>
      </c>
      <c r="B628" s="61">
        <v>46081</v>
      </c>
      <c r="C628" s="20">
        <f t="shared" si="41"/>
        <v>1593</v>
      </c>
      <c r="D628" s="38">
        <f t="shared" si="42"/>
        <v>0</v>
      </c>
      <c r="G628" s="32" t="s">
        <v>89</v>
      </c>
      <c r="H628" s="20" t="s">
        <v>1404</v>
      </c>
      <c r="I628" s="20">
        <v>1331</v>
      </c>
      <c r="J628" s="20">
        <v>331</v>
      </c>
      <c r="K628" s="20" t="s">
        <v>20</v>
      </c>
      <c r="L628" s="20">
        <v>1</v>
      </c>
      <c r="M628" s="34">
        <v>5926</v>
      </c>
      <c r="N628" s="34">
        <f t="shared" si="39"/>
        <v>5926</v>
      </c>
      <c r="P628" s="20">
        <f t="shared" si="40"/>
        <v>73</v>
      </c>
    </row>
    <row r="629" spans="1:16" ht="15" hidden="1" customHeight="1" x14ac:dyDescent="0.2">
      <c r="A629" s="20" t="s">
        <v>310</v>
      </c>
      <c r="B629" s="61">
        <v>46081</v>
      </c>
      <c r="C629" s="20">
        <f t="shared" si="41"/>
        <v>1594</v>
      </c>
      <c r="D629" s="38">
        <f t="shared" si="42"/>
        <v>1</v>
      </c>
      <c r="G629" s="32" t="s">
        <v>89</v>
      </c>
      <c r="H629" s="20" t="s">
        <v>2909</v>
      </c>
      <c r="I629" s="20">
        <v>331</v>
      </c>
      <c r="J629" s="20">
        <v>1111</v>
      </c>
      <c r="K629" s="20" t="s">
        <v>20</v>
      </c>
      <c r="L629" s="20">
        <v>1</v>
      </c>
      <c r="M629" s="34">
        <v>80000</v>
      </c>
      <c r="N629" s="34">
        <f t="shared" si="39"/>
        <v>80000</v>
      </c>
      <c r="P629" s="20">
        <f t="shared" si="40"/>
        <v>84</v>
      </c>
    </row>
    <row r="630" spans="1:16" ht="15" hidden="1" customHeight="1" x14ac:dyDescent="0.2">
      <c r="A630" s="20" t="s">
        <v>18</v>
      </c>
      <c r="B630" s="61">
        <v>46081</v>
      </c>
      <c r="C630" s="20">
        <f t="shared" si="41"/>
        <v>1595</v>
      </c>
      <c r="D630" s="38">
        <f t="shared" si="42"/>
        <v>1</v>
      </c>
      <c r="G630" s="32" t="s">
        <v>89</v>
      </c>
      <c r="H630" s="20" t="s">
        <v>1405</v>
      </c>
      <c r="I630" s="20">
        <v>64277</v>
      </c>
      <c r="J630" s="20">
        <v>331</v>
      </c>
      <c r="K630" s="20" t="s">
        <v>20</v>
      </c>
      <c r="L630" s="20">
        <v>1</v>
      </c>
      <c r="M630" s="34">
        <v>34259</v>
      </c>
      <c r="N630" s="34">
        <f t="shared" si="39"/>
        <v>34259</v>
      </c>
      <c r="P630" s="20">
        <f t="shared" si="40"/>
        <v>73</v>
      </c>
    </row>
    <row r="631" spans="1:16" ht="15" hidden="1" customHeight="1" x14ac:dyDescent="0.2">
      <c r="A631" s="20" t="s">
        <v>18</v>
      </c>
      <c r="B631" s="61">
        <v>46081</v>
      </c>
      <c r="C631" s="20">
        <f t="shared" si="41"/>
        <v>1595</v>
      </c>
      <c r="D631" s="38">
        <f t="shared" si="42"/>
        <v>0</v>
      </c>
      <c r="G631" s="32" t="s">
        <v>89</v>
      </c>
      <c r="H631" s="20" t="s">
        <v>1405</v>
      </c>
      <c r="I631" s="20">
        <v>1331</v>
      </c>
      <c r="J631" s="20">
        <v>331</v>
      </c>
      <c r="K631" s="20" t="s">
        <v>20</v>
      </c>
      <c r="L631" s="20">
        <v>1</v>
      </c>
      <c r="M631" s="34">
        <v>2741</v>
      </c>
      <c r="N631" s="34">
        <f t="shared" si="39"/>
        <v>2741</v>
      </c>
      <c r="P631" s="20">
        <f t="shared" si="40"/>
        <v>73</v>
      </c>
    </row>
    <row r="632" spans="1:16" ht="15" hidden="1" customHeight="1" x14ac:dyDescent="0.2">
      <c r="A632" s="20" t="s">
        <v>310</v>
      </c>
      <c r="B632" s="61">
        <v>46081</v>
      </c>
      <c r="C632" s="20">
        <f t="shared" si="41"/>
        <v>1596</v>
      </c>
      <c r="D632" s="38">
        <f t="shared" si="42"/>
        <v>1</v>
      </c>
      <c r="G632" s="32" t="s">
        <v>89</v>
      </c>
      <c r="H632" s="20" t="s">
        <v>2910</v>
      </c>
      <c r="I632" s="20">
        <v>331</v>
      </c>
      <c r="J632" s="20">
        <v>1111</v>
      </c>
      <c r="K632" s="20" t="s">
        <v>20</v>
      </c>
      <c r="L632" s="20">
        <v>1</v>
      </c>
      <c r="M632" s="34">
        <v>37000</v>
      </c>
      <c r="N632" s="34">
        <f t="shared" si="39"/>
        <v>37000</v>
      </c>
      <c r="P632" s="20">
        <f t="shared" si="40"/>
        <v>84</v>
      </c>
    </row>
    <row r="633" spans="1:16" ht="15" hidden="1" customHeight="1" x14ac:dyDescent="0.2">
      <c r="A633" s="20" t="s">
        <v>18</v>
      </c>
      <c r="B633" s="61">
        <v>46081</v>
      </c>
      <c r="C633" s="20">
        <f t="shared" si="41"/>
        <v>1597</v>
      </c>
      <c r="D633" s="38">
        <f t="shared" si="42"/>
        <v>1</v>
      </c>
      <c r="G633" s="32" t="s">
        <v>89</v>
      </c>
      <c r="H633" s="20" t="s">
        <v>1406</v>
      </c>
      <c r="I633" s="20">
        <v>64277</v>
      </c>
      <c r="J633" s="20">
        <v>331</v>
      </c>
      <c r="K633" s="20" t="s">
        <v>20</v>
      </c>
      <c r="L633" s="20">
        <v>1</v>
      </c>
      <c r="M633" s="34">
        <v>16667</v>
      </c>
      <c r="N633" s="34">
        <f t="shared" si="39"/>
        <v>16667</v>
      </c>
      <c r="P633" s="20">
        <f t="shared" si="40"/>
        <v>73</v>
      </c>
    </row>
    <row r="634" spans="1:16" ht="15" hidden="1" customHeight="1" x14ac:dyDescent="0.2">
      <c r="A634" s="20" t="s">
        <v>18</v>
      </c>
      <c r="B634" s="61">
        <v>46081</v>
      </c>
      <c r="C634" s="20">
        <f t="shared" si="41"/>
        <v>1597</v>
      </c>
      <c r="D634" s="38">
        <f t="shared" si="42"/>
        <v>0</v>
      </c>
      <c r="G634" s="32" t="s">
        <v>89</v>
      </c>
      <c r="H634" s="20" t="s">
        <v>1406</v>
      </c>
      <c r="I634" s="20">
        <v>1331</v>
      </c>
      <c r="J634" s="20">
        <v>331</v>
      </c>
      <c r="K634" s="20" t="s">
        <v>20</v>
      </c>
      <c r="L634" s="20">
        <v>1</v>
      </c>
      <c r="M634" s="34">
        <v>1333</v>
      </c>
      <c r="N634" s="34">
        <f t="shared" si="39"/>
        <v>1333</v>
      </c>
      <c r="P634" s="20">
        <f t="shared" si="40"/>
        <v>73</v>
      </c>
    </row>
    <row r="635" spans="1:16" ht="15" hidden="1" customHeight="1" x14ac:dyDescent="0.2">
      <c r="A635" s="20" t="s">
        <v>310</v>
      </c>
      <c r="B635" s="61">
        <v>46081</v>
      </c>
      <c r="C635" s="20">
        <f t="shared" si="41"/>
        <v>1598</v>
      </c>
      <c r="D635" s="38">
        <f t="shared" si="42"/>
        <v>1</v>
      </c>
      <c r="G635" s="32" t="s">
        <v>89</v>
      </c>
      <c r="H635" s="20" t="s">
        <v>2911</v>
      </c>
      <c r="I635" s="20">
        <v>331</v>
      </c>
      <c r="J635" s="20">
        <v>1111</v>
      </c>
      <c r="K635" s="20" t="s">
        <v>20</v>
      </c>
      <c r="L635" s="20">
        <v>1</v>
      </c>
      <c r="M635" s="34">
        <v>18000</v>
      </c>
      <c r="N635" s="34">
        <f t="shared" si="39"/>
        <v>18000</v>
      </c>
      <c r="P635" s="20">
        <f t="shared" si="40"/>
        <v>84</v>
      </c>
    </row>
    <row r="636" spans="1:16" ht="15" hidden="1" customHeight="1" x14ac:dyDescent="0.2">
      <c r="A636" s="20" t="s">
        <v>18</v>
      </c>
      <c r="B636" s="61">
        <v>46081</v>
      </c>
      <c r="C636" s="20">
        <f t="shared" si="41"/>
        <v>1599</v>
      </c>
      <c r="D636" s="38">
        <f t="shared" si="42"/>
        <v>1</v>
      </c>
      <c r="G636" s="32" t="s">
        <v>89</v>
      </c>
      <c r="H636" s="20" t="s">
        <v>1407</v>
      </c>
      <c r="I636" s="20">
        <v>64277</v>
      </c>
      <c r="J636" s="20">
        <v>331</v>
      </c>
      <c r="K636" s="20" t="s">
        <v>20</v>
      </c>
      <c r="L636" s="20">
        <v>1</v>
      </c>
      <c r="M636" s="34">
        <v>25926</v>
      </c>
      <c r="N636" s="34">
        <f t="shared" si="39"/>
        <v>25926</v>
      </c>
      <c r="P636" s="20">
        <f t="shared" si="40"/>
        <v>73</v>
      </c>
    </row>
    <row r="637" spans="1:16" ht="15" hidden="1" customHeight="1" x14ac:dyDescent="0.2">
      <c r="A637" s="20" t="s">
        <v>18</v>
      </c>
      <c r="B637" s="61">
        <v>46081</v>
      </c>
      <c r="C637" s="20">
        <f t="shared" si="41"/>
        <v>1599</v>
      </c>
      <c r="D637" s="38">
        <f t="shared" si="42"/>
        <v>0</v>
      </c>
      <c r="G637" s="32" t="s">
        <v>89</v>
      </c>
      <c r="H637" s="20" t="s">
        <v>1407</v>
      </c>
      <c r="I637" s="20">
        <v>1331</v>
      </c>
      <c r="J637" s="20">
        <v>331</v>
      </c>
      <c r="K637" s="20" t="s">
        <v>20</v>
      </c>
      <c r="L637" s="20">
        <v>1</v>
      </c>
      <c r="M637" s="34">
        <v>2074</v>
      </c>
      <c r="N637" s="34">
        <f t="shared" si="39"/>
        <v>2074</v>
      </c>
      <c r="P637" s="20">
        <f t="shared" si="40"/>
        <v>73</v>
      </c>
    </row>
    <row r="638" spans="1:16" ht="15" hidden="1" customHeight="1" x14ac:dyDescent="0.2">
      <c r="A638" s="20" t="s">
        <v>310</v>
      </c>
      <c r="B638" s="61">
        <v>46081</v>
      </c>
      <c r="C638" s="20">
        <f t="shared" si="41"/>
        <v>1600</v>
      </c>
      <c r="D638" s="38">
        <f t="shared" si="42"/>
        <v>1</v>
      </c>
      <c r="G638" s="32" t="s">
        <v>89</v>
      </c>
      <c r="H638" s="20" t="s">
        <v>2912</v>
      </c>
      <c r="I638" s="20">
        <v>331</v>
      </c>
      <c r="J638" s="20">
        <v>1111</v>
      </c>
      <c r="K638" s="20" t="s">
        <v>20</v>
      </c>
      <c r="L638" s="20">
        <v>1</v>
      </c>
      <c r="M638" s="34">
        <v>28000</v>
      </c>
      <c r="N638" s="34">
        <f t="shared" si="39"/>
        <v>28000</v>
      </c>
      <c r="P638" s="20">
        <f t="shared" si="40"/>
        <v>84</v>
      </c>
    </row>
    <row r="639" spans="1:16" ht="15" hidden="1" customHeight="1" x14ac:dyDescent="0.2">
      <c r="A639" s="20" t="s">
        <v>18</v>
      </c>
      <c r="B639" s="61">
        <v>46081</v>
      </c>
      <c r="C639" s="20">
        <f t="shared" si="41"/>
        <v>1601</v>
      </c>
      <c r="D639" s="38">
        <f t="shared" si="42"/>
        <v>1</v>
      </c>
      <c r="G639" s="32" t="s">
        <v>89</v>
      </c>
      <c r="H639" s="20" t="s">
        <v>1408</v>
      </c>
      <c r="I639" s="20">
        <v>64277</v>
      </c>
      <c r="J639" s="20">
        <v>331</v>
      </c>
      <c r="K639" s="20" t="s">
        <v>20</v>
      </c>
      <c r="L639" s="20">
        <v>1</v>
      </c>
      <c r="M639" s="34">
        <v>26852</v>
      </c>
      <c r="N639" s="34">
        <f t="shared" si="39"/>
        <v>26852</v>
      </c>
      <c r="P639" s="20">
        <f t="shared" si="40"/>
        <v>73</v>
      </c>
    </row>
    <row r="640" spans="1:16" ht="15" hidden="1" customHeight="1" x14ac:dyDescent="0.2">
      <c r="A640" s="20" t="s">
        <v>18</v>
      </c>
      <c r="B640" s="61">
        <v>46081</v>
      </c>
      <c r="C640" s="20">
        <f t="shared" si="41"/>
        <v>1601</v>
      </c>
      <c r="D640" s="38">
        <f t="shared" si="42"/>
        <v>0</v>
      </c>
      <c r="G640" s="32" t="s">
        <v>89</v>
      </c>
      <c r="H640" s="20" t="s">
        <v>1408</v>
      </c>
      <c r="I640" s="20">
        <v>1331</v>
      </c>
      <c r="J640" s="20">
        <v>331</v>
      </c>
      <c r="K640" s="20" t="s">
        <v>20</v>
      </c>
      <c r="L640" s="20">
        <v>1</v>
      </c>
      <c r="M640" s="34">
        <v>2148</v>
      </c>
      <c r="N640" s="34">
        <f t="shared" si="39"/>
        <v>2148</v>
      </c>
      <c r="P640" s="20">
        <f t="shared" si="40"/>
        <v>73</v>
      </c>
    </row>
    <row r="641" spans="1:16" ht="15" hidden="1" customHeight="1" x14ac:dyDescent="0.2">
      <c r="A641" s="20" t="s">
        <v>310</v>
      </c>
      <c r="B641" s="61">
        <v>46081</v>
      </c>
      <c r="C641" s="20">
        <f t="shared" si="41"/>
        <v>1602</v>
      </c>
      <c r="D641" s="38">
        <f t="shared" si="42"/>
        <v>1</v>
      </c>
      <c r="G641" s="32" t="s">
        <v>89</v>
      </c>
      <c r="H641" s="20" t="s">
        <v>2913</v>
      </c>
      <c r="I641" s="20">
        <v>331</v>
      </c>
      <c r="J641" s="20">
        <v>1111</v>
      </c>
      <c r="K641" s="20" t="s">
        <v>20</v>
      </c>
      <c r="L641" s="20">
        <v>1</v>
      </c>
      <c r="M641" s="34">
        <v>29000</v>
      </c>
      <c r="N641" s="34">
        <f t="shared" si="39"/>
        <v>29000</v>
      </c>
      <c r="P641" s="20">
        <f t="shared" si="40"/>
        <v>84</v>
      </c>
    </row>
    <row r="642" spans="1:16" ht="15" hidden="1" customHeight="1" x14ac:dyDescent="0.2">
      <c r="A642" s="20" t="s">
        <v>18</v>
      </c>
      <c r="B642" s="61">
        <v>46082</v>
      </c>
      <c r="C642" s="20">
        <f t="shared" si="41"/>
        <v>1603</v>
      </c>
      <c r="D642" s="38">
        <f t="shared" si="42"/>
        <v>1</v>
      </c>
      <c r="G642" s="32" t="s">
        <v>89</v>
      </c>
      <c r="H642" s="20" t="s">
        <v>1409</v>
      </c>
      <c r="I642" s="20">
        <v>64277</v>
      </c>
      <c r="J642" s="20">
        <v>331</v>
      </c>
      <c r="K642" s="20" t="s">
        <v>20</v>
      </c>
      <c r="L642" s="20">
        <v>1</v>
      </c>
      <c r="M642" s="34">
        <v>25926</v>
      </c>
      <c r="N642" s="34">
        <f t="shared" ref="N642:N705" si="43">L642*M642</f>
        <v>25926</v>
      </c>
      <c r="P642" s="20">
        <f t="shared" si="40"/>
        <v>73</v>
      </c>
    </row>
    <row r="643" spans="1:16" ht="15" hidden="1" customHeight="1" x14ac:dyDescent="0.2">
      <c r="A643" s="20" t="s">
        <v>18</v>
      </c>
      <c r="B643" s="61">
        <v>46082</v>
      </c>
      <c r="C643" s="20">
        <f t="shared" si="41"/>
        <v>1603</v>
      </c>
      <c r="D643" s="38">
        <f t="shared" si="42"/>
        <v>0</v>
      </c>
      <c r="G643" s="32" t="s">
        <v>89</v>
      </c>
      <c r="H643" s="20" t="s">
        <v>1409</v>
      </c>
      <c r="I643" s="20">
        <v>1331</v>
      </c>
      <c r="J643" s="20">
        <v>331</v>
      </c>
      <c r="K643" s="20" t="s">
        <v>20</v>
      </c>
      <c r="L643" s="20">
        <v>1</v>
      </c>
      <c r="M643" s="34">
        <v>2074</v>
      </c>
      <c r="N643" s="34">
        <f t="shared" si="43"/>
        <v>2074</v>
      </c>
      <c r="P643" s="20">
        <f t="shared" si="40"/>
        <v>73</v>
      </c>
    </row>
    <row r="644" spans="1:16" ht="15" hidden="1" customHeight="1" x14ac:dyDescent="0.2">
      <c r="A644" s="20" t="s">
        <v>310</v>
      </c>
      <c r="B644" s="61">
        <v>46082</v>
      </c>
      <c r="C644" s="20">
        <f t="shared" si="41"/>
        <v>1604</v>
      </c>
      <c r="D644" s="38">
        <f t="shared" si="42"/>
        <v>1</v>
      </c>
      <c r="G644" s="32" t="s">
        <v>89</v>
      </c>
      <c r="H644" s="20" t="s">
        <v>2914</v>
      </c>
      <c r="I644" s="20">
        <v>331</v>
      </c>
      <c r="J644" s="20">
        <v>1111</v>
      </c>
      <c r="K644" s="20" t="s">
        <v>20</v>
      </c>
      <c r="L644" s="20">
        <v>1</v>
      </c>
      <c r="M644" s="34">
        <v>28000</v>
      </c>
      <c r="N644" s="34">
        <f t="shared" si="43"/>
        <v>28000</v>
      </c>
      <c r="P644" s="20">
        <f t="shared" ref="P644:P707" si="44">LEN(H644)</f>
        <v>84</v>
      </c>
    </row>
    <row r="645" spans="1:16" ht="15" hidden="1" customHeight="1" x14ac:dyDescent="0.2">
      <c r="A645" s="20" t="s">
        <v>18</v>
      </c>
      <c r="B645" s="61">
        <v>46082</v>
      </c>
      <c r="C645" s="20">
        <f t="shared" si="41"/>
        <v>1605</v>
      </c>
      <c r="D645" s="38">
        <f t="shared" si="42"/>
        <v>1</v>
      </c>
      <c r="G645" s="32" t="s">
        <v>89</v>
      </c>
      <c r="H645" s="20" t="s">
        <v>1410</v>
      </c>
      <c r="I645" s="20">
        <v>64277</v>
      </c>
      <c r="J645" s="20">
        <v>331</v>
      </c>
      <c r="K645" s="20" t="s">
        <v>20</v>
      </c>
      <c r="L645" s="20">
        <v>1</v>
      </c>
      <c r="M645" s="34">
        <v>50926</v>
      </c>
      <c r="N645" s="34">
        <f t="shared" si="43"/>
        <v>50926</v>
      </c>
      <c r="P645" s="20">
        <f t="shared" si="44"/>
        <v>73</v>
      </c>
    </row>
    <row r="646" spans="1:16" ht="15" hidden="1" customHeight="1" x14ac:dyDescent="0.2">
      <c r="A646" s="20" t="s">
        <v>18</v>
      </c>
      <c r="B646" s="61">
        <v>46082</v>
      </c>
      <c r="C646" s="20">
        <f t="shared" ref="C646:C709" si="45">C645+D646</f>
        <v>1605</v>
      </c>
      <c r="D646" s="38">
        <f t="shared" ref="D646:D709" si="46">IF(H646=H645,0,1)</f>
        <v>0</v>
      </c>
      <c r="G646" s="32" t="s">
        <v>89</v>
      </c>
      <c r="H646" s="20" t="s">
        <v>1410</v>
      </c>
      <c r="I646" s="20">
        <v>1331</v>
      </c>
      <c r="J646" s="20">
        <v>331</v>
      </c>
      <c r="K646" s="20" t="s">
        <v>20</v>
      </c>
      <c r="L646" s="20">
        <v>1</v>
      </c>
      <c r="M646" s="34">
        <v>4074</v>
      </c>
      <c r="N646" s="34">
        <f t="shared" si="43"/>
        <v>4074</v>
      </c>
      <c r="P646" s="20">
        <f t="shared" si="44"/>
        <v>73</v>
      </c>
    </row>
    <row r="647" spans="1:16" ht="15" hidden="1" customHeight="1" x14ac:dyDescent="0.2">
      <c r="A647" s="20" t="s">
        <v>310</v>
      </c>
      <c r="B647" s="61">
        <v>46082</v>
      </c>
      <c r="C647" s="20">
        <f t="shared" si="45"/>
        <v>1606</v>
      </c>
      <c r="D647" s="38">
        <f t="shared" si="46"/>
        <v>1</v>
      </c>
      <c r="G647" s="32" t="s">
        <v>89</v>
      </c>
      <c r="H647" s="20" t="s">
        <v>2915</v>
      </c>
      <c r="I647" s="20">
        <v>331</v>
      </c>
      <c r="J647" s="20">
        <v>1111</v>
      </c>
      <c r="K647" s="20" t="s">
        <v>20</v>
      </c>
      <c r="L647" s="20">
        <v>1</v>
      </c>
      <c r="M647" s="34">
        <v>55000</v>
      </c>
      <c r="N647" s="34">
        <f t="shared" si="43"/>
        <v>55000</v>
      </c>
      <c r="P647" s="20">
        <f t="shared" si="44"/>
        <v>84</v>
      </c>
    </row>
    <row r="648" spans="1:16" ht="15" hidden="1" customHeight="1" x14ac:dyDescent="0.2">
      <c r="A648" s="20" t="s">
        <v>18</v>
      </c>
      <c r="B648" s="61">
        <v>46083</v>
      </c>
      <c r="C648" s="20">
        <f t="shared" si="45"/>
        <v>1607</v>
      </c>
      <c r="D648" s="38">
        <f t="shared" si="46"/>
        <v>1</v>
      </c>
      <c r="G648" s="32" t="s">
        <v>89</v>
      </c>
      <c r="H648" s="20" t="s">
        <v>1411</v>
      </c>
      <c r="I648" s="20">
        <v>64277</v>
      </c>
      <c r="J648" s="20">
        <v>331</v>
      </c>
      <c r="K648" s="20" t="s">
        <v>20</v>
      </c>
      <c r="L648" s="20">
        <v>1</v>
      </c>
      <c r="M648" s="34">
        <v>20371</v>
      </c>
      <c r="N648" s="34">
        <f t="shared" si="43"/>
        <v>20371</v>
      </c>
      <c r="P648" s="20">
        <f t="shared" si="44"/>
        <v>73</v>
      </c>
    </row>
    <row r="649" spans="1:16" ht="15" hidden="1" customHeight="1" x14ac:dyDescent="0.2">
      <c r="A649" s="20" t="s">
        <v>18</v>
      </c>
      <c r="B649" s="61">
        <v>46083</v>
      </c>
      <c r="C649" s="20">
        <f t="shared" si="45"/>
        <v>1607</v>
      </c>
      <c r="D649" s="38">
        <f t="shared" si="46"/>
        <v>0</v>
      </c>
      <c r="G649" s="32" t="s">
        <v>89</v>
      </c>
      <c r="H649" s="20" t="s">
        <v>1411</v>
      </c>
      <c r="I649" s="20">
        <v>1331</v>
      </c>
      <c r="J649" s="20">
        <v>331</v>
      </c>
      <c r="K649" s="20" t="s">
        <v>20</v>
      </c>
      <c r="L649" s="20">
        <v>1</v>
      </c>
      <c r="M649" s="34">
        <v>1629</v>
      </c>
      <c r="N649" s="34">
        <f t="shared" si="43"/>
        <v>1629</v>
      </c>
      <c r="P649" s="20">
        <f t="shared" si="44"/>
        <v>73</v>
      </c>
    </row>
    <row r="650" spans="1:16" ht="15" hidden="1" customHeight="1" x14ac:dyDescent="0.2">
      <c r="A650" s="20" t="s">
        <v>310</v>
      </c>
      <c r="B650" s="61">
        <v>46083</v>
      </c>
      <c r="C650" s="20">
        <f t="shared" si="45"/>
        <v>1608</v>
      </c>
      <c r="D650" s="38">
        <f t="shared" si="46"/>
        <v>1</v>
      </c>
      <c r="G650" s="32" t="s">
        <v>89</v>
      </c>
      <c r="H650" s="20" t="s">
        <v>2916</v>
      </c>
      <c r="I650" s="20">
        <v>331</v>
      </c>
      <c r="J650" s="20">
        <v>1111</v>
      </c>
      <c r="K650" s="20" t="s">
        <v>20</v>
      </c>
      <c r="L650" s="20">
        <v>1</v>
      </c>
      <c r="M650" s="34">
        <v>22000</v>
      </c>
      <c r="N650" s="34">
        <f t="shared" si="43"/>
        <v>22000</v>
      </c>
      <c r="P650" s="20">
        <f t="shared" si="44"/>
        <v>84</v>
      </c>
    </row>
    <row r="651" spans="1:16" ht="15" hidden="1" customHeight="1" x14ac:dyDescent="0.2">
      <c r="A651" s="20" t="s">
        <v>18</v>
      </c>
      <c r="B651" s="61">
        <v>46084</v>
      </c>
      <c r="C651" s="20">
        <f t="shared" si="45"/>
        <v>1609</v>
      </c>
      <c r="D651" s="38">
        <f t="shared" si="46"/>
        <v>1</v>
      </c>
      <c r="G651" s="32" t="s">
        <v>89</v>
      </c>
      <c r="H651" s="20" t="s">
        <v>1412</v>
      </c>
      <c r="I651" s="20">
        <v>64277</v>
      </c>
      <c r="J651" s="20">
        <v>331</v>
      </c>
      <c r="K651" s="20" t="s">
        <v>20</v>
      </c>
      <c r="L651" s="20">
        <v>1</v>
      </c>
      <c r="M651" s="34">
        <v>79630</v>
      </c>
      <c r="N651" s="34">
        <f t="shared" si="43"/>
        <v>79630</v>
      </c>
      <c r="P651" s="20">
        <f t="shared" si="44"/>
        <v>73</v>
      </c>
    </row>
    <row r="652" spans="1:16" ht="15" hidden="1" customHeight="1" x14ac:dyDescent="0.2">
      <c r="A652" s="20" t="s">
        <v>18</v>
      </c>
      <c r="B652" s="61">
        <v>46084</v>
      </c>
      <c r="C652" s="20">
        <f t="shared" si="45"/>
        <v>1609</v>
      </c>
      <c r="D652" s="38">
        <f t="shared" si="46"/>
        <v>0</v>
      </c>
      <c r="G652" s="32" t="s">
        <v>89</v>
      </c>
      <c r="H652" s="20" t="s">
        <v>1412</v>
      </c>
      <c r="I652" s="20">
        <v>1331</v>
      </c>
      <c r="J652" s="20">
        <v>331</v>
      </c>
      <c r="K652" s="20" t="s">
        <v>20</v>
      </c>
      <c r="L652" s="20">
        <v>1</v>
      </c>
      <c r="M652" s="34">
        <v>6370</v>
      </c>
      <c r="N652" s="34">
        <f t="shared" si="43"/>
        <v>6370</v>
      </c>
      <c r="P652" s="20">
        <f t="shared" si="44"/>
        <v>73</v>
      </c>
    </row>
    <row r="653" spans="1:16" ht="15" hidden="1" customHeight="1" x14ac:dyDescent="0.2">
      <c r="A653" s="20" t="s">
        <v>310</v>
      </c>
      <c r="B653" s="61">
        <v>46084</v>
      </c>
      <c r="C653" s="20">
        <f t="shared" si="45"/>
        <v>1610</v>
      </c>
      <c r="D653" s="38">
        <f t="shared" si="46"/>
        <v>1</v>
      </c>
      <c r="G653" s="32" t="s">
        <v>89</v>
      </c>
      <c r="H653" s="20" t="s">
        <v>2917</v>
      </c>
      <c r="I653" s="20">
        <v>331</v>
      </c>
      <c r="J653" s="20">
        <v>1111</v>
      </c>
      <c r="K653" s="20" t="s">
        <v>20</v>
      </c>
      <c r="L653" s="20">
        <v>1</v>
      </c>
      <c r="M653" s="34">
        <v>86000</v>
      </c>
      <c r="N653" s="34">
        <f t="shared" si="43"/>
        <v>86000</v>
      </c>
      <c r="P653" s="20">
        <f t="shared" si="44"/>
        <v>84</v>
      </c>
    </row>
    <row r="654" spans="1:16" ht="15" hidden="1" customHeight="1" x14ac:dyDescent="0.2">
      <c r="A654" s="20" t="s">
        <v>18</v>
      </c>
      <c r="B654" s="61">
        <v>46084</v>
      </c>
      <c r="C654" s="20">
        <f t="shared" si="45"/>
        <v>1611</v>
      </c>
      <c r="D654" s="38">
        <f t="shared" si="46"/>
        <v>1</v>
      </c>
      <c r="G654" s="32" t="s">
        <v>89</v>
      </c>
      <c r="H654" s="20" t="s">
        <v>1413</v>
      </c>
      <c r="I654" s="20">
        <v>64277</v>
      </c>
      <c r="J654" s="20">
        <v>331</v>
      </c>
      <c r="K654" s="20" t="s">
        <v>20</v>
      </c>
      <c r="L654" s="20">
        <v>1</v>
      </c>
      <c r="M654" s="34">
        <v>115741</v>
      </c>
      <c r="N654" s="34">
        <f t="shared" si="43"/>
        <v>115741</v>
      </c>
      <c r="P654" s="20">
        <f t="shared" si="44"/>
        <v>73</v>
      </c>
    </row>
    <row r="655" spans="1:16" ht="15" hidden="1" customHeight="1" x14ac:dyDescent="0.2">
      <c r="A655" s="20" t="s">
        <v>18</v>
      </c>
      <c r="B655" s="61">
        <v>46084</v>
      </c>
      <c r="C655" s="20">
        <f t="shared" si="45"/>
        <v>1611</v>
      </c>
      <c r="D655" s="38">
        <f t="shared" si="46"/>
        <v>0</v>
      </c>
      <c r="G655" s="32" t="s">
        <v>89</v>
      </c>
      <c r="H655" s="20" t="s">
        <v>1413</v>
      </c>
      <c r="I655" s="20">
        <v>1331</v>
      </c>
      <c r="J655" s="20">
        <v>331</v>
      </c>
      <c r="K655" s="20" t="s">
        <v>20</v>
      </c>
      <c r="L655" s="20">
        <v>1</v>
      </c>
      <c r="M655" s="34">
        <v>9259</v>
      </c>
      <c r="N655" s="34">
        <f t="shared" si="43"/>
        <v>9259</v>
      </c>
      <c r="P655" s="20">
        <f t="shared" si="44"/>
        <v>73</v>
      </c>
    </row>
    <row r="656" spans="1:16" ht="15" hidden="1" customHeight="1" x14ac:dyDescent="0.2">
      <c r="A656" s="20" t="s">
        <v>310</v>
      </c>
      <c r="B656" s="61">
        <v>46084</v>
      </c>
      <c r="C656" s="20">
        <f t="shared" si="45"/>
        <v>1612</v>
      </c>
      <c r="D656" s="38">
        <f t="shared" si="46"/>
        <v>1</v>
      </c>
      <c r="G656" s="32" t="s">
        <v>89</v>
      </c>
      <c r="H656" s="20" t="s">
        <v>2918</v>
      </c>
      <c r="I656" s="20">
        <v>331</v>
      </c>
      <c r="J656" s="20">
        <v>1111</v>
      </c>
      <c r="K656" s="20" t="s">
        <v>20</v>
      </c>
      <c r="L656" s="20">
        <v>1</v>
      </c>
      <c r="M656" s="34">
        <v>125000</v>
      </c>
      <c r="N656" s="34">
        <f t="shared" si="43"/>
        <v>125000</v>
      </c>
      <c r="P656" s="20">
        <f t="shared" si="44"/>
        <v>84</v>
      </c>
    </row>
    <row r="657" spans="1:16" ht="15" hidden="1" customHeight="1" x14ac:dyDescent="0.2">
      <c r="A657" s="20" t="s">
        <v>18</v>
      </c>
      <c r="B657" s="61">
        <v>46084</v>
      </c>
      <c r="C657" s="20">
        <f t="shared" si="45"/>
        <v>1613</v>
      </c>
      <c r="D657" s="38">
        <f t="shared" si="46"/>
        <v>1</v>
      </c>
      <c r="G657" s="32" t="s">
        <v>89</v>
      </c>
      <c r="H657" s="20" t="s">
        <v>1414</v>
      </c>
      <c r="I657" s="20">
        <v>64277</v>
      </c>
      <c r="J657" s="20">
        <v>331</v>
      </c>
      <c r="K657" s="20" t="s">
        <v>20</v>
      </c>
      <c r="L657" s="20">
        <v>1</v>
      </c>
      <c r="M657" s="34">
        <v>65741</v>
      </c>
      <c r="N657" s="34">
        <f t="shared" si="43"/>
        <v>65741</v>
      </c>
      <c r="P657" s="20">
        <f t="shared" si="44"/>
        <v>73</v>
      </c>
    </row>
    <row r="658" spans="1:16" ht="15" hidden="1" customHeight="1" x14ac:dyDescent="0.2">
      <c r="A658" s="20" t="s">
        <v>18</v>
      </c>
      <c r="B658" s="61">
        <v>46084</v>
      </c>
      <c r="C658" s="20">
        <f t="shared" si="45"/>
        <v>1613</v>
      </c>
      <c r="D658" s="38">
        <f t="shared" si="46"/>
        <v>0</v>
      </c>
      <c r="G658" s="32" t="s">
        <v>89</v>
      </c>
      <c r="H658" s="20" t="s">
        <v>1414</v>
      </c>
      <c r="I658" s="20">
        <v>1331</v>
      </c>
      <c r="J658" s="20">
        <v>331</v>
      </c>
      <c r="K658" s="20" t="s">
        <v>20</v>
      </c>
      <c r="L658" s="20">
        <v>1</v>
      </c>
      <c r="M658" s="34">
        <v>5259</v>
      </c>
      <c r="N658" s="34">
        <f t="shared" si="43"/>
        <v>5259</v>
      </c>
      <c r="P658" s="20">
        <f t="shared" si="44"/>
        <v>73</v>
      </c>
    </row>
    <row r="659" spans="1:16" ht="15" hidden="1" customHeight="1" x14ac:dyDescent="0.2">
      <c r="A659" s="20" t="s">
        <v>310</v>
      </c>
      <c r="B659" s="61">
        <v>46084</v>
      </c>
      <c r="C659" s="20">
        <f t="shared" si="45"/>
        <v>1614</v>
      </c>
      <c r="D659" s="38">
        <f t="shared" si="46"/>
        <v>1</v>
      </c>
      <c r="G659" s="32" t="s">
        <v>89</v>
      </c>
      <c r="H659" s="20" t="s">
        <v>2919</v>
      </c>
      <c r="I659" s="20">
        <v>331</v>
      </c>
      <c r="J659" s="20">
        <v>1111</v>
      </c>
      <c r="K659" s="20" t="s">
        <v>20</v>
      </c>
      <c r="L659" s="20">
        <v>1</v>
      </c>
      <c r="M659" s="34">
        <v>71000</v>
      </c>
      <c r="N659" s="34">
        <f t="shared" si="43"/>
        <v>71000</v>
      </c>
      <c r="P659" s="20">
        <f t="shared" si="44"/>
        <v>84</v>
      </c>
    </row>
    <row r="660" spans="1:16" ht="15" hidden="1" customHeight="1" x14ac:dyDescent="0.2">
      <c r="A660" s="20" t="s">
        <v>18</v>
      </c>
      <c r="B660" s="61">
        <v>46085</v>
      </c>
      <c r="C660" s="20">
        <f t="shared" si="45"/>
        <v>1615</v>
      </c>
      <c r="D660" s="38">
        <f t="shared" si="46"/>
        <v>1</v>
      </c>
      <c r="G660" s="32" t="s">
        <v>35</v>
      </c>
      <c r="H660" s="20" t="s">
        <v>1415</v>
      </c>
      <c r="I660" s="20">
        <v>64277</v>
      </c>
      <c r="J660" s="20">
        <v>331</v>
      </c>
      <c r="K660" s="20" t="s">
        <v>20</v>
      </c>
      <c r="L660" s="20">
        <v>1</v>
      </c>
      <c r="M660" s="34">
        <v>3000000</v>
      </c>
      <c r="N660" s="34">
        <f t="shared" si="43"/>
        <v>3000000</v>
      </c>
      <c r="P660" s="20">
        <f t="shared" si="44"/>
        <v>41</v>
      </c>
    </row>
    <row r="661" spans="1:16" ht="15" hidden="1" customHeight="1" x14ac:dyDescent="0.2">
      <c r="A661" s="20" t="s">
        <v>18</v>
      </c>
      <c r="B661" s="61">
        <v>46085</v>
      </c>
      <c r="C661" s="20">
        <f t="shared" si="45"/>
        <v>1615</v>
      </c>
      <c r="D661" s="38">
        <f t="shared" si="46"/>
        <v>0</v>
      </c>
      <c r="G661" s="32" t="s">
        <v>35</v>
      </c>
      <c r="H661" s="20" t="s">
        <v>1415</v>
      </c>
      <c r="I661" s="20">
        <v>1331</v>
      </c>
      <c r="J661" s="20">
        <v>331</v>
      </c>
      <c r="K661" s="20" t="s">
        <v>20</v>
      </c>
      <c r="L661" s="20">
        <v>1</v>
      </c>
      <c r="M661" s="34">
        <v>240000</v>
      </c>
      <c r="N661" s="34">
        <f t="shared" si="43"/>
        <v>240000</v>
      </c>
      <c r="P661" s="20">
        <f t="shared" si="44"/>
        <v>41</v>
      </c>
    </row>
    <row r="662" spans="1:16" ht="15" hidden="1" customHeight="1" x14ac:dyDescent="0.2">
      <c r="A662" s="20" t="s">
        <v>310</v>
      </c>
      <c r="B662" s="61">
        <v>46085</v>
      </c>
      <c r="C662" s="20">
        <f t="shared" si="45"/>
        <v>1616</v>
      </c>
      <c r="D662" s="38">
        <f t="shared" si="46"/>
        <v>1</v>
      </c>
      <c r="G662" s="32" t="s">
        <v>35</v>
      </c>
      <c r="H662" s="20" t="s">
        <v>2920</v>
      </c>
      <c r="I662" s="20">
        <v>331</v>
      </c>
      <c r="J662" s="20">
        <v>1111</v>
      </c>
      <c r="K662" s="20" t="s">
        <v>20</v>
      </c>
      <c r="L662" s="20">
        <v>1</v>
      </c>
      <c r="M662" s="34">
        <v>3240000</v>
      </c>
      <c r="N662" s="34">
        <f t="shared" si="43"/>
        <v>3240000</v>
      </c>
      <c r="P662" s="20">
        <f t="shared" si="44"/>
        <v>52</v>
      </c>
    </row>
    <row r="663" spans="1:16" ht="15" hidden="1" customHeight="1" x14ac:dyDescent="0.2">
      <c r="A663" s="20" t="s">
        <v>18</v>
      </c>
      <c r="B663" s="61">
        <v>46085</v>
      </c>
      <c r="C663" s="20">
        <f t="shared" si="45"/>
        <v>1617</v>
      </c>
      <c r="D663" s="38">
        <f t="shared" si="46"/>
        <v>1</v>
      </c>
      <c r="G663" s="32" t="s">
        <v>89</v>
      </c>
      <c r="H663" s="20" t="s">
        <v>1416</v>
      </c>
      <c r="I663" s="20">
        <v>64277</v>
      </c>
      <c r="J663" s="20">
        <v>331</v>
      </c>
      <c r="K663" s="20" t="s">
        <v>20</v>
      </c>
      <c r="L663" s="20">
        <v>1</v>
      </c>
      <c r="M663" s="34">
        <v>104629</v>
      </c>
      <c r="N663" s="34">
        <f t="shared" si="43"/>
        <v>104629</v>
      </c>
      <c r="P663" s="20">
        <f t="shared" si="44"/>
        <v>73</v>
      </c>
    </row>
    <row r="664" spans="1:16" ht="15" hidden="1" customHeight="1" x14ac:dyDescent="0.2">
      <c r="A664" s="20" t="s">
        <v>18</v>
      </c>
      <c r="B664" s="61">
        <v>46085</v>
      </c>
      <c r="C664" s="20">
        <f t="shared" si="45"/>
        <v>1617</v>
      </c>
      <c r="D664" s="38">
        <f t="shared" si="46"/>
        <v>0</v>
      </c>
      <c r="G664" s="32" t="s">
        <v>89</v>
      </c>
      <c r="H664" s="20" t="s">
        <v>1416</v>
      </c>
      <c r="I664" s="20">
        <v>1331</v>
      </c>
      <c r="J664" s="20">
        <v>331</v>
      </c>
      <c r="K664" s="20" t="s">
        <v>20</v>
      </c>
      <c r="L664" s="20">
        <v>1</v>
      </c>
      <c r="M664" s="34">
        <v>8371</v>
      </c>
      <c r="N664" s="34">
        <f t="shared" si="43"/>
        <v>8371</v>
      </c>
      <c r="P664" s="20">
        <f t="shared" si="44"/>
        <v>73</v>
      </c>
    </row>
    <row r="665" spans="1:16" ht="15" hidden="1" customHeight="1" x14ac:dyDescent="0.2">
      <c r="A665" s="20" t="s">
        <v>310</v>
      </c>
      <c r="B665" s="61">
        <v>46085</v>
      </c>
      <c r="C665" s="20">
        <f t="shared" si="45"/>
        <v>1618</v>
      </c>
      <c r="D665" s="38">
        <f t="shared" si="46"/>
        <v>1</v>
      </c>
      <c r="G665" s="32" t="s">
        <v>89</v>
      </c>
      <c r="H665" s="20" t="s">
        <v>2921</v>
      </c>
      <c r="I665" s="20">
        <v>331</v>
      </c>
      <c r="J665" s="20">
        <v>1111</v>
      </c>
      <c r="K665" s="20" t="s">
        <v>20</v>
      </c>
      <c r="L665" s="20">
        <v>1</v>
      </c>
      <c r="M665" s="34">
        <v>113000</v>
      </c>
      <c r="N665" s="34">
        <f t="shared" si="43"/>
        <v>113000</v>
      </c>
      <c r="P665" s="20">
        <f t="shared" si="44"/>
        <v>84</v>
      </c>
    </row>
    <row r="666" spans="1:16" ht="15" hidden="1" customHeight="1" x14ac:dyDescent="0.2">
      <c r="A666" s="20" t="s">
        <v>18</v>
      </c>
      <c r="B666" s="61">
        <v>46085</v>
      </c>
      <c r="C666" s="20">
        <f t="shared" si="45"/>
        <v>1619</v>
      </c>
      <c r="D666" s="38">
        <f t="shared" si="46"/>
        <v>1</v>
      </c>
      <c r="G666" s="32" t="s">
        <v>89</v>
      </c>
      <c r="H666" s="20" t="s">
        <v>1417</v>
      </c>
      <c r="I666" s="20">
        <v>64277</v>
      </c>
      <c r="J666" s="20">
        <v>331</v>
      </c>
      <c r="K666" s="20" t="s">
        <v>20</v>
      </c>
      <c r="L666" s="20">
        <v>1</v>
      </c>
      <c r="M666" s="34">
        <v>132407</v>
      </c>
      <c r="N666" s="34">
        <f t="shared" si="43"/>
        <v>132407</v>
      </c>
      <c r="P666" s="20">
        <f t="shared" si="44"/>
        <v>73</v>
      </c>
    </row>
    <row r="667" spans="1:16" ht="15" hidden="1" customHeight="1" x14ac:dyDescent="0.2">
      <c r="A667" s="20" t="s">
        <v>18</v>
      </c>
      <c r="B667" s="61">
        <v>46085</v>
      </c>
      <c r="C667" s="20">
        <f t="shared" si="45"/>
        <v>1619</v>
      </c>
      <c r="D667" s="38">
        <f t="shared" si="46"/>
        <v>0</v>
      </c>
      <c r="G667" s="32" t="s">
        <v>89</v>
      </c>
      <c r="H667" s="20" t="s">
        <v>1417</v>
      </c>
      <c r="I667" s="20">
        <v>1331</v>
      </c>
      <c r="J667" s="20">
        <v>331</v>
      </c>
      <c r="K667" s="20" t="s">
        <v>20</v>
      </c>
      <c r="L667" s="20">
        <v>1</v>
      </c>
      <c r="M667" s="34">
        <v>10593</v>
      </c>
      <c r="N667" s="34">
        <f t="shared" si="43"/>
        <v>10593</v>
      </c>
      <c r="P667" s="20">
        <f t="shared" si="44"/>
        <v>73</v>
      </c>
    </row>
    <row r="668" spans="1:16" ht="15" hidden="1" customHeight="1" x14ac:dyDescent="0.2">
      <c r="A668" s="20" t="s">
        <v>310</v>
      </c>
      <c r="B668" s="61">
        <v>46085</v>
      </c>
      <c r="C668" s="20">
        <f t="shared" si="45"/>
        <v>1620</v>
      </c>
      <c r="D668" s="38">
        <f t="shared" si="46"/>
        <v>1</v>
      </c>
      <c r="G668" s="32" t="s">
        <v>89</v>
      </c>
      <c r="H668" s="20" t="s">
        <v>2922</v>
      </c>
      <c r="I668" s="20">
        <v>331</v>
      </c>
      <c r="J668" s="20">
        <v>1111</v>
      </c>
      <c r="K668" s="20" t="s">
        <v>20</v>
      </c>
      <c r="L668" s="20">
        <v>1</v>
      </c>
      <c r="M668" s="34">
        <v>143000</v>
      </c>
      <c r="N668" s="34">
        <f t="shared" si="43"/>
        <v>143000</v>
      </c>
      <c r="P668" s="20">
        <f t="shared" si="44"/>
        <v>84</v>
      </c>
    </row>
    <row r="669" spans="1:16" ht="15" hidden="1" customHeight="1" x14ac:dyDescent="0.2">
      <c r="A669" s="20" t="s">
        <v>18</v>
      </c>
      <c r="B669" s="61">
        <v>46085</v>
      </c>
      <c r="C669" s="20">
        <f t="shared" si="45"/>
        <v>1621</v>
      </c>
      <c r="D669" s="38">
        <f t="shared" si="46"/>
        <v>1</v>
      </c>
      <c r="G669" s="32" t="s">
        <v>28</v>
      </c>
      <c r="H669" s="20" t="s">
        <v>2696</v>
      </c>
      <c r="I669" s="20">
        <v>64277</v>
      </c>
      <c r="J669" s="20">
        <v>331</v>
      </c>
      <c r="K669" s="20" t="s">
        <v>20</v>
      </c>
      <c r="L669" s="20">
        <v>1</v>
      </c>
      <c r="M669" s="34">
        <v>1187000</v>
      </c>
      <c r="N669" s="34">
        <f t="shared" si="43"/>
        <v>1187000</v>
      </c>
      <c r="P669" s="20">
        <f t="shared" si="44"/>
        <v>41</v>
      </c>
    </row>
    <row r="670" spans="1:16" ht="15" hidden="1" customHeight="1" x14ac:dyDescent="0.2">
      <c r="A670" s="20" t="s">
        <v>18</v>
      </c>
      <c r="B670" s="61">
        <v>46085</v>
      </c>
      <c r="C670" s="20">
        <f t="shared" si="45"/>
        <v>1621</v>
      </c>
      <c r="D670" s="38">
        <f t="shared" si="46"/>
        <v>0</v>
      </c>
      <c r="G670" s="32" t="s">
        <v>28</v>
      </c>
      <c r="H670" s="20" t="s">
        <v>2696</v>
      </c>
      <c r="I670" s="20">
        <v>1331</v>
      </c>
      <c r="J670" s="20">
        <v>331</v>
      </c>
      <c r="K670" s="20" t="s">
        <v>20</v>
      </c>
      <c r="L670" s="20">
        <v>1</v>
      </c>
      <c r="M670" s="34">
        <v>94960</v>
      </c>
      <c r="N670" s="34">
        <f t="shared" si="43"/>
        <v>94960</v>
      </c>
      <c r="P670" s="20">
        <f t="shared" si="44"/>
        <v>41</v>
      </c>
    </row>
    <row r="671" spans="1:16" ht="15" hidden="1" customHeight="1" x14ac:dyDescent="0.2">
      <c r="A671" s="20" t="s">
        <v>310</v>
      </c>
      <c r="B671" s="61">
        <v>46085</v>
      </c>
      <c r="C671" s="20">
        <f t="shared" si="45"/>
        <v>1622</v>
      </c>
      <c r="D671" s="38">
        <f t="shared" si="46"/>
        <v>1</v>
      </c>
      <c r="G671" s="32" t="s">
        <v>28</v>
      </c>
      <c r="H671" s="20" t="s">
        <v>2923</v>
      </c>
      <c r="I671" s="20">
        <v>331</v>
      </c>
      <c r="J671" s="20">
        <v>1111</v>
      </c>
      <c r="K671" s="20" t="s">
        <v>20</v>
      </c>
      <c r="L671" s="20">
        <v>1</v>
      </c>
      <c r="M671" s="34">
        <v>1281960</v>
      </c>
      <c r="N671" s="34">
        <f t="shared" si="43"/>
        <v>1281960</v>
      </c>
      <c r="P671" s="20">
        <f t="shared" si="44"/>
        <v>52</v>
      </c>
    </row>
    <row r="672" spans="1:16" ht="15" hidden="1" customHeight="1" x14ac:dyDescent="0.2">
      <c r="A672" s="20" t="s">
        <v>18</v>
      </c>
      <c r="B672" s="61">
        <v>46086</v>
      </c>
      <c r="C672" s="20">
        <f t="shared" si="45"/>
        <v>1623</v>
      </c>
      <c r="D672" s="38">
        <f t="shared" si="46"/>
        <v>1</v>
      </c>
      <c r="G672" s="32" t="s">
        <v>89</v>
      </c>
      <c r="H672" s="20" t="s">
        <v>1418</v>
      </c>
      <c r="I672" s="20">
        <v>64277</v>
      </c>
      <c r="J672" s="20">
        <v>331</v>
      </c>
      <c r="K672" s="20" t="s">
        <v>20</v>
      </c>
      <c r="L672" s="20">
        <v>1</v>
      </c>
      <c r="M672" s="34">
        <v>34259</v>
      </c>
      <c r="N672" s="34">
        <f t="shared" si="43"/>
        <v>34259</v>
      </c>
      <c r="P672" s="20">
        <f t="shared" si="44"/>
        <v>73</v>
      </c>
    </row>
    <row r="673" spans="1:16" ht="15" hidden="1" customHeight="1" x14ac:dyDescent="0.2">
      <c r="A673" s="20" t="s">
        <v>18</v>
      </c>
      <c r="B673" s="61">
        <v>46086</v>
      </c>
      <c r="C673" s="20">
        <f t="shared" si="45"/>
        <v>1623</v>
      </c>
      <c r="D673" s="38">
        <f t="shared" si="46"/>
        <v>0</v>
      </c>
      <c r="G673" s="32" t="s">
        <v>89</v>
      </c>
      <c r="H673" s="20" t="s">
        <v>1418</v>
      </c>
      <c r="I673" s="20">
        <v>1331</v>
      </c>
      <c r="J673" s="20">
        <v>331</v>
      </c>
      <c r="K673" s="20" t="s">
        <v>20</v>
      </c>
      <c r="L673" s="20">
        <v>1</v>
      </c>
      <c r="M673" s="34">
        <v>2741</v>
      </c>
      <c r="N673" s="34">
        <f t="shared" si="43"/>
        <v>2741</v>
      </c>
      <c r="P673" s="20">
        <f t="shared" si="44"/>
        <v>73</v>
      </c>
    </row>
    <row r="674" spans="1:16" ht="15" hidden="1" customHeight="1" x14ac:dyDescent="0.2">
      <c r="A674" s="20" t="s">
        <v>310</v>
      </c>
      <c r="B674" s="61">
        <v>46086</v>
      </c>
      <c r="C674" s="20">
        <f t="shared" si="45"/>
        <v>1624</v>
      </c>
      <c r="D674" s="38">
        <f t="shared" si="46"/>
        <v>1</v>
      </c>
      <c r="G674" s="32" t="s">
        <v>89</v>
      </c>
      <c r="H674" s="20" t="s">
        <v>2924</v>
      </c>
      <c r="I674" s="20">
        <v>331</v>
      </c>
      <c r="J674" s="20">
        <v>1111</v>
      </c>
      <c r="K674" s="20" t="s">
        <v>20</v>
      </c>
      <c r="L674" s="20">
        <v>1</v>
      </c>
      <c r="M674" s="34">
        <v>37000</v>
      </c>
      <c r="N674" s="34">
        <f t="shared" si="43"/>
        <v>37000</v>
      </c>
      <c r="P674" s="20">
        <f t="shared" si="44"/>
        <v>84</v>
      </c>
    </row>
    <row r="675" spans="1:16" ht="15" hidden="1" customHeight="1" x14ac:dyDescent="0.2">
      <c r="A675" s="20" t="s">
        <v>18</v>
      </c>
      <c r="B675" s="61">
        <v>46087</v>
      </c>
      <c r="C675" s="20">
        <f t="shared" si="45"/>
        <v>1625</v>
      </c>
      <c r="D675" s="38">
        <f t="shared" si="46"/>
        <v>1</v>
      </c>
      <c r="G675" s="32" t="s">
        <v>89</v>
      </c>
      <c r="H675" s="20" t="s">
        <v>1419</v>
      </c>
      <c r="I675" s="20">
        <v>64277</v>
      </c>
      <c r="J675" s="20">
        <v>331</v>
      </c>
      <c r="K675" s="20" t="s">
        <v>20</v>
      </c>
      <c r="L675" s="20">
        <v>1</v>
      </c>
      <c r="M675" s="34">
        <v>30555</v>
      </c>
      <c r="N675" s="34">
        <f t="shared" si="43"/>
        <v>30555</v>
      </c>
      <c r="P675" s="20">
        <f t="shared" si="44"/>
        <v>73</v>
      </c>
    </row>
    <row r="676" spans="1:16" ht="15" hidden="1" customHeight="1" x14ac:dyDescent="0.2">
      <c r="A676" s="20" t="s">
        <v>18</v>
      </c>
      <c r="B676" s="61">
        <v>46087</v>
      </c>
      <c r="C676" s="20">
        <f t="shared" si="45"/>
        <v>1625</v>
      </c>
      <c r="D676" s="38">
        <f t="shared" si="46"/>
        <v>0</v>
      </c>
      <c r="G676" s="32" t="s">
        <v>89</v>
      </c>
      <c r="H676" s="20" t="s">
        <v>1419</v>
      </c>
      <c r="I676" s="20">
        <v>1331</v>
      </c>
      <c r="J676" s="20">
        <v>331</v>
      </c>
      <c r="K676" s="20" t="s">
        <v>20</v>
      </c>
      <c r="L676" s="20">
        <v>1</v>
      </c>
      <c r="M676" s="34">
        <v>2445</v>
      </c>
      <c r="N676" s="34">
        <f t="shared" si="43"/>
        <v>2445</v>
      </c>
      <c r="P676" s="20">
        <f t="shared" si="44"/>
        <v>73</v>
      </c>
    </row>
    <row r="677" spans="1:16" ht="15" hidden="1" customHeight="1" x14ac:dyDescent="0.2">
      <c r="A677" s="20" t="s">
        <v>310</v>
      </c>
      <c r="B677" s="61">
        <v>46087</v>
      </c>
      <c r="C677" s="20">
        <f t="shared" si="45"/>
        <v>1626</v>
      </c>
      <c r="D677" s="38">
        <f t="shared" si="46"/>
        <v>1</v>
      </c>
      <c r="G677" s="32" t="s">
        <v>89</v>
      </c>
      <c r="H677" s="20" t="s">
        <v>2925</v>
      </c>
      <c r="I677" s="20">
        <v>331</v>
      </c>
      <c r="J677" s="20">
        <v>1111</v>
      </c>
      <c r="K677" s="20" t="s">
        <v>20</v>
      </c>
      <c r="L677" s="20">
        <v>1</v>
      </c>
      <c r="M677" s="34">
        <v>33000</v>
      </c>
      <c r="N677" s="34">
        <f t="shared" si="43"/>
        <v>33000</v>
      </c>
      <c r="P677" s="20">
        <f t="shared" si="44"/>
        <v>84</v>
      </c>
    </row>
    <row r="678" spans="1:16" ht="15" hidden="1" customHeight="1" x14ac:dyDescent="0.2">
      <c r="A678" s="20" t="s">
        <v>18</v>
      </c>
      <c r="B678" s="61">
        <v>46087</v>
      </c>
      <c r="C678" s="20">
        <f t="shared" si="45"/>
        <v>1627</v>
      </c>
      <c r="D678" s="38">
        <f t="shared" si="46"/>
        <v>1</v>
      </c>
      <c r="G678" s="32" t="s">
        <v>89</v>
      </c>
      <c r="H678" s="20" t="s">
        <v>1420</v>
      </c>
      <c r="I678" s="20">
        <v>64277</v>
      </c>
      <c r="J678" s="20">
        <v>331</v>
      </c>
      <c r="K678" s="20" t="s">
        <v>20</v>
      </c>
      <c r="L678" s="20">
        <v>1</v>
      </c>
      <c r="M678" s="34">
        <v>58334</v>
      </c>
      <c r="N678" s="34">
        <f t="shared" si="43"/>
        <v>58334</v>
      </c>
      <c r="P678" s="20">
        <f t="shared" si="44"/>
        <v>73</v>
      </c>
    </row>
    <row r="679" spans="1:16" ht="15" hidden="1" customHeight="1" x14ac:dyDescent="0.2">
      <c r="A679" s="20" t="s">
        <v>18</v>
      </c>
      <c r="B679" s="61">
        <v>46087</v>
      </c>
      <c r="C679" s="20">
        <f t="shared" si="45"/>
        <v>1627</v>
      </c>
      <c r="D679" s="38">
        <f t="shared" si="46"/>
        <v>0</v>
      </c>
      <c r="G679" s="32" t="s">
        <v>89</v>
      </c>
      <c r="H679" s="20" t="s">
        <v>1420</v>
      </c>
      <c r="I679" s="20">
        <v>1331</v>
      </c>
      <c r="J679" s="20">
        <v>331</v>
      </c>
      <c r="K679" s="20" t="s">
        <v>20</v>
      </c>
      <c r="L679" s="20">
        <v>1</v>
      </c>
      <c r="M679" s="34">
        <v>4666</v>
      </c>
      <c r="N679" s="34">
        <f t="shared" si="43"/>
        <v>4666</v>
      </c>
      <c r="P679" s="20">
        <f t="shared" si="44"/>
        <v>73</v>
      </c>
    </row>
    <row r="680" spans="1:16" ht="15" hidden="1" customHeight="1" x14ac:dyDescent="0.2">
      <c r="A680" s="20" t="s">
        <v>310</v>
      </c>
      <c r="B680" s="61">
        <v>46087</v>
      </c>
      <c r="C680" s="20">
        <f t="shared" si="45"/>
        <v>1628</v>
      </c>
      <c r="D680" s="38">
        <f t="shared" si="46"/>
        <v>1</v>
      </c>
      <c r="G680" s="32" t="s">
        <v>89</v>
      </c>
      <c r="H680" s="20" t="s">
        <v>2926</v>
      </c>
      <c r="I680" s="20">
        <v>331</v>
      </c>
      <c r="J680" s="20">
        <v>1111</v>
      </c>
      <c r="K680" s="20" t="s">
        <v>20</v>
      </c>
      <c r="L680" s="20">
        <v>1</v>
      </c>
      <c r="M680" s="34">
        <v>63000</v>
      </c>
      <c r="N680" s="34">
        <f t="shared" si="43"/>
        <v>63000</v>
      </c>
      <c r="P680" s="20">
        <f t="shared" si="44"/>
        <v>84</v>
      </c>
    </row>
    <row r="681" spans="1:16" ht="15" hidden="1" customHeight="1" x14ac:dyDescent="0.2">
      <c r="A681" s="20" t="s">
        <v>18</v>
      </c>
      <c r="B681" s="61">
        <v>46087</v>
      </c>
      <c r="C681" s="20">
        <f t="shared" si="45"/>
        <v>1629</v>
      </c>
      <c r="D681" s="38">
        <f t="shared" si="46"/>
        <v>1</v>
      </c>
      <c r="G681" s="32" t="s">
        <v>89</v>
      </c>
      <c r="H681" s="20" t="s">
        <v>1421</v>
      </c>
      <c r="I681" s="20">
        <v>64277</v>
      </c>
      <c r="J681" s="20">
        <v>331</v>
      </c>
      <c r="K681" s="20" t="s">
        <v>20</v>
      </c>
      <c r="L681" s="20">
        <v>1</v>
      </c>
      <c r="M681" s="34">
        <v>29630</v>
      </c>
      <c r="N681" s="34">
        <f t="shared" si="43"/>
        <v>29630</v>
      </c>
      <c r="P681" s="20">
        <f t="shared" si="44"/>
        <v>73</v>
      </c>
    </row>
    <row r="682" spans="1:16" ht="15" hidden="1" customHeight="1" x14ac:dyDescent="0.2">
      <c r="A682" s="20" t="s">
        <v>18</v>
      </c>
      <c r="B682" s="61">
        <v>46087</v>
      </c>
      <c r="C682" s="20">
        <f t="shared" si="45"/>
        <v>1629</v>
      </c>
      <c r="D682" s="38">
        <f t="shared" si="46"/>
        <v>0</v>
      </c>
      <c r="G682" s="32" t="s">
        <v>89</v>
      </c>
      <c r="H682" s="20" t="s">
        <v>1421</v>
      </c>
      <c r="I682" s="20">
        <v>1331</v>
      </c>
      <c r="J682" s="20">
        <v>331</v>
      </c>
      <c r="K682" s="20" t="s">
        <v>20</v>
      </c>
      <c r="L682" s="20">
        <v>1</v>
      </c>
      <c r="M682" s="34">
        <v>2370</v>
      </c>
      <c r="N682" s="34">
        <f t="shared" si="43"/>
        <v>2370</v>
      </c>
      <c r="P682" s="20">
        <f t="shared" si="44"/>
        <v>73</v>
      </c>
    </row>
    <row r="683" spans="1:16" ht="15" hidden="1" customHeight="1" x14ac:dyDescent="0.2">
      <c r="A683" s="20" t="s">
        <v>310</v>
      </c>
      <c r="B683" s="61">
        <v>46087</v>
      </c>
      <c r="C683" s="20">
        <f t="shared" si="45"/>
        <v>1630</v>
      </c>
      <c r="D683" s="38">
        <f t="shared" si="46"/>
        <v>1</v>
      </c>
      <c r="G683" s="32" t="s">
        <v>89</v>
      </c>
      <c r="H683" s="20" t="s">
        <v>2927</v>
      </c>
      <c r="I683" s="20">
        <v>331</v>
      </c>
      <c r="J683" s="20">
        <v>1111</v>
      </c>
      <c r="K683" s="20" t="s">
        <v>20</v>
      </c>
      <c r="L683" s="20">
        <v>1</v>
      </c>
      <c r="M683" s="34">
        <v>32000</v>
      </c>
      <c r="N683" s="34">
        <f t="shared" si="43"/>
        <v>32000</v>
      </c>
      <c r="P683" s="20">
        <f t="shared" si="44"/>
        <v>84</v>
      </c>
    </row>
    <row r="684" spans="1:16" ht="15" hidden="1" customHeight="1" x14ac:dyDescent="0.2">
      <c r="A684" s="20" t="s">
        <v>18</v>
      </c>
      <c r="B684" s="61">
        <v>46087</v>
      </c>
      <c r="C684" s="20">
        <f t="shared" si="45"/>
        <v>1631</v>
      </c>
      <c r="D684" s="38">
        <f t="shared" si="46"/>
        <v>1</v>
      </c>
      <c r="G684" s="32" t="s">
        <v>89</v>
      </c>
      <c r="H684" s="20" t="s">
        <v>1422</v>
      </c>
      <c r="I684" s="20">
        <v>64277</v>
      </c>
      <c r="J684" s="20">
        <v>331</v>
      </c>
      <c r="K684" s="20" t="s">
        <v>20</v>
      </c>
      <c r="L684" s="20">
        <v>1</v>
      </c>
      <c r="M684" s="34">
        <v>21297</v>
      </c>
      <c r="N684" s="34">
        <f t="shared" si="43"/>
        <v>21297</v>
      </c>
      <c r="P684" s="20">
        <f t="shared" si="44"/>
        <v>73</v>
      </c>
    </row>
    <row r="685" spans="1:16" ht="15" hidden="1" customHeight="1" x14ac:dyDescent="0.2">
      <c r="A685" s="20" t="s">
        <v>18</v>
      </c>
      <c r="B685" s="61">
        <v>46087</v>
      </c>
      <c r="C685" s="20">
        <f t="shared" si="45"/>
        <v>1631</v>
      </c>
      <c r="D685" s="38">
        <f t="shared" si="46"/>
        <v>0</v>
      </c>
      <c r="G685" s="32" t="s">
        <v>89</v>
      </c>
      <c r="H685" s="20" t="s">
        <v>1422</v>
      </c>
      <c r="I685" s="20">
        <v>1331</v>
      </c>
      <c r="J685" s="20">
        <v>331</v>
      </c>
      <c r="K685" s="20" t="s">
        <v>20</v>
      </c>
      <c r="L685" s="20">
        <v>1</v>
      </c>
      <c r="M685" s="34">
        <v>1703</v>
      </c>
      <c r="N685" s="34">
        <f t="shared" si="43"/>
        <v>1703</v>
      </c>
      <c r="P685" s="20">
        <f t="shared" si="44"/>
        <v>73</v>
      </c>
    </row>
    <row r="686" spans="1:16" ht="15" hidden="1" customHeight="1" x14ac:dyDescent="0.2">
      <c r="A686" s="20" t="s">
        <v>310</v>
      </c>
      <c r="B686" s="61">
        <v>46087</v>
      </c>
      <c r="C686" s="20">
        <f t="shared" si="45"/>
        <v>1632</v>
      </c>
      <c r="D686" s="38">
        <f t="shared" si="46"/>
        <v>1</v>
      </c>
      <c r="G686" s="32" t="s">
        <v>89</v>
      </c>
      <c r="H686" s="20" t="s">
        <v>2928</v>
      </c>
      <c r="I686" s="20">
        <v>331</v>
      </c>
      <c r="J686" s="20">
        <v>1111</v>
      </c>
      <c r="K686" s="20" t="s">
        <v>20</v>
      </c>
      <c r="L686" s="20">
        <v>1</v>
      </c>
      <c r="M686" s="34">
        <v>23000</v>
      </c>
      <c r="N686" s="34">
        <f t="shared" si="43"/>
        <v>23000</v>
      </c>
      <c r="P686" s="20">
        <f t="shared" si="44"/>
        <v>84</v>
      </c>
    </row>
    <row r="687" spans="1:16" ht="15" hidden="1" customHeight="1" x14ac:dyDescent="0.2">
      <c r="A687" s="20" t="s">
        <v>18</v>
      </c>
      <c r="B687" s="61">
        <v>46087</v>
      </c>
      <c r="C687" s="20">
        <f t="shared" si="45"/>
        <v>1633</v>
      </c>
      <c r="D687" s="38">
        <f t="shared" si="46"/>
        <v>1</v>
      </c>
      <c r="G687" s="32" t="s">
        <v>89</v>
      </c>
      <c r="H687" s="20" t="s">
        <v>1423</v>
      </c>
      <c r="I687" s="20">
        <v>64277</v>
      </c>
      <c r="J687" s="20">
        <v>331</v>
      </c>
      <c r="K687" s="20" t="s">
        <v>20</v>
      </c>
      <c r="L687" s="20">
        <v>1</v>
      </c>
      <c r="M687" s="34">
        <v>33333</v>
      </c>
      <c r="N687" s="34">
        <f t="shared" si="43"/>
        <v>33333</v>
      </c>
      <c r="P687" s="20">
        <f t="shared" si="44"/>
        <v>73</v>
      </c>
    </row>
    <row r="688" spans="1:16" ht="15" hidden="1" customHeight="1" x14ac:dyDescent="0.2">
      <c r="A688" s="20" t="s">
        <v>18</v>
      </c>
      <c r="B688" s="61">
        <v>46087</v>
      </c>
      <c r="C688" s="20">
        <f t="shared" si="45"/>
        <v>1633</v>
      </c>
      <c r="D688" s="38">
        <f t="shared" si="46"/>
        <v>0</v>
      </c>
      <c r="G688" s="32" t="s">
        <v>89</v>
      </c>
      <c r="H688" s="20" t="s">
        <v>1423</v>
      </c>
      <c r="I688" s="20">
        <v>1331</v>
      </c>
      <c r="J688" s="20">
        <v>331</v>
      </c>
      <c r="K688" s="20" t="s">
        <v>20</v>
      </c>
      <c r="L688" s="20">
        <v>1</v>
      </c>
      <c r="M688" s="34">
        <v>2667</v>
      </c>
      <c r="N688" s="34">
        <f t="shared" si="43"/>
        <v>2667</v>
      </c>
      <c r="P688" s="20">
        <f t="shared" si="44"/>
        <v>73</v>
      </c>
    </row>
    <row r="689" spans="1:16" ht="15" hidden="1" customHeight="1" x14ac:dyDescent="0.2">
      <c r="A689" s="20" t="s">
        <v>310</v>
      </c>
      <c r="B689" s="61">
        <v>46087</v>
      </c>
      <c r="C689" s="20">
        <f t="shared" si="45"/>
        <v>1634</v>
      </c>
      <c r="D689" s="38">
        <f t="shared" si="46"/>
        <v>1</v>
      </c>
      <c r="G689" s="32" t="s">
        <v>89</v>
      </c>
      <c r="H689" s="20" t="s">
        <v>2929</v>
      </c>
      <c r="I689" s="20">
        <v>331</v>
      </c>
      <c r="J689" s="20">
        <v>1111</v>
      </c>
      <c r="K689" s="20" t="s">
        <v>20</v>
      </c>
      <c r="L689" s="20">
        <v>1</v>
      </c>
      <c r="M689" s="34">
        <v>36000</v>
      </c>
      <c r="N689" s="34">
        <f t="shared" si="43"/>
        <v>36000</v>
      </c>
      <c r="P689" s="20">
        <f t="shared" si="44"/>
        <v>84</v>
      </c>
    </row>
    <row r="690" spans="1:16" ht="15" hidden="1" customHeight="1" x14ac:dyDescent="0.2">
      <c r="A690" s="20" t="s">
        <v>18</v>
      </c>
      <c r="B690" s="61">
        <v>46087</v>
      </c>
      <c r="C690" s="20">
        <f t="shared" si="45"/>
        <v>1635</v>
      </c>
      <c r="D690" s="38">
        <f t="shared" si="46"/>
        <v>1</v>
      </c>
      <c r="G690" s="32" t="s">
        <v>89</v>
      </c>
      <c r="H690" s="20" t="s">
        <v>1424</v>
      </c>
      <c r="I690" s="20">
        <v>64277</v>
      </c>
      <c r="J690" s="20">
        <v>331</v>
      </c>
      <c r="K690" s="20" t="s">
        <v>20</v>
      </c>
      <c r="L690" s="20">
        <v>1</v>
      </c>
      <c r="M690" s="34">
        <v>36112</v>
      </c>
      <c r="N690" s="34">
        <f t="shared" si="43"/>
        <v>36112</v>
      </c>
      <c r="P690" s="20">
        <f t="shared" si="44"/>
        <v>73</v>
      </c>
    </row>
    <row r="691" spans="1:16" ht="15" hidden="1" customHeight="1" x14ac:dyDescent="0.2">
      <c r="A691" s="20" t="s">
        <v>18</v>
      </c>
      <c r="B691" s="61">
        <v>46087</v>
      </c>
      <c r="C691" s="20">
        <f t="shared" si="45"/>
        <v>1635</v>
      </c>
      <c r="D691" s="38">
        <f t="shared" si="46"/>
        <v>0</v>
      </c>
      <c r="G691" s="32" t="s">
        <v>89</v>
      </c>
      <c r="H691" s="20" t="s">
        <v>1424</v>
      </c>
      <c r="I691" s="20">
        <v>1331</v>
      </c>
      <c r="J691" s="20">
        <v>331</v>
      </c>
      <c r="K691" s="20" t="s">
        <v>20</v>
      </c>
      <c r="L691" s="20">
        <v>1</v>
      </c>
      <c r="M691" s="34">
        <v>2888</v>
      </c>
      <c r="N691" s="34">
        <f t="shared" si="43"/>
        <v>2888</v>
      </c>
      <c r="P691" s="20">
        <f t="shared" si="44"/>
        <v>73</v>
      </c>
    </row>
    <row r="692" spans="1:16" ht="15" hidden="1" customHeight="1" x14ac:dyDescent="0.2">
      <c r="A692" s="20" t="s">
        <v>310</v>
      </c>
      <c r="B692" s="61">
        <v>46087</v>
      </c>
      <c r="C692" s="20">
        <f t="shared" si="45"/>
        <v>1636</v>
      </c>
      <c r="D692" s="38">
        <f t="shared" si="46"/>
        <v>1</v>
      </c>
      <c r="G692" s="32" t="s">
        <v>89</v>
      </c>
      <c r="H692" s="20" t="s">
        <v>2930</v>
      </c>
      <c r="I692" s="20">
        <v>331</v>
      </c>
      <c r="J692" s="20">
        <v>1111</v>
      </c>
      <c r="K692" s="20" t="s">
        <v>20</v>
      </c>
      <c r="L692" s="20">
        <v>1</v>
      </c>
      <c r="M692" s="34">
        <v>39000</v>
      </c>
      <c r="N692" s="34">
        <f t="shared" si="43"/>
        <v>39000</v>
      </c>
      <c r="P692" s="20">
        <f t="shared" si="44"/>
        <v>84</v>
      </c>
    </row>
    <row r="693" spans="1:16" ht="15" hidden="1" customHeight="1" x14ac:dyDescent="0.2">
      <c r="A693" s="20" t="s">
        <v>18</v>
      </c>
      <c r="B693" s="61">
        <v>46087</v>
      </c>
      <c r="C693" s="20">
        <f t="shared" si="45"/>
        <v>1637</v>
      </c>
      <c r="D693" s="38">
        <f t="shared" si="46"/>
        <v>1</v>
      </c>
      <c r="G693" s="32" t="s">
        <v>95</v>
      </c>
      <c r="H693" s="20" t="s">
        <v>2697</v>
      </c>
      <c r="I693" s="20">
        <v>64277</v>
      </c>
      <c r="J693" s="20">
        <v>331</v>
      </c>
      <c r="K693" s="20" t="s">
        <v>20</v>
      </c>
      <c r="L693" s="20">
        <v>1</v>
      </c>
      <c r="M693" s="34">
        <v>2778000</v>
      </c>
      <c r="N693" s="34">
        <f t="shared" si="43"/>
        <v>2778000</v>
      </c>
      <c r="P693" s="20">
        <f t="shared" si="44"/>
        <v>42</v>
      </c>
    </row>
    <row r="694" spans="1:16" ht="15" hidden="1" customHeight="1" x14ac:dyDescent="0.2">
      <c r="A694" s="20" t="s">
        <v>18</v>
      </c>
      <c r="B694" s="61">
        <v>46087</v>
      </c>
      <c r="C694" s="20">
        <f t="shared" si="45"/>
        <v>1637</v>
      </c>
      <c r="D694" s="38">
        <f t="shared" si="46"/>
        <v>0</v>
      </c>
      <c r="G694" s="32" t="s">
        <v>95</v>
      </c>
      <c r="H694" s="20" t="s">
        <v>2697</v>
      </c>
      <c r="I694" s="20">
        <v>1331</v>
      </c>
      <c r="J694" s="20">
        <v>331</v>
      </c>
      <c r="K694" s="20" t="s">
        <v>20</v>
      </c>
      <c r="L694" s="20">
        <v>1</v>
      </c>
      <c r="M694" s="34">
        <v>223020</v>
      </c>
      <c r="N694" s="34">
        <f t="shared" si="43"/>
        <v>223020</v>
      </c>
      <c r="P694" s="20">
        <f t="shared" si="44"/>
        <v>42</v>
      </c>
    </row>
    <row r="695" spans="1:16" ht="15" hidden="1" customHeight="1" x14ac:dyDescent="0.2">
      <c r="A695" s="20" t="s">
        <v>310</v>
      </c>
      <c r="B695" s="61">
        <v>46087</v>
      </c>
      <c r="C695" s="20">
        <f t="shared" si="45"/>
        <v>1638</v>
      </c>
      <c r="D695" s="38">
        <f t="shared" si="46"/>
        <v>1</v>
      </c>
      <c r="G695" s="32" t="s">
        <v>95</v>
      </c>
      <c r="H695" s="20" t="s">
        <v>2931</v>
      </c>
      <c r="I695" s="20">
        <v>331</v>
      </c>
      <c r="J695" s="20">
        <v>1111</v>
      </c>
      <c r="K695" s="20" t="s">
        <v>20</v>
      </c>
      <c r="L695" s="20">
        <v>1</v>
      </c>
      <c r="M695" s="34">
        <v>3001020</v>
      </c>
      <c r="N695" s="34">
        <f t="shared" si="43"/>
        <v>3001020</v>
      </c>
      <c r="P695" s="20">
        <f t="shared" si="44"/>
        <v>53</v>
      </c>
    </row>
    <row r="696" spans="1:16" ht="15" hidden="1" customHeight="1" x14ac:dyDescent="0.2">
      <c r="A696" s="20" t="s">
        <v>18</v>
      </c>
      <c r="B696" s="61">
        <v>46088</v>
      </c>
      <c r="C696" s="20">
        <f t="shared" si="45"/>
        <v>1639</v>
      </c>
      <c r="D696" s="38">
        <f t="shared" si="46"/>
        <v>1</v>
      </c>
      <c r="G696" s="32" t="s">
        <v>990</v>
      </c>
      <c r="H696" s="20" t="s">
        <v>1425</v>
      </c>
      <c r="I696" s="20">
        <v>64277</v>
      </c>
      <c r="J696" s="20">
        <v>331</v>
      </c>
      <c r="K696" s="20" t="s">
        <v>20</v>
      </c>
      <c r="L696" s="20">
        <v>1</v>
      </c>
      <c r="M696" s="34">
        <v>1088888</v>
      </c>
      <c r="N696" s="34">
        <f t="shared" si="43"/>
        <v>1088888</v>
      </c>
      <c r="P696" s="20">
        <f t="shared" si="44"/>
        <v>34</v>
      </c>
    </row>
    <row r="697" spans="1:16" ht="15" hidden="1" customHeight="1" x14ac:dyDescent="0.2">
      <c r="A697" s="20" t="s">
        <v>18</v>
      </c>
      <c r="B697" s="61">
        <v>46088</v>
      </c>
      <c r="C697" s="20">
        <f t="shared" si="45"/>
        <v>1639</v>
      </c>
      <c r="D697" s="38">
        <f t="shared" si="46"/>
        <v>0</v>
      </c>
      <c r="G697" s="32" t="s">
        <v>990</v>
      </c>
      <c r="H697" s="20" t="s">
        <v>1425</v>
      </c>
      <c r="I697" s="20">
        <v>1331</v>
      </c>
      <c r="J697" s="20">
        <v>331</v>
      </c>
      <c r="K697" s="20" t="s">
        <v>20</v>
      </c>
      <c r="L697" s="20">
        <v>1</v>
      </c>
      <c r="M697" s="34">
        <v>87112</v>
      </c>
      <c r="N697" s="34">
        <f t="shared" si="43"/>
        <v>87112</v>
      </c>
      <c r="P697" s="20">
        <f t="shared" si="44"/>
        <v>34</v>
      </c>
    </row>
    <row r="698" spans="1:16" ht="15" hidden="1" customHeight="1" x14ac:dyDescent="0.2">
      <c r="A698" s="20" t="s">
        <v>310</v>
      </c>
      <c r="B698" s="61">
        <v>46088</v>
      </c>
      <c r="C698" s="20">
        <f t="shared" si="45"/>
        <v>1640</v>
      </c>
      <c r="D698" s="38">
        <f t="shared" si="46"/>
        <v>1</v>
      </c>
      <c r="G698" s="32" t="s">
        <v>990</v>
      </c>
      <c r="H698" s="20" t="s">
        <v>2932</v>
      </c>
      <c r="I698" s="20">
        <v>331</v>
      </c>
      <c r="J698" s="20">
        <v>1111</v>
      </c>
      <c r="K698" s="20" t="s">
        <v>20</v>
      </c>
      <c r="L698" s="20">
        <v>1</v>
      </c>
      <c r="M698" s="34">
        <v>1176000</v>
      </c>
      <c r="N698" s="34">
        <f t="shared" si="43"/>
        <v>1176000</v>
      </c>
      <c r="P698" s="20">
        <f t="shared" si="44"/>
        <v>45</v>
      </c>
    </row>
    <row r="699" spans="1:16" ht="15" hidden="1" customHeight="1" x14ac:dyDescent="0.2">
      <c r="A699" s="20" t="s">
        <v>18</v>
      </c>
      <c r="B699" s="61">
        <v>46089</v>
      </c>
      <c r="C699" s="20">
        <f t="shared" si="45"/>
        <v>1641</v>
      </c>
      <c r="D699" s="38">
        <f t="shared" si="46"/>
        <v>1</v>
      </c>
      <c r="G699" s="32" t="s">
        <v>89</v>
      </c>
      <c r="H699" s="20" t="s">
        <v>1426</v>
      </c>
      <c r="I699" s="20">
        <v>64277</v>
      </c>
      <c r="J699" s="20">
        <v>331</v>
      </c>
      <c r="K699" s="20" t="s">
        <v>20</v>
      </c>
      <c r="L699" s="20">
        <v>1</v>
      </c>
      <c r="M699" s="34">
        <v>43519</v>
      </c>
      <c r="N699" s="34">
        <f t="shared" si="43"/>
        <v>43519</v>
      </c>
      <c r="P699" s="20">
        <f t="shared" si="44"/>
        <v>73</v>
      </c>
    </row>
    <row r="700" spans="1:16" ht="15" hidden="1" customHeight="1" x14ac:dyDescent="0.2">
      <c r="A700" s="20" t="s">
        <v>18</v>
      </c>
      <c r="B700" s="61">
        <v>46089</v>
      </c>
      <c r="C700" s="20">
        <f t="shared" si="45"/>
        <v>1641</v>
      </c>
      <c r="D700" s="38">
        <f t="shared" si="46"/>
        <v>0</v>
      </c>
      <c r="G700" s="32" t="s">
        <v>89</v>
      </c>
      <c r="H700" s="20" t="s">
        <v>1426</v>
      </c>
      <c r="I700" s="20">
        <v>1331</v>
      </c>
      <c r="J700" s="20">
        <v>331</v>
      </c>
      <c r="K700" s="20" t="s">
        <v>20</v>
      </c>
      <c r="L700" s="20">
        <v>1</v>
      </c>
      <c r="M700" s="34">
        <v>3481</v>
      </c>
      <c r="N700" s="34">
        <f t="shared" si="43"/>
        <v>3481</v>
      </c>
      <c r="P700" s="20">
        <f t="shared" si="44"/>
        <v>73</v>
      </c>
    </row>
    <row r="701" spans="1:16" ht="15" hidden="1" customHeight="1" x14ac:dyDescent="0.2">
      <c r="A701" s="20" t="s">
        <v>310</v>
      </c>
      <c r="B701" s="61">
        <v>46089</v>
      </c>
      <c r="C701" s="20">
        <f t="shared" si="45"/>
        <v>1642</v>
      </c>
      <c r="D701" s="38">
        <f t="shared" si="46"/>
        <v>1</v>
      </c>
      <c r="G701" s="32" t="s">
        <v>89</v>
      </c>
      <c r="H701" s="20" t="s">
        <v>2933</v>
      </c>
      <c r="I701" s="20">
        <v>331</v>
      </c>
      <c r="J701" s="20">
        <v>1111</v>
      </c>
      <c r="K701" s="20" t="s">
        <v>20</v>
      </c>
      <c r="L701" s="20">
        <v>1</v>
      </c>
      <c r="M701" s="34">
        <v>47000</v>
      </c>
      <c r="N701" s="34">
        <f t="shared" si="43"/>
        <v>47000</v>
      </c>
      <c r="P701" s="20">
        <f t="shared" si="44"/>
        <v>84</v>
      </c>
    </row>
    <row r="702" spans="1:16" ht="15" hidden="1" customHeight="1" x14ac:dyDescent="0.2">
      <c r="A702" s="20" t="s">
        <v>18</v>
      </c>
      <c r="B702" s="61">
        <v>46089</v>
      </c>
      <c r="C702" s="20">
        <f t="shared" si="45"/>
        <v>1643</v>
      </c>
      <c r="D702" s="38">
        <f t="shared" si="46"/>
        <v>1</v>
      </c>
      <c r="G702" s="32" t="s">
        <v>89</v>
      </c>
      <c r="H702" s="20" t="s">
        <v>1427</v>
      </c>
      <c r="I702" s="20">
        <v>64277</v>
      </c>
      <c r="J702" s="20">
        <v>331</v>
      </c>
      <c r="K702" s="20" t="s">
        <v>20</v>
      </c>
      <c r="L702" s="20">
        <v>1</v>
      </c>
      <c r="M702" s="34">
        <v>44445</v>
      </c>
      <c r="N702" s="34">
        <f t="shared" si="43"/>
        <v>44445</v>
      </c>
      <c r="P702" s="20">
        <f t="shared" si="44"/>
        <v>73</v>
      </c>
    </row>
    <row r="703" spans="1:16" ht="15" hidden="1" customHeight="1" x14ac:dyDescent="0.2">
      <c r="A703" s="20" t="s">
        <v>18</v>
      </c>
      <c r="B703" s="61">
        <v>46089</v>
      </c>
      <c r="C703" s="20">
        <f t="shared" si="45"/>
        <v>1643</v>
      </c>
      <c r="D703" s="38">
        <f t="shared" si="46"/>
        <v>0</v>
      </c>
      <c r="G703" s="32" t="s">
        <v>89</v>
      </c>
      <c r="H703" s="20" t="s">
        <v>1427</v>
      </c>
      <c r="I703" s="20">
        <v>1331</v>
      </c>
      <c r="J703" s="20">
        <v>331</v>
      </c>
      <c r="K703" s="20" t="s">
        <v>20</v>
      </c>
      <c r="L703" s="20">
        <v>1</v>
      </c>
      <c r="M703" s="34">
        <v>3555</v>
      </c>
      <c r="N703" s="34">
        <f t="shared" si="43"/>
        <v>3555</v>
      </c>
      <c r="P703" s="20">
        <f t="shared" si="44"/>
        <v>73</v>
      </c>
    </row>
    <row r="704" spans="1:16" ht="15" hidden="1" customHeight="1" x14ac:dyDescent="0.2">
      <c r="A704" s="20" t="s">
        <v>310</v>
      </c>
      <c r="B704" s="61">
        <v>46089</v>
      </c>
      <c r="C704" s="20">
        <f t="shared" si="45"/>
        <v>1644</v>
      </c>
      <c r="D704" s="38">
        <f t="shared" si="46"/>
        <v>1</v>
      </c>
      <c r="G704" s="32" t="s">
        <v>89</v>
      </c>
      <c r="H704" s="20" t="s">
        <v>2934</v>
      </c>
      <c r="I704" s="20">
        <v>331</v>
      </c>
      <c r="J704" s="20">
        <v>1111</v>
      </c>
      <c r="K704" s="20" t="s">
        <v>20</v>
      </c>
      <c r="L704" s="20">
        <v>1</v>
      </c>
      <c r="M704" s="34">
        <v>48000</v>
      </c>
      <c r="N704" s="34">
        <f t="shared" si="43"/>
        <v>48000</v>
      </c>
      <c r="P704" s="20">
        <f t="shared" si="44"/>
        <v>84</v>
      </c>
    </row>
    <row r="705" spans="1:16" ht="15" hidden="1" customHeight="1" x14ac:dyDescent="0.2">
      <c r="A705" s="20" t="s">
        <v>18</v>
      </c>
      <c r="B705" s="61">
        <v>46089</v>
      </c>
      <c r="C705" s="20">
        <f t="shared" si="45"/>
        <v>1645</v>
      </c>
      <c r="D705" s="38">
        <f t="shared" si="46"/>
        <v>1</v>
      </c>
      <c r="G705" s="32" t="s">
        <v>89</v>
      </c>
      <c r="H705" s="20" t="s">
        <v>1428</v>
      </c>
      <c r="I705" s="20">
        <v>64277</v>
      </c>
      <c r="J705" s="20">
        <v>331</v>
      </c>
      <c r="K705" s="20" t="s">
        <v>20</v>
      </c>
      <c r="L705" s="20">
        <v>1</v>
      </c>
      <c r="M705" s="34">
        <v>29630</v>
      </c>
      <c r="N705" s="34">
        <f t="shared" si="43"/>
        <v>29630</v>
      </c>
      <c r="P705" s="20">
        <f t="shared" si="44"/>
        <v>73</v>
      </c>
    </row>
    <row r="706" spans="1:16" ht="15" hidden="1" customHeight="1" x14ac:dyDescent="0.2">
      <c r="A706" s="20" t="s">
        <v>18</v>
      </c>
      <c r="B706" s="61">
        <v>46089</v>
      </c>
      <c r="C706" s="20">
        <f t="shared" si="45"/>
        <v>1645</v>
      </c>
      <c r="D706" s="38">
        <f t="shared" si="46"/>
        <v>0</v>
      </c>
      <c r="G706" s="32" t="s">
        <v>89</v>
      </c>
      <c r="H706" s="20" t="s">
        <v>1428</v>
      </c>
      <c r="I706" s="20">
        <v>1331</v>
      </c>
      <c r="J706" s="20">
        <v>331</v>
      </c>
      <c r="K706" s="20" t="s">
        <v>20</v>
      </c>
      <c r="L706" s="20">
        <v>1</v>
      </c>
      <c r="M706" s="34">
        <v>2370</v>
      </c>
      <c r="N706" s="34">
        <f t="shared" ref="N706:N768" si="47">L706*M706</f>
        <v>2370</v>
      </c>
      <c r="P706" s="20">
        <f t="shared" si="44"/>
        <v>73</v>
      </c>
    </row>
    <row r="707" spans="1:16" ht="15" hidden="1" customHeight="1" x14ac:dyDescent="0.2">
      <c r="A707" s="20" t="s">
        <v>310</v>
      </c>
      <c r="B707" s="61">
        <v>46089</v>
      </c>
      <c r="C707" s="20">
        <f t="shared" si="45"/>
        <v>1646</v>
      </c>
      <c r="D707" s="38">
        <f t="shared" si="46"/>
        <v>1</v>
      </c>
      <c r="G707" s="32" t="s">
        <v>89</v>
      </c>
      <c r="H707" s="20" t="s">
        <v>2935</v>
      </c>
      <c r="I707" s="20">
        <v>331</v>
      </c>
      <c r="J707" s="20">
        <v>1111</v>
      </c>
      <c r="K707" s="20" t="s">
        <v>20</v>
      </c>
      <c r="L707" s="20">
        <v>1</v>
      </c>
      <c r="M707" s="34">
        <v>32000</v>
      </c>
      <c r="N707" s="34">
        <f t="shared" si="47"/>
        <v>32000</v>
      </c>
      <c r="P707" s="20">
        <f t="shared" si="44"/>
        <v>84</v>
      </c>
    </row>
    <row r="708" spans="1:16" ht="15" hidden="1" customHeight="1" x14ac:dyDescent="0.2">
      <c r="A708" s="20" t="s">
        <v>18</v>
      </c>
      <c r="B708" s="61">
        <v>46089</v>
      </c>
      <c r="C708" s="20">
        <f t="shared" si="45"/>
        <v>1647</v>
      </c>
      <c r="D708" s="38">
        <f t="shared" si="46"/>
        <v>1</v>
      </c>
      <c r="G708" s="32" t="s">
        <v>89</v>
      </c>
      <c r="H708" s="20" t="s">
        <v>1429</v>
      </c>
      <c r="I708" s="20">
        <v>64277</v>
      </c>
      <c r="J708" s="20">
        <v>331</v>
      </c>
      <c r="K708" s="20" t="s">
        <v>20</v>
      </c>
      <c r="L708" s="20">
        <v>1</v>
      </c>
      <c r="M708" s="34">
        <v>41667</v>
      </c>
      <c r="N708" s="34">
        <f t="shared" si="47"/>
        <v>41667</v>
      </c>
      <c r="P708" s="20">
        <f t="shared" ref="P708:P770" si="48">LEN(H708)</f>
        <v>73</v>
      </c>
    </row>
    <row r="709" spans="1:16" ht="15" hidden="1" customHeight="1" x14ac:dyDescent="0.2">
      <c r="A709" s="20" t="s">
        <v>18</v>
      </c>
      <c r="B709" s="61">
        <v>46089</v>
      </c>
      <c r="C709" s="20">
        <f t="shared" si="45"/>
        <v>1647</v>
      </c>
      <c r="D709" s="38">
        <f t="shared" si="46"/>
        <v>0</v>
      </c>
      <c r="G709" s="32" t="s">
        <v>89</v>
      </c>
      <c r="H709" s="20" t="s">
        <v>1429</v>
      </c>
      <c r="I709" s="20">
        <v>1331</v>
      </c>
      <c r="J709" s="20">
        <v>331</v>
      </c>
      <c r="K709" s="20" t="s">
        <v>20</v>
      </c>
      <c r="L709" s="20">
        <v>1</v>
      </c>
      <c r="M709" s="34">
        <v>3333</v>
      </c>
      <c r="N709" s="34">
        <f t="shared" si="47"/>
        <v>3333</v>
      </c>
      <c r="P709" s="20">
        <f t="shared" si="48"/>
        <v>73</v>
      </c>
    </row>
    <row r="710" spans="1:16" ht="15" hidden="1" customHeight="1" x14ac:dyDescent="0.2">
      <c r="A710" s="20" t="s">
        <v>310</v>
      </c>
      <c r="B710" s="61">
        <v>46089</v>
      </c>
      <c r="C710" s="20">
        <f t="shared" ref="C710:C773" si="49">C709+D710</f>
        <v>1648</v>
      </c>
      <c r="D710" s="38">
        <f t="shared" ref="D710:D773" si="50">IF(H710=H709,0,1)</f>
        <v>1</v>
      </c>
      <c r="G710" s="32" t="s">
        <v>89</v>
      </c>
      <c r="H710" s="20" t="s">
        <v>2936</v>
      </c>
      <c r="I710" s="20">
        <v>331</v>
      </c>
      <c r="J710" s="20">
        <v>1111</v>
      </c>
      <c r="K710" s="20" t="s">
        <v>20</v>
      </c>
      <c r="L710" s="20">
        <v>1</v>
      </c>
      <c r="M710" s="34">
        <v>45000</v>
      </c>
      <c r="N710" s="34">
        <f t="shared" si="47"/>
        <v>45000</v>
      </c>
      <c r="P710" s="20">
        <f t="shared" si="48"/>
        <v>84</v>
      </c>
    </row>
    <row r="711" spans="1:16" ht="15" hidden="1" customHeight="1" x14ac:dyDescent="0.2">
      <c r="A711" s="20" t="s">
        <v>18</v>
      </c>
      <c r="B711" s="61">
        <v>46089</v>
      </c>
      <c r="C711" s="20">
        <f t="shared" si="49"/>
        <v>1649</v>
      </c>
      <c r="D711" s="38">
        <f t="shared" si="50"/>
        <v>1</v>
      </c>
      <c r="G711" s="32" t="s">
        <v>89</v>
      </c>
      <c r="H711" s="20" t="s">
        <v>1430</v>
      </c>
      <c r="I711" s="20">
        <v>64277</v>
      </c>
      <c r="J711" s="20">
        <v>331</v>
      </c>
      <c r="K711" s="20" t="s">
        <v>20</v>
      </c>
      <c r="L711" s="20">
        <v>1</v>
      </c>
      <c r="M711" s="34">
        <v>18518</v>
      </c>
      <c r="N711" s="34">
        <f t="shared" si="47"/>
        <v>18518</v>
      </c>
      <c r="P711" s="20">
        <f t="shared" si="48"/>
        <v>73</v>
      </c>
    </row>
    <row r="712" spans="1:16" ht="15" hidden="1" customHeight="1" x14ac:dyDescent="0.2">
      <c r="A712" s="20" t="s">
        <v>18</v>
      </c>
      <c r="B712" s="61">
        <v>46089</v>
      </c>
      <c r="C712" s="20">
        <f t="shared" si="49"/>
        <v>1649</v>
      </c>
      <c r="D712" s="38">
        <f t="shared" si="50"/>
        <v>0</v>
      </c>
      <c r="G712" s="32" t="s">
        <v>89</v>
      </c>
      <c r="H712" s="20" t="s">
        <v>1430</v>
      </c>
      <c r="I712" s="20">
        <v>1331</v>
      </c>
      <c r="J712" s="20">
        <v>331</v>
      </c>
      <c r="K712" s="20" t="s">
        <v>20</v>
      </c>
      <c r="L712" s="20">
        <v>1</v>
      </c>
      <c r="M712" s="34">
        <v>1482</v>
      </c>
      <c r="N712" s="34">
        <f t="shared" si="47"/>
        <v>1482</v>
      </c>
      <c r="P712" s="20">
        <f t="shared" si="48"/>
        <v>73</v>
      </c>
    </row>
    <row r="713" spans="1:16" ht="15" hidden="1" customHeight="1" x14ac:dyDescent="0.2">
      <c r="A713" s="20" t="s">
        <v>310</v>
      </c>
      <c r="B713" s="61">
        <v>46089</v>
      </c>
      <c r="C713" s="20">
        <f t="shared" si="49"/>
        <v>1650</v>
      </c>
      <c r="D713" s="38">
        <f t="shared" si="50"/>
        <v>1</v>
      </c>
      <c r="G713" s="32" t="s">
        <v>89</v>
      </c>
      <c r="H713" s="20" t="s">
        <v>2937</v>
      </c>
      <c r="I713" s="20">
        <v>331</v>
      </c>
      <c r="J713" s="20">
        <v>1111</v>
      </c>
      <c r="K713" s="20" t="s">
        <v>20</v>
      </c>
      <c r="L713" s="20">
        <v>1</v>
      </c>
      <c r="M713" s="34">
        <v>20000</v>
      </c>
      <c r="N713" s="34">
        <f t="shared" si="47"/>
        <v>20000</v>
      </c>
      <c r="P713" s="20">
        <f t="shared" si="48"/>
        <v>84</v>
      </c>
    </row>
    <row r="714" spans="1:16" ht="15" hidden="1" customHeight="1" x14ac:dyDescent="0.2">
      <c r="A714" s="20" t="s">
        <v>18</v>
      </c>
      <c r="B714" s="61">
        <v>46089</v>
      </c>
      <c r="C714" s="20">
        <f t="shared" si="49"/>
        <v>1651</v>
      </c>
      <c r="D714" s="38">
        <f t="shared" si="50"/>
        <v>1</v>
      </c>
      <c r="G714" s="32" t="s">
        <v>89</v>
      </c>
      <c r="H714" s="20" t="s">
        <v>1431</v>
      </c>
      <c r="I714" s="20">
        <v>64277</v>
      </c>
      <c r="J714" s="20">
        <v>331</v>
      </c>
      <c r="K714" s="20" t="s">
        <v>20</v>
      </c>
      <c r="L714" s="20">
        <v>1</v>
      </c>
      <c r="M714" s="34">
        <v>49074</v>
      </c>
      <c r="N714" s="34">
        <f t="shared" si="47"/>
        <v>49074</v>
      </c>
      <c r="P714" s="20">
        <f t="shared" si="48"/>
        <v>73</v>
      </c>
    </row>
    <row r="715" spans="1:16" ht="15" hidden="1" customHeight="1" x14ac:dyDescent="0.2">
      <c r="A715" s="20" t="s">
        <v>18</v>
      </c>
      <c r="B715" s="61">
        <v>46089</v>
      </c>
      <c r="C715" s="20">
        <f t="shared" si="49"/>
        <v>1651</v>
      </c>
      <c r="D715" s="38">
        <f t="shared" si="50"/>
        <v>0</v>
      </c>
      <c r="G715" s="32" t="s">
        <v>89</v>
      </c>
      <c r="H715" s="20" t="s">
        <v>1431</v>
      </c>
      <c r="I715" s="20">
        <v>1331</v>
      </c>
      <c r="J715" s="20">
        <v>331</v>
      </c>
      <c r="K715" s="20" t="s">
        <v>20</v>
      </c>
      <c r="L715" s="20">
        <v>1</v>
      </c>
      <c r="M715" s="34">
        <v>3926</v>
      </c>
      <c r="N715" s="34">
        <f t="shared" si="47"/>
        <v>3926</v>
      </c>
      <c r="P715" s="20">
        <f t="shared" si="48"/>
        <v>73</v>
      </c>
    </row>
    <row r="716" spans="1:16" ht="15" hidden="1" customHeight="1" x14ac:dyDescent="0.2">
      <c r="A716" s="20" t="s">
        <v>310</v>
      </c>
      <c r="B716" s="61">
        <v>46089</v>
      </c>
      <c r="C716" s="20">
        <f t="shared" si="49"/>
        <v>1652</v>
      </c>
      <c r="D716" s="38">
        <f t="shared" si="50"/>
        <v>1</v>
      </c>
      <c r="G716" s="32" t="s">
        <v>89</v>
      </c>
      <c r="H716" s="20" t="s">
        <v>2938</v>
      </c>
      <c r="I716" s="20">
        <v>331</v>
      </c>
      <c r="J716" s="20">
        <v>1111</v>
      </c>
      <c r="K716" s="20" t="s">
        <v>20</v>
      </c>
      <c r="L716" s="20">
        <v>1</v>
      </c>
      <c r="M716" s="34">
        <v>53000</v>
      </c>
      <c r="N716" s="34">
        <f t="shared" si="47"/>
        <v>53000</v>
      </c>
      <c r="P716" s="20">
        <f t="shared" si="48"/>
        <v>84</v>
      </c>
    </row>
    <row r="717" spans="1:16" ht="15" hidden="1" customHeight="1" x14ac:dyDescent="0.2">
      <c r="A717" s="20" t="s">
        <v>18</v>
      </c>
      <c r="B717" s="61">
        <v>46089</v>
      </c>
      <c r="C717" s="20">
        <f t="shared" si="49"/>
        <v>1653</v>
      </c>
      <c r="D717" s="38">
        <f t="shared" si="50"/>
        <v>1</v>
      </c>
      <c r="G717" s="32" t="s">
        <v>25</v>
      </c>
      <c r="H717" s="20" t="s">
        <v>1432</v>
      </c>
      <c r="I717" s="20">
        <v>64277</v>
      </c>
      <c r="J717" s="20">
        <v>331</v>
      </c>
      <c r="K717" s="20" t="s">
        <v>20</v>
      </c>
      <c r="L717" s="20">
        <v>1</v>
      </c>
      <c r="M717" s="34">
        <v>708000</v>
      </c>
      <c r="N717" s="34">
        <f t="shared" si="47"/>
        <v>708000</v>
      </c>
      <c r="P717" s="20">
        <f t="shared" si="48"/>
        <v>81</v>
      </c>
    </row>
    <row r="718" spans="1:16" ht="15" hidden="1" customHeight="1" x14ac:dyDescent="0.2">
      <c r="A718" s="20" t="s">
        <v>18</v>
      </c>
      <c r="B718" s="61">
        <v>46089</v>
      </c>
      <c r="C718" s="20">
        <f t="shared" si="49"/>
        <v>1653</v>
      </c>
      <c r="D718" s="38">
        <f t="shared" si="50"/>
        <v>0</v>
      </c>
      <c r="G718" s="32" t="s">
        <v>25</v>
      </c>
      <c r="H718" s="20" t="s">
        <v>1432</v>
      </c>
      <c r="I718" s="20">
        <v>1331</v>
      </c>
      <c r="J718" s="20">
        <v>331</v>
      </c>
      <c r="K718" s="20" t="s">
        <v>20</v>
      </c>
      <c r="L718" s="20">
        <v>1</v>
      </c>
      <c r="M718" s="34">
        <v>56640</v>
      </c>
      <c r="N718" s="34">
        <f t="shared" si="47"/>
        <v>56640</v>
      </c>
      <c r="P718" s="20">
        <f t="shared" si="48"/>
        <v>81</v>
      </c>
    </row>
    <row r="719" spans="1:16" ht="15" hidden="1" customHeight="1" x14ac:dyDescent="0.2">
      <c r="A719" s="20" t="s">
        <v>310</v>
      </c>
      <c r="B719" s="61">
        <v>46089</v>
      </c>
      <c r="C719" s="20">
        <f t="shared" si="49"/>
        <v>1654</v>
      </c>
      <c r="D719" s="38">
        <f t="shared" si="50"/>
        <v>1</v>
      </c>
      <c r="G719" s="32" t="s">
        <v>25</v>
      </c>
      <c r="H719" s="20" t="s">
        <v>2939</v>
      </c>
      <c r="I719" s="20">
        <v>331</v>
      </c>
      <c r="J719" s="20">
        <v>1111</v>
      </c>
      <c r="K719" s="20" t="s">
        <v>20</v>
      </c>
      <c r="L719" s="20">
        <v>1</v>
      </c>
      <c r="M719" s="34">
        <v>764640</v>
      </c>
      <c r="N719" s="34">
        <f t="shared" si="47"/>
        <v>764640</v>
      </c>
      <c r="P719" s="20">
        <f t="shared" si="48"/>
        <v>92</v>
      </c>
    </row>
    <row r="720" spans="1:16" ht="15" hidden="1" customHeight="1" x14ac:dyDescent="0.2">
      <c r="A720" s="20" t="s">
        <v>18</v>
      </c>
      <c r="B720" s="61">
        <v>46090</v>
      </c>
      <c r="C720" s="20">
        <f t="shared" si="49"/>
        <v>1655</v>
      </c>
      <c r="D720" s="38">
        <f t="shared" si="50"/>
        <v>1</v>
      </c>
      <c r="G720" s="32" t="s">
        <v>1433</v>
      </c>
      <c r="H720" s="20" t="s">
        <v>1434</v>
      </c>
      <c r="I720" s="20">
        <v>64277</v>
      </c>
      <c r="J720" s="20">
        <v>331</v>
      </c>
      <c r="K720" s="20" t="s">
        <v>20</v>
      </c>
      <c r="L720" s="20">
        <v>1</v>
      </c>
      <c r="M720" s="34">
        <v>2212963</v>
      </c>
      <c r="N720" s="34">
        <f t="shared" si="47"/>
        <v>2212963</v>
      </c>
      <c r="P720" s="20">
        <f t="shared" si="48"/>
        <v>98</v>
      </c>
    </row>
    <row r="721" spans="1:16" ht="15" hidden="1" customHeight="1" x14ac:dyDescent="0.2">
      <c r="A721" s="20" t="s">
        <v>18</v>
      </c>
      <c r="B721" s="61">
        <v>46090</v>
      </c>
      <c r="C721" s="20">
        <f t="shared" si="49"/>
        <v>1655</v>
      </c>
      <c r="D721" s="38">
        <f t="shared" si="50"/>
        <v>0</v>
      </c>
      <c r="G721" s="32" t="s">
        <v>1433</v>
      </c>
      <c r="H721" s="20" t="s">
        <v>1434</v>
      </c>
      <c r="I721" s="20">
        <v>1331</v>
      </c>
      <c r="J721" s="20">
        <v>331</v>
      </c>
      <c r="K721" s="20" t="s">
        <v>20</v>
      </c>
      <c r="L721" s="20">
        <v>1</v>
      </c>
      <c r="M721" s="34">
        <v>177037</v>
      </c>
      <c r="N721" s="34">
        <f t="shared" si="47"/>
        <v>177037</v>
      </c>
      <c r="P721" s="20">
        <f t="shared" si="48"/>
        <v>98</v>
      </c>
    </row>
    <row r="722" spans="1:16" ht="15" hidden="1" customHeight="1" x14ac:dyDescent="0.2">
      <c r="A722" s="20" t="s">
        <v>310</v>
      </c>
      <c r="B722" s="61">
        <v>46090</v>
      </c>
      <c r="C722" s="20">
        <f t="shared" si="49"/>
        <v>1656</v>
      </c>
      <c r="D722" s="38">
        <f t="shared" si="50"/>
        <v>1</v>
      </c>
      <c r="G722" s="32" t="s">
        <v>1433</v>
      </c>
      <c r="H722" s="20" t="s">
        <v>2940</v>
      </c>
      <c r="I722" s="20">
        <v>331</v>
      </c>
      <c r="J722" s="20">
        <v>1111</v>
      </c>
      <c r="K722" s="20" t="s">
        <v>20</v>
      </c>
      <c r="L722" s="20">
        <v>1</v>
      </c>
      <c r="M722" s="34">
        <v>2390000</v>
      </c>
      <c r="N722" s="34">
        <f t="shared" si="47"/>
        <v>2390000</v>
      </c>
      <c r="P722" s="20">
        <f t="shared" si="48"/>
        <v>109</v>
      </c>
    </row>
    <row r="723" spans="1:16" ht="15" hidden="1" customHeight="1" x14ac:dyDescent="0.2">
      <c r="A723" s="20" t="s">
        <v>18</v>
      </c>
      <c r="B723" s="61">
        <v>46090</v>
      </c>
      <c r="C723" s="20">
        <f t="shared" si="49"/>
        <v>1657</v>
      </c>
      <c r="D723" s="38">
        <f t="shared" si="50"/>
        <v>1</v>
      </c>
      <c r="G723" s="32" t="s">
        <v>89</v>
      </c>
      <c r="H723" s="20" t="s">
        <v>1435</v>
      </c>
      <c r="I723" s="20">
        <v>64277</v>
      </c>
      <c r="J723" s="20">
        <v>331</v>
      </c>
      <c r="K723" s="20" t="s">
        <v>20</v>
      </c>
      <c r="L723" s="20">
        <v>1</v>
      </c>
      <c r="M723" s="34">
        <v>51852</v>
      </c>
      <c r="N723" s="34">
        <f t="shared" si="47"/>
        <v>51852</v>
      </c>
      <c r="P723" s="20">
        <f t="shared" si="48"/>
        <v>73</v>
      </c>
    </row>
    <row r="724" spans="1:16" ht="15" hidden="1" customHeight="1" x14ac:dyDescent="0.2">
      <c r="A724" s="20" t="s">
        <v>18</v>
      </c>
      <c r="B724" s="61">
        <v>46090</v>
      </c>
      <c r="C724" s="20">
        <f t="shared" si="49"/>
        <v>1657</v>
      </c>
      <c r="D724" s="38">
        <f t="shared" si="50"/>
        <v>0</v>
      </c>
      <c r="G724" s="32" t="s">
        <v>89</v>
      </c>
      <c r="H724" s="20" t="s">
        <v>1435</v>
      </c>
      <c r="I724" s="20">
        <v>1331</v>
      </c>
      <c r="J724" s="20">
        <v>331</v>
      </c>
      <c r="K724" s="20" t="s">
        <v>20</v>
      </c>
      <c r="L724" s="20">
        <v>1</v>
      </c>
      <c r="M724" s="34">
        <v>4148</v>
      </c>
      <c r="N724" s="34">
        <f t="shared" si="47"/>
        <v>4148</v>
      </c>
      <c r="P724" s="20">
        <f t="shared" si="48"/>
        <v>73</v>
      </c>
    </row>
    <row r="725" spans="1:16" ht="15" hidden="1" customHeight="1" x14ac:dyDescent="0.2">
      <c r="A725" s="20" t="s">
        <v>310</v>
      </c>
      <c r="B725" s="61">
        <v>46090</v>
      </c>
      <c r="C725" s="20">
        <f t="shared" si="49"/>
        <v>1658</v>
      </c>
      <c r="D725" s="38">
        <f t="shared" si="50"/>
        <v>1</v>
      </c>
      <c r="G725" s="32" t="s">
        <v>89</v>
      </c>
      <c r="H725" s="20" t="s">
        <v>2941</v>
      </c>
      <c r="I725" s="20">
        <v>331</v>
      </c>
      <c r="J725" s="20">
        <v>1111</v>
      </c>
      <c r="K725" s="20" t="s">
        <v>20</v>
      </c>
      <c r="L725" s="20">
        <v>1</v>
      </c>
      <c r="M725" s="34">
        <v>56000</v>
      </c>
      <c r="N725" s="34">
        <f t="shared" si="47"/>
        <v>56000</v>
      </c>
      <c r="P725" s="20">
        <f t="shared" si="48"/>
        <v>84</v>
      </c>
    </row>
    <row r="726" spans="1:16" ht="15" hidden="1" customHeight="1" x14ac:dyDescent="0.2">
      <c r="A726" s="20" t="s">
        <v>18</v>
      </c>
      <c r="B726" s="61">
        <v>46090</v>
      </c>
      <c r="C726" s="20">
        <f t="shared" si="49"/>
        <v>1659</v>
      </c>
      <c r="D726" s="38">
        <f t="shared" si="50"/>
        <v>1</v>
      </c>
      <c r="G726" s="32" t="s">
        <v>89</v>
      </c>
      <c r="H726" s="20" t="s">
        <v>1436</v>
      </c>
      <c r="I726" s="20">
        <v>64277</v>
      </c>
      <c r="J726" s="20">
        <v>331</v>
      </c>
      <c r="K726" s="20" t="s">
        <v>20</v>
      </c>
      <c r="L726" s="20">
        <v>1</v>
      </c>
      <c r="M726" s="34">
        <v>30555</v>
      </c>
      <c r="N726" s="34">
        <f t="shared" si="47"/>
        <v>30555</v>
      </c>
      <c r="P726" s="20">
        <f t="shared" si="48"/>
        <v>73</v>
      </c>
    </row>
    <row r="727" spans="1:16" ht="15" hidden="1" customHeight="1" x14ac:dyDescent="0.2">
      <c r="A727" s="20" t="s">
        <v>18</v>
      </c>
      <c r="B727" s="61">
        <v>46090</v>
      </c>
      <c r="C727" s="20">
        <f t="shared" si="49"/>
        <v>1659</v>
      </c>
      <c r="D727" s="38">
        <f t="shared" si="50"/>
        <v>0</v>
      </c>
      <c r="G727" s="32" t="s">
        <v>89</v>
      </c>
      <c r="H727" s="20" t="s">
        <v>1436</v>
      </c>
      <c r="I727" s="20">
        <v>1331</v>
      </c>
      <c r="J727" s="20">
        <v>331</v>
      </c>
      <c r="K727" s="20" t="s">
        <v>20</v>
      </c>
      <c r="L727" s="20">
        <v>1</v>
      </c>
      <c r="M727" s="34">
        <v>2445</v>
      </c>
      <c r="N727" s="34">
        <f t="shared" si="47"/>
        <v>2445</v>
      </c>
      <c r="P727" s="20">
        <f t="shared" si="48"/>
        <v>73</v>
      </c>
    </row>
    <row r="728" spans="1:16" ht="15" hidden="1" customHeight="1" x14ac:dyDescent="0.2">
      <c r="A728" s="20" t="s">
        <v>310</v>
      </c>
      <c r="B728" s="61">
        <v>46090</v>
      </c>
      <c r="C728" s="20">
        <f t="shared" si="49"/>
        <v>1660</v>
      </c>
      <c r="D728" s="38">
        <f t="shared" si="50"/>
        <v>1</v>
      </c>
      <c r="G728" s="32" t="s">
        <v>89</v>
      </c>
      <c r="H728" s="20" t="s">
        <v>2942</v>
      </c>
      <c r="I728" s="20">
        <v>331</v>
      </c>
      <c r="J728" s="20">
        <v>1111</v>
      </c>
      <c r="K728" s="20" t="s">
        <v>20</v>
      </c>
      <c r="L728" s="20">
        <v>1</v>
      </c>
      <c r="M728" s="34">
        <v>33000</v>
      </c>
      <c r="N728" s="34">
        <f t="shared" si="47"/>
        <v>33000</v>
      </c>
      <c r="P728" s="20">
        <f t="shared" si="48"/>
        <v>84</v>
      </c>
    </row>
    <row r="729" spans="1:16" ht="15" hidden="1" customHeight="1" x14ac:dyDescent="0.2">
      <c r="A729" s="20" t="s">
        <v>18</v>
      </c>
      <c r="B729" s="61">
        <v>46090</v>
      </c>
      <c r="C729" s="20">
        <f t="shared" si="49"/>
        <v>1661</v>
      </c>
      <c r="D729" s="38">
        <f t="shared" si="50"/>
        <v>1</v>
      </c>
      <c r="G729" s="32" t="s">
        <v>89</v>
      </c>
      <c r="H729" s="20" t="s">
        <v>1437</v>
      </c>
      <c r="I729" s="20">
        <v>64277</v>
      </c>
      <c r="J729" s="20">
        <v>331</v>
      </c>
      <c r="K729" s="20" t="s">
        <v>20</v>
      </c>
      <c r="L729" s="20">
        <v>1</v>
      </c>
      <c r="M729" s="34">
        <v>24074</v>
      </c>
      <c r="N729" s="34">
        <f t="shared" si="47"/>
        <v>24074</v>
      </c>
      <c r="P729" s="20">
        <f t="shared" si="48"/>
        <v>73</v>
      </c>
    </row>
    <row r="730" spans="1:16" ht="15" hidden="1" customHeight="1" x14ac:dyDescent="0.2">
      <c r="A730" s="20" t="s">
        <v>18</v>
      </c>
      <c r="B730" s="61">
        <v>46090</v>
      </c>
      <c r="C730" s="20">
        <f t="shared" si="49"/>
        <v>1661</v>
      </c>
      <c r="D730" s="38">
        <f t="shared" si="50"/>
        <v>0</v>
      </c>
      <c r="G730" s="32" t="s">
        <v>89</v>
      </c>
      <c r="H730" s="20" t="s">
        <v>1437</v>
      </c>
      <c r="I730" s="20">
        <v>1331</v>
      </c>
      <c r="J730" s="20">
        <v>331</v>
      </c>
      <c r="K730" s="20" t="s">
        <v>20</v>
      </c>
      <c r="L730" s="20">
        <v>1</v>
      </c>
      <c r="M730" s="34">
        <v>1926</v>
      </c>
      <c r="N730" s="34">
        <f t="shared" si="47"/>
        <v>1926</v>
      </c>
      <c r="P730" s="20">
        <f t="shared" si="48"/>
        <v>73</v>
      </c>
    </row>
    <row r="731" spans="1:16" ht="15" hidden="1" customHeight="1" x14ac:dyDescent="0.2">
      <c r="A731" s="20" t="s">
        <v>310</v>
      </c>
      <c r="B731" s="61">
        <v>46090</v>
      </c>
      <c r="C731" s="20">
        <f t="shared" si="49"/>
        <v>1662</v>
      </c>
      <c r="D731" s="38">
        <f t="shared" si="50"/>
        <v>1</v>
      </c>
      <c r="G731" s="32" t="s">
        <v>89</v>
      </c>
      <c r="H731" s="20" t="s">
        <v>2943</v>
      </c>
      <c r="I731" s="20">
        <v>331</v>
      </c>
      <c r="J731" s="20">
        <v>1111</v>
      </c>
      <c r="K731" s="20" t="s">
        <v>20</v>
      </c>
      <c r="L731" s="20">
        <v>1</v>
      </c>
      <c r="M731" s="34">
        <v>26000</v>
      </c>
      <c r="N731" s="34">
        <f t="shared" si="47"/>
        <v>26000</v>
      </c>
      <c r="P731" s="20">
        <f t="shared" si="48"/>
        <v>84</v>
      </c>
    </row>
    <row r="732" spans="1:16" ht="15" hidden="1" customHeight="1" x14ac:dyDescent="0.2">
      <c r="A732" s="20" t="s">
        <v>18</v>
      </c>
      <c r="B732" s="61">
        <v>46091</v>
      </c>
      <c r="C732" s="20">
        <f t="shared" si="49"/>
        <v>1663</v>
      </c>
      <c r="D732" s="38">
        <f t="shared" si="50"/>
        <v>1</v>
      </c>
      <c r="G732" s="32" t="s">
        <v>89</v>
      </c>
      <c r="H732" s="20" t="s">
        <v>1438</v>
      </c>
      <c r="I732" s="20">
        <v>64277</v>
      </c>
      <c r="J732" s="20">
        <v>331</v>
      </c>
      <c r="K732" s="20" t="s">
        <v>20</v>
      </c>
      <c r="L732" s="20">
        <v>1</v>
      </c>
      <c r="M732" s="34">
        <v>123148</v>
      </c>
      <c r="N732" s="34">
        <f t="shared" si="47"/>
        <v>123148</v>
      </c>
      <c r="P732" s="20">
        <f t="shared" si="48"/>
        <v>73</v>
      </c>
    </row>
    <row r="733" spans="1:16" ht="15" hidden="1" customHeight="1" x14ac:dyDescent="0.2">
      <c r="A733" s="20" t="s">
        <v>18</v>
      </c>
      <c r="B733" s="61">
        <v>46091</v>
      </c>
      <c r="C733" s="20">
        <f t="shared" si="49"/>
        <v>1663</v>
      </c>
      <c r="D733" s="38">
        <f t="shared" si="50"/>
        <v>0</v>
      </c>
      <c r="G733" s="32" t="s">
        <v>89</v>
      </c>
      <c r="H733" s="20" t="s">
        <v>1438</v>
      </c>
      <c r="I733" s="20">
        <v>1331</v>
      </c>
      <c r="J733" s="20">
        <v>331</v>
      </c>
      <c r="K733" s="20" t="s">
        <v>20</v>
      </c>
      <c r="L733" s="20">
        <v>1</v>
      </c>
      <c r="M733" s="34">
        <v>9852</v>
      </c>
      <c r="N733" s="34">
        <f t="shared" si="47"/>
        <v>9852</v>
      </c>
      <c r="P733" s="20">
        <f t="shared" si="48"/>
        <v>73</v>
      </c>
    </row>
    <row r="734" spans="1:16" ht="15" hidden="1" customHeight="1" x14ac:dyDescent="0.2">
      <c r="A734" s="20" t="s">
        <v>310</v>
      </c>
      <c r="B734" s="61">
        <v>46091</v>
      </c>
      <c r="C734" s="20">
        <f t="shared" si="49"/>
        <v>1664</v>
      </c>
      <c r="D734" s="38">
        <f t="shared" si="50"/>
        <v>1</v>
      </c>
      <c r="G734" s="32" t="s">
        <v>89</v>
      </c>
      <c r="H734" s="20" t="s">
        <v>2944</v>
      </c>
      <c r="I734" s="20">
        <v>331</v>
      </c>
      <c r="J734" s="20">
        <v>1111</v>
      </c>
      <c r="K734" s="20" t="s">
        <v>20</v>
      </c>
      <c r="L734" s="20">
        <v>1</v>
      </c>
      <c r="M734" s="34">
        <v>133000</v>
      </c>
      <c r="N734" s="34">
        <f t="shared" si="47"/>
        <v>133000</v>
      </c>
      <c r="P734" s="20">
        <f t="shared" si="48"/>
        <v>84</v>
      </c>
    </row>
    <row r="735" spans="1:16" ht="15" hidden="1" customHeight="1" x14ac:dyDescent="0.2">
      <c r="A735" s="20" t="s">
        <v>18</v>
      </c>
      <c r="B735" s="61">
        <v>46091</v>
      </c>
      <c r="C735" s="20">
        <f t="shared" si="49"/>
        <v>1665</v>
      </c>
      <c r="D735" s="38">
        <f t="shared" si="50"/>
        <v>1</v>
      </c>
      <c r="G735" s="32" t="s">
        <v>89</v>
      </c>
      <c r="H735" s="20" t="s">
        <v>1439</v>
      </c>
      <c r="I735" s="20">
        <v>64277</v>
      </c>
      <c r="J735" s="20">
        <v>331</v>
      </c>
      <c r="K735" s="20" t="s">
        <v>20</v>
      </c>
      <c r="L735" s="20">
        <v>1</v>
      </c>
      <c r="M735" s="34">
        <v>17593</v>
      </c>
      <c r="N735" s="34">
        <f t="shared" si="47"/>
        <v>17593</v>
      </c>
      <c r="P735" s="20">
        <f t="shared" si="48"/>
        <v>73</v>
      </c>
    </row>
    <row r="736" spans="1:16" ht="15" hidden="1" customHeight="1" x14ac:dyDescent="0.2">
      <c r="A736" s="20" t="s">
        <v>18</v>
      </c>
      <c r="B736" s="61">
        <v>46091</v>
      </c>
      <c r="C736" s="20">
        <f t="shared" si="49"/>
        <v>1665</v>
      </c>
      <c r="D736" s="38">
        <f t="shared" si="50"/>
        <v>0</v>
      </c>
      <c r="G736" s="32" t="s">
        <v>89</v>
      </c>
      <c r="H736" s="20" t="s">
        <v>1439</v>
      </c>
      <c r="I736" s="20">
        <v>1331</v>
      </c>
      <c r="J736" s="20">
        <v>331</v>
      </c>
      <c r="K736" s="20" t="s">
        <v>20</v>
      </c>
      <c r="L736" s="20">
        <v>1</v>
      </c>
      <c r="M736" s="34">
        <v>1407</v>
      </c>
      <c r="N736" s="34">
        <f t="shared" si="47"/>
        <v>1407</v>
      </c>
      <c r="P736" s="20">
        <f t="shared" si="48"/>
        <v>73</v>
      </c>
    </row>
    <row r="737" spans="1:16" ht="15" hidden="1" customHeight="1" x14ac:dyDescent="0.2">
      <c r="A737" s="20" t="s">
        <v>310</v>
      </c>
      <c r="B737" s="61">
        <v>46091</v>
      </c>
      <c r="C737" s="20">
        <f t="shared" si="49"/>
        <v>1666</v>
      </c>
      <c r="D737" s="38">
        <f t="shared" si="50"/>
        <v>1</v>
      </c>
      <c r="G737" s="32" t="s">
        <v>89</v>
      </c>
      <c r="H737" s="20" t="s">
        <v>2945</v>
      </c>
      <c r="I737" s="20">
        <v>331</v>
      </c>
      <c r="J737" s="20">
        <v>1111</v>
      </c>
      <c r="K737" s="20" t="s">
        <v>20</v>
      </c>
      <c r="L737" s="20">
        <v>1</v>
      </c>
      <c r="M737" s="34">
        <v>19000</v>
      </c>
      <c r="N737" s="34">
        <f t="shared" si="47"/>
        <v>19000</v>
      </c>
      <c r="P737" s="20">
        <f t="shared" si="48"/>
        <v>84</v>
      </c>
    </row>
    <row r="738" spans="1:16" ht="15" hidden="1" customHeight="1" x14ac:dyDescent="0.2">
      <c r="A738" s="20" t="s">
        <v>18</v>
      </c>
      <c r="B738" s="61">
        <v>46091</v>
      </c>
      <c r="C738" s="20">
        <f t="shared" si="49"/>
        <v>1667</v>
      </c>
      <c r="D738" s="38">
        <f t="shared" si="50"/>
        <v>1</v>
      </c>
      <c r="G738" s="32" t="s">
        <v>89</v>
      </c>
      <c r="H738" s="20" t="s">
        <v>1440</v>
      </c>
      <c r="I738" s="20">
        <v>64277</v>
      </c>
      <c r="J738" s="20">
        <v>331</v>
      </c>
      <c r="K738" s="20" t="s">
        <v>20</v>
      </c>
      <c r="L738" s="20">
        <v>1</v>
      </c>
      <c r="M738" s="34">
        <v>35185</v>
      </c>
      <c r="N738" s="34">
        <f t="shared" si="47"/>
        <v>35185</v>
      </c>
      <c r="P738" s="20">
        <f t="shared" si="48"/>
        <v>72</v>
      </c>
    </row>
    <row r="739" spans="1:16" ht="15" hidden="1" customHeight="1" x14ac:dyDescent="0.2">
      <c r="A739" s="20" t="s">
        <v>18</v>
      </c>
      <c r="B739" s="61">
        <v>46091</v>
      </c>
      <c r="C739" s="20">
        <f t="shared" si="49"/>
        <v>1667</v>
      </c>
      <c r="D739" s="38">
        <f t="shared" si="50"/>
        <v>0</v>
      </c>
      <c r="G739" s="32" t="s">
        <v>89</v>
      </c>
      <c r="H739" s="20" t="s">
        <v>1440</v>
      </c>
      <c r="I739" s="20">
        <v>1331</v>
      </c>
      <c r="J739" s="20">
        <v>331</v>
      </c>
      <c r="K739" s="20" t="s">
        <v>20</v>
      </c>
      <c r="L739" s="20">
        <v>1</v>
      </c>
      <c r="M739" s="34">
        <v>2815</v>
      </c>
      <c r="N739" s="34">
        <f t="shared" si="47"/>
        <v>2815</v>
      </c>
      <c r="P739" s="20">
        <f t="shared" si="48"/>
        <v>72</v>
      </c>
    </row>
    <row r="740" spans="1:16" ht="15" hidden="1" customHeight="1" x14ac:dyDescent="0.2">
      <c r="A740" s="20" t="s">
        <v>310</v>
      </c>
      <c r="B740" s="61">
        <v>46091</v>
      </c>
      <c r="C740" s="20">
        <f t="shared" si="49"/>
        <v>1668</v>
      </c>
      <c r="D740" s="38">
        <f t="shared" si="50"/>
        <v>1</v>
      </c>
      <c r="G740" s="32" t="s">
        <v>89</v>
      </c>
      <c r="H740" s="20" t="s">
        <v>2946</v>
      </c>
      <c r="I740" s="20">
        <v>331</v>
      </c>
      <c r="J740" s="20">
        <v>1111</v>
      </c>
      <c r="K740" s="20" t="s">
        <v>20</v>
      </c>
      <c r="L740" s="20">
        <v>1</v>
      </c>
      <c r="M740" s="34">
        <v>38000</v>
      </c>
      <c r="N740" s="34">
        <f t="shared" si="47"/>
        <v>38000</v>
      </c>
      <c r="P740" s="20">
        <f t="shared" si="48"/>
        <v>83</v>
      </c>
    </row>
    <row r="741" spans="1:16" ht="15" hidden="1" customHeight="1" x14ac:dyDescent="0.2">
      <c r="A741" s="20" t="s">
        <v>18</v>
      </c>
      <c r="B741" s="61">
        <v>46092</v>
      </c>
      <c r="C741" s="20">
        <f t="shared" si="49"/>
        <v>1669</v>
      </c>
      <c r="D741" s="38">
        <f t="shared" si="50"/>
        <v>1</v>
      </c>
      <c r="G741" s="32" t="s">
        <v>89</v>
      </c>
      <c r="H741" s="20" t="s">
        <v>1441</v>
      </c>
      <c r="I741" s="20">
        <v>64277</v>
      </c>
      <c r="J741" s="20">
        <v>331</v>
      </c>
      <c r="K741" s="20" t="s">
        <v>20</v>
      </c>
      <c r="L741" s="20">
        <v>1</v>
      </c>
      <c r="M741" s="34">
        <v>112963</v>
      </c>
      <c r="N741" s="34">
        <f t="shared" si="47"/>
        <v>112963</v>
      </c>
      <c r="P741" s="20">
        <f t="shared" si="48"/>
        <v>73</v>
      </c>
    </row>
    <row r="742" spans="1:16" ht="15" hidden="1" customHeight="1" x14ac:dyDescent="0.2">
      <c r="A742" s="20" t="s">
        <v>18</v>
      </c>
      <c r="B742" s="61">
        <v>46092</v>
      </c>
      <c r="C742" s="20">
        <f t="shared" si="49"/>
        <v>1669</v>
      </c>
      <c r="D742" s="38">
        <f t="shared" si="50"/>
        <v>0</v>
      </c>
      <c r="G742" s="32" t="s">
        <v>89</v>
      </c>
      <c r="H742" s="20" t="s">
        <v>1441</v>
      </c>
      <c r="I742" s="20">
        <v>1331</v>
      </c>
      <c r="J742" s="20">
        <v>331</v>
      </c>
      <c r="K742" s="20" t="s">
        <v>20</v>
      </c>
      <c r="L742" s="20">
        <v>1</v>
      </c>
      <c r="M742" s="34">
        <v>9037</v>
      </c>
      <c r="N742" s="34">
        <f t="shared" si="47"/>
        <v>9037</v>
      </c>
      <c r="P742" s="20">
        <f t="shared" si="48"/>
        <v>73</v>
      </c>
    </row>
    <row r="743" spans="1:16" ht="15" hidden="1" customHeight="1" x14ac:dyDescent="0.2">
      <c r="A743" s="20" t="s">
        <v>310</v>
      </c>
      <c r="B743" s="61">
        <v>46092</v>
      </c>
      <c r="C743" s="20">
        <f t="shared" si="49"/>
        <v>1670</v>
      </c>
      <c r="D743" s="38">
        <f t="shared" si="50"/>
        <v>1</v>
      </c>
      <c r="G743" s="32" t="s">
        <v>89</v>
      </c>
      <c r="H743" s="20" t="s">
        <v>2947</v>
      </c>
      <c r="I743" s="20">
        <v>331</v>
      </c>
      <c r="J743" s="20">
        <v>1111</v>
      </c>
      <c r="K743" s="20" t="s">
        <v>20</v>
      </c>
      <c r="L743" s="20">
        <v>1</v>
      </c>
      <c r="M743" s="34">
        <v>122000</v>
      </c>
      <c r="N743" s="34">
        <f t="shared" si="47"/>
        <v>122000</v>
      </c>
      <c r="P743" s="20">
        <f t="shared" si="48"/>
        <v>84</v>
      </c>
    </row>
    <row r="744" spans="1:16" ht="15" hidden="1" customHeight="1" x14ac:dyDescent="0.2">
      <c r="A744" s="20" t="s">
        <v>18</v>
      </c>
      <c r="B744" s="61">
        <v>46093</v>
      </c>
      <c r="C744" s="20">
        <f t="shared" si="49"/>
        <v>1671</v>
      </c>
      <c r="D744" s="38">
        <f t="shared" si="50"/>
        <v>1</v>
      </c>
      <c r="G744" s="32" t="s">
        <v>1442</v>
      </c>
      <c r="H744" s="20" t="s">
        <v>1443</v>
      </c>
      <c r="I744" s="20">
        <v>64277</v>
      </c>
      <c r="J744" s="20">
        <v>331</v>
      </c>
      <c r="K744" s="20" t="s">
        <v>20</v>
      </c>
      <c r="L744" s="20">
        <v>1</v>
      </c>
      <c r="M744" s="34">
        <v>694444</v>
      </c>
      <c r="N744" s="34">
        <f t="shared" si="47"/>
        <v>694444</v>
      </c>
      <c r="P744" s="20">
        <f t="shared" si="48"/>
        <v>79</v>
      </c>
    </row>
    <row r="745" spans="1:16" ht="15" hidden="1" customHeight="1" x14ac:dyDescent="0.2">
      <c r="A745" s="20" t="s">
        <v>18</v>
      </c>
      <c r="B745" s="61">
        <v>46093</v>
      </c>
      <c r="C745" s="20">
        <f t="shared" si="49"/>
        <v>1671</v>
      </c>
      <c r="D745" s="38">
        <f t="shared" si="50"/>
        <v>0</v>
      </c>
      <c r="G745" s="32" t="s">
        <v>1442</v>
      </c>
      <c r="H745" s="20" t="s">
        <v>1443</v>
      </c>
      <c r="I745" s="20">
        <v>1331</v>
      </c>
      <c r="J745" s="20">
        <v>331</v>
      </c>
      <c r="K745" s="20" t="s">
        <v>20</v>
      </c>
      <c r="L745" s="20">
        <v>1</v>
      </c>
      <c r="M745" s="34">
        <v>55556</v>
      </c>
      <c r="N745" s="34">
        <f t="shared" si="47"/>
        <v>55556</v>
      </c>
      <c r="P745" s="20">
        <f t="shared" si="48"/>
        <v>79</v>
      </c>
    </row>
    <row r="746" spans="1:16" ht="15" hidden="1" customHeight="1" x14ac:dyDescent="0.2">
      <c r="A746" s="20" t="s">
        <v>310</v>
      </c>
      <c r="B746" s="61">
        <v>46093</v>
      </c>
      <c r="C746" s="20">
        <f t="shared" si="49"/>
        <v>1672</v>
      </c>
      <c r="D746" s="38">
        <f t="shared" si="50"/>
        <v>1</v>
      </c>
      <c r="G746" s="32" t="s">
        <v>1442</v>
      </c>
      <c r="H746" s="20" t="s">
        <v>2948</v>
      </c>
      <c r="I746" s="20">
        <v>331</v>
      </c>
      <c r="J746" s="20">
        <v>1111</v>
      </c>
      <c r="K746" s="20" t="s">
        <v>20</v>
      </c>
      <c r="L746" s="20">
        <v>1</v>
      </c>
      <c r="M746" s="34">
        <v>750000</v>
      </c>
      <c r="N746" s="34">
        <f t="shared" si="47"/>
        <v>750000</v>
      </c>
      <c r="P746" s="20">
        <f t="shared" si="48"/>
        <v>90</v>
      </c>
    </row>
    <row r="747" spans="1:16" ht="15" hidden="1" customHeight="1" x14ac:dyDescent="0.2">
      <c r="A747" s="20" t="s">
        <v>18</v>
      </c>
      <c r="B747" s="61">
        <v>46094</v>
      </c>
      <c r="C747" s="20">
        <f t="shared" si="49"/>
        <v>1673</v>
      </c>
      <c r="D747" s="38">
        <f t="shared" si="50"/>
        <v>1</v>
      </c>
      <c r="G747" s="32" t="s">
        <v>90</v>
      </c>
      <c r="H747" s="20" t="s">
        <v>1444</v>
      </c>
      <c r="I747" s="20">
        <v>64277</v>
      </c>
      <c r="J747" s="20">
        <v>331</v>
      </c>
      <c r="K747" s="20" t="s">
        <v>20</v>
      </c>
      <c r="L747" s="20">
        <v>1</v>
      </c>
      <c r="M747" s="34">
        <v>6600000</v>
      </c>
      <c r="N747" s="34">
        <f t="shared" si="47"/>
        <v>6600000</v>
      </c>
      <c r="P747" s="20">
        <f t="shared" si="48"/>
        <v>49</v>
      </c>
    </row>
    <row r="748" spans="1:16" ht="15" hidden="1" customHeight="1" x14ac:dyDescent="0.2">
      <c r="A748" s="20" t="s">
        <v>18</v>
      </c>
      <c r="B748" s="61">
        <v>46094</v>
      </c>
      <c r="C748" s="20">
        <f t="shared" si="49"/>
        <v>1673</v>
      </c>
      <c r="D748" s="38">
        <f t="shared" si="50"/>
        <v>0</v>
      </c>
      <c r="G748" s="32" t="s">
        <v>90</v>
      </c>
      <c r="H748" s="20" t="s">
        <v>1444</v>
      </c>
      <c r="I748" s="20">
        <v>1331</v>
      </c>
      <c r="J748" s="20">
        <v>331</v>
      </c>
      <c r="K748" s="20" t="s">
        <v>20</v>
      </c>
      <c r="L748" s="20">
        <v>1</v>
      </c>
      <c r="M748" s="34">
        <v>330000</v>
      </c>
      <c r="N748" s="34">
        <f t="shared" si="47"/>
        <v>330000</v>
      </c>
      <c r="P748" s="20">
        <f t="shared" si="48"/>
        <v>49</v>
      </c>
    </row>
    <row r="749" spans="1:16" ht="15" hidden="1" customHeight="1" x14ac:dyDescent="0.2">
      <c r="A749" s="20" t="s">
        <v>310</v>
      </c>
      <c r="B749" s="61">
        <v>46094</v>
      </c>
      <c r="C749" s="20">
        <f t="shared" si="49"/>
        <v>1674</v>
      </c>
      <c r="D749" s="38">
        <f t="shared" si="50"/>
        <v>1</v>
      </c>
      <c r="G749" s="32" t="s">
        <v>90</v>
      </c>
      <c r="H749" s="20" t="s">
        <v>2681</v>
      </c>
      <c r="I749" s="20">
        <v>331</v>
      </c>
      <c r="J749" s="20">
        <v>1111</v>
      </c>
      <c r="K749" s="20" t="s">
        <v>20</v>
      </c>
      <c r="L749" s="20">
        <v>1</v>
      </c>
      <c r="M749" s="34">
        <v>6930000</v>
      </c>
      <c r="N749" s="34">
        <f t="shared" si="47"/>
        <v>6930000</v>
      </c>
      <c r="P749" s="20">
        <f t="shared" si="48"/>
        <v>60</v>
      </c>
    </row>
    <row r="750" spans="1:16" ht="15" hidden="1" customHeight="1" x14ac:dyDescent="0.2">
      <c r="A750" s="20" t="s">
        <v>18</v>
      </c>
      <c r="B750" s="61">
        <v>46098</v>
      </c>
      <c r="C750" s="20">
        <f t="shared" si="49"/>
        <v>1675</v>
      </c>
      <c r="D750" s="38">
        <f t="shared" si="50"/>
        <v>1</v>
      </c>
      <c r="G750" s="32" t="s">
        <v>1445</v>
      </c>
      <c r="H750" s="20" t="s">
        <v>1446</v>
      </c>
      <c r="I750" s="20">
        <v>64277</v>
      </c>
      <c r="J750" s="20">
        <v>331</v>
      </c>
      <c r="K750" s="20" t="s">
        <v>20</v>
      </c>
      <c r="L750" s="20">
        <v>1</v>
      </c>
      <c r="M750" s="34">
        <v>6000000</v>
      </c>
      <c r="N750" s="34">
        <f t="shared" si="47"/>
        <v>6000000</v>
      </c>
      <c r="P750" s="20">
        <f t="shared" si="48"/>
        <v>67</v>
      </c>
    </row>
    <row r="751" spans="1:16" ht="15" hidden="1" customHeight="1" x14ac:dyDescent="0.2">
      <c r="A751" s="20" t="s">
        <v>18</v>
      </c>
      <c r="B751" s="61">
        <v>46098</v>
      </c>
      <c r="C751" s="20">
        <f t="shared" si="49"/>
        <v>1675</v>
      </c>
      <c r="D751" s="38">
        <f t="shared" si="50"/>
        <v>0</v>
      </c>
      <c r="G751" s="32" t="s">
        <v>1445</v>
      </c>
      <c r="H751" s="20" t="s">
        <v>1446</v>
      </c>
      <c r="I751" s="20">
        <v>1331</v>
      </c>
      <c r="J751" s="20">
        <v>331</v>
      </c>
      <c r="K751" s="20" t="s">
        <v>20</v>
      </c>
      <c r="L751" s="20">
        <v>1</v>
      </c>
      <c r="M751" s="34">
        <v>600000</v>
      </c>
      <c r="N751" s="34">
        <f t="shared" si="47"/>
        <v>600000</v>
      </c>
      <c r="P751" s="20">
        <f t="shared" si="48"/>
        <v>67</v>
      </c>
    </row>
    <row r="752" spans="1:16" ht="15" hidden="1" customHeight="1" x14ac:dyDescent="0.2">
      <c r="A752" s="20" t="s">
        <v>18</v>
      </c>
      <c r="B752" s="61">
        <v>46098</v>
      </c>
      <c r="C752" s="20">
        <f t="shared" si="49"/>
        <v>1676</v>
      </c>
      <c r="D752" s="38">
        <f t="shared" si="50"/>
        <v>1</v>
      </c>
      <c r="G752" s="32" t="s">
        <v>80</v>
      </c>
      <c r="H752" s="20" t="s">
        <v>1447</v>
      </c>
      <c r="I752" s="20">
        <v>64277</v>
      </c>
      <c r="J752" s="20">
        <v>331</v>
      </c>
      <c r="K752" s="20" t="s">
        <v>20</v>
      </c>
      <c r="L752" s="20">
        <v>1</v>
      </c>
      <c r="M752" s="34">
        <v>29630</v>
      </c>
      <c r="N752" s="34">
        <f t="shared" si="47"/>
        <v>29630</v>
      </c>
      <c r="P752" s="20">
        <f t="shared" si="48"/>
        <v>73</v>
      </c>
    </row>
    <row r="753" spans="1:16" ht="15" hidden="1" customHeight="1" x14ac:dyDescent="0.2">
      <c r="A753" s="20" t="s">
        <v>18</v>
      </c>
      <c r="B753" s="61">
        <v>46098</v>
      </c>
      <c r="C753" s="20">
        <f t="shared" si="49"/>
        <v>1676</v>
      </c>
      <c r="D753" s="38">
        <f t="shared" si="50"/>
        <v>0</v>
      </c>
      <c r="G753" s="32" t="s">
        <v>80</v>
      </c>
      <c r="H753" s="20" t="s">
        <v>1447</v>
      </c>
      <c r="I753" s="20">
        <v>1331</v>
      </c>
      <c r="J753" s="20">
        <v>331</v>
      </c>
      <c r="K753" s="20" t="s">
        <v>20</v>
      </c>
      <c r="L753" s="20">
        <v>1</v>
      </c>
      <c r="M753" s="34">
        <v>2370</v>
      </c>
      <c r="N753" s="34">
        <f t="shared" si="47"/>
        <v>2370</v>
      </c>
      <c r="P753" s="20">
        <f t="shared" si="48"/>
        <v>73</v>
      </c>
    </row>
    <row r="754" spans="1:16" ht="15" hidden="1" customHeight="1" x14ac:dyDescent="0.2">
      <c r="A754" s="20" t="s">
        <v>310</v>
      </c>
      <c r="B754" s="61">
        <v>46098</v>
      </c>
      <c r="C754" s="20">
        <f t="shared" si="49"/>
        <v>1677</v>
      </c>
      <c r="D754" s="38">
        <f t="shared" si="50"/>
        <v>1</v>
      </c>
      <c r="G754" s="32" t="s">
        <v>80</v>
      </c>
      <c r="H754" s="20" t="s">
        <v>2949</v>
      </c>
      <c r="I754" s="20">
        <v>331</v>
      </c>
      <c r="J754" s="20">
        <v>1111</v>
      </c>
      <c r="K754" s="20" t="s">
        <v>20</v>
      </c>
      <c r="L754" s="20">
        <v>1</v>
      </c>
      <c r="M754" s="34">
        <v>32000</v>
      </c>
      <c r="N754" s="34">
        <f t="shared" si="47"/>
        <v>32000</v>
      </c>
      <c r="P754" s="20">
        <f t="shared" si="48"/>
        <v>84</v>
      </c>
    </row>
    <row r="755" spans="1:16" ht="15" hidden="1" customHeight="1" x14ac:dyDescent="0.2">
      <c r="A755" s="20" t="s">
        <v>18</v>
      </c>
      <c r="B755" s="61">
        <v>46098</v>
      </c>
      <c r="C755" s="20">
        <f t="shared" si="49"/>
        <v>1678</v>
      </c>
      <c r="D755" s="38">
        <f t="shared" si="50"/>
        <v>1</v>
      </c>
      <c r="G755" s="32" t="s">
        <v>80</v>
      </c>
      <c r="H755" s="20" t="s">
        <v>1448</v>
      </c>
      <c r="I755" s="20">
        <v>64277</v>
      </c>
      <c r="J755" s="20">
        <v>331</v>
      </c>
      <c r="K755" s="20" t="s">
        <v>20</v>
      </c>
      <c r="L755" s="20">
        <v>1</v>
      </c>
      <c r="M755" s="34">
        <v>28704</v>
      </c>
      <c r="N755" s="34">
        <f t="shared" si="47"/>
        <v>28704</v>
      </c>
      <c r="P755" s="20">
        <f t="shared" si="48"/>
        <v>73</v>
      </c>
    </row>
    <row r="756" spans="1:16" ht="15" hidden="1" customHeight="1" x14ac:dyDescent="0.2">
      <c r="A756" s="20" t="s">
        <v>18</v>
      </c>
      <c r="B756" s="61">
        <v>46098</v>
      </c>
      <c r="C756" s="20">
        <f t="shared" si="49"/>
        <v>1678</v>
      </c>
      <c r="D756" s="38">
        <f t="shared" si="50"/>
        <v>0</v>
      </c>
      <c r="G756" s="32" t="s">
        <v>80</v>
      </c>
      <c r="H756" s="20" t="s">
        <v>1448</v>
      </c>
      <c r="I756" s="20">
        <v>1331</v>
      </c>
      <c r="J756" s="20">
        <v>331</v>
      </c>
      <c r="K756" s="20" t="s">
        <v>20</v>
      </c>
      <c r="L756" s="20">
        <v>1</v>
      </c>
      <c r="M756" s="34">
        <v>2296</v>
      </c>
      <c r="N756" s="34">
        <f t="shared" si="47"/>
        <v>2296</v>
      </c>
      <c r="P756" s="20">
        <f t="shared" si="48"/>
        <v>73</v>
      </c>
    </row>
    <row r="757" spans="1:16" ht="15" hidden="1" customHeight="1" x14ac:dyDescent="0.2">
      <c r="A757" s="20" t="s">
        <v>310</v>
      </c>
      <c r="B757" s="61">
        <v>46098</v>
      </c>
      <c r="C757" s="20">
        <f t="shared" si="49"/>
        <v>1679</v>
      </c>
      <c r="D757" s="38">
        <f t="shared" si="50"/>
        <v>1</v>
      </c>
      <c r="G757" s="32" t="s">
        <v>80</v>
      </c>
      <c r="H757" s="20" t="s">
        <v>2950</v>
      </c>
      <c r="I757" s="20">
        <v>331</v>
      </c>
      <c r="J757" s="20">
        <v>1111</v>
      </c>
      <c r="K757" s="20" t="s">
        <v>20</v>
      </c>
      <c r="L757" s="20">
        <v>1</v>
      </c>
      <c r="M757" s="34">
        <v>31000</v>
      </c>
      <c r="N757" s="34">
        <f t="shared" si="47"/>
        <v>31000</v>
      </c>
      <c r="P757" s="20">
        <f t="shared" si="48"/>
        <v>84</v>
      </c>
    </row>
    <row r="758" spans="1:16" ht="15" hidden="1" customHeight="1" x14ac:dyDescent="0.2">
      <c r="A758" s="20" t="s">
        <v>18</v>
      </c>
      <c r="B758" s="61">
        <v>46098</v>
      </c>
      <c r="C758" s="20">
        <f t="shared" si="49"/>
        <v>1680</v>
      </c>
      <c r="D758" s="38">
        <f t="shared" si="50"/>
        <v>1</v>
      </c>
      <c r="G758" s="32" t="s">
        <v>80</v>
      </c>
      <c r="H758" s="20" t="s">
        <v>1449</v>
      </c>
      <c r="I758" s="20">
        <v>64277</v>
      </c>
      <c r="J758" s="20">
        <v>331</v>
      </c>
      <c r="K758" s="20" t="s">
        <v>20</v>
      </c>
      <c r="L758" s="20">
        <v>1</v>
      </c>
      <c r="M758" s="34">
        <v>25000</v>
      </c>
      <c r="N758" s="34">
        <f t="shared" si="47"/>
        <v>25000</v>
      </c>
      <c r="P758" s="20">
        <f t="shared" si="48"/>
        <v>73</v>
      </c>
    </row>
    <row r="759" spans="1:16" ht="15" hidden="1" customHeight="1" x14ac:dyDescent="0.2">
      <c r="A759" s="20" t="s">
        <v>18</v>
      </c>
      <c r="B759" s="61">
        <v>46098</v>
      </c>
      <c r="C759" s="20">
        <f t="shared" si="49"/>
        <v>1680</v>
      </c>
      <c r="D759" s="38">
        <f t="shared" si="50"/>
        <v>0</v>
      </c>
      <c r="G759" s="32" t="s">
        <v>80</v>
      </c>
      <c r="H759" s="20" t="s">
        <v>1449</v>
      </c>
      <c r="I759" s="20">
        <v>1331</v>
      </c>
      <c r="J759" s="20">
        <v>331</v>
      </c>
      <c r="K759" s="20" t="s">
        <v>20</v>
      </c>
      <c r="L759" s="20">
        <v>1</v>
      </c>
      <c r="M759" s="34">
        <v>2000</v>
      </c>
      <c r="N759" s="34">
        <f t="shared" si="47"/>
        <v>2000</v>
      </c>
      <c r="P759" s="20">
        <f t="shared" si="48"/>
        <v>73</v>
      </c>
    </row>
    <row r="760" spans="1:16" ht="15" hidden="1" customHeight="1" x14ac:dyDescent="0.2">
      <c r="A760" s="20" t="s">
        <v>310</v>
      </c>
      <c r="B760" s="61">
        <v>46098</v>
      </c>
      <c r="C760" s="20">
        <f t="shared" si="49"/>
        <v>1681</v>
      </c>
      <c r="D760" s="38">
        <f t="shared" si="50"/>
        <v>1</v>
      </c>
      <c r="G760" s="32" t="s">
        <v>80</v>
      </c>
      <c r="H760" s="20" t="s">
        <v>2951</v>
      </c>
      <c r="I760" s="20">
        <v>331</v>
      </c>
      <c r="J760" s="20">
        <v>1111</v>
      </c>
      <c r="K760" s="20" t="s">
        <v>20</v>
      </c>
      <c r="L760" s="20">
        <v>1</v>
      </c>
      <c r="M760" s="34">
        <v>27000</v>
      </c>
      <c r="N760" s="34">
        <f t="shared" si="47"/>
        <v>27000</v>
      </c>
      <c r="P760" s="20">
        <f t="shared" si="48"/>
        <v>84</v>
      </c>
    </row>
    <row r="761" spans="1:16" ht="15" hidden="1" customHeight="1" x14ac:dyDescent="0.2">
      <c r="A761" s="20" t="s">
        <v>18</v>
      </c>
      <c r="B761" s="61">
        <v>46098</v>
      </c>
      <c r="C761" s="20">
        <f t="shared" si="49"/>
        <v>1682</v>
      </c>
      <c r="D761" s="38">
        <f t="shared" si="50"/>
        <v>1</v>
      </c>
      <c r="G761" s="32" t="s">
        <v>80</v>
      </c>
      <c r="H761" s="20" t="s">
        <v>1450</v>
      </c>
      <c r="I761" s="20">
        <v>64277</v>
      </c>
      <c r="J761" s="20">
        <v>331</v>
      </c>
      <c r="K761" s="20" t="s">
        <v>20</v>
      </c>
      <c r="L761" s="20">
        <v>1</v>
      </c>
      <c r="M761" s="34">
        <v>39815</v>
      </c>
      <c r="N761" s="34">
        <f t="shared" si="47"/>
        <v>39815</v>
      </c>
      <c r="P761" s="20">
        <f t="shared" si="48"/>
        <v>73</v>
      </c>
    </row>
    <row r="762" spans="1:16" ht="15" hidden="1" customHeight="1" x14ac:dyDescent="0.2">
      <c r="A762" s="20" t="s">
        <v>18</v>
      </c>
      <c r="B762" s="61">
        <v>46098</v>
      </c>
      <c r="C762" s="20">
        <f t="shared" si="49"/>
        <v>1682</v>
      </c>
      <c r="D762" s="38">
        <f t="shared" si="50"/>
        <v>0</v>
      </c>
      <c r="G762" s="32" t="s">
        <v>80</v>
      </c>
      <c r="H762" s="20" t="s">
        <v>1450</v>
      </c>
      <c r="I762" s="20">
        <v>1331</v>
      </c>
      <c r="J762" s="20">
        <v>331</v>
      </c>
      <c r="K762" s="20" t="s">
        <v>20</v>
      </c>
      <c r="L762" s="20">
        <v>1</v>
      </c>
      <c r="M762" s="34">
        <v>3185</v>
      </c>
      <c r="N762" s="34">
        <f t="shared" si="47"/>
        <v>3185</v>
      </c>
      <c r="P762" s="20">
        <f t="shared" si="48"/>
        <v>73</v>
      </c>
    </row>
    <row r="763" spans="1:16" ht="15" hidden="1" customHeight="1" x14ac:dyDescent="0.2">
      <c r="A763" s="20" t="s">
        <v>310</v>
      </c>
      <c r="B763" s="61">
        <v>46098</v>
      </c>
      <c r="C763" s="20">
        <f t="shared" si="49"/>
        <v>1683</v>
      </c>
      <c r="D763" s="38">
        <f t="shared" si="50"/>
        <v>1</v>
      </c>
      <c r="G763" s="32" t="s">
        <v>80</v>
      </c>
      <c r="H763" s="20" t="s">
        <v>2952</v>
      </c>
      <c r="I763" s="20">
        <v>331</v>
      </c>
      <c r="J763" s="20">
        <v>1111</v>
      </c>
      <c r="K763" s="20" t="s">
        <v>20</v>
      </c>
      <c r="L763" s="20">
        <v>1</v>
      </c>
      <c r="M763" s="34">
        <v>43000</v>
      </c>
      <c r="N763" s="34">
        <f t="shared" si="47"/>
        <v>43000</v>
      </c>
      <c r="P763" s="20">
        <f t="shared" si="48"/>
        <v>84</v>
      </c>
    </row>
    <row r="764" spans="1:16" ht="15" hidden="1" customHeight="1" x14ac:dyDescent="0.2">
      <c r="A764" s="20" t="s">
        <v>18</v>
      </c>
      <c r="B764" s="61">
        <v>46098</v>
      </c>
      <c r="C764" s="20">
        <f t="shared" si="49"/>
        <v>1684</v>
      </c>
      <c r="D764" s="38">
        <f t="shared" si="50"/>
        <v>1</v>
      </c>
      <c r="G764" s="32" t="s">
        <v>80</v>
      </c>
      <c r="H764" s="20" t="s">
        <v>1451</v>
      </c>
      <c r="I764" s="20">
        <v>64277</v>
      </c>
      <c r="J764" s="20">
        <v>331</v>
      </c>
      <c r="K764" s="20" t="s">
        <v>20</v>
      </c>
      <c r="L764" s="20">
        <v>1</v>
      </c>
      <c r="M764" s="34">
        <v>26852</v>
      </c>
      <c r="N764" s="34">
        <f t="shared" si="47"/>
        <v>26852</v>
      </c>
      <c r="P764" s="20">
        <f t="shared" si="48"/>
        <v>73</v>
      </c>
    </row>
    <row r="765" spans="1:16" ht="15" hidden="1" customHeight="1" x14ac:dyDescent="0.2">
      <c r="A765" s="20" t="s">
        <v>18</v>
      </c>
      <c r="B765" s="61">
        <v>46098</v>
      </c>
      <c r="C765" s="20">
        <f t="shared" si="49"/>
        <v>1684</v>
      </c>
      <c r="D765" s="38">
        <f t="shared" si="50"/>
        <v>0</v>
      </c>
      <c r="G765" s="32" t="s">
        <v>80</v>
      </c>
      <c r="H765" s="20" t="s">
        <v>1451</v>
      </c>
      <c r="I765" s="20">
        <v>1331</v>
      </c>
      <c r="J765" s="20">
        <v>331</v>
      </c>
      <c r="K765" s="20" t="s">
        <v>20</v>
      </c>
      <c r="L765" s="20">
        <v>1</v>
      </c>
      <c r="M765" s="34">
        <v>2148</v>
      </c>
      <c r="N765" s="34">
        <f t="shared" si="47"/>
        <v>2148</v>
      </c>
      <c r="P765" s="20">
        <f t="shared" si="48"/>
        <v>73</v>
      </c>
    </row>
    <row r="766" spans="1:16" ht="15" hidden="1" customHeight="1" x14ac:dyDescent="0.2">
      <c r="A766" s="20" t="s">
        <v>310</v>
      </c>
      <c r="B766" s="61">
        <v>46098</v>
      </c>
      <c r="C766" s="20">
        <f t="shared" si="49"/>
        <v>1685</v>
      </c>
      <c r="D766" s="38">
        <f t="shared" si="50"/>
        <v>1</v>
      </c>
      <c r="G766" s="32" t="s">
        <v>80</v>
      </c>
      <c r="H766" s="20" t="s">
        <v>2953</v>
      </c>
      <c r="I766" s="20">
        <v>331</v>
      </c>
      <c r="J766" s="20">
        <v>1111</v>
      </c>
      <c r="K766" s="20" t="s">
        <v>20</v>
      </c>
      <c r="L766" s="20">
        <v>1</v>
      </c>
      <c r="M766" s="34">
        <v>29000</v>
      </c>
      <c r="N766" s="34">
        <f t="shared" si="47"/>
        <v>29000</v>
      </c>
      <c r="P766" s="20">
        <f t="shared" si="48"/>
        <v>84</v>
      </c>
    </row>
    <row r="767" spans="1:16" ht="15" hidden="1" customHeight="1" x14ac:dyDescent="0.2">
      <c r="A767" s="20" t="s">
        <v>18</v>
      </c>
      <c r="B767" s="61">
        <v>46099</v>
      </c>
      <c r="C767" s="20">
        <f t="shared" si="49"/>
        <v>1686</v>
      </c>
      <c r="D767" s="38">
        <f t="shared" si="50"/>
        <v>1</v>
      </c>
      <c r="G767" s="32" t="s">
        <v>89</v>
      </c>
      <c r="H767" s="20" t="s">
        <v>1452</v>
      </c>
      <c r="I767" s="20">
        <v>64277</v>
      </c>
      <c r="J767" s="20">
        <v>331</v>
      </c>
      <c r="K767" s="20" t="s">
        <v>20</v>
      </c>
      <c r="L767" s="20">
        <v>1</v>
      </c>
      <c r="M767" s="34">
        <v>32408</v>
      </c>
      <c r="N767" s="34">
        <f t="shared" si="47"/>
        <v>32408</v>
      </c>
      <c r="P767" s="20">
        <f t="shared" si="48"/>
        <v>73</v>
      </c>
    </row>
    <row r="768" spans="1:16" ht="15" hidden="1" customHeight="1" x14ac:dyDescent="0.2">
      <c r="A768" s="20" t="s">
        <v>18</v>
      </c>
      <c r="B768" s="61">
        <v>46099</v>
      </c>
      <c r="C768" s="20">
        <f t="shared" si="49"/>
        <v>1686</v>
      </c>
      <c r="D768" s="38">
        <f t="shared" si="50"/>
        <v>0</v>
      </c>
      <c r="G768" s="32" t="s">
        <v>89</v>
      </c>
      <c r="H768" s="20" t="s">
        <v>1452</v>
      </c>
      <c r="I768" s="20">
        <v>1331</v>
      </c>
      <c r="J768" s="20">
        <v>331</v>
      </c>
      <c r="K768" s="20" t="s">
        <v>20</v>
      </c>
      <c r="L768" s="20">
        <v>1</v>
      </c>
      <c r="M768" s="34">
        <v>2592</v>
      </c>
      <c r="N768" s="34">
        <f t="shared" si="47"/>
        <v>2592</v>
      </c>
      <c r="P768" s="20">
        <f t="shared" si="48"/>
        <v>73</v>
      </c>
    </row>
    <row r="769" spans="1:16" ht="15" hidden="1" customHeight="1" x14ac:dyDescent="0.2">
      <c r="A769" s="20" t="s">
        <v>310</v>
      </c>
      <c r="B769" s="61">
        <v>46099</v>
      </c>
      <c r="C769" s="20">
        <f t="shared" si="49"/>
        <v>1687</v>
      </c>
      <c r="D769" s="38">
        <f t="shared" si="50"/>
        <v>1</v>
      </c>
      <c r="G769" s="32" t="s">
        <v>89</v>
      </c>
      <c r="H769" s="20" t="s">
        <v>2954</v>
      </c>
      <c r="I769" s="20">
        <v>331</v>
      </c>
      <c r="J769" s="20">
        <v>1111</v>
      </c>
      <c r="K769" s="20" t="s">
        <v>20</v>
      </c>
      <c r="L769" s="20">
        <v>1</v>
      </c>
      <c r="M769" s="34">
        <v>35000</v>
      </c>
      <c r="N769" s="34">
        <f t="shared" ref="N769:N831" si="51">L769*M769</f>
        <v>35000</v>
      </c>
      <c r="P769" s="20">
        <f t="shared" si="48"/>
        <v>84</v>
      </c>
    </row>
    <row r="770" spans="1:16" ht="15" hidden="1" customHeight="1" x14ac:dyDescent="0.2">
      <c r="A770" s="20" t="s">
        <v>18</v>
      </c>
      <c r="B770" s="61">
        <v>46099</v>
      </c>
      <c r="C770" s="20">
        <f t="shared" si="49"/>
        <v>1688</v>
      </c>
      <c r="D770" s="38">
        <f t="shared" si="50"/>
        <v>1</v>
      </c>
      <c r="G770" s="32" t="s">
        <v>89</v>
      </c>
      <c r="H770" s="20" t="s">
        <v>1453</v>
      </c>
      <c r="I770" s="20">
        <v>64277</v>
      </c>
      <c r="J770" s="20">
        <v>331</v>
      </c>
      <c r="K770" s="20" t="s">
        <v>20</v>
      </c>
      <c r="L770" s="20">
        <v>1</v>
      </c>
      <c r="M770" s="34">
        <v>79630</v>
      </c>
      <c r="N770" s="34">
        <f t="shared" si="51"/>
        <v>79630</v>
      </c>
      <c r="P770" s="20">
        <f t="shared" si="48"/>
        <v>73</v>
      </c>
    </row>
    <row r="771" spans="1:16" ht="15" hidden="1" customHeight="1" x14ac:dyDescent="0.2">
      <c r="A771" s="20" t="s">
        <v>18</v>
      </c>
      <c r="B771" s="61">
        <v>46099</v>
      </c>
      <c r="C771" s="20">
        <f t="shared" si="49"/>
        <v>1688</v>
      </c>
      <c r="D771" s="38">
        <f t="shared" si="50"/>
        <v>0</v>
      </c>
      <c r="G771" s="32" t="s">
        <v>89</v>
      </c>
      <c r="H771" s="20" t="s">
        <v>1453</v>
      </c>
      <c r="I771" s="20">
        <v>1331</v>
      </c>
      <c r="J771" s="20">
        <v>331</v>
      </c>
      <c r="K771" s="20" t="s">
        <v>20</v>
      </c>
      <c r="L771" s="20">
        <v>1</v>
      </c>
      <c r="M771" s="34">
        <v>6370</v>
      </c>
      <c r="N771" s="34">
        <f t="shared" si="51"/>
        <v>6370</v>
      </c>
      <c r="P771" s="20">
        <f t="shared" ref="P771:P833" si="52">LEN(H771)</f>
        <v>73</v>
      </c>
    </row>
    <row r="772" spans="1:16" ht="15" hidden="1" customHeight="1" x14ac:dyDescent="0.2">
      <c r="A772" s="20" t="s">
        <v>310</v>
      </c>
      <c r="B772" s="61">
        <v>46099</v>
      </c>
      <c r="C772" s="20">
        <f t="shared" si="49"/>
        <v>1689</v>
      </c>
      <c r="D772" s="38">
        <f t="shared" si="50"/>
        <v>1</v>
      </c>
      <c r="G772" s="32" t="s">
        <v>89</v>
      </c>
      <c r="H772" s="20" t="s">
        <v>2955</v>
      </c>
      <c r="I772" s="20">
        <v>331</v>
      </c>
      <c r="J772" s="20">
        <v>1111</v>
      </c>
      <c r="K772" s="20" t="s">
        <v>20</v>
      </c>
      <c r="L772" s="20">
        <v>1</v>
      </c>
      <c r="M772" s="34">
        <v>86000</v>
      </c>
      <c r="N772" s="34">
        <f t="shared" si="51"/>
        <v>86000</v>
      </c>
      <c r="P772" s="20">
        <f t="shared" si="52"/>
        <v>84</v>
      </c>
    </row>
    <row r="773" spans="1:16" ht="15" hidden="1" customHeight="1" x14ac:dyDescent="0.2">
      <c r="A773" s="20" t="s">
        <v>18</v>
      </c>
      <c r="B773" s="61">
        <v>46099</v>
      </c>
      <c r="C773" s="20">
        <f t="shared" si="49"/>
        <v>1690</v>
      </c>
      <c r="D773" s="38">
        <f t="shared" si="50"/>
        <v>1</v>
      </c>
      <c r="G773" s="32" t="s">
        <v>89</v>
      </c>
      <c r="H773" s="20" t="s">
        <v>1454</v>
      </c>
      <c r="I773" s="20">
        <v>64277</v>
      </c>
      <c r="J773" s="20">
        <v>331</v>
      </c>
      <c r="K773" s="20" t="s">
        <v>20</v>
      </c>
      <c r="L773" s="20">
        <v>1</v>
      </c>
      <c r="M773" s="34">
        <v>125926</v>
      </c>
      <c r="N773" s="34">
        <f t="shared" si="51"/>
        <v>125926</v>
      </c>
      <c r="P773" s="20">
        <f t="shared" si="52"/>
        <v>86</v>
      </c>
    </row>
    <row r="774" spans="1:16" ht="15" hidden="1" customHeight="1" x14ac:dyDescent="0.2">
      <c r="A774" s="20" t="s">
        <v>18</v>
      </c>
      <c r="B774" s="61">
        <v>46099</v>
      </c>
      <c r="C774" s="20">
        <f t="shared" ref="C774:C837" si="53">C773+D774</f>
        <v>1690</v>
      </c>
      <c r="D774" s="38">
        <f t="shared" ref="D774:D837" si="54">IF(H774=H773,0,1)</f>
        <v>0</v>
      </c>
      <c r="G774" s="32" t="s">
        <v>89</v>
      </c>
      <c r="H774" s="20" t="s">
        <v>1454</v>
      </c>
      <c r="I774" s="20">
        <v>1331</v>
      </c>
      <c r="J774" s="20">
        <v>331</v>
      </c>
      <c r="K774" s="20" t="s">
        <v>20</v>
      </c>
      <c r="L774" s="20">
        <v>1</v>
      </c>
      <c r="M774" s="34">
        <v>10074</v>
      </c>
      <c r="N774" s="34">
        <f t="shared" si="51"/>
        <v>10074</v>
      </c>
      <c r="P774" s="20">
        <f t="shared" si="52"/>
        <v>86</v>
      </c>
    </row>
    <row r="775" spans="1:16" ht="15" hidden="1" customHeight="1" x14ac:dyDescent="0.2">
      <c r="A775" s="20" t="s">
        <v>310</v>
      </c>
      <c r="B775" s="61">
        <v>46099</v>
      </c>
      <c r="C775" s="20">
        <f t="shared" si="53"/>
        <v>1691</v>
      </c>
      <c r="D775" s="38">
        <f t="shared" si="54"/>
        <v>1</v>
      </c>
      <c r="G775" s="32" t="s">
        <v>89</v>
      </c>
      <c r="H775" s="20" t="s">
        <v>2956</v>
      </c>
      <c r="I775" s="20">
        <v>331</v>
      </c>
      <c r="J775" s="20">
        <v>1111</v>
      </c>
      <c r="K775" s="20" t="s">
        <v>20</v>
      </c>
      <c r="L775" s="20">
        <v>1</v>
      </c>
      <c r="M775" s="34">
        <v>136000</v>
      </c>
      <c r="N775" s="34">
        <f t="shared" si="51"/>
        <v>136000</v>
      </c>
      <c r="P775" s="20">
        <f t="shared" si="52"/>
        <v>97</v>
      </c>
    </row>
    <row r="776" spans="1:16" ht="15" hidden="1" customHeight="1" x14ac:dyDescent="0.2">
      <c r="A776" s="20" t="s">
        <v>18</v>
      </c>
      <c r="B776" s="61">
        <v>46099</v>
      </c>
      <c r="C776" s="20">
        <f t="shared" si="53"/>
        <v>1692</v>
      </c>
      <c r="D776" s="38">
        <f t="shared" si="54"/>
        <v>1</v>
      </c>
      <c r="G776" s="32" t="s">
        <v>89</v>
      </c>
      <c r="H776" s="20" t="s">
        <v>1455</v>
      </c>
      <c r="I776" s="20">
        <v>64277</v>
      </c>
      <c r="J776" s="20">
        <v>331</v>
      </c>
      <c r="K776" s="20" t="s">
        <v>20</v>
      </c>
      <c r="L776" s="20">
        <v>1</v>
      </c>
      <c r="M776" s="34">
        <v>41667</v>
      </c>
      <c r="N776" s="34">
        <f t="shared" si="51"/>
        <v>41667</v>
      </c>
      <c r="P776" s="20">
        <f t="shared" si="52"/>
        <v>72</v>
      </c>
    </row>
    <row r="777" spans="1:16" ht="15" hidden="1" customHeight="1" x14ac:dyDescent="0.2">
      <c r="A777" s="20" t="s">
        <v>18</v>
      </c>
      <c r="B777" s="61">
        <v>46099</v>
      </c>
      <c r="C777" s="20">
        <f t="shared" si="53"/>
        <v>1692</v>
      </c>
      <c r="D777" s="38">
        <f t="shared" si="54"/>
        <v>0</v>
      </c>
      <c r="G777" s="32" t="s">
        <v>89</v>
      </c>
      <c r="H777" s="20" t="s">
        <v>1455</v>
      </c>
      <c r="I777" s="20">
        <v>1331</v>
      </c>
      <c r="J777" s="20">
        <v>331</v>
      </c>
      <c r="K777" s="20" t="s">
        <v>20</v>
      </c>
      <c r="L777" s="20">
        <v>1</v>
      </c>
      <c r="M777" s="34">
        <v>3333</v>
      </c>
      <c r="N777" s="34">
        <f t="shared" si="51"/>
        <v>3333</v>
      </c>
      <c r="P777" s="20">
        <f t="shared" si="52"/>
        <v>72</v>
      </c>
    </row>
    <row r="778" spans="1:16" ht="15" hidden="1" customHeight="1" x14ac:dyDescent="0.2">
      <c r="A778" s="20" t="s">
        <v>310</v>
      </c>
      <c r="B778" s="61">
        <v>46099</v>
      </c>
      <c r="C778" s="20">
        <f t="shared" si="53"/>
        <v>1693</v>
      </c>
      <c r="D778" s="38">
        <f t="shared" si="54"/>
        <v>1</v>
      </c>
      <c r="G778" s="32" t="s">
        <v>89</v>
      </c>
      <c r="H778" s="20" t="s">
        <v>2957</v>
      </c>
      <c r="I778" s="20">
        <v>331</v>
      </c>
      <c r="J778" s="20">
        <v>1111</v>
      </c>
      <c r="K778" s="20" t="s">
        <v>20</v>
      </c>
      <c r="L778" s="20">
        <v>1</v>
      </c>
      <c r="M778" s="34">
        <v>45000</v>
      </c>
      <c r="N778" s="34">
        <f t="shared" si="51"/>
        <v>45000</v>
      </c>
      <c r="P778" s="20">
        <f t="shared" si="52"/>
        <v>83</v>
      </c>
    </row>
    <row r="779" spans="1:16" ht="15" hidden="1" customHeight="1" x14ac:dyDescent="0.2">
      <c r="A779" s="20" t="s">
        <v>18</v>
      </c>
      <c r="B779" s="61">
        <v>46100</v>
      </c>
      <c r="C779" s="20">
        <f t="shared" si="53"/>
        <v>1694</v>
      </c>
      <c r="D779" s="38">
        <f t="shared" si="54"/>
        <v>1</v>
      </c>
      <c r="G779" s="32" t="s">
        <v>89</v>
      </c>
      <c r="H779" s="20" t="s">
        <v>1456</v>
      </c>
      <c r="I779" s="20">
        <v>64277</v>
      </c>
      <c r="J779" s="20">
        <v>331</v>
      </c>
      <c r="K779" s="20" t="s">
        <v>20</v>
      </c>
      <c r="L779" s="20">
        <v>1</v>
      </c>
      <c r="M779" s="34">
        <v>84259</v>
      </c>
      <c r="N779" s="34">
        <f t="shared" si="51"/>
        <v>84259</v>
      </c>
      <c r="P779" s="20">
        <f t="shared" si="52"/>
        <v>73</v>
      </c>
    </row>
    <row r="780" spans="1:16" ht="15" hidden="1" customHeight="1" x14ac:dyDescent="0.2">
      <c r="A780" s="20" t="s">
        <v>18</v>
      </c>
      <c r="B780" s="61">
        <v>46100</v>
      </c>
      <c r="C780" s="20">
        <f t="shared" si="53"/>
        <v>1694</v>
      </c>
      <c r="D780" s="38">
        <f t="shared" si="54"/>
        <v>0</v>
      </c>
      <c r="G780" s="32" t="s">
        <v>89</v>
      </c>
      <c r="H780" s="20" t="s">
        <v>1456</v>
      </c>
      <c r="I780" s="20">
        <v>1331</v>
      </c>
      <c r="J780" s="20">
        <v>331</v>
      </c>
      <c r="K780" s="20" t="s">
        <v>20</v>
      </c>
      <c r="L780" s="20">
        <v>1</v>
      </c>
      <c r="M780" s="34">
        <v>6741</v>
      </c>
      <c r="N780" s="34">
        <f t="shared" si="51"/>
        <v>6741</v>
      </c>
      <c r="P780" s="20">
        <f t="shared" si="52"/>
        <v>73</v>
      </c>
    </row>
    <row r="781" spans="1:16" ht="15" hidden="1" customHeight="1" x14ac:dyDescent="0.2">
      <c r="A781" s="20" t="s">
        <v>310</v>
      </c>
      <c r="B781" s="61">
        <v>46100</v>
      </c>
      <c r="C781" s="20">
        <f t="shared" si="53"/>
        <v>1695</v>
      </c>
      <c r="D781" s="38">
        <f t="shared" si="54"/>
        <v>1</v>
      </c>
      <c r="G781" s="32" t="s">
        <v>89</v>
      </c>
      <c r="H781" s="20" t="s">
        <v>2958</v>
      </c>
      <c r="I781" s="20">
        <v>331</v>
      </c>
      <c r="J781" s="20">
        <v>1111</v>
      </c>
      <c r="K781" s="20" t="s">
        <v>20</v>
      </c>
      <c r="L781" s="20">
        <v>1</v>
      </c>
      <c r="M781" s="34">
        <v>91000</v>
      </c>
      <c r="N781" s="34">
        <f t="shared" si="51"/>
        <v>91000</v>
      </c>
      <c r="P781" s="20">
        <f t="shared" si="52"/>
        <v>84</v>
      </c>
    </row>
    <row r="782" spans="1:16" ht="15" hidden="1" customHeight="1" x14ac:dyDescent="0.2">
      <c r="A782" s="20" t="s">
        <v>18</v>
      </c>
      <c r="B782" s="61">
        <v>46100</v>
      </c>
      <c r="C782" s="20">
        <f t="shared" si="53"/>
        <v>1696</v>
      </c>
      <c r="D782" s="38">
        <f t="shared" si="54"/>
        <v>1</v>
      </c>
      <c r="G782" s="32" t="s">
        <v>89</v>
      </c>
      <c r="H782" s="20" t="s">
        <v>1457</v>
      </c>
      <c r="I782" s="20">
        <v>64277</v>
      </c>
      <c r="J782" s="20">
        <v>331</v>
      </c>
      <c r="K782" s="20" t="s">
        <v>20</v>
      </c>
      <c r="L782" s="20">
        <v>1</v>
      </c>
      <c r="M782" s="34">
        <v>33333</v>
      </c>
      <c r="N782" s="34">
        <f t="shared" si="51"/>
        <v>33333</v>
      </c>
      <c r="P782" s="20">
        <f t="shared" si="52"/>
        <v>73</v>
      </c>
    </row>
    <row r="783" spans="1:16" ht="15" hidden="1" customHeight="1" x14ac:dyDescent="0.2">
      <c r="A783" s="20" t="s">
        <v>18</v>
      </c>
      <c r="B783" s="61">
        <v>46100</v>
      </c>
      <c r="C783" s="20">
        <f t="shared" si="53"/>
        <v>1696</v>
      </c>
      <c r="D783" s="38">
        <f t="shared" si="54"/>
        <v>0</v>
      </c>
      <c r="G783" s="32" t="s">
        <v>89</v>
      </c>
      <c r="H783" s="20" t="s">
        <v>1457</v>
      </c>
      <c r="I783" s="20">
        <v>1331</v>
      </c>
      <c r="J783" s="20">
        <v>331</v>
      </c>
      <c r="K783" s="20" t="s">
        <v>20</v>
      </c>
      <c r="L783" s="20">
        <v>1</v>
      </c>
      <c r="M783" s="34">
        <v>2667</v>
      </c>
      <c r="N783" s="34">
        <f t="shared" si="51"/>
        <v>2667</v>
      </c>
      <c r="P783" s="20">
        <f t="shared" si="52"/>
        <v>73</v>
      </c>
    </row>
    <row r="784" spans="1:16" ht="15" hidden="1" customHeight="1" x14ac:dyDescent="0.2">
      <c r="A784" s="20" t="s">
        <v>310</v>
      </c>
      <c r="B784" s="61">
        <v>46100</v>
      </c>
      <c r="C784" s="20">
        <f t="shared" si="53"/>
        <v>1697</v>
      </c>
      <c r="D784" s="38">
        <f t="shared" si="54"/>
        <v>1</v>
      </c>
      <c r="G784" s="32" t="s">
        <v>89</v>
      </c>
      <c r="H784" s="20" t="s">
        <v>2959</v>
      </c>
      <c r="I784" s="20">
        <v>331</v>
      </c>
      <c r="J784" s="20">
        <v>1111</v>
      </c>
      <c r="K784" s="20" t="s">
        <v>20</v>
      </c>
      <c r="L784" s="20">
        <v>1</v>
      </c>
      <c r="M784" s="34">
        <v>36000</v>
      </c>
      <c r="N784" s="34">
        <f t="shared" si="51"/>
        <v>36000</v>
      </c>
      <c r="P784" s="20">
        <f t="shared" si="52"/>
        <v>84</v>
      </c>
    </row>
    <row r="785" spans="1:16" ht="15" hidden="1" customHeight="1" x14ac:dyDescent="0.2">
      <c r="A785" s="20" t="s">
        <v>18</v>
      </c>
      <c r="B785" s="61">
        <v>46100</v>
      </c>
      <c r="C785" s="20">
        <f t="shared" si="53"/>
        <v>1698</v>
      </c>
      <c r="D785" s="38">
        <f t="shared" si="54"/>
        <v>1</v>
      </c>
      <c r="G785" s="32" t="s">
        <v>89</v>
      </c>
      <c r="H785" s="20" t="s">
        <v>1458</v>
      </c>
      <c r="I785" s="20">
        <v>64277</v>
      </c>
      <c r="J785" s="20">
        <v>331</v>
      </c>
      <c r="K785" s="20" t="s">
        <v>20</v>
      </c>
      <c r="L785" s="20">
        <v>1</v>
      </c>
      <c r="M785" s="34">
        <v>65741</v>
      </c>
      <c r="N785" s="34">
        <f t="shared" si="51"/>
        <v>65741</v>
      </c>
      <c r="P785" s="20">
        <f t="shared" si="52"/>
        <v>73</v>
      </c>
    </row>
    <row r="786" spans="1:16" ht="15" hidden="1" customHeight="1" x14ac:dyDescent="0.2">
      <c r="A786" s="20" t="s">
        <v>18</v>
      </c>
      <c r="B786" s="61">
        <v>46100</v>
      </c>
      <c r="C786" s="20">
        <f t="shared" si="53"/>
        <v>1698</v>
      </c>
      <c r="D786" s="38">
        <f t="shared" si="54"/>
        <v>0</v>
      </c>
      <c r="G786" s="32" t="s">
        <v>89</v>
      </c>
      <c r="H786" s="20" t="s">
        <v>1458</v>
      </c>
      <c r="I786" s="20">
        <v>1331</v>
      </c>
      <c r="J786" s="20">
        <v>331</v>
      </c>
      <c r="K786" s="20" t="s">
        <v>20</v>
      </c>
      <c r="L786" s="20">
        <v>1</v>
      </c>
      <c r="M786" s="34">
        <v>5259</v>
      </c>
      <c r="N786" s="34">
        <f t="shared" si="51"/>
        <v>5259</v>
      </c>
      <c r="P786" s="20">
        <f t="shared" si="52"/>
        <v>73</v>
      </c>
    </row>
    <row r="787" spans="1:16" ht="15" hidden="1" customHeight="1" x14ac:dyDescent="0.2">
      <c r="A787" s="20" t="s">
        <v>310</v>
      </c>
      <c r="B787" s="61">
        <v>46100</v>
      </c>
      <c r="C787" s="20">
        <f t="shared" si="53"/>
        <v>1699</v>
      </c>
      <c r="D787" s="38">
        <f t="shared" si="54"/>
        <v>1</v>
      </c>
      <c r="G787" s="32" t="s">
        <v>89</v>
      </c>
      <c r="H787" s="20" t="s">
        <v>2960</v>
      </c>
      <c r="I787" s="20">
        <v>331</v>
      </c>
      <c r="J787" s="20">
        <v>1111</v>
      </c>
      <c r="K787" s="20" t="s">
        <v>20</v>
      </c>
      <c r="L787" s="20">
        <v>1</v>
      </c>
      <c r="M787" s="34">
        <v>71000</v>
      </c>
      <c r="N787" s="34">
        <f t="shared" si="51"/>
        <v>71000</v>
      </c>
      <c r="P787" s="20">
        <f t="shared" si="52"/>
        <v>84</v>
      </c>
    </row>
    <row r="788" spans="1:16" ht="15" hidden="1" customHeight="1" x14ac:dyDescent="0.2">
      <c r="A788" s="20" t="s">
        <v>18</v>
      </c>
      <c r="B788" s="61">
        <v>46101</v>
      </c>
      <c r="C788" s="20">
        <f t="shared" si="53"/>
        <v>1700</v>
      </c>
      <c r="D788" s="38">
        <f t="shared" si="54"/>
        <v>1</v>
      </c>
      <c r="G788" s="32" t="s">
        <v>89</v>
      </c>
      <c r="H788" s="20" t="s">
        <v>1459</v>
      </c>
      <c r="I788" s="20">
        <v>64277</v>
      </c>
      <c r="J788" s="20">
        <v>331</v>
      </c>
      <c r="K788" s="20" t="s">
        <v>20</v>
      </c>
      <c r="L788" s="20">
        <v>1</v>
      </c>
      <c r="M788" s="34">
        <v>24074</v>
      </c>
      <c r="N788" s="34">
        <f t="shared" si="51"/>
        <v>24074</v>
      </c>
      <c r="P788" s="20">
        <f t="shared" si="52"/>
        <v>73</v>
      </c>
    </row>
    <row r="789" spans="1:16" ht="15" hidden="1" customHeight="1" x14ac:dyDescent="0.2">
      <c r="A789" s="20" t="s">
        <v>18</v>
      </c>
      <c r="B789" s="61">
        <v>46101</v>
      </c>
      <c r="C789" s="20">
        <f t="shared" si="53"/>
        <v>1700</v>
      </c>
      <c r="D789" s="38">
        <f t="shared" si="54"/>
        <v>0</v>
      </c>
      <c r="G789" s="32" t="s">
        <v>89</v>
      </c>
      <c r="H789" s="20" t="s">
        <v>1459</v>
      </c>
      <c r="I789" s="20">
        <v>1331</v>
      </c>
      <c r="J789" s="20">
        <v>331</v>
      </c>
      <c r="K789" s="20" t="s">
        <v>20</v>
      </c>
      <c r="L789" s="20">
        <v>1</v>
      </c>
      <c r="M789" s="34">
        <v>1926</v>
      </c>
      <c r="N789" s="34">
        <f t="shared" si="51"/>
        <v>1926</v>
      </c>
      <c r="P789" s="20">
        <f t="shared" si="52"/>
        <v>73</v>
      </c>
    </row>
    <row r="790" spans="1:16" ht="15" hidden="1" customHeight="1" x14ac:dyDescent="0.2">
      <c r="A790" s="20" t="s">
        <v>310</v>
      </c>
      <c r="B790" s="61">
        <v>46101</v>
      </c>
      <c r="C790" s="20">
        <f t="shared" si="53"/>
        <v>1701</v>
      </c>
      <c r="D790" s="38">
        <f t="shared" si="54"/>
        <v>1</v>
      </c>
      <c r="G790" s="32" t="s">
        <v>89</v>
      </c>
      <c r="H790" s="20" t="s">
        <v>2961</v>
      </c>
      <c r="I790" s="20">
        <v>331</v>
      </c>
      <c r="J790" s="20">
        <v>1111</v>
      </c>
      <c r="K790" s="20" t="s">
        <v>20</v>
      </c>
      <c r="L790" s="20">
        <v>1</v>
      </c>
      <c r="M790" s="34">
        <v>26000</v>
      </c>
      <c r="N790" s="34">
        <f t="shared" si="51"/>
        <v>26000</v>
      </c>
      <c r="P790" s="20">
        <f t="shared" si="52"/>
        <v>84</v>
      </c>
    </row>
    <row r="791" spans="1:16" ht="15" hidden="1" customHeight="1" x14ac:dyDescent="0.2">
      <c r="A791" s="20" t="s">
        <v>18</v>
      </c>
      <c r="B791" s="61">
        <v>46101</v>
      </c>
      <c r="C791" s="20">
        <f t="shared" si="53"/>
        <v>1702</v>
      </c>
      <c r="D791" s="38">
        <f t="shared" si="54"/>
        <v>1</v>
      </c>
      <c r="G791" s="32" t="s">
        <v>89</v>
      </c>
      <c r="H791" s="20" t="s">
        <v>1460</v>
      </c>
      <c r="I791" s="20">
        <v>64277</v>
      </c>
      <c r="J791" s="20">
        <v>331</v>
      </c>
      <c r="K791" s="20" t="s">
        <v>20</v>
      </c>
      <c r="L791" s="20">
        <v>1</v>
      </c>
      <c r="M791" s="34">
        <v>26852</v>
      </c>
      <c r="N791" s="34">
        <f t="shared" si="51"/>
        <v>26852</v>
      </c>
      <c r="P791" s="20">
        <f t="shared" si="52"/>
        <v>73</v>
      </c>
    </row>
    <row r="792" spans="1:16" ht="15" hidden="1" customHeight="1" x14ac:dyDescent="0.2">
      <c r="A792" s="20" t="s">
        <v>18</v>
      </c>
      <c r="B792" s="61">
        <v>46101</v>
      </c>
      <c r="C792" s="20">
        <f t="shared" si="53"/>
        <v>1702</v>
      </c>
      <c r="D792" s="38">
        <f t="shared" si="54"/>
        <v>0</v>
      </c>
      <c r="G792" s="32" t="s">
        <v>89</v>
      </c>
      <c r="H792" s="20" t="s">
        <v>1460</v>
      </c>
      <c r="I792" s="20">
        <v>1331</v>
      </c>
      <c r="J792" s="20">
        <v>331</v>
      </c>
      <c r="K792" s="20" t="s">
        <v>20</v>
      </c>
      <c r="L792" s="20">
        <v>1</v>
      </c>
      <c r="M792" s="34">
        <v>2148</v>
      </c>
      <c r="N792" s="34">
        <f t="shared" si="51"/>
        <v>2148</v>
      </c>
      <c r="P792" s="20">
        <f t="shared" si="52"/>
        <v>73</v>
      </c>
    </row>
    <row r="793" spans="1:16" ht="15" hidden="1" customHeight="1" x14ac:dyDescent="0.2">
      <c r="A793" s="20" t="s">
        <v>310</v>
      </c>
      <c r="B793" s="61">
        <v>46101</v>
      </c>
      <c r="C793" s="20">
        <f t="shared" si="53"/>
        <v>1703</v>
      </c>
      <c r="D793" s="38">
        <f t="shared" si="54"/>
        <v>1</v>
      </c>
      <c r="G793" s="32" t="s">
        <v>89</v>
      </c>
      <c r="H793" s="20" t="s">
        <v>2962</v>
      </c>
      <c r="I793" s="20">
        <v>331</v>
      </c>
      <c r="J793" s="20">
        <v>1111</v>
      </c>
      <c r="K793" s="20" t="s">
        <v>20</v>
      </c>
      <c r="L793" s="20">
        <v>1</v>
      </c>
      <c r="M793" s="34">
        <v>29000</v>
      </c>
      <c r="N793" s="34">
        <f t="shared" si="51"/>
        <v>29000</v>
      </c>
      <c r="P793" s="20">
        <f t="shared" si="52"/>
        <v>84</v>
      </c>
    </row>
    <row r="794" spans="1:16" ht="15" hidden="1" customHeight="1" x14ac:dyDescent="0.2">
      <c r="A794" s="20" t="s">
        <v>18</v>
      </c>
      <c r="B794" s="61">
        <v>46101</v>
      </c>
      <c r="C794" s="20">
        <f t="shared" si="53"/>
        <v>1704</v>
      </c>
      <c r="D794" s="38">
        <f t="shared" si="54"/>
        <v>1</v>
      </c>
      <c r="G794" s="32" t="s">
        <v>89</v>
      </c>
      <c r="H794" s="20" t="s">
        <v>1461</v>
      </c>
      <c r="I794" s="20">
        <v>64277</v>
      </c>
      <c r="J794" s="20">
        <v>331</v>
      </c>
      <c r="K794" s="20" t="s">
        <v>20</v>
      </c>
      <c r="L794" s="20">
        <v>1</v>
      </c>
      <c r="M794" s="34">
        <v>127778</v>
      </c>
      <c r="N794" s="34">
        <f t="shared" si="51"/>
        <v>127778</v>
      </c>
      <c r="P794" s="20">
        <f t="shared" si="52"/>
        <v>73</v>
      </c>
    </row>
    <row r="795" spans="1:16" ht="15" hidden="1" customHeight="1" x14ac:dyDescent="0.2">
      <c r="A795" s="20" t="s">
        <v>18</v>
      </c>
      <c r="B795" s="61">
        <v>46101</v>
      </c>
      <c r="C795" s="20">
        <f t="shared" si="53"/>
        <v>1704</v>
      </c>
      <c r="D795" s="38">
        <f t="shared" si="54"/>
        <v>0</v>
      </c>
      <c r="G795" s="32" t="s">
        <v>89</v>
      </c>
      <c r="H795" s="20" t="s">
        <v>1461</v>
      </c>
      <c r="I795" s="20">
        <v>1331</v>
      </c>
      <c r="J795" s="20">
        <v>331</v>
      </c>
      <c r="K795" s="20" t="s">
        <v>20</v>
      </c>
      <c r="L795" s="20">
        <v>1</v>
      </c>
      <c r="M795" s="34">
        <v>10222</v>
      </c>
      <c r="N795" s="34">
        <f t="shared" si="51"/>
        <v>10222</v>
      </c>
      <c r="P795" s="20">
        <f t="shared" si="52"/>
        <v>73</v>
      </c>
    </row>
    <row r="796" spans="1:16" ht="15" hidden="1" customHeight="1" x14ac:dyDescent="0.2">
      <c r="A796" s="20" t="s">
        <v>310</v>
      </c>
      <c r="B796" s="61">
        <v>46101</v>
      </c>
      <c r="C796" s="20">
        <f t="shared" si="53"/>
        <v>1705</v>
      </c>
      <c r="D796" s="38">
        <f t="shared" si="54"/>
        <v>1</v>
      </c>
      <c r="G796" s="32" t="s">
        <v>89</v>
      </c>
      <c r="H796" s="20" t="s">
        <v>2963</v>
      </c>
      <c r="I796" s="20">
        <v>331</v>
      </c>
      <c r="J796" s="20">
        <v>1111</v>
      </c>
      <c r="K796" s="20" t="s">
        <v>20</v>
      </c>
      <c r="L796" s="20">
        <v>1</v>
      </c>
      <c r="M796" s="34">
        <v>138000</v>
      </c>
      <c r="N796" s="34">
        <f t="shared" si="51"/>
        <v>138000</v>
      </c>
      <c r="P796" s="20">
        <f t="shared" si="52"/>
        <v>84</v>
      </c>
    </row>
    <row r="797" spans="1:16" ht="15" hidden="1" customHeight="1" x14ac:dyDescent="0.2">
      <c r="A797" s="20" t="s">
        <v>18</v>
      </c>
      <c r="B797" s="61">
        <v>46102</v>
      </c>
      <c r="C797" s="20">
        <f t="shared" si="53"/>
        <v>1706</v>
      </c>
      <c r="D797" s="38">
        <f t="shared" si="54"/>
        <v>1</v>
      </c>
      <c r="G797" s="32" t="s">
        <v>89</v>
      </c>
      <c r="H797" s="20" t="s">
        <v>1462</v>
      </c>
      <c r="I797" s="20">
        <v>64277</v>
      </c>
      <c r="J797" s="20">
        <v>331</v>
      </c>
      <c r="K797" s="20" t="s">
        <v>20</v>
      </c>
      <c r="L797" s="20">
        <v>1</v>
      </c>
      <c r="M797" s="34">
        <v>115740</v>
      </c>
      <c r="N797" s="34">
        <f t="shared" si="51"/>
        <v>115740</v>
      </c>
      <c r="P797" s="20">
        <f t="shared" si="52"/>
        <v>73</v>
      </c>
    </row>
    <row r="798" spans="1:16" ht="15" hidden="1" customHeight="1" x14ac:dyDescent="0.2">
      <c r="A798" s="20" t="s">
        <v>18</v>
      </c>
      <c r="B798" s="61">
        <v>46102</v>
      </c>
      <c r="C798" s="20">
        <f t="shared" si="53"/>
        <v>1706</v>
      </c>
      <c r="D798" s="38">
        <f t="shared" si="54"/>
        <v>0</v>
      </c>
      <c r="G798" s="32" t="s">
        <v>89</v>
      </c>
      <c r="H798" s="20" t="s">
        <v>1462</v>
      </c>
      <c r="I798" s="20">
        <v>1331</v>
      </c>
      <c r="J798" s="20">
        <v>331</v>
      </c>
      <c r="K798" s="20" t="s">
        <v>20</v>
      </c>
      <c r="L798" s="20">
        <v>1</v>
      </c>
      <c r="M798" s="34">
        <v>9260</v>
      </c>
      <c r="N798" s="34">
        <f t="shared" si="51"/>
        <v>9260</v>
      </c>
      <c r="P798" s="20">
        <f t="shared" si="52"/>
        <v>73</v>
      </c>
    </row>
    <row r="799" spans="1:16" ht="15" hidden="1" customHeight="1" x14ac:dyDescent="0.2">
      <c r="A799" s="20" t="s">
        <v>310</v>
      </c>
      <c r="B799" s="61">
        <v>46102</v>
      </c>
      <c r="C799" s="20">
        <f t="shared" si="53"/>
        <v>1707</v>
      </c>
      <c r="D799" s="38">
        <f t="shared" si="54"/>
        <v>1</v>
      </c>
      <c r="G799" s="32" t="s">
        <v>89</v>
      </c>
      <c r="H799" s="20" t="s">
        <v>2964</v>
      </c>
      <c r="I799" s="20">
        <v>331</v>
      </c>
      <c r="J799" s="20">
        <v>1111</v>
      </c>
      <c r="K799" s="20" t="s">
        <v>20</v>
      </c>
      <c r="L799" s="20">
        <v>1</v>
      </c>
      <c r="M799" s="34">
        <v>125000</v>
      </c>
      <c r="N799" s="34">
        <f t="shared" si="51"/>
        <v>125000</v>
      </c>
      <c r="P799" s="20">
        <f t="shared" si="52"/>
        <v>84</v>
      </c>
    </row>
    <row r="800" spans="1:16" ht="15" hidden="1" customHeight="1" x14ac:dyDescent="0.2">
      <c r="A800" s="20" t="s">
        <v>18</v>
      </c>
      <c r="B800" s="61">
        <v>46102</v>
      </c>
      <c r="C800" s="20">
        <f t="shared" si="53"/>
        <v>1708</v>
      </c>
      <c r="D800" s="38">
        <f t="shared" si="54"/>
        <v>1</v>
      </c>
      <c r="G800" s="32" t="s">
        <v>89</v>
      </c>
      <c r="H800" s="20" t="s">
        <v>1463</v>
      </c>
      <c r="I800" s="20">
        <v>64277</v>
      </c>
      <c r="J800" s="20">
        <v>331</v>
      </c>
      <c r="K800" s="20" t="s">
        <v>20</v>
      </c>
      <c r="L800" s="20">
        <v>1</v>
      </c>
      <c r="M800" s="34">
        <v>32407</v>
      </c>
      <c r="N800" s="34">
        <f t="shared" si="51"/>
        <v>32407</v>
      </c>
      <c r="P800" s="20">
        <f t="shared" si="52"/>
        <v>73</v>
      </c>
    </row>
    <row r="801" spans="1:16" ht="15" hidden="1" customHeight="1" x14ac:dyDescent="0.2">
      <c r="A801" s="20" t="s">
        <v>18</v>
      </c>
      <c r="B801" s="61">
        <v>46102</v>
      </c>
      <c r="C801" s="20">
        <f t="shared" si="53"/>
        <v>1708</v>
      </c>
      <c r="D801" s="38">
        <f t="shared" si="54"/>
        <v>0</v>
      </c>
      <c r="G801" s="32" t="s">
        <v>89</v>
      </c>
      <c r="H801" s="20" t="s">
        <v>1463</v>
      </c>
      <c r="I801" s="20">
        <v>1331</v>
      </c>
      <c r="J801" s="20">
        <v>331</v>
      </c>
      <c r="K801" s="20" t="s">
        <v>20</v>
      </c>
      <c r="L801" s="20">
        <v>1</v>
      </c>
      <c r="M801" s="34">
        <v>2593</v>
      </c>
      <c r="N801" s="34">
        <f t="shared" si="51"/>
        <v>2593</v>
      </c>
      <c r="P801" s="20">
        <f t="shared" si="52"/>
        <v>73</v>
      </c>
    </row>
    <row r="802" spans="1:16" ht="15" hidden="1" customHeight="1" x14ac:dyDescent="0.2">
      <c r="A802" s="20" t="s">
        <v>310</v>
      </c>
      <c r="B802" s="61">
        <v>46102</v>
      </c>
      <c r="C802" s="20">
        <f t="shared" si="53"/>
        <v>1709</v>
      </c>
      <c r="D802" s="38">
        <f t="shared" si="54"/>
        <v>1</v>
      </c>
      <c r="G802" s="32" t="s">
        <v>89</v>
      </c>
      <c r="H802" s="20" t="s">
        <v>2965</v>
      </c>
      <c r="I802" s="20">
        <v>331</v>
      </c>
      <c r="J802" s="20">
        <v>1111</v>
      </c>
      <c r="K802" s="20" t="s">
        <v>20</v>
      </c>
      <c r="L802" s="20">
        <v>1</v>
      </c>
      <c r="M802" s="34">
        <v>35000</v>
      </c>
      <c r="N802" s="34">
        <f t="shared" si="51"/>
        <v>35000</v>
      </c>
      <c r="P802" s="20">
        <f t="shared" si="52"/>
        <v>84</v>
      </c>
    </row>
    <row r="803" spans="1:16" ht="15" hidden="1" customHeight="1" x14ac:dyDescent="0.2">
      <c r="A803" s="20" t="s">
        <v>18</v>
      </c>
      <c r="B803" s="61">
        <v>46103</v>
      </c>
      <c r="C803" s="20">
        <f t="shared" si="53"/>
        <v>1710</v>
      </c>
      <c r="D803" s="38">
        <f t="shared" si="54"/>
        <v>1</v>
      </c>
      <c r="G803" s="32" t="s">
        <v>89</v>
      </c>
      <c r="H803" s="20" t="s">
        <v>1464</v>
      </c>
      <c r="I803" s="20">
        <v>64277</v>
      </c>
      <c r="J803" s="20">
        <v>331</v>
      </c>
      <c r="K803" s="20" t="s">
        <v>20</v>
      </c>
      <c r="L803" s="20">
        <v>1</v>
      </c>
      <c r="M803" s="34">
        <v>76852</v>
      </c>
      <c r="N803" s="34">
        <f t="shared" si="51"/>
        <v>76852</v>
      </c>
      <c r="P803" s="20">
        <f t="shared" si="52"/>
        <v>73</v>
      </c>
    </row>
    <row r="804" spans="1:16" ht="15" hidden="1" customHeight="1" x14ac:dyDescent="0.2">
      <c r="A804" s="20" t="s">
        <v>18</v>
      </c>
      <c r="B804" s="61">
        <v>46103</v>
      </c>
      <c r="C804" s="20">
        <f t="shared" si="53"/>
        <v>1710</v>
      </c>
      <c r="D804" s="38">
        <f t="shared" si="54"/>
        <v>0</v>
      </c>
      <c r="G804" s="32" t="s">
        <v>89</v>
      </c>
      <c r="H804" s="20" t="s">
        <v>1464</v>
      </c>
      <c r="I804" s="20">
        <v>1331</v>
      </c>
      <c r="J804" s="20">
        <v>331</v>
      </c>
      <c r="K804" s="20" t="s">
        <v>20</v>
      </c>
      <c r="L804" s="20">
        <v>1</v>
      </c>
      <c r="M804" s="34">
        <v>6148</v>
      </c>
      <c r="N804" s="34">
        <f t="shared" si="51"/>
        <v>6148</v>
      </c>
      <c r="P804" s="20">
        <f t="shared" si="52"/>
        <v>73</v>
      </c>
    </row>
    <row r="805" spans="1:16" ht="15" hidden="1" customHeight="1" x14ac:dyDescent="0.2">
      <c r="A805" s="20" t="s">
        <v>310</v>
      </c>
      <c r="B805" s="61">
        <v>46103</v>
      </c>
      <c r="C805" s="20">
        <f t="shared" si="53"/>
        <v>1711</v>
      </c>
      <c r="D805" s="38">
        <f t="shared" si="54"/>
        <v>1</v>
      </c>
      <c r="G805" s="32" t="s">
        <v>89</v>
      </c>
      <c r="H805" s="20" t="s">
        <v>2966</v>
      </c>
      <c r="I805" s="20">
        <v>331</v>
      </c>
      <c r="J805" s="20">
        <v>1111</v>
      </c>
      <c r="K805" s="20" t="s">
        <v>20</v>
      </c>
      <c r="L805" s="20">
        <v>1</v>
      </c>
      <c r="M805" s="34">
        <v>83000</v>
      </c>
      <c r="N805" s="34">
        <f t="shared" si="51"/>
        <v>83000</v>
      </c>
      <c r="P805" s="20">
        <f t="shared" si="52"/>
        <v>84</v>
      </c>
    </row>
    <row r="806" spans="1:16" ht="15" hidden="1" customHeight="1" x14ac:dyDescent="0.2">
      <c r="A806" s="20" t="s">
        <v>18</v>
      </c>
      <c r="B806" s="61">
        <v>46103</v>
      </c>
      <c r="C806" s="20">
        <f t="shared" si="53"/>
        <v>1712</v>
      </c>
      <c r="D806" s="38">
        <f t="shared" si="54"/>
        <v>1</v>
      </c>
      <c r="G806" s="32" t="s">
        <v>89</v>
      </c>
      <c r="H806" s="20" t="s">
        <v>1465</v>
      </c>
      <c r="I806" s="20">
        <v>64277</v>
      </c>
      <c r="J806" s="20">
        <v>331</v>
      </c>
      <c r="K806" s="20" t="s">
        <v>20</v>
      </c>
      <c r="L806" s="20">
        <v>1</v>
      </c>
      <c r="M806" s="34">
        <v>63889</v>
      </c>
      <c r="N806" s="34">
        <f t="shared" si="51"/>
        <v>63889</v>
      </c>
      <c r="P806" s="20">
        <f t="shared" si="52"/>
        <v>73</v>
      </c>
    </row>
    <row r="807" spans="1:16" ht="15" hidden="1" customHeight="1" x14ac:dyDescent="0.2">
      <c r="A807" s="20" t="s">
        <v>18</v>
      </c>
      <c r="B807" s="61">
        <v>46103</v>
      </c>
      <c r="C807" s="20">
        <f t="shared" si="53"/>
        <v>1712</v>
      </c>
      <c r="D807" s="38">
        <f t="shared" si="54"/>
        <v>0</v>
      </c>
      <c r="G807" s="32" t="s">
        <v>89</v>
      </c>
      <c r="H807" s="20" t="s">
        <v>1465</v>
      </c>
      <c r="I807" s="20">
        <v>1331</v>
      </c>
      <c r="J807" s="20">
        <v>331</v>
      </c>
      <c r="K807" s="20" t="s">
        <v>20</v>
      </c>
      <c r="L807" s="20">
        <v>1</v>
      </c>
      <c r="M807" s="34">
        <v>5111</v>
      </c>
      <c r="N807" s="34">
        <f t="shared" si="51"/>
        <v>5111</v>
      </c>
      <c r="P807" s="20">
        <f t="shared" si="52"/>
        <v>73</v>
      </c>
    </row>
    <row r="808" spans="1:16" ht="15" hidden="1" customHeight="1" x14ac:dyDescent="0.2">
      <c r="A808" s="20" t="s">
        <v>310</v>
      </c>
      <c r="B808" s="61">
        <v>46103</v>
      </c>
      <c r="C808" s="20">
        <f t="shared" si="53"/>
        <v>1713</v>
      </c>
      <c r="D808" s="38">
        <f t="shared" si="54"/>
        <v>1</v>
      </c>
      <c r="G808" s="32" t="s">
        <v>89</v>
      </c>
      <c r="H808" s="20" t="s">
        <v>2967</v>
      </c>
      <c r="I808" s="20">
        <v>331</v>
      </c>
      <c r="J808" s="20">
        <v>1111</v>
      </c>
      <c r="K808" s="20" t="s">
        <v>20</v>
      </c>
      <c r="L808" s="20">
        <v>1</v>
      </c>
      <c r="M808" s="34">
        <v>69000</v>
      </c>
      <c r="N808" s="34">
        <f t="shared" si="51"/>
        <v>69000</v>
      </c>
      <c r="P808" s="20">
        <f t="shared" si="52"/>
        <v>84</v>
      </c>
    </row>
    <row r="809" spans="1:16" ht="15" hidden="1" customHeight="1" x14ac:dyDescent="0.2">
      <c r="A809" s="20" t="s">
        <v>18</v>
      </c>
      <c r="B809" s="61">
        <v>46104</v>
      </c>
      <c r="C809" s="20">
        <f t="shared" si="53"/>
        <v>1714</v>
      </c>
      <c r="D809" s="38">
        <f t="shared" si="54"/>
        <v>1</v>
      </c>
      <c r="G809" s="32" t="s">
        <v>90</v>
      </c>
      <c r="H809" s="20" t="s">
        <v>1466</v>
      </c>
      <c r="I809" s="20">
        <v>64277</v>
      </c>
      <c r="J809" s="20">
        <v>331</v>
      </c>
      <c r="K809" s="20" t="s">
        <v>20</v>
      </c>
      <c r="L809" s="20">
        <v>1</v>
      </c>
      <c r="M809" s="34">
        <v>6600000</v>
      </c>
      <c r="N809" s="34">
        <f t="shared" si="51"/>
        <v>6600000</v>
      </c>
      <c r="P809" s="20">
        <f t="shared" si="52"/>
        <v>127</v>
      </c>
    </row>
    <row r="810" spans="1:16" ht="15" hidden="1" customHeight="1" x14ac:dyDescent="0.2">
      <c r="A810" s="20" t="s">
        <v>18</v>
      </c>
      <c r="B810" s="61">
        <v>46104</v>
      </c>
      <c r="C810" s="20">
        <f t="shared" si="53"/>
        <v>1714</v>
      </c>
      <c r="D810" s="38">
        <f t="shared" si="54"/>
        <v>0</v>
      </c>
      <c r="G810" s="32" t="s">
        <v>90</v>
      </c>
      <c r="H810" s="20" t="s">
        <v>1466</v>
      </c>
      <c r="I810" s="20">
        <v>1331</v>
      </c>
      <c r="J810" s="20">
        <v>331</v>
      </c>
      <c r="K810" s="20" t="s">
        <v>20</v>
      </c>
      <c r="L810" s="20">
        <v>1</v>
      </c>
      <c r="M810" s="34">
        <v>330000</v>
      </c>
      <c r="N810" s="34">
        <f t="shared" si="51"/>
        <v>330000</v>
      </c>
      <c r="P810" s="20">
        <f t="shared" si="52"/>
        <v>127</v>
      </c>
    </row>
    <row r="811" spans="1:16" ht="15" hidden="1" customHeight="1" x14ac:dyDescent="0.2">
      <c r="A811" s="20" t="s">
        <v>18</v>
      </c>
      <c r="B811" s="61">
        <v>46104</v>
      </c>
      <c r="C811" s="20">
        <f t="shared" si="53"/>
        <v>1715</v>
      </c>
      <c r="D811" s="38">
        <f t="shared" si="54"/>
        <v>1</v>
      </c>
      <c r="G811" s="32" t="s">
        <v>89</v>
      </c>
      <c r="H811" s="20" t="s">
        <v>1467</v>
      </c>
      <c r="I811" s="20">
        <v>64277</v>
      </c>
      <c r="J811" s="20">
        <v>331</v>
      </c>
      <c r="K811" s="20" t="s">
        <v>20</v>
      </c>
      <c r="L811" s="20">
        <v>1</v>
      </c>
      <c r="M811" s="34">
        <v>30556</v>
      </c>
      <c r="N811" s="34">
        <f t="shared" si="51"/>
        <v>30556</v>
      </c>
      <c r="P811" s="20">
        <f t="shared" si="52"/>
        <v>73</v>
      </c>
    </row>
    <row r="812" spans="1:16" ht="15" hidden="1" customHeight="1" x14ac:dyDescent="0.2">
      <c r="A812" s="20" t="s">
        <v>18</v>
      </c>
      <c r="B812" s="61">
        <v>46104</v>
      </c>
      <c r="C812" s="20">
        <f t="shared" si="53"/>
        <v>1715</v>
      </c>
      <c r="D812" s="38">
        <f t="shared" si="54"/>
        <v>0</v>
      </c>
      <c r="G812" s="32" t="s">
        <v>89</v>
      </c>
      <c r="H812" s="20" t="s">
        <v>1467</v>
      </c>
      <c r="I812" s="20">
        <v>1331</v>
      </c>
      <c r="J812" s="20">
        <v>331</v>
      </c>
      <c r="K812" s="20" t="s">
        <v>20</v>
      </c>
      <c r="L812" s="20">
        <v>1</v>
      </c>
      <c r="M812" s="34">
        <v>2444</v>
      </c>
      <c r="N812" s="34">
        <f t="shared" si="51"/>
        <v>2444</v>
      </c>
      <c r="P812" s="20">
        <f t="shared" si="52"/>
        <v>73</v>
      </c>
    </row>
    <row r="813" spans="1:16" ht="15" hidden="1" customHeight="1" x14ac:dyDescent="0.2">
      <c r="A813" s="20" t="s">
        <v>310</v>
      </c>
      <c r="B813" s="61">
        <v>46104</v>
      </c>
      <c r="C813" s="20">
        <f t="shared" si="53"/>
        <v>1716</v>
      </c>
      <c r="D813" s="38">
        <f t="shared" si="54"/>
        <v>1</v>
      </c>
      <c r="G813" s="32" t="s">
        <v>89</v>
      </c>
      <c r="H813" s="20" t="s">
        <v>2968</v>
      </c>
      <c r="I813" s="20">
        <v>331</v>
      </c>
      <c r="J813" s="20">
        <v>1111</v>
      </c>
      <c r="K813" s="20" t="s">
        <v>20</v>
      </c>
      <c r="L813" s="20">
        <v>1</v>
      </c>
      <c r="M813" s="34">
        <v>33000</v>
      </c>
      <c r="N813" s="34">
        <f t="shared" si="51"/>
        <v>33000</v>
      </c>
      <c r="P813" s="20">
        <f t="shared" si="52"/>
        <v>84</v>
      </c>
    </row>
    <row r="814" spans="1:16" ht="15" hidden="1" customHeight="1" x14ac:dyDescent="0.2">
      <c r="A814" s="20" t="s">
        <v>18</v>
      </c>
      <c r="B814" s="61">
        <v>46104</v>
      </c>
      <c r="C814" s="20">
        <f t="shared" si="53"/>
        <v>1717</v>
      </c>
      <c r="D814" s="38">
        <f t="shared" si="54"/>
        <v>1</v>
      </c>
      <c r="G814" s="32" t="s">
        <v>89</v>
      </c>
      <c r="H814" s="20" t="s">
        <v>1468</v>
      </c>
      <c r="I814" s="20">
        <v>64277</v>
      </c>
      <c r="J814" s="20">
        <v>331</v>
      </c>
      <c r="K814" s="20" t="s">
        <v>20</v>
      </c>
      <c r="L814" s="20">
        <v>1</v>
      </c>
      <c r="M814" s="34">
        <v>22223</v>
      </c>
      <c r="N814" s="34">
        <f t="shared" si="51"/>
        <v>22223</v>
      </c>
      <c r="P814" s="20">
        <f t="shared" si="52"/>
        <v>73</v>
      </c>
    </row>
    <row r="815" spans="1:16" ht="15" hidden="1" customHeight="1" x14ac:dyDescent="0.2">
      <c r="A815" s="20" t="s">
        <v>18</v>
      </c>
      <c r="B815" s="61">
        <v>46104</v>
      </c>
      <c r="C815" s="20">
        <f t="shared" si="53"/>
        <v>1717</v>
      </c>
      <c r="D815" s="38">
        <f t="shared" si="54"/>
        <v>0</v>
      </c>
      <c r="G815" s="32" t="s">
        <v>89</v>
      </c>
      <c r="H815" s="20" t="s">
        <v>1468</v>
      </c>
      <c r="I815" s="20">
        <v>1331</v>
      </c>
      <c r="J815" s="20">
        <v>331</v>
      </c>
      <c r="K815" s="20" t="s">
        <v>20</v>
      </c>
      <c r="L815" s="20">
        <v>1</v>
      </c>
      <c r="M815" s="34">
        <v>1777</v>
      </c>
      <c r="N815" s="34">
        <f t="shared" si="51"/>
        <v>1777</v>
      </c>
      <c r="P815" s="20">
        <f t="shared" si="52"/>
        <v>73</v>
      </c>
    </row>
    <row r="816" spans="1:16" ht="15" hidden="1" customHeight="1" x14ac:dyDescent="0.2">
      <c r="A816" s="20" t="s">
        <v>310</v>
      </c>
      <c r="B816" s="61">
        <v>46104</v>
      </c>
      <c r="C816" s="20">
        <f t="shared" si="53"/>
        <v>1718</v>
      </c>
      <c r="D816" s="38">
        <f t="shared" si="54"/>
        <v>1</v>
      </c>
      <c r="G816" s="32" t="s">
        <v>89</v>
      </c>
      <c r="H816" s="20" t="s">
        <v>2969</v>
      </c>
      <c r="I816" s="20">
        <v>331</v>
      </c>
      <c r="J816" s="20">
        <v>1111</v>
      </c>
      <c r="K816" s="20" t="s">
        <v>20</v>
      </c>
      <c r="L816" s="20">
        <v>1</v>
      </c>
      <c r="M816" s="34">
        <v>24000</v>
      </c>
      <c r="N816" s="34">
        <f t="shared" si="51"/>
        <v>24000</v>
      </c>
      <c r="P816" s="20">
        <f t="shared" si="52"/>
        <v>84</v>
      </c>
    </row>
    <row r="817" spans="1:16" ht="15" hidden="1" customHeight="1" x14ac:dyDescent="0.2">
      <c r="A817" s="20" t="s">
        <v>18</v>
      </c>
      <c r="B817" s="61">
        <v>46105</v>
      </c>
      <c r="C817" s="20">
        <f t="shared" si="53"/>
        <v>1719</v>
      </c>
      <c r="D817" s="38">
        <f t="shared" si="54"/>
        <v>1</v>
      </c>
      <c r="G817" s="32" t="s">
        <v>89</v>
      </c>
      <c r="H817" s="20" t="s">
        <v>1469</v>
      </c>
      <c r="I817" s="20">
        <v>64277</v>
      </c>
      <c r="J817" s="20">
        <v>331</v>
      </c>
      <c r="K817" s="20" t="s">
        <v>20</v>
      </c>
      <c r="L817" s="20">
        <v>1</v>
      </c>
      <c r="M817" s="34">
        <v>48149</v>
      </c>
      <c r="N817" s="34">
        <f t="shared" si="51"/>
        <v>48149</v>
      </c>
      <c r="P817" s="20">
        <f t="shared" si="52"/>
        <v>73</v>
      </c>
    </row>
    <row r="818" spans="1:16" ht="15" hidden="1" customHeight="1" x14ac:dyDescent="0.2">
      <c r="A818" s="20" t="s">
        <v>18</v>
      </c>
      <c r="B818" s="61">
        <v>46105</v>
      </c>
      <c r="C818" s="20">
        <f t="shared" si="53"/>
        <v>1719</v>
      </c>
      <c r="D818" s="38">
        <f t="shared" si="54"/>
        <v>0</v>
      </c>
      <c r="G818" s="32" t="s">
        <v>89</v>
      </c>
      <c r="H818" s="20" t="s">
        <v>1469</v>
      </c>
      <c r="I818" s="20">
        <v>1331</v>
      </c>
      <c r="J818" s="20">
        <v>331</v>
      </c>
      <c r="K818" s="20" t="s">
        <v>20</v>
      </c>
      <c r="L818" s="20">
        <v>1</v>
      </c>
      <c r="M818" s="34">
        <v>3851</v>
      </c>
      <c r="N818" s="34">
        <f t="shared" si="51"/>
        <v>3851</v>
      </c>
      <c r="P818" s="20">
        <f t="shared" si="52"/>
        <v>73</v>
      </c>
    </row>
    <row r="819" spans="1:16" ht="15" hidden="1" customHeight="1" x14ac:dyDescent="0.2">
      <c r="A819" s="20" t="s">
        <v>310</v>
      </c>
      <c r="B819" s="61">
        <v>46105</v>
      </c>
      <c r="C819" s="20">
        <f t="shared" si="53"/>
        <v>1720</v>
      </c>
      <c r="D819" s="38">
        <f t="shared" si="54"/>
        <v>1</v>
      </c>
      <c r="G819" s="32" t="s">
        <v>89</v>
      </c>
      <c r="H819" s="20" t="s">
        <v>2970</v>
      </c>
      <c r="I819" s="20">
        <v>331</v>
      </c>
      <c r="J819" s="20">
        <v>1111</v>
      </c>
      <c r="K819" s="20" t="s">
        <v>20</v>
      </c>
      <c r="L819" s="20">
        <v>1</v>
      </c>
      <c r="M819" s="34">
        <v>52000</v>
      </c>
      <c r="N819" s="34">
        <f t="shared" si="51"/>
        <v>52000</v>
      </c>
      <c r="P819" s="20">
        <f t="shared" si="52"/>
        <v>84</v>
      </c>
    </row>
    <row r="820" spans="1:16" ht="15" hidden="1" customHeight="1" x14ac:dyDescent="0.2">
      <c r="A820" s="20" t="s">
        <v>18</v>
      </c>
      <c r="B820" s="61">
        <v>46105</v>
      </c>
      <c r="C820" s="20">
        <f t="shared" si="53"/>
        <v>1721</v>
      </c>
      <c r="D820" s="38">
        <f t="shared" si="54"/>
        <v>1</v>
      </c>
      <c r="G820" s="32" t="s">
        <v>89</v>
      </c>
      <c r="H820" s="20" t="s">
        <v>1470</v>
      </c>
      <c r="I820" s="20">
        <v>64277</v>
      </c>
      <c r="J820" s="20">
        <v>331</v>
      </c>
      <c r="K820" s="20" t="s">
        <v>20</v>
      </c>
      <c r="L820" s="20">
        <v>1</v>
      </c>
      <c r="M820" s="34">
        <v>23148</v>
      </c>
      <c r="N820" s="34">
        <f t="shared" si="51"/>
        <v>23148</v>
      </c>
      <c r="P820" s="20">
        <f t="shared" si="52"/>
        <v>73</v>
      </c>
    </row>
    <row r="821" spans="1:16" ht="15" hidden="1" customHeight="1" x14ac:dyDescent="0.2">
      <c r="A821" s="20" t="s">
        <v>18</v>
      </c>
      <c r="B821" s="61">
        <v>46105</v>
      </c>
      <c r="C821" s="20">
        <f t="shared" si="53"/>
        <v>1721</v>
      </c>
      <c r="D821" s="38">
        <f t="shared" si="54"/>
        <v>0</v>
      </c>
      <c r="G821" s="32" t="s">
        <v>89</v>
      </c>
      <c r="H821" s="20" t="s">
        <v>1470</v>
      </c>
      <c r="I821" s="20">
        <v>1331</v>
      </c>
      <c r="J821" s="20">
        <v>331</v>
      </c>
      <c r="K821" s="20" t="s">
        <v>20</v>
      </c>
      <c r="L821" s="20">
        <v>1</v>
      </c>
      <c r="M821" s="34">
        <v>1852</v>
      </c>
      <c r="N821" s="34">
        <f t="shared" si="51"/>
        <v>1852</v>
      </c>
      <c r="P821" s="20">
        <f t="shared" si="52"/>
        <v>73</v>
      </c>
    </row>
    <row r="822" spans="1:16" ht="15" hidden="1" customHeight="1" x14ac:dyDescent="0.2">
      <c r="A822" s="20" t="s">
        <v>310</v>
      </c>
      <c r="B822" s="61">
        <v>46105</v>
      </c>
      <c r="C822" s="20">
        <f t="shared" si="53"/>
        <v>1722</v>
      </c>
      <c r="D822" s="38">
        <f t="shared" si="54"/>
        <v>1</v>
      </c>
      <c r="G822" s="32" t="s">
        <v>89</v>
      </c>
      <c r="H822" s="20" t="s">
        <v>2971</v>
      </c>
      <c r="I822" s="20">
        <v>331</v>
      </c>
      <c r="J822" s="20">
        <v>1111</v>
      </c>
      <c r="K822" s="20" t="s">
        <v>20</v>
      </c>
      <c r="L822" s="20">
        <v>1</v>
      </c>
      <c r="M822" s="34">
        <v>25000</v>
      </c>
      <c r="N822" s="34">
        <f t="shared" si="51"/>
        <v>25000</v>
      </c>
      <c r="P822" s="20">
        <f t="shared" si="52"/>
        <v>84</v>
      </c>
    </row>
    <row r="823" spans="1:16" ht="15" hidden="1" customHeight="1" x14ac:dyDescent="0.2">
      <c r="A823" s="20" t="s">
        <v>18</v>
      </c>
      <c r="B823" s="61">
        <v>46105</v>
      </c>
      <c r="C823" s="20">
        <f t="shared" si="53"/>
        <v>1723</v>
      </c>
      <c r="D823" s="38">
        <f t="shared" si="54"/>
        <v>1</v>
      </c>
      <c r="G823" s="32" t="s">
        <v>89</v>
      </c>
      <c r="H823" s="20" t="s">
        <v>1471</v>
      </c>
      <c r="I823" s="20">
        <v>64277</v>
      </c>
      <c r="J823" s="20">
        <v>331</v>
      </c>
      <c r="K823" s="20" t="s">
        <v>20</v>
      </c>
      <c r="L823" s="20">
        <v>1</v>
      </c>
      <c r="M823" s="34">
        <v>18519</v>
      </c>
      <c r="N823" s="34">
        <f t="shared" si="51"/>
        <v>18519</v>
      </c>
      <c r="P823" s="20">
        <f t="shared" si="52"/>
        <v>73</v>
      </c>
    </row>
    <row r="824" spans="1:16" ht="15" hidden="1" customHeight="1" x14ac:dyDescent="0.2">
      <c r="A824" s="20" t="s">
        <v>18</v>
      </c>
      <c r="B824" s="61">
        <v>46105</v>
      </c>
      <c r="C824" s="20">
        <f t="shared" si="53"/>
        <v>1723</v>
      </c>
      <c r="D824" s="38">
        <f t="shared" si="54"/>
        <v>0</v>
      </c>
      <c r="G824" s="32" t="s">
        <v>89</v>
      </c>
      <c r="H824" s="20" t="s">
        <v>1471</v>
      </c>
      <c r="I824" s="20">
        <v>1331</v>
      </c>
      <c r="J824" s="20">
        <v>331</v>
      </c>
      <c r="K824" s="20" t="s">
        <v>20</v>
      </c>
      <c r="L824" s="20">
        <v>1</v>
      </c>
      <c r="M824" s="34">
        <v>1481</v>
      </c>
      <c r="N824" s="34">
        <f t="shared" si="51"/>
        <v>1481</v>
      </c>
      <c r="P824" s="20">
        <f t="shared" si="52"/>
        <v>73</v>
      </c>
    </row>
    <row r="825" spans="1:16" ht="15" hidden="1" customHeight="1" x14ac:dyDescent="0.2">
      <c r="A825" s="20" t="s">
        <v>310</v>
      </c>
      <c r="B825" s="61">
        <v>46105</v>
      </c>
      <c r="C825" s="20">
        <f t="shared" si="53"/>
        <v>1724</v>
      </c>
      <c r="D825" s="38">
        <f t="shared" si="54"/>
        <v>1</v>
      </c>
      <c r="G825" s="32" t="s">
        <v>89</v>
      </c>
      <c r="H825" s="20" t="s">
        <v>2972</v>
      </c>
      <c r="I825" s="20">
        <v>331</v>
      </c>
      <c r="J825" s="20">
        <v>1111</v>
      </c>
      <c r="K825" s="20" t="s">
        <v>20</v>
      </c>
      <c r="L825" s="20">
        <v>1</v>
      </c>
      <c r="M825" s="34">
        <v>20000</v>
      </c>
      <c r="N825" s="34">
        <f t="shared" si="51"/>
        <v>20000</v>
      </c>
      <c r="P825" s="20">
        <f t="shared" si="52"/>
        <v>84</v>
      </c>
    </row>
    <row r="826" spans="1:16" ht="15" hidden="1" customHeight="1" x14ac:dyDescent="0.2">
      <c r="A826" s="20" t="s">
        <v>18</v>
      </c>
      <c r="B826" s="61">
        <v>46105</v>
      </c>
      <c r="C826" s="20">
        <f t="shared" si="53"/>
        <v>1725</v>
      </c>
      <c r="D826" s="38">
        <f t="shared" si="54"/>
        <v>1</v>
      </c>
      <c r="G826" s="32" t="s">
        <v>89</v>
      </c>
      <c r="H826" s="20" t="s">
        <v>1472</v>
      </c>
      <c r="I826" s="20">
        <v>64277</v>
      </c>
      <c r="J826" s="20">
        <v>331</v>
      </c>
      <c r="K826" s="20" t="s">
        <v>20</v>
      </c>
      <c r="L826" s="20">
        <v>1</v>
      </c>
      <c r="M826" s="34">
        <v>36111</v>
      </c>
      <c r="N826" s="34">
        <f t="shared" si="51"/>
        <v>36111</v>
      </c>
      <c r="P826" s="20">
        <f t="shared" si="52"/>
        <v>73</v>
      </c>
    </row>
    <row r="827" spans="1:16" ht="15" hidden="1" customHeight="1" x14ac:dyDescent="0.2">
      <c r="A827" s="20" t="s">
        <v>18</v>
      </c>
      <c r="B827" s="61">
        <v>46105</v>
      </c>
      <c r="C827" s="20">
        <f t="shared" si="53"/>
        <v>1725</v>
      </c>
      <c r="D827" s="38">
        <f t="shared" si="54"/>
        <v>0</v>
      </c>
      <c r="G827" s="32" t="s">
        <v>89</v>
      </c>
      <c r="H827" s="20" t="s">
        <v>1472</v>
      </c>
      <c r="I827" s="20">
        <v>1331</v>
      </c>
      <c r="J827" s="20">
        <v>331</v>
      </c>
      <c r="K827" s="20" t="s">
        <v>20</v>
      </c>
      <c r="L827" s="20">
        <v>1</v>
      </c>
      <c r="M827" s="34">
        <v>2889</v>
      </c>
      <c r="N827" s="34">
        <f t="shared" si="51"/>
        <v>2889</v>
      </c>
      <c r="P827" s="20">
        <f t="shared" si="52"/>
        <v>73</v>
      </c>
    </row>
    <row r="828" spans="1:16" ht="15" hidden="1" customHeight="1" x14ac:dyDescent="0.2">
      <c r="A828" s="20" t="s">
        <v>310</v>
      </c>
      <c r="B828" s="61">
        <v>46105</v>
      </c>
      <c r="C828" s="20">
        <f t="shared" si="53"/>
        <v>1726</v>
      </c>
      <c r="D828" s="38">
        <f t="shared" si="54"/>
        <v>1</v>
      </c>
      <c r="G828" s="32" t="s">
        <v>89</v>
      </c>
      <c r="H828" s="20" t="s">
        <v>2973</v>
      </c>
      <c r="I828" s="20">
        <v>331</v>
      </c>
      <c r="J828" s="20">
        <v>1111</v>
      </c>
      <c r="K828" s="20" t="s">
        <v>20</v>
      </c>
      <c r="L828" s="20">
        <v>1</v>
      </c>
      <c r="M828" s="34">
        <v>39000</v>
      </c>
      <c r="N828" s="34">
        <f t="shared" si="51"/>
        <v>39000</v>
      </c>
      <c r="P828" s="20">
        <f t="shared" si="52"/>
        <v>84</v>
      </c>
    </row>
    <row r="829" spans="1:16" ht="15" hidden="1" customHeight="1" x14ac:dyDescent="0.2">
      <c r="A829" s="20" t="s">
        <v>18</v>
      </c>
      <c r="B829" s="61">
        <v>46105</v>
      </c>
      <c r="C829" s="20">
        <f t="shared" si="53"/>
        <v>1727</v>
      </c>
      <c r="D829" s="38">
        <f t="shared" si="54"/>
        <v>1</v>
      </c>
      <c r="G829" s="32" t="s">
        <v>89</v>
      </c>
      <c r="H829" s="20" t="s">
        <v>1473</v>
      </c>
      <c r="I829" s="20">
        <v>64277</v>
      </c>
      <c r="J829" s="20">
        <v>331</v>
      </c>
      <c r="K829" s="20" t="s">
        <v>20</v>
      </c>
      <c r="L829" s="20">
        <v>1</v>
      </c>
      <c r="M829" s="34">
        <v>35185</v>
      </c>
      <c r="N829" s="34">
        <f t="shared" si="51"/>
        <v>35185</v>
      </c>
      <c r="P829" s="20">
        <f t="shared" si="52"/>
        <v>73</v>
      </c>
    </row>
    <row r="830" spans="1:16" ht="15" hidden="1" customHeight="1" x14ac:dyDescent="0.2">
      <c r="A830" s="20" t="s">
        <v>18</v>
      </c>
      <c r="B830" s="61">
        <v>46105</v>
      </c>
      <c r="C830" s="20">
        <f t="shared" si="53"/>
        <v>1727</v>
      </c>
      <c r="D830" s="38">
        <f t="shared" si="54"/>
        <v>0</v>
      </c>
      <c r="G830" s="32" t="s">
        <v>89</v>
      </c>
      <c r="H830" s="20" t="s">
        <v>1473</v>
      </c>
      <c r="I830" s="20">
        <v>1331</v>
      </c>
      <c r="J830" s="20">
        <v>331</v>
      </c>
      <c r="K830" s="20" t="s">
        <v>20</v>
      </c>
      <c r="L830" s="20">
        <v>1</v>
      </c>
      <c r="M830" s="34">
        <v>2815</v>
      </c>
      <c r="N830" s="34">
        <f t="shared" si="51"/>
        <v>2815</v>
      </c>
      <c r="P830" s="20">
        <f t="shared" si="52"/>
        <v>73</v>
      </c>
    </row>
    <row r="831" spans="1:16" ht="15" hidden="1" customHeight="1" x14ac:dyDescent="0.2">
      <c r="A831" s="20" t="s">
        <v>310</v>
      </c>
      <c r="B831" s="61">
        <v>46105</v>
      </c>
      <c r="C831" s="20">
        <f t="shared" si="53"/>
        <v>1728</v>
      </c>
      <c r="D831" s="38">
        <f t="shared" si="54"/>
        <v>1</v>
      </c>
      <c r="G831" s="32" t="s">
        <v>89</v>
      </c>
      <c r="H831" s="20" t="s">
        <v>2974</v>
      </c>
      <c r="I831" s="20">
        <v>331</v>
      </c>
      <c r="J831" s="20">
        <v>1111</v>
      </c>
      <c r="K831" s="20" t="s">
        <v>20</v>
      </c>
      <c r="L831" s="20">
        <v>1</v>
      </c>
      <c r="M831" s="34">
        <v>38000</v>
      </c>
      <c r="N831" s="34">
        <f t="shared" si="51"/>
        <v>38000</v>
      </c>
      <c r="P831" s="20">
        <f t="shared" si="52"/>
        <v>84</v>
      </c>
    </row>
    <row r="832" spans="1:16" ht="15" hidden="1" customHeight="1" x14ac:dyDescent="0.2">
      <c r="A832" s="20" t="s">
        <v>18</v>
      </c>
      <c r="B832" s="61">
        <v>46105</v>
      </c>
      <c r="C832" s="20">
        <f t="shared" si="53"/>
        <v>1729</v>
      </c>
      <c r="D832" s="38">
        <f t="shared" si="54"/>
        <v>1</v>
      </c>
      <c r="G832" s="32" t="s">
        <v>89</v>
      </c>
      <c r="H832" s="20" t="s">
        <v>1474</v>
      </c>
      <c r="I832" s="20">
        <v>64277</v>
      </c>
      <c r="J832" s="20">
        <v>331</v>
      </c>
      <c r="K832" s="20" t="s">
        <v>20</v>
      </c>
      <c r="L832" s="20">
        <v>1</v>
      </c>
      <c r="M832" s="34">
        <v>20370</v>
      </c>
      <c r="N832" s="34">
        <f t="shared" ref="N832:N895" si="55">L832*M832</f>
        <v>20370</v>
      </c>
      <c r="P832" s="20">
        <f t="shared" si="52"/>
        <v>73</v>
      </c>
    </row>
    <row r="833" spans="1:16" ht="15" hidden="1" customHeight="1" x14ac:dyDescent="0.2">
      <c r="A833" s="20" t="s">
        <v>18</v>
      </c>
      <c r="B833" s="61">
        <v>46105</v>
      </c>
      <c r="C833" s="20">
        <f t="shared" si="53"/>
        <v>1729</v>
      </c>
      <c r="D833" s="38">
        <f t="shared" si="54"/>
        <v>0</v>
      </c>
      <c r="G833" s="32" t="s">
        <v>89</v>
      </c>
      <c r="H833" s="20" t="s">
        <v>1474</v>
      </c>
      <c r="I833" s="20">
        <v>1331</v>
      </c>
      <c r="J833" s="20">
        <v>331</v>
      </c>
      <c r="K833" s="20" t="s">
        <v>20</v>
      </c>
      <c r="L833" s="20">
        <v>1</v>
      </c>
      <c r="M833" s="34">
        <v>1630</v>
      </c>
      <c r="N833" s="34">
        <f t="shared" si="55"/>
        <v>1630</v>
      </c>
      <c r="P833" s="20">
        <f t="shared" si="52"/>
        <v>73</v>
      </c>
    </row>
    <row r="834" spans="1:16" ht="15" hidden="1" customHeight="1" x14ac:dyDescent="0.2">
      <c r="A834" s="20" t="s">
        <v>310</v>
      </c>
      <c r="B834" s="61">
        <v>46105</v>
      </c>
      <c r="C834" s="20">
        <f t="shared" si="53"/>
        <v>1730</v>
      </c>
      <c r="D834" s="38">
        <f t="shared" si="54"/>
        <v>1</v>
      </c>
      <c r="G834" s="32" t="s">
        <v>89</v>
      </c>
      <c r="H834" s="20" t="s">
        <v>2975</v>
      </c>
      <c r="I834" s="20">
        <v>331</v>
      </c>
      <c r="J834" s="20">
        <v>1111</v>
      </c>
      <c r="K834" s="20" t="s">
        <v>20</v>
      </c>
      <c r="L834" s="20">
        <v>1</v>
      </c>
      <c r="M834" s="34">
        <v>22000</v>
      </c>
      <c r="N834" s="34">
        <f t="shared" si="55"/>
        <v>22000</v>
      </c>
      <c r="P834" s="20">
        <f t="shared" ref="P834:P897" si="56">LEN(H834)</f>
        <v>84</v>
      </c>
    </row>
    <row r="835" spans="1:16" ht="15" hidden="1" customHeight="1" x14ac:dyDescent="0.2">
      <c r="A835" s="20" t="s">
        <v>18</v>
      </c>
      <c r="B835" s="61">
        <v>46105</v>
      </c>
      <c r="C835" s="20">
        <f t="shared" si="53"/>
        <v>1731</v>
      </c>
      <c r="D835" s="38">
        <f t="shared" si="54"/>
        <v>1</v>
      </c>
      <c r="G835" s="32" t="s">
        <v>89</v>
      </c>
      <c r="H835" s="20" t="s">
        <v>1475</v>
      </c>
      <c r="I835" s="20">
        <v>64277</v>
      </c>
      <c r="J835" s="20">
        <v>331</v>
      </c>
      <c r="K835" s="20" t="s">
        <v>20</v>
      </c>
      <c r="L835" s="20">
        <v>1</v>
      </c>
      <c r="M835" s="34">
        <v>48148</v>
      </c>
      <c r="N835" s="34">
        <f t="shared" si="55"/>
        <v>48148</v>
      </c>
      <c r="P835" s="20">
        <f t="shared" si="56"/>
        <v>73</v>
      </c>
    </row>
    <row r="836" spans="1:16" ht="15" hidden="1" customHeight="1" x14ac:dyDescent="0.2">
      <c r="A836" s="20" t="s">
        <v>18</v>
      </c>
      <c r="B836" s="61">
        <v>46105</v>
      </c>
      <c r="C836" s="20">
        <f t="shared" si="53"/>
        <v>1731</v>
      </c>
      <c r="D836" s="38">
        <f t="shared" si="54"/>
        <v>0</v>
      </c>
      <c r="G836" s="32" t="s">
        <v>89</v>
      </c>
      <c r="H836" s="20" t="s">
        <v>1475</v>
      </c>
      <c r="I836" s="20">
        <v>1331</v>
      </c>
      <c r="J836" s="20">
        <v>331</v>
      </c>
      <c r="K836" s="20" t="s">
        <v>20</v>
      </c>
      <c r="L836" s="20">
        <v>1</v>
      </c>
      <c r="M836" s="34">
        <v>3852</v>
      </c>
      <c r="N836" s="34">
        <f t="shared" si="55"/>
        <v>3852</v>
      </c>
      <c r="P836" s="20">
        <f t="shared" si="56"/>
        <v>73</v>
      </c>
    </row>
    <row r="837" spans="1:16" ht="15" hidden="1" customHeight="1" x14ac:dyDescent="0.2">
      <c r="A837" s="20" t="s">
        <v>310</v>
      </c>
      <c r="B837" s="61">
        <v>46105</v>
      </c>
      <c r="C837" s="20">
        <f t="shared" si="53"/>
        <v>1732</v>
      </c>
      <c r="D837" s="38">
        <f t="shared" si="54"/>
        <v>1</v>
      </c>
      <c r="G837" s="32" t="s">
        <v>89</v>
      </c>
      <c r="H837" s="20" t="s">
        <v>2976</v>
      </c>
      <c r="I837" s="20">
        <v>331</v>
      </c>
      <c r="J837" s="20">
        <v>1111</v>
      </c>
      <c r="K837" s="20" t="s">
        <v>20</v>
      </c>
      <c r="L837" s="20">
        <v>1</v>
      </c>
      <c r="M837" s="34">
        <v>52000</v>
      </c>
      <c r="N837" s="34">
        <f t="shared" si="55"/>
        <v>52000</v>
      </c>
      <c r="P837" s="20">
        <f t="shared" si="56"/>
        <v>84</v>
      </c>
    </row>
    <row r="838" spans="1:16" ht="15" hidden="1" customHeight="1" x14ac:dyDescent="0.2">
      <c r="A838" s="20" t="s">
        <v>18</v>
      </c>
      <c r="B838" s="61">
        <v>46105</v>
      </c>
      <c r="C838" s="20">
        <f t="shared" ref="C838:C901" si="57">C837+D838</f>
        <v>1733</v>
      </c>
      <c r="D838" s="38">
        <f t="shared" ref="D838:D901" si="58">IF(H838=H837,0,1)</f>
        <v>1</v>
      </c>
      <c r="G838" s="32" t="s">
        <v>89</v>
      </c>
      <c r="H838" s="20" t="s">
        <v>1476</v>
      </c>
      <c r="I838" s="20">
        <v>64277</v>
      </c>
      <c r="J838" s="20">
        <v>331</v>
      </c>
      <c r="K838" s="20" t="s">
        <v>20</v>
      </c>
      <c r="L838" s="20">
        <v>1</v>
      </c>
      <c r="M838" s="34">
        <v>22223</v>
      </c>
      <c r="N838" s="34">
        <f t="shared" si="55"/>
        <v>22223</v>
      </c>
      <c r="P838" s="20">
        <f t="shared" si="56"/>
        <v>73</v>
      </c>
    </row>
    <row r="839" spans="1:16" ht="15" hidden="1" customHeight="1" x14ac:dyDescent="0.2">
      <c r="A839" s="20" t="s">
        <v>18</v>
      </c>
      <c r="B839" s="61">
        <v>46105</v>
      </c>
      <c r="C839" s="20">
        <f t="shared" si="57"/>
        <v>1733</v>
      </c>
      <c r="D839" s="38">
        <f t="shared" si="58"/>
        <v>0</v>
      </c>
      <c r="G839" s="32" t="s">
        <v>89</v>
      </c>
      <c r="H839" s="20" t="s">
        <v>1476</v>
      </c>
      <c r="I839" s="20">
        <v>1331</v>
      </c>
      <c r="J839" s="20">
        <v>331</v>
      </c>
      <c r="K839" s="20" t="s">
        <v>20</v>
      </c>
      <c r="L839" s="20">
        <v>1</v>
      </c>
      <c r="M839" s="34">
        <v>1777</v>
      </c>
      <c r="N839" s="34">
        <f t="shared" si="55"/>
        <v>1777</v>
      </c>
      <c r="P839" s="20">
        <f t="shared" si="56"/>
        <v>73</v>
      </c>
    </row>
    <row r="840" spans="1:16" ht="15" hidden="1" customHeight="1" x14ac:dyDescent="0.2">
      <c r="A840" s="20" t="s">
        <v>310</v>
      </c>
      <c r="B840" s="61">
        <v>46105</v>
      </c>
      <c r="C840" s="20">
        <f t="shared" si="57"/>
        <v>1734</v>
      </c>
      <c r="D840" s="38">
        <f t="shared" si="58"/>
        <v>1</v>
      </c>
      <c r="G840" s="32" t="s">
        <v>89</v>
      </c>
      <c r="H840" s="20" t="s">
        <v>2977</v>
      </c>
      <c r="I840" s="20">
        <v>331</v>
      </c>
      <c r="J840" s="20">
        <v>1111</v>
      </c>
      <c r="K840" s="20" t="s">
        <v>20</v>
      </c>
      <c r="L840" s="20">
        <v>1</v>
      </c>
      <c r="M840" s="34">
        <v>24000</v>
      </c>
      <c r="N840" s="34">
        <f t="shared" si="55"/>
        <v>24000</v>
      </c>
      <c r="P840" s="20">
        <f t="shared" si="56"/>
        <v>84</v>
      </c>
    </row>
    <row r="841" spans="1:16" ht="15" hidden="1" customHeight="1" x14ac:dyDescent="0.2">
      <c r="A841" s="20" t="s">
        <v>18</v>
      </c>
      <c r="B841" s="61">
        <v>46105</v>
      </c>
      <c r="C841" s="20">
        <f t="shared" si="57"/>
        <v>1735</v>
      </c>
      <c r="D841" s="38">
        <f t="shared" si="58"/>
        <v>1</v>
      </c>
      <c r="G841" s="32" t="s">
        <v>792</v>
      </c>
      <c r="H841" s="20" t="s">
        <v>2698</v>
      </c>
      <c r="I841" s="20">
        <v>64277</v>
      </c>
      <c r="J841" s="20">
        <v>331</v>
      </c>
      <c r="K841" s="20" t="s">
        <v>20</v>
      </c>
      <c r="L841" s="20">
        <v>1</v>
      </c>
      <c r="M841" s="34">
        <v>1412000</v>
      </c>
      <c r="N841" s="34">
        <f t="shared" si="55"/>
        <v>1412000</v>
      </c>
      <c r="P841" s="20">
        <f t="shared" si="56"/>
        <v>41</v>
      </c>
    </row>
    <row r="842" spans="1:16" ht="15" hidden="1" customHeight="1" x14ac:dyDescent="0.2">
      <c r="A842" s="20" t="s">
        <v>18</v>
      </c>
      <c r="B842" s="61">
        <v>46105</v>
      </c>
      <c r="C842" s="20">
        <f t="shared" si="57"/>
        <v>1735</v>
      </c>
      <c r="D842" s="38">
        <f t="shared" si="58"/>
        <v>0</v>
      </c>
      <c r="G842" s="32" t="s">
        <v>792</v>
      </c>
      <c r="H842" s="20" t="s">
        <v>2698</v>
      </c>
      <c r="I842" s="20">
        <v>1331</v>
      </c>
      <c r="J842" s="20">
        <v>331</v>
      </c>
      <c r="K842" s="20" t="s">
        <v>20</v>
      </c>
      <c r="L842" s="20">
        <v>1</v>
      </c>
      <c r="M842" s="34">
        <v>112960</v>
      </c>
      <c r="N842" s="34">
        <f t="shared" si="55"/>
        <v>112960</v>
      </c>
      <c r="P842" s="20">
        <f t="shared" si="56"/>
        <v>41</v>
      </c>
    </row>
    <row r="843" spans="1:16" ht="15" hidden="1" customHeight="1" x14ac:dyDescent="0.2">
      <c r="A843" s="20" t="s">
        <v>310</v>
      </c>
      <c r="B843" s="61">
        <v>46105</v>
      </c>
      <c r="C843" s="20">
        <f t="shared" si="57"/>
        <v>1736</v>
      </c>
      <c r="D843" s="38">
        <f t="shared" si="58"/>
        <v>1</v>
      </c>
      <c r="G843" s="32" t="s">
        <v>792</v>
      </c>
      <c r="H843" s="20" t="s">
        <v>2978</v>
      </c>
      <c r="I843" s="20">
        <v>331</v>
      </c>
      <c r="J843" s="20">
        <v>1111</v>
      </c>
      <c r="K843" s="20" t="s">
        <v>20</v>
      </c>
      <c r="L843" s="20">
        <v>1</v>
      </c>
      <c r="M843" s="34">
        <v>1524960</v>
      </c>
      <c r="N843" s="34">
        <f t="shared" si="55"/>
        <v>1524960</v>
      </c>
      <c r="P843" s="20">
        <f t="shared" si="56"/>
        <v>52</v>
      </c>
    </row>
    <row r="844" spans="1:16" ht="15" hidden="1" customHeight="1" x14ac:dyDescent="0.2">
      <c r="A844" s="20" t="s">
        <v>18</v>
      </c>
      <c r="B844" s="61">
        <v>46105</v>
      </c>
      <c r="C844" s="20">
        <f t="shared" si="57"/>
        <v>1737</v>
      </c>
      <c r="D844" s="38">
        <f t="shared" si="58"/>
        <v>1</v>
      </c>
      <c r="G844" s="32" t="s">
        <v>1213</v>
      </c>
      <c r="H844" s="20" t="s">
        <v>1477</v>
      </c>
      <c r="I844" s="20">
        <v>64277</v>
      </c>
      <c r="J844" s="20">
        <v>331</v>
      </c>
      <c r="K844" s="20" t="s">
        <v>20</v>
      </c>
      <c r="L844" s="20">
        <v>1</v>
      </c>
      <c r="M844" s="34">
        <v>2840000</v>
      </c>
      <c r="N844" s="34">
        <f t="shared" si="55"/>
        <v>2840000</v>
      </c>
      <c r="P844" s="20">
        <f t="shared" si="56"/>
        <v>183</v>
      </c>
    </row>
    <row r="845" spans="1:16" ht="15" hidden="1" customHeight="1" x14ac:dyDescent="0.2">
      <c r="A845" s="20" t="s">
        <v>18</v>
      </c>
      <c r="B845" s="61">
        <v>46105</v>
      </c>
      <c r="C845" s="20">
        <f t="shared" si="57"/>
        <v>1737</v>
      </c>
      <c r="D845" s="38">
        <f t="shared" si="58"/>
        <v>0</v>
      </c>
      <c r="G845" s="32" t="s">
        <v>1213</v>
      </c>
      <c r="H845" s="20" t="s">
        <v>1477</v>
      </c>
      <c r="I845" s="20">
        <v>1331</v>
      </c>
      <c r="J845" s="20">
        <v>331</v>
      </c>
      <c r="K845" s="20" t="s">
        <v>20</v>
      </c>
      <c r="L845" s="20">
        <v>1</v>
      </c>
      <c r="M845" s="34">
        <v>227800</v>
      </c>
      <c r="N845" s="34">
        <f t="shared" si="55"/>
        <v>227800</v>
      </c>
      <c r="P845" s="20">
        <f t="shared" si="56"/>
        <v>183</v>
      </c>
    </row>
    <row r="846" spans="1:16" ht="15" hidden="1" customHeight="1" x14ac:dyDescent="0.2">
      <c r="A846" s="20" t="s">
        <v>310</v>
      </c>
      <c r="B846" s="61">
        <v>46105</v>
      </c>
      <c r="C846" s="20">
        <f t="shared" si="57"/>
        <v>1738</v>
      </c>
      <c r="D846" s="38">
        <f t="shared" si="58"/>
        <v>1</v>
      </c>
      <c r="G846" s="32" t="s">
        <v>1213</v>
      </c>
      <c r="H846" s="20" t="s">
        <v>2979</v>
      </c>
      <c r="I846" s="20">
        <v>331</v>
      </c>
      <c r="J846" s="20">
        <v>1111</v>
      </c>
      <c r="K846" s="20" t="s">
        <v>20</v>
      </c>
      <c r="L846" s="20">
        <v>1</v>
      </c>
      <c r="M846" s="34">
        <v>3067800</v>
      </c>
      <c r="N846" s="34">
        <f t="shared" si="55"/>
        <v>3067800</v>
      </c>
      <c r="P846" s="20">
        <f t="shared" si="56"/>
        <v>194</v>
      </c>
    </row>
    <row r="847" spans="1:16" ht="15" hidden="1" customHeight="1" x14ac:dyDescent="0.2">
      <c r="A847" s="20" t="s">
        <v>18</v>
      </c>
      <c r="B847" s="61">
        <v>46106</v>
      </c>
      <c r="C847" s="20">
        <f t="shared" si="57"/>
        <v>1739</v>
      </c>
      <c r="D847" s="38">
        <f t="shared" si="58"/>
        <v>1</v>
      </c>
      <c r="G847" s="32" t="s">
        <v>89</v>
      </c>
      <c r="H847" s="20" t="s">
        <v>1478</v>
      </c>
      <c r="I847" s="20">
        <v>64277</v>
      </c>
      <c r="J847" s="20">
        <v>331</v>
      </c>
      <c r="K847" s="20" t="s">
        <v>20</v>
      </c>
      <c r="L847" s="20">
        <v>1</v>
      </c>
      <c r="M847" s="34">
        <v>22223</v>
      </c>
      <c r="N847" s="34">
        <f t="shared" si="55"/>
        <v>22223</v>
      </c>
      <c r="P847" s="20">
        <f t="shared" si="56"/>
        <v>73</v>
      </c>
    </row>
    <row r="848" spans="1:16" ht="15" hidden="1" customHeight="1" x14ac:dyDescent="0.2">
      <c r="A848" s="20" t="s">
        <v>18</v>
      </c>
      <c r="B848" s="61">
        <v>46106</v>
      </c>
      <c r="C848" s="20">
        <f t="shared" si="57"/>
        <v>1739</v>
      </c>
      <c r="D848" s="38">
        <f t="shared" si="58"/>
        <v>0</v>
      </c>
      <c r="G848" s="32" t="s">
        <v>89</v>
      </c>
      <c r="H848" s="20" t="s">
        <v>1478</v>
      </c>
      <c r="I848" s="20">
        <v>1331</v>
      </c>
      <c r="J848" s="20">
        <v>331</v>
      </c>
      <c r="K848" s="20" t="s">
        <v>20</v>
      </c>
      <c r="L848" s="20">
        <v>1</v>
      </c>
      <c r="M848" s="34">
        <v>1777</v>
      </c>
      <c r="N848" s="34">
        <f t="shared" si="55"/>
        <v>1777</v>
      </c>
      <c r="P848" s="20">
        <f t="shared" si="56"/>
        <v>73</v>
      </c>
    </row>
    <row r="849" spans="1:16" ht="15" hidden="1" customHeight="1" x14ac:dyDescent="0.2">
      <c r="A849" s="20" t="s">
        <v>310</v>
      </c>
      <c r="B849" s="61">
        <v>46106</v>
      </c>
      <c r="C849" s="20">
        <f t="shared" si="57"/>
        <v>1740</v>
      </c>
      <c r="D849" s="38">
        <f t="shared" si="58"/>
        <v>1</v>
      </c>
      <c r="G849" s="32" t="s">
        <v>89</v>
      </c>
      <c r="H849" s="20" t="s">
        <v>2980</v>
      </c>
      <c r="I849" s="20">
        <v>331</v>
      </c>
      <c r="J849" s="20">
        <v>1111</v>
      </c>
      <c r="K849" s="20" t="s">
        <v>20</v>
      </c>
      <c r="L849" s="20">
        <v>1</v>
      </c>
      <c r="M849" s="34">
        <v>24000</v>
      </c>
      <c r="N849" s="34">
        <f t="shared" si="55"/>
        <v>24000</v>
      </c>
      <c r="P849" s="20">
        <f t="shared" si="56"/>
        <v>84</v>
      </c>
    </row>
    <row r="850" spans="1:16" ht="15" hidden="1" customHeight="1" x14ac:dyDescent="0.2">
      <c r="A850" s="20" t="s">
        <v>18</v>
      </c>
      <c r="B850" s="61">
        <v>46107</v>
      </c>
      <c r="C850" s="20">
        <f t="shared" si="57"/>
        <v>1741</v>
      </c>
      <c r="D850" s="38">
        <f t="shared" si="58"/>
        <v>1</v>
      </c>
      <c r="G850" s="32" t="s">
        <v>89</v>
      </c>
      <c r="H850" s="20" t="s">
        <v>1479</v>
      </c>
      <c r="I850" s="20">
        <v>64277</v>
      </c>
      <c r="J850" s="20">
        <v>331</v>
      </c>
      <c r="K850" s="20" t="s">
        <v>20</v>
      </c>
      <c r="L850" s="20">
        <v>1</v>
      </c>
      <c r="M850" s="34">
        <v>48149</v>
      </c>
      <c r="N850" s="34">
        <f t="shared" si="55"/>
        <v>48149</v>
      </c>
      <c r="P850" s="20">
        <f t="shared" si="56"/>
        <v>73</v>
      </c>
    </row>
    <row r="851" spans="1:16" ht="15" hidden="1" customHeight="1" x14ac:dyDescent="0.2">
      <c r="A851" s="20" t="s">
        <v>18</v>
      </c>
      <c r="B851" s="61">
        <v>46107</v>
      </c>
      <c r="C851" s="20">
        <f t="shared" si="57"/>
        <v>1741</v>
      </c>
      <c r="D851" s="38">
        <f t="shared" si="58"/>
        <v>0</v>
      </c>
      <c r="G851" s="32" t="s">
        <v>89</v>
      </c>
      <c r="H851" s="20" t="s">
        <v>1479</v>
      </c>
      <c r="I851" s="20">
        <v>1331</v>
      </c>
      <c r="J851" s="20">
        <v>331</v>
      </c>
      <c r="K851" s="20" t="s">
        <v>20</v>
      </c>
      <c r="L851" s="20">
        <v>1</v>
      </c>
      <c r="M851" s="34">
        <v>3851</v>
      </c>
      <c r="N851" s="34">
        <f t="shared" si="55"/>
        <v>3851</v>
      </c>
      <c r="P851" s="20">
        <f t="shared" si="56"/>
        <v>73</v>
      </c>
    </row>
    <row r="852" spans="1:16" ht="15" hidden="1" customHeight="1" x14ac:dyDescent="0.2">
      <c r="A852" s="20" t="s">
        <v>310</v>
      </c>
      <c r="B852" s="61">
        <v>46107</v>
      </c>
      <c r="C852" s="20">
        <f t="shared" si="57"/>
        <v>1742</v>
      </c>
      <c r="D852" s="38">
        <f t="shared" si="58"/>
        <v>1</v>
      </c>
      <c r="G852" s="32" t="s">
        <v>89</v>
      </c>
      <c r="H852" s="20" t="s">
        <v>2981</v>
      </c>
      <c r="I852" s="20">
        <v>331</v>
      </c>
      <c r="J852" s="20">
        <v>1111</v>
      </c>
      <c r="K852" s="20" t="s">
        <v>20</v>
      </c>
      <c r="L852" s="20">
        <v>1</v>
      </c>
      <c r="M852" s="34">
        <v>52000</v>
      </c>
      <c r="N852" s="34">
        <f t="shared" si="55"/>
        <v>52000</v>
      </c>
      <c r="P852" s="20">
        <f t="shared" si="56"/>
        <v>84</v>
      </c>
    </row>
    <row r="853" spans="1:16" ht="15" hidden="1" customHeight="1" x14ac:dyDescent="0.2">
      <c r="A853" s="20" t="s">
        <v>18</v>
      </c>
      <c r="B853" s="61">
        <v>46108</v>
      </c>
      <c r="C853" s="20">
        <f t="shared" si="57"/>
        <v>1743</v>
      </c>
      <c r="D853" s="38">
        <f t="shared" si="58"/>
        <v>1</v>
      </c>
      <c r="G853" s="32" t="s">
        <v>89</v>
      </c>
      <c r="H853" s="20" t="s">
        <v>1480</v>
      </c>
      <c r="I853" s="20">
        <v>64277</v>
      </c>
      <c r="J853" s="20">
        <v>331</v>
      </c>
      <c r="K853" s="20" t="s">
        <v>20</v>
      </c>
      <c r="L853" s="20">
        <v>1</v>
      </c>
      <c r="M853" s="34">
        <v>57407</v>
      </c>
      <c r="N853" s="34">
        <f t="shared" si="55"/>
        <v>57407</v>
      </c>
      <c r="P853" s="20">
        <f t="shared" si="56"/>
        <v>73</v>
      </c>
    </row>
    <row r="854" spans="1:16" ht="15" hidden="1" customHeight="1" x14ac:dyDescent="0.2">
      <c r="A854" s="20" t="s">
        <v>18</v>
      </c>
      <c r="B854" s="61">
        <v>46108</v>
      </c>
      <c r="C854" s="20">
        <f t="shared" si="57"/>
        <v>1743</v>
      </c>
      <c r="D854" s="38">
        <f t="shared" si="58"/>
        <v>0</v>
      </c>
      <c r="G854" s="32" t="s">
        <v>89</v>
      </c>
      <c r="H854" s="20" t="s">
        <v>1480</v>
      </c>
      <c r="I854" s="20">
        <v>1331</v>
      </c>
      <c r="J854" s="20">
        <v>331</v>
      </c>
      <c r="K854" s="20" t="s">
        <v>20</v>
      </c>
      <c r="L854" s="20">
        <v>1</v>
      </c>
      <c r="M854" s="34">
        <v>4593</v>
      </c>
      <c r="N854" s="34">
        <f t="shared" si="55"/>
        <v>4593</v>
      </c>
      <c r="P854" s="20">
        <f t="shared" si="56"/>
        <v>73</v>
      </c>
    </row>
    <row r="855" spans="1:16" ht="15" hidden="1" customHeight="1" x14ac:dyDescent="0.2">
      <c r="A855" s="20" t="s">
        <v>310</v>
      </c>
      <c r="B855" s="61">
        <v>46108</v>
      </c>
      <c r="C855" s="20">
        <f t="shared" si="57"/>
        <v>1744</v>
      </c>
      <c r="D855" s="38">
        <f t="shared" si="58"/>
        <v>1</v>
      </c>
      <c r="G855" s="32" t="s">
        <v>89</v>
      </c>
      <c r="H855" s="20" t="s">
        <v>2982</v>
      </c>
      <c r="I855" s="20">
        <v>331</v>
      </c>
      <c r="J855" s="20">
        <v>1111</v>
      </c>
      <c r="K855" s="20" t="s">
        <v>20</v>
      </c>
      <c r="L855" s="20">
        <v>1</v>
      </c>
      <c r="M855" s="34">
        <v>62000</v>
      </c>
      <c r="N855" s="34">
        <f t="shared" si="55"/>
        <v>62000</v>
      </c>
      <c r="P855" s="20">
        <f t="shared" si="56"/>
        <v>84</v>
      </c>
    </row>
    <row r="856" spans="1:16" ht="15" hidden="1" customHeight="1" x14ac:dyDescent="0.2">
      <c r="A856" s="20" t="s">
        <v>18</v>
      </c>
      <c r="B856" s="61">
        <v>46108</v>
      </c>
      <c r="C856" s="20">
        <f t="shared" si="57"/>
        <v>1745</v>
      </c>
      <c r="D856" s="38">
        <f t="shared" si="58"/>
        <v>1</v>
      </c>
      <c r="G856" s="32" t="s">
        <v>89</v>
      </c>
      <c r="H856" s="20" t="s">
        <v>1481</v>
      </c>
      <c r="I856" s="20">
        <v>64277</v>
      </c>
      <c r="J856" s="20">
        <v>331</v>
      </c>
      <c r="K856" s="20" t="s">
        <v>20</v>
      </c>
      <c r="L856" s="20">
        <v>1</v>
      </c>
      <c r="M856" s="34">
        <v>66667</v>
      </c>
      <c r="N856" s="34">
        <f t="shared" si="55"/>
        <v>66667</v>
      </c>
      <c r="P856" s="20">
        <f t="shared" si="56"/>
        <v>73</v>
      </c>
    </row>
    <row r="857" spans="1:16" ht="15" hidden="1" customHeight="1" x14ac:dyDescent="0.2">
      <c r="A857" s="20" t="s">
        <v>18</v>
      </c>
      <c r="B857" s="61">
        <v>46108</v>
      </c>
      <c r="C857" s="20">
        <f t="shared" si="57"/>
        <v>1745</v>
      </c>
      <c r="D857" s="38">
        <f t="shared" si="58"/>
        <v>0</v>
      </c>
      <c r="G857" s="32" t="s">
        <v>89</v>
      </c>
      <c r="H857" s="20" t="s">
        <v>1481</v>
      </c>
      <c r="I857" s="20">
        <v>1331</v>
      </c>
      <c r="J857" s="20">
        <v>331</v>
      </c>
      <c r="K857" s="20" t="s">
        <v>20</v>
      </c>
      <c r="L857" s="20">
        <v>1</v>
      </c>
      <c r="M857" s="34">
        <v>5333</v>
      </c>
      <c r="N857" s="34">
        <f t="shared" si="55"/>
        <v>5333</v>
      </c>
      <c r="P857" s="20">
        <f t="shared" si="56"/>
        <v>73</v>
      </c>
    </row>
    <row r="858" spans="1:16" ht="15" hidden="1" customHeight="1" x14ac:dyDescent="0.2">
      <c r="A858" s="20" t="s">
        <v>310</v>
      </c>
      <c r="B858" s="61">
        <v>46108</v>
      </c>
      <c r="C858" s="20">
        <f t="shared" si="57"/>
        <v>1746</v>
      </c>
      <c r="D858" s="38">
        <f t="shared" si="58"/>
        <v>1</v>
      </c>
      <c r="G858" s="32" t="s">
        <v>89</v>
      </c>
      <c r="H858" s="20" t="s">
        <v>2983</v>
      </c>
      <c r="I858" s="20">
        <v>331</v>
      </c>
      <c r="J858" s="20">
        <v>1111</v>
      </c>
      <c r="K858" s="20" t="s">
        <v>20</v>
      </c>
      <c r="L858" s="20">
        <v>1</v>
      </c>
      <c r="M858" s="34">
        <v>72000</v>
      </c>
      <c r="N858" s="34">
        <f t="shared" si="55"/>
        <v>72000</v>
      </c>
      <c r="P858" s="20">
        <f t="shared" si="56"/>
        <v>84</v>
      </c>
    </row>
    <row r="859" spans="1:16" ht="15" hidden="1" customHeight="1" x14ac:dyDescent="0.2">
      <c r="A859" s="20" t="s">
        <v>18</v>
      </c>
      <c r="B859" s="61">
        <v>46108</v>
      </c>
      <c r="C859" s="20">
        <f t="shared" si="57"/>
        <v>1747</v>
      </c>
      <c r="D859" s="38">
        <f t="shared" si="58"/>
        <v>1</v>
      </c>
      <c r="G859" s="32" t="s">
        <v>89</v>
      </c>
      <c r="H859" s="20" t="s">
        <v>1482</v>
      </c>
      <c r="I859" s="20">
        <v>64277</v>
      </c>
      <c r="J859" s="20">
        <v>331</v>
      </c>
      <c r="K859" s="20" t="s">
        <v>20</v>
      </c>
      <c r="L859" s="20">
        <v>1</v>
      </c>
      <c r="M859" s="34">
        <v>35185</v>
      </c>
      <c r="N859" s="34">
        <f t="shared" si="55"/>
        <v>35185</v>
      </c>
      <c r="P859" s="20">
        <f t="shared" si="56"/>
        <v>73</v>
      </c>
    </row>
    <row r="860" spans="1:16" ht="15" hidden="1" customHeight="1" x14ac:dyDescent="0.2">
      <c r="A860" s="20" t="s">
        <v>18</v>
      </c>
      <c r="B860" s="61">
        <v>46108</v>
      </c>
      <c r="C860" s="20">
        <f t="shared" si="57"/>
        <v>1747</v>
      </c>
      <c r="D860" s="38">
        <f t="shared" si="58"/>
        <v>0</v>
      </c>
      <c r="G860" s="32" t="s">
        <v>89</v>
      </c>
      <c r="H860" s="20" t="s">
        <v>1482</v>
      </c>
      <c r="I860" s="20">
        <v>1331</v>
      </c>
      <c r="J860" s="20">
        <v>331</v>
      </c>
      <c r="K860" s="20" t="s">
        <v>20</v>
      </c>
      <c r="L860" s="20">
        <v>1</v>
      </c>
      <c r="M860" s="34">
        <v>2815</v>
      </c>
      <c r="N860" s="34">
        <f t="shared" si="55"/>
        <v>2815</v>
      </c>
      <c r="P860" s="20">
        <f t="shared" si="56"/>
        <v>73</v>
      </c>
    </row>
    <row r="861" spans="1:16" ht="15" hidden="1" customHeight="1" x14ac:dyDescent="0.2">
      <c r="A861" s="20" t="s">
        <v>310</v>
      </c>
      <c r="B861" s="61">
        <v>46108</v>
      </c>
      <c r="C861" s="20">
        <f t="shared" si="57"/>
        <v>1748</v>
      </c>
      <c r="D861" s="38">
        <f t="shared" si="58"/>
        <v>1</v>
      </c>
      <c r="G861" s="32" t="s">
        <v>89</v>
      </c>
      <c r="H861" s="20" t="s">
        <v>2984</v>
      </c>
      <c r="I861" s="20">
        <v>331</v>
      </c>
      <c r="J861" s="20">
        <v>1111</v>
      </c>
      <c r="K861" s="20" t="s">
        <v>20</v>
      </c>
      <c r="L861" s="20">
        <v>1</v>
      </c>
      <c r="M861" s="34">
        <v>38000</v>
      </c>
      <c r="N861" s="34">
        <f t="shared" si="55"/>
        <v>38000</v>
      </c>
      <c r="P861" s="20">
        <f t="shared" si="56"/>
        <v>84</v>
      </c>
    </row>
    <row r="862" spans="1:16" ht="15" hidden="1" customHeight="1" x14ac:dyDescent="0.2">
      <c r="A862" s="20" t="s">
        <v>18</v>
      </c>
      <c r="B862" s="61">
        <v>46110</v>
      </c>
      <c r="C862" s="20">
        <f t="shared" si="57"/>
        <v>1749</v>
      </c>
      <c r="D862" s="38">
        <f t="shared" si="58"/>
        <v>1</v>
      </c>
      <c r="G862" s="32" t="s">
        <v>35</v>
      </c>
      <c r="H862" s="20" t="s">
        <v>1483</v>
      </c>
      <c r="I862" s="20">
        <v>64277</v>
      </c>
      <c r="J862" s="20">
        <v>331</v>
      </c>
      <c r="K862" s="20" t="s">
        <v>20</v>
      </c>
      <c r="L862" s="20">
        <v>1</v>
      </c>
      <c r="M862" s="34">
        <v>3000000</v>
      </c>
      <c r="N862" s="34">
        <f t="shared" si="55"/>
        <v>3000000</v>
      </c>
      <c r="P862" s="20">
        <f t="shared" si="56"/>
        <v>42</v>
      </c>
    </row>
    <row r="863" spans="1:16" ht="15" hidden="1" customHeight="1" x14ac:dyDescent="0.2">
      <c r="A863" s="20" t="s">
        <v>18</v>
      </c>
      <c r="B863" s="61">
        <v>46110</v>
      </c>
      <c r="C863" s="20">
        <f t="shared" si="57"/>
        <v>1749</v>
      </c>
      <c r="D863" s="38">
        <f t="shared" si="58"/>
        <v>0</v>
      </c>
      <c r="G863" s="32" t="s">
        <v>35</v>
      </c>
      <c r="H863" s="20" t="s">
        <v>1483</v>
      </c>
      <c r="I863" s="20">
        <v>1331</v>
      </c>
      <c r="J863" s="20">
        <v>331</v>
      </c>
      <c r="K863" s="20" t="s">
        <v>20</v>
      </c>
      <c r="L863" s="20">
        <v>1</v>
      </c>
      <c r="M863" s="34">
        <v>240000</v>
      </c>
      <c r="N863" s="34">
        <f t="shared" si="55"/>
        <v>240000</v>
      </c>
      <c r="P863" s="20">
        <f t="shared" si="56"/>
        <v>42</v>
      </c>
    </row>
    <row r="864" spans="1:16" ht="15" hidden="1" customHeight="1" x14ac:dyDescent="0.2">
      <c r="A864" s="20" t="s">
        <v>310</v>
      </c>
      <c r="B864" s="61">
        <v>46110</v>
      </c>
      <c r="C864" s="20">
        <f t="shared" si="57"/>
        <v>1750</v>
      </c>
      <c r="D864" s="38">
        <f t="shared" si="58"/>
        <v>1</v>
      </c>
      <c r="G864" s="32" t="s">
        <v>35</v>
      </c>
      <c r="H864" s="20" t="s">
        <v>2985</v>
      </c>
      <c r="I864" s="20">
        <v>331</v>
      </c>
      <c r="J864" s="20">
        <v>1111</v>
      </c>
      <c r="K864" s="20" t="s">
        <v>20</v>
      </c>
      <c r="L864" s="20">
        <v>1</v>
      </c>
      <c r="M864" s="34">
        <v>3240000</v>
      </c>
      <c r="N864" s="34">
        <f t="shared" si="55"/>
        <v>3240000</v>
      </c>
      <c r="P864" s="20">
        <f t="shared" si="56"/>
        <v>53</v>
      </c>
    </row>
    <row r="865" spans="1:16" ht="15" hidden="1" customHeight="1" x14ac:dyDescent="0.2">
      <c r="A865" s="20" t="s">
        <v>18</v>
      </c>
      <c r="B865" s="61">
        <v>46110</v>
      </c>
      <c r="C865" s="20">
        <f t="shared" si="57"/>
        <v>1751</v>
      </c>
      <c r="D865" s="38">
        <f t="shared" si="58"/>
        <v>1</v>
      </c>
      <c r="G865" s="32" t="s">
        <v>1484</v>
      </c>
      <c r="H865" s="20" t="s">
        <v>2699</v>
      </c>
      <c r="I865" s="20">
        <v>64277</v>
      </c>
      <c r="J865" s="20">
        <v>331</v>
      </c>
      <c r="K865" s="20" t="s">
        <v>20</v>
      </c>
      <c r="L865" s="20">
        <v>1</v>
      </c>
      <c r="M865" s="34">
        <v>2377200</v>
      </c>
      <c r="N865" s="34">
        <f t="shared" si="55"/>
        <v>2377200</v>
      </c>
      <c r="P865" s="20">
        <f t="shared" si="56"/>
        <v>41</v>
      </c>
    </row>
    <row r="866" spans="1:16" ht="15" hidden="1" customHeight="1" x14ac:dyDescent="0.2">
      <c r="A866" s="20" t="s">
        <v>18</v>
      </c>
      <c r="B866" s="61">
        <v>46110</v>
      </c>
      <c r="C866" s="20">
        <f t="shared" si="57"/>
        <v>1751</v>
      </c>
      <c r="D866" s="38">
        <f t="shared" si="58"/>
        <v>0</v>
      </c>
      <c r="G866" s="32" t="s">
        <v>1484</v>
      </c>
      <c r="H866" s="20" t="s">
        <v>2699</v>
      </c>
      <c r="I866" s="20">
        <v>1331</v>
      </c>
      <c r="J866" s="20">
        <v>331</v>
      </c>
      <c r="K866" s="20" t="s">
        <v>20</v>
      </c>
      <c r="L866" s="20">
        <v>1</v>
      </c>
      <c r="M866" s="34">
        <v>190176</v>
      </c>
      <c r="N866" s="34">
        <f t="shared" si="55"/>
        <v>190176</v>
      </c>
      <c r="P866" s="20">
        <f t="shared" si="56"/>
        <v>41</v>
      </c>
    </row>
    <row r="867" spans="1:16" ht="15" hidden="1" customHeight="1" x14ac:dyDescent="0.2">
      <c r="A867" s="20" t="s">
        <v>310</v>
      </c>
      <c r="B867" s="61">
        <v>46110</v>
      </c>
      <c r="C867" s="20">
        <f t="shared" si="57"/>
        <v>1752</v>
      </c>
      <c r="D867" s="38">
        <f t="shared" si="58"/>
        <v>1</v>
      </c>
      <c r="G867" s="32" t="s">
        <v>1484</v>
      </c>
      <c r="H867" s="20" t="s">
        <v>2986</v>
      </c>
      <c r="I867" s="20">
        <v>331</v>
      </c>
      <c r="J867" s="20">
        <v>1111</v>
      </c>
      <c r="K867" s="20" t="s">
        <v>20</v>
      </c>
      <c r="L867" s="20">
        <v>1</v>
      </c>
      <c r="M867" s="34">
        <v>2567376</v>
      </c>
      <c r="N867" s="34">
        <f t="shared" si="55"/>
        <v>2567376</v>
      </c>
      <c r="P867" s="20">
        <f t="shared" si="56"/>
        <v>52</v>
      </c>
    </row>
    <row r="868" spans="1:16" ht="15" hidden="1" customHeight="1" x14ac:dyDescent="0.2">
      <c r="A868" s="20" t="s">
        <v>18</v>
      </c>
      <c r="B868" s="61">
        <v>46111</v>
      </c>
      <c r="C868" s="20">
        <f t="shared" si="57"/>
        <v>1753</v>
      </c>
      <c r="D868" s="38">
        <f t="shared" si="58"/>
        <v>1</v>
      </c>
      <c r="G868" s="32" t="s">
        <v>89</v>
      </c>
      <c r="H868" s="20" t="s">
        <v>1485</v>
      </c>
      <c r="I868" s="20">
        <v>64277</v>
      </c>
      <c r="J868" s="20">
        <v>331</v>
      </c>
      <c r="K868" s="20" t="s">
        <v>20</v>
      </c>
      <c r="L868" s="20">
        <v>1</v>
      </c>
      <c r="M868" s="34">
        <v>25926</v>
      </c>
      <c r="N868" s="34">
        <f t="shared" si="55"/>
        <v>25926</v>
      </c>
      <c r="P868" s="20">
        <f t="shared" si="56"/>
        <v>73</v>
      </c>
    </row>
    <row r="869" spans="1:16" ht="15" hidden="1" customHeight="1" x14ac:dyDescent="0.2">
      <c r="A869" s="20" t="s">
        <v>18</v>
      </c>
      <c r="B869" s="61">
        <v>46111</v>
      </c>
      <c r="C869" s="20">
        <f t="shared" si="57"/>
        <v>1753</v>
      </c>
      <c r="D869" s="38">
        <f t="shared" si="58"/>
        <v>0</v>
      </c>
      <c r="G869" s="32" t="s">
        <v>89</v>
      </c>
      <c r="H869" s="20" t="s">
        <v>1485</v>
      </c>
      <c r="I869" s="20">
        <v>1331</v>
      </c>
      <c r="J869" s="20">
        <v>331</v>
      </c>
      <c r="K869" s="20" t="s">
        <v>20</v>
      </c>
      <c r="L869" s="20">
        <v>1</v>
      </c>
      <c r="M869" s="34">
        <v>2074</v>
      </c>
      <c r="N869" s="34">
        <f t="shared" si="55"/>
        <v>2074</v>
      </c>
      <c r="P869" s="20">
        <f t="shared" si="56"/>
        <v>73</v>
      </c>
    </row>
    <row r="870" spans="1:16" ht="15" hidden="1" customHeight="1" x14ac:dyDescent="0.2">
      <c r="A870" s="20" t="s">
        <v>310</v>
      </c>
      <c r="B870" s="61">
        <v>46111</v>
      </c>
      <c r="C870" s="20">
        <f t="shared" si="57"/>
        <v>1754</v>
      </c>
      <c r="D870" s="38">
        <f t="shared" si="58"/>
        <v>1</v>
      </c>
      <c r="G870" s="32" t="s">
        <v>89</v>
      </c>
      <c r="H870" s="20" t="s">
        <v>2987</v>
      </c>
      <c r="I870" s="20">
        <v>331</v>
      </c>
      <c r="J870" s="20">
        <v>1111</v>
      </c>
      <c r="K870" s="20" t="s">
        <v>20</v>
      </c>
      <c r="L870" s="20">
        <v>1</v>
      </c>
      <c r="M870" s="34">
        <v>28000</v>
      </c>
      <c r="N870" s="34">
        <f t="shared" si="55"/>
        <v>28000</v>
      </c>
      <c r="P870" s="20">
        <f t="shared" si="56"/>
        <v>84</v>
      </c>
    </row>
    <row r="871" spans="1:16" ht="15" hidden="1" customHeight="1" x14ac:dyDescent="0.2">
      <c r="A871" s="20" t="s">
        <v>18</v>
      </c>
      <c r="B871" s="61">
        <v>46111</v>
      </c>
      <c r="C871" s="20">
        <f t="shared" si="57"/>
        <v>1755</v>
      </c>
      <c r="D871" s="38">
        <f t="shared" si="58"/>
        <v>1</v>
      </c>
      <c r="G871" s="32" t="s">
        <v>89</v>
      </c>
      <c r="H871" s="20" t="s">
        <v>1486</v>
      </c>
      <c r="I871" s="20">
        <v>64277</v>
      </c>
      <c r="J871" s="20">
        <v>331</v>
      </c>
      <c r="K871" s="20" t="s">
        <v>20</v>
      </c>
      <c r="L871" s="20">
        <v>1</v>
      </c>
      <c r="M871" s="34">
        <v>106482</v>
      </c>
      <c r="N871" s="34">
        <f t="shared" si="55"/>
        <v>106482</v>
      </c>
      <c r="P871" s="20">
        <f t="shared" si="56"/>
        <v>73</v>
      </c>
    </row>
    <row r="872" spans="1:16" ht="15" hidden="1" customHeight="1" x14ac:dyDescent="0.2">
      <c r="A872" s="20" t="s">
        <v>18</v>
      </c>
      <c r="B872" s="61">
        <v>46111</v>
      </c>
      <c r="C872" s="20">
        <f t="shared" si="57"/>
        <v>1755</v>
      </c>
      <c r="D872" s="38">
        <f t="shared" si="58"/>
        <v>0</v>
      </c>
      <c r="G872" s="32" t="s">
        <v>89</v>
      </c>
      <c r="H872" s="20" t="s">
        <v>1486</v>
      </c>
      <c r="I872" s="20">
        <v>1331</v>
      </c>
      <c r="J872" s="20">
        <v>331</v>
      </c>
      <c r="K872" s="20" t="s">
        <v>20</v>
      </c>
      <c r="L872" s="20">
        <v>1</v>
      </c>
      <c r="M872" s="34">
        <v>8518</v>
      </c>
      <c r="N872" s="34">
        <f t="shared" si="55"/>
        <v>8518</v>
      </c>
      <c r="P872" s="20">
        <f t="shared" si="56"/>
        <v>73</v>
      </c>
    </row>
    <row r="873" spans="1:16" ht="15" hidden="1" customHeight="1" x14ac:dyDescent="0.2">
      <c r="A873" s="20" t="s">
        <v>310</v>
      </c>
      <c r="B873" s="61">
        <v>46111</v>
      </c>
      <c r="C873" s="20">
        <f t="shared" si="57"/>
        <v>1756</v>
      </c>
      <c r="D873" s="38">
        <f t="shared" si="58"/>
        <v>1</v>
      </c>
      <c r="G873" s="32" t="s">
        <v>89</v>
      </c>
      <c r="H873" s="20" t="s">
        <v>2988</v>
      </c>
      <c r="I873" s="20">
        <v>331</v>
      </c>
      <c r="J873" s="20">
        <v>1111</v>
      </c>
      <c r="K873" s="20" t="s">
        <v>20</v>
      </c>
      <c r="L873" s="20">
        <v>1</v>
      </c>
      <c r="M873" s="34">
        <v>115000</v>
      </c>
      <c r="N873" s="34">
        <f t="shared" si="55"/>
        <v>115000</v>
      </c>
      <c r="P873" s="20">
        <f t="shared" si="56"/>
        <v>84</v>
      </c>
    </row>
    <row r="874" spans="1:16" ht="15" hidden="1" customHeight="1" x14ac:dyDescent="0.2">
      <c r="A874" s="20" t="s">
        <v>18</v>
      </c>
      <c r="B874" s="61">
        <v>46111</v>
      </c>
      <c r="C874" s="20">
        <f t="shared" si="57"/>
        <v>1757</v>
      </c>
      <c r="D874" s="38">
        <f t="shared" si="58"/>
        <v>1</v>
      </c>
      <c r="G874" s="32" t="s">
        <v>89</v>
      </c>
      <c r="H874" s="20" t="s">
        <v>1487</v>
      </c>
      <c r="I874" s="20">
        <v>64277</v>
      </c>
      <c r="J874" s="20">
        <v>331</v>
      </c>
      <c r="K874" s="20" t="s">
        <v>20</v>
      </c>
      <c r="L874" s="20">
        <v>1</v>
      </c>
      <c r="M874" s="34">
        <v>43518</v>
      </c>
      <c r="N874" s="34">
        <f t="shared" si="55"/>
        <v>43518</v>
      </c>
      <c r="P874" s="20">
        <f t="shared" si="56"/>
        <v>73</v>
      </c>
    </row>
    <row r="875" spans="1:16" ht="15" hidden="1" customHeight="1" x14ac:dyDescent="0.2">
      <c r="A875" s="20" t="s">
        <v>18</v>
      </c>
      <c r="B875" s="61">
        <v>46111</v>
      </c>
      <c r="C875" s="20">
        <f t="shared" si="57"/>
        <v>1757</v>
      </c>
      <c r="D875" s="38">
        <f t="shared" si="58"/>
        <v>0</v>
      </c>
      <c r="G875" s="32" t="s">
        <v>89</v>
      </c>
      <c r="H875" s="20" t="s">
        <v>1487</v>
      </c>
      <c r="I875" s="20">
        <v>1331</v>
      </c>
      <c r="J875" s="20">
        <v>331</v>
      </c>
      <c r="K875" s="20" t="s">
        <v>20</v>
      </c>
      <c r="L875" s="20">
        <v>1</v>
      </c>
      <c r="M875" s="34">
        <v>3482</v>
      </c>
      <c r="N875" s="34">
        <f t="shared" si="55"/>
        <v>3482</v>
      </c>
      <c r="P875" s="20">
        <f t="shared" si="56"/>
        <v>73</v>
      </c>
    </row>
    <row r="876" spans="1:16" ht="15" hidden="1" customHeight="1" x14ac:dyDescent="0.2">
      <c r="A876" s="20" t="s">
        <v>310</v>
      </c>
      <c r="B876" s="61">
        <v>46111</v>
      </c>
      <c r="C876" s="20">
        <f t="shared" si="57"/>
        <v>1758</v>
      </c>
      <c r="D876" s="38">
        <f t="shared" si="58"/>
        <v>1</v>
      </c>
      <c r="G876" s="32" t="s">
        <v>89</v>
      </c>
      <c r="H876" s="20" t="s">
        <v>2989</v>
      </c>
      <c r="I876" s="20">
        <v>331</v>
      </c>
      <c r="J876" s="20">
        <v>1111</v>
      </c>
      <c r="K876" s="20" t="s">
        <v>20</v>
      </c>
      <c r="L876" s="20">
        <v>1</v>
      </c>
      <c r="M876" s="34">
        <v>47000</v>
      </c>
      <c r="N876" s="34">
        <f t="shared" si="55"/>
        <v>47000</v>
      </c>
      <c r="P876" s="20">
        <f t="shared" si="56"/>
        <v>84</v>
      </c>
    </row>
    <row r="877" spans="1:16" ht="15" hidden="1" customHeight="1" x14ac:dyDescent="0.2">
      <c r="A877" s="20" t="s">
        <v>18</v>
      </c>
      <c r="B877" s="61">
        <v>46111</v>
      </c>
      <c r="C877" s="20">
        <f t="shared" si="57"/>
        <v>1759</v>
      </c>
      <c r="D877" s="38">
        <f t="shared" si="58"/>
        <v>1</v>
      </c>
      <c r="G877" s="32" t="s">
        <v>89</v>
      </c>
      <c r="H877" s="20" t="s">
        <v>1488</v>
      </c>
      <c r="I877" s="20">
        <v>64277</v>
      </c>
      <c r="J877" s="20">
        <v>331</v>
      </c>
      <c r="K877" s="20" t="s">
        <v>20</v>
      </c>
      <c r="L877" s="20">
        <v>1</v>
      </c>
      <c r="M877" s="34">
        <v>22223</v>
      </c>
      <c r="N877" s="34">
        <f t="shared" si="55"/>
        <v>22223</v>
      </c>
      <c r="P877" s="20">
        <f t="shared" si="56"/>
        <v>73</v>
      </c>
    </row>
    <row r="878" spans="1:16" ht="15" hidden="1" customHeight="1" x14ac:dyDescent="0.2">
      <c r="A878" s="20" t="s">
        <v>18</v>
      </c>
      <c r="B878" s="61">
        <v>46111</v>
      </c>
      <c r="C878" s="20">
        <f t="shared" si="57"/>
        <v>1759</v>
      </c>
      <c r="D878" s="38">
        <f t="shared" si="58"/>
        <v>0</v>
      </c>
      <c r="G878" s="32" t="s">
        <v>89</v>
      </c>
      <c r="H878" s="20" t="s">
        <v>1488</v>
      </c>
      <c r="I878" s="20">
        <v>1331</v>
      </c>
      <c r="J878" s="20">
        <v>331</v>
      </c>
      <c r="K878" s="20" t="s">
        <v>20</v>
      </c>
      <c r="L878" s="20">
        <v>1</v>
      </c>
      <c r="M878" s="34">
        <v>1777</v>
      </c>
      <c r="N878" s="34">
        <f t="shared" si="55"/>
        <v>1777</v>
      </c>
      <c r="P878" s="20">
        <f t="shared" si="56"/>
        <v>73</v>
      </c>
    </row>
    <row r="879" spans="1:16" ht="15" hidden="1" customHeight="1" x14ac:dyDescent="0.2">
      <c r="A879" s="20" t="s">
        <v>310</v>
      </c>
      <c r="B879" s="61">
        <v>46111</v>
      </c>
      <c r="C879" s="20">
        <f t="shared" si="57"/>
        <v>1760</v>
      </c>
      <c r="D879" s="38">
        <f t="shared" si="58"/>
        <v>1</v>
      </c>
      <c r="G879" s="32" t="s">
        <v>89</v>
      </c>
      <c r="H879" s="20" t="s">
        <v>2990</v>
      </c>
      <c r="I879" s="20">
        <v>331</v>
      </c>
      <c r="J879" s="20">
        <v>1111</v>
      </c>
      <c r="K879" s="20" t="s">
        <v>20</v>
      </c>
      <c r="L879" s="20">
        <v>1</v>
      </c>
      <c r="M879" s="34">
        <v>24000</v>
      </c>
      <c r="N879" s="34">
        <f t="shared" si="55"/>
        <v>24000</v>
      </c>
      <c r="P879" s="20">
        <f t="shared" si="56"/>
        <v>84</v>
      </c>
    </row>
    <row r="880" spans="1:16" ht="15" hidden="1" customHeight="1" x14ac:dyDescent="0.2">
      <c r="A880" s="20" t="s">
        <v>18</v>
      </c>
      <c r="B880" s="61">
        <v>46111</v>
      </c>
      <c r="C880" s="20">
        <f t="shared" si="57"/>
        <v>1761</v>
      </c>
      <c r="D880" s="38">
        <f t="shared" si="58"/>
        <v>1</v>
      </c>
      <c r="G880" s="32" t="s">
        <v>37</v>
      </c>
      <c r="H880" s="20" t="s">
        <v>2700</v>
      </c>
      <c r="I880" s="20">
        <v>64277</v>
      </c>
      <c r="J880" s="20">
        <v>331</v>
      </c>
      <c r="K880" s="20" t="s">
        <v>20</v>
      </c>
      <c r="L880" s="20">
        <v>1</v>
      </c>
      <c r="M880" s="34">
        <v>3165000</v>
      </c>
      <c r="N880" s="34">
        <f t="shared" si="55"/>
        <v>3165000</v>
      </c>
      <c r="P880" s="20">
        <f t="shared" si="56"/>
        <v>43</v>
      </c>
    </row>
    <row r="881" spans="1:16" ht="15" hidden="1" customHeight="1" x14ac:dyDescent="0.2">
      <c r="A881" s="20" t="s">
        <v>18</v>
      </c>
      <c r="B881" s="61">
        <v>46111</v>
      </c>
      <c r="C881" s="20">
        <f t="shared" si="57"/>
        <v>1761</v>
      </c>
      <c r="D881" s="38">
        <f t="shared" si="58"/>
        <v>0</v>
      </c>
      <c r="G881" s="32" t="s">
        <v>37</v>
      </c>
      <c r="H881" s="20" t="s">
        <v>2700</v>
      </c>
      <c r="I881" s="20">
        <v>1331</v>
      </c>
      <c r="J881" s="20">
        <v>331</v>
      </c>
      <c r="K881" s="20" t="s">
        <v>20</v>
      </c>
      <c r="L881" s="20">
        <v>1</v>
      </c>
      <c r="M881" s="34">
        <v>253200</v>
      </c>
      <c r="N881" s="34">
        <f t="shared" si="55"/>
        <v>253200</v>
      </c>
      <c r="P881" s="20">
        <f t="shared" si="56"/>
        <v>43</v>
      </c>
    </row>
    <row r="882" spans="1:16" ht="15" hidden="1" customHeight="1" x14ac:dyDescent="0.2">
      <c r="A882" s="20" t="s">
        <v>310</v>
      </c>
      <c r="B882" s="61">
        <v>46111</v>
      </c>
      <c r="C882" s="20">
        <f t="shared" si="57"/>
        <v>1762</v>
      </c>
      <c r="D882" s="38">
        <f t="shared" si="58"/>
        <v>1</v>
      </c>
      <c r="G882" s="32" t="s">
        <v>37</v>
      </c>
      <c r="H882" s="20" t="s">
        <v>2991</v>
      </c>
      <c r="I882" s="20">
        <v>331</v>
      </c>
      <c r="J882" s="20">
        <v>1111</v>
      </c>
      <c r="K882" s="20" t="s">
        <v>20</v>
      </c>
      <c r="L882" s="20">
        <v>1</v>
      </c>
      <c r="M882" s="34">
        <v>3418200</v>
      </c>
      <c r="N882" s="34">
        <f t="shared" si="55"/>
        <v>3418200</v>
      </c>
      <c r="P882" s="20">
        <f t="shared" si="56"/>
        <v>54</v>
      </c>
    </row>
    <row r="883" spans="1:16" ht="15" hidden="1" customHeight="1" x14ac:dyDescent="0.2">
      <c r="A883" s="20" t="s">
        <v>18</v>
      </c>
      <c r="B883" s="61">
        <v>46112</v>
      </c>
      <c r="C883" s="20">
        <f t="shared" si="57"/>
        <v>1763</v>
      </c>
      <c r="D883" s="38">
        <f t="shared" si="58"/>
        <v>1</v>
      </c>
      <c r="G883" s="32" t="s">
        <v>89</v>
      </c>
      <c r="H883" s="20" t="s">
        <v>1489</v>
      </c>
      <c r="I883" s="20">
        <v>64277</v>
      </c>
      <c r="J883" s="20">
        <v>331</v>
      </c>
      <c r="K883" s="20" t="s">
        <v>20</v>
      </c>
      <c r="L883" s="20">
        <v>1</v>
      </c>
      <c r="M883" s="34">
        <v>100000</v>
      </c>
      <c r="N883" s="34">
        <f t="shared" si="55"/>
        <v>100000</v>
      </c>
      <c r="P883" s="20">
        <f t="shared" si="56"/>
        <v>73</v>
      </c>
    </row>
    <row r="884" spans="1:16" ht="15" hidden="1" customHeight="1" x14ac:dyDescent="0.2">
      <c r="A884" s="20" t="s">
        <v>18</v>
      </c>
      <c r="B884" s="61">
        <v>46112</v>
      </c>
      <c r="C884" s="20">
        <f t="shared" si="57"/>
        <v>1763</v>
      </c>
      <c r="D884" s="38">
        <f t="shared" si="58"/>
        <v>0</v>
      </c>
      <c r="G884" s="32" t="s">
        <v>89</v>
      </c>
      <c r="H884" s="20" t="s">
        <v>1489</v>
      </c>
      <c r="I884" s="20">
        <v>1331</v>
      </c>
      <c r="J884" s="20">
        <v>331</v>
      </c>
      <c r="K884" s="20" t="s">
        <v>20</v>
      </c>
      <c r="L884" s="20">
        <v>1</v>
      </c>
      <c r="M884" s="34">
        <v>8000</v>
      </c>
      <c r="N884" s="34">
        <f t="shared" si="55"/>
        <v>8000</v>
      </c>
      <c r="P884" s="20">
        <f t="shared" si="56"/>
        <v>73</v>
      </c>
    </row>
    <row r="885" spans="1:16" ht="15" hidden="1" customHeight="1" x14ac:dyDescent="0.2">
      <c r="A885" s="20" t="s">
        <v>310</v>
      </c>
      <c r="B885" s="61">
        <v>46112</v>
      </c>
      <c r="C885" s="20">
        <f t="shared" si="57"/>
        <v>1764</v>
      </c>
      <c r="D885" s="38">
        <f t="shared" si="58"/>
        <v>1</v>
      </c>
      <c r="G885" s="32" t="s">
        <v>89</v>
      </c>
      <c r="H885" s="20" t="s">
        <v>2992</v>
      </c>
      <c r="I885" s="20">
        <v>331</v>
      </c>
      <c r="J885" s="20">
        <v>1111</v>
      </c>
      <c r="K885" s="20" t="s">
        <v>20</v>
      </c>
      <c r="L885" s="20">
        <v>1</v>
      </c>
      <c r="M885" s="34">
        <v>108000</v>
      </c>
      <c r="N885" s="34">
        <f t="shared" si="55"/>
        <v>108000</v>
      </c>
      <c r="P885" s="20">
        <f t="shared" si="56"/>
        <v>84</v>
      </c>
    </row>
    <row r="886" spans="1:16" ht="15" hidden="1" customHeight="1" x14ac:dyDescent="0.2">
      <c r="A886" s="20" t="s">
        <v>18</v>
      </c>
      <c r="B886" s="61">
        <v>46112</v>
      </c>
      <c r="C886" s="20">
        <f t="shared" si="57"/>
        <v>1765</v>
      </c>
      <c r="D886" s="38">
        <f t="shared" si="58"/>
        <v>1</v>
      </c>
      <c r="G886" s="32" t="s">
        <v>89</v>
      </c>
      <c r="H886" s="20" t="s">
        <v>1490</v>
      </c>
      <c r="I886" s="20">
        <v>64277</v>
      </c>
      <c r="J886" s="20">
        <v>331</v>
      </c>
      <c r="K886" s="20" t="s">
        <v>20</v>
      </c>
      <c r="L886" s="20">
        <v>1</v>
      </c>
      <c r="M886" s="34">
        <v>12963</v>
      </c>
      <c r="N886" s="34">
        <f t="shared" si="55"/>
        <v>12963</v>
      </c>
      <c r="P886" s="20">
        <f t="shared" si="56"/>
        <v>73</v>
      </c>
    </row>
    <row r="887" spans="1:16" ht="15" hidden="1" customHeight="1" x14ac:dyDescent="0.2">
      <c r="A887" s="20" t="s">
        <v>18</v>
      </c>
      <c r="B887" s="61">
        <v>46112</v>
      </c>
      <c r="C887" s="20">
        <f t="shared" si="57"/>
        <v>1765</v>
      </c>
      <c r="D887" s="38">
        <f t="shared" si="58"/>
        <v>0</v>
      </c>
      <c r="G887" s="32" t="s">
        <v>89</v>
      </c>
      <c r="H887" s="20" t="s">
        <v>1490</v>
      </c>
      <c r="I887" s="20">
        <v>1331</v>
      </c>
      <c r="J887" s="20">
        <v>331</v>
      </c>
      <c r="K887" s="20" t="s">
        <v>20</v>
      </c>
      <c r="L887" s="20">
        <v>1</v>
      </c>
      <c r="M887" s="34">
        <v>1037</v>
      </c>
      <c r="N887" s="34">
        <f t="shared" si="55"/>
        <v>1037</v>
      </c>
      <c r="P887" s="20">
        <f t="shared" si="56"/>
        <v>73</v>
      </c>
    </row>
    <row r="888" spans="1:16" ht="15" hidden="1" customHeight="1" x14ac:dyDescent="0.2">
      <c r="A888" s="20" t="s">
        <v>310</v>
      </c>
      <c r="B888" s="61">
        <v>46112</v>
      </c>
      <c r="C888" s="20">
        <f t="shared" si="57"/>
        <v>1766</v>
      </c>
      <c r="D888" s="38">
        <f t="shared" si="58"/>
        <v>1</v>
      </c>
      <c r="G888" s="32" t="s">
        <v>89</v>
      </c>
      <c r="H888" s="20" t="s">
        <v>2993</v>
      </c>
      <c r="I888" s="20">
        <v>331</v>
      </c>
      <c r="J888" s="20">
        <v>1111</v>
      </c>
      <c r="K888" s="20" t="s">
        <v>20</v>
      </c>
      <c r="L888" s="20">
        <v>1</v>
      </c>
      <c r="M888" s="34">
        <v>14000</v>
      </c>
      <c r="N888" s="34">
        <f t="shared" si="55"/>
        <v>14000</v>
      </c>
      <c r="P888" s="20">
        <f t="shared" si="56"/>
        <v>84</v>
      </c>
    </row>
    <row r="889" spans="1:16" ht="15" hidden="1" customHeight="1" x14ac:dyDescent="0.2">
      <c r="A889" s="20" t="s">
        <v>18</v>
      </c>
      <c r="B889" s="61">
        <v>46112</v>
      </c>
      <c r="C889" s="20">
        <f t="shared" si="57"/>
        <v>1767</v>
      </c>
      <c r="D889" s="38">
        <f t="shared" si="58"/>
        <v>1</v>
      </c>
      <c r="G889" s="32" t="s">
        <v>89</v>
      </c>
      <c r="H889" s="20" t="s">
        <v>1491</v>
      </c>
      <c r="I889" s="20">
        <v>64277</v>
      </c>
      <c r="J889" s="20">
        <v>331</v>
      </c>
      <c r="K889" s="20" t="s">
        <v>20</v>
      </c>
      <c r="L889" s="20">
        <v>1</v>
      </c>
      <c r="M889" s="34">
        <v>62037</v>
      </c>
      <c r="N889" s="34">
        <f t="shared" si="55"/>
        <v>62037</v>
      </c>
      <c r="P889" s="20">
        <f t="shared" si="56"/>
        <v>73</v>
      </c>
    </row>
    <row r="890" spans="1:16" ht="15" hidden="1" customHeight="1" x14ac:dyDescent="0.2">
      <c r="A890" s="20" t="s">
        <v>18</v>
      </c>
      <c r="B890" s="61">
        <v>46112</v>
      </c>
      <c r="C890" s="20">
        <f t="shared" si="57"/>
        <v>1767</v>
      </c>
      <c r="D890" s="38">
        <f t="shared" si="58"/>
        <v>0</v>
      </c>
      <c r="G890" s="32" t="s">
        <v>89</v>
      </c>
      <c r="H890" s="20" t="s">
        <v>1491</v>
      </c>
      <c r="I890" s="20">
        <v>1331</v>
      </c>
      <c r="J890" s="20">
        <v>331</v>
      </c>
      <c r="K890" s="20" t="s">
        <v>20</v>
      </c>
      <c r="L890" s="20">
        <v>1</v>
      </c>
      <c r="M890" s="34">
        <v>4963</v>
      </c>
      <c r="N890" s="34">
        <f t="shared" si="55"/>
        <v>4963</v>
      </c>
      <c r="P890" s="20">
        <f t="shared" si="56"/>
        <v>73</v>
      </c>
    </row>
    <row r="891" spans="1:16" ht="15" hidden="1" customHeight="1" x14ac:dyDescent="0.2">
      <c r="A891" s="20" t="s">
        <v>310</v>
      </c>
      <c r="B891" s="61">
        <v>46112</v>
      </c>
      <c r="C891" s="20">
        <f t="shared" si="57"/>
        <v>1768</v>
      </c>
      <c r="D891" s="38">
        <f t="shared" si="58"/>
        <v>1</v>
      </c>
      <c r="G891" s="32" t="s">
        <v>89</v>
      </c>
      <c r="H891" s="20" t="s">
        <v>2994</v>
      </c>
      <c r="I891" s="20">
        <v>331</v>
      </c>
      <c r="J891" s="20">
        <v>1111</v>
      </c>
      <c r="K891" s="20" t="s">
        <v>20</v>
      </c>
      <c r="L891" s="20">
        <v>1</v>
      </c>
      <c r="M891" s="34">
        <v>67000</v>
      </c>
      <c r="N891" s="34">
        <f t="shared" si="55"/>
        <v>67000</v>
      </c>
      <c r="P891" s="20">
        <f t="shared" si="56"/>
        <v>84</v>
      </c>
    </row>
    <row r="892" spans="1:16" ht="15" hidden="1" customHeight="1" x14ac:dyDescent="0.2">
      <c r="A892" s="20" t="s">
        <v>18</v>
      </c>
      <c r="B892" s="61">
        <v>46112</v>
      </c>
      <c r="C892" s="20">
        <f t="shared" si="57"/>
        <v>1769</v>
      </c>
      <c r="D892" s="38">
        <f t="shared" si="58"/>
        <v>1</v>
      </c>
      <c r="G892" s="32" t="s">
        <v>89</v>
      </c>
      <c r="H892" s="20" t="s">
        <v>1492</v>
      </c>
      <c r="I892" s="20">
        <v>64277</v>
      </c>
      <c r="J892" s="20">
        <v>331</v>
      </c>
      <c r="K892" s="20" t="s">
        <v>20</v>
      </c>
      <c r="L892" s="20">
        <v>1</v>
      </c>
      <c r="M892" s="34">
        <v>25000</v>
      </c>
      <c r="N892" s="34">
        <f t="shared" si="55"/>
        <v>25000</v>
      </c>
      <c r="P892" s="20">
        <f t="shared" si="56"/>
        <v>73</v>
      </c>
    </row>
    <row r="893" spans="1:16" ht="15" hidden="1" customHeight="1" x14ac:dyDescent="0.2">
      <c r="A893" s="20" t="s">
        <v>18</v>
      </c>
      <c r="B893" s="61">
        <v>46112</v>
      </c>
      <c r="C893" s="20">
        <f t="shared" si="57"/>
        <v>1769</v>
      </c>
      <c r="D893" s="38">
        <f t="shared" si="58"/>
        <v>0</v>
      </c>
      <c r="G893" s="32" t="s">
        <v>89</v>
      </c>
      <c r="H893" s="20" t="s">
        <v>1492</v>
      </c>
      <c r="I893" s="20">
        <v>1331</v>
      </c>
      <c r="J893" s="20">
        <v>331</v>
      </c>
      <c r="K893" s="20" t="s">
        <v>20</v>
      </c>
      <c r="L893" s="20">
        <v>1</v>
      </c>
      <c r="M893" s="34">
        <v>2000</v>
      </c>
      <c r="N893" s="34">
        <f t="shared" si="55"/>
        <v>2000</v>
      </c>
      <c r="P893" s="20">
        <f t="shared" si="56"/>
        <v>73</v>
      </c>
    </row>
    <row r="894" spans="1:16" ht="15" hidden="1" customHeight="1" x14ac:dyDescent="0.2">
      <c r="A894" s="20" t="s">
        <v>310</v>
      </c>
      <c r="B894" s="61">
        <v>46112</v>
      </c>
      <c r="C894" s="20">
        <f t="shared" si="57"/>
        <v>1770</v>
      </c>
      <c r="D894" s="38">
        <f t="shared" si="58"/>
        <v>1</v>
      </c>
      <c r="G894" s="32" t="s">
        <v>89</v>
      </c>
      <c r="H894" s="20" t="s">
        <v>2995</v>
      </c>
      <c r="I894" s="20">
        <v>331</v>
      </c>
      <c r="J894" s="20">
        <v>1111</v>
      </c>
      <c r="K894" s="20" t="s">
        <v>20</v>
      </c>
      <c r="L894" s="20">
        <v>1</v>
      </c>
      <c r="M894" s="34">
        <v>27000</v>
      </c>
      <c r="N894" s="34">
        <f t="shared" si="55"/>
        <v>27000</v>
      </c>
      <c r="P894" s="20">
        <f t="shared" si="56"/>
        <v>84</v>
      </c>
    </row>
    <row r="895" spans="1:16" ht="15" hidden="1" customHeight="1" x14ac:dyDescent="0.2">
      <c r="A895" s="20" t="s">
        <v>18</v>
      </c>
      <c r="B895" s="61">
        <v>46112</v>
      </c>
      <c r="C895" s="20">
        <f t="shared" si="57"/>
        <v>1771</v>
      </c>
      <c r="D895" s="38">
        <f t="shared" si="58"/>
        <v>1</v>
      </c>
      <c r="G895" s="32" t="s">
        <v>89</v>
      </c>
      <c r="H895" s="20" t="s">
        <v>1493</v>
      </c>
      <c r="I895" s="20">
        <v>64277</v>
      </c>
      <c r="J895" s="20">
        <v>331</v>
      </c>
      <c r="K895" s="20" t="s">
        <v>20</v>
      </c>
      <c r="L895" s="20">
        <v>1</v>
      </c>
      <c r="M895" s="34">
        <v>32407</v>
      </c>
      <c r="N895" s="34">
        <f t="shared" si="55"/>
        <v>32407</v>
      </c>
      <c r="P895" s="20">
        <f t="shared" si="56"/>
        <v>73</v>
      </c>
    </row>
    <row r="896" spans="1:16" ht="15" hidden="1" customHeight="1" x14ac:dyDescent="0.2">
      <c r="A896" s="20" t="s">
        <v>18</v>
      </c>
      <c r="B896" s="61">
        <v>46112</v>
      </c>
      <c r="C896" s="20">
        <f t="shared" si="57"/>
        <v>1771</v>
      </c>
      <c r="D896" s="38">
        <f t="shared" si="58"/>
        <v>0</v>
      </c>
      <c r="G896" s="32" t="s">
        <v>89</v>
      </c>
      <c r="H896" s="20" t="s">
        <v>1493</v>
      </c>
      <c r="I896" s="20">
        <v>1331</v>
      </c>
      <c r="J896" s="20">
        <v>331</v>
      </c>
      <c r="K896" s="20" t="s">
        <v>20</v>
      </c>
      <c r="L896" s="20">
        <v>1</v>
      </c>
      <c r="M896" s="34">
        <v>2593</v>
      </c>
      <c r="N896" s="34">
        <f t="shared" ref="N896:N942" si="59">L896*M896</f>
        <v>2593</v>
      </c>
      <c r="P896" s="20">
        <f t="shared" si="56"/>
        <v>73</v>
      </c>
    </row>
    <row r="897" spans="1:16" ht="15" hidden="1" customHeight="1" x14ac:dyDescent="0.2">
      <c r="A897" s="20" t="s">
        <v>310</v>
      </c>
      <c r="B897" s="61">
        <v>46112</v>
      </c>
      <c r="C897" s="20">
        <f t="shared" si="57"/>
        <v>1772</v>
      </c>
      <c r="D897" s="38">
        <f t="shared" si="58"/>
        <v>1</v>
      </c>
      <c r="G897" s="32" t="s">
        <v>89</v>
      </c>
      <c r="H897" s="20" t="s">
        <v>2996</v>
      </c>
      <c r="I897" s="20">
        <v>331</v>
      </c>
      <c r="J897" s="20">
        <v>1111</v>
      </c>
      <c r="K897" s="20" t="s">
        <v>20</v>
      </c>
      <c r="L897" s="20">
        <v>1</v>
      </c>
      <c r="M897" s="34">
        <v>35000</v>
      </c>
      <c r="N897" s="34">
        <f t="shared" si="59"/>
        <v>35000</v>
      </c>
      <c r="P897" s="20">
        <f t="shared" si="56"/>
        <v>84</v>
      </c>
    </row>
    <row r="898" spans="1:16" ht="15" hidden="1" customHeight="1" x14ac:dyDescent="0.2">
      <c r="A898" s="20" t="s">
        <v>18</v>
      </c>
      <c r="B898" s="61">
        <v>46112</v>
      </c>
      <c r="C898" s="20">
        <f t="shared" si="57"/>
        <v>1773</v>
      </c>
      <c r="D898" s="38">
        <f t="shared" si="58"/>
        <v>1</v>
      </c>
      <c r="G898" s="32" t="s">
        <v>28</v>
      </c>
      <c r="H898" s="20" t="s">
        <v>2701</v>
      </c>
      <c r="I898" s="20">
        <v>64277</v>
      </c>
      <c r="J898" s="20">
        <v>331</v>
      </c>
      <c r="K898" s="20" t="s">
        <v>20</v>
      </c>
      <c r="L898" s="20">
        <v>1</v>
      </c>
      <c r="M898" s="34">
        <v>1381000</v>
      </c>
      <c r="N898" s="34">
        <f t="shared" si="59"/>
        <v>1381000</v>
      </c>
      <c r="P898" s="20">
        <f t="shared" ref="P898:P961" si="60">LEN(H898)</f>
        <v>42</v>
      </c>
    </row>
    <row r="899" spans="1:16" ht="15" hidden="1" customHeight="1" x14ac:dyDescent="0.2">
      <c r="A899" s="20" t="s">
        <v>18</v>
      </c>
      <c r="B899" s="61">
        <v>46112</v>
      </c>
      <c r="C899" s="20">
        <f t="shared" si="57"/>
        <v>1773</v>
      </c>
      <c r="D899" s="38">
        <f t="shared" si="58"/>
        <v>0</v>
      </c>
      <c r="G899" s="32" t="s">
        <v>28</v>
      </c>
      <c r="H899" s="20" t="s">
        <v>2701</v>
      </c>
      <c r="I899" s="20">
        <v>1331</v>
      </c>
      <c r="J899" s="20">
        <v>331</v>
      </c>
      <c r="K899" s="20" t="s">
        <v>20</v>
      </c>
      <c r="L899" s="20">
        <v>1</v>
      </c>
      <c r="M899" s="34">
        <v>110480</v>
      </c>
      <c r="N899" s="34">
        <f t="shared" si="59"/>
        <v>110480</v>
      </c>
      <c r="P899" s="20">
        <f t="shared" si="60"/>
        <v>42</v>
      </c>
    </row>
    <row r="900" spans="1:16" ht="15" hidden="1" customHeight="1" x14ac:dyDescent="0.2">
      <c r="A900" s="20" t="s">
        <v>310</v>
      </c>
      <c r="B900" s="61">
        <v>46112</v>
      </c>
      <c r="C900" s="20">
        <f t="shared" si="57"/>
        <v>1774</v>
      </c>
      <c r="D900" s="38">
        <f t="shared" si="58"/>
        <v>1</v>
      </c>
      <c r="G900" s="32" t="s">
        <v>28</v>
      </c>
      <c r="H900" s="20" t="s">
        <v>2997</v>
      </c>
      <c r="I900" s="20">
        <v>331</v>
      </c>
      <c r="J900" s="20">
        <v>1111</v>
      </c>
      <c r="K900" s="20" t="s">
        <v>20</v>
      </c>
      <c r="L900" s="20">
        <v>1</v>
      </c>
      <c r="M900" s="34">
        <v>1491480</v>
      </c>
      <c r="N900" s="34">
        <f t="shared" si="59"/>
        <v>1491480</v>
      </c>
      <c r="P900" s="20">
        <f t="shared" si="60"/>
        <v>53</v>
      </c>
    </row>
    <row r="901" spans="1:16" ht="15" hidden="1" customHeight="1" x14ac:dyDescent="0.2">
      <c r="A901" s="20" t="s">
        <v>18</v>
      </c>
      <c r="B901" s="61">
        <v>46027</v>
      </c>
      <c r="C901" s="20">
        <f t="shared" si="57"/>
        <v>1775</v>
      </c>
      <c r="D901" s="38">
        <f t="shared" si="58"/>
        <v>1</v>
      </c>
      <c r="G901" s="32" t="s">
        <v>1494</v>
      </c>
      <c r="H901" s="20" t="s">
        <v>1495</v>
      </c>
      <c r="I901" s="20">
        <v>131</v>
      </c>
      <c r="J901" s="20">
        <v>5113</v>
      </c>
      <c r="K901" s="20" t="s">
        <v>20</v>
      </c>
      <c r="L901" s="20">
        <v>1</v>
      </c>
      <c r="M901" s="34">
        <v>11111111</v>
      </c>
      <c r="N901" s="34">
        <f t="shared" si="59"/>
        <v>11111111</v>
      </c>
      <c r="P901" s="20">
        <f t="shared" si="60"/>
        <v>95</v>
      </c>
    </row>
    <row r="902" spans="1:16" ht="15" customHeight="1" x14ac:dyDescent="0.2">
      <c r="A902" s="20" t="s">
        <v>18</v>
      </c>
      <c r="B902" s="61">
        <v>46027</v>
      </c>
      <c r="C902" s="20">
        <f t="shared" ref="C902:C965" si="61">C901+D902</f>
        <v>1776</v>
      </c>
      <c r="D902" s="38">
        <f t="shared" ref="D902:D965" si="62">IF(H902=H901,0,1)</f>
        <v>1</v>
      </c>
      <c r="G902" s="32" t="s">
        <v>1494</v>
      </c>
      <c r="H902" s="20" t="s">
        <v>3001</v>
      </c>
      <c r="I902" s="20">
        <v>333821</v>
      </c>
      <c r="J902" s="20">
        <v>131</v>
      </c>
      <c r="K902" s="20" t="s">
        <v>20</v>
      </c>
      <c r="L902" s="20">
        <v>1</v>
      </c>
      <c r="M902" s="34">
        <v>111111</v>
      </c>
      <c r="N902" s="34">
        <f t="shared" si="59"/>
        <v>111111</v>
      </c>
      <c r="P902" s="20">
        <f t="shared" si="60"/>
        <v>111</v>
      </c>
    </row>
    <row r="903" spans="1:16" ht="15" hidden="1" customHeight="1" x14ac:dyDescent="0.2">
      <c r="A903" s="20" t="s">
        <v>18</v>
      </c>
      <c r="B903" s="61">
        <v>46041</v>
      </c>
      <c r="C903" s="20">
        <f t="shared" si="61"/>
        <v>1777</v>
      </c>
      <c r="D903" s="38">
        <f t="shared" si="62"/>
        <v>1</v>
      </c>
      <c r="G903" s="32" t="s">
        <v>96</v>
      </c>
      <c r="H903" s="20" t="s">
        <v>1496</v>
      </c>
      <c r="I903" s="20">
        <v>131</v>
      </c>
      <c r="J903" s="20">
        <v>5113</v>
      </c>
      <c r="K903" s="20" t="s">
        <v>20</v>
      </c>
      <c r="L903" s="20">
        <v>1</v>
      </c>
      <c r="M903" s="34">
        <v>7878788</v>
      </c>
      <c r="N903" s="34">
        <f t="shared" si="59"/>
        <v>7878788</v>
      </c>
      <c r="P903" s="20">
        <f t="shared" si="60"/>
        <v>150</v>
      </c>
    </row>
    <row r="904" spans="1:16" ht="15" customHeight="1" x14ac:dyDescent="0.2">
      <c r="A904" s="20" t="s">
        <v>18</v>
      </c>
      <c r="B904" s="61">
        <v>46041</v>
      </c>
      <c r="C904" s="20">
        <f t="shared" si="61"/>
        <v>1778</v>
      </c>
      <c r="D904" s="38">
        <f t="shared" si="62"/>
        <v>1</v>
      </c>
      <c r="G904" s="32" t="s">
        <v>96</v>
      </c>
      <c r="H904" s="20" t="s">
        <v>3002</v>
      </c>
      <c r="I904" s="20">
        <v>333821</v>
      </c>
      <c r="J904" s="20">
        <v>131</v>
      </c>
      <c r="K904" s="20" t="s">
        <v>20</v>
      </c>
      <c r="L904" s="20">
        <v>1</v>
      </c>
      <c r="M904" s="34">
        <v>78788</v>
      </c>
      <c r="N904" s="34">
        <f t="shared" si="59"/>
        <v>78788</v>
      </c>
      <c r="P904" s="20">
        <f t="shared" si="60"/>
        <v>166</v>
      </c>
    </row>
    <row r="905" spans="1:16" ht="15" hidden="1" customHeight="1" x14ac:dyDescent="0.2">
      <c r="A905" s="20" t="s">
        <v>18</v>
      </c>
      <c r="B905" s="61">
        <v>46058</v>
      </c>
      <c r="C905" s="20">
        <f t="shared" si="61"/>
        <v>1779</v>
      </c>
      <c r="D905" s="38">
        <f t="shared" si="62"/>
        <v>1</v>
      </c>
      <c r="G905" s="32" t="s">
        <v>43</v>
      </c>
      <c r="H905" s="20" t="s">
        <v>1497</v>
      </c>
      <c r="I905" s="20">
        <v>131</v>
      </c>
      <c r="J905" s="20">
        <v>5113</v>
      </c>
      <c r="K905" s="20" t="s">
        <v>20</v>
      </c>
      <c r="L905" s="20">
        <v>1</v>
      </c>
      <c r="M905" s="34">
        <v>5555556</v>
      </c>
      <c r="N905" s="34">
        <f t="shared" si="59"/>
        <v>5555556</v>
      </c>
      <c r="P905" s="20">
        <f t="shared" si="60"/>
        <v>89</v>
      </c>
    </row>
    <row r="906" spans="1:16" ht="15" customHeight="1" x14ac:dyDescent="0.2">
      <c r="A906" s="20" t="s">
        <v>18</v>
      </c>
      <c r="B906" s="61">
        <v>46058</v>
      </c>
      <c r="C906" s="20">
        <f t="shared" si="61"/>
        <v>1780</v>
      </c>
      <c r="D906" s="38">
        <f t="shared" si="62"/>
        <v>1</v>
      </c>
      <c r="G906" s="32" t="s">
        <v>43</v>
      </c>
      <c r="H906" s="20" t="s">
        <v>3003</v>
      </c>
      <c r="I906" s="20">
        <v>333821</v>
      </c>
      <c r="J906" s="20">
        <v>131</v>
      </c>
      <c r="K906" s="20" t="s">
        <v>20</v>
      </c>
      <c r="L906" s="20">
        <v>1</v>
      </c>
      <c r="M906" s="34">
        <v>55556</v>
      </c>
      <c r="N906" s="34">
        <f t="shared" si="59"/>
        <v>55556</v>
      </c>
      <c r="P906" s="20">
        <f t="shared" si="60"/>
        <v>105</v>
      </c>
    </row>
    <row r="907" spans="1:16" ht="15" hidden="1" customHeight="1" x14ac:dyDescent="0.2">
      <c r="A907" s="20" t="s">
        <v>18</v>
      </c>
      <c r="B907" s="61">
        <v>46059</v>
      </c>
      <c r="C907" s="20">
        <f t="shared" si="61"/>
        <v>1781</v>
      </c>
      <c r="D907" s="38">
        <f t="shared" si="62"/>
        <v>1</v>
      </c>
      <c r="G907" s="32" t="s">
        <v>278</v>
      </c>
      <c r="H907" s="20" t="s">
        <v>2702</v>
      </c>
      <c r="I907" s="20">
        <v>131</v>
      </c>
      <c r="J907" s="20">
        <v>5113</v>
      </c>
      <c r="K907" s="20" t="s">
        <v>20</v>
      </c>
      <c r="L907" s="20">
        <v>1</v>
      </c>
      <c r="M907" s="34">
        <v>682152759</v>
      </c>
      <c r="N907" s="34">
        <f t="shared" si="59"/>
        <v>682152759</v>
      </c>
      <c r="P907" s="20">
        <f t="shared" si="60"/>
        <v>133</v>
      </c>
    </row>
    <row r="908" spans="1:16" ht="15" customHeight="1" x14ac:dyDescent="0.2">
      <c r="A908" s="20" t="s">
        <v>18</v>
      </c>
      <c r="B908" s="61">
        <v>46059</v>
      </c>
      <c r="C908" s="20">
        <f t="shared" si="61"/>
        <v>1782</v>
      </c>
      <c r="D908" s="38">
        <f t="shared" si="62"/>
        <v>1</v>
      </c>
      <c r="G908" s="32" t="s">
        <v>278</v>
      </c>
      <c r="H908" s="20" t="s">
        <v>3004</v>
      </c>
      <c r="I908" s="20">
        <v>333821</v>
      </c>
      <c r="J908" s="20">
        <v>131</v>
      </c>
      <c r="K908" s="20" t="s">
        <v>20</v>
      </c>
      <c r="L908" s="20">
        <v>1</v>
      </c>
      <c r="M908" s="34">
        <v>6821528</v>
      </c>
      <c r="N908" s="34">
        <f t="shared" si="59"/>
        <v>6821528</v>
      </c>
      <c r="P908" s="20">
        <f t="shared" si="60"/>
        <v>149</v>
      </c>
    </row>
    <row r="909" spans="1:16" ht="15" hidden="1" customHeight="1" x14ac:dyDescent="0.2">
      <c r="A909" s="20" t="s">
        <v>18</v>
      </c>
      <c r="B909" s="61">
        <v>46064</v>
      </c>
      <c r="C909" s="20">
        <f t="shared" si="61"/>
        <v>1783</v>
      </c>
      <c r="D909" s="38">
        <f t="shared" si="62"/>
        <v>1</v>
      </c>
      <c r="G909" s="32" t="s">
        <v>1498</v>
      </c>
      <c r="H909" s="20" t="s">
        <v>1499</v>
      </c>
      <c r="I909" s="20">
        <v>131</v>
      </c>
      <c r="J909" s="20">
        <v>5113</v>
      </c>
      <c r="K909" s="20" t="s">
        <v>20</v>
      </c>
      <c r="L909" s="20">
        <v>1</v>
      </c>
      <c r="M909" s="34">
        <v>29444444</v>
      </c>
      <c r="N909" s="34">
        <f t="shared" si="59"/>
        <v>29444444</v>
      </c>
      <c r="P909" s="20">
        <f t="shared" si="60"/>
        <v>110</v>
      </c>
    </row>
    <row r="910" spans="1:16" ht="15" customHeight="1" x14ac:dyDescent="0.2">
      <c r="A910" s="20" t="s">
        <v>18</v>
      </c>
      <c r="B910" s="61">
        <v>46064</v>
      </c>
      <c r="C910" s="20">
        <f t="shared" si="61"/>
        <v>1784</v>
      </c>
      <c r="D910" s="38">
        <f t="shared" si="62"/>
        <v>1</v>
      </c>
      <c r="G910" s="32" t="s">
        <v>1498</v>
      </c>
      <c r="H910" s="20" t="s">
        <v>3005</v>
      </c>
      <c r="I910" s="20">
        <v>333821</v>
      </c>
      <c r="J910" s="20">
        <v>131</v>
      </c>
      <c r="K910" s="20" t="s">
        <v>20</v>
      </c>
      <c r="L910" s="20">
        <v>1</v>
      </c>
      <c r="M910" s="34">
        <v>294444</v>
      </c>
      <c r="N910" s="34">
        <f t="shared" si="59"/>
        <v>294444</v>
      </c>
      <c r="P910" s="20">
        <f t="shared" si="60"/>
        <v>126</v>
      </c>
    </row>
    <row r="911" spans="1:16" ht="15" hidden="1" customHeight="1" x14ac:dyDescent="0.2">
      <c r="A911" s="20" t="s">
        <v>18</v>
      </c>
      <c r="B911" s="61">
        <v>46078</v>
      </c>
      <c r="C911" s="20">
        <f t="shared" si="61"/>
        <v>1785</v>
      </c>
      <c r="D911" s="38">
        <f t="shared" si="62"/>
        <v>1</v>
      </c>
      <c r="G911" s="32" t="s">
        <v>1498</v>
      </c>
      <c r="H911" s="20" t="s">
        <v>1500</v>
      </c>
      <c r="I911" s="20">
        <v>131</v>
      </c>
      <c r="J911" s="20">
        <v>5113</v>
      </c>
      <c r="K911" s="20" t="s">
        <v>20</v>
      </c>
      <c r="L911" s="20">
        <v>1</v>
      </c>
      <c r="M911" s="34">
        <v>29444444</v>
      </c>
      <c r="N911" s="34">
        <f t="shared" si="59"/>
        <v>29444444</v>
      </c>
      <c r="P911" s="20">
        <f t="shared" si="60"/>
        <v>110</v>
      </c>
    </row>
    <row r="912" spans="1:16" ht="15" customHeight="1" x14ac:dyDescent="0.2">
      <c r="A912" s="20" t="s">
        <v>18</v>
      </c>
      <c r="B912" s="61">
        <v>46078</v>
      </c>
      <c r="C912" s="20">
        <f t="shared" si="61"/>
        <v>1786</v>
      </c>
      <c r="D912" s="38">
        <f t="shared" si="62"/>
        <v>1</v>
      </c>
      <c r="G912" s="32" t="s">
        <v>1498</v>
      </c>
      <c r="H912" s="20" t="s">
        <v>3006</v>
      </c>
      <c r="I912" s="20">
        <v>333821</v>
      </c>
      <c r="J912" s="20">
        <v>131</v>
      </c>
      <c r="K912" s="20" t="s">
        <v>20</v>
      </c>
      <c r="L912" s="20">
        <v>1</v>
      </c>
      <c r="M912" s="34">
        <v>294444</v>
      </c>
      <c r="N912" s="34">
        <f t="shared" si="59"/>
        <v>294444</v>
      </c>
      <c r="P912" s="20">
        <f t="shared" si="60"/>
        <v>126</v>
      </c>
    </row>
    <row r="913" spans="1:16" ht="15" hidden="1" customHeight="1" x14ac:dyDescent="0.2">
      <c r="A913" s="20" t="s">
        <v>18</v>
      </c>
      <c r="B913" s="61">
        <v>46085</v>
      </c>
      <c r="C913" s="20">
        <f t="shared" si="61"/>
        <v>1787</v>
      </c>
      <c r="D913" s="38">
        <f t="shared" si="62"/>
        <v>1</v>
      </c>
      <c r="G913" s="32" t="s">
        <v>29</v>
      </c>
      <c r="H913" s="20" t="s">
        <v>1501</v>
      </c>
      <c r="I913" s="20">
        <v>131</v>
      </c>
      <c r="J913" s="20">
        <v>5113</v>
      </c>
      <c r="K913" s="20" t="s">
        <v>20</v>
      </c>
      <c r="L913" s="20">
        <v>1</v>
      </c>
      <c r="M913" s="34">
        <v>53333333</v>
      </c>
      <c r="N913" s="34">
        <f t="shared" si="59"/>
        <v>53333333</v>
      </c>
      <c r="P913" s="20">
        <f t="shared" si="60"/>
        <v>140</v>
      </c>
    </row>
    <row r="914" spans="1:16" ht="15" customHeight="1" x14ac:dyDescent="0.2">
      <c r="A914" s="20" t="s">
        <v>18</v>
      </c>
      <c r="B914" s="61">
        <v>46085</v>
      </c>
      <c r="C914" s="20">
        <f t="shared" si="61"/>
        <v>1788</v>
      </c>
      <c r="D914" s="38">
        <f t="shared" si="62"/>
        <v>1</v>
      </c>
      <c r="G914" s="32" t="s">
        <v>29</v>
      </c>
      <c r="H914" s="20" t="s">
        <v>3007</v>
      </c>
      <c r="I914" s="20">
        <v>333821</v>
      </c>
      <c r="J914" s="20">
        <v>131</v>
      </c>
      <c r="K914" s="20" t="s">
        <v>20</v>
      </c>
      <c r="L914" s="20">
        <v>1</v>
      </c>
      <c r="M914" s="34">
        <v>533333</v>
      </c>
      <c r="N914" s="34">
        <f t="shared" si="59"/>
        <v>533333</v>
      </c>
      <c r="P914" s="20">
        <f t="shared" si="60"/>
        <v>156</v>
      </c>
    </row>
    <row r="915" spans="1:16" ht="15" hidden="1" customHeight="1" x14ac:dyDescent="0.2">
      <c r="A915" s="20" t="s">
        <v>18</v>
      </c>
      <c r="B915" s="61">
        <v>46097</v>
      </c>
      <c r="C915" s="20">
        <f t="shared" si="61"/>
        <v>1789</v>
      </c>
      <c r="D915" s="38">
        <f t="shared" si="62"/>
        <v>1</v>
      </c>
      <c r="G915" s="32" t="s">
        <v>29</v>
      </c>
      <c r="H915" s="20" t="s">
        <v>1502</v>
      </c>
      <c r="I915" s="20">
        <v>131</v>
      </c>
      <c r="J915" s="20">
        <v>5113</v>
      </c>
      <c r="K915" s="20" t="s">
        <v>20</v>
      </c>
      <c r="L915" s="20">
        <v>1</v>
      </c>
      <c r="M915" s="34">
        <v>66666667</v>
      </c>
      <c r="N915" s="34">
        <f t="shared" si="59"/>
        <v>66666667</v>
      </c>
      <c r="P915" s="20">
        <f t="shared" si="60"/>
        <v>123</v>
      </c>
    </row>
    <row r="916" spans="1:16" ht="15" customHeight="1" x14ac:dyDescent="0.2">
      <c r="A916" s="20" t="s">
        <v>18</v>
      </c>
      <c r="B916" s="61">
        <v>46097</v>
      </c>
      <c r="C916" s="20">
        <f t="shared" si="61"/>
        <v>1790</v>
      </c>
      <c r="D916" s="38">
        <f t="shared" si="62"/>
        <v>1</v>
      </c>
      <c r="G916" s="32" t="s">
        <v>29</v>
      </c>
      <c r="H916" s="20" t="s">
        <v>3008</v>
      </c>
      <c r="I916" s="20">
        <v>333821</v>
      </c>
      <c r="J916" s="20">
        <v>131</v>
      </c>
      <c r="K916" s="20" t="s">
        <v>20</v>
      </c>
      <c r="L916" s="20">
        <v>1</v>
      </c>
      <c r="M916" s="34">
        <v>666667</v>
      </c>
      <c r="N916" s="34">
        <f t="shared" si="59"/>
        <v>666667</v>
      </c>
      <c r="P916" s="20">
        <f t="shared" si="60"/>
        <v>139</v>
      </c>
    </row>
    <row r="917" spans="1:16" ht="15" hidden="1" customHeight="1" x14ac:dyDescent="0.2">
      <c r="A917" s="20" t="s">
        <v>18</v>
      </c>
      <c r="B917" s="61">
        <v>46101</v>
      </c>
      <c r="C917" s="20">
        <f t="shared" si="61"/>
        <v>1791</v>
      </c>
      <c r="D917" s="38">
        <f t="shared" si="62"/>
        <v>1</v>
      </c>
      <c r="G917" s="32" t="s">
        <v>96</v>
      </c>
      <c r="H917" s="20" t="s">
        <v>1503</v>
      </c>
      <c r="I917" s="20">
        <v>131</v>
      </c>
      <c r="J917" s="20">
        <v>5113</v>
      </c>
      <c r="K917" s="20" t="s">
        <v>20</v>
      </c>
      <c r="L917" s="20">
        <v>1</v>
      </c>
      <c r="M917" s="34">
        <v>53333333</v>
      </c>
      <c r="N917" s="34">
        <f t="shared" si="59"/>
        <v>53333333</v>
      </c>
      <c r="P917" s="20">
        <f t="shared" si="60"/>
        <v>174</v>
      </c>
    </row>
    <row r="918" spans="1:16" ht="15" customHeight="1" x14ac:dyDescent="0.2">
      <c r="A918" s="20" t="s">
        <v>18</v>
      </c>
      <c r="B918" s="61">
        <v>46101</v>
      </c>
      <c r="C918" s="20">
        <f t="shared" si="61"/>
        <v>1792</v>
      </c>
      <c r="D918" s="38">
        <f t="shared" si="62"/>
        <v>1</v>
      </c>
      <c r="G918" s="32" t="s">
        <v>96</v>
      </c>
      <c r="H918" s="20" t="s">
        <v>3009</v>
      </c>
      <c r="I918" s="20">
        <v>333821</v>
      </c>
      <c r="J918" s="20">
        <v>131</v>
      </c>
      <c r="K918" s="20" t="s">
        <v>20</v>
      </c>
      <c r="L918" s="20">
        <v>1</v>
      </c>
      <c r="M918" s="34">
        <v>533333</v>
      </c>
      <c r="N918" s="34">
        <f t="shared" si="59"/>
        <v>533333</v>
      </c>
      <c r="P918" s="20">
        <f t="shared" si="60"/>
        <v>190</v>
      </c>
    </row>
    <row r="919" spans="1:16" ht="15" hidden="1" customHeight="1" x14ac:dyDescent="0.2">
      <c r="A919" s="20" t="s">
        <v>18</v>
      </c>
      <c r="B919" s="61">
        <v>46102</v>
      </c>
      <c r="C919" s="20">
        <f t="shared" si="61"/>
        <v>1793</v>
      </c>
      <c r="D919" s="38">
        <f t="shared" si="62"/>
        <v>1</v>
      </c>
      <c r="G919" s="32" t="s">
        <v>1504</v>
      </c>
      <c r="H919" s="20" t="s">
        <v>1505</v>
      </c>
      <c r="I919" s="20">
        <v>131</v>
      </c>
      <c r="J919" s="20">
        <v>5113</v>
      </c>
      <c r="K919" s="20" t="s">
        <v>20</v>
      </c>
      <c r="L919" s="20">
        <v>1</v>
      </c>
      <c r="M919" s="34">
        <v>63888889</v>
      </c>
      <c r="N919" s="34">
        <f t="shared" si="59"/>
        <v>63888889</v>
      </c>
      <c r="P919" s="20">
        <f t="shared" si="60"/>
        <v>114</v>
      </c>
    </row>
    <row r="920" spans="1:16" ht="15" customHeight="1" x14ac:dyDescent="0.2">
      <c r="A920" s="20" t="s">
        <v>18</v>
      </c>
      <c r="B920" s="61">
        <v>46102</v>
      </c>
      <c r="C920" s="20">
        <f t="shared" si="61"/>
        <v>1794</v>
      </c>
      <c r="D920" s="38">
        <f t="shared" si="62"/>
        <v>1</v>
      </c>
      <c r="G920" s="32" t="s">
        <v>1504</v>
      </c>
      <c r="H920" s="20" t="s">
        <v>3010</v>
      </c>
      <c r="I920" s="20">
        <v>333821</v>
      </c>
      <c r="J920" s="20">
        <v>131</v>
      </c>
      <c r="K920" s="20" t="s">
        <v>20</v>
      </c>
      <c r="L920" s="20">
        <v>1</v>
      </c>
      <c r="M920" s="34">
        <v>638889</v>
      </c>
      <c r="N920" s="34">
        <f t="shared" si="59"/>
        <v>638889</v>
      </c>
      <c r="P920" s="20">
        <f t="shared" si="60"/>
        <v>130</v>
      </c>
    </row>
    <row r="921" spans="1:16" ht="15" hidden="1" customHeight="1" x14ac:dyDescent="0.2">
      <c r="A921" s="20" t="s">
        <v>18</v>
      </c>
      <c r="B921" s="61">
        <v>46106</v>
      </c>
      <c r="C921" s="20">
        <f t="shared" si="61"/>
        <v>1795</v>
      </c>
      <c r="D921" s="38">
        <f t="shared" si="62"/>
        <v>1</v>
      </c>
      <c r="G921" s="32" t="s">
        <v>29</v>
      </c>
      <c r="H921" s="20" t="s">
        <v>1506</v>
      </c>
      <c r="I921" s="20">
        <v>131</v>
      </c>
      <c r="J921" s="20">
        <v>5113</v>
      </c>
      <c r="K921" s="20" t="s">
        <v>20</v>
      </c>
      <c r="L921" s="20">
        <v>1</v>
      </c>
      <c r="M921" s="34">
        <v>53333333</v>
      </c>
      <c r="N921" s="34">
        <f t="shared" si="59"/>
        <v>53333333</v>
      </c>
      <c r="P921" s="20">
        <f t="shared" si="60"/>
        <v>152</v>
      </c>
    </row>
    <row r="922" spans="1:16" ht="15" customHeight="1" x14ac:dyDescent="0.2">
      <c r="A922" s="20" t="s">
        <v>18</v>
      </c>
      <c r="B922" s="61">
        <v>46106</v>
      </c>
      <c r="C922" s="20">
        <f t="shared" si="61"/>
        <v>1796</v>
      </c>
      <c r="D922" s="38">
        <f t="shared" si="62"/>
        <v>1</v>
      </c>
      <c r="G922" s="32" t="s">
        <v>29</v>
      </c>
      <c r="H922" s="20" t="s">
        <v>3011</v>
      </c>
      <c r="I922" s="20">
        <v>333821</v>
      </c>
      <c r="J922" s="20">
        <v>131</v>
      </c>
      <c r="K922" s="20" t="s">
        <v>20</v>
      </c>
      <c r="L922" s="20">
        <v>1</v>
      </c>
      <c r="M922" s="34">
        <v>533333</v>
      </c>
      <c r="N922" s="34">
        <f t="shared" si="59"/>
        <v>533333</v>
      </c>
      <c r="P922" s="20">
        <f t="shared" si="60"/>
        <v>168</v>
      </c>
    </row>
    <row r="923" spans="1:16" ht="15" hidden="1" customHeight="1" x14ac:dyDescent="0.2">
      <c r="A923" s="20" t="s">
        <v>18</v>
      </c>
      <c r="B923" s="61">
        <v>46108</v>
      </c>
      <c r="C923" s="20">
        <f t="shared" si="61"/>
        <v>1797</v>
      </c>
      <c r="D923" s="38">
        <f t="shared" si="62"/>
        <v>1</v>
      </c>
      <c r="G923" s="32" t="s">
        <v>279</v>
      </c>
      <c r="H923" s="20" t="s">
        <v>1507</v>
      </c>
      <c r="I923" s="20">
        <v>131</v>
      </c>
      <c r="J923" s="20">
        <v>5113</v>
      </c>
      <c r="K923" s="20" t="s">
        <v>20</v>
      </c>
      <c r="L923" s="20">
        <v>1</v>
      </c>
      <c r="M923" s="34">
        <v>94444444</v>
      </c>
      <c r="N923" s="34">
        <f t="shared" si="59"/>
        <v>94444444</v>
      </c>
      <c r="P923" s="20">
        <f t="shared" si="60"/>
        <v>100</v>
      </c>
    </row>
    <row r="924" spans="1:16" ht="15" customHeight="1" x14ac:dyDescent="0.2">
      <c r="A924" s="20" t="s">
        <v>18</v>
      </c>
      <c r="B924" s="61">
        <v>46108</v>
      </c>
      <c r="C924" s="20">
        <f t="shared" si="61"/>
        <v>1798</v>
      </c>
      <c r="D924" s="38">
        <f t="shared" si="62"/>
        <v>1</v>
      </c>
      <c r="G924" s="32" t="s">
        <v>279</v>
      </c>
      <c r="H924" s="20" t="s">
        <v>3012</v>
      </c>
      <c r="I924" s="20">
        <v>333821</v>
      </c>
      <c r="J924" s="20">
        <v>131</v>
      </c>
      <c r="K924" s="20" t="s">
        <v>20</v>
      </c>
      <c r="L924" s="20">
        <v>1</v>
      </c>
      <c r="M924" s="34">
        <v>944444</v>
      </c>
      <c r="N924" s="34">
        <f t="shared" si="59"/>
        <v>944444</v>
      </c>
      <c r="P924" s="20">
        <f t="shared" si="60"/>
        <v>116</v>
      </c>
    </row>
    <row r="925" spans="1:16" ht="15" hidden="1" customHeight="1" x14ac:dyDescent="0.2">
      <c r="A925" s="20" t="s">
        <v>309</v>
      </c>
      <c r="B925" s="61">
        <v>46023</v>
      </c>
      <c r="C925" s="20">
        <f t="shared" si="61"/>
        <v>1799</v>
      </c>
      <c r="D925" s="38">
        <f t="shared" si="62"/>
        <v>1</v>
      </c>
      <c r="G925" s="32" t="s">
        <v>109</v>
      </c>
      <c r="H925" s="20" t="s">
        <v>2543</v>
      </c>
      <c r="I925" s="20">
        <v>112121</v>
      </c>
      <c r="J925" s="20">
        <v>5154</v>
      </c>
      <c r="K925" s="20" t="s">
        <v>20</v>
      </c>
      <c r="L925" s="20">
        <v>1</v>
      </c>
      <c r="M925" s="34">
        <v>20135</v>
      </c>
      <c r="N925" s="34">
        <f t="shared" si="59"/>
        <v>20135</v>
      </c>
      <c r="P925" s="20">
        <f t="shared" si="60"/>
        <v>12</v>
      </c>
    </row>
    <row r="926" spans="1:16" ht="15" hidden="1" customHeight="1" x14ac:dyDescent="0.2">
      <c r="A926" s="20" t="s">
        <v>309</v>
      </c>
      <c r="B926" s="61">
        <v>46028.502789351849</v>
      </c>
      <c r="C926" s="20">
        <f t="shared" si="61"/>
        <v>1800</v>
      </c>
      <c r="D926" s="38">
        <f t="shared" si="62"/>
        <v>1</v>
      </c>
      <c r="G926" s="32" t="s">
        <v>1494</v>
      </c>
      <c r="H926" s="20" t="s">
        <v>2666</v>
      </c>
      <c r="I926" s="20">
        <v>112121</v>
      </c>
      <c r="J926" s="20">
        <v>131</v>
      </c>
      <c r="K926" s="20" t="s">
        <v>20</v>
      </c>
      <c r="L926" s="20">
        <v>1</v>
      </c>
      <c r="M926" s="34">
        <v>11000000</v>
      </c>
      <c r="N926" s="34">
        <f t="shared" si="59"/>
        <v>11000000</v>
      </c>
      <c r="P926" s="20">
        <f t="shared" si="60"/>
        <v>100</v>
      </c>
    </row>
    <row r="927" spans="1:16" ht="15" hidden="1" customHeight="1" x14ac:dyDescent="0.2">
      <c r="A927" s="20" t="s">
        <v>308</v>
      </c>
      <c r="B927" s="61">
        <v>46034.637777777774</v>
      </c>
      <c r="C927" s="20">
        <f t="shared" si="61"/>
        <v>1801</v>
      </c>
      <c r="D927" s="38">
        <f t="shared" si="62"/>
        <v>1</v>
      </c>
      <c r="G927" s="32" t="s">
        <v>109</v>
      </c>
      <c r="H927" s="20" t="s">
        <v>2611</v>
      </c>
      <c r="I927" s="20">
        <v>1111</v>
      </c>
      <c r="J927" s="20">
        <v>112121</v>
      </c>
      <c r="K927" s="20" t="s">
        <v>20</v>
      </c>
      <c r="L927" s="20">
        <v>1</v>
      </c>
      <c r="M927" s="34">
        <v>132000000</v>
      </c>
      <c r="N927" s="34">
        <f t="shared" si="59"/>
        <v>132000000</v>
      </c>
      <c r="P927" s="20">
        <f t="shared" si="60"/>
        <v>12</v>
      </c>
    </row>
    <row r="928" spans="1:16" ht="15" hidden="1" customHeight="1" x14ac:dyDescent="0.2">
      <c r="A928" s="20" t="s">
        <v>309</v>
      </c>
      <c r="B928" s="61">
        <v>46035.645381944443</v>
      </c>
      <c r="C928" s="20">
        <f t="shared" si="61"/>
        <v>1802</v>
      </c>
      <c r="D928" s="38">
        <f t="shared" si="62"/>
        <v>1</v>
      </c>
      <c r="G928" s="32" t="s">
        <v>96</v>
      </c>
      <c r="H928" s="20" t="s">
        <v>2667</v>
      </c>
      <c r="I928" s="20">
        <v>112121</v>
      </c>
      <c r="J928" s="20">
        <v>131</v>
      </c>
      <c r="K928" s="20" t="s">
        <v>20</v>
      </c>
      <c r="L928" s="20">
        <v>1</v>
      </c>
      <c r="M928" s="34">
        <v>3900000</v>
      </c>
      <c r="N928" s="34">
        <f t="shared" si="59"/>
        <v>3900000</v>
      </c>
      <c r="P928" s="20">
        <f t="shared" si="60"/>
        <v>155</v>
      </c>
    </row>
    <row r="929" spans="1:16" ht="15" hidden="1" customHeight="1" x14ac:dyDescent="0.2">
      <c r="A929" s="20" t="s">
        <v>308</v>
      </c>
      <c r="B929" s="61">
        <v>46036.581388888888</v>
      </c>
      <c r="C929" s="20">
        <f t="shared" si="61"/>
        <v>1803</v>
      </c>
      <c r="D929" s="38">
        <f t="shared" si="62"/>
        <v>1</v>
      </c>
      <c r="G929" s="32" t="s">
        <v>96</v>
      </c>
      <c r="H929" s="20" t="s">
        <v>2668</v>
      </c>
      <c r="I929" s="20">
        <v>131</v>
      </c>
      <c r="J929" s="20">
        <v>112121</v>
      </c>
      <c r="K929" s="20" t="s">
        <v>20</v>
      </c>
      <c r="L929" s="20">
        <v>1</v>
      </c>
      <c r="M929" s="34">
        <v>4365591</v>
      </c>
      <c r="N929" s="34">
        <f t="shared" si="59"/>
        <v>4365591</v>
      </c>
      <c r="P929" s="20">
        <f t="shared" si="60"/>
        <v>21</v>
      </c>
    </row>
    <row r="930" spans="1:16" ht="15" hidden="1" customHeight="1" x14ac:dyDescent="0.2">
      <c r="A930" s="20" t="s">
        <v>309</v>
      </c>
      <c r="B930" s="61">
        <v>46042.731747685182</v>
      </c>
      <c r="C930" s="20">
        <f t="shared" si="61"/>
        <v>1804</v>
      </c>
      <c r="D930" s="38">
        <f t="shared" si="62"/>
        <v>1</v>
      </c>
      <c r="G930" s="32" t="s">
        <v>96</v>
      </c>
      <c r="H930" s="20" t="s">
        <v>2667</v>
      </c>
      <c r="I930" s="20">
        <v>112121</v>
      </c>
      <c r="J930" s="20">
        <v>131</v>
      </c>
      <c r="K930" s="20" t="s">
        <v>20</v>
      </c>
      <c r="L930" s="20">
        <v>1</v>
      </c>
      <c r="M930" s="34">
        <v>3900000</v>
      </c>
      <c r="N930" s="34">
        <f t="shared" si="59"/>
        <v>3900000</v>
      </c>
      <c r="P930" s="20">
        <f t="shared" si="60"/>
        <v>155</v>
      </c>
    </row>
    <row r="931" spans="1:16" ht="15" hidden="1" customHeight="1" x14ac:dyDescent="0.2">
      <c r="A931" s="20" t="s">
        <v>309</v>
      </c>
      <c r="B931" s="61">
        <v>46042.835520833331</v>
      </c>
      <c r="C931" s="20">
        <f t="shared" si="61"/>
        <v>1805</v>
      </c>
      <c r="D931" s="38">
        <f t="shared" si="62"/>
        <v>1</v>
      </c>
      <c r="G931" s="32" t="s">
        <v>254</v>
      </c>
      <c r="H931" s="20" t="s">
        <v>2669</v>
      </c>
      <c r="I931" s="20">
        <v>112121</v>
      </c>
      <c r="J931" s="20">
        <v>131</v>
      </c>
      <c r="K931" s="20" t="s">
        <v>20</v>
      </c>
      <c r="L931" s="20">
        <v>1</v>
      </c>
      <c r="M931" s="34">
        <v>25000000</v>
      </c>
      <c r="N931" s="34">
        <f t="shared" si="59"/>
        <v>25000000</v>
      </c>
      <c r="P931" s="20">
        <f t="shared" si="60"/>
        <v>128</v>
      </c>
    </row>
    <row r="932" spans="1:16" ht="15" hidden="1" customHeight="1" x14ac:dyDescent="0.2">
      <c r="A932" s="20" t="s">
        <v>308</v>
      </c>
      <c r="B932" s="61">
        <v>46048.845289351855</v>
      </c>
      <c r="C932" s="20">
        <f t="shared" si="61"/>
        <v>1806</v>
      </c>
      <c r="D932" s="38">
        <f t="shared" si="62"/>
        <v>1</v>
      </c>
      <c r="G932" s="32" t="s">
        <v>1284</v>
      </c>
      <c r="H932" s="20" t="s">
        <v>2998</v>
      </c>
      <c r="I932" s="20">
        <v>331</v>
      </c>
      <c r="J932" s="20">
        <v>112121</v>
      </c>
      <c r="K932" s="20" t="s">
        <v>20</v>
      </c>
      <c r="L932" s="20">
        <v>1</v>
      </c>
      <c r="M932" s="34">
        <v>37400000</v>
      </c>
      <c r="N932" s="34">
        <f t="shared" si="59"/>
        <v>37400000</v>
      </c>
      <c r="P932" s="20">
        <f t="shared" si="60"/>
        <v>143</v>
      </c>
    </row>
    <row r="933" spans="1:16" ht="15" hidden="1" customHeight="1" x14ac:dyDescent="0.2">
      <c r="A933" s="20" t="s">
        <v>308</v>
      </c>
      <c r="B933" s="61">
        <v>46049.347442129627</v>
      </c>
      <c r="C933" s="20">
        <f t="shared" si="61"/>
        <v>1807</v>
      </c>
      <c r="D933" s="38">
        <f t="shared" si="62"/>
        <v>1</v>
      </c>
      <c r="G933" s="32" t="s">
        <v>109</v>
      </c>
      <c r="H933" s="20" t="s">
        <v>2613</v>
      </c>
      <c r="I933" s="20">
        <v>64277</v>
      </c>
      <c r="J933" s="20">
        <v>112121</v>
      </c>
      <c r="K933" s="20" t="s">
        <v>20</v>
      </c>
      <c r="L933" s="20">
        <v>1</v>
      </c>
      <c r="M933" s="34">
        <v>5000</v>
      </c>
      <c r="N933" s="34">
        <f t="shared" si="59"/>
        <v>5000</v>
      </c>
      <c r="P933" s="20">
        <f t="shared" si="60"/>
        <v>13</v>
      </c>
    </row>
    <row r="934" spans="1:16" ht="15" hidden="1" customHeight="1" x14ac:dyDescent="0.2">
      <c r="A934" s="20" t="s">
        <v>309</v>
      </c>
      <c r="B934" s="61">
        <v>46051.63003472222</v>
      </c>
      <c r="C934" s="20">
        <f t="shared" si="61"/>
        <v>1808</v>
      </c>
      <c r="D934" s="38">
        <f t="shared" si="62"/>
        <v>1</v>
      </c>
      <c r="G934" s="32" t="s">
        <v>109</v>
      </c>
      <c r="H934" s="20" t="s">
        <v>2660</v>
      </c>
      <c r="I934" s="20">
        <v>112121</v>
      </c>
      <c r="J934" s="20">
        <v>1111</v>
      </c>
      <c r="K934" s="20" t="s">
        <v>20</v>
      </c>
      <c r="L934" s="20">
        <v>1</v>
      </c>
      <c r="M934" s="34">
        <v>26000000</v>
      </c>
      <c r="N934" s="34">
        <f t="shared" si="59"/>
        <v>26000000</v>
      </c>
      <c r="P934" s="20">
        <f t="shared" si="60"/>
        <v>26</v>
      </c>
    </row>
    <row r="935" spans="1:16" ht="15" hidden="1" customHeight="1" x14ac:dyDescent="0.2">
      <c r="A935" s="20" t="s">
        <v>308</v>
      </c>
      <c r="B935" s="61">
        <v>46051.630393518521</v>
      </c>
      <c r="C935" s="20">
        <f t="shared" si="61"/>
        <v>1809</v>
      </c>
      <c r="D935" s="38">
        <f t="shared" si="62"/>
        <v>1</v>
      </c>
      <c r="G935" s="32" t="s">
        <v>2629</v>
      </c>
      <c r="H935" s="20" t="s">
        <v>2670</v>
      </c>
      <c r="I935" s="20">
        <v>333821</v>
      </c>
      <c r="J935" s="20">
        <v>112121</v>
      </c>
      <c r="K935" s="20" t="s">
        <v>20</v>
      </c>
      <c r="L935" s="20">
        <v>1</v>
      </c>
      <c r="M935" s="34">
        <v>57096702</v>
      </c>
      <c r="N935" s="34">
        <f t="shared" si="59"/>
        <v>57096702</v>
      </c>
      <c r="P935" s="20">
        <f t="shared" si="60"/>
        <v>36</v>
      </c>
    </row>
    <row r="936" spans="1:16" ht="15" hidden="1" customHeight="1" x14ac:dyDescent="0.2">
      <c r="A936" s="20" t="s">
        <v>309</v>
      </c>
      <c r="B936" s="61">
        <v>46052.071527777778</v>
      </c>
      <c r="C936" s="20">
        <f t="shared" si="61"/>
        <v>1810</v>
      </c>
      <c r="D936" s="38">
        <f t="shared" si="62"/>
        <v>1</v>
      </c>
      <c r="G936" s="32" t="s">
        <v>109</v>
      </c>
      <c r="H936" s="20" t="s">
        <v>2660</v>
      </c>
      <c r="I936" s="20">
        <v>112121</v>
      </c>
      <c r="J936" s="20">
        <v>1111</v>
      </c>
      <c r="K936" s="20" t="s">
        <v>20</v>
      </c>
      <c r="L936" s="20">
        <v>1</v>
      </c>
      <c r="M936" s="34">
        <v>8300000</v>
      </c>
      <c r="N936" s="34">
        <f t="shared" si="59"/>
        <v>8300000</v>
      </c>
      <c r="P936" s="20">
        <f t="shared" si="60"/>
        <v>26</v>
      </c>
    </row>
    <row r="937" spans="1:16" ht="15" hidden="1" customHeight="1" x14ac:dyDescent="0.2">
      <c r="A937" s="20" t="s">
        <v>308</v>
      </c>
      <c r="B937" s="61">
        <v>46052.071689814817</v>
      </c>
      <c r="C937" s="20">
        <f t="shared" si="61"/>
        <v>1811</v>
      </c>
      <c r="D937" s="38">
        <f t="shared" si="62"/>
        <v>1</v>
      </c>
      <c r="G937" s="32" t="s">
        <v>312</v>
      </c>
      <c r="H937" s="20" t="s">
        <v>2671</v>
      </c>
      <c r="I937" s="20">
        <v>3383</v>
      </c>
      <c r="J937" s="20">
        <v>112121</v>
      </c>
      <c r="K937" s="20" t="s">
        <v>20</v>
      </c>
      <c r="L937" s="20">
        <v>1</v>
      </c>
      <c r="M937" s="34">
        <v>8300000</v>
      </c>
      <c r="N937" s="34">
        <f t="shared" si="59"/>
        <v>8300000</v>
      </c>
      <c r="P937" s="20">
        <f t="shared" si="60"/>
        <v>20</v>
      </c>
    </row>
    <row r="938" spans="1:16" ht="15" hidden="1" customHeight="1" x14ac:dyDescent="0.2">
      <c r="A938" s="20" t="s">
        <v>309</v>
      </c>
      <c r="B938" s="61">
        <v>46052.857881944445</v>
      </c>
      <c r="C938" s="20">
        <f t="shared" si="61"/>
        <v>1812</v>
      </c>
      <c r="D938" s="38">
        <f t="shared" si="62"/>
        <v>1</v>
      </c>
      <c r="G938" s="32" t="s">
        <v>29</v>
      </c>
      <c r="H938" s="20" t="s">
        <v>2672</v>
      </c>
      <c r="I938" s="20">
        <v>112121</v>
      </c>
      <c r="J938" s="20">
        <v>131</v>
      </c>
      <c r="K938" s="20" t="s">
        <v>20</v>
      </c>
      <c r="L938" s="20">
        <v>1</v>
      </c>
      <c r="M938" s="34">
        <v>51096774</v>
      </c>
      <c r="N938" s="34">
        <f t="shared" si="59"/>
        <v>51096774</v>
      </c>
      <c r="P938" s="20">
        <f t="shared" si="60"/>
        <v>148</v>
      </c>
    </row>
    <row r="939" spans="1:16" ht="15" hidden="1" customHeight="1" x14ac:dyDescent="0.2">
      <c r="A939" s="20" t="s">
        <v>309</v>
      </c>
      <c r="B939" s="61">
        <v>46053.069722222222</v>
      </c>
      <c r="C939" s="20">
        <f t="shared" si="61"/>
        <v>1813</v>
      </c>
      <c r="D939" s="38">
        <f t="shared" si="62"/>
        <v>1</v>
      </c>
      <c r="G939" s="32" t="s">
        <v>109</v>
      </c>
      <c r="H939" s="20" t="s">
        <v>2543</v>
      </c>
      <c r="I939" s="20">
        <v>112121</v>
      </c>
      <c r="J939" s="20">
        <v>5154</v>
      </c>
      <c r="K939" s="20" t="s">
        <v>20</v>
      </c>
      <c r="L939" s="20">
        <v>1</v>
      </c>
      <c r="M939" s="34">
        <v>7934</v>
      </c>
      <c r="N939" s="34">
        <f t="shared" si="59"/>
        <v>7934</v>
      </c>
      <c r="P939" s="20">
        <f t="shared" si="60"/>
        <v>12</v>
      </c>
    </row>
    <row r="940" spans="1:16" ht="15" hidden="1" customHeight="1" x14ac:dyDescent="0.2">
      <c r="A940" s="20" t="s">
        <v>308</v>
      </c>
      <c r="B940" s="61">
        <v>46053.479548611111</v>
      </c>
      <c r="C940" s="20">
        <f t="shared" si="61"/>
        <v>1814</v>
      </c>
      <c r="D940" s="38">
        <f t="shared" si="62"/>
        <v>1</v>
      </c>
      <c r="G940" s="32" t="s">
        <v>109</v>
      </c>
      <c r="H940" s="20" t="s">
        <v>2611</v>
      </c>
      <c r="I940" s="20">
        <v>1111</v>
      </c>
      <c r="J940" s="20">
        <v>112121</v>
      </c>
      <c r="K940" s="20" t="s">
        <v>20</v>
      </c>
      <c r="L940" s="20">
        <v>1</v>
      </c>
      <c r="M940" s="34">
        <v>50000000</v>
      </c>
      <c r="N940" s="34">
        <f t="shared" si="59"/>
        <v>50000000</v>
      </c>
      <c r="P940" s="20">
        <f t="shared" si="60"/>
        <v>12</v>
      </c>
    </row>
    <row r="941" spans="1:16" ht="15" hidden="1" customHeight="1" x14ac:dyDescent="0.2">
      <c r="A941" s="20" t="s">
        <v>309</v>
      </c>
      <c r="B941" s="61">
        <v>46057.341851851852</v>
      </c>
      <c r="C941" s="20">
        <f t="shared" si="61"/>
        <v>1815</v>
      </c>
      <c r="D941" s="38">
        <f t="shared" si="62"/>
        <v>1</v>
      </c>
      <c r="G941" s="32" t="s">
        <v>43</v>
      </c>
      <c r="H941" s="20" t="s">
        <v>2673</v>
      </c>
      <c r="I941" s="20">
        <v>112121</v>
      </c>
      <c r="J941" s="20">
        <v>131</v>
      </c>
      <c r="K941" s="20" t="s">
        <v>20</v>
      </c>
      <c r="L941" s="20">
        <v>1</v>
      </c>
      <c r="M941" s="34">
        <v>5500000</v>
      </c>
      <c r="N941" s="34">
        <f t="shared" si="59"/>
        <v>5500000</v>
      </c>
      <c r="P941" s="20">
        <f t="shared" si="60"/>
        <v>94</v>
      </c>
    </row>
    <row r="942" spans="1:16" ht="15" hidden="1" customHeight="1" x14ac:dyDescent="0.2">
      <c r="A942" s="20" t="s">
        <v>309</v>
      </c>
      <c r="B942" s="61">
        <v>46057.622465277775</v>
      </c>
      <c r="C942" s="20">
        <f t="shared" si="61"/>
        <v>1816</v>
      </c>
      <c r="D942" s="38">
        <f t="shared" si="62"/>
        <v>1</v>
      </c>
      <c r="G942" s="32" t="s">
        <v>2674</v>
      </c>
      <c r="H942" s="20" t="s">
        <v>2627</v>
      </c>
      <c r="I942" s="20">
        <v>112121</v>
      </c>
      <c r="J942" s="20">
        <v>131</v>
      </c>
      <c r="K942" s="20" t="s">
        <v>20</v>
      </c>
      <c r="L942" s="20">
        <v>1</v>
      </c>
      <c r="M942" s="34">
        <v>52470000</v>
      </c>
      <c r="N942" s="34">
        <f t="shared" si="59"/>
        <v>52470000</v>
      </c>
      <c r="P942" s="20">
        <f t="shared" si="60"/>
        <v>38</v>
      </c>
    </row>
    <row r="943" spans="1:16" ht="15" hidden="1" customHeight="1" x14ac:dyDescent="0.2">
      <c r="A943" s="20" t="s">
        <v>309</v>
      </c>
      <c r="B943" s="61">
        <v>46063.521064814813</v>
      </c>
      <c r="C943" s="20">
        <f t="shared" si="61"/>
        <v>1817</v>
      </c>
      <c r="D943" s="38">
        <f t="shared" si="62"/>
        <v>1</v>
      </c>
      <c r="G943" s="32" t="s">
        <v>1498</v>
      </c>
      <c r="H943" s="20" t="s">
        <v>2675</v>
      </c>
      <c r="I943" s="20">
        <v>112121</v>
      </c>
      <c r="J943" s="20">
        <v>131</v>
      </c>
      <c r="K943" s="20" t="s">
        <v>20</v>
      </c>
      <c r="L943" s="20">
        <v>1</v>
      </c>
      <c r="M943" s="34">
        <v>29150000</v>
      </c>
      <c r="N943" s="34">
        <f t="shared" ref="N943:N970" si="63">L943*M943</f>
        <v>29150000</v>
      </c>
      <c r="P943" s="20">
        <f t="shared" si="60"/>
        <v>115</v>
      </c>
    </row>
    <row r="944" spans="1:16" ht="15" hidden="1" customHeight="1" x14ac:dyDescent="0.2">
      <c r="A944" s="20" t="s">
        <v>308</v>
      </c>
      <c r="B944" s="61">
        <v>46064.894166666665</v>
      </c>
      <c r="C944" s="20">
        <f t="shared" si="61"/>
        <v>1818</v>
      </c>
      <c r="D944" s="38">
        <f t="shared" si="62"/>
        <v>1</v>
      </c>
      <c r="G944" s="32" t="s">
        <v>109</v>
      </c>
      <c r="H944" s="20" t="s">
        <v>2611</v>
      </c>
      <c r="I944" s="20">
        <v>1111</v>
      </c>
      <c r="J944" s="20">
        <v>112121</v>
      </c>
      <c r="K944" s="20" t="s">
        <v>20</v>
      </c>
      <c r="L944" s="20">
        <v>1</v>
      </c>
      <c r="M944" s="34">
        <v>50000000</v>
      </c>
      <c r="N944" s="34">
        <f t="shared" si="63"/>
        <v>50000000</v>
      </c>
      <c r="P944" s="20">
        <f t="shared" si="60"/>
        <v>12</v>
      </c>
    </row>
    <row r="945" spans="1:16" ht="15" hidden="1" customHeight="1" x14ac:dyDescent="0.2">
      <c r="A945" s="20" t="s">
        <v>309</v>
      </c>
      <c r="B945" s="61">
        <v>46077.656747685185</v>
      </c>
      <c r="C945" s="20">
        <f t="shared" si="61"/>
        <v>1819</v>
      </c>
      <c r="D945" s="38">
        <f t="shared" si="62"/>
        <v>1</v>
      </c>
      <c r="G945" s="32" t="s">
        <v>1498</v>
      </c>
      <c r="H945" s="20" t="s">
        <v>2676</v>
      </c>
      <c r="I945" s="20">
        <v>112121</v>
      </c>
      <c r="J945" s="20">
        <v>131</v>
      </c>
      <c r="K945" s="20" t="s">
        <v>20</v>
      </c>
      <c r="L945" s="20">
        <v>1</v>
      </c>
      <c r="M945" s="34">
        <v>29150000</v>
      </c>
      <c r="N945" s="34">
        <f t="shared" si="63"/>
        <v>29150000</v>
      </c>
      <c r="P945" s="20">
        <f t="shared" si="60"/>
        <v>115</v>
      </c>
    </row>
    <row r="946" spans="1:16" ht="15" hidden="1" customHeight="1" x14ac:dyDescent="0.2">
      <c r="A946" s="20" t="s">
        <v>308</v>
      </c>
      <c r="B946" s="61">
        <v>46080.844872685186</v>
      </c>
      <c r="C946" s="20">
        <f t="shared" si="61"/>
        <v>1820</v>
      </c>
      <c r="D946" s="38">
        <f t="shared" si="62"/>
        <v>1</v>
      </c>
      <c r="G946" s="32" t="s">
        <v>109</v>
      </c>
      <c r="H946" s="20" t="s">
        <v>2613</v>
      </c>
      <c r="I946" s="20">
        <v>64277</v>
      </c>
      <c r="J946" s="20">
        <v>112121</v>
      </c>
      <c r="K946" s="20" t="s">
        <v>20</v>
      </c>
      <c r="L946" s="20">
        <v>1</v>
      </c>
      <c r="M946" s="34">
        <v>5000</v>
      </c>
      <c r="N946" s="34">
        <f t="shared" si="63"/>
        <v>5000</v>
      </c>
      <c r="P946" s="20">
        <f t="shared" si="60"/>
        <v>13</v>
      </c>
    </row>
    <row r="947" spans="1:16" ht="15" hidden="1" customHeight="1" x14ac:dyDescent="0.2">
      <c r="A947" s="20" t="s">
        <v>309</v>
      </c>
      <c r="B947" s="61">
        <v>46081.082337962966</v>
      </c>
      <c r="C947" s="20">
        <f t="shared" si="61"/>
        <v>1821</v>
      </c>
      <c r="D947" s="38">
        <f t="shared" si="62"/>
        <v>1</v>
      </c>
      <c r="G947" s="32" t="s">
        <v>109</v>
      </c>
      <c r="H947" s="20" t="s">
        <v>2543</v>
      </c>
      <c r="I947" s="20">
        <v>112121</v>
      </c>
      <c r="J947" s="20">
        <v>5154</v>
      </c>
      <c r="K947" s="20" t="s">
        <v>20</v>
      </c>
      <c r="L947" s="20">
        <v>1</v>
      </c>
      <c r="M947" s="34">
        <v>3374</v>
      </c>
      <c r="N947" s="34">
        <f t="shared" si="63"/>
        <v>3374</v>
      </c>
      <c r="P947" s="20">
        <f t="shared" si="60"/>
        <v>12</v>
      </c>
    </row>
    <row r="948" spans="1:16" ht="15" hidden="1" customHeight="1" x14ac:dyDescent="0.2">
      <c r="A948" s="20" t="s">
        <v>308</v>
      </c>
      <c r="B948" s="61">
        <v>46082.681967592594</v>
      </c>
      <c r="C948" s="20">
        <f t="shared" si="61"/>
        <v>1822</v>
      </c>
      <c r="D948" s="38">
        <f t="shared" si="62"/>
        <v>1</v>
      </c>
      <c r="G948" s="32" t="s">
        <v>109</v>
      </c>
      <c r="H948" s="20" t="s">
        <v>2611</v>
      </c>
      <c r="I948" s="20">
        <v>1111</v>
      </c>
      <c r="J948" s="20">
        <v>112121</v>
      </c>
      <c r="K948" s="20" t="s">
        <v>20</v>
      </c>
      <c r="L948" s="20">
        <v>1</v>
      </c>
      <c r="M948" s="34">
        <v>20000000</v>
      </c>
      <c r="N948" s="34">
        <f t="shared" si="63"/>
        <v>20000000</v>
      </c>
      <c r="P948" s="20">
        <f t="shared" si="60"/>
        <v>12</v>
      </c>
    </row>
    <row r="949" spans="1:16" ht="15" hidden="1" customHeight="1" x14ac:dyDescent="0.2">
      <c r="A949" s="20" t="s">
        <v>308</v>
      </c>
      <c r="B949" s="61">
        <v>46082.694618055553</v>
      </c>
      <c r="C949" s="20">
        <f t="shared" si="61"/>
        <v>1822</v>
      </c>
      <c r="D949" s="38">
        <f t="shared" si="62"/>
        <v>0</v>
      </c>
      <c r="G949" s="32" t="s">
        <v>109</v>
      </c>
      <c r="H949" s="20" t="s">
        <v>2611</v>
      </c>
      <c r="I949" s="20">
        <v>1111</v>
      </c>
      <c r="J949" s="20">
        <v>112121</v>
      </c>
      <c r="K949" s="20" t="s">
        <v>20</v>
      </c>
      <c r="L949" s="20">
        <v>1</v>
      </c>
      <c r="M949" s="34">
        <v>40000000</v>
      </c>
      <c r="N949" s="34">
        <f t="shared" si="63"/>
        <v>40000000</v>
      </c>
      <c r="P949" s="20">
        <f t="shared" si="60"/>
        <v>12</v>
      </c>
    </row>
    <row r="950" spans="1:16" ht="15" hidden="1" customHeight="1" x14ac:dyDescent="0.2">
      <c r="A950" s="20" t="s">
        <v>309</v>
      </c>
      <c r="B950" s="61">
        <v>46083.426840277774</v>
      </c>
      <c r="C950" s="20">
        <f t="shared" si="61"/>
        <v>1823</v>
      </c>
      <c r="D950" s="38">
        <f t="shared" si="62"/>
        <v>1</v>
      </c>
      <c r="G950" s="32" t="s">
        <v>278</v>
      </c>
      <c r="H950" s="20" t="s">
        <v>2677</v>
      </c>
      <c r="I950" s="20">
        <v>112121</v>
      </c>
      <c r="J950" s="20">
        <v>131</v>
      </c>
      <c r="K950" s="20" t="s">
        <v>20</v>
      </c>
      <c r="L950" s="20">
        <v>1</v>
      </c>
      <c r="M950" s="34">
        <v>400000000</v>
      </c>
      <c r="N950" s="34">
        <f t="shared" si="63"/>
        <v>400000000</v>
      </c>
      <c r="P950" s="20">
        <f t="shared" si="60"/>
        <v>130</v>
      </c>
    </row>
    <row r="951" spans="1:16" ht="15" hidden="1" customHeight="1" x14ac:dyDescent="0.2">
      <c r="A951" s="20" t="s">
        <v>309</v>
      </c>
      <c r="B951" s="61">
        <v>46083.431805555556</v>
      </c>
      <c r="C951" s="20">
        <f t="shared" si="61"/>
        <v>1823</v>
      </c>
      <c r="D951" s="38">
        <f t="shared" si="62"/>
        <v>0</v>
      </c>
      <c r="G951" s="32" t="s">
        <v>278</v>
      </c>
      <c r="H951" s="20" t="s">
        <v>2677</v>
      </c>
      <c r="I951" s="20">
        <v>112121</v>
      </c>
      <c r="J951" s="20">
        <v>131</v>
      </c>
      <c r="K951" s="20" t="s">
        <v>20</v>
      </c>
      <c r="L951" s="20">
        <v>1</v>
      </c>
      <c r="M951" s="34">
        <v>275331231</v>
      </c>
      <c r="N951" s="34">
        <f t="shared" si="63"/>
        <v>275331231</v>
      </c>
      <c r="P951" s="20">
        <f t="shared" si="60"/>
        <v>130</v>
      </c>
    </row>
    <row r="952" spans="1:16" ht="15" hidden="1" customHeight="1" x14ac:dyDescent="0.2">
      <c r="A952" s="20" t="s">
        <v>308</v>
      </c>
      <c r="B952" s="61">
        <v>46086.568773148145</v>
      </c>
      <c r="C952" s="20">
        <f t="shared" si="61"/>
        <v>1824</v>
      </c>
      <c r="D952" s="38">
        <f t="shared" si="62"/>
        <v>1</v>
      </c>
      <c r="G952" s="32" t="s">
        <v>109</v>
      </c>
      <c r="H952" s="20" t="s">
        <v>2611</v>
      </c>
      <c r="I952" s="20">
        <v>1111</v>
      </c>
      <c r="J952" s="20">
        <v>112121</v>
      </c>
      <c r="K952" s="20" t="s">
        <v>20</v>
      </c>
      <c r="L952" s="20">
        <v>1</v>
      </c>
      <c r="M952" s="34">
        <v>499999999</v>
      </c>
      <c r="N952" s="34">
        <f t="shared" si="63"/>
        <v>499999999</v>
      </c>
      <c r="P952" s="20">
        <f t="shared" si="60"/>
        <v>12</v>
      </c>
    </row>
    <row r="953" spans="1:16" ht="15" hidden="1" customHeight="1" x14ac:dyDescent="0.2">
      <c r="A953" s="20" t="s">
        <v>308</v>
      </c>
      <c r="B953" s="61">
        <v>46086.568784722222</v>
      </c>
      <c r="C953" s="20">
        <f t="shared" si="61"/>
        <v>1824</v>
      </c>
      <c r="D953" s="38">
        <f t="shared" si="62"/>
        <v>0</v>
      </c>
      <c r="G953" s="32" t="s">
        <v>109</v>
      </c>
      <c r="H953" s="20" t="s">
        <v>2611</v>
      </c>
      <c r="I953" s="20">
        <v>1111</v>
      </c>
      <c r="J953" s="20">
        <v>112121</v>
      </c>
      <c r="K953" s="20" t="s">
        <v>20</v>
      </c>
      <c r="L953" s="20">
        <v>1</v>
      </c>
      <c r="M953" s="34">
        <v>95000001</v>
      </c>
      <c r="N953" s="34">
        <f t="shared" si="63"/>
        <v>95000001</v>
      </c>
      <c r="P953" s="20">
        <f t="shared" si="60"/>
        <v>12</v>
      </c>
    </row>
    <row r="954" spans="1:16" ht="15" hidden="1" customHeight="1" x14ac:dyDescent="0.2">
      <c r="A954" s="20" t="s">
        <v>308</v>
      </c>
      <c r="B954" s="61">
        <v>46091.411747685182</v>
      </c>
      <c r="C954" s="20">
        <f t="shared" si="61"/>
        <v>1825</v>
      </c>
      <c r="D954" s="38">
        <f t="shared" si="62"/>
        <v>1</v>
      </c>
      <c r="G954" s="32" t="s">
        <v>109</v>
      </c>
      <c r="H954" s="20" t="s">
        <v>2613</v>
      </c>
      <c r="I954" s="20">
        <v>64277</v>
      </c>
      <c r="J954" s="20">
        <v>112121</v>
      </c>
      <c r="K954" s="20" t="s">
        <v>20</v>
      </c>
      <c r="L954" s="20">
        <v>1</v>
      </c>
      <c r="M954" s="34">
        <v>22000</v>
      </c>
      <c r="N954" s="34">
        <f t="shared" si="63"/>
        <v>22000</v>
      </c>
      <c r="P954" s="20">
        <f t="shared" si="60"/>
        <v>13</v>
      </c>
    </row>
    <row r="955" spans="1:16" ht="15" hidden="1" customHeight="1" x14ac:dyDescent="0.2">
      <c r="A955" s="20" t="s">
        <v>308</v>
      </c>
      <c r="B955" s="61">
        <v>46092.737962962965</v>
      </c>
      <c r="C955" s="20">
        <f t="shared" si="61"/>
        <v>1826</v>
      </c>
      <c r="D955" s="38">
        <f t="shared" si="62"/>
        <v>1</v>
      </c>
      <c r="G955" s="32" t="s">
        <v>1445</v>
      </c>
      <c r="H955" s="20" t="s">
        <v>2999</v>
      </c>
      <c r="I955" s="20">
        <v>331</v>
      </c>
      <c r="J955" s="20">
        <v>112121</v>
      </c>
      <c r="K955" s="20" t="s">
        <v>20</v>
      </c>
      <c r="L955" s="20">
        <v>1</v>
      </c>
      <c r="M955" s="34">
        <v>6600000</v>
      </c>
      <c r="N955" s="34">
        <f t="shared" si="63"/>
        <v>6600000</v>
      </c>
      <c r="P955" s="20">
        <f t="shared" si="60"/>
        <v>89</v>
      </c>
    </row>
    <row r="956" spans="1:16" ht="15" hidden="1" customHeight="1" x14ac:dyDescent="0.2">
      <c r="A956" s="20" t="s">
        <v>309</v>
      </c>
      <c r="B956" s="61">
        <v>46094.455648148149</v>
      </c>
      <c r="C956" s="20">
        <f t="shared" si="61"/>
        <v>1827</v>
      </c>
      <c r="D956" s="38">
        <f t="shared" si="62"/>
        <v>1</v>
      </c>
      <c r="G956" s="32" t="s">
        <v>2674</v>
      </c>
      <c r="H956" s="20" t="s">
        <v>2627</v>
      </c>
      <c r="I956" s="20">
        <v>112121</v>
      </c>
      <c r="J956" s="20">
        <v>131</v>
      </c>
      <c r="K956" s="20" t="s">
        <v>20</v>
      </c>
      <c r="L956" s="20">
        <v>1</v>
      </c>
      <c r="M956" s="34">
        <v>242000000</v>
      </c>
      <c r="N956" s="34">
        <f t="shared" si="63"/>
        <v>242000000</v>
      </c>
      <c r="P956" s="20">
        <f t="shared" si="60"/>
        <v>38</v>
      </c>
    </row>
    <row r="957" spans="1:16" ht="15" hidden="1" customHeight="1" x14ac:dyDescent="0.2">
      <c r="A957" s="20" t="s">
        <v>309</v>
      </c>
      <c r="B957" s="61">
        <v>46094.733275462961</v>
      </c>
      <c r="C957" s="20">
        <f t="shared" si="61"/>
        <v>1828</v>
      </c>
      <c r="D957" s="38">
        <f t="shared" si="62"/>
        <v>1</v>
      </c>
      <c r="G957" s="32" t="s">
        <v>29</v>
      </c>
      <c r="H957" s="20" t="s">
        <v>2678</v>
      </c>
      <c r="I957" s="20">
        <v>112121</v>
      </c>
      <c r="J957" s="20">
        <v>131</v>
      </c>
      <c r="K957" s="20" t="s">
        <v>20</v>
      </c>
      <c r="L957" s="20">
        <v>1</v>
      </c>
      <c r="M957" s="34">
        <v>52800000</v>
      </c>
      <c r="N957" s="34">
        <f t="shared" si="63"/>
        <v>52800000</v>
      </c>
      <c r="P957" s="20">
        <f t="shared" si="60"/>
        <v>145</v>
      </c>
    </row>
    <row r="958" spans="1:16" ht="15" hidden="1" customHeight="1" x14ac:dyDescent="0.2">
      <c r="A958" s="20" t="s">
        <v>309</v>
      </c>
      <c r="B958" s="61">
        <v>46098.720555555556</v>
      </c>
      <c r="C958" s="20">
        <f t="shared" si="61"/>
        <v>1829</v>
      </c>
      <c r="D958" s="38">
        <f t="shared" si="62"/>
        <v>1</v>
      </c>
      <c r="G958" s="32" t="s">
        <v>96</v>
      </c>
      <c r="H958" s="20" t="s">
        <v>2679</v>
      </c>
      <c r="I958" s="20">
        <v>112121</v>
      </c>
      <c r="J958" s="20">
        <v>131</v>
      </c>
      <c r="K958" s="20" t="s">
        <v>20</v>
      </c>
      <c r="L958" s="20">
        <v>1</v>
      </c>
      <c r="M958" s="34">
        <v>52800000</v>
      </c>
      <c r="N958" s="34">
        <f t="shared" si="63"/>
        <v>52800000</v>
      </c>
      <c r="P958" s="20">
        <f t="shared" si="60"/>
        <v>179</v>
      </c>
    </row>
    <row r="959" spans="1:16" ht="15" hidden="1" customHeight="1" x14ac:dyDescent="0.2">
      <c r="A959" s="20" t="s">
        <v>308</v>
      </c>
      <c r="B959" s="61">
        <v>46102.475069444445</v>
      </c>
      <c r="C959" s="20">
        <f t="shared" si="61"/>
        <v>1830</v>
      </c>
      <c r="D959" s="38">
        <f t="shared" si="62"/>
        <v>1</v>
      </c>
      <c r="G959" s="32" t="s">
        <v>109</v>
      </c>
      <c r="H959" s="20" t="s">
        <v>2611</v>
      </c>
      <c r="I959" s="20">
        <v>1111</v>
      </c>
      <c r="J959" s="20">
        <v>112121</v>
      </c>
      <c r="K959" s="20" t="s">
        <v>20</v>
      </c>
      <c r="L959" s="20">
        <v>1</v>
      </c>
      <c r="M959" s="34">
        <v>10000000</v>
      </c>
      <c r="N959" s="34">
        <f t="shared" si="63"/>
        <v>10000000</v>
      </c>
      <c r="P959" s="20">
        <f t="shared" si="60"/>
        <v>12</v>
      </c>
    </row>
    <row r="960" spans="1:16" ht="15" hidden="1" customHeight="1" x14ac:dyDescent="0.2">
      <c r="A960" s="20" t="s">
        <v>309</v>
      </c>
      <c r="B960" s="61">
        <v>46102.481192129628</v>
      </c>
      <c r="C960" s="20">
        <f t="shared" si="61"/>
        <v>1831</v>
      </c>
      <c r="D960" s="38">
        <f t="shared" si="62"/>
        <v>1</v>
      </c>
      <c r="G960" s="32" t="s">
        <v>1504</v>
      </c>
      <c r="H960" s="20" t="s">
        <v>2680</v>
      </c>
      <c r="I960" s="20">
        <v>112121</v>
      </c>
      <c r="J960" s="20">
        <v>131</v>
      </c>
      <c r="K960" s="20" t="s">
        <v>20</v>
      </c>
      <c r="L960" s="20">
        <v>1</v>
      </c>
      <c r="M960" s="34">
        <v>63250000</v>
      </c>
      <c r="N960" s="34">
        <f t="shared" si="63"/>
        <v>63250000</v>
      </c>
      <c r="P960" s="20">
        <f t="shared" si="60"/>
        <v>119</v>
      </c>
    </row>
    <row r="961" spans="1:16" ht="15" hidden="1" customHeight="1" x14ac:dyDescent="0.2">
      <c r="A961" s="20" t="s">
        <v>308</v>
      </c>
      <c r="B961" s="61">
        <v>46104.421354166669</v>
      </c>
      <c r="C961" s="20">
        <f t="shared" si="61"/>
        <v>1832</v>
      </c>
      <c r="D961" s="38">
        <f t="shared" si="62"/>
        <v>1</v>
      </c>
      <c r="G961" s="32" t="s">
        <v>90</v>
      </c>
      <c r="H961" s="20" t="s">
        <v>3000</v>
      </c>
      <c r="I961" s="20">
        <v>331</v>
      </c>
      <c r="J961" s="20">
        <v>112121</v>
      </c>
      <c r="K961" s="20" t="s">
        <v>20</v>
      </c>
      <c r="L961" s="20">
        <v>1</v>
      </c>
      <c r="M961" s="34">
        <v>6930000</v>
      </c>
      <c r="N961" s="34">
        <f t="shared" si="63"/>
        <v>6930000</v>
      </c>
      <c r="P961" s="20">
        <f t="shared" si="60"/>
        <v>71</v>
      </c>
    </row>
    <row r="962" spans="1:16" ht="15" hidden="1" customHeight="1" x14ac:dyDescent="0.2">
      <c r="A962" s="20" t="s">
        <v>309</v>
      </c>
      <c r="B962" s="61">
        <v>46104.842002314814</v>
      </c>
      <c r="C962" s="20">
        <f t="shared" si="61"/>
        <v>1833</v>
      </c>
      <c r="D962" s="38">
        <f t="shared" si="62"/>
        <v>1</v>
      </c>
      <c r="G962" s="32" t="s">
        <v>1494</v>
      </c>
      <c r="H962" s="20" t="s">
        <v>2666</v>
      </c>
      <c r="I962" s="20">
        <v>112121</v>
      </c>
      <c r="J962" s="20">
        <v>131</v>
      </c>
      <c r="K962" s="20" t="s">
        <v>20</v>
      </c>
      <c r="L962" s="20">
        <v>1</v>
      </c>
      <c r="M962" s="34">
        <v>11000000</v>
      </c>
      <c r="N962" s="34">
        <f t="shared" si="63"/>
        <v>11000000</v>
      </c>
      <c r="P962" s="20">
        <f t="shared" ref="P962:P970" si="64">LEN(H962)</f>
        <v>100</v>
      </c>
    </row>
    <row r="963" spans="1:16" ht="15" hidden="1" customHeight="1" x14ac:dyDescent="0.2">
      <c r="A963" s="20" t="s">
        <v>308</v>
      </c>
      <c r="B963" s="61">
        <v>46105.368877314817</v>
      </c>
      <c r="C963" s="20">
        <f t="shared" si="61"/>
        <v>1834</v>
      </c>
      <c r="D963" s="38">
        <f t="shared" si="62"/>
        <v>1</v>
      </c>
      <c r="G963" s="32" t="s">
        <v>109</v>
      </c>
      <c r="H963" s="20" t="s">
        <v>2611</v>
      </c>
      <c r="I963" s="20">
        <v>1111</v>
      </c>
      <c r="J963" s="20">
        <v>112121</v>
      </c>
      <c r="K963" s="20" t="s">
        <v>20</v>
      </c>
      <c r="L963" s="20">
        <v>1</v>
      </c>
      <c r="M963" s="34">
        <v>85000000</v>
      </c>
      <c r="N963" s="34">
        <f t="shared" si="63"/>
        <v>85000000</v>
      </c>
      <c r="P963" s="20">
        <f t="shared" si="64"/>
        <v>12</v>
      </c>
    </row>
    <row r="964" spans="1:16" ht="15" hidden="1" customHeight="1" x14ac:dyDescent="0.2">
      <c r="A964" s="20" t="s">
        <v>308</v>
      </c>
      <c r="B964" s="61">
        <v>46109.341261574074</v>
      </c>
      <c r="C964" s="20">
        <f t="shared" si="61"/>
        <v>1835</v>
      </c>
      <c r="D964" s="38">
        <f t="shared" si="62"/>
        <v>1</v>
      </c>
      <c r="G964" s="32" t="s">
        <v>109</v>
      </c>
      <c r="H964" s="20" t="s">
        <v>2613</v>
      </c>
      <c r="I964" s="20">
        <v>64277</v>
      </c>
      <c r="J964" s="20">
        <v>112121</v>
      </c>
      <c r="K964" s="20" t="s">
        <v>20</v>
      </c>
      <c r="L964" s="20">
        <v>1</v>
      </c>
      <c r="M964" s="34">
        <v>5000</v>
      </c>
      <c r="N964" s="34">
        <f t="shared" si="63"/>
        <v>5000</v>
      </c>
      <c r="P964" s="20">
        <f t="shared" si="64"/>
        <v>13</v>
      </c>
    </row>
    <row r="965" spans="1:16" ht="15" hidden="1" customHeight="1" x14ac:dyDescent="0.2">
      <c r="A965" s="20" t="s">
        <v>309</v>
      </c>
      <c r="B965" s="61">
        <v>46112.062025462961</v>
      </c>
      <c r="C965" s="20">
        <f t="shared" si="61"/>
        <v>1836</v>
      </c>
      <c r="D965" s="38">
        <f t="shared" si="62"/>
        <v>1</v>
      </c>
      <c r="G965" s="32" t="s">
        <v>109</v>
      </c>
      <c r="H965" s="20" t="s">
        <v>2543</v>
      </c>
      <c r="I965" s="20">
        <v>112121</v>
      </c>
      <c r="J965" s="20">
        <v>5154</v>
      </c>
      <c r="K965" s="20" t="s">
        <v>20</v>
      </c>
      <c r="L965" s="20">
        <v>1</v>
      </c>
      <c r="M965" s="34">
        <v>28236</v>
      </c>
      <c r="N965" s="34">
        <f t="shared" si="63"/>
        <v>28236</v>
      </c>
      <c r="P965" s="20">
        <f t="shared" si="64"/>
        <v>12</v>
      </c>
    </row>
    <row r="966" spans="1:16" ht="15" hidden="1" customHeight="1" x14ac:dyDescent="0.2">
      <c r="A966" s="20" t="s">
        <v>309</v>
      </c>
      <c r="B966" s="61">
        <v>46112.630567129629</v>
      </c>
      <c r="C966" s="20">
        <f t="shared" ref="C966:C970" si="65">C965+D966</f>
        <v>1837</v>
      </c>
      <c r="D966" s="38">
        <f t="shared" ref="D966:D970" si="66">IF(H966=H965,0,1)</f>
        <v>1</v>
      </c>
      <c r="G966" s="32" t="s">
        <v>29</v>
      </c>
      <c r="H966" s="20" t="s">
        <v>2682</v>
      </c>
      <c r="I966" s="20">
        <v>112121</v>
      </c>
      <c r="J966" s="20">
        <v>131</v>
      </c>
      <c r="K966" s="20" t="s">
        <v>20</v>
      </c>
      <c r="L966" s="20">
        <v>1</v>
      </c>
      <c r="M966" s="34">
        <v>66000000</v>
      </c>
      <c r="N966" s="34">
        <f t="shared" si="63"/>
        <v>66000000</v>
      </c>
      <c r="P966" s="20">
        <f t="shared" si="64"/>
        <v>128</v>
      </c>
    </row>
    <row r="967" spans="1:16" ht="15" hidden="1" customHeight="1" x14ac:dyDescent="0.2">
      <c r="A967" s="20" t="s">
        <v>308</v>
      </c>
      <c r="B967" s="61">
        <v>46112.631342592591</v>
      </c>
      <c r="C967" s="20">
        <f t="shared" si="65"/>
        <v>1838</v>
      </c>
      <c r="D967" s="38">
        <f t="shared" si="66"/>
        <v>1</v>
      </c>
      <c r="G967" s="32" t="s">
        <v>71</v>
      </c>
      <c r="H967" s="20" t="s">
        <v>2683</v>
      </c>
      <c r="I967" s="20">
        <v>3388</v>
      </c>
      <c r="J967" s="20">
        <v>112121</v>
      </c>
      <c r="K967" s="20" t="s">
        <v>20</v>
      </c>
      <c r="L967" s="20">
        <v>1</v>
      </c>
      <c r="M967" s="34">
        <v>50000000</v>
      </c>
      <c r="N967" s="34">
        <f t="shared" si="63"/>
        <v>50000000</v>
      </c>
      <c r="P967" s="20">
        <f t="shared" si="64"/>
        <v>16</v>
      </c>
    </row>
    <row r="968" spans="1:16" ht="15" hidden="1" customHeight="1" x14ac:dyDescent="0.2">
      <c r="A968" s="20" t="s">
        <v>309</v>
      </c>
      <c r="B968" s="61">
        <v>46112.632511574076</v>
      </c>
      <c r="C968" s="20">
        <f t="shared" si="65"/>
        <v>1839</v>
      </c>
      <c r="D968" s="38">
        <f t="shared" si="66"/>
        <v>1</v>
      </c>
      <c r="G968" s="32" t="s">
        <v>71</v>
      </c>
      <c r="H968" s="20" t="s">
        <v>2684</v>
      </c>
      <c r="I968" s="20">
        <v>112121</v>
      </c>
      <c r="J968" s="20">
        <v>3388</v>
      </c>
      <c r="K968" s="20" t="s">
        <v>20</v>
      </c>
      <c r="L968" s="20">
        <v>1</v>
      </c>
      <c r="M968" s="34">
        <v>50000000</v>
      </c>
      <c r="N968" s="34">
        <f t="shared" si="63"/>
        <v>50000000</v>
      </c>
      <c r="P968" s="20">
        <f t="shared" si="64"/>
        <v>25</v>
      </c>
    </row>
    <row r="969" spans="1:16" ht="15" hidden="1" customHeight="1" x14ac:dyDescent="0.2">
      <c r="A969" s="20" t="s">
        <v>308</v>
      </c>
      <c r="B969" s="61">
        <v>46112.632719907408</v>
      </c>
      <c r="C969" s="20">
        <f t="shared" si="65"/>
        <v>1840</v>
      </c>
      <c r="D969" s="38">
        <f t="shared" si="66"/>
        <v>1</v>
      </c>
      <c r="G969" s="32" t="s">
        <v>109</v>
      </c>
      <c r="H969" s="20" t="s">
        <v>2611</v>
      </c>
      <c r="I969" s="20">
        <v>1111</v>
      </c>
      <c r="J969" s="20">
        <v>112121</v>
      </c>
      <c r="K969" s="20" t="s">
        <v>20</v>
      </c>
      <c r="L969" s="20">
        <v>1</v>
      </c>
      <c r="M969" s="34">
        <v>50000000</v>
      </c>
      <c r="N969" s="34">
        <f t="shared" si="63"/>
        <v>50000000</v>
      </c>
      <c r="P969" s="20">
        <f t="shared" si="64"/>
        <v>12</v>
      </c>
    </row>
    <row r="970" spans="1:16" ht="15" hidden="1" customHeight="1" x14ac:dyDescent="0.2">
      <c r="A970" s="20" t="s">
        <v>308</v>
      </c>
      <c r="B970" s="61">
        <v>46112.636331018519</v>
      </c>
      <c r="C970" s="20">
        <f t="shared" si="65"/>
        <v>1840</v>
      </c>
      <c r="D970" s="38">
        <f t="shared" si="66"/>
        <v>0</v>
      </c>
      <c r="G970" s="32" t="s">
        <v>109</v>
      </c>
      <c r="H970" s="20" t="s">
        <v>2611</v>
      </c>
      <c r="I970" s="20">
        <v>1111</v>
      </c>
      <c r="J970" s="20">
        <v>112121</v>
      </c>
      <c r="K970" s="20" t="s">
        <v>20</v>
      </c>
      <c r="L970" s="20">
        <v>1</v>
      </c>
      <c r="M970" s="34">
        <v>60000000</v>
      </c>
      <c r="N970" s="34">
        <f t="shared" si="63"/>
        <v>60000000</v>
      </c>
      <c r="P970" s="20">
        <f t="shared" si="64"/>
        <v>12</v>
      </c>
    </row>
  </sheetData>
  <autoFilter ref="A3:Q970" xr:uid="{00000000-0009-0000-0000-00000C000000}">
    <filterColumn colId="8">
      <filters>
        <filter val="333821"/>
      </filters>
    </filterColumn>
    <filterColumn colId="9">
      <filters>
        <filter val="131"/>
      </filters>
    </filterColumn>
  </autoFilter>
  <mergeCells count="13">
    <mergeCell ref="N1:N2"/>
    <mergeCell ref="G1:G2"/>
    <mergeCell ref="H1:H2"/>
    <mergeCell ref="I1:J1"/>
    <mergeCell ref="K1:K2"/>
    <mergeCell ref="L1:L2"/>
    <mergeCell ref="M1:M2"/>
    <mergeCell ref="F1:F2"/>
    <mergeCell ref="A1:A2"/>
    <mergeCell ref="B1:B2"/>
    <mergeCell ref="C1:C2"/>
    <mergeCell ref="D1:D2"/>
    <mergeCell ref="E1:E2"/>
  </mergeCells>
  <hyperlinks>
    <hyperlink ref="P1" location="Summary!A1" display="Back to summary" xr:uid="{00000000-0004-0000-0C00-000000000000}"/>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filterMode="1">
    <tabColor rgb="FF92D050"/>
  </sheetPr>
  <dimension ref="A1:P95"/>
  <sheetViews>
    <sheetView workbookViewId="0">
      <selection activeCell="M48" sqref="M48:M91"/>
    </sheetView>
  </sheetViews>
  <sheetFormatPr defaultRowHeight="15" customHeight="1" x14ac:dyDescent="0.2"/>
  <cols>
    <col min="1" max="1" width="9.140625" style="20"/>
    <col min="2" max="2" width="10.7109375" style="61" bestFit="1" customWidth="1"/>
    <col min="3" max="6" width="9.140625" style="20"/>
    <col min="7" max="7" width="13.140625" style="32" bestFit="1" customWidth="1"/>
    <col min="8" max="8" width="47.5703125" style="20" customWidth="1"/>
    <col min="9" max="12" width="9.140625" style="20"/>
    <col min="13" max="14" width="13.28515625" style="119" bestFit="1" customWidth="1"/>
    <col min="15" max="15" width="11.28515625" style="20" bestFit="1" customWidth="1"/>
    <col min="16" max="16384" width="9.140625" style="20"/>
  </cols>
  <sheetData>
    <row r="1" spans="1:16" ht="15" customHeight="1" thickBot="1" x14ac:dyDescent="0.25">
      <c r="A1" s="194" t="s">
        <v>0</v>
      </c>
      <c r="B1" s="259" t="s">
        <v>1</v>
      </c>
      <c r="C1" s="194" t="s">
        <v>2</v>
      </c>
      <c r="D1" s="192" t="s">
        <v>3</v>
      </c>
      <c r="E1" s="192" t="s">
        <v>4</v>
      </c>
      <c r="F1" s="192" t="s">
        <v>5</v>
      </c>
      <c r="G1" s="201" t="s">
        <v>6</v>
      </c>
      <c r="H1" s="203" t="s">
        <v>7</v>
      </c>
      <c r="I1" s="205" t="s">
        <v>8</v>
      </c>
      <c r="J1" s="206"/>
      <c r="K1" s="194" t="s">
        <v>9</v>
      </c>
      <c r="L1" s="194" t="s">
        <v>10</v>
      </c>
      <c r="M1" s="261" t="s">
        <v>76</v>
      </c>
      <c r="N1" s="261" t="s">
        <v>77</v>
      </c>
      <c r="O1" s="39" t="s">
        <v>78</v>
      </c>
      <c r="P1" s="146" t="s">
        <v>356</v>
      </c>
    </row>
    <row r="2" spans="1:16" ht="15" customHeight="1" thickBot="1" x14ac:dyDescent="0.25">
      <c r="A2" s="195"/>
      <c r="B2" s="260"/>
      <c r="C2" s="195"/>
      <c r="D2" s="198"/>
      <c r="E2" s="198"/>
      <c r="F2" s="193"/>
      <c r="G2" s="202"/>
      <c r="H2" s="204"/>
      <c r="I2" s="40" t="s">
        <v>13</v>
      </c>
      <c r="J2" s="41" t="s">
        <v>14</v>
      </c>
      <c r="K2" s="195"/>
      <c r="L2" s="195"/>
      <c r="M2" s="262"/>
      <c r="N2" s="262"/>
      <c r="O2" s="37" t="s">
        <v>78</v>
      </c>
      <c r="P2" s="37"/>
    </row>
    <row r="3" spans="1:16" ht="15" customHeight="1" x14ac:dyDescent="0.2">
      <c r="A3" s="42"/>
      <c r="B3" s="63"/>
      <c r="C3" s="42">
        <v>356</v>
      </c>
      <c r="D3" s="43"/>
      <c r="E3" s="43"/>
      <c r="F3" s="43"/>
      <c r="G3" s="58" t="s">
        <v>15</v>
      </c>
      <c r="H3" s="44"/>
      <c r="I3" s="44"/>
      <c r="J3" s="44"/>
      <c r="K3" s="42"/>
      <c r="L3" s="42"/>
      <c r="M3" s="163"/>
      <c r="N3" s="163"/>
      <c r="O3" s="37" t="s">
        <v>16</v>
      </c>
      <c r="P3" s="37" t="s">
        <v>17</v>
      </c>
    </row>
    <row r="4" spans="1:16" ht="15" hidden="1" customHeight="1" x14ac:dyDescent="0.2">
      <c r="A4" s="20" t="s">
        <v>309</v>
      </c>
      <c r="B4" s="61" t="s">
        <v>534</v>
      </c>
      <c r="C4" s="20">
        <f t="shared" ref="C4:C35" si="0">C3+D4</f>
        <v>357</v>
      </c>
      <c r="D4" s="38">
        <f t="shared" ref="D4:D35" si="1">IF(H4=H3,0,1)</f>
        <v>1</v>
      </c>
      <c r="G4" s="164" t="s">
        <v>2084</v>
      </c>
      <c r="H4" s="20" t="s">
        <v>3487</v>
      </c>
      <c r="I4" s="20">
        <v>112111</v>
      </c>
      <c r="J4" s="20">
        <v>131</v>
      </c>
      <c r="K4" s="20" t="s">
        <v>20</v>
      </c>
      <c r="L4" s="20">
        <v>1</v>
      </c>
      <c r="M4" s="119">
        <v>13093548</v>
      </c>
      <c r="N4" s="119">
        <f t="shared" ref="N4:N35" si="2">M4*L4</f>
        <v>13093548</v>
      </c>
      <c r="P4" s="20">
        <f t="shared" ref="P4:P35" si="3">LEN(H4)</f>
        <v>165</v>
      </c>
    </row>
    <row r="5" spans="1:16" ht="15" hidden="1" customHeight="1" x14ac:dyDescent="0.2">
      <c r="A5" s="20" t="s">
        <v>309</v>
      </c>
      <c r="B5" s="61" t="s">
        <v>644</v>
      </c>
      <c r="C5" s="20">
        <f t="shared" si="0"/>
        <v>358</v>
      </c>
      <c r="D5" s="38">
        <f t="shared" si="1"/>
        <v>1</v>
      </c>
      <c r="G5" s="164" t="s">
        <v>26</v>
      </c>
      <c r="H5" s="20" t="s">
        <v>3486</v>
      </c>
      <c r="I5" s="20">
        <v>112111</v>
      </c>
      <c r="J5" s="20">
        <v>131</v>
      </c>
      <c r="K5" s="20" t="s">
        <v>20</v>
      </c>
      <c r="L5" s="20">
        <v>1</v>
      </c>
      <c r="M5" s="119">
        <v>13306452</v>
      </c>
      <c r="N5" s="119">
        <f t="shared" si="2"/>
        <v>13306452</v>
      </c>
      <c r="P5" s="20">
        <f t="shared" si="3"/>
        <v>174</v>
      </c>
    </row>
    <row r="6" spans="1:16" ht="15" hidden="1" customHeight="1" x14ac:dyDescent="0.2">
      <c r="A6" s="20" t="s">
        <v>309</v>
      </c>
      <c r="B6" s="61" t="s">
        <v>659</v>
      </c>
      <c r="C6" s="20">
        <f t="shared" si="0"/>
        <v>359</v>
      </c>
      <c r="D6" s="38">
        <f t="shared" si="1"/>
        <v>1</v>
      </c>
      <c r="G6" s="164" t="s">
        <v>105</v>
      </c>
      <c r="H6" s="20" t="s">
        <v>3250</v>
      </c>
      <c r="I6" s="20">
        <v>112111</v>
      </c>
      <c r="J6" s="20">
        <v>5154</v>
      </c>
      <c r="K6" s="20" t="s">
        <v>20</v>
      </c>
      <c r="L6" s="20">
        <v>1</v>
      </c>
      <c r="M6" s="119">
        <v>3145</v>
      </c>
      <c r="N6" s="119">
        <f t="shared" si="2"/>
        <v>3145</v>
      </c>
      <c r="P6" s="20">
        <f t="shared" si="3"/>
        <v>13</v>
      </c>
    </row>
    <row r="7" spans="1:16" ht="15" hidden="1" customHeight="1" x14ac:dyDescent="0.2">
      <c r="A7" s="20" t="s">
        <v>309</v>
      </c>
      <c r="B7" s="61" t="s">
        <v>497</v>
      </c>
      <c r="C7" s="20">
        <f t="shared" si="0"/>
        <v>360</v>
      </c>
      <c r="D7" s="38">
        <f t="shared" si="1"/>
        <v>1</v>
      </c>
      <c r="G7" s="164" t="s">
        <v>1523</v>
      </c>
      <c r="H7" s="20" t="s">
        <v>3488</v>
      </c>
      <c r="I7" s="20">
        <v>112111</v>
      </c>
      <c r="J7" s="20">
        <v>131</v>
      </c>
      <c r="K7" s="20" t="s">
        <v>20</v>
      </c>
      <c r="L7" s="20">
        <v>1</v>
      </c>
      <c r="M7" s="119">
        <v>31900000</v>
      </c>
      <c r="N7" s="119">
        <f t="shared" si="2"/>
        <v>31900000</v>
      </c>
      <c r="P7" s="20">
        <f t="shared" si="3"/>
        <v>149</v>
      </c>
    </row>
    <row r="8" spans="1:16" ht="15" hidden="1" customHeight="1" x14ac:dyDescent="0.2">
      <c r="A8" s="20" t="s">
        <v>309</v>
      </c>
      <c r="B8" s="61" t="s">
        <v>498</v>
      </c>
      <c r="C8" s="20">
        <f t="shared" si="0"/>
        <v>361</v>
      </c>
      <c r="D8" s="38">
        <f t="shared" si="1"/>
        <v>1</v>
      </c>
      <c r="G8" s="164" t="s">
        <v>29</v>
      </c>
      <c r="H8" s="20" t="s">
        <v>3489</v>
      </c>
      <c r="I8" s="20">
        <v>112111</v>
      </c>
      <c r="J8" s="20">
        <v>131</v>
      </c>
      <c r="K8" s="20" t="s">
        <v>20</v>
      </c>
      <c r="L8" s="20">
        <v>1</v>
      </c>
      <c r="M8" s="119">
        <v>25300000</v>
      </c>
      <c r="N8" s="119">
        <f t="shared" si="2"/>
        <v>25300000</v>
      </c>
      <c r="P8" s="20">
        <f t="shared" si="3"/>
        <v>133</v>
      </c>
    </row>
    <row r="9" spans="1:16" ht="15" hidden="1" customHeight="1" x14ac:dyDescent="0.2">
      <c r="A9" s="20" t="s">
        <v>309</v>
      </c>
      <c r="B9" s="61" t="s">
        <v>438</v>
      </c>
      <c r="C9" s="20">
        <f t="shared" si="0"/>
        <v>362</v>
      </c>
      <c r="D9" s="38">
        <f t="shared" si="1"/>
        <v>1</v>
      </c>
      <c r="G9" s="164" t="s">
        <v>1525</v>
      </c>
      <c r="H9" s="20" t="s">
        <v>3491</v>
      </c>
      <c r="I9" s="20">
        <v>112111</v>
      </c>
      <c r="J9" s="20">
        <v>131</v>
      </c>
      <c r="K9" s="20" t="s">
        <v>20</v>
      </c>
      <c r="L9" s="20">
        <v>1</v>
      </c>
      <c r="M9" s="119">
        <v>16500000</v>
      </c>
      <c r="N9" s="119">
        <f t="shared" si="2"/>
        <v>16500000</v>
      </c>
      <c r="P9" s="20">
        <f t="shared" si="3"/>
        <v>169</v>
      </c>
    </row>
    <row r="10" spans="1:16" ht="15" hidden="1" customHeight="1" x14ac:dyDescent="0.2">
      <c r="A10" s="20" t="s">
        <v>309</v>
      </c>
      <c r="B10" s="61" t="s">
        <v>438</v>
      </c>
      <c r="C10" s="20">
        <f t="shared" si="0"/>
        <v>363</v>
      </c>
      <c r="D10" s="38">
        <f t="shared" si="1"/>
        <v>1</v>
      </c>
      <c r="G10" s="164" t="s">
        <v>29</v>
      </c>
      <c r="H10" s="20" t="s">
        <v>3490</v>
      </c>
      <c r="I10" s="20">
        <v>112111</v>
      </c>
      <c r="J10" s="20">
        <v>131</v>
      </c>
      <c r="K10" s="20" t="s">
        <v>20</v>
      </c>
      <c r="L10" s="20">
        <v>1</v>
      </c>
      <c r="M10" s="119">
        <v>13200000</v>
      </c>
      <c r="N10" s="119">
        <f t="shared" si="2"/>
        <v>13200000</v>
      </c>
      <c r="P10" s="20">
        <f t="shared" si="3"/>
        <v>141</v>
      </c>
    </row>
    <row r="11" spans="1:16" ht="15" hidden="1" customHeight="1" x14ac:dyDescent="0.2">
      <c r="A11" s="20" t="s">
        <v>309</v>
      </c>
      <c r="B11" s="61" t="s">
        <v>547</v>
      </c>
      <c r="C11" s="20">
        <f t="shared" si="0"/>
        <v>364</v>
      </c>
      <c r="D11" s="38">
        <f t="shared" si="1"/>
        <v>1</v>
      </c>
      <c r="G11" s="164" t="s">
        <v>249</v>
      </c>
      <c r="H11" s="20" t="s">
        <v>3492</v>
      </c>
      <c r="I11" s="20">
        <v>112111</v>
      </c>
      <c r="J11" s="20">
        <v>131</v>
      </c>
      <c r="K11" s="20" t="s">
        <v>20</v>
      </c>
      <c r="L11" s="20">
        <v>1</v>
      </c>
      <c r="M11" s="119">
        <v>14300000</v>
      </c>
      <c r="N11" s="119">
        <f t="shared" si="2"/>
        <v>14300000</v>
      </c>
      <c r="P11" s="20">
        <f t="shared" si="3"/>
        <v>141</v>
      </c>
    </row>
    <row r="12" spans="1:16" ht="15" hidden="1" customHeight="1" x14ac:dyDescent="0.2">
      <c r="A12" s="20" t="s">
        <v>309</v>
      </c>
      <c r="B12" s="61" t="s">
        <v>500</v>
      </c>
      <c r="C12" s="20">
        <f t="shared" si="0"/>
        <v>365</v>
      </c>
      <c r="D12" s="38">
        <f t="shared" si="1"/>
        <v>1</v>
      </c>
      <c r="G12" s="164" t="s">
        <v>105</v>
      </c>
      <c r="H12" s="20" t="s">
        <v>3250</v>
      </c>
      <c r="I12" s="20">
        <v>112111</v>
      </c>
      <c r="J12" s="20">
        <v>5154</v>
      </c>
      <c r="K12" s="20" t="s">
        <v>20</v>
      </c>
      <c r="L12" s="20">
        <v>1</v>
      </c>
      <c r="M12" s="119">
        <v>7578</v>
      </c>
      <c r="N12" s="119">
        <f t="shared" si="2"/>
        <v>7578</v>
      </c>
      <c r="P12" s="20">
        <f t="shared" si="3"/>
        <v>13</v>
      </c>
    </row>
    <row r="13" spans="1:16" ht="15" hidden="1" customHeight="1" x14ac:dyDescent="0.2">
      <c r="A13" s="20" t="s">
        <v>309</v>
      </c>
      <c r="B13" s="61" t="s">
        <v>551</v>
      </c>
      <c r="C13" s="20">
        <f t="shared" si="0"/>
        <v>366</v>
      </c>
      <c r="D13" s="38">
        <f t="shared" si="1"/>
        <v>1</v>
      </c>
      <c r="G13" s="164" t="s">
        <v>53</v>
      </c>
      <c r="H13" s="20" t="s">
        <v>3493</v>
      </c>
      <c r="I13" s="20">
        <v>112111</v>
      </c>
      <c r="J13" s="20">
        <v>131</v>
      </c>
      <c r="K13" s="20" t="s">
        <v>20</v>
      </c>
      <c r="L13" s="20">
        <v>1</v>
      </c>
      <c r="M13" s="119">
        <v>14300000</v>
      </c>
      <c r="N13" s="119">
        <f t="shared" si="2"/>
        <v>14300000</v>
      </c>
      <c r="P13" s="20">
        <f t="shared" si="3"/>
        <v>165</v>
      </c>
    </row>
    <row r="14" spans="1:16" ht="15" hidden="1" customHeight="1" x14ac:dyDescent="0.2">
      <c r="A14" s="20" t="s">
        <v>309</v>
      </c>
      <c r="B14" s="61" t="s">
        <v>554</v>
      </c>
      <c r="C14" s="20">
        <f t="shared" si="0"/>
        <v>367</v>
      </c>
      <c r="D14" s="38">
        <f t="shared" si="1"/>
        <v>1</v>
      </c>
      <c r="G14" s="164" t="s">
        <v>769</v>
      </c>
      <c r="H14" s="20" t="s">
        <v>3494</v>
      </c>
      <c r="I14" s="20">
        <v>112111</v>
      </c>
      <c r="J14" s="20">
        <v>131</v>
      </c>
      <c r="K14" s="20" t="s">
        <v>20</v>
      </c>
      <c r="L14" s="20">
        <v>1</v>
      </c>
      <c r="M14" s="119">
        <v>14300000</v>
      </c>
      <c r="N14" s="119">
        <f t="shared" si="2"/>
        <v>14300000</v>
      </c>
      <c r="P14" s="20">
        <f t="shared" si="3"/>
        <v>99</v>
      </c>
    </row>
    <row r="15" spans="1:16" ht="15" hidden="1" customHeight="1" x14ac:dyDescent="0.2">
      <c r="A15" s="20" t="s">
        <v>309</v>
      </c>
      <c r="B15" s="61" t="s">
        <v>664</v>
      </c>
      <c r="C15" s="20">
        <f t="shared" si="0"/>
        <v>368</v>
      </c>
      <c r="D15" s="38">
        <f t="shared" si="1"/>
        <v>1</v>
      </c>
      <c r="G15" s="164" t="s">
        <v>43</v>
      </c>
      <c r="H15" s="20" t="s">
        <v>3495</v>
      </c>
      <c r="I15" s="20">
        <v>112111</v>
      </c>
      <c r="J15" s="20">
        <v>131</v>
      </c>
      <c r="K15" s="20" t="s">
        <v>20</v>
      </c>
      <c r="L15" s="20">
        <v>1</v>
      </c>
      <c r="M15" s="119">
        <v>13200000</v>
      </c>
      <c r="N15" s="119">
        <f t="shared" si="2"/>
        <v>13200000</v>
      </c>
      <c r="P15" s="20">
        <f t="shared" si="3"/>
        <v>180</v>
      </c>
    </row>
    <row r="16" spans="1:16" ht="15" hidden="1" customHeight="1" x14ac:dyDescent="0.2">
      <c r="A16" s="20" t="s">
        <v>309</v>
      </c>
      <c r="B16" s="61" t="s">
        <v>506</v>
      </c>
      <c r="C16" s="20">
        <f t="shared" si="0"/>
        <v>369</v>
      </c>
      <c r="D16" s="38">
        <f t="shared" si="1"/>
        <v>1</v>
      </c>
      <c r="G16" s="164" t="s">
        <v>105</v>
      </c>
      <c r="H16" s="20" t="s">
        <v>3250</v>
      </c>
      <c r="I16" s="20">
        <v>112111</v>
      </c>
      <c r="J16" s="20">
        <v>5154</v>
      </c>
      <c r="K16" s="20" t="s">
        <v>20</v>
      </c>
      <c r="L16" s="20">
        <v>1</v>
      </c>
      <c r="M16" s="119">
        <v>3490</v>
      </c>
      <c r="N16" s="119">
        <f t="shared" si="2"/>
        <v>3490</v>
      </c>
      <c r="P16" s="20">
        <f t="shared" si="3"/>
        <v>13</v>
      </c>
    </row>
    <row r="17" spans="1:16" ht="15" hidden="1" customHeight="1" x14ac:dyDescent="0.2">
      <c r="A17" s="20" t="s">
        <v>309</v>
      </c>
      <c r="B17" s="61" t="s">
        <v>560</v>
      </c>
      <c r="C17" s="20">
        <f t="shared" si="0"/>
        <v>370</v>
      </c>
      <c r="D17" s="38">
        <f t="shared" si="1"/>
        <v>1</v>
      </c>
      <c r="G17" s="164" t="s">
        <v>73</v>
      </c>
      <c r="H17" s="20" t="s">
        <v>3496</v>
      </c>
      <c r="I17" s="20">
        <v>112111</v>
      </c>
      <c r="J17" s="20">
        <v>131</v>
      </c>
      <c r="K17" s="20" t="s">
        <v>20</v>
      </c>
      <c r="L17" s="20">
        <v>1</v>
      </c>
      <c r="M17" s="119">
        <v>14850000</v>
      </c>
      <c r="N17" s="119">
        <f t="shared" si="2"/>
        <v>14850000</v>
      </c>
      <c r="P17" s="20">
        <f t="shared" si="3"/>
        <v>190</v>
      </c>
    </row>
    <row r="18" spans="1:16" ht="15" hidden="1" customHeight="1" x14ac:dyDescent="0.2">
      <c r="A18" s="20" t="s">
        <v>309</v>
      </c>
      <c r="B18" s="61" t="s">
        <v>481</v>
      </c>
      <c r="C18" s="20">
        <f t="shared" si="0"/>
        <v>371</v>
      </c>
      <c r="D18" s="38">
        <f t="shared" si="1"/>
        <v>1</v>
      </c>
      <c r="G18" s="164" t="s">
        <v>1533</v>
      </c>
      <c r="H18" s="20" t="s">
        <v>3497</v>
      </c>
      <c r="I18" s="20">
        <v>112111</v>
      </c>
      <c r="J18" s="20">
        <v>131</v>
      </c>
      <c r="K18" s="20" t="s">
        <v>20</v>
      </c>
      <c r="L18" s="20">
        <v>1</v>
      </c>
      <c r="M18" s="119">
        <v>18370000</v>
      </c>
      <c r="N18" s="119">
        <f t="shared" si="2"/>
        <v>18370000</v>
      </c>
      <c r="P18" s="20">
        <f t="shared" si="3"/>
        <v>144</v>
      </c>
    </row>
    <row r="19" spans="1:16" ht="15" hidden="1" customHeight="1" x14ac:dyDescent="0.2">
      <c r="A19" s="20" t="s">
        <v>308</v>
      </c>
      <c r="B19" s="61" t="s">
        <v>710</v>
      </c>
      <c r="C19" s="20">
        <f t="shared" si="0"/>
        <v>372</v>
      </c>
      <c r="D19" s="38">
        <f t="shared" si="1"/>
        <v>1</v>
      </c>
      <c r="G19" s="164" t="s">
        <v>105</v>
      </c>
      <c r="H19" s="20" t="s">
        <v>3032</v>
      </c>
      <c r="I19" s="20">
        <v>1111</v>
      </c>
      <c r="J19" s="20">
        <v>112111</v>
      </c>
      <c r="K19" s="20" t="s">
        <v>20</v>
      </c>
      <c r="L19" s="20">
        <v>1</v>
      </c>
      <c r="M19" s="119">
        <v>26000000</v>
      </c>
      <c r="N19" s="119">
        <f t="shared" si="2"/>
        <v>26000000</v>
      </c>
      <c r="P19" s="20">
        <f t="shared" si="3"/>
        <v>40</v>
      </c>
    </row>
    <row r="20" spans="1:16" ht="15" hidden="1" customHeight="1" x14ac:dyDescent="0.2">
      <c r="A20" s="20" t="s">
        <v>308</v>
      </c>
      <c r="B20" s="61" t="s">
        <v>540</v>
      </c>
      <c r="C20" s="20">
        <f t="shared" si="0"/>
        <v>372</v>
      </c>
      <c r="D20" s="38">
        <f t="shared" si="1"/>
        <v>0</v>
      </c>
      <c r="G20" s="164" t="s">
        <v>105</v>
      </c>
      <c r="H20" s="20" t="s">
        <v>3032</v>
      </c>
      <c r="I20" s="20">
        <v>1111</v>
      </c>
      <c r="J20" s="20">
        <v>112111</v>
      </c>
      <c r="K20" s="20" t="s">
        <v>20</v>
      </c>
      <c r="L20" s="20">
        <v>1</v>
      </c>
      <c r="M20" s="119">
        <v>57000000</v>
      </c>
      <c r="N20" s="119">
        <f t="shared" si="2"/>
        <v>57000000</v>
      </c>
      <c r="P20" s="20">
        <f t="shared" si="3"/>
        <v>40</v>
      </c>
    </row>
    <row r="21" spans="1:16" ht="15" hidden="1" customHeight="1" x14ac:dyDescent="0.2">
      <c r="A21" s="20" t="s">
        <v>308</v>
      </c>
      <c r="B21" s="61" t="s">
        <v>660</v>
      </c>
      <c r="C21" s="20">
        <f t="shared" si="0"/>
        <v>372</v>
      </c>
      <c r="D21" s="38">
        <f t="shared" si="1"/>
        <v>0</v>
      </c>
      <c r="G21" s="164" t="s">
        <v>105</v>
      </c>
      <c r="H21" s="20" t="s">
        <v>3032</v>
      </c>
      <c r="I21" s="20">
        <v>1111</v>
      </c>
      <c r="J21" s="20">
        <v>112111</v>
      </c>
      <c r="K21" s="20" t="s">
        <v>20</v>
      </c>
      <c r="L21" s="20">
        <v>1</v>
      </c>
      <c r="M21" s="119">
        <v>30000000</v>
      </c>
      <c r="N21" s="119">
        <f t="shared" si="2"/>
        <v>30000000</v>
      </c>
      <c r="P21" s="20">
        <f t="shared" si="3"/>
        <v>40</v>
      </c>
    </row>
    <row r="22" spans="1:16" ht="15" hidden="1" customHeight="1" x14ac:dyDescent="0.2">
      <c r="A22" s="20" t="s">
        <v>308</v>
      </c>
      <c r="B22" s="61" t="s">
        <v>500</v>
      </c>
      <c r="C22" s="20">
        <f t="shared" si="0"/>
        <v>373</v>
      </c>
      <c r="D22" s="38">
        <f t="shared" si="1"/>
        <v>1</v>
      </c>
      <c r="G22" s="164" t="s">
        <v>105</v>
      </c>
      <c r="H22" s="20" t="s">
        <v>2612</v>
      </c>
      <c r="I22" s="20">
        <v>3383</v>
      </c>
      <c r="J22" s="20">
        <v>112111</v>
      </c>
      <c r="K22" s="20" t="s">
        <v>20</v>
      </c>
      <c r="L22" s="20">
        <v>1</v>
      </c>
      <c r="M22" s="119">
        <v>690300</v>
      </c>
      <c r="N22" s="119">
        <f t="shared" si="2"/>
        <v>690300</v>
      </c>
      <c r="P22" s="20">
        <f t="shared" si="3"/>
        <v>8</v>
      </c>
    </row>
    <row r="23" spans="1:16" ht="15" hidden="1" customHeight="1" x14ac:dyDescent="0.2">
      <c r="A23" s="20" t="s">
        <v>308</v>
      </c>
      <c r="B23" s="61" t="s">
        <v>478</v>
      </c>
      <c r="C23" s="20">
        <f t="shared" si="0"/>
        <v>374</v>
      </c>
      <c r="D23" s="38">
        <f t="shared" si="1"/>
        <v>1</v>
      </c>
      <c r="G23" s="164" t="s">
        <v>105</v>
      </c>
      <c r="H23" s="20" t="s">
        <v>3032</v>
      </c>
      <c r="I23" s="20">
        <v>1111</v>
      </c>
      <c r="J23" s="20">
        <v>112111</v>
      </c>
      <c r="K23" s="20" t="s">
        <v>20</v>
      </c>
      <c r="L23" s="20">
        <v>1</v>
      </c>
      <c r="M23" s="119">
        <v>13000000</v>
      </c>
      <c r="N23" s="119">
        <f t="shared" si="2"/>
        <v>13000000</v>
      </c>
      <c r="P23" s="20">
        <f t="shared" si="3"/>
        <v>40</v>
      </c>
    </row>
    <row r="24" spans="1:16" ht="15" hidden="1" customHeight="1" x14ac:dyDescent="0.2">
      <c r="A24" s="20" t="s">
        <v>308</v>
      </c>
      <c r="B24" s="61" t="s">
        <v>551</v>
      </c>
      <c r="C24" s="20">
        <f t="shared" si="0"/>
        <v>374</v>
      </c>
      <c r="D24" s="38">
        <f t="shared" si="1"/>
        <v>0</v>
      </c>
      <c r="G24" s="164" t="s">
        <v>105</v>
      </c>
      <c r="H24" s="20" t="s">
        <v>3032</v>
      </c>
      <c r="I24" s="20">
        <v>1111</v>
      </c>
      <c r="J24" s="20">
        <v>112111</v>
      </c>
      <c r="K24" s="20" t="s">
        <v>20</v>
      </c>
      <c r="L24" s="20">
        <v>1</v>
      </c>
      <c r="M24" s="119">
        <v>14000000</v>
      </c>
      <c r="N24" s="119">
        <f t="shared" si="2"/>
        <v>14000000</v>
      </c>
      <c r="P24" s="20">
        <f t="shared" si="3"/>
        <v>40</v>
      </c>
    </row>
    <row r="25" spans="1:16" ht="15" hidden="1" customHeight="1" x14ac:dyDescent="0.2">
      <c r="A25" s="20" t="s">
        <v>308</v>
      </c>
      <c r="B25" s="61" t="s">
        <v>559</v>
      </c>
      <c r="C25" s="20">
        <f t="shared" si="0"/>
        <v>374</v>
      </c>
      <c r="D25" s="38">
        <f t="shared" si="1"/>
        <v>0</v>
      </c>
      <c r="G25" s="164" t="s">
        <v>105</v>
      </c>
      <c r="H25" s="20" t="s">
        <v>3032</v>
      </c>
      <c r="I25" s="20">
        <v>1111</v>
      </c>
      <c r="J25" s="20">
        <v>112111</v>
      </c>
      <c r="K25" s="20" t="s">
        <v>20</v>
      </c>
      <c r="L25" s="20">
        <v>1</v>
      </c>
      <c r="M25" s="119">
        <v>14000000</v>
      </c>
      <c r="N25" s="119">
        <f t="shared" si="2"/>
        <v>14000000</v>
      </c>
      <c r="P25" s="20">
        <f t="shared" si="3"/>
        <v>40</v>
      </c>
    </row>
    <row r="26" spans="1:16" ht="15" hidden="1" customHeight="1" x14ac:dyDescent="0.2">
      <c r="A26" s="20" t="s">
        <v>308</v>
      </c>
      <c r="B26" s="61" t="s">
        <v>507</v>
      </c>
      <c r="C26" s="20">
        <f t="shared" si="0"/>
        <v>374</v>
      </c>
      <c r="D26" s="38">
        <f t="shared" si="1"/>
        <v>0</v>
      </c>
      <c r="G26" s="164" t="s">
        <v>105</v>
      </c>
      <c r="H26" s="20" t="s">
        <v>3032</v>
      </c>
      <c r="I26" s="20">
        <v>1111</v>
      </c>
      <c r="J26" s="20">
        <v>112111</v>
      </c>
      <c r="K26" s="20" t="s">
        <v>20</v>
      </c>
      <c r="L26" s="20">
        <v>1</v>
      </c>
      <c r="M26" s="119">
        <v>45000000</v>
      </c>
      <c r="N26" s="119">
        <f t="shared" si="2"/>
        <v>45000000</v>
      </c>
      <c r="P26" s="20">
        <f t="shared" si="3"/>
        <v>40</v>
      </c>
    </row>
    <row r="27" spans="1:16" ht="15" hidden="1" customHeight="1" x14ac:dyDescent="0.2">
      <c r="A27" s="20" t="s">
        <v>310</v>
      </c>
      <c r="B27" s="61">
        <v>46026</v>
      </c>
      <c r="C27" s="20">
        <f t="shared" si="0"/>
        <v>375</v>
      </c>
      <c r="D27" s="38">
        <f t="shared" si="1"/>
        <v>1</v>
      </c>
      <c r="G27" s="32" t="s">
        <v>35</v>
      </c>
      <c r="H27" s="20" t="s">
        <v>3501</v>
      </c>
      <c r="I27" s="20">
        <v>331</v>
      </c>
      <c r="J27" s="20">
        <v>1111</v>
      </c>
      <c r="K27" s="20" t="s">
        <v>20</v>
      </c>
      <c r="L27" s="20">
        <v>1</v>
      </c>
      <c r="M27" s="119">
        <v>2700000</v>
      </c>
      <c r="N27" s="119">
        <f t="shared" si="2"/>
        <v>2700000</v>
      </c>
      <c r="P27" s="20">
        <f t="shared" si="3"/>
        <v>51</v>
      </c>
    </row>
    <row r="28" spans="1:16" ht="15" hidden="1" customHeight="1" x14ac:dyDescent="0.2">
      <c r="A28" s="20" t="s">
        <v>310</v>
      </c>
      <c r="B28" s="61">
        <v>46027</v>
      </c>
      <c r="C28" s="20">
        <f t="shared" si="0"/>
        <v>376</v>
      </c>
      <c r="D28" s="38">
        <f t="shared" si="1"/>
        <v>1</v>
      </c>
      <c r="G28" s="32" t="s">
        <v>1509</v>
      </c>
      <c r="H28" s="20" t="s">
        <v>3502</v>
      </c>
      <c r="I28" s="20">
        <v>331</v>
      </c>
      <c r="J28" s="20">
        <v>1111</v>
      </c>
      <c r="K28" s="20" t="s">
        <v>20</v>
      </c>
      <c r="L28" s="20">
        <v>1</v>
      </c>
      <c r="M28" s="119">
        <v>345600</v>
      </c>
      <c r="N28" s="119">
        <f t="shared" si="2"/>
        <v>345600</v>
      </c>
      <c r="P28" s="20">
        <f t="shared" si="3"/>
        <v>164</v>
      </c>
    </row>
    <row r="29" spans="1:16" ht="15" hidden="1" customHeight="1" x14ac:dyDescent="0.2">
      <c r="A29" s="20" t="s">
        <v>310</v>
      </c>
      <c r="B29" s="61">
        <v>46029</v>
      </c>
      <c r="C29" s="20">
        <f t="shared" si="0"/>
        <v>377</v>
      </c>
      <c r="D29" s="38">
        <f t="shared" si="1"/>
        <v>1</v>
      </c>
      <c r="G29" s="32" t="s">
        <v>25</v>
      </c>
      <c r="H29" s="20" t="s">
        <v>3503</v>
      </c>
      <c r="I29" s="20">
        <v>331</v>
      </c>
      <c r="J29" s="20">
        <v>1111</v>
      </c>
      <c r="K29" s="20" t="s">
        <v>20</v>
      </c>
      <c r="L29" s="20">
        <v>1</v>
      </c>
      <c r="M29" s="119">
        <v>2353320</v>
      </c>
      <c r="N29" s="119">
        <f t="shared" si="2"/>
        <v>2353320</v>
      </c>
      <c r="P29" s="20">
        <f t="shared" si="3"/>
        <v>144</v>
      </c>
    </row>
    <row r="30" spans="1:16" ht="15" hidden="1" customHeight="1" x14ac:dyDescent="0.2">
      <c r="A30" s="20" t="s">
        <v>310</v>
      </c>
      <c r="B30" s="61">
        <v>46037</v>
      </c>
      <c r="C30" s="20">
        <f t="shared" si="0"/>
        <v>378</v>
      </c>
      <c r="D30" s="38">
        <f t="shared" si="1"/>
        <v>1</v>
      </c>
      <c r="G30" s="32" t="s">
        <v>233</v>
      </c>
      <c r="H30" s="20" t="s">
        <v>3504</v>
      </c>
      <c r="I30" s="20">
        <v>331</v>
      </c>
      <c r="J30" s="20">
        <v>1111</v>
      </c>
      <c r="K30" s="20" t="s">
        <v>20</v>
      </c>
      <c r="L30" s="20">
        <v>1</v>
      </c>
      <c r="M30" s="119">
        <v>11563379</v>
      </c>
      <c r="N30" s="119">
        <f t="shared" si="2"/>
        <v>11563379</v>
      </c>
      <c r="P30" s="20">
        <f t="shared" si="3"/>
        <v>39</v>
      </c>
    </row>
    <row r="31" spans="1:16" ht="15" hidden="1" customHeight="1" x14ac:dyDescent="0.2">
      <c r="A31" s="20" t="s">
        <v>310</v>
      </c>
      <c r="B31" s="61">
        <v>46042</v>
      </c>
      <c r="C31" s="20">
        <f t="shared" si="0"/>
        <v>379</v>
      </c>
      <c r="D31" s="38">
        <f t="shared" si="1"/>
        <v>1</v>
      </c>
      <c r="G31" s="32" t="s">
        <v>1513</v>
      </c>
      <c r="H31" s="20" t="s">
        <v>3505</v>
      </c>
      <c r="I31" s="20">
        <v>331</v>
      </c>
      <c r="J31" s="20">
        <v>1111</v>
      </c>
      <c r="K31" s="20" t="s">
        <v>20</v>
      </c>
      <c r="L31" s="20">
        <v>1</v>
      </c>
      <c r="M31" s="119">
        <v>962766</v>
      </c>
      <c r="N31" s="119">
        <f t="shared" si="2"/>
        <v>962766</v>
      </c>
      <c r="P31" s="20">
        <f t="shared" si="3"/>
        <v>199</v>
      </c>
    </row>
    <row r="32" spans="1:16" ht="15" hidden="1" customHeight="1" x14ac:dyDescent="0.2">
      <c r="A32" s="20" t="s">
        <v>310</v>
      </c>
      <c r="B32" s="61">
        <v>46052</v>
      </c>
      <c r="C32" s="20">
        <f t="shared" si="0"/>
        <v>380</v>
      </c>
      <c r="D32" s="38">
        <f t="shared" si="1"/>
        <v>1</v>
      </c>
      <c r="G32" s="32" t="s">
        <v>35</v>
      </c>
      <c r="H32" s="20" t="s">
        <v>3506</v>
      </c>
      <c r="I32" s="20">
        <v>331</v>
      </c>
      <c r="J32" s="20">
        <v>1111</v>
      </c>
      <c r="K32" s="20" t="s">
        <v>20</v>
      </c>
      <c r="L32" s="20">
        <v>1</v>
      </c>
      <c r="M32" s="119">
        <v>2700000</v>
      </c>
      <c r="N32" s="119">
        <f t="shared" si="2"/>
        <v>2700000</v>
      </c>
      <c r="P32" s="20">
        <f t="shared" si="3"/>
        <v>52</v>
      </c>
    </row>
    <row r="33" spans="1:16" ht="15" hidden="1" customHeight="1" x14ac:dyDescent="0.2">
      <c r="A33" s="20" t="s">
        <v>310</v>
      </c>
      <c r="B33" s="61">
        <v>46063</v>
      </c>
      <c r="C33" s="20">
        <f t="shared" si="0"/>
        <v>381</v>
      </c>
      <c r="D33" s="38">
        <f t="shared" si="1"/>
        <v>1</v>
      </c>
      <c r="G33" s="32" t="s">
        <v>52</v>
      </c>
      <c r="H33" s="20" t="s">
        <v>3507</v>
      </c>
      <c r="I33" s="20">
        <v>331</v>
      </c>
      <c r="J33" s="20">
        <v>1111</v>
      </c>
      <c r="K33" s="20" t="s">
        <v>20</v>
      </c>
      <c r="L33" s="20">
        <v>1</v>
      </c>
      <c r="M33" s="119">
        <v>1040364</v>
      </c>
      <c r="N33" s="119">
        <f t="shared" si="2"/>
        <v>1040364</v>
      </c>
      <c r="P33" s="20">
        <f t="shared" si="3"/>
        <v>164</v>
      </c>
    </row>
    <row r="34" spans="1:16" ht="15" hidden="1" customHeight="1" x14ac:dyDescent="0.2">
      <c r="A34" s="20" t="s">
        <v>310</v>
      </c>
      <c r="B34" s="61">
        <v>46065</v>
      </c>
      <c r="C34" s="20">
        <f t="shared" si="0"/>
        <v>382</v>
      </c>
      <c r="D34" s="38">
        <f t="shared" si="1"/>
        <v>1</v>
      </c>
      <c r="G34" s="32" t="s">
        <v>61</v>
      </c>
      <c r="H34" s="20" t="s">
        <v>3526</v>
      </c>
      <c r="I34" s="20">
        <v>331</v>
      </c>
      <c r="J34" s="20">
        <v>1111</v>
      </c>
      <c r="K34" s="20" t="s">
        <v>20</v>
      </c>
      <c r="L34" s="20">
        <v>1</v>
      </c>
      <c r="M34" s="119">
        <v>829440</v>
      </c>
      <c r="N34" s="119">
        <f t="shared" si="2"/>
        <v>829440</v>
      </c>
      <c r="P34" s="20">
        <f t="shared" si="3"/>
        <v>52</v>
      </c>
    </row>
    <row r="35" spans="1:16" ht="15" hidden="1" customHeight="1" x14ac:dyDescent="0.2">
      <c r="A35" s="20" t="s">
        <v>310</v>
      </c>
      <c r="B35" s="61">
        <v>46085</v>
      </c>
      <c r="C35" s="20">
        <f t="shared" si="0"/>
        <v>383</v>
      </c>
      <c r="D35" s="38">
        <f t="shared" si="1"/>
        <v>1</v>
      </c>
      <c r="G35" s="20" t="s">
        <v>35</v>
      </c>
      <c r="H35" s="20" t="s">
        <v>3508</v>
      </c>
      <c r="I35" s="20">
        <v>331</v>
      </c>
      <c r="J35" s="20">
        <v>1111</v>
      </c>
      <c r="K35" s="20" t="s">
        <v>20</v>
      </c>
      <c r="L35" s="20">
        <v>1</v>
      </c>
      <c r="M35" s="119">
        <v>2700000</v>
      </c>
      <c r="N35" s="119">
        <f t="shared" si="2"/>
        <v>2700000</v>
      </c>
      <c r="P35" s="20">
        <f t="shared" si="3"/>
        <v>52</v>
      </c>
    </row>
    <row r="36" spans="1:16" ht="15" hidden="1" customHeight="1" x14ac:dyDescent="0.2">
      <c r="A36" s="20" t="s">
        <v>310</v>
      </c>
      <c r="B36" s="61">
        <v>46100</v>
      </c>
      <c r="C36" s="20">
        <f t="shared" ref="C36:C67" si="4">C35+D36</f>
        <v>384</v>
      </c>
      <c r="D36" s="38">
        <f t="shared" ref="D36:D67" si="5">IF(H36=H35,0,1)</f>
        <v>1</v>
      </c>
      <c r="G36" s="32" t="s">
        <v>1518</v>
      </c>
      <c r="H36" s="20" t="s">
        <v>3509</v>
      </c>
      <c r="I36" s="20">
        <v>331</v>
      </c>
      <c r="J36" s="20">
        <v>1111</v>
      </c>
      <c r="K36" s="20" t="s">
        <v>20</v>
      </c>
      <c r="L36" s="20">
        <v>1</v>
      </c>
      <c r="M36" s="119">
        <v>2120000</v>
      </c>
      <c r="N36" s="119">
        <f t="shared" ref="N36:N67" si="6">M36*L36</f>
        <v>2120000</v>
      </c>
      <c r="P36" s="20">
        <f t="shared" ref="P36:P67" si="7">LEN(H36)</f>
        <v>147</v>
      </c>
    </row>
    <row r="37" spans="1:16" ht="15" hidden="1" customHeight="1" x14ac:dyDescent="0.2">
      <c r="A37" s="20" t="s">
        <v>310</v>
      </c>
      <c r="B37" s="61">
        <v>46110</v>
      </c>
      <c r="C37" s="20">
        <f t="shared" si="4"/>
        <v>385</v>
      </c>
      <c r="D37" s="38">
        <f t="shared" si="5"/>
        <v>1</v>
      </c>
      <c r="G37" s="20" t="s">
        <v>35</v>
      </c>
      <c r="H37" s="20" t="s">
        <v>3510</v>
      </c>
      <c r="I37" s="20">
        <v>331</v>
      </c>
      <c r="J37" s="20">
        <v>1111</v>
      </c>
      <c r="K37" s="20" t="s">
        <v>20</v>
      </c>
      <c r="L37" s="20">
        <v>1</v>
      </c>
      <c r="M37" s="119">
        <v>2700000</v>
      </c>
      <c r="N37" s="119">
        <f t="shared" si="6"/>
        <v>2700000</v>
      </c>
      <c r="P37" s="20">
        <f t="shared" si="7"/>
        <v>53</v>
      </c>
    </row>
    <row r="38" spans="1:16" ht="15" hidden="1" customHeight="1" x14ac:dyDescent="0.2">
      <c r="A38" s="20" t="s">
        <v>18</v>
      </c>
      <c r="B38" s="61">
        <v>46026</v>
      </c>
      <c r="C38" s="20">
        <f t="shared" si="4"/>
        <v>386</v>
      </c>
      <c r="D38" s="38">
        <f t="shared" si="5"/>
        <v>1</v>
      </c>
      <c r="G38" s="32" t="s">
        <v>35</v>
      </c>
      <c r="H38" s="20" t="s">
        <v>1508</v>
      </c>
      <c r="I38" s="20">
        <v>64277</v>
      </c>
      <c r="J38" s="20">
        <v>331</v>
      </c>
      <c r="K38" s="20" t="s">
        <v>20</v>
      </c>
      <c r="L38" s="20">
        <v>1</v>
      </c>
      <c r="M38" s="119">
        <v>2500000</v>
      </c>
      <c r="N38" s="119">
        <f t="shared" si="6"/>
        <v>2500000</v>
      </c>
      <c r="P38" s="20">
        <f t="shared" si="7"/>
        <v>40</v>
      </c>
    </row>
    <row r="39" spans="1:16" ht="15" hidden="1" customHeight="1" x14ac:dyDescent="0.2">
      <c r="A39" s="20" t="s">
        <v>18</v>
      </c>
      <c r="B39" s="61">
        <v>46026</v>
      </c>
      <c r="C39" s="20">
        <f t="shared" si="4"/>
        <v>386</v>
      </c>
      <c r="D39" s="38">
        <f t="shared" si="5"/>
        <v>0</v>
      </c>
      <c r="G39" s="32" t="s">
        <v>35</v>
      </c>
      <c r="H39" s="20" t="s">
        <v>1508</v>
      </c>
      <c r="I39" s="20">
        <v>1331</v>
      </c>
      <c r="J39" s="20">
        <v>331</v>
      </c>
      <c r="K39" s="20" t="s">
        <v>20</v>
      </c>
      <c r="L39" s="20">
        <v>1</v>
      </c>
      <c r="M39" s="119">
        <v>200000</v>
      </c>
      <c r="N39" s="119">
        <f t="shared" si="6"/>
        <v>200000</v>
      </c>
      <c r="P39" s="20">
        <f t="shared" si="7"/>
        <v>40</v>
      </c>
    </row>
    <row r="40" spans="1:16" ht="15" hidden="1" customHeight="1" x14ac:dyDescent="0.2">
      <c r="A40" s="20" t="s">
        <v>18</v>
      </c>
      <c r="B40" s="61">
        <v>46027</v>
      </c>
      <c r="C40" s="20">
        <f t="shared" si="4"/>
        <v>387</v>
      </c>
      <c r="D40" s="38">
        <f t="shared" si="5"/>
        <v>1</v>
      </c>
      <c r="G40" s="32" t="s">
        <v>1509</v>
      </c>
      <c r="H40" s="20" t="s">
        <v>1510</v>
      </c>
      <c r="I40" s="20">
        <v>64277</v>
      </c>
      <c r="J40" s="20">
        <v>331</v>
      </c>
      <c r="K40" s="20" t="s">
        <v>20</v>
      </c>
      <c r="L40" s="20">
        <v>1</v>
      </c>
      <c r="M40" s="119">
        <v>320000</v>
      </c>
      <c r="N40" s="119">
        <f t="shared" si="6"/>
        <v>320000</v>
      </c>
      <c r="P40" s="20">
        <f t="shared" si="7"/>
        <v>153</v>
      </c>
    </row>
    <row r="41" spans="1:16" ht="15" hidden="1" customHeight="1" x14ac:dyDescent="0.2">
      <c r="A41" s="20" t="s">
        <v>18</v>
      </c>
      <c r="B41" s="61">
        <v>46027</v>
      </c>
      <c r="C41" s="20">
        <f t="shared" si="4"/>
        <v>387</v>
      </c>
      <c r="D41" s="38">
        <f t="shared" si="5"/>
        <v>0</v>
      </c>
      <c r="G41" s="32" t="s">
        <v>1509</v>
      </c>
      <c r="H41" s="20" t="s">
        <v>1510</v>
      </c>
      <c r="I41" s="20">
        <v>1331</v>
      </c>
      <c r="J41" s="20">
        <v>331</v>
      </c>
      <c r="K41" s="20" t="s">
        <v>20</v>
      </c>
      <c r="L41" s="20">
        <v>1</v>
      </c>
      <c r="M41" s="119">
        <v>25600</v>
      </c>
      <c r="N41" s="119">
        <f t="shared" si="6"/>
        <v>25600</v>
      </c>
      <c r="P41" s="20">
        <f t="shared" si="7"/>
        <v>153</v>
      </c>
    </row>
    <row r="42" spans="1:16" ht="15" hidden="1" customHeight="1" x14ac:dyDescent="0.2">
      <c r="A42" s="20" t="s">
        <v>18</v>
      </c>
      <c r="B42" s="61">
        <v>46029</v>
      </c>
      <c r="C42" s="20">
        <f t="shared" si="4"/>
        <v>388</v>
      </c>
      <c r="D42" s="38">
        <f t="shared" si="5"/>
        <v>1</v>
      </c>
      <c r="G42" s="32" t="s">
        <v>25</v>
      </c>
      <c r="H42" s="20" t="s">
        <v>1511</v>
      </c>
      <c r="I42" s="20">
        <v>64277</v>
      </c>
      <c r="J42" s="20">
        <v>331</v>
      </c>
      <c r="K42" s="20" t="s">
        <v>20</v>
      </c>
      <c r="L42" s="20">
        <v>1</v>
      </c>
      <c r="M42" s="119">
        <v>2179000</v>
      </c>
      <c r="N42" s="119">
        <f t="shared" si="6"/>
        <v>2179000</v>
      </c>
      <c r="P42" s="20">
        <f t="shared" si="7"/>
        <v>133</v>
      </c>
    </row>
    <row r="43" spans="1:16" ht="15" hidden="1" customHeight="1" x14ac:dyDescent="0.2">
      <c r="A43" s="20" t="s">
        <v>18</v>
      </c>
      <c r="B43" s="61">
        <v>46029</v>
      </c>
      <c r="C43" s="20">
        <f t="shared" si="4"/>
        <v>388</v>
      </c>
      <c r="D43" s="38">
        <f t="shared" si="5"/>
        <v>0</v>
      </c>
      <c r="G43" s="32" t="s">
        <v>25</v>
      </c>
      <c r="H43" s="20" t="s">
        <v>1511</v>
      </c>
      <c r="I43" s="20">
        <v>1331</v>
      </c>
      <c r="J43" s="20">
        <v>331</v>
      </c>
      <c r="K43" s="20" t="s">
        <v>20</v>
      </c>
      <c r="L43" s="20">
        <v>1</v>
      </c>
      <c r="M43" s="119">
        <v>174320</v>
      </c>
      <c r="N43" s="119">
        <f t="shared" si="6"/>
        <v>174320</v>
      </c>
      <c r="P43" s="20">
        <f t="shared" si="7"/>
        <v>133</v>
      </c>
    </row>
    <row r="44" spans="1:16" ht="15" hidden="1" customHeight="1" x14ac:dyDescent="0.2">
      <c r="A44" s="20" t="s">
        <v>18</v>
      </c>
      <c r="B44" s="61">
        <v>46037</v>
      </c>
      <c r="C44" s="20">
        <f t="shared" si="4"/>
        <v>389</v>
      </c>
      <c r="D44" s="38">
        <f t="shared" si="5"/>
        <v>1</v>
      </c>
      <c r="G44" s="32" t="s">
        <v>233</v>
      </c>
      <c r="H44" s="20" t="s">
        <v>1512</v>
      </c>
      <c r="I44" s="20">
        <v>64277</v>
      </c>
      <c r="J44" s="20">
        <v>331</v>
      </c>
      <c r="K44" s="20" t="s">
        <v>20</v>
      </c>
      <c r="L44" s="20">
        <v>1</v>
      </c>
      <c r="M44" s="119">
        <v>11563379</v>
      </c>
      <c r="N44" s="119">
        <f t="shared" si="6"/>
        <v>11563379</v>
      </c>
      <c r="P44" s="20">
        <f t="shared" si="7"/>
        <v>28</v>
      </c>
    </row>
    <row r="45" spans="1:16" ht="15" hidden="1" customHeight="1" x14ac:dyDescent="0.2">
      <c r="A45" s="20" t="s">
        <v>18</v>
      </c>
      <c r="B45" s="61">
        <v>46037</v>
      </c>
      <c r="C45" s="20">
        <f t="shared" si="4"/>
        <v>389</v>
      </c>
      <c r="D45" s="38">
        <f t="shared" si="5"/>
        <v>0</v>
      </c>
      <c r="G45" s="32" t="s">
        <v>233</v>
      </c>
      <c r="H45" s="20" t="s">
        <v>1512</v>
      </c>
      <c r="I45" s="20">
        <v>1331</v>
      </c>
      <c r="J45" s="20">
        <v>331</v>
      </c>
      <c r="K45" s="20" t="s">
        <v>20</v>
      </c>
      <c r="L45" s="20">
        <v>1</v>
      </c>
      <c r="M45" s="119">
        <v>0</v>
      </c>
      <c r="N45" s="119">
        <f t="shared" si="6"/>
        <v>0</v>
      </c>
      <c r="P45" s="20">
        <f t="shared" si="7"/>
        <v>28</v>
      </c>
    </row>
    <row r="46" spans="1:16" ht="15" hidden="1" customHeight="1" x14ac:dyDescent="0.2">
      <c r="A46" s="20" t="s">
        <v>18</v>
      </c>
      <c r="B46" s="61">
        <v>46042</v>
      </c>
      <c r="C46" s="20">
        <f t="shared" si="4"/>
        <v>390</v>
      </c>
      <c r="D46" s="38">
        <f t="shared" si="5"/>
        <v>1</v>
      </c>
      <c r="G46" s="32" t="s">
        <v>1513</v>
      </c>
      <c r="H46" s="20" t="s">
        <v>1514</v>
      </c>
      <c r="I46" s="20">
        <v>64277</v>
      </c>
      <c r="J46" s="20">
        <v>331</v>
      </c>
      <c r="K46" s="20" t="s">
        <v>20</v>
      </c>
      <c r="L46" s="20">
        <v>1</v>
      </c>
      <c r="M46" s="119">
        <v>891450</v>
      </c>
      <c r="N46" s="119">
        <f t="shared" si="6"/>
        <v>891450</v>
      </c>
      <c r="P46" s="20">
        <f t="shared" si="7"/>
        <v>188</v>
      </c>
    </row>
    <row r="47" spans="1:16" ht="15" hidden="1" customHeight="1" x14ac:dyDescent="0.2">
      <c r="A47" s="20" t="s">
        <v>18</v>
      </c>
      <c r="B47" s="61">
        <v>46042</v>
      </c>
      <c r="C47" s="20">
        <f t="shared" si="4"/>
        <v>390</v>
      </c>
      <c r="D47" s="38">
        <f t="shared" si="5"/>
        <v>0</v>
      </c>
      <c r="G47" s="32" t="s">
        <v>1513</v>
      </c>
      <c r="H47" s="20" t="s">
        <v>1514</v>
      </c>
      <c r="I47" s="20">
        <v>1331</v>
      </c>
      <c r="J47" s="20">
        <v>331</v>
      </c>
      <c r="K47" s="20" t="s">
        <v>20</v>
      </c>
      <c r="L47" s="20">
        <v>1</v>
      </c>
      <c r="M47" s="119">
        <v>71316</v>
      </c>
      <c r="N47" s="119">
        <f t="shared" si="6"/>
        <v>71316</v>
      </c>
      <c r="P47" s="20">
        <f t="shared" si="7"/>
        <v>188</v>
      </c>
    </row>
    <row r="48" spans="1:16" ht="15" customHeight="1" x14ac:dyDescent="0.2">
      <c r="A48" s="20" t="s">
        <v>18</v>
      </c>
      <c r="B48" s="61">
        <v>46044</v>
      </c>
      <c r="C48" s="20">
        <f t="shared" si="4"/>
        <v>391</v>
      </c>
      <c r="D48" s="38">
        <f t="shared" si="5"/>
        <v>1</v>
      </c>
      <c r="G48" s="20" t="s">
        <v>29</v>
      </c>
      <c r="H48" s="20" t="s">
        <v>3511</v>
      </c>
      <c r="I48" s="20">
        <v>333821</v>
      </c>
      <c r="J48" s="20">
        <v>131</v>
      </c>
      <c r="K48" s="20" t="s">
        <v>20</v>
      </c>
      <c r="L48" s="20">
        <v>1</v>
      </c>
      <c r="M48" s="119">
        <v>255556</v>
      </c>
      <c r="N48" s="119">
        <f t="shared" si="6"/>
        <v>255556</v>
      </c>
      <c r="P48" s="20">
        <f t="shared" si="7"/>
        <v>144</v>
      </c>
    </row>
    <row r="49" spans="1:16" ht="15" hidden="1" customHeight="1" x14ac:dyDescent="0.2">
      <c r="A49" s="20" t="s">
        <v>18</v>
      </c>
      <c r="B49" s="61">
        <v>46044</v>
      </c>
      <c r="C49" s="20">
        <f t="shared" si="4"/>
        <v>392</v>
      </c>
      <c r="D49" s="38">
        <f t="shared" si="5"/>
        <v>1</v>
      </c>
      <c r="G49" s="32" t="s">
        <v>29</v>
      </c>
      <c r="H49" s="20" t="s">
        <v>1521</v>
      </c>
      <c r="I49" s="20">
        <v>131</v>
      </c>
      <c r="J49" s="20">
        <v>5113</v>
      </c>
      <c r="K49" s="20" t="s">
        <v>20</v>
      </c>
      <c r="L49" s="20">
        <v>1</v>
      </c>
      <c r="M49" s="119">
        <v>25555556</v>
      </c>
      <c r="N49" s="119">
        <f t="shared" si="6"/>
        <v>25555556</v>
      </c>
      <c r="P49" s="20">
        <f t="shared" si="7"/>
        <v>128</v>
      </c>
    </row>
    <row r="50" spans="1:16" ht="15" customHeight="1" x14ac:dyDescent="0.2">
      <c r="A50" s="20" t="s">
        <v>18</v>
      </c>
      <c r="B50" s="61">
        <v>46048</v>
      </c>
      <c r="C50" s="20">
        <f t="shared" si="4"/>
        <v>393</v>
      </c>
      <c r="D50" s="38">
        <f t="shared" si="5"/>
        <v>1</v>
      </c>
      <c r="G50" s="20" t="s">
        <v>29</v>
      </c>
      <c r="H50" s="20" t="s">
        <v>3512</v>
      </c>
      <c r="I50" s="20">
        <v>333821</v>
      </c>
      <c r="J50" s="20">
        <v>131</v>
      </c>
      <c r="K50" s="20" t="s">
        <v>20</v>
      </c>
      <c r="L50" s="20">
        <v>1</v>
      </c>
      <c r="M50" s="119">
        <v>133333</v>
      </c>
      <c r="N50" s="119">
        <f t="shared" si="6"/>
        <v>133333</v>
      </c>
      <c r="P50" s="20">
        <f t="shared" si="7"/>
        <v>152</v>
      </c>
    </row>
    <row r="51" spans="1:16" ht="15" hidden="1" customHeight="1" x14ac:dyDescent="0.2">
      <c r="A51" s="20" t="s">
        <v>18</v>
      </c>
      <c r="B51" s="61">
        <v>46048</v>
      </c>
      <c r="C51" s="20">
        <f t="shared" si="4"/>
        <v>394</v>
      </c>
      <c r="D51" s="38">
        <f t="shared" si="5"/>
        <v>1</v>
      </c>
      <c r="G51" s="32" t="s">
        <v>29</v>
      </c>
      <c r="H51" s="20" t="s">
        <v>1522</v>
      </c>
      <c r="I51" s="20">
        <v>131</v>
      </c>
      <c r="J51" s="20">
        <v>5113</v>
      </c>
      <c r="K51" s="20" t="s">
        <v>20</v>
      </c>
      <c r="L51" s="20">
        <v>1</v>
      </c>
      <c r="M51" s="119">
        <v>13333333</v>
      </c>
      <c r="N51" s="119">
        <f t="shared" si="6"/>
        <v>13333333</v>
      </c>
      <c r="P51" s="20">
        <f t="shared" si="7"/>
        <v>136</v>
      </c>
    </row>
    <row r="52" spans="1:16" ht="15" hidden="1" customHeight="1" x14ac:dyDescent="0.2">
      <c r="A52" s="20" t="s">
        <v>18</v>
      </c>
      <c r="B52" s="61">
        <v>46050</v>
      </c>
      <c r="C52" s="20">
        <f t="shared" si="4"/>
        <v>395</v>
      </c>
      <c r="D52" s="38">
        <f t="shared" si="5"/>
        <v>1</v>
      </c>
      <c r="G52" s="32" t="s">
        <v>1523</v>
      </c>
      <c r="H52" s="20" t="s">
        <v>1524</v>
      </c>
      <c r="I52" s="20">
        <v>131</v>
      </c>
      <c r="J52" s="20">
        <v>5113</v>
      </c>
      <c r="K52" s="20" t="s">
        <v>20</v>
      </c>
      <c r="L52" s="20">
        <v>1</v>
      </c>
      <c r="M52" s="119">
        <v>32222222</v>
      </c>
      <c r="N52" s="119">
        <f t="shared" si="6"/>
        <v>32222222</v>
      </c>
      <c r="P52" s="20">
        <f t="shared" si="7"/>
        <v>144</v>
      </c>
    </row>
    <row r="53" spans="1:16" ht="15" customHeight="1" x14ac:dyDescent="0.2">
      <c r="A53" s="20" t="s">
        <v>18</v>
      </c>
      <c r="B53" s="61">
        <v>46050</v>
      </c>
      <c r="C53" s="20">
        <f t="shared" si="4"/>
        <v>396</v>
      </c>
      <c r="D53" s="38">
        <f t="shared" si="5"/>
        <v>1</v>
      </c>
      <c r="G53" s="20" t="s">
        <v>1523</v>
      </c>
      <c r="H53" s="20" t="s">
        <v>3513</v>
      </c>
      <c r="I53" s="20">
        <v>333821</v>
      </c>
      <c r="J53" s="20">
        <v>131</v>
      </c>
      <c r="K53" s="20" t="s">
        <v>20</v>
      </c>
      <c r="L53" s="20">
        <v>1</v>
      </c>
      <c r="M53" s="119">
        <v>322222</v>
      </c>
      <c r="N53" s="119">
        <f t="shared" si="6"/>
        <v>322222</v>
      </c>
      <c r="P53" s="20">
        <f t="shared" si="7"/>
        <v>160</v>
      </c>
    </row>
    <row r="54" spans="1:16" ht="15" hidden="1" customHeight="1" x14ac:dyDescent="0.2">
      <c r="A54" s="20" t="s">
        <v>18</v>
      </c>
      <c r="B54" s="61">
        <v>46052</v>
      </c>
      <c r="C54" s="20">
        <f t="shared" si="4"/>
        <v>397</v>
      </c>
      <c r="D54" s="38">
        <f t="shared" si="5"/>
        <v>1</v>
      </c>
      <c r="G54" s="164" t="s">
        <v>39</v>
      </c>
      <c r="H54" s="20" t="s">
        <v>3500</v>
      </c>
      <c r="I54" s="20">
        <v>131</v>
      </c>
      <c r="J54" s="20">
        <v>5118</v>
      </c>
      <c r="K54" s="20" t="s">
        <v>20</v>
      </c>
      <c r="L54" s="20">
        <v>1</v>
      </c>
      <c r="M54" s="119">
        <v>4373845</v>
      </c>
      <c r="N54" s="119">
        <f t="shared" si="6"/>
        <v>4373845</v>
      </c>
      <c r="P54" s="20">
        <f t="shared" si="7"/>
        <v>43</v>
      </c>
    </row>
    <row r="55" spans="1:16" ht="15" hidden="1" customHeight="1" x14ac:dyDescent="0.2">
      <c r="A55" s="20" t="s">
        <v>18</v>
      </c>
      <c r="B55" s="61">
        <v>46052</v>
      </c>
      <c r="C55" s="20">
        <f t="shared" si="4"/>
        <v>398</v>
      </c>
      <c r="D55" s="38">
        <f t="shared" si="5"/>
        <v>1</v>
      </c>
      <c r="G55" s="32" t="s">
        <v>35</v>
      </c>
      <c r="H55" s="20" t="s">
        <v>1515</v>
      </c>
      <c r="I55" s="20">
        <v>64277</v>
      </c>
      <c r="J55" s="20">
        <v>331</v>
      </c>
      <c r="K55" s="20" t="s">
        <v>20</v>
      </c>
      <c r="L55" s="20">
        <v>1</v>
      </c>
      <c r="M55" s="119">
        <v>2500000</v>
      </c>
      <c r="N55" s="119">
        <f t="shared" si="6"/>
        <v>2500000</v>
      </c>
      <c r="P55" s="20">
        <f t="shared" si="7"/>
        <v>41</v>
      </c>
    </row>
    <row r="56" spans="1:16" ht="15" hidden="1" customHeight="1" x14ac:dyDescent="0.2">
      <c r="A56" s="20" t="s">
        <v>18</v>
      </c>
      <c r="B56" s="61">
        <v>46052</v>
      </c>
      <c r="C56" s="20">
        <f t="shared" si="4"/>
        <v>398</v>
      </c>
      <c r="D56" s="38">
        <f t="shared" si="5"/>
        <v>0</v>
      </c>
      <c r="G56" s="32" t="s">
        <v>35</v>
      </c>
      <c r="H56" s="20" t="s">
        <v>1515</v>
      </c>
      <c r="I56" s="20">
        <v>1331</v>
      </c>
      <c r="J56" s="20">
        <v>331</v>
      </c>
      <c r="K56" s="20" t="s">
        <v>20</v>
      </c>
      <c r="L56" s="20">
        <v>1</v>
      </c>
      <c r="M56" s="119">
        <v>200000</v>
      </c>
      <c r="N56" s="119">
        <f t="shared" si="6"/>
        <v>200000</v>
      </c>
      <c r="P56" s="20">
        <f t="shared" si="7"/>
        <v>41</v>
      </c>
    </row>
    <row r="57" spans="1:16" ht="15" hidden="1" customHeight="1" x14ac:dyDescent="0.2">
      <c r="A57" s="20" t="s">
        <v>18</v>
      </c>
      <c r="B57" s="61">
        <v>46053</v>
      </c>
      <c r="C57" s="20">
        <f t="shared" si="4"/>
        <v>399</v>
      </c>
      <c r="D57" s="38">
        <f t="shared" si="5"/>
        <v>1</v>
      </c>
      <c r="G57" s="32" t="s">
        <v>39</v>
      </c>
      <c r="H57" s="20" t="s">
        <v>455</v>
      </c>
      <c r="I57" s="20">
        <v>64271</v>
      </c>
      <c r="J57" s="20">
        <v>3383</v>
      </c>
      <c r="K57" s="20" t="s">
        <v>20</v>
      </c>
      <c r="L57" s="20">
        <v>1</v>
      </c>
      <c r="M57" s="119">
        <v>690300</v>
      </c>
      <c r="N57" s="119">
        <f t="shared" si="6"/>
        <v>690300</v>
      </c>
      <c r="P57" s="20">
        <f t="shared" si="7"/>
        <v>30</v>
      </c>
    </row>
    <row r="58" spans="1:16" ht="15" hidden="1" customHeight="1" x14ac:dyDescent="0.2">
      <c r="A58" s="20" t="s">
        <v>18</v>
      </c>
      <c r="B58" s="61">
        <v>46063</v>
      </c>
      <c r="C58" s="20">
        <f t="shared" si="4"/>
        <v>400</v>
      </c>
      <c r="D58" s="38">
        <f t="shared" si="5"/>
        <v>1</v>
      </c>
      <c r="G58" s="32" t="s">
        <v>52</v>
      </c>
      <c r="H58" s="20" t="s">
        <v>1516</v>
      </c>
      <c r="I58" s="20">
        <v>64277</v>
      </c>
      <c r="J58" s="20">
        <v>331</v>
      </c>
      <c r="K58" s="20" t="s">
        <v>20</v>
      </c>
      <c r="L58" s="20">
        <v>1</v>
      </c>
      <c r="M58" s="119">
        <v>963300</v>
      </c>
      <c r="N58" s="119">
        <f t="shared" si="6"/>
        <v>963300</v>
      </c>
      <c r="P58" s="20">
        <f t="shared" si="7"/>
        <v>153</v>
      </c>
    </row>
    <row r="59" spans="1:16" ht="15" hidden="1" customHeight="1" x14ac:dyDescent="0.2">
      <c r="A59" s="20" t="s">
        <v>18</v>
      </c>
      <c r="B59" s="61">
        <v>46063</v>
      </c>
      <c r="C59" s="20">
        <f t="shared" si="4"/>
        <v>400</v>
      </c>
      <c r="D59" s="38">
        <f t="shared" si="5"/>
        <v>0</v>
      </c>
      <c r="G59" s="32" t="s">
        <v>52</v>
      </c>
      <c r="H59" s="20" t="s">
        <v>1516</v>
      </c>
      <c r="I59" s="20">
        <v>1331</v>
      </c>
      <c r="J59" s="20">
        <v>331</v>
      </c>
      <c r="K59" s="20" t="s">
        <v>20</v>
      </c>
      <c r="L59" s="20">
        <v>1</v>
      </c>
      <c r="M59" s="119">
        <v>77064</v>
      </c>
      <c r="N59" s="119">
        <f t="shared" si="6"/>
        <v>77064</v>
      </c>
      <c r="P59" s="20">
        <f t="shared" si="7"/>
        <v>153</v>
      </c>
    </row>
    <row r="60" spans="1:16" ht="15" hidden="1" customHeight="1" x14ac:dyDescent="0.2">
      <c r="A60" s="20" t="s">
        <v>18</v>
      </c>
      <c r="B60" s="61">
        <v>46065</v>
      </c>
      <c r="C60" s="20">
        <f t="shared" si="4"/>
        <v>401</v>
      </c>
      <c r="D60" s="38">
        <f t="shared" si="5"/>
        <v>1</v>
      </c>
      <c r="G60" s="32" t="s">
        <v>61</v>
      </c>
      <c r="H60" s="20" t="s">
        <v>3525</v>
      </c>
      <c r="I60" s="20">
        <v>64277</v>
      </c>
      <c r="J60" s="20">
        <v>331</v>
      </c>
      <c r="K60" s="20" t="s">
        <v>20</v>
      </c>
      <c r="L60" s="20">
        <v>1</v>
      </c>
      <c r="M60" s="119">
        <v>768000</v>
      </c>
      <c r="N60" s="119">
        <f t="shared" si="6"/>
        <v>768000</v>
      </c>
      <c r="P60" s="20">
        <f t="shared" si="7"/>
        <v>41</v>
      </c>
    </row>
    <row r="61" spans="1:16" ht="15" hidden="1" customHeight="1" x14ac:dyDescent="0.2">
      <c r="A61" s="20" t="s">
        <v>18</v>
      </c>
      <c r="B61" s="61">
        <v>46065</v>
      </c>
      <c r="C61" s="20">
        <f t="shared" si="4"/>
        <v>401</v>
      </c>
      <c r="D61" s="38">
        <f t="shared" si="5"/>
        <v>0</v>
      </c>
      <c r="G61" s="32" t="s">
        <v>61</v>
      </c>
      <c r="H61" s="20" t="s">
        <v>3525</v>
      </c>
      <c r="I61" s="20">
        <v>1331</v>
      </c>
      <c r="J61" s="20">
        <v>331</v>
      </c>
      <c r="K61" s="20" t="s">
        <v>20</v>
      </c>
      <c r="L61" s="20">
        <v>1</v>
      </c>
      <c r="M61" s="119">
        <v>61440</v>
      </c>
      <c r="N61" s="119">
        <f t="shared" si="6"/>
        <v>61440</v>
      </c>
      <c r="P61" s="20">
        <f t="shared" si="7"/>
        <v>41</v>
      </c>
    </row>
    <row r="62" spans="1:16" ht="15" hidden="1" customHeight="1" x14ac:dyDescent="0.2">
      <c r="A62" s="20" t="s">
        <v>18</v>
      </c>
      <c r="B62" s="61">
        <v>46076</v>
      </c>
      <c r="C62" s="20">
        <f t="shared" si="4"/>
        <v>402</v>
      </c>
      <c r="D62" s="38">
        <f t="shared" si="5"/>
        <v>1</v>
      </c>
      <c r="G62" s="32" t="s">
        <v>249</v>
      </c>
      <c r="H62" s="20" t="s">
        <v>1527</v>
      </c>
      <c r="I62" s="20">
        <v>131</v>
      </c>
      <c r="J62" s="20">
        <v>5113</v>
      </c>
      <c r="K62" s="20" t="s">
        <v>20</v>
      </c>
      <c r="L62" s="20">
        <v>1</v>
      </c>
      <c r="M62" s="119">
        <v>14444444</v>
      </c>
      <c r="N62" s="119">
        <f t="shared" si="6"/>
        <v>14444444</v>
      </c>
      <c r="P62" s="20">
        <f t="shared" si="7"/>
        <v>136</v>
      </c>
    </row>
    <row r="63" spans="1:16" ht="15" customHeight="1" x14ac:dyDescent="0.2">
      <c r="A63" s="20" t="s">
        <v>18</v>
      </c>
      <c r="B63" s="61">
        <v>46076</v>
      </c>
      <c r="C63" s="20">
        <f t="shared" si="4"/>
        <v>403</v>
      </c>
      <c r="D63" s="38">
        <f t="shared" si="5"/>
        <v>1</v>
      </c>
      <c r="G63" s="20" t="s">
        <v>249</v>
      </c>
      <c r="H63" s="20" t="s">
        <v>3514</v>
      </c>
      <c r="I63" s="20">
        <v>333821</v>
      </c>
      <c r="J63" s="20">
        <v>131</v>
      </c>
      <c r="K63" s="20" t="s">
        <v>20</v>
      </c>
      <c r="L63" s="20">
        <v>1</v>
      </c>
      <c r="M63" s="119">
        <v>144444</v>
      </c>
      <c r="N63" s="119">
        <f t="shared" si="6"/>
        <v>144444</v>
      </c>
      <c r="P63" s="20">
        <f t="shared" si="7"/>
        <v>152</v>
      </c>
    </row>
    <row r="64" spans="1:16" ht="15" customHeight="1" x14ac:dyDescent="0.2">
      <c r="A64" s="20" t="s">
        <v>18</v>
      </c>
      <c r="B64" s="61">
        <v>46076</v>
      </c>
      <c r="C64" s="20">
        <f t="shared" si="4"/>
        <v>404</v>
      </c>
      <c r="D64" s="38">
        <f t="shared" si="5"/>
        <v>1</v>
      </c>
      <c r="G64" s="20" t="s">
        <v>1525</v>
      </c>
      <c r="H64" s="20" t="s">
        <v>3515</v>
      </c>
      <c r="I64" s="20">
        <v>333821</v>
      </c>
      <c r="J64" s="20">
        <v>131</v>
      </c>
      <c r="K64" s="20" t="s">
        <v>20</v>
      </c>
      <c r="L64" s="20">
        <v>1</v>
      </c>
      <c r="M64" s="119">
        <v>166667</v>
      </c>
      <c r="N64" s="119">
        <f t="shared" si="6"/>
        <v>166667</v>
      </c>
      <c r="P64" s="20">
        <f t="shared" si="7"/>
        <v>180</v>
      </c>
    </row>
    <row r="65" spans="1:16" ht="15" hidden="1" customHeight="1" x14ac:dyDescent="0.2">
      <c r="A65" s="20" t="s">
        <v>18</v>
      </c>
      <c r="B65" s="61">
        <v>46076</v>
      </c>
      <c r="C65" s="20">
        <f t="shared" si="4"/>
        <v>405</v>
      </c>
      <c r="D65" s="38">
        <f t="shared" si="5"/>
        <v>1</v>
      </c>
      <c r="G65" s="32" t="s">
        <v>1525</v>
      </c>
      <c r="H65" s="20" t="s">
        <v>1526</v>
      </c>
      <c r="I65" s="20">
        <v>131</v>
      </c>
      <c r="J65" s="20">
        <v>5113</v>
      </c>
      <c r="K65" s="20" t="s">
        <v>20</v>
      </c>
      <c r="L65" s="20">
        <v>1</v>
      </c>
      <c r="M65" s="119">
        <v>16666667</v>
      </c>
      <c r="N65" s="119">
        <f t="shared" si="6"/>
        <v>16666667</v>
      </c>
      <c r="P65" s="20">
        <f t="shared" si="7"/>
        <v>164</v>
      </c>
    </row>
    <row r="66" spans="1:16" ht="15" hidden="1" customHeight="1" x14ac:dyDescent="0.2">
      <c r="A66" s="20" t="s">
        <v>18</v>
      </c>
      <c r="B66" s="61">
        <v>46081</v>
      </c>
      <c r="C66" s="20">
        <f t="shared" si="4"/>
        <v>406</v>
      </c>
      <c r="D66" s="38">
        <f t="shared" si="5"/>
        <v>1</v>
      </c>
      <c r="G66" s="20" t="s">
        <v>39</v>
      </c>
      <c r="H66" s="20" t="s">
        <v>456</v>
      </c>
      <c r="I66" s="20">
        <v>64271</v>
      </c>
      <c r="J66" s="20">
        <v>3383</v>
      </c>
      <c r="K66" s="20" t="s">
        <v>20</v>
      </c>
      <c r="L66" s="20">
        <v>1</v>
      </c>
      <c r="M66" s="119">
        <v>690300</v>
      </c>
      <c r="N66" s="119">
        <f t="shared" si="6"/>
        <v>690300</v>
      </c>
      <c r="P66" s="20">
        <f t="shared" si="7"/>
        <v>30</v>
      </c>
    </row>
    <row r="67" spans="1:16" ht="15" hidden="1" customHeight="1" x14ac:dyDescent="0.2">
      <c r="A67" s="20" t="s">
        <v>18</v>
      </c>
      <c r="B67" s="61">
        <v>46085</v>
      </c>
      <c r="C67" s="20">
        <f t="shared" si="4"/>
        <v>407</v>
      </c>
      <c r="D67" s="38">
        <f t="shared" si="5"/>
        <v>1</v>
      </c>
      <c r="G67" s="20" t="s">
        <v>35</v>
      </c>
      <c r="H67" s="20" t="s">
        <v>1517</v>
      </c>
      <c r="I67" s="20">
        <v>64277</v>
      </c>
      <c r="J67" s="20">
        <v>331</v>
      </c>
      <c r="K67" s="20" t="s">
        <v>20</v>
      </c>
      <c r="L67" s="20">
        <v>1</v>
      </c>
      <c r="M67" s="119">
        <v>2500000</v>
      </c>
      <c r="N67" s="119">
        <f t="shared" si="6"/>
        <v>2500000</v>
      </c>
      <c r="P67" s="20">
        <f t="shared" si="7"/>
        <v>41</v>
      </c>
    </row>
    <row r="68" spans="1:16" ht="15" hidden="1" customHeight="1" x14ac:dyDescent="0.2">
      <c r="A68" s="20" t="s">
        <v>18</v>
      </c>
      <c r="B68" s="61">
        <v>46085</v>
      </c>
      <c r="C68" s="20">
        <f t="shared" ref="C68:C95" si="8">C67+D68</f>
        <v>407</v>
      </c>
      <c r="D68" s="38">
        <f t="shared" ref="D68:D94" si="9">IF(H68=H67,0,1)</f>
        <v>0</v>
      </c>
      <c r="G68" s="32" t="s">
        <v>35</v>
      </c>
      <c r="H68" s="20" t="s">
        <v>1517</v>
      </c>
      <c r="I68" s="20">
        <v>1331</v>
      </c>
      <c r="J68" s="20">
        <v>331</v>
      </c>
      <c r="K68" s="20" t="s">
        <v>20</v>
      </c>
      <c r="L68" s="20">
        <v>1</v>
      </c>
      <c r="M68" s="119">
        <v>200000</v>
      </c>
      <c r="N68" s="119">
        <f t="shared" ref="N68:N95" si="10">M68*L68</f>
        <v>200000</v>
      </c>
      <c r="P68" s="20">
        <f t="shared" ref="P68:P95" si="11">LEN(H68)</f>
        <v>41</v>
      </c>
    </row>
    <row r="69" spans="1:16" ht="15" hidden="1" customHeight="1" x14ac:dyDescent="0.2">
      <c r="A69" s="20" t="s">
        <v>18</v>
      </c>
      <c r="B69" s="61">
        <v>46088</v>
      </c>
      <c r="C69" s="20">
        <f t="shared" si="8"/>
        <v>408</v>
      </c>
      <c r="D69" s="38">
        <f t="shared" si="9"/>
        <v>1</v>
      </c>
      <c r="G69" s="32" t="s">
        <v>53</v>
      </c>
      <c r="H69" s="20" t="s">
        <v>1528</v>
      </c>
      <c r="I69" s="20">
        <v>131</v>
      </c>
      <c r="J69" s="20">
        <v>5113</v>
      </c>
      <c r="K69" s="20" t="s">
        <v>20</v>
      </c>
      <c r="L69" s="20">
        <v>1</v>
      </c>
      <c r="M69" s="119">
        <v>14444444</v>
      </c>
      <c r="N69" s="119">
        <f t="shared" si="10"/>
        <v>14444444</v>
      </c>
      <c r="P69" s="20">
        <f t="shared" si="11"/>
        <v>160</v>
      </c>
    </row>
    <row r="70" spans="1:16" ht="15" customHeight="1" x14ac:dyDescent="0.2">
      <c r="A70" s="20" t="s">
        <v>18</v>
      </c>
      <c r="B70" s="61">
        <v>46088</v>
      </c>
      <c r="C70" s="20">
        <f t="shared" si="8"/>
        <v>409</v>
      </c>
      <c r="D70" s="38">
        <f t="shared" si="9"/>
        <v>1</v>
      </c>
      <c r="G70" s="20" t="s">
        <v>53</v>
      </c>
      <c r="H70" s="20" t="s">
        <v>3516</v>
      </c>
      <c r="I70" s="20">
        <v>333821</v>
      </c>
      <c r="J70" s="20">
        <v>131</v>
      </c>
      <c r="K70" s="20" t="s">
        <v>20</v>
      </c>
      <c r="L70" s="20">
        <v>1</v>
      </c>
      <c r="M70" s="119">
        <v>144444</v>
      </c>
      <c r="N70" s="119">
        <f t="shared" si="10"/>
        <v>144444</v>
      </c>
      <c r="P70" s="20">
        <f t="shared" si="11"/>
        <v>176</v>
      </c>
    </row>
    <row r="71" spans="1:16" ht="15" hidden="1" customHeight="1" x14ac:dyDescent="0.2">
      <c r="A71" s="20" t="s">
        <v>18</v>
      </c>
      <c r="B71" s="61">
        <v>46092</v>
      </c>
      <c r="C71" s="20">
        <f t="shared" si="8"/>
        <v>410</v>
      </c>
      <c r="D71" s="38">
        <f t="shared" si="9"/>
        <v>1</v>
      </c>
      <c r="G71" s="32" t="s">
        <v>769</v>
      </c>
      <c r="H71" s="20" t="s">
        <v>1529</v>
      </c>
      <c r="I71" s="20">
        <v>131</v>
      </c>
      <c r="J71" s="20">
        <v>5113</v>
      </c>
      <c r="K71" s="20" t="s">
        <v>20</v>
      </c>
      <c r="L71" s="20">
        <v>1</v>
      </c>
      <c r="M71" s="119">
        <v>14444444</v>
      </c>
      <c r="N71" s="119">
        <f t="shared" si="10"/>
        <v>14444444</v>
      </c>
      <c r="P71" s="20">
        <f t="shared" si="11"/>
        <v>94</v>
      </c>
    </row>
    <row r="72" spans="1:16" ht="15" customHeight="1" x14ac:dyDescent="0.2">
      <c r="A72" s="20" t="s">
        <v>18</v>
      </c>
      <c r="B72" s="61">
        <v>46092</v>
      </c>
      <c r="C72" s="20">
        <f t="shared" si="8"/>
        <v>411</v>
      </c>
      <c r="D72" s="38">
        <f t="shared" si="9"/>
        <v>1</v>
      </c>
      <c r="G72" s="20" t="s">
        <v>769</v>
      </c>
      <c r="H72" s="20" t="s">
        <v>3517</v>
      </c>
      <c r="I72" s="20">
        <v>333821</v>
      </c>
      <c r="J72" s="20">
        <v>131</v>
      </c>
      <c r="K72" s="20" t="s">
        <v>20</v>
      </c>
      <c r="L72" s="20">
        <v>1</v>
      </c>
      <c r="M72" s="119">
        <v>144444</v>
      </c>
      <c r="N72" s="119">
        <f t="shared" si="10"/>
        <v>144444</v>
      </c>
      <c r="P72" s="20">
        <f t="shared" si="11"/>
        <v>110</v>
      </c>
    </row>
    <row r="73" spans="1:16" ht="15" hidden="1" customHeight="1" x14ac:dyDescent="0.2">
      <c r="A73" s="20" t="s">
        <v>18</v>
      </c>
      <c r="B73" s="61">
        <v>46097</v>
      </c>
      <c r="C73" s="20">
        <f t="shared" si="8"/>
        <v>412</v>
      </c>
      <c r="D73" s="38">
        <f t="shared" si="9"/>
        <v>1</v>
      </c>
      <c r="G73" s="164" t="s">
        <v>39</v>
      </c>
      <c r="H73" s="20" t="s">
        <v>3500</v>
      </c>
      <c r="I73" s="20">
        <v>131</v>
      </c>
      <c r="J73" s="20">
        <v>5118</v>
      </c>
      <c r="K73" s="20" t="s">
        <v>20</v>
      </c>
      <c r="L73" s="20">
        <v>1</v>
      </c>
      <c r="M73" s="119">
        <v>4329459</v>
      </c>
      <c r="N73" s="119">
        <f t="shared" si="10"/>
        <v>4329459</v>
      </c>
      <c r="P73" s="20">
        <f t="shared" si="11"/>
        <v>43</v>
      </c>
    </row>
    <row r="74" spans="1:16" ht="15" hidden="1" customHeight="1" x14ac:dyDescent="0.2">
      <c r="A74" s="20" t="s">
        <v>18</v>
      </c>
      <c r="B74" s="61">
        <v>46098</v>
      </c>
      <c r="C74" s="20">
        <f t="shared" si="8"/>
        <v>413</v>
      </c>
      <c r="D74" s="38">
        <f t="shared" si="9"/>
        <v>1</v>
      </c>
      <c r="G74" s="32" t="s">
        <v>56</v>
      </c>
      <c r="H74" s="20" t="s">
        <v>1530</v>
      </c>
      <c r="I74" s="20">
        <v>131</v>
      </c>
      <c r="J74" s="20">
        <v>5113</v>
      </c>
      <c r="K74" s="20" t="s">
        <v>20</v>
      </c>
      <c r="L74" s="20">
        <v>1</v>
      </c>
      <c r="M74" s="119">
        <v>13636364</v>
      </c>
      <c r="N74" s="119">
        <f t="shared" si="10"/>
        <v>13636364</v>
      </c>
      <c r="P74" s="20">
        <f t="shared" si="11"/>
        <v>181</v>
      </c>
    </row>
    <row r="75" spans="1:16" ht="15" customHeight="1" x14ac:dyDescent="0.2">
      <c r="A75" s="20" t="s">
        <v>18</v>
      </c>
      <c r="B75" s="61">
        <v>46098</v>
      </c>
      <c r="C75" s="20">
        <f t="shared" si="8"/>
        <v>414</v>
      </c>
      <c r="D75" s="38">
        <f t="shared" si="9"/>
        <v>1</v>
      </c>
      <c r="G75" s="20" t="s">
        <v>56</v>
      </c>
      <c r="H75" s="20" t="s">
        <v>3518</v>
      </c>
      <c r="I75" s="20">
        <v>333821</v>
      </c>
      <c r="J75" s="20">
        <v>131</v>
      </c>
      <c r="K75" s="20" t="s">
        <v>20</v>
      </c>
      <c r="L75" s="20">
        <v>1</v>
      </c>
      <c r="M75" s="119">
        <v>136364</v>
      </c>
      <c r="N75" s="119">
        <f t="shared" si="10"/>
        <v>136364</v>
      </c>
      <c r="P75" s="20">
        <f t="shared" si="11"/>
        <v>197</v>
      </c>
    </row>
    <row r="76" spans="1:16" ht="15" hidden="1" customHeight="1" x14ac:dyDescent="0.2">
      <c r="A76" s="20" t="s">
        <v>18</v>
      </c>
      <c r="B76" s="61">
        <v>46100</v>
      </c>
      <c r="C76" s="20">
        <f t="shared" si="8"/>
        <v>415</v>
      </c>
      <c r="D76" s="38">
        <f t="shared" si="9"/>
        <v>1</v>
      </c>
      <c r="G76" s="32" t="s">
        <v>1518</v>
      </c>
      <c r="H76" s="20" t="s">
        <v>1519</v>
      </c>
      <c r="I76" s="20">
        <v>64277</v>
      </c>
      <c r="J76" s="20">
        <v>331</v>
      </c>
      <c r="K76" s="20" t="s">
        <v>20</v>
      </c>
      <c r="L76" s="20">
        <v>1</v>
      </c>
      <c r="M76" s="119">
        <v>2120000</v>
      </c>
      <c r="N76" s="119">
        <f t="shared" si="10"/>
        <v>2120000</v>
      </c>
      <c r="P76" s="20">
        <f t="shared" si="11"/>
        <v>136</v>
      </c>
    </row>
    <row r="77" spans="1:16" ht="15" hidden="1" customHeight="1" x14ac:dyDescent="0.2">
      <c r="A77" s="20" t="s">
        <v>18</v>
      </c>
      <c r="B77" s="61">
        <v>46100</v>
      </c>
      <c r="C77" s="20">
        <f t="shared" si="8"/>
        <v>415</v>
      </c>
      <c r="D77" s="38">
        <f t="shared" si="9"/>
        <v>0</v>
      </c>
      <c r="G77" s="20" t="s">
        <v>1518</v>
      </c>
      <c r="H77" s="20" t="s">
        <v>1519</v>
      </c>
      <c r="I77" s="20">
        <v>1331</v>
      </c>
      <c r="J77" s="20">
        <v>331</v>
      </c>
      <c r="K77" s="20" t="s">
        <v>20</v>
      </c>
      <c r="L77" s="20">
        <v>1</v>
      </c>
      <c r="M77" s="119">
        <v>157037</v>
      </c>
      <c r="N77" s="119">
        <f t="shared" si="10"/>
        <v>157037</v>
      </c>
      <c r="P77" s="20">
        <f t="shared" si="11"/>
        <v>136</v>
      </c>
    </row>
    <row r="78" spans="1:16" ht="15" hidden="1" customHeight="1" x14ac:dyDescent="0.2">
      <c r="A78" s="20" t="s">
        <v>18</v>
      </c>
      <c r="B78" s="61">
        <v>46101</v>
      </c>
      <c r="C78" s="20">
        <f t="shared" si="8"/>
        <v>416</v>
      </c>
      <c r="D78" s="38">
        <f t="shared" si="9"/>
        <v>1</v>
      </c>
      <c r="G78" s="32" t="s">
        <v>43</v>
      </c>
      <c r="H78" s="20" t="s">
        <v>1531</v>
      </c>
      <c r="I78" s="20">
        <v>131</v>
      </c>
      <c r="J78" s="20">
        <v>5113</v>
      </c>
      <c r="K78" s="20" t="s">
        <v>20</v>
      </c>
      <c r="L78" s="20">
        <v>1</v>
      </c>
      <c r="M78" s="119">
        <v>13333333</v>
      </c>
      <c r="N78" s="119">
        <f t="shared" si="10"/>
        <v>13333333</v>
      </c>
      <c r="P78" s="20">
        <f t="shared" si="11"/>
        <v>175</v>
      </c>
    </row>
    <row r="79" spans="1:16" ht="15" customHeight="1" x14ac:dyDescent="0.2">
      <c r="A79" s="20" t="s">
        <v>18</v>
      </c>
      <c r="B79" s="61">
        <v>46101</v>
      </c>
      <c r="C79" s="20">
        <f t="shared" si="8"/>
        <v>417</v>
      </c>
      <c r="D79" s="38">
        <f t="shared" si="9"/>
        <v>1</v>
      </c>
      <c r="G79" s="20" t="s">
        <v>43</v>
      </c>
      <c r="H79" s="20" t="s">
        <v>3519</v>
      </c>
      <c r="I79" s="20">
        <v>333821</v>
      </c>
      <c r="J79" s="20">
        <v>131</v>
      </c>
      <c r="K79" s="20" t="s">
        <v>20</v>
      </c>
      <c r="L79" s="20">
        <v>1</v>
      </c>
      <c r="M79" s="119">
        <v>133333</v>
      </c>
      <c r="N79" s="119">
        <f t="shared" si="10"/>
        <v>133333</v>
      </c>
      <c r="P79" s="20">
        <f t="shared" si="11"/>
        <v>191</v>
      </c>
    </row>
    <row r="80" spans="1:16" ht="15" hidden="1" customHeight="1" x14ac:dyDescent="0.2">
      <c r="A80" s="20" t="s">
        <v>18</v>
      </c>
      <c r="B80" s="61">
        <v>46106</v>
      </c>
      <c r="C80" s="20">
        <f t="shared" si="8"/>
        <v>418</v>
      </c>
      <c r="D80" s="38">
        <f t="shared" si="9"/>
        <v>1</v>
      </c>
      <c r="E80" s="38"/>
      <c r="F80" s="38"/>
      <c r="G80" s="59" t="s">
        <v>1533</v>
      </c>
      <c r="H80" s="20" t="s">
        <v>1534</v>
      </c>
      <c r="I80" s="20">
        <v>131</v>
      </c>
      <c r="J80" s="20">
        <v>5113</v>
      </c>
      <c r="K80" s="38" t="s">
        <v>20</v>
      </c>
      <c r="L80" s="38">
        <v>1</v>
      </c>
      <c r="M80" s="57">
        <v>18555556</v>
      </c>
      <c r="N80" s="119">
        <f t="shared" si="10"/>
        <v>18555556</v>
      </c>
      <c r="P80" s="20">
        <f t="shared" si="11"/>
        <v>139</v>
      </c>
    </row>
    <row r="81" spans="1:16" ht="15" customHeight="1" x14ac:dyDescent="0.2">
      <c r="A81" s="20" t="s">
        <v>18</v>
      </c>
      <c r="B81" s="61">
        <v>46106</v>
      </c>
      <c r="C81" s="20">
        <f t="shared" si="8"/>
        <v>419</v>
      </c>
      <c r="D81" s="38">
        <f t="shared" si="9"/>
        <v>1</v>
      </c>
      <c r="G81" s="20" t="s">
        <v>1533</v>
      </c>
      <c r="H81" s="20" t="s">
        <v>3520</v>
      </c>
      <c r="I81" s="20">
        <v>333821</v>
      </c>
      <c r="J81" s="20">
        <v>131</v>
      </c>
      <c r="K81" s="20" t="s">
        <v>20</v>
      </c>
      <c r="L81" s="20">
        <v>1</v>
      </c>
      <c r="M81" s="119">
        <v>185556</v>
      </c>
      <c r="N81" s="119">
        <f t="shared" si="10"/>
        <v>185556</v>
      </c>
      <c r="P81" s="20">
        <f t="shared" si="11"/>
        <v>155</v>
      </c>
    </row>
    <row r="82" spans="1:16" ht="15" customHeight="1" x14ac:dyDescent="0.2">
      <c r="A82" s="20" t="s">
        <v>18</v>
      </c>
      <c r="B82" s="61">
        <v>46106</v>
      </c>
      <c r="C82" s="20">
        <f t="shared" si="8"/>
        <v>420</v>
      </c>
      <c r="D82" s="38">
        <f t="shared" si="9"/>
        <v>1</v>
      </c>
      <c r="G82" s="20" t="s">
        <v>29</v>
      </c>
      <c r="H82" s="20" t="s">
        <v>3521</v>
      </c>
      <c r="I82" s="20">
        <v>333821</v>
      </c>
      <c r="J82" s="20">
        <v>131</v>
      </c>
      <c r="K82" s="20" t="s">
        <v>20</v>
      </c>
      <c r="L82" s="20">
        <v>1</v>
      </c>
      <c r="M82" s="119">
        <v>244444</v>
      </c>
      <c r="N82" s="119">
        <f t="shared" si="10"/>
        <v>244444</v>
      </c>
      <c r="P82" s="20">
        <f t="shared" si="11"/>
        <v>161</v>
      </c>
    </row>
    <row r="83" spans="1:16" ht="15" hidden="1" customHeight="1" x14ac:dyDescent="0.2">
      <c r="A83" s="20" t="s">
        <v>18</v>
      </c>
      <c r="B83" s="61">
        <v>46106</v>
      </c>
      <c r="C83" s="20">
        <f t="shared" si="8"/>
        <v>421</v>
      </c>
      <c r="D83" s="38">
        <f t="shared" si="9"/>
        <v>1</v>
      </c>
      <c r="E83" s="38"/>
      <c r="F83" s="38"/>
      <c r="G83" s="59" t="s">
        <v>29</v>
      </c>
      <c r="H83" s="20" t="s">
        <v>1532</v>
      </c>
      <c r="I83" s="20">
        <v>131</v>
      </c>
      <c r="J83" s="20">
        <v>5113</v>
      </c>
      <c r="K83" s="38" t="s">
        <v>20</v>
      </c>
      <c r="L83" s="38">
        <v>1</v>
      </c>
      <c r="M83" s="57">
        <v>24444444</v>
      </c>
      <c r="N83" s="119">
        <f t="shared" si="10"/>
        <v>24444444</v>
      </c>
      <c r="P83" s="20">
        <f t="shared" si="11"/>
        <v>145</v>
      </c>
    </row>
    <row r="84" spans="1:16" ht="15" hidden="1" customHeight="1" x14ac:dyDescent="0.2">
      <c r="A84" s="20" t="s">
        <v>18</v>
      </c>
      <c r="B84" s="61">
        <v>46108</v>
      </c>
      <c r="C84" s="20">
        <f t="shared" si="8"/>
        <v>422</v>
      </c>
      <c r="D84" s="38">
        <f t="shared" si="9"/>
        <v>1</v>
      </c>
      <c r="E84" s="38"/>
      <c r="F84" s="38"/>
      <c r="G84" s="59" t="s">
        <v>73</v>
      </c>
      <c r="H84" s="20" t="s">
        <v>1535</v>
      </c>
      <c r="I84" s="20">
        <v>131</v>
      </c>
      <c r="J84" s="20">
        <v>5113</v>
      </c>
      <c r="K84" s="38" t="s">
        <v>20</v>
      </c>
      <c r="L84" s="38">
        <v>1</v>
      </c>
      <c r="M84" s="57">
        <v>15000000</v>
      </c>
      <c r="N84" s="119">
        <f t="shared" si="10"/>
        <v>15000000</v>
      </c>
      <c r="P84" s="20">
        <f t="shared" si="11"/>
        <v>185</v>
      </c>
    </row>
    <row r="85" spans="1:16" ht="15" customHeight="1" x14ac:dyDescent="0.2">
      <c r="A85" s="20" t="s">
        <v>18</v>
      </c>
      <c r="B85" s="61">
        <v>46108</v>
      </c>
      <c r="C85" s="20">
        <f t="shared" si="8"/>
        <v>423</v>
      </c>
      <c r="D85" s="38">
        <f t="shared" si="9"/>
        <v>1</v>
      </c>
      <c r="G85" s="20" t="s">
        <v>73</v>
      </c>
      <c r="H85" s="20" t="s">
        <v>3522</v>
      </c>
      <c r="I85" s="20">
        <v>333821</v>
      </c>
      <c r="J85" s="20">
        <v>131</v>
      </c>
      <c r="K85" s="20" t="s">
        <v>20</v>
      </c>
      <c r="L85" s="20">
        <v>1</v>
      </c>
      <c r="M85" s="119">
        <v>150000</v>
      </c>
      <c r="N85" s="119">
        <f t="shared" si="10"/>
        <v>150000</v>
      </c>
      <c r="P85" s="20">
        <f t="shared" si="11"/>
        <v>201</v>
      </c>
    </row>
    <row r="86" spans="1:16" ht="15" hidden="1" customHeight="1" x14ac:dyDescent="0.2">
      <c r="A86" s="20" t="s">
        <v>18</v>
      </c>
      <c r="B86" s="61">
        <v>46110</v>
      </c>
      <c r="C86" s="20">
        <f t="shared" si="8"/>
        <v>424</v>
      </c>
      <c r="D86" s="38">
        <f t="shared" si="9"/>
        <v>1</v>
      </c>
      <c r="G86" s="20" t="s">
        <v>35</v>
      </c>
      <c r="H86" s="20" t="s">
        <v>1520</v>
      </c>
      <c r="I86" s="20">
        <v>64277</v>
      </c>
      <c r="J86" s="20">
        <v>331</v>
      </c>
      <c r="K86" s="20" t="s">
        <v>20</v>
      </c>
      <c r="L86" s="20">
        <v>1</v>
      </c>
      <c r="M86" s="119">
        <v>2500000</v>
      </c>
      <c r="N86" s="119">
        <f t="shared" si="10"/>
        <v>2500000</v>
      </c>
      <c r="P86" s="20">
        <f t="shared" si="11"/>
        <v>42</v>
      </c>
    </row>
    <row r="87" spans="1:16" ht="15" hidden="1" customHeight="1" x14ac:dyDescent="0.2">
      <c r="A87" s="20" t="s">
        <v>18</v>
      </c>
      <c r="B87" s="61">
        <v>46110</v>
      </c>
      <c r="C87" s="20">
        <f t="shared" si="8"/>
        <v>424</v>
      </c>
      <c r="D87" s="38">
        <f t="shared" si="9"/>
        <v>0</v>
      </c>
      <c r="G87" s="32" t="s">
        <v>35</v>
      </c>
      <c r="H87" s="20" t="s">
        <v>1520</v>
      </c>
      <c r="I87" s="20">
        <v>1331</v>
      </c>
      <c r="J87" s="20">
        <v>331</v>
      </c>
      <c r="K87" s="20" t="s">
        <v>20</v>
      </c>
      <c r="L87" s="20">
        <v>1</v>
      </c>
      <c r="M87" s="119">
        <v>200000</v>
      </c>
      <c r="N87" s="119">
        <f t="shared" si="10"/>
        <v>200000</v>
      </c>
      <c r="P87" s="20">
        <f t="shared" si="11"/>
        <v>42</v>
      </c>
    </row>
    <row r="88" spans="1:16" ht="15" hidden="1" customHeight="1" x14ac:dyDescent="0.2">
      <c r="A88" s="20" t="s">
        <v>18</v>
      </c>
      <c r="B88" s="61">
        <v>46111</v>
      </c>
      <c r="C88" s="20">
        <f t="shared" si="8"/>
        <v>425</v>
      </c>
      <c r="D88" s="38">
        <f t="shared" si="9"/>
        <v>1</v>
      </c>
      <c r="G88" s="32" t="s">
        <v>88</v>
      </c>
      <c r="H88" s="20" t="s">
        <v>1537</v>
      </c>
      <c r="I88" s="20">
        <v>131</v>
      </c>
      <c r="J88" s="20">
        <v>5113</v>
      </c>
      <c r="K88" s="20" t="s">
        <v>20</v>
      </c>
      <c r="L88" s="20">
        <v>1</v>
      </c>
      <c r="M88" s="119">
        <v>15000000</v>
      </c>
      <c r="N88" s="119">
        <f t="shared" si="10"/>
        <v>15000000</v>
      </c>
      <c r="P88" s="20">
        <f t="shared" si="11"/>
        <v>130</v>
      </c>
    </row>
    <row r="89" spans="1:16" ht="15" hidden="1" customHeight="1" x14ac:dyDescent="0.2">
      <c r="A89" s="20" t="s">
        <v>18</v>
      </c>
      <c r="B89" s="61">
        <v>46111</v>
      </c>
      <c r="C89" s="20">
        <f t="shared" si="8"/>
        <v>426</v>
      </c>
      <c r="D89" s="38">
        <f t="shared" si="9"/>
        <v>1</v>
      </c>
      <c r="G89" s="32" t="s">
        <v>72</v>
      </c>
      <c r="H89" s="20" t="s">
        <v>1536</v>
      </c>
      <c r="I89" s="20">
        <v>131</v>
      </c>
      <c r="J89" s="20">
        <v>5113</v>
      </c>
      <c r="K89" s="20" t="s">
        <v>20</v>
      </c>
      <c r="L89" s="20">
        <v>1</v>
      </c>
      <c r="M89" s="119">
        <v>14444444</v>
      </c>
      <c r="N89" s="119">
        <f t="shared" si="10"/>
        <v>14444444</v>
      </c>
      <c r="P89" s="20">
        <f t="shared" si="11"/>
        <v>150</v>
      </c>
    </row>
    <row r="90" spans="1:16" ht="15" customHeight="1" x14ac:dyDescent="0.2">
      <c r="A90" s="20" t="s">
        <v>18</v>
      </c>
      <c r="B90" s="61">
        <v>46111</v>
      </c>
      <c r="C90" s="20">
        <f t="shared" si="8"/>
        <v>427</v>
      </c>
      <c r="D90" s="38">
        <f t="shared" si="9"/>
        <v>1</v>
      </c>
      <c r="G90" s="20" t="s">
        <v>88</v>
      </c>
      <c r="H90" s="20" t="s">
        <v>3523</v>
      </c>
      <c r="I90" s="20">
        <v>333821</v>
      </c>
      <c r="J90" s="20">
        <v>131</v>
      </c>
      <c r="K90" s="20" t="s">
        <v>20</v>
      </c>
      <c r="L90" s="20">
        <v>1</v>
      </c>
      <c r="M90" s="119">
        <v>150000</v>
      </c>
      <c r="N90" s="119">
        <f t="shared" si="10"/>
        <v>150000</v>
      </c>
      <c r="P90" s="20">
        <f t="shared" si="11"/>
        <v>146</v>
      </c>
    </row>
    <row r="91" spans="1:16" ht="15" customHeight="1" x14ac:dyDescent="0.2">
      <c r="A91" s="20" t="s">
        <v>18</v>
      </c>
      <c r="B91" s="61">
        <v>46111</v>
      </c>
      <c r="C91" s="20">
        <f t="shared" si="8"/>
        <v>428</v>
      </c>
      <c r="D91" s="38">
        <f t="shared" si="9"/>
        <v>1</v>
      </c>
      <c r="G91" s="20" t="s">
        <v>72</v>
      </c>
      <c r="H91" s="20" t="s">
        <v>3524</v>
      </c>
      <c r="I91" s="20">
        <v>333821</v>
      </c>
      <c r="J91" s="20">
        <v>131</v>
      </c>
      <c r="K91" s="20" t="s">
        <v>20</v>
      </c>
      <c r="L91" s="20">
        <v>1</v>
      </c>
      <c r="M91" s="119">
        <v>144444</v>
      </c>
      <c r="N91" s="119">
        <f t="shared" si="10"/>
        <v>144444</v>
      </c>
      <c r="P91" s="20">
        <f t="shared" si="11"/>
        <v>166</v>
      </c>
    </row>
    <row r="92" spans="1:16" ht="15" hidden="1" customHeight="1" x14ac:dyDescent="0.2">
      <c r="A92" s="20" t="s">
        <v>18</v>
      </c>
      <c r="B92" s="61">
        <v>46112</v>
      </c>
      <c r="C92" s="20">
        <f t="shared" si="8"/>
        <v>429</v>
      </c>
      <c r="D92" s="38">
        <f t="shared" si="9"/>
        <v>1</v>
      </c>
      <c r="G92" s="32" t="s">
        <v>39</v>
      </c>
      <c r="H92" s="20" t="s">
        <v>457</v>
      </c>
      <c r="I92" s="20">
        <v>64271</v>
      </c>
      <c r="J92" s="20">
        <v>3383</v>
      </c>
      <c r="K92" s="20" t="s">
        <v>20</v>
      </c>
      <c r="L92" s="20">
        <v>1</v>
      </c>
      <c r="M92" s="119">
        <v>690300</v>
      </c>
      <c r="N92" s="119">
        <f t="shared" si="10"/>
        <v>690300</v>
      </c>
      <c r="P92" s="20">
        <f t="shared" si="11"/>
        <v>30</v>
      </c>
    </row>
    <row r="93" spans="1:16" ht="15" hidden="1" customHeight="1" x14ac:dyDescent="0.2">
      <c r="A93" s="20" t="s">
        <v>3256</v>
      </c>
      <c r="B93" s="61">
        <v>46036</v>
      </c>
      <c r="C93" s="20">
        <f t="shared" si="8"/>
        <v>430</v>
      </c>
      <c r="D93" s="38">
        <f t="shared" si="9"/>
        <v>1</v>
      </c>
      <c r="G93" s="164" t="s">
        <v>87</v>
      </c>
      <c r="H93" s="20" t="s">
        <v>3498</v>
      </c>
      <c r="I93" s="20">
        <v>1111</v>
      </c>
      <c r="J93" s="20">
        <v>131</v>
      </c>
      <c r="K93" s="20" t="s">
        <v>20</v>
      </c>
      <c r="L93" s="20">
        <v>1</v>
      </c>
      <c r="M93" s="119">
        <v>13306451</v>
      </c>
      <c r="N93" s="119">
        <f t="shared" si="10"/>
        <v>13306451</v>
      </c>
      <c r="P93" s="20">
        <f t="shared" si="11"/>
        <v>166</v>
      </c>
    </row>
    <row r="94" spans="1:16" ht="15" hidden="1" customHeight="1" x14ac:dyDescent="0.2">
      <c r="A94" s="20" t="s">
        <v>3256</v>
      </c>
      <c r="B94" s="61">
        <v>46052</v>
      </c>
      <c r="C94" s="20">
        <f t="shared" si="8"/>
        <v>431</v>
      </c>
      <c r="D94" s="38">
        <f t="shared" si="9"/>
        <v>1</v>
      </c>
      <c r="G94" s="164" t="s">
        <v>39</v>
      </c>
      <c r="H94" s="20" t="s">
        <v>3499</v>
      </c>
      <c r="I94" s="20">
        <v>1111</v>
      </c>
      <c r="J94" s="20">
        <v>131</v>
      </c>
      <c r="K94" s="20" t="s">
        <v>20</v>
      </c>
      <c r="L94" s="20">
        <v>1</v>
      </c>
      <c r="M94" s="119">
        <v>4373845</v>
      </c>
      <c r="N94" s="119">
        <f t="shared" si="10"/>
        <v>4373845</v>
      </c>
      <c r="P94" s="20">
        <f t="shared" si="11"/>
        <v>48</v>
      </c>
    </row>
    <row r="95" spans="1:16" ht="15" hidden="1" customHeight="1" x14ac:dyDescent="0.2">
      <c r="A95" s="20" t="s">
        <v>3256</v>
      </c>
      <c r="B95" s="61">
        <v>46097</v>
      </c>
      <c r="C95" s="20">
        <f t="shared" si="8"/>
        <v>432</v>
      </c>
      <c r="D95" s="38">
        <v>1</v>
      </c>
      <c r="G95" s="164" t="s">
        <v>39</v>
      </c>
      <c r="H95" s="20" t="s">
        <v>3499</v>
      </c>
      <c r="I95" s="20">
        <v>1111</v>
      </c>
      <c r="J95" s="20">
        <v>131</v>
      </c>
      <c r="K95" s="20" t="s">
        <v>20</v>
      </c>
      <c r="L95" s="20">
        <v>1</v>
      </c>
      <c r="M95" s="119">
        <v>4329459</v>
      </c>
      <c r="N95" s="119">
        <f t="shared" si="10"/>
        <v>4329459</v>
      </c>
      <c r="P95" s="20">
        <f t="shared" si="11"/>
        <v>48</v>
      </c>
    </row>
  </sheetData>
  <autoFilter ref="A3:P95" xr:uid="{00000000-0009-0000-0000-00000D000000}">
    <filterColumn colId="8">
      <filters>
        <filter val="333821"/>
      </filters>
    </filterColumn>
    <filterColumn colId="9">
      <filters>
        <filter val="131"/>
      </filters>
    </filterColumn>
    <sortState xmlns:xlrd2="http://schemas.microsoft.com/office/spreadsheetml/2017/richdata2" ref="A4:P95">
      <sortCondition ref="A4:A95"/>
      <sortCondition ref="B4:B95"/>
      <sortCondition ref="H4:H95"/>
    </sortState>
  </autoFilter>
  <mergeCells count="13">
    <mergeCell ref="N1:N2"/>
    <mergeCell ref="G1:G2"/>
    <mergeCell ref="H1:H2"/>
    <mergeCell ref="I1:J1"/>
    <mergeCell ref="K1:K2"/>
    <mergeCell ref="L1:L2"/>
    <mergeCell ref="M1:M2"/>
    <mergeCell ref="F1:F2"/>
    <mergeCell ref="A1:A2"/>
    <mergeCell ref="B1:B2"/>
    <mergeCell ref="C1:C2"/>
    <mergeCell ref="D1:D2"/>
    <mergeCell ref="E1:E2"/>
  </mergeCells>
  <hyperlinks>
    <hyperlink ref="P1" location="Summary!A1" display="Back to summary" xr:uid="{00000000-0004-0000-0D00-000000000000}"/>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tabColor rgb="FF92D050"/>
  </sheetPr>
  <dimension ref="A1:Y104"/>
  <sheetViews>
    <sheetView workbookViewId="0">
      <selection activeCell="M45" sqref="M45:M104"/>
    </sheetView>
  </sheetViews>
  <sheetFormatPr defaultRowHeight="15" customHeight="1" x14ac:dyDescent="0.2"/>
  <cols>
    <col min="1" max="1" width="9.140625" style="12"/>
    <col min="2" max="2" width="10.7109375" style="36" bestFit="1" customWidth="1"/>
    <col min="3" max="6" width="9.140625" style="12"/>
    <col min="7" max="7" width="11" style="14" bestFit="1" customWidth="1"/>
    <col min="8" max="8" width="42.7109375" style="12" customWidth="1"/>
    <col min="9" max="12" width="9.140625" style="12"/>
    <col min="13" max="14" width="11.5703125" style="17" bestFit="1" customWidth="1"/>
    <col min="15" max="15" width="11.5703125" style="12" bestFit="1" customWidth="1"/>
    <col min="16" max="16" width="9.85546875" style="12" bestFit="1" customWidth="1"/>
    <col min="17" max="17" width="9.140625" style="12"/>
    <col min="18" max="18" width="12.7109375" style="14" bestFit="1" customWidth="1"/>
    <col min="19" max="19" width="9.140625" style="12"/>
    <col min="20" max="25" width="9.140625" style="14"/>
    <col min="26" max="16384" width="9.140625" style="12"/>
  </cols>
  <sheetData>
    <row r="1" spans="1:17" ht="15" customHeight="1" thickBot="1" x14ac:dyDescent="0.25">
      <c r="A1" s="215" t="s">
        <v>0</v>
      </c>
      <c r="B1" s="219" t="s">
        <v>1</v>
      </c>
      <c r="C1" s="215" t="s">
        <v>2</v>
      </c>
      <c r="D1" s="221" t="s">
        <v>3</v>
      </c>
      <c r="E1" s="217" t="s">
        <v>4</v>
      </c>
      <c r="F1" s="221" t="s">
        <v>5</v>
      </c>
      <c r="G1" s="209" t="s">
        <v>6</v>
      </c>
      <c r="H1" s="257" t="s">
        <v>7</v>
      </c>
      <c r="I1" s="213" t="s">
        <v>8</v>
      </c>
      <c r="J1" s="214"/>
      <c r="K1" s="215" t="s">
        <v>9</v>
      </c>
      <c r="L1" s="215" t="s">
        <v>10</v>
      </c>
      <c r="M1" s="207" t="s">
        <v>11</v>
      </c>
      <c r="N1" s="207" t="s">
        <v>12</v>
      </c>
      <c r="O1" s="1"/>
      <c r="P1" s="146" t="s">
        <v>356</v>
      </c>
    </row>
    <row r="2" spans="1:17" ht="15" customHeight="1" thickBot="1" x14ac:dyDescent="0.25">
      <c r="A2" s="216"/>
      <c r="B2" s="220"/>
      <c r="C2" s="216"/>
      <c r="D2" s="222"/>
      <c r="E2" s="223"/>
      <c r="F2" s="256"/>
      <c r="G2" s="210"/>
      <c r="H2" s="258"/>
      <c r="I2" s="15" t="s">
        <v>13</v>
      </c>
      <c r="J2" s="2" t="s">
        <v>14</v>
      </c>
      <c r="K2" s="216"/>
      <c r="L2" s="216"/>
      <c r="M2" s="208"/>
      <c r="N2" s="208"/>
      <c r="O2" s="3"/>
    </row>
    <row r="3" spans="1:17" ht="15" customHeight="1" x14ac:dyDescent="0.2">
      <c r="A3" s="4"/>
      <c r="B3" s="5"/>
      <c r="C3" s="4" t="s">
        <v>3584</v>
      </c>
      <c r="D3" s="6"/>
      <c r="E3" s="6"/>
      <c r="F3" s="6"/>
      <c r="G3" s="4" t="s">
        <v>15</v>
      </c>
      <c r="H3" s="7"/>
      <c r="I3" s="8"/>
      <c r="J3" s="8"/>
      <c r="K3" s="9"/>
      <c r="L3" s="10"/>
      <c r="M3" s="16"/>
      <c r="N3" s="16"/>
      <c r="O3" s="12" t="s">
        <v>16</v>
      </c>
      <c r="P3" s="12" t="s">
        <v>17</v>
      </c>
      <c r="Q3" s="12" t="s">
        <v>376</v>
      </c>
    </row>
    <row r="4" spans="1:17" ht="15" hidden="1" customHeight="1" x14ac:dyDescent="0.2">
      <c r="A4" s="12" t="s">
        <v>309</v>
      </c>
      <c r="B4" s="36" t="s">
        <v>658</v>
      </c>
      <c r="C4" s="120">
        <f t="shared" ref="C4:C35" si="0">C3+D4</f>
        <v>274</v>
      </c>
      <c r="D4" s="38">
        <f t="shared" ref="D4:D35" si="1">IF(H4=H3,0,1)</f>
        <v>1</v>
      </c>
      <c r="G4" s="12" t="s">
        <v>56</v>
      </c>
      <c r="H4" s="12" t="s">
        <v>3559</v>
      </c>
      <c r="I4" s="12">
        <v>112121</v>
      </c>
      <c r="J4" s="20">
        <v>131</v>
      </c>
      <c r="K4" s="12" t="s">
        <v>20</v>
      </c>
      <c r="L4" s="12">
        <v>1</v>
      </c>
      <c r="M4" s="17">
        <v>12774194</v>
      </c>
      <c r="N4" s="17">
        <f t="shared" ref="N4:N35" si="2">L4*M4</f>
        <v>12774194</v>
      </c>
      <c r="O4" s="17"/>
      <c r="Q4" s="12">
        <f t="shared" ref="Q4:Q35" si="3">LEN(H4)</f>
        <v>161</v>
      </c>
    </row>
    <row r="5" spans="1:17" ht="15" hidden="1" customHeight="1" x14ac:dyDescent="0.2">
      <c r="A5" s="12" t="s">
        <v>309</v>
      </c>
      <c r="B5" s="36" t="s">
        <v>537</v>
      </c>
      <c r="C5" s="120">
        <f t="shared" si="0"/>
        <v>275</v>
      </c>
      <c r="D5" s="38">
        <f t="shared" si="1"/>
        <v>1</v>
      </c>
      <c r="G5" s="14" t="s">
        <v>51</v>
      </c>
      <c r="H5" s="12" t="s">
        <v>3560</v>
      </c>
      <c r="I5" s="12">
        <v>112121</v>
      </c>
      <c r="J5" s="20">
        <v>131</v>
      </c>
      <c r="K5" s="12" t="s">
        <v>20</v>
      </c>
      <c r="L5" s="12">
        <v>1</v>
      </c>
      <c r="M5" s="17">
        <v>9408602</v>
      </c>
      <c r="N5" s="17">
        <f t="shared" si="2"/>
        <v>9408602</v>
      </c>
      <c r="O5" s="17"/>
      <c r="Q5" s="12">
        <f t="shared" si="3"/>
        <v>171</v>
      </c>
    </row>
    <row r="6" spans="1:17" ht="15" hidden="1" customHeight="1" x14ac:dyDescent="0.2">
      <c r="A6" s="12" t="s">
        <v>309</v>
      </c>
      <c r="B6" s="36" t="s">
        <v>659</v>
      </c>
      <c r="C6" s="120">
        <f t="shared" si="0"/>
        <v>276</v>
      </c>
      <c r="D6" s="38">
        <f t="shared" si="1"/>
        <v>1</v>
      </c>
      <c r="G6" s="12" t="s">
        <v>70</v>
      </c>
      <c r="H6" s="12" t="s">
        <v>3561</v>
      </c>
      <c r="I6" s="12">
        <v>112121</v>
      </c>
      <c r="J6" s="20">
        <v>5154</v>
      </c>
      <c r="K6" s="12" t="s">
        <v>20</v>
      </c>
      <c r="L6" s="12">
        <v>1</v>
      </c>
      <c r="M6" s="17">
        <v>306</v>
      </c>
      <c r="N6" s="17">
        <f t="shared" si="2"/>
        <v>306</v>
      </c>
      <c r="O6" s="17"/>
      <c r="Q6" s="12">
        <f t="shared" si="3"/>
        <v>22</v>
      </c>
    </row>
    <row r="7" spans="1:17" ht="15" hidden="1" customHeight="1" x14ac:dyDescent="0.2">
      <c r="A7" s="12" t="s">
        <v>309</v>
      </c>
      <c r="B7" s="36" t="s">
        <v>498</v>
      </c>
      <c r="C7" s="120">
        <f t="shared" si="0"/>
        <v>277</v>
      </c>
      <c r="D7" s="38">
        <f t="shared" si="1"/>
        <v>1</v>
      </c>
      <c r="G7" s="14" t="s">
        <v>3563</v>
      </c>
      <c r="H7" s="12" t="s">
        <v>3564</v>
      </c>
      <c r="I7" s="12">
        <v>112121</v>
      </c>
      <c r="J7" s="20">
        <v>131</v>
      </c>
      <c r="K7" s="12" t="s">
        <v>20</v>
      </c>
      <c r="L7" s="12">
        <v>1</v>
      </c>
      <c r="M7" s="17">
        <v>15967742</v>
      </c>
      <c r="N7" s="17">
        <f t="shared" si="2"/>
        <v>15967742</v>
      </c>
      <c r="O7" s="17"/>
      <c r="Q7" s="12">
        <f t="shared" si="3"/>
        <v>156</v>
      </c>
    </row>
    <row r="8" spans="1:17" ht="15" hidden="1" customHeight="1" x14ac:dyDescent="0.2">
      <c r="A8" s="12" t="s">
        <v>309</v>
      </c>
      <c r="B8" s="36" t="s">
        <v>545</v>
      </c>
      <c r="C8" s="120">
        <f t="shared" si="0"/>
        <v>278</v>
      </c>
      <c r="D8" s="38">
        <f t="shared" si="1"/>
        <v>1</v>
      </c>
      <c r="G8" s="14" t="s">
        <v>3565</v>
      </c>
      <c r="H8" s="12" t="s">
        <v>3566</v>
      </c>
      <c r="I8" s="12">
        <v>112121</v>
      </c>
      <c r="J8" s="12">
        <v>131</v>
      </c>
      <c r="K8" s="12" t="s">
        <v>20</v>
      </c>
      <c r="L8" s="12">
        <v>1</v>
      </c>
      <c r="M8" s="17">
        <v>6600000</v>
      </c>
      <c r="N8" s="17">
        <f t="shared" si="2"/>
        <v>6600000</v>
      </c>
      <c r="O8" s="17"/>
      <c r="Q8" s="12">
        <f t="shared" si="3"/>
        <v>152</v>
      </c>
    </row>
    <row r="9" spans="1:17" ht="15" hidden="1" customHeight="1" x14ac:dyDescent="0.2">
      <c r="A9" s="12" t="s">
        <v>309</v>
      </c>
      <c r="B9" s="36" t="s">
        <v>476</v>
      </c>
      <c r="C9" s="120">
        <f t="shared" si="0"/>
        <v>279</v>
      </c>
      <c r="D9" s="38">
        <f t="shared" si="1"/>
        <v>1</v>
      </c>
      <c r="G9" s="14" t="s">
        <v>43</v>
      </c>
      <c r="H9" s="12" t="s">
        <v>3581</v>
      </c>
      <c r="I9" s="12">
        <v>112121</v>
      </c>
      <c r="J9" s="12">
        <v>131</v>
      </c>
      <c r="K9" s="12" t="s">
        <v>20</v>
      </c>
      <c r="L9" s="12">
        <v>1</v>
      </c>
      <c r="M9" s="17">
        <v>6600000</v>
      </c>
      <c r="N9" s="17">
        <f t="shared" si="2"/>
        <v>6600000</v>
      </c>
      <c r="O9" s="17"/>
      <c r="Q9" s="12">
        <f t="shared" si="3"/>
        <v>158</v>
      </c>
    </row>
    <row r="10" spans="1:17" ht="15" hidden="1" customHeight="1" x14ac:dyDescent="0.2">
      <c r="A10" s="12" t="s">
        <v>309</v>
      </c>
      <c r="B10" s="36" t="s">
        <v>499</v>
      </c>
      <c r="C10" s="120">
        <f t="shared" si="0"/>
        <v>280</v>
      </c>
      <c r="D10" s="38">
        <f t="shared" si="1"/>
        <v>1</v>
      </c>
      <c r="G10" s="14" t="s">
        <v>70</v>
      </c>
      <c r="H10" s="12" t="s">
        <v>3561</v>
      </c>
      <c r="I10" s="12">
        <v>112121</v>
      </c>
      <c r="J10" s="12">
        <v>5154</v>
      </c>
      <c r="K10" s="12" t="s">
        <v>20</v>
      </c>
      <c r="L10" s="12">
        <v>1</v>
      </c>
      <c r="M10" s="17">
        <v>143</v>
      </c>
      <c r="N10" s="17">
        <f t="shared" si="2"/>
        <v>143</v>
      </c>
      <c r="O10" s="17"/>
      <c r="Q10" s="12">
        <f t="shared" si="3"/>
        <v>22</v>
      </c>
    </row>
    <row r="11" spans="1:17" ht="15" hidden="1" customHeight="1" x14ac:dyDescent="0.2">
      <c r="A11" s="12" t="s">
        <v>309</v>
      </c>
      <c r="B11" s="36" t="s">
        <v>499</v>
      </c>
      <c r="C11" s="120">
        <f t="shared" si="0"/>
        <v>281</v>
      </c>
      <c r="D11" s="38">
        <f t="shared" si="1"/>
        <v>1</v>
      </c>
      <c r="G11" s="14" t="s">
        <v>81</v>
      </c>
      <c r="H11" s="12" t="s">
        <v>3567</v>
      </c>
      <c r="I11" s="12">
        <v>112121</v>
      </c>
      <c r="J11" s="12">
        <v>131</v>
      </c>
      <c r="K11" s="12" t="s">
        <v>20</v>
      </c>
      <c r="L11" s="12">
        <v>1</v>
      </c>
      <c r="M11" s="17">
        <v>15400000</v>
      </c>
      <c r="N11" s="17">
        <f t="shared" si="2"/>
        <v>15400000</v>
      </c>
      <c r="O11" s="17"/>
      <c r="Q11" s="12">
        <f t="shared" si="3"/>
        <v>102</v>
      </c>
    </row>
    <row r="12" spans="1:17" ht="15" hidden="1" customHeight="1" x14ac:dyDescent="0.2">
      <c r="A12" s="12" t="s">
        <v>309</v>
      </c>
      <c r="B12" s="36" t="s">
        <v>501</v>
      </c>
      <c r="C12" s="120">
        <f t="shared" si="0"/>
        <v>282</v>
      </c>
      <c r="D12" s="38">
        <f t="shared" si="1"/>
        <v>1</v>
      </c>
      <c r="G12" s="14" t="s">
        <v>3568</v>
      </c>
      <c r="H12" s="12" t="s">
        <v>3569</v>
      </c>
      <c r="I12" s="12">
        <v>112121</v>
      </c>
      <c r="J12" s="12">
        <v>131</v>
      </c>
      <c r="K12" s="12" t="s">
        <v>20</v>
      </c>
      <c r="L12" s="12">
        <v>1</v>
      </c>
      <c r="M12" s="17">
        <v>61290345</v>
      </c>
      <c r="N12" s="17">
        <f t="shared" si="2"/>
        <v>61290345</v>
      </c>
      <c r="O12" s="17"/>
      <c r="Q12" s="12">
        <f t="shared" si="3"/>
        <v>137</v>
      </c>
    </row>
    <row r="13" spans="1:17" ht="15" hidden="1" customHeight="1" x14ac:dyDescent="0.2">
      <c r="A13" s="12" t="s">
        <v>309</v>
      </c>
      <c r="B13" s="36" t="s">
        <v>478</v>
      </c>
      <c r="C13" s="120">
        <f t="shared" si="0"/>
        <v>283</v>
      </c>
      <c r="D13" s="38">
        <f t="shared" si="1"/>
        <v>1</v>
      </c>
      <c r="G13" s="14" t="s">
        <v>767</v>
      </c>
      <c r="H13" s="12" t="s">
        <v>3570</v>
      </c>
      <c r="I13" s="12">
        <v>112121</v>
      </c>
      <c r="J13" s="12">
        <v>131</v>
      </c>
      <c r="K13" s="12" t="s">
        <v>20</v>
      </c>
      <c r="L13" s="12">
        <v>1</v>
      </c>
      <c r="M13" s="17">
        <v>19800000</v>
      </c>
      <c r="N13" s="17">
        <f t="shared" si="2"/>
        <v>19800000</v>
      </c>
      <c r="O13" s="17"/>
      <c r="Q13" s="12">
        <f t="shared" si="3"/>
        <v>103</v>
      </c>
    </row>
    <row r="14" spans="1:17" ht="15" hidden="1" customHeight="1" x14ac:dyDescent="0.2">
      <c r="A14" s="12" t="s">
        <v>309</v>
      </c>
      <c r="B14" s="36" t="s">
        <v>549</v>
      </c>
      <c r="C14" s="120">
        <f t="shared" si="0"/>
        <v>284</v>
      </c>
      <c r="D14" s="38">
        <f t="shared" si="1"/>
        <v>1</v>
      </c>
      <c r="G14" s="14" t="s">
        <v>1880</v>
      </c>
      <c r="H14" s="12" t="s">
        <v>3571</v>
      </c>
      <c r="I14" s="12">
        <v>112121</v>
      </c>
      <c r="J14" s="12">
        <v>131</v>
      </c>
      <c r="K14" s="12" t="s">
        <v>20</v>
      </c>
      <c r="L14" s="12">
        <v>1</v>
      </c>
      <c r="M14" s="17">
        <v>12774194</v>
      </c>
      <c r="N14" s="17">
        <f t="shared" si="2"/>
        <v>12774194</v>
      </c>
      <c r="O14" s="17"/>
      <c r="Q14" s="12">
        <f t="shared" si="3"/>
        <v>100</v>
      </c>
    </row>
    <row r="15" spans="1:17" ht="15" hidden="1" customHeight="1" x14ac:dyDescent="0.2">
      <c r="A15" s="12" t="s">
        <v>309</v>
      </c>
      <c r="B15" s="36" t="s">
        <v>551</v>
      </c>
      <c r="C15" s="120">
        <f t="shared" si="0"/>
        <v>285</v>
      </c>
      <c r="D15" s="38">
        <f t="shared" si="1"/>
        <v>1</v>
      </c>
      <c r="G15" s="14" t="s">
        <v>53</v>
      </c>
      <c r="H15" s="12" t="s">
        <v>3572</v>
      </c>
      <c r="I15" s="12">
        <v>112121</v>
      </c>
      <c r="J15" s="12">
        <v>131</v>
      </c>
      <c r="K15" s="12" t="s">
        <v>20</v>
      </c>
      <c r="L15" s="12">
        <v>1</v>
      </c>
      <c r="M15" s="17">
        <v>13200000</v>
      </c>
      <c r="N15" s="17">
        <f t="shared" si="2"/>
        <v>13200000</v>
      </c>
      <c r="O15" s="17"/>
      <c r="Q15" s="12">
        <f t="shared" si="3"/>
        <v>185</v>
      </c>
    </row>
    <row r="16" spans="1:17" ht="15" hidden="1" customHeight="1" x14ac:dyDescent="0.2">
      <c r="A16" s="12" t="s">
        <v>309</v>
      </c>
      <c r="B16" s="36" t="s">
        <v>554</v>
      </c>
      <c r="C16" s="120">
        <f t="shared" si="0"/>
        <v>286</v>
      </c>
      <c r="D16" s="38">
        <f t="shared" si="1"/>
        <v>1</v>
      </c>
      <c r="G16" s="14" t="s">
        <v>716</v>
      </c>
      <c r="H16" s="12" t="s">
        <v>3575</v>
      </c>
      <c r="I16" s="12">
        <v>112121</v>
      </c>
      <c r="J16" s="12">
        <v>131</v>
      </c>
      <c r="K16" s="12" t="s">
        <v>20</v>
      </c>
      <c r="L16" s="12">
        <v>1</v>
      </c>
      <c r="M16" s="17">
        <v>13200000</v>
      </c>
      <c r="N16" s="17">
        <f t="shared" si="2"/>
        <v>13200000</v>
      </c>
      <c r="O16" s="17"/>
      <c r="Q16" s="12">
        <f t="shared" si="3"/>
        <v>119</v>
      </c>
    </row>
    <row r="17" spans="1:19" ht="15" hidden="1" customHeight="1" x14ac:dyDescent="0.2">
      <c r="A17" s="12" t="s">
        <v>309</v>
      </c>
      <c r="B17" s="36" t="s">
        <v>554</v>
      </c>
      <c r="C17" s="120">
        <f t="shared" si="0"/>
        <v>287</v>
      </c>
      <c r="D17" s="38">
        <f t="shared" si="1"/>
        <v>1</v>
      </c>
      <c r="G17" s="14" t="s">
        <v>3573</v>
      </c>
      <c r="H17" s="12" t="s">
        <v>3574</v>
      </c>
      <c r="I17" s="12">
        <v>112121</v>
      </c>
      <c r="J17" s="12">
        <v>131</v>
      </c>
      <c r="K17" s="12" t="s">
        <v>20</v>
      </c>
      <c r="L17" s="12">
        <v>1</v>
      </c>
      <c r="M17" s="17">
        <v>94209678</v>
      </c>
      <c r="N17" s="17">
        <f t="shared" si="2"/>
        <v>94209678</v>
      </c>
      <c r="O17" s="17"/>
      <c r="Q17" s="12">
        <f t="shared" si="3"/>
        <v>135</v>
      </c>
    </row>
    <row r="18" spans="1:19" ht="15" hidden="1" customHeight="1" x14ac:dyDescent="0.2">
      <c r="A18" s="165" t="s">
        <v>309</v>
      </c>
      <c r="B18" s="166" t="s">
        <v>505</v>
      </c>
      <c r="C18" s="167">
        <f t="shared" si="0"/>
        <v>288</v>
      </c>
      <c r="D18" s="168">
        <f t="shared" si="1"/>
        <v>1</v>
      </c>
      <c r="E18" s="165"/>
      <c r="F18" s="165"/>
      <c r="G18" s="171" t="s">
        <v>26</v>
      </c>
      <c r="H18" s="165" t="s">
        <v>3585</v>
      </c>
      <c r="I18" s="165">
        <v>112121</v>
      </c>
      <c r="J18" s="165">
        <v>131</v>
      </c>
      <c r="K18" s="165" t="s">
        <v>20</v>
      </c>
      <c r="L18" s="165">
        <v>1</v>
      </c>
      <c r="M18" s="170">
        <v>13200000</v>
      </c>
      <c r="N18" s="170">
        <f t="shared" si="2"/>
        <v>13200000</v>
      </c>
      <c r="O18" s="170"/>
      <c r="P18" s="165"/>
      <c r="Q18" s="165">
        <f t="shared" si="3"/>
        <v>186</v>
      </c>
    </row>
    <row r="19" spans="1:19" ht="15" hidden="1" customHeight="1" x14ac:dyDescent="0.2">
      <c r="A19" s="12" t="s">
        <v>309</v>
      </c>
      <c r="B19" s="36" t="s">
        <v>480</v>
      </c>
      <c r="C19" s="120">
        <f t="shared" si="0"/>
        <v>289</v>
      </c>
      <c r="D19" s="38">
        <f t="shared" si="1"/>
        <v>1</v>
      </c>
      <c r="G19" s="14" t="s">
        <v>2179</v>
      </c>
      <c r="H19" s="12" t="s">
        <v>3576</v>
      </c>
      <c r="I19" s="12">
        <v>112121</v>
      </c>
      <c r="J19" s="12">
        <v>131</v>
      </c>
      <c r="K19" s="12" t="s">
        <v>20</v>
      </c>
      <c r="L19" s="12">
        <v>1</v>
      </c>
      <c r="M19" s="17">
        <v>9900000</v>
      </c>
      <c r="N19" s="17">
        <f t="shared" si="2"/>
        <v>9900000</v>
      </c>
      <c r="O19" s="17"/>
      <c r="Q19" s="12">
        <f t="shared" si="3"/>
        <v>94</v>
      </c>
    </row>
    <row r="20" spans="1:19" ht="15" hidden="1" customHeight="1" x14ac:dyDescent="0.2">
      <c r="A20" s="12" t="s">
        <v>309</v>
      </c>
      <c r="B20" s="36" t="s">
        <v>662</v>
      </c>
      <c r="C20" s="120">
        <f t="shared" si="0"/>
        <v>290</v>
      </c>
      <c r="D20" s="38">
        <f t="shared" si="1"/>
        <v>1</v>
      </c>
      <c r="G20" s="14" t="s">
        <v>3577</v>
      </c>
      <c r="H20" s="12" t="s">
        <v>3578</v>
      </c>
      <c r="I20" s="12">
        <v>112121</v>
      </c>
      <c r="J20" s="12">
        <v>131</v>
      </c>
      <c r="K20" s="12" t="s">
        <v>20</v>
      </c>
      <c r="L20" s="12">
        <v>1</v>
      </c>
      <c r="M20" s="17">
        <v>14903225</v>
      </c>
      <c r="N20" s="17">
        <f t="shared" si="2"/>
        <v>14903225</v>
      </c>
      <c r="O20" s="17"/>
      <c r="Q20" s="12">
        <f t="shared" si="3"/>
        <v>105</v>
      </c>
    </row>
    <row r="21" spans="1:19" ht="15" hidden="1" customHeight="1" x14ac:dyDescent="0.2">
      <c r="A21" s="12" t="s">
        <v>309</v>
      </c>
      <c r="B21" s="36" t="s">
        <v>663</v>
      </c>
      <c r="C21" s="120">
        <f t="shared" si="0"/>
        <v>291</v>
      </c>
      <c r="D21" s="38">
        <f t="shared" si="1"/>
        <v>1</v>
      </c>
      <c r="G21" s="14" t="s">
        <v>73</v>
      </c>
      <c r="H21" s="12" t="s">
        <v>3579</v>
      </c>
      <c r="I21" s="12">
        <v>112121</v>
      </c>
      <c r="J21" s="12">
        <v>131</v>
      </c>
      <c r="K21" s="12" t="s">
        <v>20</v>
      </c>
      <c r="L21" s="12">
        <v>1</v>
      </c>
      <c r="M21" s="17">
        <v>26400000</v>
      </c>
      <c r="N21" s="17">
        <f t="shared" si="2"/>
        <v>26400000</v>
      </c>
      <c r="O21" s="17"/>
      <c r="Q21" s="12">
        <f t="shared" si="3"/>
        <v>133</v>
      </c>
    </row>
    <row r="22" spans="1:19" ht="15" hidden="1" customHeight="1" x14ac:dyDescent="0.2">
      <c r="A22" s="12" t="s">
        <v>309</v>
      </c>
      <c r="B22" s="36" t="s">
        <v>664</v>
      </c>
      <c r="C22" s="120">
        <f t="shared" si="0"/>
        <v>292</v>
      </c>
      <c r="D22" s="38">
        <f t="shared" si="1"/>
        <v>1</v>
      </c>
      <c r="G22" s="14" t="s">
        <v>70</v>
      </c>
      <c r="H22" s="12" t="s">
        <v>3561</v>
      </c>
      <c r="I22" s="12">
        <v>112121</v>
      </c>
      <c r="J22" s="12">
        <v>5154</v>
      </c>
      <c r="K22" s="12" t="s">
        <v>20</v>
      </c>
      <c r="L22" s="12">
        <v>1</v>
      </c>
      <c r="M22" s="17">
        <v>399</v>
      </c>
      <c r="N22" s="17">
        <f t="shared" si="2"/>
        <v>399</v>
      </c>
      <c r="O22" s="17"/>
      <c r="Q22" s="12">
        <f t="shared" si="3"/>
        <v>22</v>
      </c>
    </row>
    <row r="23" spans="1:19" ht="15" hidden="1" customHeight="1" x14ac:dyDescent="0.2">
      <c r="A23" s="12" t="s">
        <v>309</v>
      </c>
      <c r="B23" s="36" t="s">
        <v>560</v>
      </c>
      <c r="C23" s="120">
        <f t="shared" si="0"/>
        <v>293</v>
      </c>
      <c r="D23" s="38">
        <f t="shared" si="1"/>
        <v>1</v>
      </c>
      <c r="G23" s="14" t="s">
        <v>253</v>
      </c>
      <c r="H23" s="12" t="s">
        <v>3582</v>
      </c>
      <c r="I23" s="12">
        <v>112121</v>
      </c>
      <c r="J23" s="12">
        <v>131</v>
      </c>
      <c r="K23" s="12" t="s">
        <v>20</v>
      </c>
      <c r="L23" s="12">
        <v>1</v>
      </c>
      <c r="M23" s="17">
        <v>13200000</v>
      </c>
      <c r="N23" s="17">
        <f t="shared" si="2"/>
        <v>13200000</v>
      </c>
      <c r="O23" s="17"/>
      <c r="Q23" s="12">
        <f t="shared" si="3"/>
        <v>126</v>
      </c>
    </row>
    <row r="24" spans="1:19" ht="15" hidden="1" customHeight="1" x14ac:dyDescent="0.2">
      <c r="A24" s="12" t="s">
        <v>309</v>
      </c>
      <c r="B24" s="36" t="s">
        <v>507</v>
      </c>
      <c r="C24" s="120">
        <f t="shared" si="0"/>
        <v>294</v>
      </c>
      <c r="D24" s="38">
        <f t="shared" si="1"/>
        <v>1</v>
      </c>
      <c r="G24" s="14" t="s">
        <v>53</v>
      </c>
      <c r="H24" s="12" t="s">
        <v>3580</v>
      </c>
      <c r="I24" s="12">
        <v>112121</v>
      </c>
      <c r="J24" s="12">
        <v>131</v>
      </c>
      <c r="K24" s="12" t="s">
        <v>20</v>
      </c>
      <c r="L24" s="12">
        <v>1</v>
      </c>
      <c r="M24" s="17">
        <v>13200000</v>
      </c>
      <c r="N24" s="17">
        <f t="shared" si="2"/>
        <v>13200000</v>
      </c>
      <c r="O24" s="17"/>
      <c r="Q24" s="12">
        <f t="shared" si="3"/>
        <v>173</v>
      </c>
    </row>
    <row r="25" spans="1:19" ht="15" hidden="1" customHeight="1" x14ac:dyDescent="0.2">
      <c r="A25" s="165" t="s">
        <v>309</v>
      </c>
      <c r="B25" s="166" t="s">
        <v>507</v>
      </c>
      <c r="C25" s="167">
        <f t="shared" si="0"/>
        <v>295</v>
      </c>
      <c r="D25" s="168">
        <f t="shared" si="1"/>
        <v>1</v>
      </c>
      <c r="E25" s="165"/>
      <c r="F25" s="165"/>
      <c r="G25" s="171" t="s">
        <v>56</v>
      </c>
      <c r="H25" s="165" t="s">
        <v>3585</v>
      </c>
      <c r="I25" s="165">
        <v>112121</v>
      </c>
      <c r="J25" s="165">
        <v>131</v>
      </c>
      <c r="K25" s="165" t="s">
        <v>20</v>
      </c>
      <c r="L25" s="165">
        <v>1</v>
      </c>
      <c r="M25" s="170">
        <v>13200000</v>
      </c>
      <c r="N25" s="170">
        <f t="shared" si="2"/>
        <v>13200000</v>
      </c>
      <c r="O25" s="170"/>
      <c r="P25" s="165"/>
      <c r="Q25" s="165">
        <f t="shared" si="3"/>
        <v>186</v>
      </c>
    </row>
    <row r="26" spans="1:19" ht="15" hidden="1" customHeight="1" x14ac:dyDescent="0.2">
      <c r="A26" s="12" t="s">
        <v>308</v>
      </c>
      <c r="B26" s="36" t="s">
        <v>498</v>
      </c>
      <c r="C26" s="120">
        <f t="shared" si="0"/>
        <v>296</v>
      </c>
      <c r="D26" s="38">
        <f t="shared" si="1"/>
        <v>1</v>
      </c>
      <c r="G26" s="12" t="s">
        <v>41</v>
      </c>
      <c r="H26" s="12" t="s">
        <v>3562</v>
      </c>
      <c r="I26" s="12">
        <v>131</v>
      </c>
      <c r="J26" s="20">
        <v>112121</v>
      </c>
      <c r="K26" s="12" t="s">
        <v>20</v>
      </c>
      <c r="L26" s="12">
        <v>1</v>
      </c>
      <c r="M26" s="17">
        <v>15967742</v>
      </c>
      <c r="N26" s="17">
        <f t="shared" si="2"/>
        <v>15967742</v>
      </c>
      <c r="O26" s="17"/>
      <c r="Q26" s="12">
        <f t="shared" si="3"/>
        <v>27</v>
      </c>
      <c r="S26" s="84"/>
    </row>
    <row r="27" spans="1:19" ht="15" hidden="1" customHeight="1" x14ac:dyDescent="0.2">
      <c r="A27" s="12" t="s">
        <v>308</v>
      </c>
      <c r="B27" s="36" t="s">
        <v>498</v>
      </c>
      <c r="C27" s="120">
        <f t="shared" si="0"/>
        <v>297</v>
      </c>
      <c r="D27" s="38">
        <f t="shared" si="1"/>
        <v>1</v>
      </c>
      <c r="G27" s="14" t="s">
        <v>70</v>
      </c>
      <c r="H27" s="12" t="s">
        <v>2612</v>
      </c>
      <c r="I27" s="12">
        <v>3383</v>
      </c>
      <c r="J27" s="20">
        <v>112121</v>
      </c>
      <c r="K27" s="12" t="s">
        <v>20</v>
      </c>
      <c r="L27" s="12">
        <v>1</v>
      </c>
      <c r="M27" s="17">
        <v>690300</v>
      </c>
      <c r="N27" s="17">
        <f t="shared" si="2"/>
        <v>690300</v>
      </c>
      <c r="O27" s="17"/>
      <c r="Q27" s="12">
        <f t="shared" si="3"/>
        <v>8</v>
      </c>
      <c r="S27" s="84"/>
    </row>
    <row r="28" spans="1:19" ht="15" hidden="1" customHeight="1" x14ac:dyDescent="0.2">
      <c r="A28" s="12" t="s">
        <v>308</v>
      </c>
      <c r="B28" s="36" t="s">
        <v>473</v>
      </c>
      <c r="C28" s="120">
        <f t="shared" si="0"/>
        <v>298</v>
      </c>
      <c r="D28" s="38">
        <f t="shared" si="1"/>
        <v>1</v>
      </c>
      <c r="G28" s="14" t="s">
        <v>70</v>
      </c>
      <c r="H28" s="12" t="s">
        <v>3032</v>
      </c>
      <c r="I28" s="12">
        <v>1111</v>
      </c>
      <c r="J28" s="12">
        <v>112121</v>
      </c>
      <c r="K28" s="12" t="s">
        <v>20</v>
      </c>
      <c r="L28" s="12">
        <v>1</v>
      </c>
      <c r="M28" s="17">
        <v>20000000</v>
      </c>
      <c r="N28" s="17">
        <f t="shared" si="2"/>
        <v>20000000</v>
      </c>
      <c r="O28" s="17"/>
      <c r="Q28" s="12">
        <f t="shared" si="3"/>
        <v>40</v>
      </c>
    </row>
    <row r="29" spans="1:19" ht="15" hidden="1" customHeight="1" x14ac:dyDescent="0.2">
      <c r="A29" s="12" t="s">
        <v>308</v>
      </c>
      <c r="B29" s="36" t="s">
        <v>436</v>
      </c>
      <c r="C29" s="120">
        <f t="shared" si="0"/>
        <v>298</v>
      </c>
      <c r="D29" s="38">
        <f t="shared" si="1"/>
        <v>0</v>
      </c>
      <c r="G29" s="14" t="s">
        <v>70</v>
      </c>
      <c r="H29" s="12" t="s">
        <v>3032</v>
      </c>
      <c r="I29" s="12">
        <v>1111</v>
      </c>
      <c r="J29" s="12">
        <v>112121</v>
      </c>
      <c r="K29" s="12" t="s">
        <v>20</v>
      </c>
      <c r="L29" s="12">
        <v>1</v>
      </c>
      <c r="M29" s="17">
        <v>30000000</v>
      </c>
      <c r="N29" s="17">
        <f t="shared" si="2"/>
        <v>30000000</v>
      </c>
      <c r="O29" s="17"/>
      <c r="Q29" s="12">
        <f t="shared" si="3"/>
        <v>40</v>
      </c>
    </row>
    <row r="30" spans="1:19" ht="15" hidden="1" customHeight="1" x14ac:dyDescent="0.2">
      <c r="A30" s="12" t="s">
        <v>308</v>
      </c>
      <c r="B30" s="36" t="s">
        <v>500</v>
      </c>
      <c r="C30" s="120">
        <f t="shared" si="0"/>
        <v>299</v>
      </c>
      <c r="D30" s="38">
        <f t="shared" si="1"/>
        <v>1</v>
      </c>
      <c r="G30" s="14" t="s">
        <v>70</v>
      </c>
      <c r="H30" s="12" t="s">
        <v>2612</v>
      </c>
      <c r="I30" s="12">
        <v>3383</v>
      </c>
      <c r="J30" s="12">
        <v>112121</v>
      </c>
      <c r="K30" s="12" t="s">
        <v>20</v>
      </c>
      <c r="L30" s="12">
        <v>1</v>
      </c>
      <c r="M30" s="17">
        <v>690300</v>
      </c>
      <c r="N30" s="17">
        <f t="shared" si="2"/>
        <v>690300</v>
      </c>
      <c r="O30" s="17"/>
      <c r="Q30" s="12">
        <f t="shared" si="3"/>
        <v>8</v>
      </c>
    </row>
    <row r="31" spans="1:19" ht="15" hidden="1" customHeight="1" x14ac:dyDescent="0.2">
      <c r="A31" s="12" t="s">
        <v>308</v>
      </c>
      <c r="B31" s="36" t="s">
        <v>551</v>
      </c>
      <c r="C31" s="120">
        <f t="shared" si="0"/>
        <v>300</v>
      </c>
      <c r="D31" s="38">
        <f t="shared" si="1"/>
        <v>1</v>
      </c>
      <c r="G31" s="14" t="s">
        <v>70</v>
      </c>
      <c r="H31" s="12" t="s">
        <v>3032</v>
      </c>
      <c r="I31" s="12">
        <v>1111</v>
      </c>
      <c r="J31" s="12">
        <v>112121</v>
      </c>
      <c r="K31" s="12" t="s">
        <v>20</v>
      </c>
      <c r="L31" s="12">
        <v>1</v>
      </c>
      <c r="M31" s="17">
        <v>120000000</v>
      </c>
      <c r="N31" s="17">
        <f t="shared" si="2"/>
        <v>120000000</v>
      </c>
      <c r="O31" s="17"/>
      <c r="Q31" s="12">
        <f t="shared" si="3"/>
        <v>40</v>
      </c>
    </row>
    <row r="32" spans="1:19" ht="15" hidden="1" customHeight="1" x14ac:dyDescent="0.2">
      <c r="A32" s="12" t="s">
        <v>308</v>
      </c>
      <c r="B32" s="36" t="s">
        <v>554</v>
      </c>
      <c r="C32" s="120">
        <f t="shared" si="0"/>
        <v>300</v>
      </c>
      <c r="D32" s="38">
        <f t="shared" si="1"/>
        <v>0</v>
      </c>
      <c r="G32" s="14" t="s">
        <v>70</v>
      </c>
      <c r="H32" s="12" t="s">
        <v>3032</v>
      </c>
      <c r="I32" s="12">
        <v>1111</v>
      </c>
      <c r="J32" s="12">
        <v>112121</v>
      </c>
      <c r="K32" s="12" t="s">
        <v>20</v>
      </c>
      <c r="L32" s="12">
        <v>1</v>
      </c>
      <c r="M32" s="17">
        <v>110000000</v>
      </c>
      <c r="N32" s="17">
        <f t="shared" si="2"/>
        <v>110000000</v>
      </c>
      <c r="O32" s="17"/>
      <c r="Q32" s="12">
        <f t="shared" si="3"/>
        <v>40</v>
      </c>
    </row>
    <row r="33" spans="1:17" ht="15" hidden="1" customHeight="1" x14ac:dyDescent="0.2">
      <c r="A33" s="12" t="s">
        <v>308</v>
      </c>
      <c r="B33" s="36" t="s">
        <v>663</v>
      </c>
      <c r="C33" s="120">
        <f t="shared" si="0"/>
        <v>300</v>
      </c>
      <c r="D33" s="38">
        <f t="shared" si="1"/>
        <v>0</v>
      </c>
      <c r="G33" s="14" t="s">
        <v>70</v>
      </c>
      <c r="H33" s="12" t="s">
        <v>3032</v>
      </c>
      <c r="I33" s="12">
        <v>1111</v>
      </c>
      <c r="J33" s="12">
        <v>112121</v>
      </c>
      <c r="K33" s="12" t="s">
        <v>20</v>
      </c>
      <c r="L33" s="12">
        <v>1</v>
      </c>
      <c r="M33" s="17">
        <v>50000000</v>
      </c>
      <c r="N33" s="17">
        <f t="shared" si="2"/>
        <v>50000000</v>
      </c>
      <c r="O33" s="17"/>
      <c r="Q33" s="12">
        <f t="shared" si="3"/>
        <v>40</v>
      </c>
    </row>
    <row r="34" spans="1:17" ht="15" hidden="1" customHeight="1" x14ac:dyDescent="0.2">
      <c r="A34" s="12" t="s">
        <v>308</v>
      </c>
      <c r="B34" s="36" t="s">
        <v>560</v>
      </c>
      <c r="C34" s="120">
        <f t="shared" si="0"/>
        <v>301</v>
      </c>
      <c r="D34" s="38">
        <f t="shared" si="1"/>
        <v>1</v>
      </c>
      <c r="G34" s="14" t="s">
        <v>43</v>
      </c>
      <c r="H34" s="12" t="s">
        <v>3583</v>
      </c>
      <c r="I34" s="12">
        <v>331</v>
      </c>
      <c r="J34" s="12">
        <v>112121</v>
      </c>
      <c r="K34" s="12" t="s">
        <v>20</v>
      </c>
      <c r="L34" s="12">
        <v>1</v>
      </c>
      <c r="M34" s="17">
        <v>6600000</v>
      </c>
      <c r="N34" s="17">
        <f t="shared" si="2"/>
        <v>6600000</v>
      </c>
      <c r="O34" s="17"/>
      <c r="Q34" s="12">
        <f t="shared" si="3"/>
        <v>164</v>
      </c>
    </row>
    <row r="35" spans="1:17" ht="15" hidden="1" customHeight="1" x14ac:dyDescent="0.2">
      <c r="A35" s="12" t="s">
        <v>308</v>
      </c>
      <c r="B35" s="36" t="s">
        <v>507</v>
      </c>
      <c r="C35" s="120">
        <f t="shared" si="0"/>
        <v>302</v>
      </c>
      <c r="D35" s="38">
        <f t="shared" si="1"/>
        <v>1</v>
      </c>
      <c r="G35" s="14" t="s">
        <v>70</v>
      </c>
      <c r="H35" s="12" t="s">
        <v>3032</v>
      </c>
      <c r="I35" s="12">
        <v>1111</v>
      </c>
      <c r="J35" s="12">
        <v>112121</v>
      </c>
      <c r="K35" s="12" t="s">
        <v>20</v>
      </c>
      <c r="L35" s="12">
        <v>1</v>
      </c>
      <c r="M35" s="17">
        <v>99000</v>
      </c>
      <c r="N35" s="17">
        <f t="shared" si="2"/>
        <v>99000</v>
      </c>
      <c r="O35" s="17"/>
      <c r="Q35" s="12">
        <f t="shared" si="3"/>
        <v>40</v>
      </c>
    </row>
    <row r="36" spans="1:17" ht="15" hidden="1" customHeight="1" x14ac:dyDescent="0.2">
      <c r="A36" s="12" t="s">
        <v>310</v>
      </c>
      <c r="B36" s="36">
        <v>46026</v>
      </c>
      <c r="C36" s="120">
        <f t="shared" ref="C36:C67" si="4">C35+D36</f>
        <v>303</v>
      </c>
      <c r="D36" s="38">
        <f t="shared" ref="D36:D67" si="5">IF(H36=H35,0,1)</f>
        <v>1</v>
      </c>
      <c r="G36" s="14" t="s">
        <v>1538</v>
      </c>
      <c r="H36" s="12" t="s">
        <v>3527</v>
      </c>
      <c r="I36" s="12">
        <v>331</v>
      </c>
      <c r="J36" s="20">
        <v>1111</v>
      </c>
      <c r="K36" s="12" t="s">
        <v>20</v>
      </c>
      <c r="L36" s="12">
        <v>1</v>
      </c>
      <c r="M36" s="17">
        <v>3240000</v>
      </c>
      <c r="N36" s="17">
        <f t="shared" ref="N36:N67" si="6">L36*M36</f>
        <v>3240000</v>
      </c>
      <c r="O36" s="17"/>
      <c r="Q36" s="12">
        <f t="shared" ref="Q36:Q67" si="7">LEN(H36)</f>
        <v>51</v>
      </c>
    </row>
    <row r="37" spans="1:17" ht="15" hidden="1" customHeight="1" x14ac:dyDescent="0.2">
      <c r="A37" s="12" t="s">
        <v>310</v>
      </c>
      <c r="B37" s="36">
        <v>46051</v>
      </c>
      <c r="C37" s="120">
        <f t="shared" si="4"/>
        <v>304</v>
      </c>
      <c r="D37" s="38">
        <f t="shared" si="5"/>
        <v>1</v>
      </c>
      <c r="G37" s="14" t="s">
        <v>1540</v>
      </c>
      <c r="H37" s="12" t="s">
        <v>3528</v>
      </c>
      <c r="I37" s="20">
        <v>331</v>
      </c>
      <c r="J37" s="20">
        <v>1111</v>
      </c>
      <c r="K37" s="12" t="s">
        <v>20</v>
      </c>
      <c r="L37" s="12">
        <v>1</v>
      </c>
      <c r="M37" s="17">
        <v>2910000</v>
      </c>
      <c r="N37" s="17">
        <f t="shared" si="6"/>
        <v>2910000</v>
      </c>
      <c r="O37" s="17"/>
      <c r="Q37" s="12">
        <f t="shared" si="7"/>
        <v>87</v>
      </c>
    </row>
    <row r="38" spans="1:17" ht="15" hidden="1" customHeight="1" x14ac:dyDescent="0.2">
      <c r="A38" s="12" t="s">
        <v>310</v>
      </c>
      <c r="B38" s="36">
        <v>46060</v>
      </c>
      <c r="C38" s="120">
        <f t="shared" si="4"/>
        <v>305</v>
      </c>
      <c r="D38" s="38">
        <f t="shared" si="5"/>
        <v>1</v>
      </c>
      <c r="G38" s="14" t="s">
        <v>1538</v>
      </c>
      <c r="H38" s="12" t="s">
        <v>3529</v>
      </c>
      <c r="I38" s="20">
        <v>331</v>
      </c>
      <c r="J38" s="20">
        <v>1111</v>
      </c>
      <c r="K38" s="12" t="s">
        <v>20</v>
      </c>
      <c r="L38" s="12">
        <v>1</v>
      </c>
      <c r="M38" s="17">
        <v>3240000</v>
      </c>
      <c r="N38" s="17">
        <f t="shared" si="6"/>
        <v>3240000</v>
      </c>
      <c r="O38" s="17"/>
      <c r="Q38" s="12">
        <f t="shared" si="7"/>
        <v>52</v>
      </c>
    </row>
    <row r="39" spans="1:17" ht="15" hidden="1" customHeight="1" x14ac:dyDescent="0.2">
      <c r="A39" s="12" t="s">
        <v>310</v>
      </c>
      <c r="B39" s="36">
        <v>46064</v>
      </c>
      <c r="C39" s="120">
        <f t="shared" si="4"/>
        <v>306</v>
      </c>
      <c r="D39" s="38">
        <f t="shared" si="5"/>
        <v>1</v>
      </c>
      <c r="G39" s="12" t="s">
        <v>1543</v>
      </c>
      <c r="H39" s="12" t="s">
        <v>3530</v>
      </c>
      <c r="I39" s="12">
        <v>331</v>
      </c>
      <c r="J39" s="20">
        <v>1111</v>
      </c>
      <c r="K39" s="12" t="s">
        <v>20</v>
      </c>
      <c r="L39" s="12">
        <v>1</v>
      </c>
      <c r="M39" s="17">
        <v>0</v>
      </c>
      <c r="N39" s="17">
        <f t="shared" si="6"/>
        <v>0</v>
      </c>
      <c r="O39" s="17"/>
      <c r="Q39" s="12">
        <f t="shared" si="7"/>
        <v>139</v>
      </c>
    </row>
    <row r="40" spans="1:17" ht="15" hidden="1" customHeight="1" x14ac:dyDescent="0.2">
      <c r="A40" s="12" t="s">
        <v>310</v>
      </c>
      <c r="B40" s="36">
        <v>46081</v>
      </c>
      <c r="C40" s="120">
        <f t="shared" si="4"/>
        <v>307</v>
      </c>
      <c r="D40" s="38">
        <f t="shared" si="5"/>
        <v>1</v>
      </c>
      <c r="G40" s="14" t="s">
        <v>1540</v>
      </c>
      <c r="H40" s="12" t="s">
        <v>3531</v>
      </c>
      <c r="I40" s="12">
        <v>331</v>
      </c>
      <c r="J40" s="20">
        <v>1111</v>
      </c>
      <c r="K40" s="12" t="s">
        <v>20</v>
      </c>
      <c r="L40" s="12">
        <v>1</v>
      </c>
      <c r="M40" s="17">
        <v>7896000</v>
      </c>
      <c r="N40" s="17">
        <f t="shared" si="6"/>
        <v>7896000</v>
      </c>
      <c r="O40" s="17"/>
      <c r="Q40" s="12">
        <f t="shared" si="7"/>
        <v>85</v>
      </c>
    </row>
    <row r="41" spans="1:17" ht="15" hidden="1" customHeight="1" x14ac:dyDescent="0.2">
      <c r="A41" s="12" t="s">
        <v>310</v>
      </c>
      <c r="B41" s="36">
        <v>46088</v>
      </c>
      <c r="C41" s="120">
        <f t="shared" si="4"/>
        <v>308</v>
      </c>
      <c r="D41" s="38">
        <f t="shared" si="5"/>
        <v>1</v>
      </c>
      <c r="G41" s="12" t="s">
        <v>1538</v>
      </c>
      <c r="H41" s="12" t="s">
        <v>3532</v>
      </c>
      <c r="I41" s="12">
        <v>331</v>
      </c>
      <c r="J41" s="20">
        <v>1111</v>
      </c>
      <c r="K41" s="12" t="s">
        <v>20</v>
      </c>
      <c r="L41" s="12">
        <v>1</v>
      </c>
      <c r="M41" s="17">
        <v>3240000</v>
      </c>
      <c r="N41" s="17">
        <f t="shared" si="6"/>
        <v>3240000</v>
      </c>
      <c r="O41" s="17"/>
      <c r="Q41" s="12">
        <f t="shared" si="7"/>
        <v>52</v>
      </c>
    </row>
    <row r="42" spans="1:17" ht="15" hidden="1" customHeight="1" x14ac:dyDescent="0.2">
      <c r="A42" s="12" t="s">
        <v>18</v>
      </c>
      <c r="B42" s="36">
        <v>46026</v>
      </c>
      <c r="C42" s="120">
        <f t="shared" si="4"/>
        <v>309</v>
      </c>
      <c r="D42" s="38">
        <f t="shared" si="5"/>
        <v>1</v>
      </c>
      <c r="G42" s="14" t="s">
        <v>1538</v>
      </c>
      <c r="H42" s="12" t="s">
        <v>1539</v>
      </c>
      <c r="I42" s="20">
        <v>64277</v>
      </c>
      <c r="J42" s="20">
        <v>331</v>
      </c>
      <c r="K42" s="12" t="s">
        <v>20</v>
      </c>
      <c r="L42" s="12">
        <v>1</v>
      </c>
      <c r="M42" s="17">
        <v>3000000</v>
      </c>
      <c r="N42" s="17">
        <f t="shared" si="6"/>
        <v>3000000</v>
      </c>
      <c r="O42" s="17"/>
      <c r="Q42" s="12">
        <f t="shared" si="7"/>
        <v>40</v>
      </c>
    </row>
    <row r="43" spans="1:17" ht="15" hidden="1" customHeight="1" x14ac:dyDescent="0.2">
      <c r="A43" s="12" t="s">
        <v>18</v>
      </c>
      <c r="B43" s="36">
        <v>46026</v>
      </c>
      <c r="C43" s="120">
        <f t="shared" si="4"/>
        <v>309</v>
      </c>
      <c r="D43" s="38">
        <f t="shared" si="5"/>
        <v>0</v>
      </c>
      <c r="G43" s="14" t="s">
        <v>1538</v>
      </c>
      <c r="H43" s="12" t="s">
        <v>1539</v>
      </c>
      <c r="I43" s="12">
        <v>1331</v>
      </c>
      <c r="J43" s="20">
        <v>331</v>
      </c>
      <c r="K43" s="12" t="s">
        <v>20</v>
      </c>
      <c r="L43" s="12">
        <v>1</v>
      </c>
      <c r="M43" s="17">
        <v>240000</v>
      </c>
      <c r="N43" s="17">
        <f t="shared" si="6"/>
        <v>240000</v>
      </c>
      <c r="O43" s="17"/>
      <c r="Q43" s="12">
        <f t="shared" si="7"/>
        <v>40</v>
      </c>
    </row>
    <row r="44" spans="1:17" ht="15" hidden="1" customHeight="1" x14ac:dyDescent="0.2">
      <c r="A44" s="12" t="s">
        <v>18</v>
      </c>
      <c r="B44" s="36">
        <v>46042</v>
      </c>
      <c r="C44" s="120">
        <f t="shared" si="4"/>
        <v>310</v>
      </c>
      <c r="D44" s="38">
        <f t="shared" si="5"/>
        <v>1</v>
      </c>
      <c r="G44" s="14" t="s">
        <v>1547</v>
      </c>
      <c r="H44" s="12" t="s">
        <v>1548</v>
      </c>
      <c r="I44" s="12">
        <v>131</v>
      </c>
      <c r="J44" s="20">
        <v>5113</v>
      </c>
      <c r="K44" s="12" t="s">
        <v>20</v>
      </c>
      <c r="L44" s="12">
        <v>1</v>
      </c>
      <c r="M44" s="17">
        <v>16129032</v>
      </c>
      <c r="N44" s="17">
        <f t="shared" si="6"/>
        <v>16129032</v>
      </c>
      <c r="O44" s="17"/>
      <c r="Q44" s="12">
        <f t="shared" si="7"/>
        <v>151</v>
      </c>
    </row>
    <row r="45" spans="1:17" ht="15" customHeight="1" x14ac:dyDescent="0.2">
      <c r="A45" s="12" t="s">
        <v>18</v>
      </c>
      <c r="B45" s="36">
        <v>46042</v>
      </c>
      <c r="C45" s="120">
        <f t="shared" si="4"/>
        <v>311</v>
      </c>
      <c r="D45" s="38">
        <f t="shared" si="5"/>
        <v>1</v>
      </c>
      <c r="G45" s="12" t="s">
        <v>1547</v>
      </c>
      <c r="H45" s="12" t="s">
        <v>3533</v>
      </c>
      <c r="I45" s="12">
        <v>333821</v>
      </c>
      <c r="J45" s="20">
        <v>131</v>
      </c>
      <c r="K45" s="12" t="s">
        <v>20</v>
      </c>
      <c r="L45" s="12">
        <v>1</v>
      </c>
      <c r="M45" s="17">
        <v>161290</v>
      </c>
      <c r="N45" s="17">
        <f t="shared" si="6"/>
        <v>161290</v>
      </c>
      <c r="O45" s="17"/>
      <c r="Q45" s="12">
        <f t="shared" si="7"/>
        <v>167</v>
      </c>
    </row>
    <row r="46" spans="1:17" ht="15" hidden="1" customHeight="1" x14ac:dyDescent="0.2">
      <c r="A46" s="12" t="s">
        <v>18</v>
      </c>
      <c r="B46" s="36">
        <v>46051</v>
      </c>
      <c r="C46" s="120">
        <f t="shared" si="4"/>
        <v>312</v>
      </c>
      <c r="D46" s="38">
        <f t="shared" si="5"/>
        <v>1</v>
      </c>
      <c r="G46" s="14" t="s">
        <v>1540</v>
      </c>
      <c r="H46" s="12" t="s">
        <v>1541</v>
      </c>
      <c r="I46" s="12">
        <v>64277</v>
      </c>
      <c r="J46" s="20">
        <v>331</v>
      </c>
      <c r="K46" s="12" t="s">
        <v>20</v>
      </c>
      <c r="L46" s="12">
        <v>1</v>
      </c>
      <c r="M46" s="17">
        <v>2771430</v>
      </c>
      <c r="N46" s="17">
        <f t="shared" si="6"/>
        <v>2771430</v>
      </c>
      <c r="O46" s="17"/>
      <c r="Q46" s="12">
        <f t="shared" si="7"/>
        <v>76</v>
      </c>
    </row>
    <row r="47" spans="1:17" ht="15" hidden="1" customHeight="1" x14ac:dyDescent="0.2">
      <c r="A47" s="12" t="s">
        <v>18</v>
      </c>
      <c r="B47" s="36">
        <v>46051</v>
      </c>
      <c r="C47" s="120">
        <f t="shared" si="4"/>
        <v>312</v>
      </c>
      <c r="D47" s="38">
        <f t="shared" si="5"/>
        <v>0</v>
      </c>
      <c r="G47" s="14" t="s">
        <v>1540</v>
      </c>
      <c r="H47" s="12" t="s">
        <v>1541</v>
      </c>
      <c r="I47" s="12">
        <v>1331</v>
      </c>
      <c r="J47" s="20">
        <v>331</v>
      </c>
      <c r="K47" s="12" t="s">
        <v>20</v>
      </c>
      <c r="L47" s="12">
        <v>1</v>
      </c>
      <c r="M47" s="17">
        <v>138570</v>
      </c>
      <c r="N47" s="17">
        <f t="shared" si="6"/>
        <v>138570</v>
      </c>
      <c r="O47" s="17"/>
      <c r="Q47" s="12">
        <f t="shared" si="7"/>
        <v>76</v>
      </c>
    </row>
    <row r="48" spans="1:17" ht="15" hidden="1" customHeight="1" x14ac:dyDescent="0.2">
      <c r="A48" s="12" t="s">
        <v>18</v>
      </c>
      <c r="B48" s="36">
        <v>46053</v>
      </c>
      <c r="C48" s="120">
        <f t="shared" si="4"/>
        <v>313</v>
      </c>
      <c r="D48" s="38">
        <f t="shared" si="5"/>
        <v>1</v>
      </c>
      <c r="G48" s="14" t="s">
        <v>39</v>
      </c>
      <c r="H48" s="12" t="s">
        <v>455</v>
      </c>
      <c r="I48" s="12">
        <v>64271</v>
      </c>
      <c r="J48" s="20">
        <v>3383</v>
      </c>
      <c r="K48" s="12" t="s">
        <v>20</v>
      </c>
      <c r="L48" s="12">
        <v>1</v>
      </c>
      <c r="M48" s="17">
        <v>690300</v>
      </c>
      <c r="N48" s="17">
        <f t="shared" si="6"/>
        <v>690300</v>
      </c>
      <c r="O48" s="17"/>
      <c r="Q48" s="12">
        <f t="shared" si="7"/>
        <v>30</v>
      </c>
    </row>
    <row r="49" spans="1:17" ht="15" hidden="1" customHeight="1" x14ac:dyDescent="0.2">
      <c r="A49" s="12" t="s">
        <v>18</v>
      </c>
      <c r="B49" s="36">
        <v>46060</v>
      </c>
      <c r="C49" s="120">
        <f t="shared" si="4"/>
        <v>314</v>
      </c>
      <c r="D49" s="38">
        <f t="shared" si="5"/>
        <v>1</v>
      </c>
      <c r="G49" s="14" t="s">
        <v>1538</v>
      </c>
      <c r="H49" s="12" t="s">
        <v>1542</v>
      </c>
      <c r="I49" s="12">
        <v>64277</v>
      </c>
      <c r="J49" s="20">
        <v>331</v>
      </c>
      <c r="K49" s="12" t="s">
        <v>20</v>
      </c>
      <c r="L49" s="12">
        <v>1</v>
      </c>
      <c r="M49" s="17">
        <v>3000000</v>
      </c>
      <c r="N49" s="17">
        <f t="shared" si="6"/>
        <v>3000000</v>
      </c>
      <c r="O49" s="17"/>
      <c r="Q49" s="12">
        <f t="shared" si="7"/>
        <v>41</v>
      </c>
    </row>
    <row r="50" spans="1:17" ht="15" hidden="1" customHeight="1" x14ac:dyDescent="0.2">
      <c r="A50" s="12" t="s">
        <v>18</v>
      </c>
      <c r="B50" s="36">
        <v>46060</v>
      </c>
      <c r="C50" s="120">
        <f t="shared" si="4"/>
        <v>314</v>
      </c>
      <c r="D50" s="38">
        <f t="shared" si="5"/>
        <v>0</v>
      </c>
      <c r="G50" s="14" t="s">
        <v>1538</v>
      </c>
      <c r="H50" s="12" t="s">
        <v>1542</v>
      </c>
      <c r="I50" s="20">
        <v>1331</v>
      </c>
      <c r="J50" s="20">
        <v>331</v>
      </c>
      <c r="K50" s="12" t="s">
        <v>20</v>
      </c>
      <c r="L50" s="12">
        <v>1</v>
      </c>
      <c r="M50" s="17">
        <v>240000</v>
      </c>
      <c r="N50" s="17">
        <f t="shared" si="6"/>
        <v>240000</v>
      </c>
      <c r="O50" s="17"/>
      <c r="Q50" s="12">
        <f t="shared" si="7"/>
        <v>41</v>
      </c>
    </row>
    <row r="51" spans="1:17" ht="15" hidden="1" customHeight="1" x14ac:dyDescent="0.2">
      <c r="A51" s="12" t="s">
        <v>18</v>
      </c>
      <c r="B51" s="36">
        <v>46062</v>
      </c>
      <c r="C51" s="120">
        <f t="shared" si="4"/>
        <v>315</v>
      </c>
      <c r="D51" s="38">
        <f t="shared" si="5"/>
        <v>1</v>
      </c>
      <c r="G51" s="14" t="s">
        <v>1549</v>
      </c>
      <c r="H51" s="12" t="s">
        <v>3555</v>
      </c>
      <c r="I51" s="12">
        <v>131</v>
      </c>
      <c r="J51" s="20">
        <v>5113</v>
      </c>
      <c r="K51" s="12" t="s">
        <v>20</v>
      </c>
      <c r="L51" s="12">
        <v>1</v>
      </c>
      <c r="M51" s="17">
        <v>6666667</v>
      </c>
      <c r="N51" s="17">
        <f t="shared" si="6"/>
        <v>6666667</v>
      </c>
      <c r="O51" s="17"/>
      <c r="Q51" s="12">
        <f t="shared" si="7"/>
        <v>153</v>
      </c>
    </row>
    <row r="52" spans="1:17" ht="15" customHeight="1" x14ac:dyDescent="0.2">
      <c r="A52" s="12" t="s">
        <v>18</v>
      </c>
      <c r="B52" s="36">
        <v>46062</v>
      </c>
      <c r="C52" s="120">
        <f t="shared" si="4"/>
        <v>316</v>
      </c>
      <c r="D52" s="38">
        <f t="shared" si="5"/>
        <v>1</v>
      </c>
      <c r="G52" s="12" t="s">
        <v>1549</v>
      </c>
      <c r="H52" s="12" t="s">
        <v>3556</v>
      </c>
      <c r="I52" s="12">
        <v>333821</v>
      </c>
      <c r="J52" s="20">
        <v>131</v>
      </c>
      <c r="K52" s="12" t="s">
        <v>20</v>
      </c>
      <c r="L52" s="12">
        <v>1</v>
      </c>
      <c r="M52" s="17">
        <v>66667</v>
      </c>
      <c r="N52" s="17">
        <f t="shared" si="6"/>
        <v>66667</v>
      </c>
      <c r="O52" s="17"/>
      <c r="Q52" s="12">
        <f t="shared" si="7"/>
        <v>169</v>
      </c>
    </row>
    <row r="53" spans="1:17" ht="15" hidden="1" customHeight="1" x14ac:dyDescent="0.2">
      <c r="A53" s="12" t="s">
        <v>18</v>
      </c>
      <c r="B53" s="36">
        <v>46064</v>
      </c>
      <c r="C53" s="120">
        <f t="shared" si="4"/>
        <v>317</v>
      </c>
      <c r="D53" s="38">
        <f t="shared" si="5"/>
        <v>1</v>
      </c>
      <c r="G53" s="14" t="s">
        <v>1550</v>
      </c>
      <c r="H53" s="12" t="s">
        <v>1551</v>
      </c>
      <c r="I53" s="12">
        <v>131</v>
      </c>
      <c r="J53" s="20">
        <v>5113</v>
      </c>
      <c r="K53" s="12" t="s">
        <v>20</v>
      </c>
      <c r="L53" s="12">
        <v>1</v>
      </c>
      <c r="M53" s="17">
        <v>15555556</v>
      </c>
      <c r="N53" s="17">
        <f t="shared" si="6"/>
        <v>15555556</v>
      </c>
      <c r="O53" s="17"/>
      <c r="Q53" s="12">
        <f t="shared" si="7"/>
        <v>97</v>
      </c>
    </row>
    <row r="54" spans="1:17" ht="15" customHeight="1" x14ac:dyDescent="0.2">
      <c r="A54" s="12" t="s">
        <v>18</v>
      </c>
      <c r="B54" s="36">
        <v>46064</v>
      </c>
      <c r="C54" s="120">
        <f t="shared" si="4"/>
        <v>318</v>
      </c>
      <c r="D54" s="38">
        <f t="shared" si="5"/>
        <v>1</v>
      </c>
      <c r="G54" s="12" t="s">
        <v>1550</v>
      </c>
      <c r="H54" s="12" t="s">
        <v>3534</v>
      </c>
      <c r="I54" s="12">
        <v>333821</v>
      </c>
      <c r="J54" s="20">
        <v>131</v>
      </c>
      <c r="K54" s="12" t="s">
        <v>20</v>
      </c>
      <c r="L54" s="12">
        <v>1</v>
      </c>
      <c r="M54" s="17">
        <v>155556</v>
      </c>
      <c r="N54" s="17">
        <f t="shared" si="6"/>
        <v>155556</v>
      </c>
      <c r="O54" s="17"/>
      <c r="Q54" s="12">
        <f t="shared" si="7"/>
        <v>113</v>
      </c>
    </row>
    <row r="55" spans="1:17" ht="15" hidden="1" customHeight="1" x14ac:dyDescent="0.2">
      <c r="A55" s="12" t="s">
        <v>18</v>
      </c>
      <c r="B55" s="36">
        <v>46064</v>
      </c>
      <c r="C55" s="120">
        <f t="shared" si="4"/>
        <v>319</v>
      </c>
      <c r="D55" s="38">
        <f t="shared" si="5"/>
        <v>1</v>
      </c>
      <c r="G55" s="12" t="s">
        <v>1543</v>
      </c>
      <c r="H55" s="12" t="s">
        <v>1544</v>
      </c>
      <c r="I55" s="12">
        <v>64277</v>
      </c>
      <c r="J55" s="20">
        <v>331</v>
      </c>
      <c r="K55" s="12" t="s">
        <v>20</v>
      </c>
      <c r="L55" s="12">
        <v>1</v>
      </c>
      <c r="M55" s="17">
        <v>0</v>
      </c>
      <c r="N55" s="17">
        <f t="shared" si="6"/>
        <v>0</v>
      </c>
      <c r="O55" s="17"/>
      <c r="Q55" s="12">
        <f t="shared" si="7"/>
        <v>128</v>
      </c>
    </row>
    <row r="56" spans="1:17" ht="15" hidden="1" customHeight="1" x14ac:dyDescent="0.2">
      <c r="A56" s="12" t="s">
        <v>18</v>
      </c>
      <c r="B56" s="36">
        <v>46064</v>
      </c>
      <c r="C56" s="120">
        <f t="shared" si="4"/>
        <v>319</v>
      </c>
      <c r="D56" s="38">
        <f t="shared" si="5"/>
        <v>0</v>
      </c>
      <c r="G56" s="14" t="s">
        <v>1543</v>
      </c>
      <c r="H56" s="12" t="s">
        <v>1544</v>
      </c>
      <c r="I56" s="12">
        <v>1331</v>
      </c>
      <c r="J56" s="20">
        <v>331</v>
      </c>
      <c r="K56" s="12" t="s">
        <v>20</v>
      </c>
      <c r="L56" s="12">
        <v>1</v>
      </c>
      <c r="M56" s="17">
        <v>0</v>
      </c>
      <c r="N56" s="17">
        <f t="shared" si="6"/>
        <v>0</v>
      </c>
      <c r="O56" s="17"/>
      <c r="Q56" s="12">
        <f t="shared" si="7"/>
        <v>128</v>
      </c>
    </row>
    <row r="57" spans="1:17" ht="15" hidden="1" customHeight="1" x14ac:dyDescent="0.2">
      <c r="A57" s="12" t="s">
        <v>18</v>
      </c>
      <c r="B57" s="36">
        <v>46077</v>
      </c>
      <c r="C57" s="120">
        <f t="shared" si="4"/>
        <v>320</v>
      </c>
      <c r="D57" s="38">
        <f t="shared" si="5"/>
        <v>1</v>
      </c>
      <c r="G57" s="14" t="s">
        <v>1552</v>
      </c>
      <c r="H57" s="12" t="s">
        <v>1553</v>
      </c>
      <c r="I57" s="12">
        <v>131</v>
      </c>
      <c r="J57" s="20">
        <v>5113</v>
      </c>
      <c r="K57" s="12" t="s">
        <v>20</v>
      </c>
      <c r="L57" s="12">
        <v>1</v>
      </c>
      <c r="M57" s="17">
        <v>20000000</v>
      </c>
      <c r="N57" s="17">
        <f t="shared" si="6"/>
        <v>20000000</v>
      </c>
      <c r="O57" s="17"/>
      <c r="Q57" s="12">
        <f t="shared" si="7"/>
        <v>98</v>
      </c>
    </row>
    <row r="58" spans="1:17" ht="15" customHeight="1" x14ac:dyDescent="0.2">
      <c r="A58" s="12" t="s">
        <v>18</v>
      </c>
      <c r="B58" s="36">
        <v>46077</v>
      </c>
      <c r="C58" s="120">
        <f t="shared" si="4"/>
        <v>321</v>
      </c>
      <c r="D58" s="38">
        <f t="shared" si="5"/>
        <v>1</v>
      </c>
      <c r="G58" s="12" t="s">
        <v>1552</v>
      </c>
      <c r="H58" s="12" t="s">
        <v>3535</v>
      </c>
      <c r="I58" s="12">
        <v>333821</v>
      </c>
      <c r="J58" s="20">
        <v>131</v>
      </c>
      <c r="K58" s="12" t="s">
        <v>20</v>
      </c>
      <c r="L58" s="12">
        <v>1</v>
      </c>
      <c r="M58" s="17">
        <v>200000</v>
      </c>
      <c r="N58" s="17">
        <f t="shared" si="6"/>
        <v>200000</v>
      </c>
      <c r="O58" s="17"/>
      <c r="Q58" s="12">
        <f t="shared" si="7"/>
        <v>114</v>
      </c>
    </row>
    <row r="59" spans="1:17" ht="15" hidden="1" customHeight="1" x14ac:dyDescent="0.2">
      <c r="A59" s="12" t="s">
        <v>18</v>
      </c>
      <c r="B59" s="36">
        <v>46080</v>
      </c>
      <c r="C59" s="120">
        <f t="shared" si="4"/>
        <v>322</v>
      </c>
      <c r="D59" s="38">
        <f t="shared" si="5"/>
        <v>1</v>
      </c>
      <c r="G59" s="14" t="s">
        <v>1554</v>
      </c>
      <c r="H59" s="12" t="s">
        <v>1555</v>
      </c>
      <c r="I59" s="12">
        <v>131</v>
      </c>
      <c r="J59" s="20">
        <v>5113</v>
      </c>
      <c r="K59" s="12" t="s">
        <v>20</v>
      </c>
      <c r="L59" s="12">
        <v>1</v>
      </c>
      <c r="M59" s="17">
        <v>61290345</v>
      </c>
      <c r="N59" s="17">
        <f t="shared" si="6"/>
        <v>61290345</v>
      </c>
      <c r="O59" s="17"/>
      <c r="Q59" s="12">
        <f t="shared" si="7"/>
        <v>132</v>
      </c>
    </row>
    <row r="60" spans="1:17" ht="15" hidden="1" customHeight="1" x14ac:dyDescent="0.2">
      <c r="A60" s="12" t="s">
        <v>18</v>
      </c>
      <c r="B60" s="36">
        <v>46080</v>
      </c>
      <c r="C60" s="120">
        <f t="shared" si="4"/>
        <v>323</v>
      </c>
      <c r="D60" s="38">
        <f t="shared" si="5"/>
        <v>1</v>
      </c>
      <c r="G60" s="14" t="s">
        <v>1556</v>
      </c>
      <c r="H60" s="12" t="s">
        <v>1557</v>
      </c>
      <c r="I60" s="12">
        <v>131</v>
      </c>
      <c r="J60" s="20">
        <v>5113</v>
      </c>
      <c r="K60" s="12" t="s">
        <v>20</v>
      </c>
      <c r="L60" s="12">
        <v>1</v>
      </c>
      <c r="M60" s="17">
        <v>95161291</v>
      </c>
      <c r="N60" s="17">
        <f t="shared" si="6"/>
        <v>95161291</v>
      </c>
      <c r="O60" s="17"/>
      <c r="Q60" s="12">
        <f t="shared" si="7"/>
        <v>130</v>
      </c>
    </row>
    <row r="61" spans="1:17" ht="15" customHeight="1" x14ac:dyDescent="0.2">
      <c r="A61" s="12" t="s">
        <v>18</v>
      </c>
      <c r="B61" s="36">
        <v>46080</v>
      </c>
      <c r="C61" s="120">
        <f t="shared" si="4"/>
        <v>324</v>
      </c>
      <c r="D61" s="38">
        <f t="shared" si="5"/>
        <v>1</v>
      </c>
      <c r="G61" s="12" t="s">
        <v>1554</v>
      </c>
      <c r="H61" s="12" t="s">
        <v>3536</v>
      </c>
      <c r="I61" s="12">
        <v>333821</v>
      </c>
      <c r="J61" s="20">
        <v>131</v>
      </c>
      <c r="K61" s="12" t="s">
        <v>20</v>
      </c>
      <c r="L61" s="12">
        <v>1</v>
      </c>
      <c r="M61" s="17">
        <v>0</v>
      </c>
      <c r="N61" s="17">
        <f t="shared" si="6"/>
        <v>0</v>
      </c>
      <c r="O61" s="17"/>
      <c r="Q61" s="12">
        <f t="shared" si="7"/>
        <v>148</v>
      </c>
    </row>
    <row r="62" spans="1:17" ht="15" customHeight="1" x14ac:dyDescent="0.2">
      <c r="A62" s="12" t="s">
        <v>18</v>
      </c>
      <c r="B62" s="36">
        <v>46080</v>
      </c>
      <c r="C62" s="120">
        <f t="shared" si="4"/>
        <v>325</v>
      </c>
      <c r="D62" s="38">
        <f t="shared" si="5"/>
        <v>1</v>
      </c>
      <c r="G62" s="12" t="s">
        <v>1556</v>
      </c>
      <c r="H62" s="12" t="s">
        <v>3537</v>
      </c>
      <c r="I62" s="12">
        <v>333821</v>
      </c>
      <c r="J62" s="20">
        <v>131</v>
      </c>
      <c r="K62" s="12" t="s">
        <v>20</v>
      </c>
      <c r="L62" s="12">
        <v>1</v>
      </c>
      <c r="M62" s="17">
        <v>951613</v>
      </c>
      <c r="N62" s="17">
        <f t="shared" si="6"/>
        <v>951613</v>
      </c>
      <c r="O62" s="17"/>
      <c r="Q62" s="12">
        <f t="shared" si="7"/>
        <v>146</v>
      </c>
    </row>
    <row r="63" spans="1:17" ht="15" hidden="1" customHeight="1" x14ac:dyDescent="0.2">
      <c r="A63" s="12" t="s">
        <v>18</v>
      </c>
      <c r="B63" s="36">
        <v>46081</v>
      </c>
      <c r="C63" s="120">
        <f t="shared" si="4"/>
        <v>326</v>
      </c>
      <c r="D63" s="38">
        <f t="shared" si="5"/>
        <v>1</v>
      </c>
      <c r="G63" s="12" t="s">
        <v>39</v>
      </c>
      <c r="H63" s="12" t="s">
        <v>456</v>
      </c>
      <c r="I63" s="12">
        <v>64271</v>
      </c>
      <c r="J63" s="20">
        <v>3383</v>
      </c>
      <c r="K63" s="12" t="s">
        <v>20</v>
      </c>
      <c r="L63" s="12">
        <v>1</v>
      </c>
      <c r="M63" s="17">
        <v>690300</v>
      </c>
      <c r="N63" s="17">
        <f t="shared" si="6"/>
        <v>690300</v>
      </c>
      <c r="O63" s="17"/>
      <c r="Q63" s="12">
        <f t="shared" si="7"/>
        <v>30</v>
      </c>
    </row>
    <row r="64" spans="1:17" ht="15" hidden="1" customHeight="1" x14ac:dyDescent="0.2">
      <c r="A64" s="12" t="s">
        <v>18</v>
      </c>
      <c r="B64" s="36">
        <v>46081</v>
      </c>
      <c r="C64" s="120">
        <f t="shared" si="4"/>
        <v>327</v>
      </c>
      <c r="D64" s="38">
        <f t="shared" si="5"/>
        <v>1</v>
      </c>
      <c r="G64" s="14" t="s">
        <v>1540</v>
      </c>
      <c r="H64" s="12" t="s">
        <v>1545</v>
      </c>
      <c r="I64" s="12">
        <v>64277</v>
      </c>
      <c r="J64" s="20">
        <v>331</v>
      </c>
      <c r="K64" s="12" t="s">
        <v>20</v>
      </c>
      <c r="L64" s="12">
        <v>1</v>
      </c>
      <c r="M64" s="17">
        <v>7311120</v>
      </c>
      <c r="N64" s="17">
        <f t="shared" si="6"/>
        <v>7311120</v>
      </c>
      <c r="O64" s="17"/>
      <c r="Q64" s="12">
        <f t="shared" si="7"/>
        <v>74</v>
      </c>
    </row>
    <row r="65" spans="1:17" ht="15" hidden="1" customHeight="1" x14ac:dyDescent="0.2">
      <c r="A65" s="12" t="s">
        <v>18</v>
      </c>
      <c r="B65" s="36">
        <v>46081</v>
      </c>
      <c r="C65" s="120">
        <f t="shared" si="4"/>
        <v>327</v>
      </c>
      <c r="D65" s="38">
        <f t="shared" si="5"/>
        <v>0</v>
      </c>
      <c r="G65" s="12" t="s">
        <v>1540</v>
      </c>
      <c r="H65" s="12" t="s">
        <v>1545</v>
      </c>
      <c r="I65" s="12">
        <v>1331</v>
      </c>
      <c r="J65" s="20">
        <v>331</v>
      </c>
      <c r="K65" s="12" t="s">
        <v>20</v>
      </c>
      <c r="L65" s="12">
        <v>1</v>
      </c>
      <c r="M65" s="17">
        <v>584880</v>
      </c>
      <c r="N65" s="17">
        <f t="shared" si="6"/>
        <v>584880</v>
      </c>
      <c r="O65" s="17"/>
      <c r="Q65" s="12">
        <f t="shared" si="7"/>
        <v>74</v>
      </c>
    </row>
    <row r="66" spans="1:17" ht="15" hidden="1" customHeight="1" x14ac:dyDescent="0.2">
      <c r="A66" s="12" t="s">
        <v>18</v>
      </c>
      <c r="B66" s="36">
        <v>46083</v>
      </c>
      <c r="C66" s="120">
        <f t="shared" si="4"/>
        <v>328</v>
      </c>
      <c r="D66" s="38">
        <f t="shared" si="5"/>
        <v>1</v>
      </c>
      <c r="G66" s="14" t="s">
        <v>1543</v>
      </c>
      <c r="H66" s="12" t="s">
        <v>1558</v>
      </c>
      <c r="I66" s="12">
        <v>131</v>
      </c>
      <c r="J66" s="20">
        <v>5113</v>
      </c>
      <c r="K66" s="12" t="s">
        <v>20</v>
      </c>
      <c r="L66" s="12">
        <v>1</v>
      </c>
      <c r="M66" s="17">
        <v>10000000</v>
      </c>
      <c r="N66" s="17">
        <f t="shared" si="6"/>
        <v>10000000</v>
      </c>
      <c r="O66" s="17"/>
      <c r="Q66" s="12">
        <f t="shared" si="7"/>
        <v>89</v>
      </c>
    </row>
    <row r="67" spans="1:17" ht="15" customHeight="1" x14ac:dyDescent="0.2">
      <c r="A67" s="12" t="s">
        <v>18</v>
      </c>
      <c r="B67" s="36">
        <v>46083</v>
      </c>
      <c r="C67" s="120">
        <f t="shared" si="4"/>
        <v>329</v>
      </c>
      <c r="D67" s="38">
        <f t="shared" si="5"/>
        <v>1</v>
      </c>
      <c r="G67" s="12" t="s">
        <v>1543</v>
      </c>
      <c r="H67" s="12" t="s">
        <v>3538</v>
      </c>
      <c r="I67" s="12">
        <v>333821</v>
      </c>
      <c r="J67" s="20">
        <v>131</v>
      </c>
      <c r="K67" s="12" t="s">
        <v>20</v>
      </c>
      <c r="L67" s="12">
        <v>1</v>
      </c>
      <c r="M67" s="17">
        <v>100000</v>
      </c>
      <c r="N67" s="17">
        <f t="shared" si="6"/>
        <v>100000</v>
      </c>
      <c r="O67" s="17"/>
      <c r="Q67" s="12">
        <f t="shared" si="7"/>
        <v>105</v>
      </c>
    </row>
    <row r="68" spans="1:17" ht="15" hidden="1" customHeight="1" x14ac:dyDescent="0.2">
      <c r="A68" s="12" t="s">
        <v>18</v>
      </c>
      <c r="B68" s="36">
        <v>46085</v>
      </c>
      <c r="C68" s="120">
        <f t="shared" ref="C68:C99" si="8">C67+D68</f>
        <v>330</v>
      </c>
      <c r="D68" s="38">
        <f t="shared" ref="D68:D104" si="9">IF(H68=H67,0,1)</f>
        <v>1</v>
      </c>
      <c r="G68" s="14" t="s">
        <v>1561</v>
      </c>
      <c r="H68" s="12" t="s">
        <v>1562</v>
      </c>
      <c r="I68" s="12">
        <v>131</v>
      </c>
      <c r="J68" s="20">
        <v>5113</v>
      </c>
      <c r="K68" s="12" t="s">
        <v>20</v>
      </c>
      <c r="L68" s="12">
        <v>1</v>
      </c>
      <c r="M68" s="17">
        <v>25806451</v>
      </c>
      <c r="N68" s="17">
        <f t="shared" ref="N68:N99" si="10">L68*M68</f>
        <v>25806451</v>
      </c>
      <c r="O68" s="17"/>
      <c r="Q68" s="12">
        <f t="shared" ref="Q68:Q104" si="11">LEN(H68)</f>
        <v>138</v>
      </c>
    </row>
    <row r="69" spans="1:17" ht="15" hidden="1" customHeight="1" x14ac:dyDescent="0.2">
      <c r="A69" s="12" t="s">
        <v>18</v>
      </c>
      <c r="B69" s="36">
        <v>46085</v>
      </c>
      <c r="C69" s="120">
        <f t="shared" si="8"/>
        <v>331</v>
      </c>
      <c r="D69" s="38">
        <f t="shared" si="9"/>
        <v>1</v>
      </c>
      <c r="G69" s="14" t="s">
        <v>1559</v>
      </c>
      <c r="H69" s="12" t="s">
        <v>1560</v>
      </c>
      <c r="I69" s="12">
        <v>131</v>
      </c>
      <c r="J69" s="20">
        <v>5113</v>
      </c>
      <c r="K69" s="12" t="s">
        <v>20</v>
      </c>
      <c r="L69" s="12">
        <v>1</v>
      </c>
      <c r="M69" s="17">
        <v>12903226</v>
      </c>
      <c r="N69" s="17">
        <f t="shared" si="10"/>
        <v>12903226</v>
      </c>
      <c r="O69" s="17"/>
      <c r="Q69" s="12">
        <f t="shared" si="11"/>
        <v>95</v>
      </c>
    </row>
    <row r="70" spans="1:17" ht="15" customHeight="1" x14ac:dyDescent="0.2">
      <c r="A70" s="12" t="s">
        <v>18</v>
      </c>
      <c r="B70" s="36">
        <v>46085</v>
      </c>
      <c r="C70" s="120">
        <f t="shared" si="8"/>
        <v>332</v>
      </c>
      <c r="D70" s="38">
        <f t="shared" si="9"/>
        <v>1</v>
      </c>
      <c r="G70" s="12" t="s">
        <v>1561</v>
      </c>
      <c r="H70" s="12" t="s">
        <v>3540</v>
      </c>
      <c r="I70" s="12">
        <v>333821</v>
      </c>
      <c r="J70" s="20">
        <v>131</v>
      </c>
      <c r="K70" s="12" t="s">
        <v>20</v>
      </c>
      <c r="L70" s="12">
        <v>1</v>
      </c>
      <c r="M70" s="17">
        <v>258065</v>
      </c>
      <c r="N70" s="17">
        <f t="shared" si="10"/>
        <v>258065</v>
      </c>
      <c r="O70" s="17"/>
      <c r="Q70" s="12">
        <f t="shared" si="11"/>
        <v>154</v>
      </c>
    </row>
    <row r="71" spans="1:17" ht="15" customHeight="1" x14ac:dyDescent="0.2">
      <c r="A71" s="12" t="s">
        <v>18</v>
      </c>
      <c r="B71" s="36">
        <v>46085</v>
      </c>
      <c r="C71" s="120">
        <f t="shared" si="8"/>
        <v>333</v>
      </c>
      <c r="D71" s="38">
        <f t="shared" si="9"/>
        <v>1</v>
      </c>
      <c r="G71" s="12" t="s">
        <v>1559</v>
      </c>
      <c r="H71" s="12" t="s">
        <v>3539</v>
      </c>
      <c r="I71" s="12">
        <v>333821</v>
      </c>
      <c r="J71" s="20">
        <v>131</v>
      </c>
      <c r="K71" s="12" t="s">
        <v>20</v>
      </c>
      <c r="L71" s="12">
        <v>1</v>
      </c>
      <c r="M71" s="17">
        <v>129032</v>
      </c>
      <c r="N71" s="17">
        <f t="shared" si="10"/>
        <v>129032</v>
      </c>
      <c r="O71" s="17"/>
      <c r="Q71" s="12">
        <f t="shared" si="11"/>
        <v>111</v>
      </c>
    </row>
    <row r="72" spans="1:17" ht="15" customHeight="1" x14ac:dyDescent="0.2">
      <c r="A72" s="12" t="s">
        <v>18</v>
      </c>
      <c r="B72" s="36">
        <v>46085</v>
      </c>
      <c r="C72" s="120">
        <f t="shared" si="8"/>
        <v>334</v>
      </c>
      <c r="D72" s="38">
        <f t="shared" si="9"/>
        <v>1</v>
      </c>
      <c r="G72" s="12" t="s">
        <v>1561</v>
      </c>
      <c r="H72" s="12" t="s">
        <v>3541</v>
      </c>
      <c r="I72" s="12">
        <v>333821</v>
      </c>
      <c r="J72" s="20">
        <v>131</v>
      </c>
      <c r="K72" s="12" t="s">
        <v>20</v>
      </c>
      <c r="L72" s="12">
        <v>1</v>
      </c>
      <c r="M72" s="17">
        <v>129032</v>
      </c>
      <c r="N72" s="17">
        <f t="shared" si="10"/>
        <v>129032</v>
      </c>
      <c r="O72" s="17"/>
      <c r="Q72" s="12">
        <f t="shared" si="11"/>
        <v>165</v>
      </c>
    </row>
    <row r="73" spans="1:17" ht="15" hidden="1" customHeight="1" x14ac:dyDescent="0.2">
      <c r="A73" s="12" t="s">
        <v>18</v>
      </c>
      <c r="B73" s="36">
        <v>46085</v>
      </c>
      <c r="C73" s="120">
        <f t="shared" si="8"/>
        <v>335</v>
      </c>
      <c r="D73" s="38">
        <f t="shared" si="9"/>
        <v>1</v>
      </c>
      <c r="G73" s="14" t="s">
        <v>1561</v>
      </c>
      <c r="H73" s="12" t="s">
        <v>1563</v>
      </c>
      <c r="I73" s="12">
        <v>131</v>
      </c>
      <c r="J73" s="20">
        <v>5113</v>
      </c>
      <c r="K73" s="12" t="s">
        <v>20</v>
      </c>
      <c r="L73" s="12">
        <v>1</v>
      </c>
      <c r="M73" s="17">
        <v>12903226</v>
      </c>
      <c r="N73" s="17">
        <f t="shared" si="10"/>
        <v>12903226</v>
      </c>
      <c r="O73" s="17"/>
      <c r="Q73" s="12">
        <f t="shared" si="11"/>
        <v>149</v>
      </c>
    </row>
    <row r="74" spans="1:17" ht="15" hidden="1" customHeight="1" x14ac:dyDescent="0.2">
      <c r="A74" s="12" t="s">
        <v>18</v>
      </c>
      <c r="B74" s="36">
        <v>46086</v>
      </c>
      <c r="C74" s="120">
        <f t="shared" si="8"/>
        <v>336</v>
      </c>
      <c r="D74" s="38">
        <f t="shared" si="9"/>
        <v>1</v>
      </c>
      <c r="G74" s="14" t="s">
        <v>1564</v>
      </c>
      <c r="H74" s="12" t="s">
        <v>1565</v>
      </c>
      <c r="I74" s="12">
        <v>131</v>
      </c>
      <c r="J74" s="20">
        <v>5113</v>
      </c>
      <c r="K74" s="12" t="s">
        <v>20</v>
      </c>
      <c r="L74" s="12">
        <v>1</v>
      </c>
      <c r="M74" s="17">
        <v>13333333</v>
      </c>
      <c r="N74" s="17">
        <f t="shared" si="10"/>
        <v>13333333</v>
      </c>
      <c r="O74" s="17"/>
      <c r="Q74" s="12">
        <f t="shared" si="11"/>
        <v>151</v>
      </c>
    </row>
    <row r="75" spans="1:17" ht="15" customHeight="1" x14ac:dyDescent="0.2">
      <c r="A75" s="12" t="s">
        <v>18</v>
      </c>
      <c r="B75" s="36">
        <v>46086</v>
      </c>
      <c r="C75" s="120">
        <f t="shared" si="8"/>
        <v>337</v>
      </c>
      <c r="D75" s="38">
        <f t="shared" si="9"/>
        <v>1</v>
      </c>
      <c r="G75" s="12" t="s">
        <v>1564</v>
      </c>
      <c r="H75" s="12" t="s">
        <v>3542</v>
      </c>
      <c r="I75" s="12">
        <v>333821</v>
      </c>
      <c r="J75" s="20">
        <v>131</v>
      </c>
      <c r="K75" s="12" t="s">
        <v>20</v>
      </c>
      <c r="L75" s="12">
        <v>1</v>
      </c>
      <c r="M75" s="17">
        <v>133333</v>
      </c>
      <c r="N75" s="17">
        <f t="shared" si="10"/>
        <v>133333</v>
      </c>
      <c r="O75" s="17"/>
      <c r="Q75" s="12">
        <f t="shared" si="11"/>
        <v>167</v>
      </c>
    </row>
    <row r="76" spans="1:17" ht="15" hidden="1" customHeight="1" x14ac:dyDescent="0.2">
      <c r="A76" s="12" t="s">
        <v>18</v>
      </c>
      <c r="B76" s="36">
        <v>46087</v>
      </c>
      <c r="C76" s="120">
        <f t="shared" si="8"/>
        <v>338</v>
      </c>
      <c r="D76" s="38">
        <f t="shared" si="9"/>
        <v>1</v>
      </c>
      <c r="G76" s="14" t="s">
        <v>1566</v>
      </c>
      <c r="H76" s="12" t="s">
        <v>1567</v>
      </c>
      <c r="I76" s="12">
        <v>131</v>
      </c>
      <c r="J76" s="20">
        <v>5113</v>
      </c>
      <c r="K76" s="12" t="s">
        <v>20</v>
      </c>
      <c r="L76" s="12">
        <v>1</v>
      </c>
      <c r="M76" s="17">
        <v>13333333</v>
      </c>
      <c r="N76" s="17">
        <f t="shared" si="10"/>
        <v>13333333</v>
      </c>
      <c r="O76" s="17"/>
      <c r="Q76" s="12">
        <f t="shared" si="11"/>
        <v>180</v>
      </c>
    </row>
    <row r="77" spans="1:17" ht="15" customHeight="1" x14ac:dyDescent="0.2">
      <c r="A77" s="12" t="s">
        <v>18</v>
      </c>
      <c r="B77" s="36">
        <v>46087</v>
      </c>
      <c r="C77" s="120">
        <f t="shared" si="8"/>
        <v>339</v>
      </c>
      <c r="D77" s="38">
        <f t="shared" si="9"/>
        <v>1</v>
      </c>
      <c r="G77" s="12" t="s">
        <v>1566</v>
      </c>
      <c r="H77" s="12" t="s">
        <v>3543</v>
      </c>
      <c r="I77" s="12">
        <v>333821</v>
      </c>
      <c r="J77" s="20">
        <v>131</v>
      </c>
      <c r="K77" s="12" t="s">
        <v>20</v>
      </c>
      <c r="L77" s="12">
        <v>1</v>
      </c>
      <c r="M77" s="17">
        <v>133333</v>
      </c>
      <c r="N77" s="17">
        <f t="shared" si="10"/>
        <v>133333</v>
      </c>
      <c r="O77" s="17"/>
      <c r="Q77" s="12">
        <f t="shared" si="11"/>
        <v>196</v>
      </c>
    </row>
    <row r="78" spans="1:17" ht="15" hidden="1" customHeight="1" x14ac:dyDescent="0.2">
      <c r="A78" s="12" t="s">
        <v>18</v>
      </c>
      <c r="B78" s="36">
        <v>46088</v>
      </c>
      <c r="C78" s="120">
        <f t="shared" si="8"/>
        <v>340</v>
      </c>
      <c r="D78" s="38">
        <f t="shared" si="9"/>
        <v>1</v>
      </c>
      <c r="G78" s="12" t="s">
        <v>1538</v>
      </c>
      <c r="H78" s="12" t="s">
        <v>1546</v>
      </c>
      <c r="I78" s="12">
        <v>64277</v>
      </c>
      <c r="J78" s="20">
        <v>331</v>
      </c>
      <c r="K78" s="12" t="s">
        <v>20</v>
      </c>
      <c r="L78" s="12">
        <v>1</v>
      </c>
      <c r="M78" s="17">
        <v>3000000</v>
      </c>
      <c r="N78" s="17">
        <f t="shared" si="10"/>
        <v>3000000</v>
      </c>
      <c r="O78" s="17"/>
      <c r="Q78" s="12">
        <f t="shared" si="11"/>
        <v>41</v>
      </c>
    </row>
    <row r="79" spans="1:17" ht="15" hidden="1" customHeight="1" x14ac:dyDescent="0.2">
      <c r="A79" s="12" t="s">
        <v>18</v>
      </c>
      <c r="B79" s="36">
        <v>46088</v>
      </c>
      <c r="C79" s="120">
        <f t="shared" si="8"/>
        <v>340</v>
      </c>
      <c r="D79" s="38">
        <f t="shared" si="9"/>
        <v>0</v>
      </c>
      <c r="G79" s="14" t="s">
        <v>1538</v>
      </c>
      <c r="H79" s="12" t="s">
        <v>1546</v>
      </c>
      <c r="I79" s="12">
        <v>1331</v>
      </c>
      <c r="J79" s="20">
        <v>331</v>
      </c>
      <c r="K79" s="12" t="s">
        <v>20</v>
      </c>
      <c r="L79" s="12">
        <v>1</v>
      </c>
      <c r="M79" s="17">
        <v>240000</v>
      </c>
      <c r="N79" s="17">
        <f t="shared" si="10"/>
        <v>240000</v>
      </c>
      <c r="O79" s="17"/>
      <c r="Q79" s="12">
        <f t="shared" si="11"/>
        <v>41</v>
      </c>
    </row>
    <row r="80" spans="1:17" ht="15" hidden="1" customHeight="1" x14ac:dyDescent="0.2">
      <c r="A80" s="12" t="s">
        <v>18</v>
      </c>
      <c r="B80" s="36">
        <v>46094</v>
      </c>
      <c r="C80" s="120">
        <f t="shared" si="8"/>
        <v>341</v>
      </c>
      <c r="D80" s="38">
        <f t="shared" si="9"/>
        <v>1</v>
      </c>
      <c r="G80" s="14" t="s">
        <v>1570</v>
      </c>
      <c r="H80" s="12" t="s">
        <v>1571</v>
      </c>
      <c r="I80" s="12">
        <v>131</v>
      </c>
      <c r="J80" s="20">
        <v>5113</v>
      </c>
      <c r="K80" s="12" t="s">
        <v>20</v>
      </c>
      <c r="L80" s="12">
        <v>1</v>
      </c>
      <c r="M80" s="17">
        <v>15053763</v>
      </c>
      <c r="N80" s="17">
        <f t="shared" si="10"/>
        <v>15053763</v>
      </c>
      <c r="O80" s="17"/>
      <c r="Q80" s="12">
        <f t="shared" si="11"/>
        <v>100</v>
      </c>
    </row>
    <row r="81" spans="1:25" ht="15" hidden="1" customHeight="1" x14ac:dyDescent="0.2">
      <c r="A81" s="12" t="s">
        <v>18</v>
      </c>
      <c r="B81" s="36">
        <v>46094</v>
      </c>
      <c r="C81" s="120">
        <f t="shared" si="8"/>
        <v>342</v>
      </c>
      <c r="D81" s="38">
        <f t="shared" si="9"/>
        <v>1</v>
      </c>
      <c r="G81" s="14" t="s">
        <v>1568</v>
      </c>
      <c r="H81" s="12" t="s">
        <v>1569</v>
      </c>
      <c r="I81" s="12">
        <v>131</v>
      </c>
      <c r="J81" s="20">
        <v>5113</v>
      </c>
      <c r="K81" s="12" t="s">
        <v>20</v>
      </c>
      <c r="L81" s="12">
        <v>1</v>
      </c>
      <c r="M81" s="17">
        <v>13333333</v>
      </c>
      <c r="N81" s="17">
        <f t="shared" si="10"/>
        <v>13333333</v>
      </c>
      <c r="O81" s="17"/>
      <c r="Q81" s="12">
        <f t="shared" si="11"/>
        <v>114</v>
      </c>
    </row>
    <row r="82" spans="1:25" ht="15" customHeight="1" x14ac:dyDescent="0.2">
      <c r="A82" s="12" t="s">
        <v>18</v>
      </c>
      <c r="B82" s="36">
        <v>46094</v>
      </c>
      <c r="C82" s="120">
        <f t="shared" si="8"/>
        <v>343</v>
      </c>
      <c r="D82" s="38">
        <f t="shared" si="9"/>
        <v>1</v>
      </c>
      <c r="G82" s="12" t="s">
        <v>1570</v>
      </c>
      <c r="H82" s="12" t="s">
        <v>3545</v>
      </c>
      <c r="I82" s="12">
        <v>333821</v>
      </c>
      <c r="J82" s="20">
        <v>131</v>
      </c>
      <c r="K82" s="12" t="s">
        <v>20</v>
      </c>
      <c r="L82" s="12">
        <v>1</v>
      </c>
      <c r="M82" s="17">
        <v>150538</v>
      </c>
      <c r="N82" s="17">
        <f t="shared" si="10"/>
        <v>150538</v>
      </c>
      <c r="O82" s="17"/>
      <c r="Q82" s="12">
        <f t="shared" si="11"/>
        <v>116</v>
      </c>
    </row>
    <row r="83" spans="1:25" ht="15" customHeight="1" x14ac:dyDescent="0.2">
      <c r="A83" s="12" t="s">
        <v>18</v>
      </c>
      <c r="B83" s="36">
        <v>46094</v>
      </c>
      <c r="C83" s="120">
        <f t="shared" si="8"/>
        <v>344</v>
      </c>
      <c r="D83" s="38">
        <f t="shared" si="9"/>
        <v>1</v>
      </c>
      <c r="G83" s="12" t="s">
        <v>1568</v>
      </c>
      <c r="H83" s="12" t="s">
        <v>3544</v>
      </c>
      <c r="I83" s="12">
        <v>333821</v>
      </c>
      <c r="J83" s="20">
        <v>131</v>
      </c>
      <c r="K83" s="12" t="s">
        <v>20</v>
      </c>
      <c r="L83" s="12">
        <v>1</v>
      </c>
      <c r="M83" s="17">
        <v>133333</v>
      </c>
      <c r="N83" s="17">
        <f t="shared" si="10"/>
        <v>133333</v>
      </c>
      <c r="O83" s="17"/>
      <c r="Q83" s="12">
        <f t="shared" si="11"/>
        <v>130</v>
      </c>
    </row>
    <row r="84" spans="1:25" ht="15" hidden="1" customHeight="1" x14ac:dyDescent="0.2">
      <c r="A84" s="12" t="s">
        <v>18</v>
      </c>
      <c r="B84" s="36">
        <v>46099</v>
      </c>
      <c r="C84" s="120">
        <f t="shared" si="8"/>
        <v>345</v>
      </c>
      <c r="D84" s="38">
        <f t="shared" si="9"/>
        <v>1</v>
      </c>
      <c r="G84" s="14" t="s">
        <v>1561</v>
      </c>
      <c r="H84" s="12" t="s">
        <v>1572</v>
      </c>
      <c r="I84" s="12">
        <v>131</v>
      </c>
      <c r="J84" s="20">
        <v>5113</v>
      </c>
      <c r="K84" s="12" t="s">
        <v>20</v>
      </c>
      <c r="L84" s="12">
        <v>1</v>
      </c>
      <c r="M84" s="17">
        <v>13333333</v>
      </c>
      <c r="N84" s="17">
        <f t="shared" si="10"/>
        <v>13333333</v>
      </c>
      <c r="O84" s="17"/>
      <c r="Q84" s="12">
        <f t="shared" si="11"/>
        <v>147</v>
      </c>
    </row>
    <row r="85" spans="1:25" ht="15" customHeight="1" x14ac:dyDescent="0.2">
      <c r="A85" s="12" t="s">
        <v>18</v>
      </c>
      <c r="B85" s="36">
        <v>46099</v>
      </c>
      <c r="C85" s="120">
        <f t="shared" si="8"/>
        <v>346</v>
      </c>
      <c r="D85" s="38">
        <f t="shared" si="9"/>
        <v>1</v>
      </c>
      <c r="G85" s="12" t="s">
        <v>1561</v>
      </c>
      <c r="H85" s="12" t="s">
        <v>3546</v>
      </c>
      <c r="I85" s="12">
        <v>333821</v>
      </c>
      <c r="J85" s="20">
        <v>131</v>
      </c>
      <c r="K85" s="12" t="s">
        <v>20</v>
      </c>
      <c r="L85" s="12">
        <v>1</v>
      </c>
      <c r="M85" s="17">
        <v>133333</v>
      </c>
      <c r="N85" s="17">
        <f t="shared" si="10"/>
        <v>133333</v>
      </c>
      <c r="O85" s="17"/>
      <c r="Q85" s="12">
        <f t="shared" si="11"/>
        <v>163</v>
      </c>
    </row>
    <row r="86" spans="1:25" ht="15" hidden="1" customHeight="1" x14ac:dyDescent="0.2">
      <c r="A86" s="12" t="s">
        <v>18</v>
      </c>
      <c r="B86" s="36">
        <v>46104</v>
      </c>
      <c r="C86" s="120">
        <f t="shared" si="8"/>
        <v>347</v>
      </c>
      <c r="D86" s="38">
        <f t="shared" si="9"/>
        <v>1</v>
      </c>
      <c r="G86" s="14" t="s">
        <v>1573</v>
      </c>
      <c r="H86" s="12" t="s">
        <v>1574</v>
      </c>
      <c r="I86" s="12">
        <v>131</v>
      </c>
      <c r="J86" s="20">
        <v>5113</v>
      </c>
      <c r="K86" s="12" t="s">
        <v>20</v>
      </c>
      <c r="L86" s="12">
        <v>1</v>
      </c>
      <c r="M86" s="17">
        <v>13333333</v>
      </c>
      <c r="N86" s="17">
        <f t="shared" si="10"/>
        <v>13333333</v>
      </c>
      <c r="O86" s="17"/>
      <c r="Q86" s="12">
        <f t="shared" si="11"/>
        <v>147</v>
      </c>
    </row>
    <row r="87" spans="1:25" ht="15" hidden="1" customHeight="1" x14ac:dyDescent="0.2">
      <c r="A87" s="12" t="s">
        <v>18</v>
      </c>
      <c r="B87" s="36">
        <v>46104</v>
      </c>
      <c r="C87" s="120">
        <f t="shared" si="8"/>
        <v>348</v>
      </c>
      <c r="D87" s="38">
        <f t="shared" si="9"/>
        <v>1</v>
      </c>
      <c r="G87" s="14" t="s">
        <v>1573</v>
      </c>
      <c r="H87" s="12" t="s">
        <v>1575</v>
      </c>
      <c r="I87" s="12">
        <v>131</v>
      </c>
      <c r="J87" s="20">
        <v>5113</v>
      </c>
      <c r="K87" s="12" t="s">
        <v>20</v>
      </c>
      <c r="L87" s="12">
        <v>1</v>
      </c>
      <c r="M87" s="17">
        <v>13333333</v>
      </c>
      <c r="N87" s="17">
        <f t="shared" si="10"/>
        <v>13333333</v>
      </c>
      <c r="O87" s="17"/>
      <c r="Q87" s="12">
        <f t="shared" si="11"/>
        <v>147</v>
      </c>
    </row>
    <row r="88" spans="1:25" ht="15" customHeight="1" x14ac:dyDescent="0.2">
      <c r="A88" s="12" t="s">
        <v>18</v>
      </c>
      <c r="B88" s="36">
        <v>46104</v>
      </c>
      <c r="C88" s="120">
        <f t="shared" si="8"/>
        <v>349</v>
      </c>
      <c r="D88" s="38">
        <f t="shared" si="9"/>
        <v>1</v>
      </c>
      <c r="G88" s="12" t="s">
        <v>1573</v>
      </c>
      <c r="H88" s="12" t="s">
        <v>3547</v>
      </c>
      <c r="I88" s="12">
        <v>333821</v>
      </c>
      <c r="J88" s="20">
        <v>131</v>
      </c>
      <c r="K88" s="12" t="s">
        <v>20</v>
      </c>
      <c r="L88" s="12">
        <v>1</v>
      </c>
      <c r="M88" s="17">
        <v>133333</v>
      </c>
      <c r="N88" s="17">
        <f t="shared" si="10"/>
        <v>133333</v>
      </c>
      <c r="O88" s="17"/>
      <c r="Q88" s="12">
        <f t="shared" si="11"/>
        <v>163</v>
      </c>
    </row>
    <row r="89" spans="1:25" ht="15" customHeight="1" x14ac:dyDescent="0.2">
      <c r="A89" s="12" t="s">
        <v>18</v>
      </c>
      <c r="B89" s="36">
        <v>46104</v>
      </c>
      <c r="C89" s="120">
        <f t="shared" si="8"/>
        <v>350</v>
      </c>
      <c r="D89" s="38">
        <f t="shared" si="9"/>
        <v>1</v>
      </c>
      <c r="G89" s="12" t="s">
        <v>1573</v>
      </c>
      <c r="H89" s="12" t="s">
        <v>3548</v>
      </c>
      <c r="I89" s="12">
        <v>333821</v>
      </c>
      <c r="J89" s="20">
        <v>131</v>
      </c>
      <c r="K89" s="12" t="s">
        <v>20</v>
      </c>
      <c r="L89" s="12">
        <v>1</v>
      </c>
      <c r="M89" s="17">
        <v>133333</v>
      </c>
      <c r="N89" s="17">
        <f t="shared" si="10"/>
        <v>133333</v>
      </c>
      <c r="O89" s="17"/>
      <c r="Q89" s="12">
        <f t="shared" si="11"/>
        <v>163</v>
      </c>
    </row>
    <row r="90" spans="1:25" ht="15" hidden="1" customHeight="1" x14ac:dyDescent="0.2">
      <c r="A90" s="12" t="s">
        <v>18</v>
      </c>
      <c r="B90" s="36">
        <v>46105</v>
      </c>
      <c r="C90" s="120">
        <f t="shared" si="8"/>
        <v>351</v>
      </c>
      <c r="D90" s="38">
        <f t="shared" si="9"/>
        <v>1</v>
      </c>
      <c r="G90" s="14" t="s">
        <v>1576</v>
      </c>
      <c r="H90" s="12" t="s">
        <v>1577</v>
      </c>
      <c r="I90" s="12">
        <v>131</v>
      </c>
      <c r="J90" s="20">
        <v>5113</v>
      </c>
      <c r="K90" s="12" t="s">
        <v>20</v>
      </c>
      <c r="L90" s="12">
        <v>1</v>
      </c>
      <c r="M90" s="17">
        <v>13333333</v>
      </c>
      <c r="N90" s="17">
        <f t="shared" si="10"/>
        <v>13333333</v>
      </c>
      <c r="O90" s="17"/>
      <c r="Q90" s="12">
        <f t="shared" si="11"/>
        <v>181</v>
      </c>
    </row>
    <row r="91" spans="1:25" ht="15" customHeight="1" x14ac:dyDescent="0.2">
      <c r="A91" s="12" t="s">
        <v>18</v>
      </c>
      <c r="B91" s="36">
        <v>46105</v>
      </c>
      <c r="C91" s="120">
        <f t="shared" si="8"/>
        <v>352</v>
      </c>
      <c r="D91" s="38">
        <f t="shared" si="9"/>
        <v>1</v>
      </c>
      <c r="G91" s="12" t="s">
        <v>1576</v>
      </c>
      <c r="H91" s="12" t="s">
        <v>3549</v>
      </c>
      <c r="I91" s="12">
        <v>333821</v>
      </c>
      <c r="J91" s="20">
        <v>131</v>
      </c>
      <c r="K91" s="12" t="s">
        <v>20</v>
      </c>
      <c r="L91" s="12">
        <v>1</v>
      </c>
      <c r="M91" s="17">
        <v>133333</v>
      </c>
      <c r="N91" s="17">
        <f t="shared" si="10"/>
        <v>133333</v>
      </c>
      <c r="O91" s="17"/>
      <c r="Q91" s="12">
        <f t="shared" si="11"/>
        <v>197</v>
      </c>
    </row>
    <row r="92" spans="1:25" ht="15" hidden="1" customHeight="1" x14ac:dyDescent="0.2">
      <c r="A92" s="12" t="s">
        <v>18</v>
      </c>
      <c r="B92" s="36">
        <v>46106</v>
      </c>
      <c r="C92" s="120">
        <f t="shared" si="8"/>
        <v>353</v>
      </c>
      <c r="D92" s="38">
        <f t="shared" si="9"/>
        <v>1</v>
      </c>
      <c r="G92" s="14" t="s">
        <v>73</v>
      </c>
      <c r="H92" s="12" t="s">
        <v>1578</v>
      </c>
      <c r="I92" s="12">
        <v>131</v>
      </c>
      <c r="J92" s="20">
        <v>5113</v>
      </c>
      <c r="K92" s="12" t="s">
        <v>20</v>
      </c>
      <c r="L92" s="12">
        <v>1</v>
      </c>
      <c r="M92" s="17">
        <v>26666667</v>
      </c>
      <c r="N92" s="17">
        <f t="shared" si="10"/>
        <v>26666667</v>
      </c>
      <c r="O92" s="17"/>
      <c r="Q92" s="12">
        <f t="shared" si="11"/>
        <v>128</v>
      </c>
    </row>
    <row r="93" spans="1:25" ht="15" hidden="1" customHeight="1" x14ac:dyDescent="0.2">
      <c r="A93" s="12" t="s">
        <v>18</v>
      </c>
      <c r="B93" s="36">
        <v>46106</v>
      </c>
      <c r="C93" s="120">
        <f t="shared" si="8"/>
        <v>354</v>
      </c>
      <c r="D93" s="38">
        <f t="shared" si="9"/>
        <v>1</v>
      </c>
      <c r="G93" s="14" t="s">
        <v>1579</v>
      </c>
      <c r="H93" s="12" t="s">
        <v>1580</v>
      </c>
      <c r="I93" s="12">
        <v>131</v>
      </c>
      <c r="J93" s="20">
        <v>5113</v>
      </c>
      <c r="K93" s="12" t="s">
        <v>20</v>
      </c>
      <c r="L93" s="12">
        <v>1</v>
      </c>
      <c r="M93" s="17">
        <v>12903226</v>
      </c>
      <c r="N93" s="17">
        <f t="shared" si="10"/>
        <v>12903226</v>
      </c>
      <c r="O93" s="17"/>
      <c r="Q93" s="12">
        <f t="shared" si="11"/>
        <v>105</v>
      </c>
    </row>
    <row r="94" spans="1:25" s="165" customFormat="1" ht="15" customHeight="1" x14ac:dyDescent="0.2">
      <c r="A94" s="12" t="s">
        <v>18</v>
      </c>
      <c r="B94" s="36">
        <v>46106</v>
      </c>
      <c r="C94" s="120">
        <f t="shared" si="8"/>
        <v>355</v>
      </c>
      <c r="D94" s="38">
        <f t="shared" si="9"/>
        <v>1</v>
      </c>
      <c r="E94" s="12"/>
      <c r="F94" s="12"/>
      <c r="G94" s="12" t="s">
        <v>73</v>
      </c>
      <c r="H94" s="12" t="s">
        <v>3550</v>
      </c>
      <c r="I94" s="12">
        <v>333821</v>
      </c>
      <c r="J94" s="20">
        <v>131</v>
      </c>
      <c r="K94" s="12" t="s">
        <v>20</v>
      </c>
      <c r="L94" s="12">
        <v>1</v>
      </c>
      <c r="M94" s="17">
        <v>266667</v>
      </c>
      <c r="N94" s="17">
        <f t="shared" si="10"/>
        <v>266667</v>
      </c>
      <c r="O94" s="17"/>
      <c r="P94" s="12"/>
      <c r="Q94" s="12">
        <f t="shared" si="11"/>
        <v>144</v>
      </c>
      <c r="R94" s="169"/>
      <c r="T94" s="169"/>
      <c r="U94" s="169"/>
      <c r="V94" s="169"/>
      <c r="W94" s="169"/>
      <c r="X94" s="169"/>
      <c r="Y94" s="169"/>
    </row>
    <row r="95" spans="1:25" ht="15" customHeight="1" x14ac:dyDescent="0.2">
      <c r="A95" s="12" t="s">
        <v>18</v>
      </c>
      <c r="B95" s="36">
        <v>46106</v>
      </c>
      <c r="C95" s="120">
        <f t="shared" si="8"/>
        <v>356</v>
      </c>
      <c r="D95" s="38">
        <f t="shared" si="9"/>
        <v>1</v>
      </c>
      <c r="G95" s="12" t="s">
        <v>1579</v>
      </c>
      <c r="H95" s="12" t="s">
        <v>3551</v>
      </c>
      <c r="I95" s="12">
        <v>333821</v>
      </c>
      <c r="J95" s="20">
        <v>131</v>
      </c>
      <c r="K95" s="12" t="s">
        <v>20</v>
      </c>
      <c r="L95" s="12">
        <v>1</v>
      </c>
      <c r="M95" s="17">
        <v>129032</v>
      </c>
      <c r="N95" s="17">
        <f t="shared" si="10"/>
        <v>129032</v>
      </c>
      <c r="O95" s="17"/>
      <c r="Q95" s="12">
        <f t="shared" si="11"/>
        <v>121</v>
      </c>
    </row>
    <row r="96" spans="1:25" ht="15" hidden="1" customHeight="1" x14ac:dyDescent="0.2">
      <c r="A96" s="12" t="s">
        <v>18</v>
      </c>
      <c r="B96" s="36">
        <v>46108</v>
      </c>
      <c r="C96" s="120">
        <f t="shared" si="8"/>
        <v>357</v>
      </c>
      <c r="D96" s="38">
        <f t="shared" si="9"/>
        <v>1</v>
      </c>
      <c r="G96" s="14" t="s">
        <v>253</v>
      </c>
      <c r="H96" s="12" t="s">
        <v>3557</v>
      </c>
      <c r="I96" s="12">
        <v>131</v>
      </c>
      <c r="J96" s="20">
        <v>5113</v>
      </c>
      <c r="K96" s="12" t="s">
        <v>20</v>
      </c>
      <c r="L96" s="12">
        <v>1</v>
      </c>
      <c r="M96" s="17">
        <v>13333333</v>
      </c>
      <c r="N96" s="17">
        <f t="shared" si="10"/>
        <v>13333333</v>
      </c>
      <c r="O96" s="17"/>
      <c r="Q96" s="12">
        <f t="shared" si="11"/>
        <v>121</v>
      </c>
    </row>
    <row r="97" spans="1:25" ht="15" customHeight="1" x14ac:dyDescent="0.2">
      <c r="A97" s="12" t="s">
        <v>18</v>
      </c>
      <c r="B97" s="36">
        <v>46108</v>
      </c>
      <c r="C97" s="120">
        <f t="shared" si="8"/>
        <v>358</v>
      </c>
      <c r="D97" s="38">
        <f t="shared" si="9"/>
        <v>1</v>
      </c>
      <c r="G97" s="12" t="s">
        <v>253</v>
      </c>
      <c r="H97" s="12" t="s">
        <v>3558</v>
      </c>
      <c r="I97" s="12">
        <v>333821</v>
      </c>
      <c r="J97" s="20">
        <v>131</v>
      </c>
      <c r="K97" s="12" t="s">
        <v>20</v>
      </c>
      <c r="L97" s="12">
        <v>1</v>
      </c>
      <c r="M97" s="17">
        <v>133333</v>
      </c>
      <c r="N97" s="17">
        <f t="shared" si="10"/>
        <v>133333</v>
      </c>
      <c r="O97" s="17"/>
      <c r="Q97" s="12">
        <f t="shared" si="11"/>
        <v>137</v>
      </c>
    </row>
    <row r="98" spans="1:25" ht="15" hidden="1" customHeight="1" x14ac:dyDescent="0.2">
      <c r="A98" s="12" t="s">
        <v>18</v>
      </c>
      <c r="B98" s="36">
        <v>46111</v>
      </c>
      <c r="C98" s="120">
        <f t="shared" si="8"/>
        <v>359</v>
      </c>
      <c r="D98" s="38">
        <f t="shared" si="9"/>
        <v>1</v>
      </c>
      <c r="G98" s="14" t="s">
        <v>1582</v>
      </c>
      <c r="H98" s="12" t="s">
        <v>1583</v>
      </c>
      <c r="I98" s="12">
        <v>131</v>
      </c>
      <c r="J98" s="20">
        <v>5113</v>
      </c>
      <c r="K98" s="12" t="s">
        <v>20</v>
      </c>
      <c r="L98" s="12">
        <v>1</v>
      </c>
      <c r="M98" s="17">
        <v>8888889</v>
      </c>
      <c r="N98" s="17">
        <f t="shared" si="10"/>
        <v>8888889</v>
      </c>
      <c r="O98" s="17"/>
      <c r="Q98" s="12">
        <f t="shared" si="11"/>
        <v>157</v>
      </c>
    </row>
    <row r="99" spans="1:25" ht="15" hidden="1" customHeight="1" x14ac:dyDescent="0.2">
      <c r="A99" s="12" t="s">
        <v>18</v>
      </c>
      <c r="B99" s="36">
        <v>46111</v>
      </c>
      <c r="C99" s="120">
        <f t="shared" si="8"/>
        <v>360</v>
      </c>
      <c r="D99" s="38">
        <f t="shared" si="9"/>
        <v>1</v>
      </c>
      <c r="G99" s="14" t="s">
        <v>1550</v>
      </c>
      <c r="H99" s="12" t="s">
        <v>1581</v>
      </c>
      <c r="I99" s="12">
        <v>131</v>
      </c>
      <c r="J99" s="20">
        <v>5113</v>
      </c>
      <c r="K99" s="12" t="s">
        <v>20</v>
      </c>
      <c r="L99" s="12">
        <v>1</v>
      </c>
      <c r="M99" s="17">
        <v>15555556</v>
      </c>
      <c r="N99" s="17">
        <f t="shared" si="10"/>
        <v>15555556</v>
      </c>
      <c r="O99" s="17"/>
      <c r="Q99" s="12">
        <f t="shared" si="11"/>
        <v>153</v>
      </c>
    </row>
    <row r="100" spans="1:25" ht="15" customHeight="1" x14ac:dyDescent="0.2">
      <c r="A100" s="12" t="s">
        <v>18</v>
      </c>
      <c r="B100" s="36">
        <v>46111</v>
      </c>
      <c r="C100" s="120">
        <f t="shared" ref="C100:C104" si="12">C99+D100</f>
        <v>361</v>
      </c>
      <c r="D100" s="38">
        <f t="shared" si="9"/>
        <v>1</v>
      </c>
      <c r="G100" s="12" t="s">
        <v>1582</v>
      </c>
      <c r="H100" s="12" t="s">
        <v>3553</v>
      </c>
      <c r="I100" s="12">
        <v>333821</v>
      </c>
      <c r="J100" s="20">
        <v>131</v>
      </c>
      <c r="K100" s="12" t="s">
        <v>20</v>
      </c>
      <c r="L100" s="12">
        <v>1</v>
      </c>
      <c r="M100" s="17">
        <v>88889</v>
      </c>
      <c r="N100" s="17">
        <f t="shared" ref="N100:N104" si="13">L100*M100</f>
        <v>88889</v>
      </c>
      <c r="O100" s="17"/>
      <c r="Q100" s="12">
        <f t="shared" si="11"/>
        <v>173</v>
      </c>
    </row>
    <row r="101" spans="1:25" ht="15" customHeight="1" x14ac:dyDescent="0.2">
      <c r="A101" s="12" t="s">
        <v>18</v>
      </c>
      <c r="B101" s="36">
        <v>46111</v>
      </c>
      <c r="C101" s="120">
        <f t="shared" si="12"/>
        <v>362</v>
      </c>
      <c r="D101" s="38">
        <f t="shared" si="9"/>
        <v>1</v>
      </c>
      <c r="G101" s="12" t="s">
        <v>1550</v>
      </c>
      <c r="H101" s="12" t="s">
        <v>3552</v>
      </c>
      <c r="I101" s="12">
        <v>333821</v>
      </c>
      <c r="J101" s="20">
        <v>131</v>
      </c>
      <c r="K101" s="12" t="s">
        <v>20</v>
      </c>
      <c r="L101" s="12">
        <v>1</v>
      </c>
      <c r="M101" s="17">
        <v>155556</v>
      </c>
      <c r="N101" s="17">
        <f t="shared" si="13"/>
        <v>155556</v>
      </c>
      <c r="O101" s="17"/>
      <c r="Q101" s="12">
        <f t="shared" si="11"/>
        <v>169</v>
      </c>
    </row>
    <row r="102" spans="1:25" s="165" customFormat="1" ht="15" hidden="1" customHeight="1" x14ac:dyDescent="0.2">
      <c r="A102" s="12" t="s">
        <v>18</v>
      </c>
      <c r="B102" s="36">
        <v>46112</v>
      </c>
      <c r="C102" s="120">
        <f t="shared" si="12"/>
        <v>363</v>
      </c>
      <c r="D102" s="38">
        <f t="shared" si="9"/>
        <v>1</v>
      </c>
      <c r="E102" s="12"/>
      <c r="F102" s="12"/>
      <c r="G102" s="14" t="s">
        <v>39</v>
      </c>
      <c r="H102" s="12" t="s">
        <v>457</v>
      </c>
      <c r="I102" s="12">
        <v>64271</v>
      </c>
      <c r="J102" s="20">
        <v>3383</v>
      </c>
      <c r="K102" s="12" t="s">
        <v>20</v>
      </c>
      <c r="L102" s="12">
        <v>1</v>
      </c>
      <c r="M102" s="17">
        <v>690300</v>
      </c>
      <c r="N102" s="17">
        <f t="shared" si="13"/>
        <v>690300</v>
      </c>
      <c r="O102" s="17"/>
      <c r="P102" s="12"/>
      <c r="Q102" s="12">
        <f t="shared" si="11"/>
        <v>30</v>
      </c>
      <c r="R102" s="169"/>
      <c r="T102" s="169"/>
      <c r="U102" s="169"/>
      <c r="V102" s="169"/>
      <c r="W102" s="169"/>
      <c r="X102" s="169"/>
      <c r="Y102" s="169"/>
    </row>
    <row r="103" spans="1:25" ht="15" hidden="1" customHeight="1" x14ac:dyDescent="0.2">
      <c r="A103" s="12" t="s">
        <v>18</v>
      </c>
      <c r="B103" s="36">
        <v>46112</v>
      </c>
      <c r="C103" s="120">
        <f t="shared" si="12"/>
        <v>364</v>
      </c>
      <c r="D103" s="38">
        <f t="shared" si="9"/>
        <v>1</v>
      </c>
      <c r="G103" s="14" t="s">
        <v>1566</v>
      </c>
      <c r="H103" s="12" t="s">
        <v>1584</v>
      </c>
      <c r="I103" s="12">
        <v>131</v>
      </c>
      <c r="J103" s="20">
        <v>5113</v>
      </c>
      <c r="K103" s="12" t="s">
        <v>20</v>
      </c>
      <c r="L103" s="12">
        <v>1</v>
      </c>
      <c r="M103" s="17">
        <v>13333333</v>
      </c>
      <c r="N103" s="17">
        <f t="shared" si="13"/>
        <v>13333333</v>
      </c>
      <c r="O103" s="17"/>
      <c r="Q103" s="12">
        <f t="shared" si="11"/>
        <v>168</v>
      </c>
    </row>
    <row r="104" spans="1:25" ht="15" customHeight="1" x14ac:dyDescent="0.2">
      <c r="A104" s="12" t="s">
        <v>18</v>
      </c>
      <c r="B104" s="36">
        <v>46112</v>
      </c>
      <c r="C104" s="120">
        <f t="shared" si="12"/>
        <v>365</v>
      </c>
      <c r="D104" s="38">
        <f t="shared" si="9"/>
        <v>1</v>
      </c>
      <c r="G104" s="12" t="s">
        <v>1566</v>
      </c>
      <c r="H104" s="12" t="s">
        <v>3554</v>
      </c>
      <c r="I104" s="12">
        <v>333821</v>
      </c>
      <c r="J104" s="20">
        <v>131</v>
      </c>
      <c r="K104" s="12" t="s">
        <v>20</v>
      </c>
      <c r="L104" s="12">
        <v>1</v>
      </c>
      <c r="M104" s="17">
        <v>133333</v>
      </c>
      <c r="N104" s="17">
        <f t="shared" si="13"/>
        <v>133333</v>
      </c>
      <c r="O104" s="17"/>
      <c r="Q104" s="12">
        <f t="shared" si="11"/>
        <v>184</v>
      </c>
    </row>
  </sheetData>
  <autoFilter ref="A3:Q104" xr:uid="{00000000-0009-0000-0000-00000E000000}">
    <filterColumn colId="8">
      <filters>
        <filter val="333821"/>
      </filters>
    </filterColumn>
    <filterColumn colId="9">
      <filters>
        <filter val="131"/>
      </filters>
    </filterColumn>
    <sortState xmlns:xlrd2="http://schemas.microsoft.com/office/spreadsheetml/2017/richdata2" ref="A4:Q104">
      <sortCondition ref="A4:A104"/>
      <sortCondition ref="B4:B104"/>
      <sortCondition ref="H4:H104"/>
    </sortState>
  </autoFilter>
  <mergeCells count="13">
    <mergeCell ref="F1:F2"/>
    <mergeCell ref="A1:A2"/>
    <mergeCell ref="B1:B2"/>
    <mergeCell ref="C1:C2"/>
    <mergeCell ref="D1:D2"/>
    <mergeCell ref="E1:E2"/>
    <mergeCell ref="N1:N2"/>
    <mergeCell ref="G1:G2"/>
    <mergeCell ref="H1:H2"/>
    <mergeCell ref="I1:J1"/>
    <mergeCell ref="K1:K2"/>
    <mergeCell ref="L1:L2"/>
    <mergeCell ref="M1:M2"/>
  </mergeCells>
  <hyperlinks>
    <hyperlink ref="P1" location="Summary!A1" display="Back to summary" xr:uid="{00000000-0004-0000-0E00-000000000000}"/>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filterMode="1">
    <tabColor rgb="FF92D050"/>
  </sheetPr>
  <dimension ref="A1:Y199"/>
  <sheetViews>
    <sheetView workbookViewId="0">
      <selection activeCell="M84" sqref="M84:M132"/>
    </sheetView>
  </sheetViews>
  <sheetFormatPr defaultRowHeight="15" customHeight="1" x14ac:dyDescent="0.2"/>
  <cols>
    <col min="1" max="1" width="9.140625" style="20"/>
    <col min="2" max="2" width="10.7109375" style="106" bestFit="1" customWidth="1"/>
    <col min="3" max="4" width="9.140625" style="20"/>
    <col min="5" max="5" width="16.140625" style="20" customWidth="1"/>
    <col min="6" max="6" width="10.5703125" style="32" customWidth="1"/>
    <col min="7" max="7" width="14.85546875" style="32" bestFit="1" customWidth="1"/>
    <col min="8" max="8" width="49.7109375" style="32" customWidth="1"/>
    <col min="9" max="12" width="9.140625" style="20"/>
    <col min="13" max="13" width="11.28515625" style="34" bestFit="1" customWidth="1"/>
    <col min="14" max="14" width="11.28515625" style="33" bestFit="1" customWidth="1"/>
    <col min="15" max="15" width="9.140625" style="20"/>
    <col min="16" max="16" width="11.28515625" style="20" bestFit="1" customWidth="1"/>
    <col min="17" max="16384" width="9.140625" style="20"/>
  </cols>
  <sheetData>
    <row r="1" spans="1:17" ht="15" customHeight="1" thickBot="1" x14ac:dyDescent="0.25">
      <c r="A1" s="273" t="s">
        <v>0</v>
      </c>
      <c r="B1" s="273" t="s">
        <v>1</v>
      </c>
      <c r="C1" s="273" t="s">
        <v>2</v>
      </c>
      <c r="D1" s="277" t="s">
        <v>3</v>
      </c>
      <c r="E1" s="275" t="s">
        <v>4</v>
      </c>
      <c r="F1" s="275" t="s">
        <v>5</v>
      </c>
      <c r="G1" s="267" t="s">
        <v>6</v>
      </c>
      <c r="H1" s="269" t="s">
        <v>7</v>
      </c>
      <c r="I1" s="271" t="s">
        <v>8</v>
      </c>
      <c r="J1" s="272"/>
      <c r="K1" s="273" t="s">
        <v>9</v>
      </c>
      <c r="L1" s="273" t="s">
        <v>10</v>
      </c>
      <c r="M1" s="224" t="s">
        <v>11</v>
      </c>
      <c r="N1" s="265" t="s">
        <v>12</v>
      </c>
      <c r="O1" s="19"/>
      <c r="P1" s="146" t="s">
        <v>356</v>
      </c>
    </row>
    <row r="2" spans="1:17" ht="15" customHeight="1" thickBot="1" x14ac:dyDescent="0.25">
      <c r="A2" s="274"/>
      <c r="B2" s="274"/>
      <c r="C2" s="274"/>
      <c r="D2" s="278"/>
      <c r="E2" s="279"/>
      <c r="F2" s="276"/>
      <c r="G2" s="268"/>
      <c r="H2" s="270"/>
      <c r="I2" s="21" t="s">
        <v>13</v>
      </c>
      <c r="J2" s="22" t="s">
        <v>14</v>
      </c>
      <c r="K2" s="274"/>
      <c r="L2" s="274"/>
      <c r="M2" s="225"/>
      <c r="N2" s="266"/>
      <c r="O2" s="23"/>
    </row>
    <row r="3" spans="1:17" ht="15" customHeight="1" x14ac:dyDescent="0.2">
      <c r="A3" s="24"/>
      <c r="B3" s="25"/>
      <c r="C3" s="24" t="s">
        <v>4503</v>
      </c>
      <c r="D3" s="26"/>
      <c r="E3" s="26"/>
      <c r="F3" s="26"/>
      <c r="G3" s="24" t="s">
        <v>15</v>
      </c>
      <c r="H3" s="27"/>
      <c r="I3" s="28"/>
      <c r="J3" s="28"/>
      <c r="K3" s="29"/>
      <c r="L3" s="30"/>
      <c r="M3" s="35"/>
      <c r="N3" s="31"/>
      <c r="O3" s="20" t="s">
        <v>16</v>
      </c>
      <c r="P3" s="20" t="s">
        <v>17</v>
      </c>
    </row>
    <row r="4" spans="1:17" ht="15" hidden="1" customHeight="1" x14ac:dyDescent="0.2">
      <c r="A4" s="20" t="s">
        <v>18</v>
      </c>
      <c r="B4" s="61">
        <v>46024</v>
      </c>
      <c r="C4" s="32">
        <f t="shared" ref="C4" si="0">C3+D4</f>
        <v>392</v>
      </c>
      <c r="D4" s="38">
        <f t="shared" ref="D4" si="1">IF(H4=H3,0,1)</f>
        <v>1</v>
      </c>
      <c r="G4" s="32" t="s">
        <v>93</v>
      </c>
      <c r="H4" s="32" t="s">
        <v>1585</v>
      </c>
      <c r="I4" s="20">
        <v>64277</v>
      </c>
      <c r="J4" s="20">
        <v>331</v>
      </c>
      <c r="K4" s="20" t="s">
        <v>20</v>
      </c>
      <c r="L4" s="20">
        <v>1</v>
      </c>
      <c r="M4" s="34">
        <v>4164545</v>
      </c>
      <c r="N4" s="34">
        <f t="shared" ref="N4:N37" si="2">L4*M4</f>
        <v>4164545</v>
      </c>
      <c r="Q4" s="20">
        <f>LEN(H4)</f>
        <v>70</v>
      </c>
    </row>
    <row r="5" spans="1:17" ht="15" hidden="1" customHeight="1" x14ac:dyDescent="0.2">
      <c r="A5" s="20" t="s">
        <v>18</v>
      </c>
      <c r="B5" s="61">
        <v>46024</v>
      </c>
      <c r="C5" s="32">
        <f t="shared" ref="C5:C68" si="3">C4+D5</f>
        <v>392</v>
      </c>
      <c r="D5" s="38">
        <f t="shared" ref="D5:D68" si="4">IF(H5=H4,0,1)</f>
        <v>0</v>
      </c>
      <c r="G5" s="32" t="s">
        <v>93</v>
      </c>
      <c r="H5" s="32" t="s">
        <v>1585</v>
      </c>
      <c r="I5" s="20">
        <v>1331</v>
      </c>
      <c r="J5" s="20">
        <v>331</v>
      </c>
      <c r="K5" s="20" t="s">
        <v>20</v>
      </c>
      <c r="L5" s="20">
        <v>1</v>
      </c>
      <c r="M5" s="34">
        <v>416455</v>
      </c>
      <c r="N5" s="34">
        <f t="shared" si="2"/>
        <v>416455</v>
      </c>
      <c r="Q5" s="20">
        <f t="shared" ref="Q5:Q68" si="5">LEN(H5)</f>
        <v>70</v>
      </c>
    </row>
    <row r="6" spans="1:17" ht="15" hidden="1" customHeight="1" x14ac:dyDescent="0.2">
      <c r="A6" s="20" t="s">
        <v>310</v>
      </c>
      <c r="B6" s="61">
        <v>46024</v>
      </c>
      <c r="C6" s="32">
        <f t="shared" si="3"/>
        <v>393</v>
      </c>
      <c r="D6" s="38">
        <f t="shared" si="4"/>
        <v>1</v>
      </c>
      <c r="F6" s="20"/>
      <c r="G6" s="32" t="s">
        <v>93</v>
      </c>
      <c r="H6" s="20" t="s">
        <v>4504</v>
      </c>
      <c r="I6" s="20">
        <v>331</v>
      </c>
      <c r="J6" s="20">
        <v>1111</v>
      </c>
      <c r="K6" s="20" t="s">
        <v>20</v>
      </c>
      <c r="L6" s="20">
        <v>1</v>
      </c>
      <c r="M6" s="34">
        <v>4581000</v>
      </c>
      <c r="N6" s="34">
        <f t="shared" si="2"/>
        <v>4581000</v>
      </c>
      <c r="Q6" s="20">
        <f t="shared" si="5"/>
        <v>81</v>
      </c>
    </row>
    <row r="7" spans="1:17" ht="15" hidden="1" customHeight="1" x14ac:dyDescent="0.2">
      <c r="A7" s="20" t="s">
        <v>18</v>
      </c>
      <c r="B7" s="61">
        <v>46025</v>
      </c>
      <c r="C7" s="32">
        <f t="shared" si="3"/>
        <v>394</v>
      </c>
      <c r="D7" s="38">
        <f t="shared" si="4"/>
        <v>1</v>
      </c>
      <c r="G7" s="32" t="s">
        <v>282</v>
      </c>
      <c r="H7" s="32" t="s">
        <v>1586</v>
      </c>
      <c r="I7" s="20">
        <v>64277</v>
      </c>
      <c r="J7" s="20">
        <v>331</v>
      </c>
      <c r="K7" s="20" t="s">
        <v>20</v>
      </c>
      <c r="L7" s="20">
        <v>1</v>
      </c>
      <c r="M7" s="34">
        <v>501900</v>
      </c>
      <c r="N7" s="34">
        <f t="shared" si="2"/>
        <v>501900</v>
      </c>
      <c r="Q7" s="20">
        <f t="shared" si="5"/>
        <v>160</v>
      </c>
    </row>
    <row r="8" spans="1:17" ht="15" hidden="1" customHeight="1" x14ac:dyDescent="0.2">
      <c r="A8" s="20" t="s">
        <v>18</v>
      </c>
      <c r="B8" s="61">
        <v>46025</v>
      </c>
      <c r="C8" s="32">
        <f t="shared" si="3"/>
        <v>394</v>
      </c>
      <c r="D8" s="38">
        <f t="shared" si="4"/>
        <v>0</v>
      </c>
      <c r="G8" s="32" t="s">
        <v>282</v>
      </c>
      <c r="H8" s="32" t="s">
        <v>1586</v>
      </c>
      <c r="I8" s="20">
        <v>1331</v>
      </c>
      <c r="J8" s="20">
        <v>331</v>
      </c>
      <c r="K8" s="20" t="s">
        <v>20</v>
      </c>
      <c r="L8" s="20">
        <v>1</v>
      </c>
      <c r="M8" s="34">
        <v>40152</v>
      </c>
      <c r="N8" s="34">
        <f t="shared" si="2"/>
        <v>40152</v>
      </c>
      <c r="Q8" s="20">
        <f t="shared" si="5"/>
        <v>160</v>
      </c>
    </row>
    <row r="9" spans="1:17" ht="15" hidden="1" customHeight="1" x14ac:dyDescent="0.2">
      <c r="A9" s="20" t="s">
        <v>310</v>
      </c>
      <c r="B9" s="61">
        <v>46025</v>
      </c>
      <c r="C9" s="32">
        <f t="shared" si="3"/>
        <v>395</v>
      </c>
      <c r="D9" s="38">
        <f t="shared" si="4"/>
        <v>1</v>
      </c>
      <c r="F9" s="20"/>
      <c r="G9" s="32" t="s">
        <v>282</v>
      </c>
      <c r="H9" s="20" t="s">
        <v>4505</v>
      </c>
      <c r="I9" s="20">
        <v>331</v>
      </c>
      <c r="J9" s="20">
        <v>1111</v>
      </c>
      <c r="K9" s="20" t="s">
        <v>20</v>
      </c>
      <c r="L9" s="20">
        <v>1</v>
      </c>
      <c r="M9" s="34">
        <v>542052</v>
      </c>
      <c r="N9" s="34">
        <f t="shared" si="2"/>
        <v>542052</v>
      </c>
      <c r="Q9" s="20">
        <f t="shared" si="5"/>
        <v>171</v>
      </c>
    </row>
    <row r="10" spans="1:17" ht="15" hidden="1" customHeight="1" x14ac:dyDescent="0.2">
      <c r="A10" s="20" t="s">
        <v>18</v>
      </c>
      <c r="B10" s="61">
        <v>46026</v>
      </c>
      <c r="C10" s="32">
        <f t="shared" si="3"/>
        <v>396</v>
      </c>
      <c r="D10" s="38">
        <f t="shared" si="4"/>
        <v>1</v>
      </c>
      <c r="G10" s="32" t="s">
        <v>35</v>
      </c>
      <c r="H10" s="32" t="s">
        <v>1587</v>
      </c>
      <c r="I10" s="20">
        <v>64277</v>
      </c>
      <c r="J10" s="20">
        <v>331</v>
      </c>
      <c r="K10" s="20" t="s">
        <v>20</v>
      </c>
      <c r="L10" s="20">
        <v>1</v>
      </c>
      <c r="M10" s="34">
        <v>3000000</v>
      </c>
      <c r="N10" s="34">
        <f t="shared" si="2"/>
        <v>3000000</v>
      </c>
      <c r="Q10" s="20">
        <f t="shared" si="5"/>
        <v>40</v>
      </c>
    </row>
    <row r="11" spans="1:17" ht="15" hidden="1" customHeight="1" x14ac:dyDescent="0.2">
      <c r="A11" s="20" t="s">
        <v>18</v>
      </c>
      <c r="B11" s="61">
        <v>46026</v>
      </c>
      <c r="C11" s="32">
        <f t="shared" si="3"/>
        <v>396</v>
      </c>
      <c r="D11" s="38">
        <f t="shared" si="4"/>
        <v>0</v>
      </c>
      <c r="G11" s="32" t="s">
        <v>35</v>
      </c>
      <c r="H11" s="32" t="s">
        <v>1587</v>
      </c>
      <c r="I11" s="20">
        <v>1331</v>
      </c>
      <c r="J11" s="20">
        <v>331</v>
      </c>
      <c r="K11" s="20" t="s">
        <v>20</v>
      </c>
      <c r="L11" s="20">
        <v>1</v>
      </c>
      <c r="M11" s="34">
        <v>240000</v>
      </c>
      <c r="N11" s="34">
        <f t="shared" si="2"/>
        <v>240000</v>
      </c>
      <c r="Q11" s="20">
        <f t="shared" si="5"/>
        <v>40</v>
      </c>
    </row>
    <row r="12" spans="1:17" ht="15" hidden="1" customHeight="1" x14ac:dyDescent="0.2">
      <c r="A12" s="20" t="s">
        <v>310</v>
      </c>
      <c r="B12" s="61">
        <v>46026</v>
      </c>
      <c r="C12" s="32">
        <f t="shared" si="3"/>
        <v>397</v>
      </c>
      <c r="D12" s="38">
        <f t="shared" si="4"/>
        <v>1</v>
      </c>
      <c r="F12" s="20"/>
      <c r="G12" s="32" t="s">
        <v>35</v>
      </c>
      <c r="H12" s="20" t="s">
        <v>4506</v>
      </c>
      <c r="I12" s="20">
        <v>331</v>
      </c>
      <c r="J12" s="20">
        <v>1111</v>
      </c>
      <c r="K12" s="20" t="s">
        <v>20</v>
      </c>
      <c r="L12" s="20">
        <v>1</v>
      </c>
      <c r="M12" s="34">
        <v>3240000</v>
      </c>
      <c r="N12" s="34">
        <f t="shared" si="2"/>
        <v>3240000</v>
      </c>
      <c r="Q12" s="20">
        <f t="shared" si="5"/>
        <v>51</v>
      </c>
    </row>
    <row r="13" spans="1:17" ht="15" hidden="1" customHeight="1" x14ac:dyDescent="0.2">
      <c r="A13" s="20" t="s">
        <v>18</v>
      </c>
      <c r="B13" s="61">
        <v>46027</v>
      </c>
      <c r="C13" s="32">
        <f t="shared" si="3"/>
        <v>398</v>
      </c>
      <c r="D13" s="38">
        <f t="shared" si="4"/>
        <v>1</v>
      </c>
      <c r="G13" s="32" t="s">
        <v>93</v>
      </c>
      <c r="H13" s="32" t="s">
        <v>1588</v>
      </c>
      <c r="I13" s="20">
        <v>64277</v>
      </c>
      <c r="J13" s="20">
        <v>331</v>
      </c>
      <c r="K13" s="20" t="s">
        <v>20</v>
      </c>
      <c r="L13" s="20">
        <v>1</v>
      </c>
      <c r="M13" s="34">
        <v>5882724</v>
      </c>
      <c r="N13" s="34">
        <f t="shared" si="2"/>
        <v>5882724</v>
      </c>
      <c r="Q13" s="20">
        <f t="shared" si="5"/>
        <v>72</v>
      </c>
    </row>
    <row r="14" spans="1:17" ht="15" hidden="1" customHeight="1" x14ac:dyDescent="0.2">
      <c r="A14" s="20" t="s">
        <v>18</v>
      </c>
      <c r="B14" s="61">
        <v>46027</v>
      </c>
      <c r="C14" s="32">
        <f t="shared" si="3"/>
        <v>398</v>
      </c>
      <c r="D14" s="38">
        <f t="shared" si="4"/>
        <v>0</v>
      </c>
      <c r="G14" s="32" t="s">
        <v>93</v>
      </c>
      <c r="H14" s="32" t="s">
        <v>1588</v>
      </c>
      <c r="I14" s="20">
        <v>1331</v>
      </c>
      <c r="J14" s="20">
        <v>331</v>
      </c>
      <c r="K14" s="20" t="s">
        <v>20</v>
      </c>
      <c r="L14" s="20">
        <v>1</v>
      </c>
      <c r="M14" s="34">
        <v>588272</v>
      </c>
      <c r="N14" s="34">
        <f t="shared" si="2"/>
        <v>588272</v>
      </c>
      <c r="Q14" s="20">
        <f t="shared" si="5"/>
        <v>72</v>
      </c>
    </row>
    <row r="15" spans="1:17" ht="15" hidden="1" customHeight="1" x14ac:dyDescent="0.2">
      <c r="A15" s="20" t="s">
        <v>310</v>
      </c>
      <c r="B15" s="61">
        <v>46027</v>
      </c>
      <c r="C15" s="32">
        <f t="shared" si="3"/>
        <v>399</v>
      </c>
      <c r="D15" s="38">
        <f t="shared" si="4"/>
        <v>1</v>
      </c>
      <c r="F15" s="20"/>
      <c r="G15" s="32" t="s">
        <v>93</v>
      </c>
      <c r="H15" s="20" t="s">
        <v>4507</v>
      </c>
      <c r="I15" s="20">
        <v>331</v>
      </c>
      <c r="J15" s="20">
        <v>1111</v>
      </c>
      <c r="K15" s="20" t="s">
        <v>20</v>
      </c>
      <c r="L15" s="20">
        <v>1</v>
      </c>
      <c r="M15" s="34">
        <v>6470996</v>
      </c>
      <c r="N15" s="34">
        <f t="shared" si="2"/>
        <v>6470996</v>
      </c>
      <c r="Q15" s="20">
        <f t="shared" si="5"/>
        <v>83</v>
      </c>
    </row>
    <row r="16" spans="1:17" ht="15" hidden="1" customHeight="1" x14ac:dyDescent="0.2">
      <c r="A16" s="20" t="s">
        <v>18</v>
      </c>
      <c r="B16" s="61">
        <v>46046</v>
      </c>
      <c r="C16" s="32">
        <f t="shared" si="3"/>
        <v>400</v>
      </c>
      <c r="D16" s="38">
        <f t="shared" si="4"/>
        <v>1</v>
      </c>
      <c r="G16" s="32" t="s">
        <v>349</v>
      </c>
      <c r="H16" s="32" t="s">
        <v>1589</v>
      </c>
      <c r="I16" s="20">
        <v>64277</v>
      </c>
      <c r="J16" s="20">
        <v>331</v>
      </c>
      <c r="K16" s="20" t="s">
        <v>20</v>
      </c>
      <c r="L16" s="20">
        <v>1</v>
      </c>
      <c r="M16" s="34">
        <v>2451750</v>
      </c>
      <c r="N16" s="34">
        <f t="shared" si="2"/>
        <v>2451750</v>
      </c>
      <c r="Q16" s="20">
        <f t="shared" si="5"/>
        <v>168</v>
      </c>
    </row>
    <row r="17" spans="1:17" ht="15" hidden="1" customHeight="1" x14ac:dyDescent="0.2">
      <c r="A17" s="20" t="s">
        <v>18</v>
      </c>
      <c r="B17" s="61">
        <v>46046</v>
      </c>
      <c r="C17" s="32">
        <f t="shared" si="3"/>
        <v>400</v>
      </c>
      <c r="D17" s="38">
        <f t="shared" si="4"/>
        <v>0</v>
      </c>
      <c r="G17" s="32" t="s">
        <v>349</v>
      </c>
      <c r="H17" s="32" t="s">
        <v>1589</v>
      </c>
      <c r="I17" s="20">
        <v>1331</v>
      </c>
      <c r="J17" s="20">
        <v>331</v>
      </c>
      <c r="K17" s="20" t="s">
        <v>20</v>
      </c>
      <c r="L17" s="20">
        <v>1</v>
      </c>
      <c r="M17" s="34">
        <v>196140</v>
      </c>
      <c r="N17" s="34">
        <f t="shared" si="2"/>
        <v>196140</v>
      </c>
      <c r="Q17" s="20">
        <f t="shared" si="5"/>
        <v>168</v>
      </c>
    </row>
    <row r="18" spans="1:17" ht="15" hidden="1" customHeight="1" x14ac:dyDescent="0.2">
      <c r="A18" s="20" t="s">
        <v>310</v>
      </c>
      <c r="B18" s="61">
        <v>46046</v>
      </c>
      <c r="C18" s="32">
        <f t="shared" si="3"/>
        <v>401</v>
      </c>
      <c r="D18" s="38">
        <f t="shared" si="4"/>
        <v>1</v>
      </c>
      <c r="F18" s="20"/>
      <c r="G18" s="32" t="s">
        <v>349</v>
      </c>
      <c r="H18" s="20" t="s">
        <v>4508</v>
      </c>
      <c r="I18" s="20">
        <v>331</v>
      </c>
      <c r="J18" s="20">
        <v>1111</v>
      </c>
      <c r="K18" s="20" t="s">
        <v>20</v>
      </c>
      <c r="L18" s="20">
        <v>1</v>
      </c>
      <c r="M18" s="34">
        <v>2647890</v>
      </c>
      <c r="N18" s="34">
        <f t="shared" si="2"/>
        <v>2647890</v>
      </c>
      <c r="Q18" s="20">
        <f t="shared" si="5"/>
        <v>179</v>
      </c>
    </row>
    <row r="19" spans="1:17" ht="15" hidden="1" customHeight="1" x14ac:dyDescent="0.2">
      <c r="A19" s="20" t="s">
        <v>18</v>
      </c>
      <c r="B19" s="61">
        <v>46046</v>
      </c>
      <c r="C19" s="32">
        <f t="shared" si="3"/>
        <v>402</v>
      </c>
      <c r="D19" s="38">
        <f t="shared" si="4"/>
        <v>1</v>
      </c>
      <c r="G19" s="32" t="s">
        <v>1590</v>
      </c>
      <c r="H19" s="32" t="s">
        <v>1591</v>
      </c>
      <c r="I19" s="20">
        <v>64277</v>
      </c>
      <c r="J19" s="20">
        <v>331</v>
      </c>
      <c r="K19" s="20" t="s">
        <v>20</v>
      </c>
      <c r="L19" s="20">
        <v>1</v>
      </c>
      <c r="M19" s="34">
        <v>1575000</v>
      </c>
      <c r="N19" s="34">
        <f t="shared" si="2"/>
        <v>1575000</v>
      </c>
      <c r="Q19" s="20">
        <f t="shared" si="5"/>
        <v>110</v>
      </c>
    </row>
    <row r="20" spans="1:17" ht="15" hidden="1" customHeight="1" x14ac:dyDescent="0.2">
      <c r="A20" s="20" t="s">
        <v>18</v>
      </c>
      <c r="B20" s="61">
        <v>46046</v>
      </c>
      <c r="C20" s="32">
        <f t="shared" si="3"/>
        <v>402</v>
      </c>
      <c r="D20" s="38">
        <f t="shared" si="4"/>
        <v>0</v>
      </c>
      <c r="G20" s="32" t="s">
        <v>1590</v>
      </c>
      <c r="H20" s="32" t="s">
        <v>1591</v>
      </c>
      <c r="I20" s="20">
        <v>1331</v>
      </c>
      <c r="J20" s="20">
        <v>331</v>
      </c>
      <c r="K20" s="20" t="s">
        <v>20</v>
      </c>
      <c r="L20" s="20">
        <v>1</v>
      </c>
      <c r="M20" s="34">
        <v>144600</v>
      </c>
      <c r="N20" s="34">
        <f t="shared" si="2"/>
        <v>144600</v>
      </c>
      <c r="Q20" s="20">
        <f t="shared" si="5"/>
        <v>110</v>
      </c>
    </row>
    <row r="21" spans="1:17" ht="15" hidden="1" customHeight="1" x14ac:dyDescent="0.2">
      <c r="A21" s="20" t="s">
        <v>310</v>
      </c>
      <c r="B21" s="61">
        <v>46046</v>
      </c>
      <c r="C21" s="32">
        <f t="shared" si="3"/>
        <v>403</v>
      </c>
      <c r="D21" s="38">
        <f t="shared" si="4"/>
        <v>1</v>
      </c>
      <c r="F21" s="20"/>
      <c r="G21" s="32" t="s">
        <v>1590</v>
      </c>
      <c r="H21" s="20" t="s">
        <v>4509</v>
      </c>
      <c r="I21" s="20">
        <v>331</v>
      </c>
      <c r="J21" s="20">
        <v>1111</v>
      </c>
      <c r="K21" s="20" t="s">
        <v>20</v>
      </c>
      <c r="L21" s="20">
        <v>1</v>
      </c>
      <c r="M21" s="34">
        <v>1719600</v>
      </c>
      <c r="N21" s="34">
        <f t="shared" si="2"/>
        <v>1719600</v>
      </c>
      <c r="Q21" s="20">
        <f t="shared" si="5"/>
        <v>121</v>
      </c>
    </row>
    <row r="22" spans="1:17" ht="15" hidden="1" customHeight="1" x14ac:dyDescent="0.2">
      <c r="A22" s="20" t="s">
        <v>18</v>
      </c>
      <c r="B22" s="61">
        <v>46046</v>
      </c>
      <c r="C22" s="32">
        <f t="shared" si="3"/>
        <v>404</v>
      </c>
      <c r="D22" s="38">
        <f t="shared" si="4"/>
        <v>1</v>
      </c>
      <c r="G22" s="32" t="s">
        <v>1592</v>
      </c>
      <c r="H22" s="32" t="s">
        <v>1593</v>
      </c>
      <c r="I22" s="20">
        <v>64277</v>
      </c>
      <c r="J22" s="20">
        <v>331</v>
      </c>
      <c r="K22" s="20" t="s">
        <v>20</v>
      </c>
      <c r="L22" s="20">
        <v>1</v>
      </c>
      <c r="M22" s="34">
        <v>1990000</v>
      </c>
      <c r="N22" s="34">
        <f t="shared" si="2"/>
        <v>1990000</v>
      </c>
      <c r="Q22" s="20">
        <f t="shared" si="5"/>
        <v>31</v>
      </c>
    </row>
    <row r="23" spans="1:17" ht="15" hidden="1" customHeight="1" x14ac:dyDescent="0.2">
      <c r="A23" s="20" t="s">
        <v>18</v>
      </c>
      <c r="B23" s="61">
        <v>46046</v>
      </c>
      <c r="C23" s="32">
        <f t="shared" si="3"/>
        <v>404</v>
      </c>
      <c r="D23" s="38">
        <f t="shared" si="4"/>
        <v>0</v>
      </c>
      <c r="G23" s="32" t="s">
        <v>1592</v>
      </c>
      <c r="H23" s="32" t="s">
        <v>1593</v>
      </c>
      <c r="I23" s="20">
        <v>1331</v>
      </c>
      <c r="J23" s="20">
        <v>331</v>
      </c>
      <c r="K23" s="20" t="s">
        <v>20</v>
      </c>
      <c r="L23" s="20">
        <v>1</v>
      </c>
      <c r="M23" s="34">
        <v>0</v>
      </c>
      <c r="N23" s="34">
        <f t="shared" si="2"/>
        <v>0</v>
      </c>
      <c r="Q23" s="20">
        <f t="shared" si="5"/>
        <v>31</v>
      </c>
    </row>
    <row r="24" spans="1:17" ht="15" hidden="1" customHeight="1" x14ac:dyDescent="0.2">
      <c r="A24" s="20" t="s">
        <v>310</v>
      </c>
      <c r="B24" s="61">
        <v>46046</v>
      </c>
      <c r="C24" s="32">
        <f t="shared" si="3"/>
        <v>405</v>
      </c>
      <c r="D24" s="38">
        <f t="shared" si="4"/>
        <v>1</v>
      </c>
      <c r="F24" s="20"/>
      <c r="G24" s="32" t="s">
        <v>1592</v>
      </c>
      <c r="H24" s="20" t="s">
        <v>4510</v>
      </c>
      <c r="I24" s="20">
        <v>331</v>
      </c>
      <c r="J24" s="20">
        <v>1111</v>
      </c>
      <c r="K24" s="20" t="s">
        <v>20</v>
      </c>
      <c r="L24" s="20">
        <v>1</v>
      </c>
      <c r="M24" s="34">
        <v>1990000</v>
      </c>
      <c r="N24" s="34">
        <f t="shared" si="2"/>
        <v>1990000</v>
      </c>
      <c r="Q24" s="20">
        <f t="shared" si="5"/>
        <v>42</v>
      </c>
    </row>
    <row r="25" spans="1:17" ht="15" hidden="1" customHeight="1" x14ac:dyDescent="0.2">
      <c r="A25" s="20" t="s">
        <v>18</v>
      </c>
      <c r="B25" s="61">
        <v>46046</v>
      </c>
      <c r="C25" s="32">
        <f t="shared" si="3"/>
        <v>406</v>
      </c>
      <c r="D25" s="38">
        <f t="shared" si="4"/>
        <v>1</v>
      </c>
      <c r="G25" s="32" t="s">
        <v>1592</v>
      </c>
      <c r="H25" s="32" t="s">
        <v>1594</v>
      </c>
      <c r="I25" s="20">
        <v>64277</v>
      </c>
      <c r="J25" s="20">
        <v>331</v>
      </c>
      <c r="K25" s="20" t="s">
        <v>20</v>
      </c>
      <c r="L25" s="20">
        <v>1</v>
      </c>
      <c r="M25" s="34">
        <v>1314000</v>
      </c>
      <c r="N25" s="34">
        <f t="shared" si="2"/>
        <v>1314000</v>
      </c>
      <c r="Q25" s="20">
        <f t="shared" si="5"/>
        <v>71</v>
      </c>
    </row>
    <row r="26" spans="1:17" ht="15" hidden="1" customHeight="1" x14ac:dyDescent="0.2">
      <c r="A26" s="20" t="s">
        <v>18</v>
      </c>
      <c r="B26" s="61">
        <v>46046</v>
      </c>
      <c r="C26" s="32">
        <f t="shared" si="3"/>
        <v>406</v>
      </c>
      <c r="D26" s="38">
        <f t="shared" si="4"/>
        <v>0</v>
      </c>
      <c r="G26" s="32" t="s">
        <v>1592</v>
      </c>
      <c r="H26" s="32" t="s">
        <v>1594</v>
      </c>
      <c r="I26" s="20">
        <v>1331</v>
      </c>
      <c r="J26" s="20">
        <v>331</v>
      </c>
      <c r="K26" s="20" t="s">
        <v>20</v>
      </c>
      <c r="L26" s="20">
        <v>1</v>
      </c>
      <c r="M26" s="34">
        <v>0</v>
      </c>
      <c r="N26" s="34">
        <f t="shared" si="2"/>
        <v>0</v>
      </c>
      <c r="Q26" s="20">
        <f t="shared" si="5"/>
        <v>71</v>
      </c>
    </row>
    <row r="27" spans="1:17" ht="15" hidden="1" customHeight="1" x14ac:dyDescent="0.2">
      <c r="A27" s="20" t="s">
        <v>310</v>
      </c>
      <c r="B27" s="61">
        <v>46046</v>
      </c>
      <c r="C27" s="32">
        <f t="shared" si="3"/>
        <v>407</v>
      </c>
      <c r="D27" s="38">
        <f t="shared" si="4"/>
        <v>1</v>
      </c>
      <c r="F27" s="20"/>
      <c r="G27" s="32" t="s">
        <v>1592</v>
      </c>
      <c r="H27" s="20" t="s">
        <v>4511</v>
      </c>
      <c r="I27" s="20">
        <v>331</v>
      </c>
      <c r="J27" s="20">
        <v>1111</v>
      </c>
      <c r="K27" s="20" t="s">
        <v>20</v>
      </c>
      <c r="L27" s="20">
        <v>1</v>
      </c>
      <c r="M27" s="34">
        <v>1314000</v>
      </c>
      <c r="N27" s="34">
        <f t="shared" si="2"/>
        <v>1314000</v>
      </c>
      <c r="Q27" s="20">
        <f t="shared" si="5"/>
        <v>82</v>
      </c>
    </row>
    <row r="28" spans="1:17" ht="15" hidden="1" customHeight="1" x14ac:dyDescent="0.2">
      <c r="A28" s="20" t="s">
        <v>18</v>
      </c>
      <c r="B28" s="61">
        <v>46047</v>
      </c>
      <c r="C28" s="32">
        <f t="shared" si="3"/>
        <v>408</v>
      </c>
      <c r="D28" s="38">
        <f t="shared" si="4"/>
        <v>1</v>
      </c>
      <c r="G28" s="32" t="s">
        <v>46</v>
      </c>
      <c r="H28" s="32" t="s">
        <v>1595</v>
      </c>
      <c r="I28" s="20">
        <v>64277</v>
      </c>
      <c r="J28" s="20">
        <v>331</v>
      </c>
      <c r="K28" s="20" t="s">
        <v>20</v>
      </c>
      <c r="L28" s="20">
        <v>1</v>
      </c>
      <c r="M28" s="34">
        <v>358000</v>
      </c>
      <c r="N28" s="34">
        <f t="shared" si="2"/>
        <v>358000</v>
      </c>
      <c r="Q28" s="20">
        <f t="shared" si="5"/>
        <v>158</v>
      </c>
    </row>
    <row r="29" spans="1:17" ht="15" hidden="1" customHeight="1" x14ac:dyDescent="0.2">
      <c r="A29" s="20" t="s">
        <v>18</v>
      </c>
      <c r="B29" s="61">
        <v>46047</v>
      </c>
      <c r="C29" s="32">
        <f t="shared" si="3"/>
        <v>408</v>
      </c>
      <c r="D29" s="38">
        <f t="shared" si="4"/>
        <v>0</v>
      </c>
      <c r="G29" s="32" t="s">
        <v>46</v>
      </c>
      <c r="H29" s="32" t="s">
        <v>1595</v>
      </c>
      <c r="I29" s="20">
        <v>1331</v>
      </c>
      <c r="J29" s="20">
        <v>331</v>
      </c>
      <c r="K29" s="20" t="s">
        <v>20</v>
      </c>
      <c r="L29" s="20">
        <v>1</v>
      </c>
      <c r="M29" s="34">
        <v>28640</v>
      </c>
      <c r="N29" s="34">
        <f t="shared" si="2"/>
        <v>28640</v>
      </c>
      <c r="Q29" s="20">
        <f t="shared" si="5"/>
        <v>158</v>
      </c>
    </row>
    <row r="30" spans="1:17" ht="15" hidden="1" customHeight="1" x14ac:dyDescent="0.2">
      <c r="A30" s="20" t="s">
        <v>310</v>
      </c>
      <c r="B30" s="61">
        <v>46047</v>
      </c>
      <c r="C30" s="32">
        <f t="shared" si="3"/>
        <v>409</v>
      </c>
      <c r="D30" s="38">
        <f t="shared" si="4"/>
        <v>1</v>
      </c>
      <c r="F30" s="20"/>
      <c r="G30" s="32" t="s">
        <v>46</v>
      </c>
      <c r="H30" s="20" t="s">
        <v>4512</v>
      </c>
      <c r="I30" s="20">
        <v>331</v>
      </c>
      <c r="J30" s="20">
        <v>1111</v>
      </c>
      <c r="K30" s="20" t="s">
        <v>20</v>
      </c>
      <c r="L30" s="20">
        <v>1</v>
      </c>
      <c r="M30" s="34">
        <v>386640</v>
      </c>
      <c r="N30" s="34">
        <f t="shared" si="2"/>
        <v>386640</v>
      </c>
      <c r="Q30" s="20">
        <f t="shared" si="5"/>
        <v>169</v>
      </c>
    </row>
    <row r="31" spans="1:17" ht="15" hidden="1" customHeight="1" x14ac:dyDescent="0.2">
      <c r="A31" s="20" t="s">
        <v>18</v>
      </c>
      <c r="B31" s="61">
        <v>46047</v>
      </c>
      <c r="C31" s="32">
        <f t="shared" si="3"/>
        <v>410</v>
      </c>
      <c r="D31" s="38">
        <f t="shared" si="4"/>
        <v>1</v>
      </c>
      <c r="G31" s="32" t="s">
        <v>63</v>
      </c>
      <c r="H31" s="32" t="s">
        <v>4546</v>
      </c>
      <c r="I31" s="20">
        <v>64277</v>
      </c>
      <c r="J31" s="20">
        <v>331</v>
      </c>
      <c r="K31" s="20" t="s">
        <v>20</v>
      </c>
      <c r="L31" s="20">
        <v>1</v>
      </c>
      <c r="M31" s="34">
        <v>32569444</v>
      </c>
      <c r="N31" s="34">
        <f t="shared" si="2"/>
        <v>32569444</v>
      </c>
      <c r="Q31" s="20">
        <f t="shared" si="5"/>
        <v>35</v>
      </c>
    </row>
    <row r="32" spans="1:17" ht="15" hidden="1" customHeight="1" x14ac:dyDescent="0.2">
      <c r="A32" s="20" t="s">
        <v>18</v>
      </c>
      <c r="B32" s="61">
        <v>46047</v>
      </c>
      <c r="C32" s="32">
        <f t="shared" si="3"/>
        <v>410</v>
      </c>
      <c r="D32" s="38">
        <f t="shared" si="4"/>
        <v>0</v>
      </c>
      <c r="G32" s="32" t="s">
        <v>63</v>
      </c>
      <c r="H32" s="32" t="s">
        <v>4546</v>
      </c>
      <c r="I32" s="20">
        <v>1331</v>
      </c>
      <c r="J32" s="20">
        <v>331</v>
      </c>
      <c r="K32" s="20" t="s">
        <v>20</v>
      </c>
      <c r="L32" s="20">
        <v>1</v>
      </c>
      <c r="M32" s="34">
        <v>2605556</v>
      </c>
      <c r="N32" s="34">
        <f t="shared" si="2"/>
        <v>2605556</v>
      </c>
      <c r="Q32" s="20">
        <f t="shared" si="5"/>
        <v>35</v>
      </c>
    </row>
    <row r="33" spans="1:17" ht="15" hidden="1" customHeight="1" x14ac:dyDescent="0.2">
      <c r="A33" s="20" t="s">
        <v>310</v>
      </c>
      <c r="B33" s="61">
        <v>46047</v>
      </c>
      <c r="C33" s="32">
        <f t="shared" si="3"/>
        <v>411</v>
      </c>
      <c r="D33" s="38">
        <f t="shared" si="4"/>
        <v>1</v>
      </c>
      <c r="F33" s="20"/>
      <c r="G33" s="32" t="s">
        <v>63</v>
      </c>
      <c r="H33" s="20" t="s">
        <v>4547</v>
      </c>
      <c r="I33" s="20">
        <v>331</v>
      </c>
      <c r="J33" s="20">
        <v>1111</v>
      </c>
      <c r="K33" s="20" t="s">
        <v>20</v>
      </c>
      <c r="L33" s="20">
        <v>1</v>
      </c>
      <c r="M33" s="34">
        <v>35175000</v>
      </c>
      <c r="N33" s="34">
        <f t="shared" si="2"/>
        <v>35175000</v>
      </c>
      <c r="Q33" s="20">
        <f t="shared" si="5"/>
        <v>46</v>
      </c>
    </row>
    <row r="34" spans="1:17" ht="15" hidden="1" customHeight="1" x14ac:dyDescent="0.2">
      <c r="A34" s="20" t="s">
        <v>18</v>
      </c>
      <c r="B34" s="61">
        <v>46049</v>
      </c>
      <c r="C34" s="32">
        <f t="shared" si="3"/>
        <v>412</v>
      </c>
      <c r="D34" s="38">
        <f t="shared" si="4"/>
        <v>1</v>
      </c>
      <c r="G34" s="32" t="s">
        <v>275</v>
      </c>
      <c r="H34" s="32" t="s">
        <v>1596</v>
      </c>
      <c r="I34" s="20">
        <v>64277</v>
      </c>
      <c r="J34" s="20">
        <v>331</v>
      </c>
      <c r="K34" s="20" t="s">
        <v>20</v>
      </c>
      <c r="L34" s="20">
        <v>1</v>
      </c>
      <c r="M34" s="34">
        <v>6018519</v>
      </c>
      <c r="N34" s="34">
        <f t="shared" si="2"/>
        <v>6018519</v>
      </c>
      <c r="Q34" s="20">
        <f t="shared" si="5"/>
        <v>116</v>
      </c>
    </row>
    <row r="35" spans="1:17" ht="15" hidden="1" customHeight="1" x14ac:dyDescent="0.2">
      <c r="A35" s="20" t="s">
        <v>18</v>
      </c>
      <c r="B35" s="61">
        <v>46049</v>
      </c>
      <c r="C35" s="32">
        <f t="shared" si="3"/>
        <v>412</v>
      </c>
      <c r="D35" s="38">
        <f t="shared" si="4"/>
        <v>0</v>
      </c>
      <c r="G35" s="32" t="s">
        <v>275</v>
      </c>
      <c r="H35" s="32" t="s">
        <v>1596</v>
      </c>
      <c r="I35" s="20">
        <v>1331</v>
      </c>
      <c r="J35" s="20">
        <v>331</v>
      </c>
      <c r="K35" s="20" t="s">
        <v>20</v>
      </c>
      <c r="L35" s="20">
        <v>1</v>
      </c>
      <c r="M35" s="34">
        <v>481481</v>
      </c>
      <c r="N35" s="34">
        <f t="shared" ref="N35:N36" si="6">L35*M35</f>
        <v>481481</v>
      </c>
      <c r="Q35" s="20">
        <f t="shared" si="5"/>
        <v>116</v>
      </c>
    </row>
    <row r="36" spans="1:17" ht="15" hidden="1" customHeight="1" x14ac:dyDescent="0.2">
      <c r="A36" s="20" t="s">
        <v>310</v>
      </c>
      <c r="B36" s="61">
        <v>46049</v>
      </c>
      <c r="C36" s="32">
        <f t="shared" si="3"/>
        <v>413</v>
      </c>
      <c r="D36" s="38">
        <f t="shared" si="4"/>
        <v>1</v>
      </c>
      <c r="F36" s="20"/>
      <c r="G36" s="32" t="s">
        <v>275</v>
      </c>
      <c r="H36" s="20" t="s">
        <v>4513</v>
      </c>
      <c r="I36" s="20">
        <v>331</v>
      </c>
      <c r="J36" s="20">
        <v>1111</v>
      </c>
      <c r="K36" s="20" t="s">
        <v>20</v>
      </c>
      <c r="L36" s="20">
        <v>1</v>
      </c>
      <c r="M36" s="34">
        <v>6500000</v>
      </c>
      <c r="N36" s="34">
        <f t="shared" si="6"/>
        <v>6500000</v>
      </c>
      <c r="Q36" s="20">
        <f t="shared" si="5"/>
        <v>127</v>
      </c>
    </row>
    <row r="37" spans="1:17" ht="15" hidden="1" customHeight="1" x14ac:dyDescent="0.2">
      <c r="A37" s="20" t="s">
        <v>18</v>
      </c>
      <c r="B37" s="61">
        <v>46051</v>
      </c>
      <c r="C37" s="32">
        <f t="shared" si="3"/>
        <v>414</v>
      </c>
      <c r="D37" s="38">
        <f t="shared" si="4"/>
        <v>1</v>
      </c>
      <c r="G37" s="20" t="s">
        <v>1597</v>
      </c>
      <c r="H37" s="32" t="s">
        <v>1598</v>
      </c>
      <c r="I37" s="20">
        <v>64277</v>
      </c>
      <c r="J37" s="20">
        <v>331</v>
      </c>
      <c r="K37" s="20" t="s">
        <v>20</v>
      </c>
      <c r="L37" s="20">
        <v>1</v>
      </c>
      <c r="M37" s="34">
        <v>3680000</v>
      </c>
      <c r="N37" s="34">
        <f t="shared" si="2"/>
        <v>3680000</v>
      </c>
      <c r="Q37" s="20">
        <f t="shared" si="5"/>
        <v>85</v>
      </c>
    </row>
    <row r="38" spans="1:17" ht="15" hidden="1" customHeight="1" x14ac:dyDescent="0.2">
      <c r="A38" s="20" t="s">
        <v>18</v>
      </c>
      <c r="B38" s="61">
        <v>46051</v>
      </c>
      <c r="C38" s="32">
        <f t="shared" si="3"/>
        <v>414</v>
      </c>
      <c r="D38" s="38">
        <f t="shared" si="4"/>
        <v>0</v>
      </c>
      <c r="G38" s="32" t="s">
        <v>1597</v>
      </c>
      <c r="H38" s="20" t="s">
        <v>1598</v>
      </c>
      <c r="I38" s="12">
        <v>1331</v>
      </c>
      <c r="J38" s="20">
        <v>331</v>
      </c>
      <c r="K38" s="20" t="s">
        <v>20</v>
      </c>
      <c r="L38" s="20">
        <v>1</v>
      </c>
      <c r="M38" s="34">
        <v>368000</v>
      </c>
      <c r="N38" s="34">
        <f t="shared" ref="N38:N68" si="7">L38*M38</f>
        <v>368000</v>
      </c>
      <c r="Q38" s="20">
        <f t="shared" si="5"/>
        <v>85</v>
      </c>
    </row>
    <row r="39" spans="1:17" ht="15" hidden="1" customHeight="1" x14ac:dyDescent="0.2">
      <c r="A39" s="20" t="s">
        <v>310</v>
      </c>
      <c r="B39" s="61">
        <v>46051</v>
      </c>
      <c r="C39" s="32">
        <f t="shared" si="3"/>
        <v>415</v>
      </c>
      <c r="D39" s="38">
        <f t="shared" si="4"/>
        <v>1</v>
      </c>
      <c r="F39" s="20"/>
      <c r="G39" s="20" t="s">
        <v>1597</v>
      </c>
      <c r="H39" s="20" t="s">
        <v>4514</v>
      </c>
      <c r="I39" s="20">
        <v>331</v>
      </c>
      <c r="J39" s="20">
        <v>1111</v>
      </c>
      <c r="K39" s="20" t="s">
        <v>20</v>
      </c>
      <c r="L39" s="20">
        <v>1</v>
      </c>
      <c r="M39" s="34">
        <v>4048000</v>
      </c>
      <c r="N39" s="34">
        <f t="shared" si="7"/>
        <v>4048000</v>
      </c>
      <c r="Q39" s="20">
        <f t="shared" si="5"/>
        <v>96</v>
      </c>
    </row>
    <row r="40" spans="1:17" ht="15" hidden="1" customHeight="1" x14ac:dyDescent="0.2">
      <c r="A40" s="20" t="s">
        <v>18</v>
      </c>
      <c r="B40" s="61">
        <v>46056</v>
      </c>
      <c r="C40" s="32">
        <f t="shared" si="3"/>
        <v>416</v>
      </c>
      <c r="D40" s="38">
        <f t="shared" si="4"/>
        <v>1</v>
      </c>
      <c r="G40" s="32" t="s">
        <v>35</v>
      </c>
      <c r="H40" s="20" t="s">
        <v>1599</v>
      </c>
      <c r="I40" s="12">
        <v>64277</v>
      </c>
      <c r="J40" s="20">
        <v>331</v>
      </c>
      <c r="K40" s="20" t="s">
        <v>20</v>
      </c>
      <c r="L40" s="20">
        <v>1</v>
      </c>
      <c r="M40" s="34">
        <v>3000000</v>
      </c>
      <c r="N40" s="34">
        <f t="shared" si="7"/>
        <v>3000000</v>
      </c>
      <c r="Q40" s="20">
        <f t="shared" si="5"/>
        <v>41</v>
      </c>
    </row>
    <row r="41" spans="1:17" ht="15" hidden="1" customHeight="1" x14ac:dyDescent="0.2">
      <c r="A41" s="20" t="s">
        <v>18</v>
      </c>
      <c r="B41" s="61">
        <v>46056</v>
      </c>
      <c r="C41" s="32">
        <f t="shared" si="3"/>
        <v>416</v>
      </c>
      <c r="D41" s="38">
        <f t="shared" si="4"/>
        <v>0</v>
      </c>
      <c r="G41" s="20" t="s">
        <v>35</v>
      </c>
      <c r="H41" s="32" t="s">
        <v>1599</v>
      </c>
      <c r="I41" s="20">
        <v>1331</v>
      </c>
      <c r="J41" s="20">
        <v>331</v>
      </c>
      <c r="K41" s="20" t="s">
        <v>20</v>
      </c>
      <c r="L41" s="20">
        <v>1</v>
      </c>
      <c r="M41" s="34">
        <v>240000</v>
      </c>
      <c r="N41" s="34">
        <f t="shared" si="7"/>
        <v>240000</v>
      </c>
      <c r="Q41" s="20">
        <f t="shared" si="5"/>
        <v>41</v>
      </c>
    </row>
    <row r="42" spans="1:17" ht="15" hidden="1" customHeight="1" x14ac:dyDescent="0.2">
      <c r="A42" s="20" t="s">
        <v>310</v>
      </c>
      <c r="B42" s="61">
        <v>46056</v>
      </c>
      <c r="C42" s="32">
        <f t="shared" si="3"/>
        <v>417</v>
      </c>
      <c r="D42" s="38">
        <f t="shared" si="4"/>
        <v>1</v>
      </c>
      <c r="F42" s="20"/>
      <c r="G42" s="32" t="s">
        <v>35</v>
      </c>
      <c r="H42" s="20" t="s">
        <v>4515</v>
      </c>
      <c r="I42" s="12">
        <v>331</v>
      </c>
      <c r="J42" s="20">
        <v>1111</v>
      </c>
      <c r="K42" s="20" t="s">
        <v>20</v>
      </c>
      <c r="L42" s="20">
        <v>1</v>
      </c>
      <c r="M42" s="34">
        <v>3240000</v>
      </c>
      <c r="N42" s="34">
        <f t="shared" si="7"/>
        <v>3240000</v>
      </c>
      <c r="Q42" s="20">
        <f t="shared" si="5"/>
        <v>52</v>
      </c>
    </row>
    <row r="43" spans="1:17" ht="15" hidden="1" customHeight="1" x14ac:dyDescent="0.2">
      <c r="A43" s="20" t="s">
        <v>18</v>
      </c>
      <c r="B43" s="61">
        <v>46065</v>
      </c>
      <c r="C43" s="32">
        <f t="shared" si="3"/>
        <v>418</v>
      </c>
      <c r="D43" s="38">
        <f t="shared" si="4"/>
        <v>1</v>
      </c>
      <c r="G43" s="20" t="s">
        <v>298</v>
      </c>
      <c r="H43" s="32" t="s">
        <v>1600</v>
      </c>
      <c r="I43" s="20">
        <v>64277</v>
      </c>
      <c r="J43" s="20">
        <v>331</v>
      </c>
      <c r="K43" s="20" t="s">
        <v>20</v>
      </c>
      <c r="L43" s="20">
        <v>1</v>
      </c>
      <c r="M43" s="34">
        <v>997500</v>
      </c>
      <c r="N43" s="34">
        <f t="shared" si="7"/>
        <v>997500</v>
      </c>
      <c r="Q43" s="20">
        <f t="shared" si="5"/>
        <v>123</v>
      </c>
    </row>
    <row r="44" spans="1:17" ht="15" hidden="1" customHeight="1" x14ac:dyDescent="0.2">
      <c r="A44" s="20" t="s">
        <v>18</v>
      </c>
      <c r="B44" s="61">
        <v>46065</v>
      </c>
      <c r="C44" s="32">
        <f t="shared" si="3"/>
        <v>418</v>
      </c>
      <c r="D44" s="38">
        <f t="shared" si="4"/>
        <v>0</v>
      </c>
      <c r="G44" s="32" t="s">
        <v>298</v>
      </c>
      <c r="H44" s="20" t="s">
        <v>1600</v>
      </c>
      <c r="I44" s="12">
        <v>1331</v>
      </c>
      <c r="J44" s="20">
        <v>331</v>
      </c>
      <c r="K44" s="20" t="s">
        <v>20</v>
      </c>
      <c r="L44" s="20">
        <v>1</v>
      </c>
      <c r="M44" s="34">
        <v>79800</v>
      </c>
      <c r="N44" s="34">
        <f t="shared" si="7"/>
        <v>79800</v>
      </c>
      <c r="Q44" s="20">
        <f t="shared" si="5"/>
        <v>123</v>
      </c>
    </row>
    <row r="45" spans="1:17" ht="15" hidden="1" customHeight="1" x14ac:dyDescent="0.2">
      <c r="A45" s="20" t="s">
        <v>310</v>
      </c>
      <c r="B45" s="61">
        <v>46065</v>
      </c>
      <c r="C45" s="32">
        <f t="shared" si="3"/>
        <v>419</v>
      </c>
      <c r="D45" s="38">
        <f t="shared" si="4"/>
        <v>1</v>
      </c>
      <c r="F45" s="20"/>
      <c r="G45" s="20" t="s">
        <v>298</v>
      </c>
      <c r="H45" s="20" t="s">
        <v>4516</v>
      </c>
      <c r="I45" s="20">
        <v>331</v>
      </c>
      <c r="J45" s="20">
        <v>1111</v>
      </c>
      <c r="K45" s="20" t="s">
        <v>20</v>
      </c>
      <c r="L45" s="20">
        <v>1</v>
      </c>
      <c r="M45" s="34">
        <v>1077300</v>
      </c>
      <c r="N45" s="34">
        <f t="shared" si="7"/>
        <v>1077300</v>
      </c>
      <c r="Q45" s="20">
        <f t="shared" si="5"/>
        <v>134</v>
      </c>
    </row>
    <row r="46" spans="1:17" ht="15" hidden="1" customHeight="1" x14ac:dyDescent="0.2">
      <c r="A46" s="20" t="s">
        <v>18</v>
      </c>
      <c r="B46" s="61">
        <v>46079</v>
      </c>
      <c r="C46" s="32">
        <f t="shared" si="3"/>
        <v>420</v>
      </c>
      <c r="D46" s="38">
        <f t="shared" si="4"/>
        <v>1</v>
      </c>
      <c r="G46" s="32" t="s">
        <v>93</v>
      </c>
      <c r="H46" s="20" t="s">
        <v>1601</v>
      </c>
      <c r="I46" s="12">
        <v>64277</v>
      </c>
      <c r="J46" s="20">
        <v>331</v>
      </c>
      <c r="K46" s="20" t="s">
        <v>20</v>
      </c>
      <c r="L46" s="20">
        <v>1</v>
      </c>
      <c r="M46" s="34">
        <v>0</v>
      </c>
      <c r="N46" s="34">
        <f t="shared" si="7"/>
        <v>0</v>
      </c>
      <c r="Q46" s="20">
        <f t="shared" si="5"/>
        <v>107</v>
      </c>
    </row>
    <row r="47" spans="1:17" ht="15" hidden="1" customHeight="1" x14ac:dyDescent="0.2">
      <c r="A47" s="20" t="s">
        <v>18</v>
      </c>
      <c r="B47" s="61">
        <v>46079</v>
      </c>
      <c r="C47" s="32">
        <f t="shared" si="3"/>
        <v>420</v>
      </c>
      <c r="D47" s="38">
        <f t="shared" si="4"/>
        <v>0</v>
      </c>
      <c r="G47" s="20" t="s">
        <v>93</v>
      </c>
      <c r="H47" s="32" t="s">
        <v>1601</v>
      </c>
      <c r="I47" s="20">
        <v>1331</v>
      </c>
      <c r="J47" s="20">
        <v>331</v>
      </c>
      <c r="K47" s="20" t="s">
        <v>20</v>
      </c>
      <c r="L47" s="20">
        <v>1</v>
      </c>
      <c r="M47" s="34">
        <v>0</v>
      </c>
      <c r="N47" s="34">
        <f t="shared" si="7"/>
        <v>0</v>
      </c>
      <c r="Q47" s="20">
        <f t="shared" si="5"/>
        <v>107</v>
      </c>
    </row>
    <row r="48" spans="1:17" ht="15" hidden="1" customHeight="1" x14ac:dyDescent="0.2">
      <c r="A48" s="20" t="s">
        <v>310</v>
      </c>
      <c r="B48" s="61">
        <v>46079</v>
      </c>
      <c r="C48" s="32">
        <f t="shared" si="3"/>
        <v>421</v>
      </c>
      <c r="D48" s="38">
        <f t="shared" si="4"/>
        <v>1</v>
      </c>
      <c r="F48" s="20"/>
      <c r="G48" s="32" t="s">
        <v>93</v>
      </c>
      <c r="H48" s="20" t="s">
        <v>4517</v>
      </c>
      <c r="I48" s="12">
        <v>331</v>
      </c>
      <c r="J48" s="20">
        <v>1111</v>
      </c>
      <c r="K48" s="20" t="s">
        <v>20</v>
      </c>
      <c r="L48" s="20">
        <v>1</v>
      </c>
      <c r="M48" s="34">
        <v>0</v>
      </c>
      <c r="N48" s="34">
        <f t="shared" si="7"/>
        <v>0</v>
      </c>
      <c r="Q48" s="20">
        <f t="shared" si="5"/>
        <v>118</v>
      </c>
    </row>
    <row r="49" spans="1:17" ht="15" hidden="1" customHeight="1" x14ac:dyDescent="0.2">
      <c r="A49" s="20" t="s">
        <v>18</v>
      </c>
      <c r="B49" s="61">
        <v>46084</v>
      </c>
      <c r="C49" s="32">
        <f t="shared" si="3"/>
        <v>422</v>
      </c>
      <c r="D49" s="38">
        <f t="shared" si="4"/>
        <v>1</v>
      </c>
      <c r="G49" s="20" t="s">
        <v>54</v>
      </c>
      <c r="H49" s="32" t="s">
        <v>1602</v>
      </c>
      <c r="I49" s="20">
        <v>64277</v>
      </c>
      <c r="J49" s="20">
        <v>331</v>
      </c>
      <c r="K49" s="20" t="s">
        <v>20</v>
      </c>
      <c r="L49" s="20">
        <v>1</v>
      </c>
      <c r="M49" s="34">
        <v>99000</v>
      </c>
      <c r="N49" s="34">
        <f t="shared" si="7"/>
        <v>99000</v>
      </c>
      <c r="Q49" s="20">
        <f t="shared" si="5"/>
        <v>75</v>
      </c>
    </row>
    <row r="50" spans="1:17" ht="15" hidden="1" customHeight="1" x14ac:dyDescent="0.2">
      <c r="A50" s="20" t="s">
        <v>18</v>
      </c>
      <c r="B50" s="61">
        <v>46084</v>
      </c>
      <c r="C50" s="32">
        <f t="shared" si="3"/>
        <v>422</v>
      </c>
      <c r="D50" s="38">
        <f t="shared" si="4"/>
        <v>0</v>
      </c>
      <c r="G50" s="32" t="s">
        <v>54</v>
      </c>
      <c r="H50" s="20" t="s">
        <v>1602</v>
      </c>
      <c r="I50" s="12">
        <v>1331</v>
      </c>
      <c r="J50" s="20">
        <v>331</v>
      </c>
      <c r="K50" s="20" t="s">
        <v>20</v>
      </c>
      <c r="L50" s="20">
        <v>1</v>
      </c>
      <c r="M50" s="34">
        <v>0</v>
      </c>
      <c r="N50" s="34">
        <f t="shared" si="7"/>
        <v>0</v>
      </c>
      <c r="Q50" s="20">
        <f t="shared" si="5"/>
        <v>75</v>
      </c>
    </row>
    <row r="51" spans="1:17" ht="15" hidden="1" customHeight="1" x14ac:dyDescent="0.2">
      <c r="A51" s="20" t="s">
        <v>310</v>
      </c>
      <c r="B51" s="61">
        <v>46084</v>
      </c>
      <c r="C51" s="32">
        <f t="shared" si="3"/>
        <v>423</v>
      </c>
      <c r="D51" s="38">
        <f t="shared" si="4"/>
        <v>1</v>
      </c>
      <c r="F51" s="20"/>
      <c r="G51" s="20" t="s">
        <v>54</v>
      </c>
      <c r="H51" s="20" t="s">
        <v>4518</v>
      </c>
      <c r="I51" s="20">
        <v>331</v>
      </c>
      <c r="J51" s="20">
        <v>1111</v>
      </c>
      <c r="K51" s="20" t="s">
        <v>20</v>
      </c>
      <c r="L51" s="20">
        <v>1</v>
      </c>
      <c r="M51" s="34">
        <v>99000</v>
      </c>
      <c r="N51" s="34">
        <f t="shared" si="7"/>
        <v>99000</v>
      </c>
      <c r="Q51" s="20">
        <f t="shared" si="5"/>
        <v>86</v>
      </c>
    </row>
    <row r="52" spans="1:17" ht="15" hidden="1" customHeight="1" x14ac:dyDescent="0.2">
      <c r="A52" s="20" t="s">
        <v>18</v>
      </c>
      <c r="B52" s="61">
        <v>46085</v>
      </c>
      <c r="C52" s="32">
        <f t="shared" si="3"/>
        <v>424</v>
      </c>
      <c r="D52" s="38">
        <f t="shared" si="4"/>
        <v>1</v>
      </c>
      <c r="G52" s="32" t="s">
        <v>35</v>
      </c>
      <c r="H52" s="20" t="s">
        <v>1603</v>
      </c>
      <c r="I52" s="12">
        <v>64277</v>
      </c>
      <c r="J52" s="20">
        <v>331</v>
      </c>
      <c r="K52" s="20" t="s">
        <v>20</v>
      </c>
      <c r="L52" s="20">
        <v>1</v>
      </c>
      <c r="M52" s="34">
        <v>3000000</v>
      </c>
      <c r="N52" s="34">
        <f t="shared" si="7"/>
        <v>3000000</v>
      </c>
      <c r="Q52" s="20">
        <f t="shared" si="5"/>
        <v>41</v>
      </c>
    </row>
    <row r="53" spans="1:17" ht="15" hidden="1" customHeight="1" x14ac:dyDescent="0.2">
      <c r="A53" s="20" t="s">
        <v>18</v>
      </c>
      <c r="B53" s="61">
        <v>46085</v>
      </c>
      <c r="C53" s="32">
        <f t="shared" si="3"/>
        <v>424</v>
      </c>
      <c r="D53" s="38">
        <f t="shared" si="4"/>
        <v>0</v>
      </c>
      <c r="G53" s="20" t="s">
        <v>35</v>
      </c>
      <c r="H53" s="32" t="s">
        <v>1603</v>
      </c>
      <c r="I53" s="20">
        <v>1331</v>
      </c>
      <c r="J53" s="20">
        <v>331</v>
      </c>
      <c r="K53" s="20" t="s">
        <v>20</v>
      </c>
      <c r="L53" s="20">
        <v>1</v>
      </c>
      <c r="M53" s="34">
        <v>240000</v>
      </c>
      <c r="N53" s="34">
        <f t="shared" si="7"/>
        <v>240000</v>
      </c>
      <c r="Q53" s="20">
        <f t="shared" si="5"/>
        <v>41</v>
      </c>
    </row>
    <row r="54" spans="1:17" ht="15" hidden="1" customHeight="1" x14ac:dyDescent="0.2">
      <c r="A54" s="20" t="s">
        <v>18</v>
      </c>
      <c r="B54" s="61">
        <v>46087</v>
      </c>
      <c r="C54" s="32">
        <f t="shared" si="3"/>
        <v>425</v>
      </c>
      <c r="D54" s="38">
        <f t="shared" si="4"/>
        <v>1</v>
      </c>
      <c r="G54" s="20" t="s">
        <v>283</v>
      </c>
      <c r="H54" s="32" t="s">
        <v>1604</v>
      </c>
      <c r="I54" s="20">
        <v>64277</v>
      </c>
      <c r="J54" s="20">
        <v>331</v>
      </c>
      <c r="K54" s="20" t="s">
        <v>20</v>
      </c>
      <c r="L54" s="20">
        <v>1</v>
      </c>
      <c r="M54" s="34">
        <v>322222</v>
      </c>
      <c r="N54" s="34">
        <f t="shared" si="7"/>
        <v>322222</v>
      </c>
      <c r="Q54" s="20">
        <f t="shared" si="5"/>
        <v>45</v>
      </c>
    </row>
    <row r="55" spans="1:17" ht="15" hidden="1" customHeight="1" x14ac:dyDescent="0.2">
      <c r="A55" s="20" t="s">
        <v>18</v>
      </c>
      <c r="B55" s="61">
        <v>46087</v>
      </c>
      <c r="C55" s="32">
        <f t="shared" si="3"/>
        <v>425</v>
      </c>
      <c r="D55" s="38">
        <f t="shared" si="4"/>
        <v>0</v>
      </c>
      <c r="G55" s="32" t="s">
        <v>283</v>
      </c>
      <c r="H55" s="20" t="s">
        <v>1604</v>
      </c>
      <c r="I55" s="12">
        <v>1331</v>
      </c>
      <c r="J55" s="20">
        <v>331</v>
      </c>
      <c r="K55" s="20" t="s">
        <v>20</v>
      </c>
      <c r="L55" s="20">
        <v>1</v>
      </c>
      <c r="M55" s="34">
        <v>25778</v>
      </c>
      <c r="N55" s="34">
        <f t="shared" si="7"/>
        <v>25778</v>
      </c>
      <c r="Q55" s="20">
        <f t="shared" si="5"/>
        <v>45</v>
      </c>
    </row>
    <row r="56" spans="1:17" ht="15" hidden="1" customHeight="1" x14ac:dyDescent="0.2">
      <c r="A56" s="20" t="s">
        <v>310</v>
      </c>
      <c r="B56" s="61">
        <v>46087</v>
      </c>
      <c r="C56" s="32">
        <f t="shared" si="3"/>
        <v>426</v>
      </c>
      <c r="D56" s="38">
        <f t="shared" si="4"/>
        <v>1</v>
      </c>
      <c r="F56" s="20"/>
      <c r="G56" s="20" t="s">
        <v>283</v>
      </c>
      <c r="H56" s="20" t="s">
        <v>4519</v>
      </c>
      <c r="I56" s="20">
        <v>331</v>
      </c>
      <c r="J56" s="20">
        <v>1111</v>
      </c>
      <c r="K56" s="20" t="s">
        <v>20</v>
      </c>
      <c r="L56" s="20">
        <v>1</v>
      </c>
      <c r="M56" s="34">
        <v>348000</v>
      </c>
      <c r="N56" s="34">
        <f t="shared" si="7"/>
        <v>348000</v>
      </c>
      <c r="Q56" s="20">
        <f t="shared" si="5"/>
        <v>56</v>
      </c>
    </row>
    <row r="57" spans="1:17" ht="15" hidden="1" customHeight="1" x14ac:dyDescent="0.2">
      <c r="A57" s="20" t="s">
        <v>18</v>
      </c>
      <c r="B57" s="61">
        <v>46093</v>
      </c>
      <c r="C57" s="32">
        <f t="shared" si="3"/>
        <v>427</v>
      </c>
      <c r="D57" s="38">
        <f t="shared" si="4"/>
        <v>1</v>
      </c>
      <c r="G57" s="32" t="s">
        <v>283</v>
      </c>
      <c r="H57" s="20" t="s">
        <v>1605</v>
      </c>
      <c r="I57" s="12">
        <v>64277</v>
      </c>
      <c r="J57" s="20">
        <v>331</v>
      </c>
      <c r="K57" s="20" t="s">
        <v>20</v>
      </c>
      <c r="L57" s="20">
        <v>1</v>
      </c>
      <c r="M57" s="34">
        <v>314815</v>
      </c>
      <c r="N57" s="34">
        <f t="shared" si="7"/>
        <v>314815</v>
      </c>
      <c r="Q57" s="20">
        <f t="shared" si="5"/>
        <v>46</v>
      </c>
    </row>
    <row r="58" spans="1:17" ht="15" hidden="1" customHeight="1" x14ac:dyDescent="0.2">
      <c r="A58" s="20" t="s">
        <v>18</v>
      </c>
      <c r="B58" s="61">
        <v>46093</v>
      </c>
      <c r="C58" s="32">
        <f t="shared" si="3"/>
        <v>427</v>
      </c>
      <c r="D58" s="38">
        <f t="shared" si="4"/>
        <v>0</v>
      </c>
      <c r="G58" s="20" t="s">
        <v>283</v>
      </c>
      <c r="H58" s="32" t="s">
        <v>1605</v>
      </c>
      <c r="I58" s="20">
        <v>1331</v>
      </c>
      <c r="J58" s="20">
        <v>331</v>
      </c>
      <c r="K58" s="20" t="s">
        <v>20</v>
      </c>
      <c r="L58" s="20">
        <v>1</v>
      </c>
      <c r="M58" s="34">
        <v>25185</v>
      </c>
      <c r="N58" s="34">
        <f t="shared" si="7"/>
        <v>25185</v>
      </c>
      <c r="Q58" s="20">
        <f t="shared" si="5"/>
        <v>46</v>
      </c>
    </row>
    <row r="59" spans="1:17" ht="15" hidden="1" customHeight="1" x14ac:dyDescent="0.2">
      <c r="A59" s="20" t="s">
        <v>310</v>
      </c>
      <c r="B59" s="61">
        <v>46093</v>
      </c>
      <c r="C59" s="32">
        <f t="shared" si="3"/>
        <v>428</v>
      </c>
      <c r="D59" s="38">
        <f t="shared" si="4"/>
        <v>1</v>
      </c>
      <c r="F59" s="20"/>
      <c r="G59" s="32" t="s">
        <v>283</v>
      </c>
      <c r="H59" s="20" t="s">
        <v>4520</v>
      </c>
      <c r="I59" s="12">
        <v>331</v>
      </c>
      <c r="J59" s="20">
        <v>1111</v>
      </c>
      <c r="K59" s="20" t="s">
        <v>20</v>
      </c>
      <c r="L59" s="20">
        <v>1</v>
      </c>
      <c r="M59" s="34">
        <v>340000</v>
      </c>
      <c r="N59" s="34">
        <f t="shared" si="7"/>
        <v>340000</v>
      </c>
      <c r="Q59" s="20">
        <f t="shared" si="5"/>
        <v>57</v>
      </c>
    </row>
    <row r="60" spans="1:17" ht="15" hidden="1" customHeight="1" x14ac:dyDescent="0.2">
      <c r="A60" s="20" t="s">
        <v>18</v>
      </c>
      <c r="B60" s="61">
        <v>46098</v>
      </c>
      <c r="C60" s="32">
        <f t="shared" si="3"/>
        <v>429</v>
      </c>
      <c r="D60" s="38">
        <f t="shared" si="4"/>
        <v>1</v>
      </c>
      <c r="G60" s="20" t="s">
        <v>62</v>
      </c>
      <c r="H60" s="32" t="s">
        <v>1606</v>
      </c>
      <c r="I60" s="20">
        <v>64277</v>
      </c>
      <c r="J60" s="20">
        <v>331</v>
      </c>
      <c r="K60" s="20" t="s">
        <v>20</v>
      </c>
      <c r="L60" s="20">
        <v>1</v>
      </c>
      <c r="M60" s="34">
        <v>3620370</v>
      </c>
      <c r="N60" s="34">
        <f t="shared" si="7"/>
        <v>3620370</v>
      </c>
      <c r="Q60" s="20">
        <f t="shared" si="5"/>
        <v>37</v>
      </c>
    </row>
    <row r="61" spans="1:17" ht="15" hidden="1" customHeight="1" x14ac:dyDescent="0.2">
      <c r="A61" s="20" t="s">
        <v>18</v>
      </c>
      <c r="B61" s="61">
        <v>46098</v>
      </c>
      <c r="C61" s="32">
        <f t="shared" si="3"/>
        <v>429</v>
      </c>
      <c r="D61" s="38">
        <f t="shared" si="4"/>
        <v>0</v>
      </c>
      <c r="G61" s="32" t="s">
        <v>62</v>
      </c>
      <c r="H61" s="20" t="s">
        <v>1606</v>
      </c>
      <c r="I61" s="12">
        <v>1331</v>
      </c>
      <c r="J61" s="20">
        <v>331</v>
      </c>
      <c r="K61" s="20" t="s">
        <v>20</v>
      </c>
      <c r="L61" s="20">
        <v>1</v>
      </c>
      <c r="M61" s="34">
        <v>289630</v>
      </c>
      <c r="N61" s="34">
        <f t="shared" si="7"/>
        <v>289630</v>
      </c>
      <c r="Q61" s="20">
        <f t="shared" si="5"/>
        <v>37</v>
      </c>
    </row>
    <row r="62" spans="1:17" ht="15" hidden="1" customHeight="1" x14ac:dyDescent="0.2">
      <c r="A62" s="20" t="s">
        <v>310</v>
      </c>
      <c r="B62" s="61">
        <v>46098</v>
      </c>
      <c r="C62" s="32">
        <f t="shared" si="3"/>
        <v>430</v>
      </c>
      <c r="D62" s="38">
        <f t="shared" si="4"/>
        <v>1</v>
      </c>
      <c r="F62" s="20"/>
      <c r="G62" s="20" t="s">
        <v>62</v>
      </c>
      <c r="H62" s="20" t="s">
        <v>4521</v>
      </c>
      <c r="I62" s="20">
        <v>331</v>
      </c>
      <c r="J62" s="20">
        <v>1111</v>
      </c>
      <c r="K62" s="20" t="s">
        <v>20</v>
      </c>
      <c r="L62" s="20">
        <v>1</v>
      </c>
      <c r="M62" s="34">
        <v>3910000</v>
      </c>
      <c r="N62" s="34">
        <f t="shared" si="7"/>
        <v>3910000</v>
      </c>
      <c r="Q62" s="20">
        <f t="shared" si="5"/>
        <v>48</v>
      </c>
    </row>
    <row r="63" spans="1:17" ht="15" hidden="1" customHeight="1" x14ac:dyDescent="0.2">
      <c r="A63" s="20" t="s">
        <v>18</v>
      </c>
      <c r="B63" s="61">
        <v>46098</v>
      </c>
      <c r="C63" s="32">
        <f t="shared" si="3"/>
        <v>431</v>
      </c>
      <c r="D63" s="38">
        <f t="shared" si="4"/>
        <v>1</v>
      </c>
      <c r="G63" s="32" t="s">
        <v>275</v>
      </c>
      <c r="H63" s="20" t="s">
        <v>4548</v>
      </c>
      <c r="I63" s="12">
        <v>64277</v>
      </c>
      <c r="J63" s="20">
        <v>331</v>
      </c>
      <c r="K63" s="20" t="s">
        <v>20</v>
      </c>
      <c r="L63" s="20">
        <v>1</v>
      </c>
      <c r="M63" s="34">
        <v>2030556</v>
      </c>
      <c r="N63" s="34">
        <f t="shared" si="7"/>
        <v>2030556</v>
      </c>
      <c r="Q63" s="20">
        <f t="shared" si="5"/>
        <v>38</v>
      </c>
    </row>
    <row r="64" spans="1:17" ht="15" hidden="1" customHeight="1" x14ac:dyDescent="0.2">
      <c r="A64" s="20" t="s">
        <v>18</v>
      </c>
      <c r="B64" s="61">
        <v>46098</v>
      </c>
      <c r="C64" s="32">
        <f t="shared" si="3"/>
        <v>431</v>
      </c>
      <c r="D64" s="38">
        <f t="shared" si="4"/>
        <v>0</v>
      </c>
      <c r="G64" s="20" t="s">
        <v>275</v>
      </c>
      <c r="H64" s="20" t="s">
        <v>4548</v>
      </c>
      <c r="I64" s="20">
        <v>1331</v>
      </c>
      <c r="J64" s="20">
        <v>331</v>
      </c>
      <c r="K64" s="20" t="s">
        <v>20</v>
      </c>
      <c r="L64" s="20">
        <v>1</v>
      </c>
      <c r="M64" s="34">
        <v>162444</v>
      </c>
      <c r="N64" s="34">
        <f t="shared" si="7"/>
        <v>162444</v>
      </c>
      <c r="Q64" s="20">
        <f t="shared" si="5"/>
        <v>38</v>
      </c>
    </row>
    <row r="65" spans="1:17" ht="15" hidden="1" customHeight="1" x14ac:dyDescent="0.2">
      <c r="A65" s="20" t="s">
        <v>310</v>
      </c>
      <c r="B65" s="61">
        <v>46098</v>
      </c>
      <c r="C65" s="32">
        <f t="shared" si="3"/>
        <v>432</v>
      </c>
      <c r="D65" s="38">
        <f t="shared" si="4"/>
        <v>1</v>
      </c>
      <c r="F65" s="20"/>
      <c r="G65" s="32" t="s">
        <v>275</v>
      </c>
      <c r="H65" s="20" t="s">
        <v>4549</v>
      </c>
      <c r="I65" s="12">
        <v>331</v>
      </c>
      <c r="J65" s="20">
        <v>1111</v>
      </c>
      <c r="K65" s="20" t="s">
        <v>20</v>
      </c>
      <c r="L65" s="20">
        <v>1</v>
      </c>
      <c r="M65" s="34">
        <v>2193000</v>
      </c>
      <c r="N65" s="34">
        <f t="shared" si="7"/>
        <v>2193000</v>
      </c>
      <c r="Q65" s="20">
        <f t="shared" si="5"/>
        <v>49</v>
      </c>
    </row>
    <row r="66" spans="1:17" ht="15" hidden="1" customHeight="1" x14ac:dyDescent="0.2">
      <c r="A66" s="20" t="s">
        <v>18</v>
      </c>
      <c r="B66" s="61">
        <v>46098</v>
      </c>
      <c r="C66" s="32">
        <f t="shared" si="3"/>
        <v>433</v>
      </c>
      <c r="D66" s="38">
        <f t="shared" si="4"/>
        <v>1</v>
      </c>
      <c r="G66" s="20" t="s">
        <v>297</v>
      </c>
      <c r="H66" s="32" t="s">
        <v>4550</v>
      </c>
      <c r="I66" s="20">
        <v>64277</v>
      </c>
      <c r="J66" s="20">
        <v>331</v>
      </c>
      <c r="K66" s="20" t="s">
        <v>20</v>
      </c>
      <c r="L66" s="20">
        <v>1</v>
      </c>
      <c r="M66" s="34">
        <v>995000</v>
      </c>
      <c r="N66" s="34">
        <f t="shared" si="7"/>
        <v>995000</v>
      </c>
      <c r="Q66" s="20">
        <f t="shared" si="5"/>
        <v>41</v>
      </c>
    </row>
    <row r="67" spans="1:17" ht="15" hidden="1" customHeight="1" x14ac:dyDescent="0.2">
      <c r="A67" s="20" t="s">
        <v>18</v>
      </c>
      <c r="B67" s="61">
        <v>46098</v>
      </c>
      <c r="C67" s="32">
        <f t="shared" si="3"/>
        <v>433</v>
      </c>
      <c r="D67" s="38">
        <f t="shared" si="4"/>
        <v>0</v>
      </c>
      <c r="G67" s="32" t="s">
        <v>297</v>
      </c>
      <c r="H67" s="32" t="s">
        <v>4550</v>
      </c>
      <c r="I67" s="12">
        <v>1331</v>
      </c>
      <c r="J67" s="20">
        <v>331</v>
      </c>
      <c r="K67" s="20" t="s">
        <v>20</v>
      </c>
      <c r="L67" s="20">
        <v>1</v>
      </c>
      <c r="M67" s="34">
        <v>79600</v>
      </c>
      <c r="N67" s="34">
        <f t="shared" si="7"/>
        <v>79600</v>
      </c>
      <c r="Q67" s="20">
        <f t="shared" si="5"/>
        <v>41</v>
      </c>
    </row>
    <row r="68" spans="1:17" ht="15" hidden="1" customHeight="1" x14ac:dyDescent="0.2">
      <c r="A68" s="20" t="s">
        <v>310</v>
      </c>
      <c r="B68" s="61">
        <v>46098</v>
      </c>
      <c r="C68" s="32">
        <f t="shared" si="3"/>
        <v>434</v>
      </c>
      <c r="D68" s="38">
        <f t="shared" si="4"/>
        <v>1</v>
      </c>
      <c r="F68" s="20"/>
      <c r="G68" s="20" t="s">
        <v>297</v>
      </c>
      <c r="H68" s="32" t="s">
        <v>4551</v>
      </c>
      <c r="I68" s="20">
        <v>331</v>
      </c>
      <c r="J68" s="20">
        <v>1111</v>
      </c>
      <c r="K68" s="20" t="s">
        <v>20</v>
      </c>
      <c r="L68" s="20">
        <v>1</v>
      </c>
      <c r="M68" s="34">
        <v>1074600</v>
      </c>
      <c r="N68" s="34">
        <f t="shared" si="7"/>
        <v>1074600</v>
      </c>
      <c r="Q68" s="20">
        <f t="shared" si="5"/>
        <v>52</v>
      </c>
    </row>
    <row r="69" spans="1:17" ht="15" hidden="1" customHeight="1" x14ac:dyDescent="0.2">
      <c r="A69" s="20" t="s">
        <v>18</v>
      </c>
      <c r="B69" s="61">
        <v>46102</v>
      </c>
      <c r="C69" s="32">
        <f t="shared" ref="C69:C132" si="8">C68+D69</f>
        <v>435</v>
      </c>
      <c r="D69" s="38">
        <f t="shared" ref="D69:D132" si="9">IF(H69=H68,0,1)</f>
        <v>1</v>
      </c>
      <c r="G69" s="32" t="s">
        <v>1607</v>
      </c>
      <c r="H69" s="20" t="s">
        <v>1608</v>
      </c>
      <c r="I69" s="12">
        <v>64277</v>
      </c>
      <c r="J69" s="20">
        <v>331</v>
      </c>
      <c r="K69" s="20" t="s">
        <v>20</v>
      </c>
      <c r="L69" s="20">
        <v>1</v>
      </c>
      <c r="M69" s="34">
        <v>3090909</v>
      </c>
      <c r="N69" s="34">
        <f t="shared" ref="N69:N99" si="10">L69*M69</f>
        <v>3090909</v>
      </c>
      <c r="Q69" s="20">
        <f t="shared" ref="Q69:Q132" si="11">LEN(H69)</f>
        <v>48</v>
      </c>
    </row>
    <row r="70" spans="1:17" ht="15" hidden="1" customHeight="1" x14ac:dyDescent="0.2">
      <c r="A70" s="20" t="s">
        <v>18</v>
      </c>
      <c r="B70" s="61">
        <v>46102</v>
      </c>
      <c r="C70" s="32">
        <f t="shared" si="8"/>
        <v>435</v>
      </c>
      <c r="D70" s="38">
        <f t="shared" si="9"/>
        <v>0</v>
      </c>
      <c r="G70" s="20" t="s">
        <v>1607</v>
      </c>
      <c r="H70" s="32" t="s">
        <v>1608</v>
      </c>
      <c r="I70" s="20">
        <v>1331</v>
      </c>
      <c r="J70" s="20">
        <v>331</v>
      </c>
      <c r="K70" s="20" t="s">
        <v>20</v>
      </c>
      <c r="L70" s="20">
        <v>1</v>
      </c>
      <c r="M70" s="34">
        <v>247273</v>
      </c>
      <c r="N70" s="34">
        <f t="shared" si="10"/>
        <v>247273</v>
      </c>
      <c r="Q70" s="20">
        <f t="shared" si="11"/>
        <v>48</v>
      </c>
    </row>
    <row r="71" spans="1:17" ht="15" hidden="1" customHeight="1" x14ac:dyDescent="0.2">
      <c r="A71" s="20" t="s">
        <v>310</v>
      </c>
      <c r="B71" s="61">
        <v>46102</v>
      </c>
      <c r="C71" s="32">
        <f t="shared" si="8"/>
        <v>436</v>
      </c>
      <c r="D71" s="38">
        <f t="shared" si="9"/>
        <v>1</v>
      </c>
      <c r="F71" s="20"/>
      <c r="G71" s="32" t="s">
        <v>1607</v>
      </c>
      <c r="H71" s="20" t="s">
        <v>4522</v>
      </c>
      <c r="I71" s="12">
        <v>331</v>
      </c>
      <c r="J71" s="20">
        <v>1111</v>
      </c>
      <c r="K71" s="20" t="s">
        <v>20</v>
      </c>
      <c r="L71" s="20">
        <v>1</v>
      </c>
      <c r="M71" s="34">
        <v>3338182</v>
      </c>
      <c r="N71" s="34">
        <f t="shared" si="10"/>
        <v>3338182</v>
      </c>
      <c r="Q71" s="20">
        <f t="shared" si="11"/>
        <v>59</v>
      </c>
    </row>
    <row r="72" spans="1:17" ht="15" hidden="1" customHeight="1" x14ac:dyDescent="0.2">
      <c r="A72" s="20" t="s">
        <v>18</v>
      </c>
      <c r="B72" s="61">
        <v>46104</v>
      </c>
      <c r="C72" s="32">
        <f t="shared" si="8"/>
        <v>437</v>
      </c>
      <c r="D72" s="38">
        <f t="shared" si="9"/>
        <v>1</v>
      </c>
      <c r="G72" s="20" t="s">
        <v>1609</v>
      </c>
      <c r="H72" s="32" t="s">
        <v>4552</v>
      </c>
      <c r="I72" s="20">
        <v>64277</v>
      </c>
      <c r="J72" s="20">
        <v>331</v>
      </c>
      <c r="K72" s="20" t="s">
        <v>20</v>
      </c>
      <c r="L72" s="20">
        <v>1</v>
      </c>
      <c r="M72" s="34">
        <v>3717360</v>
      </c>
      <c r="N72" s="34">
        <f t="shared" si="10"/>
        <v>3717360</v>
      </c>
      <c r="Q72" s="20">
        <f t="shared" si="11"/>
        <v>41</v>
      </c>
    </row>
    <row r="73" spans="1:17" ht="15" hidden="1" customHeight="1" x14ac:dyDescent="0.2">
      <c r="A73" s="20" t="s">
        <v>18</v>
      </c>
      <c r="B73" s="61">
        <v>46104</v>
      </c>
      <c r="C73" s="32">
        <f t="shared" si="8"/>
        <v>437</v>
      </c>
      <c r="D73" s="38">
        <f t="shared" si="9"/>
        <v>0</v>
      </c>
      <c r="G73" s="32" t="s">
        <v>1609</v>
      </c>
      <c r="H73" s="32" t="s">
        <v>4552</v>
      </c>
      <c r="I73" s="12">
        <v>1331</v>
      </c>
      <c r="J73" s="20">
        <v>331</v>
      </c>
      <c r="K73" s="20" t="s">
        <v>20</v>
      </c>
      <c r="L73" s="20">
        <v>1</v>
      </c>
      <c r="M73" s="34">
        <v>309269</v>
      </c>
      <c r="N73" s="34">
        <f t="shared" si="10"/>
        <v>309269</v>
      </c>
      <c r="Q73" s="20">
        <f t="shared" si="11"/>
        <v>41</v>
      </c>
    </row>
    <row r="74" spans="1:17" ht="15" hidden="1" customHeight="1" x14ac:dyDescent="0.2">
      <c r="A74" s="20" t="s">
        <v>310</v>
      </c>
      <c r="B74" s="61">
        <v>46104</v>
      </c>
      <c r="C74" s="32">
        <f t="shared" si="8"/>
        <v>438</v>
      </c>
      <c r="D74" s="38">
        <f t="shared" si="9"/>
        <v>1</v>
      </c>
      <c r="F74" s="20"/>
      <c r="G74" s="20" t="s">
        <v>1609</v>
      </c>
      <c r="H74" s="32" t="s">
        <v>4553</v>
      </c>
      <c r="I74" s="20">
        <v>331</v>
      </c>
      <c r="J74" s="20">
        <v>1111</v>
      </c>
      <c r="K74" s="20" t="s">
        <v>20</v>
      </c>
      <c r="L74" s="20">
        <v>1</v>
      </c>
      <c r="M74" s="34">
        <v>4026629</v>
      </c>
      <c r="N74" s="34">
        <f t="shared" si="10"/>
        <v>4026629</v>
      </c>
      <c r="Q74" s="20">
        <f t="shared" si="11"/>
        <v>52</v>
      </c>
    </row>
    <row r="75" spans="1:17" ht="15" hidden="1" customHeight="1" x14ac:dyDescent="0.2">
      <c r="A75" s="20" t="s">
        <v>18</v>
      </c>
      <c r="B75" s="61">
        <v>46107</v>
      </c>
      <c r="C75" s="32">
        <f t="shared" si="8"/>
        <v>439</v>
      </c>
      <c r="D75" s="38">
        <f t="shared" si="9"/>
        <v>1</v>
      </c>
      <c r="G75" s="32" t="s">
        <v>283</v>
      </c>
      <c r="H75" s="20" t="s">
        <v>1610</v>
      </c>
      <c r="I75" s="12">
        <v>64277</v>
      </c>
      <c r="J75" s="20">
        <v>331</v>
      </c>
      <c r="K75" s="20" t="s">
        <v>20</v>
      </c>
      <c r="L75" s="20">
        <v>1</v>
      </c>
      <c r="M75" s="34">
        <v>322222</v>
      </c>
      <c r="N75" s="34">
        <f t="shared" si="10"/>
        <v>322222</v>
      </c>
      <c r="Q75" s="20">
        <f t="shared" si="11"/>
        <v>46</v>
      </c>
    </row>
    <row r="76" spans="1:17" ht="15" hidden="1" customHeight="1" x14ac:dyDescent="0.2">
      <c r="A76" s="20" t="s">
        <v>18</v>
      </c>
      <c r="B76" s="61">
        <v>46107</v>
      </c>
      <c r="C76" s="32">
        <f t="shared" si="8"/>
        <v>439</v>
      </c>
      <c r="D76" s="38">
        <f t="shared" si="9"/>
        <v>0</v>
      </c>
      <c r="G76" s="20" t="s">
        <v>283</v>
      </c>
      <c r="H76" s="32" t="s">
        <v>1610</v>
      </c>
      <c r="I76" s="20">
        <v>1331</v>
      </c>
      <c r="J76" s="20">
        <v>331</v>
      </c>
      <c r="K76" s="20" t="s">
        <v>20</v>
      </c>
      <c r="L76" s="20">
        <v>1</v>
      </c>
      <c r="M76" s="34">
        <v>25778</v>
      </c>
      <c r="N76" s="34">
        <f t="shared" si="10"/>
        <v>25778</v>
      </c>
      <c r="Q76" s="20">
        <f t="shared" si="11"/>
        <v>46</v>
      </c>
    </row>
    <row r="77" spans="1:17" ht="15" hidden="1" customHeight="1" x14ac:dyDescent="0.2">
      <c r="A77" s="20" t="s">
        <v>310</v>
      </c>
      <c r="B77" s="61">
        <v>46107</v>
      </c>
      <c r="C77" s="32">
        <f t="shared" si="8"/>
        <v>440</v>
      </c>
      <c r="D77" s="38">
        <f t="shared" si="9"/>
        <v>1</v>
      </c>
      <c r="F77" s="20"/>
      <c r="G77" s="32" t="s">
        <v>283</v>
      </c>
      <c r="H77" s="20" t="s">
        <v>4523</v>
      </c>
      <c r="I77" s="12">
        <v>331</v>
      </c>
      <c r="J77" s="20">
        <v>1111</v>
      </c>
      <c r="K77" s="20" t="s">
        <v>20</v>
      </c>
      <c r="L77" s="20">
        <v>1</v>
      </c>
      <c r="M77" s="34">
        <v>348000</v>
      </c>
      <c r="N77" s="34">
        <f t="shared" si="10"/>
        <v>348000</v>
      </c>
      <c r="Q77" s="20">
        <f t="shared" si="11"/>
        <v>57</v>
      </c>
    </row>
    <row r="78" spans="1:17" ht="15" hidden="1" customHeight="1" x14ac:dyDescent="0.2">
      <c r="A78" s="20" t="s">
        <v>18</v>
      </c>
      <c r="B78" s="61">
        <v>46112</v>
      </c>
      <c r="C78" s="32">
        <f t="shared" si="8"/>
        <v>441</v>
      </c>
      <c r="D78" s="38">
        <f t="shared" si="9"/>
        <v>1</v>
      </c>
      <c r="G78" s="20" t="s">
        <v>283</v>
      </c>
      <c r="H78" s="32" t="s">
        <v>1611</v>
      </c>
      <c r="I78" s="20">
        <v>64277</v>
      </c>
      <c r="J78" s="20">
        <v>331</v>
      </c>
      <c r="K78" s="20" t="s">
        <v>20</v>
      </c>
      <c r="L78" s="20">
        <v>1</v>
      </c>
      <c r="M78" s="34">
        <v>74074</v>
      </c>
      <c r="N78" s="34">
        <f t="shared" si="10"/>
        <v>74074</v>
      </c>
      <c r="Q78" s="20">
        <f t="shared" si="11"/>
        <v>46</v>
      </c>
    </row>
    <row r="79" spans="1:17" ht="15" hidden="1" customHeight="1" x14ac:dyDescent="0.2">
      <c r="A79" s="20" t="s">
        <v>18</v>
      </c>
      <c r="B79" s="61">
        <v>46112</v>
      </c>
      <c r="C79" s="32">
        <f t="shared" si="8"/>
        <v>441</v>
      </c>
      <c r="D79" s="38">
        <f t="shared" si="9"/>
        <v>0</v>
      </c>
      <c r="G79" s="32" t="s">
        <v>283</v>
      </c>
      <c r="H79" s="20" t="s">
        <v>1611</v>
      </c>
      <c r="I79" s="12">
        <v>1331</v>
      </c>
      <c r="J79" s="20">
        <v>331</v>
      </c>
      <c r="K79" s="20" t="s">
        <v>20</v>
      </c>
      <c r="L79" s="20">
        <v>1</v>
      </c>
      <c r="M79" s="34">
        <v>5926</v>
      </c>
      <c r="N79" s="34">
        <f t="shared" si="10"/>
        <v>5926</v>
      </c>
      <c r="Q79" s="20">
        <f t="shared" si="11"/>
        <v>46</v>
      </c>
    </row>
    <row r="80" spans="1:17" ht="15" hidden="1" customHeight="1" x14ac:dyDescent="0.2">
      <c r="A80" s="20" t="s">
        <v>310</v>
      </c>
      <c r="B80" s="61">
        <v>46112</v>
      </c>
      <c r="C80" s="32">
        <f t="shared" si="8"/>
        <v>442</v>
      </c>
      <c r="D80" s="38">
        <f t="shared" si="9"/>
        <v>1</v>
      </c>
      <c r="F80" s="20"/>
      <c r="G80" s="32" t="s">
        <v>283</v>
      </c>
      <c r="H80" s="20" t="s">
        <v>4524</v>
      </c>
      <c r="I80" s="20">
        <v>331</v>
      </c>
      <c r="J80" s="20">
        <v>1111</v>
      </c>
      <c r="K80" s="20" t="s">
        <v>20</v>
      </c>
      <c r="L80" s="20">
        <v>1</v>
      </c>
      <c r="M80" s="34">
        <v>80000</v>
      </c>
      <c r="N80" s="34">
        <f t="shared" si="10"/>
        <v>80000</v>
      </c>
      <c r="Q80" s="20">
        <f t="shared" si="11"/>
        <v>57</v>
      </c>
    </row>
    <row r="81" spans="1:17" ht="15" hidden="1" customHeight="1" x14ac:dyDescent="0.2">
      <c r="A81" s="20" t="s">
        <v>18</v>
      </c>
      <c r="B81" s="61">
        <v>46112</v>
      </c>
      <c r="C81" s="32">
        <f t="shared" si="8"/>
        <v>443</v>
      </c>
      <c r="D81" s="38">
        <f t="shared" si="9"/>
        <v>1</v>
      </c>
      <c r="G81" s="32" t="s">
        <v>35</v>
      </c>
      <c r="H81" s="20" t="s">
        <v>1612</v>
      </c>
      <c r="I81" s="12">
        <v>64277</v>
      </c>
      <c r="J81" s="20">
        <v>331</v>
      </c>
      <c r="K81" s="20" t="s">
        <v>20</v>
      </c>
      <c r="L81" s="20">
        <v>1</v>
      </c>
      <c r="M81" s="34">
        <v>3000000</v>
      </c>
      <c r="N81" s="34">
        <f t="shared" si="10"/>
        <v>3000000</v>
      </c>
      <c r="Q81" s="20">
        <f t="shared" si="11"/>
        <v>42</v>
      </c>
    </row>
    <row r="82" spans="1:17" ht="15" hidden="1" customHeight="1" x14ac:dyDescent="0.2">
      <c r="A82" s="20" t="s">
        <v>18</v>
      </c>
      <c r="B82" s="61">
        <v>46112</v>
      </c>
      <c r="C82" s="32">
        <f t="shared" si="8"/>
        <v>443</v>
      </c>
      <c r="D82" s="38">
        <f t="shared" si="9"/>
        <v>0</v>
      </c>
      <c r="G82" s="20" t="s">
        <v>35</v>
      </c>
      <c r="H82" s="32" t="s">
        <v>1612</v>
      </c>
      <c r="I82" s="20">
        <v>1331</v>
      </c>
      <c r="J82" s="20">
        <v>331</v>
      </c>
      <c r="K82" s="20" t="s">
        <v>20</v>
      </c>
      <c r="L82" s="20">
        <v>1</v>
      </c>
      <c r="M82" s="34">
        <v>240000</v>
      </c>
      <c r="N82" s="34">
        <f t="shared" si="10"/>
        <v>240000</v>
      </c>
      <c r="Q82" s="20">
        <f t="shared" si="11"/>
        <v>42</v>
      </c>
    </row>
    <row r="83" spans="1:17" ht="15" hidden="1" customHeight="1" x14ac:dyDescent="0.2">
      <c r="A83" s="20" t="s">
        <v>18</v>
      </c>
      <c r="B83" s="61">
        <v>46028</v>
      </c>
      <c r="C83" s="32">
        <f t="shared" si="8"/>
        <v>444</v>
      </c>
      <c r="D83" s="38">
        <f t="shared" si="9"/>
        <v>1</v>
      </c>
      <c r="F83" s="173"/>
      <c r="G83" s="20" t="s">
        <v>55</v>
      </c>
      <c r="H83" s="32" t="s">
        <v>1613</v>
      </c>
      <c r="I83" s="20">
        <v>131</v>
      </c>
      <c r="J83" s="20">
        <v>5113</v>
      </c>
      <c r="K83" s="20" t="s">
        <v>20</v>
      </c>
      <c r="L83" s="20">
        <v>1</v>
      </c>
      <c r="M83" s="34">
        <v>5376344</v>
      </c>
      <c r="N83" s="34">
        <f t="shared" si="10"/>
        <v>5376344</v>
      </c>
      <c r="Q83" s="20">
        <f t="shared" si="11"/>
        <v>108</v>
      </c>
    </row>
    <row r="84" spans="1:17" ht="15" customHeight="1" x14ac:dyDescent="0.2">
      <c r="A84" s="20" t="s">
        <v>18</v>
      </c>
      <c r="B84" s="61">
        <v>46028</v>
      </c>
      <c r="C84" s="32">
        <f t="shared" si="8"/>
        <v>445</v>
      </c>
      <c r="D84" s="38">
        <f t="shared" si="9"/>
        <v>1</v>
      </c>
      <c r="F84" s="20"/>
      <c r="G84" s="32" t="s">
        <v>55</v>
      </c>
      <c r="H84" s="20" t="s">
        <v>4525</v>
      </c>
      <c r="I84" s="12">
        <v>333821</v>
      </c>
      <c r="J84" s="20">
        <v>131</v>
      </c>
      <c r="K84" s="20" t="s">
        <v>20</v>
      </c>
      <c r="L84" s="20">
        <v>1</v>
      </c>
      <c r="M84" s="34">
        <v>53763</v>
      </c>
      <c r="N84" s="34">
        <f t="shared" si="10"/>
        <v>53763</v>
      </c>
      <c r="Q84" s="20">
        <f t="shared" si="11"/>
        <v>124</v>
      </c>
    </row>
    <row r="85" spans="1:17" ht="15" hidden="1" customHeight="1" x14ac:dyDescent="0.2">
      <c r="A85" s="20" t="s">
        <v>18</v>
      </c>
      <c r="B85" s="61">
        <v>46028</v>
      </c>
      <c r="C85" s="32">
        <f t="shared" si="8"/>
        <v>446</v>
      </c>
      <c r="D85" s="38">
        <f t="shared" si="9"/>
        <v>1</v>
      </c>
      <c r="F85" s="173"/>
      <c r="G85" s="20" t="s">
        <v>84</v>
      </c>
      <c r="H85" s="32" t="s">
        <v>1614</v>
      </c>
      <c r="I85" s="20">
        <v>131</v>
      </c>
      <c r="J85" s="20">
        <v>5113</v>
      </c>
      <c r="K85" s="20" t="s">
        <v>20</v>
      </c>
      <c r="L85" s="20">
        <v>1</v>
      </c>
      <c r="M85" s="34">
        <v>16129032</v>
      </c>
      <c r="N85" s="34">
        <f t="shared" si="10"/>
        <v>16129032</v>
      </c>
      <c r="Q85" s="20">
        <f t="shared" si="11"/>
        <v>119</v>
      </c>
    </row>
    <row r="86" spans="1:17" ht="15" customHeight="1" x14ac:dyDescent="0.2">
      <c r="A86" s="20" t="s">
        <v>18</v>
      </c>
      <c r="B86" s="61">
        <v>46028</v>
      </c>
      <c r="C86" s="32">
        <f t="shared" si="8"/>
        <v>447</v>
      </c>
      <c r="D86" s="38">
        <f t="shared" si="9"/>
        <v>1</v>
      </c>
      <c r="F86" s="20"/>
      <c r="G86" s="32" t="s">
        <v>84</v>
      </c>
      <c r="H86" s="20" t="s">
        <v>4526</v>
      </c>
      <c r="I86" s="12">
        <v>333821</v>
      </c>
      <c r="J86" s="20">
        <v>131</v>
      </c>
      <c r="K86" s="12" t="s">
        <v>20</v>
      </c>
      <c r="L86" s="12">
        <v>1</v>
      </c>
      <c r="M86" s="17">
        <v>161290</v>
      </c>
      <c r="N86" s="17">
        <f t="shared" si="10"/>
        <v>161290</v>
      </c>
      <c r="Q86" s="20">
        <f t="shared" si="11"/>
        <v>135</v>
      </c>
    </row>
    <row r="87" spans="1:17" ht="15" hidden="1" customHeight="1" x14ac:dyDescent="0.2">
      <c r="A87" s="20" t="s">
        <v>18</v>
      </c>
      <c r="B87" s="61">
        <v>46028</v>
      </c>
      <c r="C87" s="32">
        <f t="shared" si="8"/>
        <v>448</v>
      </c>
      <c r="D87" s="38">
        <f t="shared" si="9"/>
        <v>1</v>
      </c>
      <c r="F87" s="173"/>
      <c r="G87" s="20" t="s">
        <v>84</v>
      </c>
      <c r="H87" s="32" t="s">
        <v>1615</v>
      </c>
      <c r="I87" s="20">
        <v>131</v>
      </c>
      <c r="J87" s="20">
        <v>5113</v>
      </c>
      <c r="K87" s="20" t="s">
        <v>20</v>
      </c>
      <c r="L87" s="20">
        <v>1</v>
      </c>
      <c r="M87" s="34">
        <v>13440860</v>
      </c>
      <c r="N87" s="34">
        <f t="shared" si="10"/>
        <v>13440860</v>
      </c>
      <c r="Q87" s="20">
        <f t="shared" si="11"/>
        <v>116</v>
      </c>
    </row>
    <row r="88" spans="1:17" ht="15" customHeight="1" x14ac:dyDescent="0.2">
      <c r="A88" s="20" t="s">
        <v>18</v>
      </c>
      <c r="B88" s="61">
        <v>46028</v>
      </c>
      <c r="C88" s="32">
        <f t="shared" si="8"/>
        <v>449</v>
      </c>
      <c r="D88" s="38">
        <f t="shared" si="9"/>
        <v>1</v>
      </c>
      <c r="F88" s="20"/>
      <c r="G88" s="32" t="s">
        <v>84</v>
      </c>
      <c r="H88" s="20" t="s">
        <v>4527</v>
      </c>
      <c r="I88" s="12">
        <v>333821</v>
      </c>
      <c r="J88" s="20">
        <v>131</v>
      </c>
      <c r="K88" s="20" t="s">
        <v>20</v>
      </c>
      <c r="L88" s="20">
        <v>1</v>
      </c>
      <c r="M88" s="34">
        <v>134409</v>
      </c>
      <c r="N88" s="34">
        <f t="shared" si="10"/>
        <v>134409</v>
      </c>
      <c r="Q88" s="20">
        <f t="shared" si="11"/>
        <v>132</v>
      </c>
    </row>
    <row r="89" spans="1:17" ht="15" hidden="1" customHeight="1" x14ac:dyDescent="0.2">
      <c r="A89" s="20" t="s">
        <v>18</v>
      </c>
      <c r="B89" s="61">
        <v>46028</v>
      </c>
      <c r="C89" s="32">
        <f t="shared" si="8"/>
        <v>450</v>
      </c>
      <c r="D89" s="38">
        <f t="shared" si="9"/>
        <v>1</v>
      </c>
      <c r="F89" s="173"/>
      <c r="G89" s="20" t="s">
        <v>284</v>
      </c>
      <c r="H89" s="20" t="s">
        <v>1616</v>
      </c>
      <c r="I89" s="20">
        <v>131</v>
      </c>
      <c r="J89" s="20">
        <v>5113</v>
      </c>
      <c r="K89" s="20" t="s">
        <v>20</v>
      </c>
      <c r="L89" s="20">
        <v>1</v>
      </c>
      <c r="M89" s="34">
        <v>18817205</v>
      </c>
      <c r="N89" s="34">
        <f t="shared" si="10"/>
        <v>18817205</v>
      </c>
      <c r="Q89" s="20">
        <f t="shared" si="11"/>
        <v>149</v>
      </c>
    </row>
    <row r="90" spans="1:17" ht="15" customHeight="1" x14ac:dyDescent="0.2">
      <c r="A90" s="20" t="s">
        <v>18</v>
      </c>
      <c r="B90" s="61">
        <v>46028</v>
      </c>
      <c r="C90" s="32">
        <f t="shared" si="8"/>
        <v>451</v>
      </c>
      <c r="D90" s="38">
        <f t="shared" si="9"/>
        <v>1</v>
      </c>
      <c r="F90" s="20"/>
      <c r="G90" s="32" t="s">
        <v>284</v>
      </c>
      <c r="H90" s="20" t="s">
        <v>4528</v>
      </c>
      <c r="I90" s="12">
        <v>333821</v>
      </c>
      <c r="J90" s="20">
        <v>131</v>
      </c>
      <c r="K90" s="12" t="s">
        <v>20</v>
      </c>
      <c r="L90" s="12">
        <v>1</v>
      </c>
      <c r="M90" s="17">
        <v>188172</v>
      </c>
      <c r="N90" s="17">
        <f t="shared" si="10"/>
        <v>188172</v>
      </c>
      <c r="Q90" s="20">
        <f t="shared" si="11"/>
        <v>165</v>
      </c>
    </row>
    <row r="91" spans="1:17" ht="15" hidden="1" customHeight="1" x14ac:dyDescent="0.2">
      <c r="A91" s="20" t="s">
        <v>18</v>
      </c>
      <c r="B91" s="61">
        <v>46037</v>
      </c>
      <c r="C91" s="32">
        <f t="shared" si="8"/>
        <v>452</v>
      </c>
      <c r="D91" s="38">
        <f t="shared" si="9"/>
        <v>1</v>
      </c>
      <c r="F91" s="173"/>
      <c r="G91" s="20" t="s">
        <v>56</v>
      </c>
      <c r="H91" s="32" t="s">
        <v>1617</v>
      </c>
      <c r="I91" s="20">
        <v>131</v>
      </c>
      <c r="J91" s="20">
        <v>5113</v>
      </c>
      <c r="K91" s="20" t="s">
        <v>20</v>
      </c>
      <c r="L91" s="20">
        <v>1</v>
      </c>
      <c r="M91" s="34">
        <v>13440861</v>
      </c>
      <c r="N91" s="34">
        <f t="shared" si="10"/>
        <v>13440861</v>
      </c>
      <c r="Q91" s="20">
        <f t="shared" si="11"/>
        <v>173</v>
      </c>
    </row>
    <row r="92" spans="1:17" ht="15" customHeight="1" x14ac:dyDescent="0.2">
      <c r="A92" s="20" t="s">
        <v>18</v>
      </c>
      <c r="B92" s="61">
        <v>46037</v>
      </c>
      <c r="C92" s="32">
        <f t="shared" si="8"/>
        <v>453</v>
      </c>
      <c r="D92" s="38">
        <f t="shared" si="9"/>
        <v>1</v>
      </c>
      <c r="F92" s="20"/>
      <c r="G92" s="32" t="s">
        <v>56</v>
      </c>
      <c r="H92" s="20" t="s">
        <v>4529</v>
      </c>
      <c r="I92" s="12">
        <v>333821</v>
      </c>
      <c r="J92" s="20">
        <v>131</v>
      </c>
      <c r="K92" s="20" t="s">
        <v>20</v>
      </c>
      <c r="L92" s="20">
        <v>1</v>
      </c>
      <c r="M92" s="34">
        <v>134409</v>
      </c>
      <c r="N92" s="34">
        <f t="shared" si="10"/>
        <v>134409</v>
      </c>
      <c r="Q92" s="20">
        <f t="shared" si="11"/>
        <v>189</v>
      </c>
    </row>
    <row r="93" spans="1:17" ht="15" hidden="1" customHeight="1" x14ac:dyDescent="0.2">
      <c r="A93" s="20" t="s">
        <v>18</v>
      </c>
      <c r="B93" s="61">
        <v>46037</v>
      </c>
      <c r="C93" s="32">
        <f t="shared" si="8"/>
        <v>454</v>
      </c>
      <c r="D93" s="38">
        <f t="shared" si="9"/>
        <v>1</v>
      </c>
      <c r="F93" s="173"/>
      <c r="G93" s="20" t="s">
        <v>56</v>
      </c>
      <c r="H93" s="20" t="s">
        <v>1618</v>
      </c>
      <c r="I93" s="20">
        <v>131</v>
      </c>
      <c r="J93" s="20">
        <v>5113</v>
      </c>
      <c r="K93" s="20" t="s">
        <v>20</v>
      </c>
      <c r="L93" s="20">
        <v>1</v>
      </c>
      <c r="M93" s="34">
        <v>16129032</v>
      </c>
      <c r="N93" s="34">
        <f t="shared" si="10"/>
        <v>16129032</v>
      </c>
      <c r="Q93" s="20">
        <f t="shared" si="11"/>
        <v>142</v>
      </c>
    </row>
    <row r="94" spans="1:17" ht="15" customHeight="1" x14ac:dyDescent="0.2">
      <c r="A94" s="20" t="s">
        <v>18</v>
      </c>
      <c r="B94" s="61">
        <v>46037</v>
      </c>
      <c r="C94" s="32">
        <f t="shared" si="8"/>
        <v>455</v>
      </c>
      <c r="D94" s="38">
        <f t="shared" si="9"/>
        <v>1</v>
      </c>
      <c r="F94" s="20"/>
      <c r="G94" s="32" t="s">
        <v>56</v>
      </c>
      <c r="H94" s="20" t="s">
        <v>4530</v>
      </c>
      <c r="I94" s="12">
        <v>333821</v>
      </c>
      <c r="J94" s="20">
        <v>131</v>
      </c>
      <c r="K94" s="20" t="s">
        <v>20</v>
      </c>
      <c r="L94" s="20">
        <v>1</v>
      </c>
      <c r="M94" s="34">
        <v>161290</v>
      </c>
      <c r="N94" s="34">
        <f t="shared" si="10"/>
        <v>161290</v>
      </c>
      <c r="Q94" s="20">
        <f t="shared" si="11"/>
        <v>158</v>
      </c>
    </row>
    <row r="95" spans="1:17" ht="15" hidden="1" customHeight="1" x14ac:dyDescent="0.2">
      <c r="A95" s="20" t="s">
        <v>18</v>
      </c>
      <c r="B95" s="61">
        <v>46041</v>
      </c>
      <c r="C95" s="32">
        <f t="shared" si="8"/>
        <v>456</v>
      </c>
      <c r="D95" s="38">
        <f t="shared" si="9"/>
        <v>1</v>
      </c>
      <c r="F95" s="173"/>
      <c r="G95" s="20" t="s">
        <v>57</v>
      </c>
      <c r="H95" s="32" t="s">
        <v>1619</v>
      </c>
      <c r="I95" s="20">
        <v>131</v>
      </c>
      <c r="J95" s="20">
        <v>5113</v>
      </c>
      <c r="K95" s="20" t="s">
        <v>20</v>
      </c>
      <c r="L95" s="20">
        <v>1</v>
      </c>
      <c r="M95" s="34">
        <v>13888889</v>
      </c>
      <c r="N95" s="34">
        <f t="shared" si="10"/>
        <v>13888889</v>
      </c>
      <c r="Q95" s="20">
        <f t="shared" si="11"/>
        <v>122</v>
      </c>
    </row>
    <row r="96" spans="1:17" ht="15" customHeight="1" x14ac:dyDescent="0.2">
      <c r="A96" s="20" t="s">
        <v>18</v>
      </c>
      <c r="B96" s="61">
        <v>46041</v>
      </c>
      <c r="C96" s="32">
        <f t="shared" si="8"/>
        <v>457</v>
      </c>
      <c r="D96" s="38">
        <f t="shared" si="9"/>
        <v>1</v>
      </c>
      <c r="F96" s="20"/>
      <c r="G96" s="32" t="s">
        <v>57</v>
      </c>
      <c r="H96" s="20" t="s">
        <v>4531</v>
      </c>
      <c r="I96" s="12">
        <v>333821</v>
      </c>
      <c r="J96" s="20">
        <v>131</v>
      </c>
      <c r="K96" s="20" t="s">
        <v>20</v>
      </c>
      <c r="L96" s="20">
        <v>1</v>
      </c>
      <c r="M96" s="34">
        <v>138889</v>
      </c>
      <c r="N96" s="34">
        <f t="shared" si="10"/>
        <v>138889</v>
      </c>
      <c r="Q96" s="20">
        <f t="shared" si="11"/>
        <v>138</v>
      </c>
    </row>
    <row r="97" spans="1:17" ht="15" hidden="1" customHeight="1" x14ac:dyDescent="0.2">
      <c r="A97" s="20" t="s">
        <v>18</v>
      </c>
      <c r="B97" s="61">
        <v>46051</v>
      </c>
      <c r="C97" s="32">
        <f t="shared" si="8"/>
        <v>458</v>
      </c>
      <c r="D97" s="38">
        <f t="shared" si="9"/>
        <v>1</v>
      </c>
      <c r="F97" s="173"/>
      <c r="G97" s="20" t="s">
        <v>49</v>
      </c>
      <c r="H97" s="20" t="s">
        <v>1620</v>
      </c>
      <c r="I97" s="20">
        <v>131</v>
      </c>
      <c r="J97" s="20">
        <v>5113</v>
      </c>
      <c r="K97" s="20" t="s">
        <v>20</v>
      </c>
      <c r="L97" s="20">
        <v>1</v>
      </c>
      <c r="M97" s="34">
        <v>16129032</v>
      </c>
      <c r="N97" s="34">
        <f t="shared" si="10"/>
        <v>16129032</v>
      </c>
      <c r="Q97" s="20">
        <f t="shared" si="11"/>
        <v>151</v>
      </c>
    </row>
    <row r="98" spans="1:17" ht="15" customHeight="1" x14ac:dyDescent="0.2">
      <c r="A98" s="20" t="s">
        <v>18</v>
      </c>
      <c r="B98" s="61">
        <v>46051</v>
      </c>
      <c r="C98" s="32">
        <f t="shared" si="8"/>
        <v>459</v>
      </c>
      <c r="D98" s="38">
        <f t="shared" si="9"/>
        <v>1</v>
      </c>
      <c r="F98" s="20"/>
      <c r="G98" s="32" t="s">
        <v>49</v>
      </c>
      <c r="H98" s="20" t="s">
        <v>4532</v>
      </c>
      <c r="I98" s="12">
        <v>333821</v>
      </c>
      <c r="J98" s="20">
        <v>131</v>
      </c>
      <c r="K98" s="20" t="s">
        <v>20</v>
      </c>
      <c r="L98" s="20">
        <v>1</v>
      </c>
      <c r="M98" s="34">
        <v>161290</v>
      </c>
      <c r="N98" s="34">
        <f t="shared" si="10"/>
        <v>161290</v>
      </c>
      <c r="Q98" s="20">
        <f t="shared" si="11"/>
        <v>167</v>
      </c>
    </row>
    <row r="99" spans="1:17" ht="15" hidden="1" customHeight="1" x14ac:dyDescent="0.2">
      <c r="A99" s="20" t="s">
        <v>18</v>
      </c>
      <c r="B99" s="61">
        <v>46051</v>
      </c>
      <c r="C99" s="32">
        <f t="shared" si="8"/>
        <v>460</v>
      </c>
      <c r="D99" s="38">
        <f t="shared" si="9"/>
        <v>1</v>
      </c>
      <c r="F99" s="173"/>
      <c r="G99" s="20" t="s">
        <v>49</v>
      </c>
      <c r="H99" s="32" t="s">
        <v>1621</v>
      </c>
      <c r="I99" s="20">
        <v>131</v>
      </c>
      <c r="J99" s="20">
        <v>5113</v>
      </c>
      <c r="K99" s="20" t="s">
        <v>20</v>
      </c>
      <c r="L99" s="20">
        <v>1</v>
      </c>
      <c r="M99" s="34">
        <v>16129032</v>
      </c>
      <c r="N99" s="34">
        <f t="shared" si="10"/>
        <v>16129032</v>
      </c>
      <c r="Q99" s="20">
        <f t="shared" si="11"/>
        <v>148</v>
      </c>
    </row>
    <row r="100" spans="1:17" ht="15" customHeight="1" x14ac:dyDescent="0.2">
      <c r="A100" s="20" t="s">
        <v>18</v>
      </c>
      <c r="B100" s="61">
        <v>46051</v>
      </c>
      <c r="C100" s="32">
        <f t="shared" si="8"/>
        <v>461</v>
      </c>
      <c r="D100" s="38">
        <f t="shared" si="9"/>
        <v>1</v>
      </c>
      <c r="F100" s="20"/>
      <c r="G100" s="32" t="s">
        <v>49</v>
      </c>
      <c r="H100" s="20" t="s">
        <v>4533</v>
      </c>
      <c r="I100" s="12">
        <v>333821</v>
      </c>
      <c r="J100" s="20">
        <v>131</v>
      </c>
      <c r="K100" s="20" t="s">
        <v>20</v>
      </c>
      <c r="L100" s="20">
        <v>1</v>
      </c>
      <c r="M100" s="34">
        <v>161290</v>
      </c>
      <c r="N100" s="34">
        <f t="shared" ref="N100:N128" si="12">L100*M100</f>
        <v>161290</v>
      </c>
      <c r="Q100" s="20">
        <f t="shared" si="11"/>
        <v>164</v>
      </c>
    </row>
    <row r="101" spans="1:17" ht="15" hidden="1" customHeight="1" x14ac:dyDescent="0.2">
      <c r="A101" s="20" t="s">
        <v>18</v>
      </c>
      <c r="B101" s="61">
        <v>46052</v>
      </c>
      <c r="C101" s="32">
        <f t="shared" si="8"/>
        <v>462</v>
      </c>
      <c r="D101" s="38">
        <f t="shared" si="9"/>
        <v>1</v>
      </c>
      <c r="F101" s="173"/>
      <c r="G101" s="20" t="s">
        <v>84</v>
      </c>
      <c r="H101" s="20" t="s">
        <v>1622</v>
      </c>
      <c r="I101" s="20">
        <v>131</v>
      </c>
      <c r="J101" s="20">
        <v>5113</v>
      </c>
      <c r="K101" s="20" t="s">
        <v>20</v>
      </c>
      <c r="L101" s="20">
        <v>1</v>
      </c>
      <c r="M101" s="34">
        <v>13440861</v>
      </c>
      <c r="N101" s="34">
        <f t="shared" si="12"/>
        <v>13440861</v>
      </c>
      <c r="Q101" s="20">
        <f t="shared" si="11"/>
        <v>159</v>
      </c>
    </row>
    <row r="102" spans="1:17" ht="15" customHeight="1" x14ac:dyDescent="0.2">
      <c r="A102" s="20" t="s">
        <v>18</v>
      </c>
      <c r="B102" s="61">
        <v>46052</v>
      </c>
      <c r="C102" s="32">
        <f t="shared" si="8"/>
        <v>463</v>
      </c>
      <c r="D102" s="38">
        <f t="shared" si="9"/>
        <v>1</v>
      </c>
      <c r="F102" s="20"/>
      <c r="G102" s="32" t="s">
        <v>84</v>
      </c>
      <c r="H102" s="20" t="s">
        <v>4534</v>
      </c>
      <c r="I102" s="12">
        <v>333821</v>
      </c>
      <c r="J102" s="20">
        <v>131</v>
      </c>
      <c r="K102" s="12" t="s">
        <v>20</v>
      </c>
      <c r="L102" s="12">
        <v>1</v>
      </c>
      <c r="M102" s="17">
        <v>134409</v>
      </c>
      <c r="N102" s="17">
        <f t="shared" si="12"/>
        <v>134409</v>
      </c>
      <c r="Q102" s="20">
        <f t="shared" si="11"/>
        <v>175</v>
      </c>
    </row>
    <row r="103" spans="1:17" ht="15" hidden="1" customHeight="1" x14ac:dyDescent="0.2">
      <c r="A103" s="20" t="s">
        <v>18</v>
      </c>
      <c r="B103" s="61">
        <v>46052</v>
      </c>
      <c r="C103" s="32">
        <f t="shared" si="8"/>
        <v>464</v>
      </c>
      <c r="D103" s="38">
        <f t="shared" si="9"/>
        <v>1</v>
      </c>
      <c r="F103" s="173"/>
      <c r="G103" s="20" t="s">
        <v>84</v>
      </c>
      <c r="H103" s="32" t="s">
        <v>1623</v>
      </c>
      <c r="I103" s="20">
        <v>131</v>
      </c>
      <c r="J103" s="20">
        <v>5113</v>
      </c>
      <c r="K103" s="20" t="s">
        <v>20</v>
      </c>
      <c r="L103" s="20">
        <v>1</v>
      </c>
      <c r="M103" s="34">
        <v>16129032</v>
      </c>
      <c r="N103" s="34">
        <f t="shared" si="12"/>
        <v>16129032</v>
      </c>
      <c r="Q103" s="20">
        <f t="shared" si="11"/>
        <v>162</v>
      </c>
    </row>
    <row r="104" spans="1:17" ht="15" customHeight="1" x14ac:dyDescent="0.2">
      <c r="A104" s="20" t="s">
        <v>18</v>
      </c>
      <c r="B104" s="61">
        <v>46052</v>
      </c>
      <c r="C104" s="32">
        <f t="shared" si="8"/>
        <v>465</v>
      </c>
      <c r="D104" s="38">
        <f t="shared" si="9"/>
        <v>1</v>
      </c>
      <c r="F104" s="20"/>
      <c r="G104" s="32" t="s">
        <v>84</v>
      </c>
      <c r="H104" s="20" t="s">
        <v>4535</v>
      </c>
      <c r="I104" s="12">
        <v>333821</v>
      </c>
      <c r="J104" s="20">
        <v>131</v>
      </c>
      <c r="K104" s="20" t="s">
        <v>20</v>
      </c>
      <c r="L104" s="20">
        <v>1</v>
      </c>
      <c r="M104" s="34">
        <v>161290</v>
      </c>
      <c r="N104" s="34">
        <f t="shared" si="12"/>
        <v>161290</v>
      </c>
      <c r="Q104" s="20">
        <f t="shared" si="11"/>
        <v>178</v>
      </c>
    </row>
    <row r="105" spans="1:17" ht="15" hidden="1" customHeight="1" x14ac:dyDescent="0.2">
      <c r="A105" s="20" t="s">
        <v>18</v>
      </c>
      <c r="B105" s="61">
        <v>46053</v>
      </c>
      <c r="C105" s="32">
        <f t="shared" si="8"/>
        <v>466</v>
      </c>
      <c r="D105" s="38">
        <f t="shared" si="9"/>
        <v>1</v>
      </c>
      <c r="F105" s="173"/>
      <c r="G105" s="189" t="s">
        <v>4025</v>
      </c>
      <c r="H105" s="20" t="s">
        <v>4554</v>
      </c>
      <c r="I105" s="20">
        <v>131</v>
      </c>
      <c r="J105" s="20">
        <v>5113</v>
      </c>
      <c r="K105" s="20" t="s">
        <v>20</v>
      </c>
      <c r="L105" s="20">
        <v>1</v>
      </c>
      <c r="M105" s="34">
        <v>16129032</v>
      </c>
      <c r="N105" s="34">
        <f t="shared" si="12"/>
        <v>16129032</v>
      </c>
      <c r="Q105" s="20">
        <f t="shared" si="11"/>
        <v>171</v>
      </c>
    </row>
    <row r="106" spans="1:17" ht="15" customHeight="1" x14ac:dyDescent="0.2">
      <c r="A106" s="20" t="s">
        <v>18</v>
      </c>
      <c r="B106" s="61">
        <v>46053</v>
      </c>
      <c r="C106" s="32">
        <f t="shared" si="8"/>
        <v>467</v>
      </c>
      <c r="D106" s="38">
        <f t="shared" si="9"/>
        <v>1</v>
      </c>
      <c r="F106" s="20"/>
      <c r="G106" s="189" t="s">
        <v>4025</v>
      </c>
      <c r="H106" s="20" t="s">
        <v>4555</v>
      </c>
      <c r="I106" s="12">
        <v>333821</v>
      </c>
      <c r="J106" s="20">
        <v>131</v>
      </c>
      <c r="K106" s="20" t="s">
        <v>20</v>
      </c>
      <c r="L106" s="20">
        <v>1</v>
      </c>
      <c r="M106" s="34">
        <v>161290</v>
      </c>
      <c r="N106" s="34">
        <f t="shared" si="12"/>
        <v>161290</v>
      </c>
      <c r="Q106" s="20">
        <f t="shared" si="11"/>
        <v>187</v>
      </c>
    </row>
    <row r="107" spans="1:17" ht="15" hidden="1" customHeight="1" x14ac:dyDescent="0.2">
      <c r="A107" s="20" t="s">
        <v>18</v>
      </c>
      <c r="B107" s="61">
        <v>46058</v>
      </c>
      <c r="C107" s="32">
        <f t="shared" si="8"/>
        <v>468</v>
      </c>
      <c r="D107" s="38">
        <f t="shared" si="9"/>
        <v>1</v>
      </c>
      <c r="F107" s="173"/>
      <c r="G107" s="20" t="s">
        <v>58</v>
      </c>
      <c r="H107" s="32" t="s">
        <v>1624</v>
      </c>
      <c r="I107" s="20">
        <v>131</v>
      </c>
      <c r="J107" s="20">
        <v>5113</v>
      </c>
      <c r="K107" s="20" t="s">
        <v>20</v>
      </c>
      <c r="L107" s="20">
        <v>1</v>
      </c>
      <c r="M107" s="34">
        <v>11111111</v>
      </c>
      <c r="N107" s="34">
        <f t="shared" si="12"/>
        <v>11111111</v>
      </c>
      <c r="Q107" s="20">
        <f t="shared" si="11"/>
        <v>117</v>
      </c>
    </row>
    <row r="108" spans="1:17" ht="15" customHeight="1" x14ac:dyDescent="0.2">
      <c r="A108" s="20" t="s">
        <v>18</v>
      </c>
      <c r="B108" s="61">
        <v>46058</v>
      </c>
      <c r="C108" s="32">
        <f t="shared" si="8"/>
        <v>469</v>
      </c>
      <c r="D108" s="38">
        <f t="shared" si="9"/>
        <v>1</v>
      </c>
      <c r="F108" s="20"/>
      <c r="G108" s="32" t="s">
        <v>58</v>
      </c>
      <c r="H108" s="20" t="s">
        <v>4536</v>
      </c>
      <c r="I108" s="12">
        <v>333821</v>
      </c>
      <c r="J108" s="20">
        <v>131</v>
      </c>
      <c r="K108" s="20" t="s">
        <v>20</v>
      </c>
      <c r="L108" s="20">
        <v>1</v>
      </c>
      <c r="M108" s="34">
        <v>111111</v>
      </c>
      <c r="N108" s="34">
        <f t="shared" si="12"/>
        <v>111111</v>
      </c>
      <c r="Q108" s="20">
        <f t="shared" si="11"/>
        <v>133</v>
      </c>
    </row>
    <row r="109" spans="1:17" ht="15" hidden="1" customHeight="1" x14ac:dyDescent="0.2">
      <c r="A109" s="20" t="s">
        <v>18</v>
      </c>
      <c r="B109" s="61">
        <v>46059</v>
      </c>
      <c r="C109" s="32">
        <f t="shared" si="8"/>
        <v>470</v>
      </c>
      <c r="D109" s="38">
        <f t="shared" si="9"/>
        <v>1</v>
      </c>
      <c r="F109" s="173"/>
      <c r="G109" s="20" t="s">
        <v>65</v>
      </c>
      <c r="H109" s="20" t="s">
        <v>1625</v>
      </c>
      <c r="I109" s="20">
        <v>131</v>
      </c>
      <c r="J109" s="20">
        <v>5113</v>
      </c>
      <c r="K109" s="20" t="s">
        <v>20</v>
      </c>
      <c r="L109" s="20">
        <v>1</v>
      </c>
      <c r="M109" s="34">
        <v>15053764</v>
      </c>
      <c r="N109" s="34">
        <f t="shared" si="12"/>
        <v>15053764</v>
      </c>
      <c r="Q109" s="20">
        <f t="shared" si="11"/>
        <v>167</v>
      </c>
    </row>
    <row r="110" spans="1:17" ht="15" customHeight="1" x14ac:dyDescent="0.2">
      <c r="A110" s="20" t="s">
        <v>18</v>
      </c>
      <c r="B110" s="61">
        <v>46059</v>
      </c>
      <c r="C110" s="32">
        <f t="shared" si="8"/>
        <v>471</v>
      </c>
      <c r="D110" s="38">
        <f t="shared" si="9"/>
        <v>1</v>
      </c>
      <c r="F110" s="20"/>
      <c r="G110" s="32" t="s">
        <v>65</v>
      </c>
      <c r="H110" s="20" t="s">
        <v>4537</v>
      </c>
      <c r="I110" s="12">
        <v>333821</v>
      </c>
      <c r="J110" s="20">
        <v>131</v>
      </c>
      <c r="K110" s="20" t="s">
        <v>20</v>
      </c>
      <c r="L110" s="20">
        <v>1</v>
      </c>
      <c r="M110" s="34">
        <v>150538</v>
      </c>
      <c r="N110" s="34">
        <f t="shared" si="12"/>
        <v>150538</v>
      </c>
      <c r="Q110" s="20">
        <f t="shared" si="11"/>
        <v>183</v>
      </c>
    </row>
    <row r="111" spans="1:17" ht="15" hidden="1" customHeight="1" x14ac:dyDescent="0.2">
      <c r="A111" s="20" t="s">
        <v>18</v>
      </c>
      <c r="B111" s="61">
        <v>46062</v>
      </c>
      <c r="C111" s="32">
        <f t="shared" si="8"/>
        <v>472</v>
      </c>
      <c r="D111" s="38">
        <f t="shared" si="9"/>
        <v>1</v>
      </c>
      <c r="F111" s="173"/>
      <c r="G111" s="20" t="s">
        <v>43</v>
      </c>
      <c r="H111" s="32" t="s">
        <v>4556</v>
      </c>
      <c r="I111" s="20">
        <v>131</v>
      </c>
      <c r="J111" s="20">
        <v>5113</v>
      </c>
      <c r="K111" s="20" t="s">
        <v>20</v>
      </c>
      <c r="L111" s="20">
        <v>1</v>
      </c>
      <c r="M111" s="34">
        <v>13440861</v>
      </c>
      <c r="N111" s="34">
        <f t="shared" si="12"/>
        <v>13440861</v>
      </c>
      <c r="Q111" s="20">
        <f t="shared" si="11"/>
        <v>161</v>
      </c>
    </row>
    <row r="112" spans="1:17" ht="15" customHeight="1" x14ac:dyDescent="0.2">
      <c r="A112" s="20" t="s">
        <v>18</v>
      </c>
      <c r="B112" s="61">
        <v>46062</v>
      </c>
      <c r="C112" s="32">
        <f t="shared" si="8"/>
        <v>473</v>
      </c>
      <c r="D112" s="38">
        <f t="shared" si="9"/>
        <v>1</v>
      </c>
      <c r="F112" s="20"/>
      <c r="G112" s="32" t="s">
        <v>43</v>
      </c>
      <c r="H112" s="20" t="s">
        <v>4557</v>
      </c>
      <c r="I112" s="12">
        <v>333821</v>
      </c>
      <c r="J112" s="20">
        <v>131</v>
      </c>
      <c r="K112" s="20" t="s">
        <v>20</v>
      </c>
      <c r="L112" s="20">
        <v>1</v>
      </c>
      <c r="M112" s="34">
        <v>134409</v>
      </c>
      <c r="N112" s="34">
        <f t="shared" si="12"/>
        <v>134409</v>
      </c>
      <c r="Q112" s="20">
        <f t="shared" si="11"/>
        <v>177</v>
      </c>
    </row>
    <row r="113" spans="1:17" ht="15" hidden="1" customHeight="1" x14ac:dyDescent="0.2">
      <c r="A113" s="20" t="s">
        <v>18</v>
      </c>
      <c r="B113" s="61">
        <v>46077</v>
      </c>
      <c r="C113" s="32">
        <f t="shared" si="8"/>
        <v>474</v>
      </c>
      <c r="D113" s="38">
        <f t="shared" si="9"/>
        <v>1</v>
      </c>
      <c r="F113" s="173"/>
      <c r="G113" s="32" t="s">
        <v>56</v>
      </c>
      <c r="H113" s="20" t="s">
        <v>1626</v>
      </c>
      <c r="I113" s="20">
        <v>131</v>
      </c>
      <c r="J113" s="20">
        <v>5113</v>
      </c>
      <c r="K113" s="20" t="s">
        <v>20</v>
      </c>
      <c r="L113" s="20">
        <v>1</v>
      </c>
      <c r="M113" s="34">
        <v>16129032</v>
      </c>
      <c r="N113" s="34">
        <f t="shared" si="12"/>
        <v>16129032</v>
      </c>
      <c r="Q113" s="20">
        <f t="shared" si="11"/>
        <v>185</v>
      </c>
    </row>
    <row r="114" spans="1:17" ht="15" customHeight="1" x14ac:dyDescent="0.2">
      <c r="A114" s="20" t="s">
        <v>18</v>
      </c>
      <c r="B114" s="61">
        <v>46077</v>
      </c>
      <c r="C114" s="32">
        <f t="shared" si="8"/>
        <v>475</v>
      </c>
      <c r="D114" s="38">
        <f t="shared" si="9"/>
        <v>1</v>
      </c>
      <c r="F114" s="20"/>
      <c r="G114" s="32" t="s">
        <v>56</v>
      </c>
      <c r="H114" s="20" t="s">
        <v>4558</v>
      </c>
      <c r="I114" s="12">
        <v>333821</v>
      </c>
      <c r="J114" s="20">
        <v>131</v>
      </c>
      <c r="K114" s="20" t="s">
        <v>20</v>
      </c>
      <c r="L114" s="20">
        <v>1</v>
      </c>
      <c r="M114" s="34">
        <v>161290</v>
      </c>
      <c r="N114" s="34">
        <f t="shared" si="12"/>
        <v>161290</v>
      </c>
      <c r="Q114" s="20">
        <f t="shared" si="11"/>
        <v>159</v>
      </c>
    </row>
    <row r="115" spans="1:17" ht="15" hidden="1" customHeight="1" x14ac:dyDescent="0.2">
      <c r="A115" s="20" t="s">
        <v>18</v>
      </c>
      <c r="B115" s="61">
        <v>46081</v>
      </c>
      <c r="C115" s="32">
        <f t="shared" si="8"/>
        <v>476</v>
      </c>
      <c r="D115" s="38">
        <f t="shared" si="9"/>
        <v>1</v>
      </c>
      <c r="F115" s="173"/>
      <c r="G115" s="20" t="s">
        <v>939</v>
      </c>
      <c r="H115" s="32" t="s">
        <v>1627</v>
      </c>
      <c r="I115" s="20">
        <v>131</v>
      </c>
      <c r="J115" s="20">
        <v>5113</v>
      </c>
      <c r="K115" s="20" t="s">
        <v>20</v>
      </c>
      <c r="L115" s="20">
        <v>1</v>
      </c>
      <c r="M115" s="34">
        <v>22222222</v>
      </c>
      <c r="N115" s="34">
        <f t="shared" si="12"/>
        <v>22222222</v>
      </c>
      <c r="Q115" s="20">
        <f t="shared" si="11"/>
        <v>118</v>
      </c>
    </row>
    <row r="116" spans="1:17" ht="15" customHeight="1" x14ac:dyDescent="0.2">
      <c r="A116" s="20" t="s">
        <v>18</v>
      </c>
      <c r="B116" s="61">
        <v>46081</v>
      </c>
      <c r="C116" s="32">
        <f t="shared" si="8"/>
        <v>477</v>
      </c>
      <c r="D116" s="38">
        <f t="shared" si="9"/>
        <v>1</v>
      </c>
      <c r="F116" s="20"/>
      <c r="G116" s="32" t="s">
        <v>939</v>
      </c>
      <c r="H116" s="20" t="s">
        <v>4538</v>
      </c>
      <c r="I116" s="12">
        <v>333821</v>
      </c>
      <c r="J116" s="20">
        <v>131</v>
      </c>
      <c r="K116" s="20" t="s">
        <v>20</v>
      </c>
      <c r="L116" s="20">
        <v>1</v>
      </c>
      <c r="M116" s="34">
        <v>222222</v>
      </c>
      <c r="N116" s="34">
        <f t="shared" si="12"/>
        <v>222222</v>
      </c>
      <c r="Q116" s="20">
        <f t="shared" si="11"/>
        <v>134</v>
      </c>
    </row>
    <row r="117" spans="1:17" ht="15" hidden="1" customHeight="1" x14ac:dyDescent="0.2">
      <c r="A117" s="20" t="s">
        <v>18</v>
      </c>
      <c r="B117" s="61">
        <v>46083</v>
      </c>
      <c r="C117" s="32">
        <f t="shared" si="8"/>
        <v>478</v>
      </c>
      <c r="D117" s="38">
        <f t="shared" si="9"/>
        <v>1</v>
      </c>
      <c r="F117" s="173"/>
      <c r="G117" s="20" t="s">
        <v>26</v>
      </c>
      <c r="H117" s="20" t="s">
        <v>1628</v>
      </c>
      <c r="I117" s="20">
        <v>131</v>
      </c>
      <c r="J117" s="20">
        <v>5113</v>
      </c>
      <c r="K117" s="20" t="s">
        <v>20</v>
      </c>
      <c r="L117" s="20">
        <v>1</v>
      </c>
      <c r="M117" s="34">
        <v>7777778</v>
      </c>
      <c r="N117" s="34">
        <f t="shared" si="12"/>
        <v>7777778</v>
      </c>
      <c r="Q117" s="20">
        <f t="shared" si="11"/>
        <v>99</v>
      </c>
    </row>
    <row r="118" spans="1:17" ht="15" customHeight="1" x14ac:dyDescent="0.2">
      <c r="A118" s="20" t="s">
        <v>18</v>
      </c>
      <c r="B118" s="61">
        <v>46083</v>
      </c>
      <c r="C118" s="32">
        <f t="shared" si="8"/>
        <v>479</v>
      </c>
      <c r="D118" s="38">
        <f t="shared" si="9"/>
        <v>1</v>
      </c>
      <c r="F118" s="20"/>
      <c r="G118" s="32" t="s">
        <v>26</v>
      </c>
      <c r="H118" s="20" t="s">
        <v>4539</v>
      </c>
      <c r="I118" s="12">
        <v>333821</v>
      </c>
      <c r="J118" s="20">
        <v>131</v>
      </c>
      <c r="K118" s="12" t="s">
        <v>20</v>
      </c>
      <c r="L118" s="12">
        <v>1</v>
      </c>
      <c r="M118" s="17">
        <v>77778</v>
      </c>
      <c r="N118" s="17">
        <f t="shared" si="12"/>
        <v>77778</v>
      </c>
      <c r="Q118" s="20">
        <f t="shared" si="11"/>
        <v>115</v>
      </c>
    </row>
    <row r="119" spans="1:17" ht="15" hidden="1" customHeight="1" x14ac:dyDescent="0.2">
      <c r="A119" s="20" t="s">
        <v>18</v>
      </c>
      <c r="B119" s="61">
        <v>46084</v>
      </c>
      <c r="C119" s="32">
        <f t="shared" si="8"/>
        <v>480</v>
      </c>
      <c r="D119" s="38">
        <f t="shared" si="9"/>
        <v>1</v>
      </c>
      <c r="F119" s="173"/>
      <c r="G119" s="20" t="s">
        <v>57</v>
      </c>
      <c r="H119" s="32" t="s">
        <v>1629</v>
      </c>
      <c r="I119" s="20">
        <v>131</v>
      </c>
      <c r="J119" s="20">
        <v>5113</v>
      </c>
      <c r="K119" s="20" t="s">
        <v>20</v>
      </c>
      <c r="L119" s="20">
        <v>1</v>
      </c>
      <c r="M119" s="34">
        <v>13888889</v>
      </c>
      <c r="N119" s="34">
        <f t="shared" si="12"/>
        <v>13888889</v>
      </c>
      <c r="Q119" s="20">
        <f t="shared" si="11"/>
        <v>165</v>
      </c>
    </row>
    <row r="120" spans="1:17" ht="15" customHeight="1" x14ac:dyDescent="0.2">
      <c r="A120" s="20" t="s">
        <v>18</v>
      </c>
      <c r="B120" s="61">
        <v>46084</v>
      </c>
      <c r="C120" s="32">
        <f t="shared" si="8"/>
        <v>481</v>
      </c>
      <c r="D120" s="38">
        <f t="shared" si="9"/>
        <v>1</v>
      </c>
      <c r="F120" s="20"/>
      <c r="G120" s="32" t="s">
        <v>57</v>
      </c>
      <c r="H120" s="20" t="s">
        <v>4540</v>
      </c>
      <c r="I120" s="12">
        <v>333821</v>
      </c>
      <c r="J120" s="20">
        <v>131</v>
      </c>
      <c r="K120" s="20" t="s">
        <v>20</v>
      </c>
      <c r="L120" s="20">
        <v>1</v>
      </c>
      <c r="M120" s="34">
        <v>138889</v>
      </c>
      <c r="N120" s="34">
        <f t="shared" si="12"/>
        <v>138889</v>
      </c>
      <c r="Q120" s="20">
        <f t="shared" si="11"/>
        <v>181</v>
      </c>
    </row>
    <row r="121" spans="1:17" ht="15" hidden="1" customHeight="1" x14ac:dyDescent="0.2">
      <c r="A121" s="20" t="s">
        <v>18</v>
      </c>
      <c r="B121" s="61">
        <v>46084</v>
      </c>
      <c r="C121" s="32">
        <f t="shared" si="8"/>
        <v>482</v>
      </c>
      <c r="D121" s="38">
        <f t="shared" si="9"/>
        <v>1</v>
      </c>
      <c r="F121" s="173"/>
      <c r="G121" s="20" t="s">
        <v>56</v>
      </c>
      <c r="H121" s="20" t="s">
        <v>1630</v>
      </c>
      <c r="I121" s="20">
        <v>131</v>
      </c>
      <c r="J121" s="20">
        <v>5113</v>
      </c>
      <c r="K121" s="20" t="s">
        <v>20</v>
      </c>
      <c r="L121" s="20">
        <v>1</v>
      </c>
      <c r="M121" s="34">
        <v>35353535</v>
      </c>
      <c r="N121" s="34">
        <f t="shared" si="12"/>
        <v>35353535</v>
      </c>
      <c r="Q121" s="20">
        <f t="shared" si="11"/>
        <v>175</v>
      </c>
    </row>
    <row r="122" spans="1:17" ht="15" customHeight="1" x14ac:dyDescent="0.2">
      <c r="A122" s="20" t="s">
        <v>18</v>
      </c>
      <c r="B122" s="61">
        <v>46084</v>
      </c>
      <c r="C122" s="32">
        <f t="shared" si="8"/>
        <v>483</v>
      </c>
      <c r="D122" s="38">
        <f t="shared" si="9"/>
        <v>1</v>
      </c>
      <c r="F122" s="20"/>
      <c r="G122" s="32" t="s">
        <v>56</v>
      </c>
      <c r="H122" s="20" t="s">
        <v>4541</v>
      </c>
      <c r="I122" s="12">
        <v>333821</v>
      </c>
      <c r="J122" s="20">
        <v>131</v>
      </c>
      <c r="K122" s="20" t="s">
        <v>20</v>
      </c>
      <c r="L122" s="20">
        <v>1</v>
      </c>
      <c r="M122" s="34">
        <v>353535</v>
      </c>
      <c r="N122" s="34">
        <f t="shared" si="12"/>
        <v>353535</v>
      </c>
      <c r="Q122" s="20">
        <f t="shared" si="11"/>
        <v>191</v>
      </c>
    </row>
    <row r="123" spans="1:17" ht="15" hidden="1" customHeight="1" x14ac:dyDescent="0.2">
      <c r="A123" s="20" t="s">
        <v>18</v>
      </c>
      <c r="B123" s="61">
        <v>46091</v>
      </c>
      <c r="C123" s="32">
        <f t="shared" si="8"/>
        <v>484</v>
      </c>
      <c r="D123" s="38">
        <f t="shared" si="9"/>
        <v>1</v>
      </c>
      <c r="F123" s="173"/>
      <c r="G123" s="20" t="s">
        <v>43</v>
      </c>
      <c r="H123" s="32" t="s">
        <v>1631</v>
      </c>
      <c r="I123" s="20">
        <v>131</v>
      </c>
      <c r="J123" s="20">
        <v>5113</v>
      </c>
      <c r="K123" s="20" t="s">
        <v>20</v>
      </c>
      <c r="L123" s="20">
        <v>1</v>
      </c>
      <c r="M123" s="34">
        <v>27777778</v>
      </c>
      <c r="N123" s="34">
        <f t="shared" si="12"/>
        <v>27777778</v>
      </c>
      <c r="Q123" s="20">
        <f t="shared" si="11"/>
        <v>173</v>
      </c>
    </row>
    <row r="124" spans="1:17" ht="15" customHeight="1" x14ac:dyDescent="0.2">
      <c r="A124" s="20" t="s">
        <v>18</v>
      </c>
      <c r="B124" s="61">
        <v>46091</v>
      </c>
      <c r="C124" s="32">
        <f t="shared" si="8"/>
        <v>485</v>
      </c>
      <c r="D124" s="38">
        <f t="shared" si="9"/>
        <v>1</v>
      </c>
      <c r="F124" s="20"/>
      <c r="G124" s="32" t="s">
        <v>43</v>
      </c>
      <c r="H124" s="20" t="s">
        <v>4542</v>
      </c>
      <c r="I124" s="12">
        <v>333821</v>
      </c>
      <c r="J124" s="20">
        <v>131</v>
      </c>
      <c r="K124" s="20" t="s">
        <v>20</v>
      </c>
      <c r="L124" s="20">
        <v>1</v>
      </c>
      <c r="M124" s="34">
        <v>277778</v>
      </c>
      <c r="N124" s="34">
        <f t="shared" si="12"/>
        <v>277778</v>
      </c>
      <c r="Q124" s="20">
        <f t="shared" si="11"/>
        <v>189</v>
      </c>
    </row>
    <row r="125" spans="1:17" ht="15" hidden="1" customHeight="1" x14ac:dyDescent="0.2">
      <c r="A125" s="20" t="s">
        <v>18</v>
      </c>
      <c r="B125" s="61">
        <v>46092</v>
      </c>
      <c r="C125" s="32">
        <f t="shared" si="8"/>
        <v>486</v>
      </c>
      <c r="D125" s="38">
        <f t="shared" si="9"/>
        <v>1</v>
      </c>
      <c r="F125" s="173"/>
      <c r="G125" s="20" t="s">
        <v>4025</v>
      </c>
      <c r="H125" s="20" t="s">
        <v>4559</v>
      </c>
      <c r="I125" s="20">
        <v>131</v>
      </c>
      <c r="J125" s="20">
        <v>5113</v>
      </c>
      <c r="K125" s="20" t="s">
        <v>20</v>
      </c>
      <c r="L125" s="20">
        <v>1</v>
      </c>
      <c r="M125" s="34">
        <v>16129032</v>
      </c>
      <c r="N125" s="34">
        <f t="shared" si="12"/>
        <v>16129032</v>
      </c>
      <c r="Q125" s="20">
        <f t="shared" si="11"/>
        <v>129</v>
      </c>
    </row>
    <row r="126" spans="1:17" ht="15" customHeight="1" x14ac:dyDescent="0.2">
      <c r="A126" s="20" t="s">
        <v>18</v>
      </c>
      <c r="B126" s="61">
        <v>46092</v>
      </c>
      <c r="C126" s="32">
        <f t="shared" si="8"/>
        <v>487</v>
      </c>
      <c r="D126" s="38">
        <f t="shared" si="9"/>
        <v>1</v>
      </c>
      <c r="F126" s="20"/>
      <c r="G126" s="32" t="s">
        <v>4025</v>
      </c>
      <c r="H126" s="20" t="s">
        <v>4560</v>
      </c>
      <c r="I126" s="12">
        <v>333821</v>
      </c>
      <c r="J126" s="20">
        <v>131</v>
      </c>
      <c r="K126" s="20" t="s">
        <v>20</v>
      </c>
      <c r="L126" s="20">
        <v>1</v>
      </c>
      <c r="M126" s="34">
        <v>161290</v>
      </c>
      <c r="N126" s="34">
        <f t="shared" si="12"/>
        <v>161290</v>
      </c>
      <c r="Q126" s="20">
        <f t="shared" si="11"/>
        <v>145</v>
      </c>
    </row>
    <row r="127" spans="1:17" ht="15" hidden="1" customHeight="1" x14ac:dyDescent="0.2">
      <c r="A127" s="20" t="s">
        <v>18</v>
      </c>
      <c r="B127" s="61">
        <v>46094</v>
      </c>
      <c r="C127" s="32">
        <f t="shared" si="8"/>
        <v>488</v>
      </c>
      <c r="D127" s="38">
        <f t="shared" si="9"/>
        <v>1</v>
      </c>
      <c r="F127" s="173"/>
      <c r="G127" s="20" t="s">
        <v>939</v>
      </c>
      <c r="H127" s="32" t="s">
        <v>1632</v>
      </c>
      <c r="I127" s="20">
        <v>131</v>
      </c>
      <c r="J127" s="20">
        <v>5113</v>
      </c>
      <c r="K127" s="20" t="s">
        <v>20</v>
      </c>
      <c r="L127" s="20">
        <v>1</v>
      </c>
      <c r="M127" s="34">
        <v>22222222</v>
      </c>
      <c r="N127" s="34">
        <f t="shared" si="12"/>
        <v>22222222</v>
      </c>
      <c r="Q127" s="20">
        <f t="shared" si="11"/>
        <v>161</v>
      </c>
    </row>
    <row r="128" spans="1:17" ht="15" customHeight="1" x14ac:dyDescent="0.2">
      <c r="A128" s="20" t="s">
        <v>18</v>
      </c>
      <c r="B128" s="61">
        <v>46094</v>
      </c>
      <c r="C128" s="32">
        <f t="shared" si="8"/>
        <v>489</v>
      </c>
      <c r="D128" s="38">
        <f t="shared" si="9"/>
        <v>1</v>
      </c>
      <c r="F128" s="20"/>
      <c r="G128" s="32" t="s">
        <v>939</v>
      </c>
      <c r="H128" s="20" t="s">
        <v>4543</v>
      </c>
      <c r="I128" s="12">
        <v>333821</v>
      </c>
      <c r="J128" s="20">
        <v>131</v>
      </c>
      <c r="K128" s="20" t="s">
        <v>20</v>
      </c>
      <c r="L128" s="20">
        <v>1</v>
      </c>
      <c r="M128" s="34">
        <v>222222</v>
      </c>
      <c r="N128" s="34">
        <f t="shared" si="12"/>
        <v>222222</v>
      </c>
      <c r="Q128" s="20">
        <f t="shared" si="11"/>
        <v>177</v>
      </c>
    </row>
    <row r="129" spans="1:25" ht="15" hidden="1" customHeight="1" x14ac:dyDescent="0.2">
      <c r="A129" s="20" t="s">
        <v>18</v>
      </c>
      <c r="B129" s="61">
        <v>46099</v>
      </c>
      <c r="C129" s="32">
        <f t="shared" si="8"/>
        <v>490</v>
      </c>
      <c r="D129" s="38">
        <f t="shared" si="9"/>
        <v>1</v>
      </c>
      <c r="F129" s="173"/>
      <c r="G129" s="32" t="s">
        <v>84</v>
      </c>
      <c r="H129" s="20" t="s">
        <v>1633</v>
      </c>
      <c r="I129" s="20">
        <v>131</v>
      </c>
      <c r="J129" s="20">
        <v>5113</v>
      </c>
      <c r="K129" s="20" t="s">
        <v>20</v>
      </c>
      <c r="L129" s="20">
        <v>1</v>
      </c>
      <c r="M129" s="34">
        <v>6666667</v>
      </c>
      <c r="N129" s="34">
        <f t="shared" ref="N129:N130" si="13">L129*M129</f>
        <v>6666667</v>
      </c>
      <c r="Q129" s="20">
        <f t="shared" si="11"/>
        <v>102</v>
      </c>
    </row>
    <row r="130" spans="1:25" ht="15" customHeight="1" x14ac:dyDescent="0.2">
      <c r="A130" s="20" t="s">
        <v>18</v>
      </c>
      <c r="B130" s="61">
        <v>46099</v>
      </c>
      <c r="C130" s="32">
        <f t="shared" si="8"/>
        <v>491</v>
      </c>
      <c r="D130" s="38">
        <f t="shared" si="9"/>
        <v>1</v>
      </c>
      <c r="F130" s="20"/>
      <c r="G130" s="32" t="s">
        <v>84</v>
      </c>
      <c r="H130" s="20" t="s">
        <v>4544</v>
      </c>
      <c r="I130" s="12">
        <v>333821</v>
      </c>
      <c r="J130" s="20">
        <v>131</v>
      </c>
      <c r="K130" s="20" t="s">
        <v>20</v>
      </c>
      <c r="L130" s="20">
        <v>1</v>
      </c>
      <c r="M130" s="34">
        <v>66667</v>
      </c>
      <c r="N130" s="34">
        <f t="shared" si="13"/>
        <v>66667</v>
      </c>
      <c r="Q130" s="20">
        <f t="shared" si="11"/>
        <v>118</v>
      </c>
    </row>
    <row r="131" spans="1:25" ht="15" hidden="1" customHeight="1" x14ac:dyDescent="0.2">
      <c r="A131" s="20" t="s">
        <v>18</v>
      </c>
      <c r="B131" s="61">
        <v>46099</v>
      </c>
      <c r="C131" s="32">
        <f t="shared" si="8"/>
        <v>492</v>
      </c>
      <c r="D131" s="38">
        <f t="shared" si="9"/>
        <v>1</v>
      </c>
      <c r="F131" s="173"/>
      <c r="G131" s="32" t="s">
        <v>285</v>
      </c>
      <c r="H131" s="32" t="s">
        <v>1634</v>
      </c>
      <c r="I131" s="20">
        <v>131</v>
      </c>
      <c r="J131" s="20">
        <v>5113</v>
      </c>
      <c r="K131" s="20" t="s">
        <v>20</v>
      </c>
      <c r="L131" s="20">
        <v>1</v>
      </c>
      <c r="M131" s="34">
        <v>13440861</v>
      </c>
      <c r="N131" s="34">
        <f t="shared" ref="N131:N194" si="14">L131*M131</f>
        <v>13440861</v>
      </c>
      <c r="Q131" s="20">
        <f t="shared" si="11"/>
        <v>157</v>
      </c>
    </row>
    <row r="132" spans="1:25" ht="15" customHeight="1" x14ac:dyDescent="0.25">
      <c r="A132" s="20" t="s">
        <v>18</v>
      </c>
      <c r="B132" s="61">
        <v>46099</v>
      </c>
      <c r="C132" s="32">
        <f t="shared" si="8"/>
        <v>493</v>
      </c>
      <c r="D132" s="38">
        <f t="shared" si="9"/>
        <v>1</v>
      </c>
      <c r="F132" s="20"/>
      <c r="G132" s="32" t="s">
        <v>285</v>
      </c>
      <c r="H132" s="20" t="s">
        <v>4545</v>
      </c>
      <c r="I132" s="20">
        <v>333821</v>
      </c>
      <c r="J132" s="20">
        <v>131</v>
      </c>
      <c r="K132" s="20" t="s">
        <v>20</v>
      </c>
      <c r="L132" s="20">
        <v>1</v>
      </c>
      <c r="M132" s="34">
        <v>134409</v>
      </c>
      <c r="N132" s="34">
        <f t="shared" si="14"/>
        <v>134409</v>
      </c>
      <c r="Q132" s="20">
        <f t="shared" si="11"/>
        <v>173</v>
      </c>
      <c r="S132"/>
      <c r="T132"/>
      <c r="U132"/>
      <c r="V132"/>
      <c r="W132"/>
      <c r="X132"/>
      <c r="Y132"/>
    </row>
    <row r="133" spans="1:25" ht="15" hidden="1" customHeight="1" x14ac:dyDescent="0.25">
      <c r="A133" s="20" t="s">
        <v>18</v>
      </c>
      <c r="B133" s="36">
        <v>46053</v>
      </c>
      <c r="C133" s="32">
        <f t="shared" ref="C133:C135" si="15">C132+D133</f>
        <v>494</v>
      </c>
      <c r="D133" s="38">
        <f t="shared" ref="D133:D135" si="16">IF(H133=H132,0,1)</f>
        <v>1</v>
      </c>
      <c r="G133" s="32" t="s">
        <v>312</v>
      </c>
      <c r="H133" s="12" t="s">
        <v>455</v>
      </c>
      <c r="I133" s="12">
        <v>64271</v>
      </c>
      <c r="J133" s="20">
        <v>3383</v>
      </c>
      <c r="K133" s="12" t="s">
        <v>20</v>
      </c>
      <c r="L133" s="12">
        <v>1</v>
      </c>
      <c r="M133" s="17">
        <v>690300</v>
      </c>
      <c r="N133" s="34">
        <f t="shared" si="14"/>
        <v>690300</v>
      </c>
      <c r="Q133" s="20">
        <f t="shared" ref="Q133:Q157" si="17">LEN(H133)</f>
        <v>30</v>
      </c>
      <c r="S133"/>
      <c r="T133"/>
      <c r="U133"/>
      <c r="V133"/>
      <c r="W133"/>
      <c r="X133"/>
      <c r="Y133"/>
    </row>
    <row r="134" spans="1:25" ht="15" hidden="1" customHeight="1" x14ac:dyDescent="0.25">
      <c r="A134" s="20" t="s">
        <v>18</v>
      </c>
      <c r="B134" s="36">
        <v>46081</v>
      </c>
      <c r="C134" s="32">
        <f t="shared" si="15"/>
        <v>495</v>
      </c>
      <c r="D134" s="38">
        <f t="shared" si="16"/>
        <v>1</v>
      </c>
      <c r="G134" s="14" t="s">
        <v>312</v>
      </c>
      <c r="H134" s="12" t="s">
        <v>456</v>
      </c>
      <c r="I134" s="12">
        <v>64271</v>
      </c>
      <c r="J134" s="20">
        <v>3383</v>
      </c>
      <c r="K134" s="12" t="s">
        <v>20</v>
      </c>
      <c r="L134" s="12">
        <v>1</v>
      </c>
      <c r="M134" s="17">
        <v>690300</v>
      </c>
      <c r="N134" s="34">
        <f t="shared" si="14"/>
        <v>690300</v>
      </c>
      <c r="Q134" s="20">
        <f t="shared" si="17"/>
        <v>30</v>
      </c>
      <c r="S134"/>
      <c r="T134"/>
      <c r="U134"/>
      <c r="V134"/>
      <c r="W134"/>
      <c r="X134"/>
      <c r="Y134"/>
    </row>
    <row r="135" spans="1:25" ht="15" hidden="1" customHeight="1" x14ac:dyDescent="0.25">
      <c r="A135" s="20" t="s">
        <v>18</v>
      </c>
      <c r="B135" s="36">
        <v>46112</v>
      </c>
      <c r="C135" s="32">
        <f t="shared" si="15"/>
        <v>496</v>
      </c>
      <c r="D135" s="38">
        <f t="shared" si="16"/>
        <v>1</v>
      </c>
      <c r="E135" s="12"/>
      <c r="F135" s="12"/>
      <c r="G135" s="14" t="s">
        <v>312</v>
      </c>
      <c r="H135" s="12" t="s">
        <v>457</v>
      </c>
      <c r="I135" s="12">
        <v>64271</v>
      </c>
      <c r="J135" s="20">
        <v>3383</v>
      </c>
      <c r="K135" s="12" t="s">
        <v>20</v>
      </c>
      <c r="L135" s="12">
        <v>1</v>
      </c>
      <c r="M135" s="17">
        <v>690300</v>
      </c>
      <c r="N135" s="34">
        <f t="shared" si="14"/>
        <v>690300</v>
      </c>
      <c r="Q135" s="20">
        <f t="shared" si="17"/>
        <v>30</v>
      </c>
      <c r="S135"/>
      <c r="T135"/>
      <c r="U135"/>
      <c r="V135"/>
      <c r="W135"/>
      <c r="X135"/>
      <c r="Y135"/>
    </row>
    <row r="136" spans="1:25" ht="15" hidden="1" customHeight="1" x14ac:dyDescent="0.2">
      <c r="A136" s="20" t="s">
        <v>309</v>
      </c>
      <c r="B136" s="36">
        <v>46023</v>
      </c>
      <c r="C136" s="32">
        <f t="shared" ref="C136:C199" si="18">C135+D136</f>
        <v>497</v>
      </c>
      <c r="D136" s="38">
        <f t="shared" ref="D136:D199" si="19">IF(H136=H135,0,1)</f>
        <v>1</v>
      </c>
      <c r="G136" s="32" t="s">
        <v>57</v>
      </c>
      <c r="H136" s="32" t="s">
        <v>4561</v>
      </c>
      <c r="I136" s="20">
        <v>112111</v>
      </c>
      <c r="J136" s="20">
        <v>131</v>
      </c>
      <c r="K136" s="12" t="s">
        <v>20</v>
      </c>
      <c r="L136" s="12">
        <v>1</v>
      </c>
      <c r="M136" s="34">
        <v>13306451</v>
      </c>
      <c r="N136" s="34">
        <f t="shared" si="14"/>
        <v>13306451</v>
      </c>
      <c r="Q136" s="20">
        <f t="shared" si="17"/>
        <v>185</v>
      </c>
    </row>
    <row r="137" spans="1:25" ht="15" hidden="1" customHeight="1" x14ac:dyDescent="0.2">
      <c r="A137" s="20" t="s">
        <v>309</v>
      </c>
      <c r="B137" s="36">
        <v>46027</v>
      </c>
      <c r="C137" s="32">
        <f t="shared" si="18"/>
        <v>498</v>
      </c>
      <c r="D137" s="38">
        <f t="shared" si="19"/>
        <v>1</v>
      </c>
      <c r="G137" s="32" t="s">
        <v>71</v>
      </c>
      <c r="H137" s="32" t="s">
        <v>4562</v>
      </c>
      <c r="I137" s="20">
        <v>112111</v>
      </c>
      <c r="J137" s="20">
        <v>3388</v>
      </c>
      <c r="K137" s="12" t="s">
        <v>20</v>
      </c>
      <c r="L137" s="12">
        <v>1</v>
      </c>
      <c r="M137" s="34">
        <v>14903226</v>
      </c>
      <c r="N137" s="34">
        <f t="shared" si="14"/>
        <v>14903226</v>
      </c>
      <c r="Q137" s="20">
        <f t="shared" si="17"/>
        <v>12</v>
      </c>
    </row>
    <row r="138" spans="1:25" ht="15" hidden="1" customHeight="1" x14ac:dyDescent="0.2">
      <c r="A138" s="20" t="s">
        <v>309</v>
      </c>
      <c r="B138" s="36">
        <v>46027</v>
      </c>
      <c r="C138" s="32">
        <f t="shared" si="18"/>
        <v>499</v>
      </c>
      <c r="D138" s="38">
        <f t="shared" si="19"/>
        <v>1</v>
      </c>
      <c r="G138" s="32" t="s">
        <v>58</v>
      </c>
      <c r="H138" s="32" t="s">
        <v>4563</v>
      </c>
      <c r="I138" s="20">
        <v>112111</v>
      </c>
      <c r="J138" s="20">
        <v>131</v>
      </c>
      <c r="K138" s="12" t="s">
        <v>20</v>
      </c>
      <c r="L138" s="12">
        <v>1</v>
      </c>
      <c r="M138" s="34">
        <v>6387096</v>
      </c>
      <c r="N138" s="34">
        <f t="shared" si="14"/>
        <v>6387096</v>
      </c>
      <c r="Q138" s="20">
        <f t="shared" si="17"/>
        <v>118</v>
      </c>
    </row>
    <row r="139" spans="1:25" ht="15" hidden="1" customHeight="1" x14ac:dyDescent="0.2">
      <c r="A139" s="20" t="s">
        <v>308</v>
      </c>
      <c r="B139" s="36">
        <v>46028</v>
      </c>
      <c r="C139" s="32">
        <f t="shared" si="18"/>
        <v>500</v>
      </c>
      <c r="D139" s="38">
        <f t="shared" si="19"/>
        <v>1</v>
      </c>
      <c r="G139" s="32" t="s">
        <v>71</v>
      </c>
      <c r="H139" s="32" t="s">
        <v>4564</v>
      </c>
      <c r="I139" s="20">
        <v>3388</v>
      </c>
      <c r="J139" s="20">
        <v>112111</v>
      </c>
      <c r="K139" s="12" t="s">
        <v>20</v>
      </c>
      <c r="L139" s="12">
        <v>1</v>
      </c>
      <c r="M139" s="34">
        <v>14903226</v>
      </c>
      <c r="N139" s="34">
        <f t="shared" si="14"/>
        <v>14903226</v>
      </c>
      <c r="Q139" s="20">
        <f t="shared" si="17"/>
        <v>12</v>
      </c>
    </row>
    <row r="140" spans="1:25" ht="15" hidden="1" customHeight="1" x14ac:dyDescent="0.2">
      <c r="A140" s="20" t="s">
        <v>308</v>
      </c>
      <c r="B140" s="36">
        <v>46028</v>
      </c>
      <c r="C140" s="32">
        <f t="shared" si="18"/>
        <v>501</v>
      </c>
      <c r="D140" s="38">
        <f t="shared" si="19"/>
        <v>1</v>
      </c>
      <c r="G140" s="32" t="s">
        <v>66</v>
      </c>
      <c r="H140" s="32" t="s">
        <v>2660</v>
      </c>
      <c r="I140" s="20">
        <v>1111</v>
      </c>
      <c r="J140" s="20">
        <v>112111</v>
      </c>
      <c r="K140" s="12" t="s">
        <v>20</v>
      </c>
      <c r="L140" s="12">
        <v>1</v>
      </c>
      <c r="M140" s="34">
        <v>38000000</v>
      </c>
      <c r="N140" s="34">
        <f t="shared" si="14"/>
        <v>38000000</v>
      </c>
      <c r="Q140" s="20">
        <f t="shared" si="17"/>
        <v>26</v>
      </c>
    </row>
    <row r="141" spans="1:25" ht="15" hidden="1" customHeight="1" x14ac:dyDescent="0.2">
      <c r="A141" s="20" t="s">
        <v>309</v>
      </c>
      <c r="B141" s="36">
        <v>46028</v>
      </c>
      <c r="C141" s="32">
        <f t="shared" si="18"/>
        <v>502</v>
      </c>
      <c r="D141" s="38">
        <f t="shared" si="19"/>
        <v>1</v>
      </c>
      <c r="G141" s="32" t="s">
        <v>55</v>
      </c>
      <c r="H141" s="32" t="s">
        <v>4565</v>
      </c>
      <c r="I141" s="20">
        <v>112111</v>
      </c>
      <c r="J141" s="20">
        <v>131</v>
      </c>
      <c r="K141" s="12" t="s">
        <v>20</v>
      </c>
      <c r="L141" s="12">
        <v>1</v>
      </c>
      <c r="M141" s="34">
        <v>5000000</v>
      </c>
      <c r="N141" s="34">
        <f t="shared" si="14"/>
        <v>5000000</v>
      </c>
      <c r="Q141" s="20">
        <f t="shared" si="17"/>
        <v>113</v>
      </c>
    </row>
    <row r="142" spans="1:25" ht="15" hidden="1" customHeight="1" x14ac:dyDescent="0.2">
      <c r="A142" s="20" t="s">
        <v>309</v>
      </c>
      <c r="B142" s="36">
        <v>46042</v>
      </c>
      <c r="C142" s="32">
        <f t="shared" si="18"/>
        <v>503</v>
      </c>
      <c r="D142" s="38">
        <f t="shared" si="19"/>
        <v>1</v>
      </c>
      <c r="G142" s="32" t="s">
        <v>57</v>
      </c>
      <c r="H142" s="32" t="s">
        <v>4566</v>
      </c>
      <c r="I142" s="20">
        <v>112111</v>
      </c>
      <c r="J142" s="20">
        <v>131</v>
      </c>
      <c r="K142" s="12" t="s">
        <v>20</v>
      </c>
      <c r="L142" s="12">
        <v>1</v>
      </c>
      <c r="M142" s="34">
        <v>13750000</v>
      </c>
      <c r="N142" s="34">
        <f t="shared" si="14"/>
        <v>13750000</v>
      </c>
      <c r="Q142" s="20">
        <f t="shared" si="17"/>
        <v>127</v>
      </c>
    </row>
    <row r="143" spans="1:25" ht="15" hidden="1" customHeight="1" x14ac:dyDescent="0.2">
      <c r="A143" s="20" t="s">
        <v>309</v>
      </c>
      <c r="B143" s="36">
        <v>46043</v>
      </c>
      <c r="C143" s="32">
        <f t="shared" si="18"/>
        <v>504</v>
      </c>
      <c r="D143" s="38">
        <f t="shared" si="19"/>
        <v>1</v>
      </c>
      <c r="G143" s="32" t="s">
        <v>56</v>
      </c>
      <c r="H143" s="32" t="s">
        <v>4567</v>
      </c>
      <c r="I143" s="20">
        <v>112111</v>
      </c>
      <c r="J143" s="20">
        <v>131</v>
      </c>
      <c r="K143" s="12" t="s">
        <v>20</v>
      </c>
      <c r="L143" s="12">
        <v>1</v>
      </c>
      <c r="M143" s="34">
        <v>15967742</v>
      </c>
      <c r="N143" s="34">
        <f t="shared" si="14"/>
        <v>15967742</v>
      </c>
      <c r="Q143" s="20">
        <f t="shared" si="17"/>
        <v>183</v>
      </c>
    </row>
    <row r="144" spans="1:25" ht="15" hidden="1" customHeight="1" x14ac:dyDescent="0.2">
      <c r="A144" s="20" t="s">
        <v>308</v>
      </c>
      <c r="B144" s="36">
        <v>46043</v>
      </c>
      <c r="C144" s="32">
        <f t="shared" si="18"/>
        <v>505</v>
      </c>
      <c r="D144" s="38">
        <f t="shared" si="19"/>
        <v>1</v>
      </c>
      <c r="G144" s="32" t="s">
        <v>66</v>
      </c>
      <c r="H144" s="32" t="s">
        <v>3032</v>
      </c>
      <c r="I144" s="20">
        <v>1111</v>
      </c>
      <c r="J144" s="20">
        <v>112111</v>
      </c>
      <c r="K144" s="12" t="s">
        <v>20</v>
      </c>
      <c r="L144" s="12">
        <v>1</v>
      </c>
      <c r="M144" s="34">
        <v>30089971</v>
      </c>
      <c r="N144" s="34">
        <f t="shared" si="14"/>
        <v>30089971</v>
      </c>
      <c r="Q144" s="20">
        <f t="shared" si="17"/>
        <v>40</v>
      </c>
    </row>
    <row r="145" spans="1:17" ht="15" hidden="1" customHeight="1" x14ac:dyDescent="0.2">
      <c r="A145" s="20" t="s">
        <v>309</v>
      </c>
      <c r="B145" s="36">
        <v>46045</v>
      </c>
      <c r="C145" s="32">
        <f t="shared" si="18"/>
        <v>506</v>
      </c>
      <c r="D145" s="38">
        <f t="shared" si="19"/>
        <v>1</v>
      </c>
      <c r="G145" s="32" t="s">
        <v>55</v>
      </c>
      <c r="H145" s="32" t="s">
        <v>4565</v>
      </c>
      <c r="I145" s="20">
        <v>112111</v>
      </c>
      <c r="J145" s="20">
        <v>131</v>
      </c>
      <c r="K145" s="12" t="s">
        <v>20</v>
      </c>
      <c r="L145" s="12">
        <v>1</v>
      </c>
      <c r="M145" s="34">
        <v>322581</v>
      </c>
      <c r="N145" s="34">
        <f t="shared" si="14"/>
        <v>322581</v>
      </c>
      <c r="Q145" s="20">
        <f t="shared" si="17"/>
        <v>113</v>
      </c>
    </row>
    <row r="146" spans="1:17" ht="15" hidden="1" customHeight="1" x14ac:dyDescent="0.2">
      <c r="A146" s="20" t="s">
        <v>308</v>
      </c>
      <c r="B146" s="36">
        <v>46048</v>
      </c>
      <c r="C146" s="32">
        <f t="shared" si="18"/>
        <v>507</v>
      </c>
      <c r="D146" s="38">
        <f t="shared" si="19"/>
        <v>1</v>
      </c>
      <c r="G146" s="32" t="s">
        <v>66</v>
      </c>
      <c r="H146" s="32" t="s">
        <v>3032</v>
      </c>
      <c r="I146" s="20">
        <v>1111</v>
      </c>
      <c r="J146" s="20">
        <v>112111</v>
      </c>
      <c r="K146" s="12" t="s">
        <v>20</v>
      </c>
      <c r="L146" s="12">
        <v>1</v>
      </c>
      <c r="M146" s="34">
        <v>322581</v>
      </c>
      <c r="N146" s="34">
        <f t="shared" si="14"/>
        <v>322581</v>
      </c>
      <c r="Q146" s="20">
        <f t="shared" si="17"/>
        <v>40</v>
      </c>
    </row>
    <row r="147" spans="1:17" ht="15" hidden="1" customHeight="1" x14ac:dyDescent="0.2">
      <c r="A147" s="20" t="s">
        <v>309</v>
      </c>
      <c r="B147" s="36">
        <v>46053</v>
      </c>
      <c r="C147" s="32">
        <f t="shared" si="18"/>
        <v>508</v>
      </c>
      <c r="D147" s="38">
        <f t="shared" si="19"/>
        <v>1</v>
      </c>
      <c r="G147" s="32" t="s">
        <v>66</v>
      </c>
      <c r="H147" s="32" t="s">
        <v>3561</v>
      </c>
      <c r="I147" s="20">
        <v>112111</v>
      </c>
      <c r="J147" s="20">
        <v>5154</v>
      </c>
      <c r="K147" s="12" t="s">
        <v>20</v>
      </c>
      <c r="L147" s="12">
        <v>1</v>
      </c>
      <c r="M147" s="34">
        <v>425</v>
      </c>
      <c r="N147" s="34">
        <f t="shared" si="14"/>
        <v>425</v>
      </c>
      <c r="Q147" s="20">
        <f t="shared" si="17"/>
        <v>22</v>
      </c>
    </row>
    <row r="148" spans="1:17" ht="15" hidden="1" customHeight="1" x14ac:dyDescent="0.2">
      <c r="A148" s="20" t="s">
        <v>309</v>
      </c>
      <c r="B148" s="36">
        <v>46055</v>
      </c>
      <c r="C148" s="32">
        <f t="shared" si="18"/>
        <v>509</v>
      </c>
      <c r="D148" s="38">
        <f t="shared" si="19"/>
        <v>1</v>
      </c>
      <c r="G148" s="32" t="s">
        <v>71</v>
      </c>
      <c r="H148" s="32" t="s">
        <v>4562</v>
      </c>
      <c r="I148" s="20">
        <v>112111</v>
      </c>
      <c r="J148" s="20">
        <v>3388</v>
      </c>
      <c r="K148" s="12" t="s">
        <v>20</v>
      </c>
      <c r="L148" s="12">
        <v>1</v>
      </c>
      <c r="M148" s="34">
        <v>10645161</v>
      </c>
      <c r="N148" s="34">
        <f t="shared" si="14"/>
        <v>10645161</v>
      </c>
      <c r="Q148" s="20">
        <f t="shared" si="17"/>
        <v>12</v>
      </c>
    </row>
    <row r="149" spans="1:17" ht="15" hidden="1" customHeight="1" x14ac:dyDescent="0.2">
      <c r="A149" s="20" t="s">
        <v>309</v>
      </c>
      <c r="B149" s="36">
        <v>46057</v>
      </c>
      <c r="C149" s="32">
        <f t="shared" si="18"/>
        <v>510</v>
      </c>
      <c r="D149" s="38">
        <f t="shared" si="19"/>
        <v>1</v>
      </c>
      <c r="G149" s="32" t="s">
        <v>43</v>
      </c>
      <c r="H149" s="32" t="s">
        <v>4714</v>
      </c>
      <c r="I149" s="20">
        <v>112111</v>
      </c>
      <c r="J149" s="20">
        <v>131</v>
      </c>
      <c r="K149" s="12" t="s">
        <v>20</v>
      </c>
      <c r="L149" s="12">
        <v>1</v>
      </c>
      <c r="M149" s="34">
        <v>13750000</v>
      </c>
      <c r="N149" s="34">
        <f t="shared" si="14"/>
        <v>13750000</v>
      </c>
      <c r="Q149" s="20">
        <f t="shared" si="17"/>
        <v>166</v>
      </c>
    </row>
    <row r="150" spans="1:17" ht="15" hidden="1" customHeight="1" x14ac:dyDescent="0.2">
      <c r="A150" s="20" t="s">
        <v>308</v>
      </c>
      <c r="B150" s="36">
        <v>46057</v>
      </c>
      <c r="C150" s="32">
        <f t="shared" si="18"/>
        <v>511</v>
      </c>
      <c r="D150" s="38">
        <f t="shared" si="19"/>
        <v>1</v>
      </c>
      <c r="G150" s="32" t="s">
        <v>66</v>
      </c>
      <c r="H150" s="32" t="s">
        <v>3032</v>
      </c>
      <c r="I150" s="20">
        <v>1111</v>
      </c>
      <c r="J150" s="20">
        <v>112111</v>
      </c>
      <c r="K150" s="12" t="s">
        <v>20</v>
      </c>
      <c r="L150" s="12">
        <v>1</v>
      </c>
      <c r="M150" s="34">
        <v>13750000</v>
      </c>
      <c r="N150" s="34">
        <f t="shared" si="14"/>
        <v>13750000</v>
      </c>
      <c r="Q150" s="20">
        <f t="shared" si="17"/>
        <v>40</v>
      </c>
    </row>
    <row r="151" spans="1:17" ht="15" hidden="1" customHeight="1" x14ac:dyDescent="0.2">
      <c r="A151" s="20" t="s">
        <v>308</v>
      </c>
      <c r="B151" s="36">
        <v>46057</v>
      </c>
      <c r="C151" s="32">
        <f t="shared" si="18"/>
        <v>512</v>
      </c>
      <c r="D151" s="38">
        <f t="shared" si="19"/>
        <v>1</v>
      </c>
      <c r="G151" s="32" t="s">
        <v>71</v>
      </c>
      <c r="H151" s="32" t="s">
        <v>4564</v>
      </c>
      <c r="I151" s="20">
        <v>3388</v>
      </c>
      <c r="J151" s="20">
        <v>112111</v>
      </c>
      <c r="K151" s="12" t="s">
        <v>20</v>
      </c>
      <c r="L151" s="12">
        <v>1</v>
      </c>
      <c r="M151" s="34">
        <v>10645161</v>
      </c>
      <c r="N151" s="34">
        <f t="shared" si="14"/>
        <v>10645161</v>
      </c>
      <c r="Q151" s="20">
        <f t="shared" si="17"/>
        <v>12</v>
      </c>
    </row>
    <row r="152" spans="1:17" ht="15" hidden="1" customHeight="1" x14ac:dyDescent="0.2">
      <c r="A152" s="20" t="s">
        <v>309</v>
      </c>
      <c r="B152" s="36">
        <v>46081</v>
      </c>
      <c r="C152" s="32">
        <f t="shared" si="18"/>
        <v>513</v>
      </c>
      <c r="D152" s="38">
        <f t="shared" si="19"/>
        <v>1</v>
      </c>
      <c r="G152" s="32" t="s">
        <v>66</v>
      </c>
      <c r="H152" s="32" t="s">
        <v>3561</v>
      </c>
      <c r="I152" s="20">
        <v>112111</v>
      </c>
      <c r="J152" s="20">
        <v>5154</v>
      </c>
      <c r="K152" s="12" t="s">
        <v>20</v>
      </c>
      <c r="L152" s="12">
        <v>1</v>
      </c>
      <c r="M152" s="34">
        <v>29</v>
      </c>
      <c r="N152" s="34">
        <f t="shared" si="14"/>
        <v>29</v>
      </c>
      <c r="Q152" s="20">
        <f t="shared" si="17"/>
        <v>22</v>
      </c>
    </row>
    <row r="153" spans="1:17" ht="15" hidden="1" customHeight="1" x14ac:dyDescent="0.2">
      <c r="A153" s="20" t="s">
        <v>309</v>
      </c>
      <c r="B153" s="36">
        <v>46099</v>
      </c>
      <c r="C153" s="32">
        <f t="shared" si="18"/>
        <v>514</v>
      </c>
      <c r="D153" s="38">
        <f t="shared" si="19"/>
        <v>1</v>
      </c>
      <c r="G153" s="32" t="s">
        <v>71</v>
      </c>
      <c r="H153" s="32" t="s">
        <v>4562</v>
      </c>
      <c r="I153" s="20">
        <v>112111</v>
      </c>
      <c r="J153" s="20">
        <v>3388</v>
      </c>
      <c r="K153" s="12" t="s">
        <v>20</v>
      </c>
      <c r="L153" s="12">
        <v>1</v>
      </c>
      <c r="M153" s="34">
        <v>13750000</v>
      </c>
      <c r="N153" s="34">
        <f t="shared" si="14"/>
        <v>13750000</v>
      </c>
      <c r="Q153" s="20">
        <f t="shared" si="17"/>
        <v>12</v>
      </c>
    </row>
    <row r="154" spans="1:17" ht="15" hidden="1" customHeight="1" x14ac:dyDescent="0.2">
      <c r="A154" s="20" t="s">
        <v>308</v>
      </c>
      <c r="B154" s="36">
        <v>46099</v>
      </c>
      <c r="C154" s="32">
        <f t="shared" si="18"/>
        <v>515</v>
      </c>
      <c r="D154" s="38">
        <f t="shared" si="19"/>
        <v>1</v>
      </c>
      <c r="G154" s="32" t="s">
        <v>71</v>
      </c>
      <c r="H154" s="32" t="s">
        <v>4564</v>
      </c>
      <c r="I154" s="20">
        <v>3388</v>
      </c>
      <c r="J154" s="20">
        <v>112111</v>
      </c>
      <c r="K154" s="12" t="s">
        <v>20</v>
      </c>
      <c r="L154" s="12">
        <v>1</v>
      </c>
      <c r="M154" s="34">
        <v>13750000</v>
      </c>
      <c r="N154" s="34">
        <f t="shared" si="14"/>
        <v>13750000</v>
      </c>
      <c r="Q154" s="20">
        <f t="shared" si="17"/>
        <v>12</v>
      </c>
    </row>
    <row r="155" spans="1:17" ht="15" hidden="1" customHeight="1" x14ac:dyDescent="0.2">
      <c r="A155" s="20" t="s">
        <v>309</v>
      </c>
      <c r="B155" s="36">
        <v>46106</v>
      </c>
      <c r="C155" s="32">
        <f t="shared" si="18"/>
        <v>516</v>
      </c>
      <c r="D155" s="38">
        <f t="shared" si="19"/>
        <v>1</v>
      </c>
      <c r="G155" s="32" t="s">
        <v>71</v>
      </c>
      <c r="H155" s="32" t="s">
        <v>4562</v>
      </c>
      <c r="I155" s="20">
        <v>112111</v>
      </c>
      <c r="J155" s="20">
        <v>3388</v>
      </c>
      <c r="K155" s="12" t="s">
        <v>20</v>
      </c>
      <c r="L155" s="12">
        <v>1</v>
      </c>
      <c r="M155" s="34">
        <v>13306451</v>
      </c>
      <c r="N155" s="34">
        <f t="shared" si="14"/>
        <v>13306451</v>
      </c>
      <c r="Q155" s="20">
        <f t="shared" si="17"/>
        <v>12</v>
      </c>
    </row>
    <row r="156" spans="1:17" ht="15" hidden="1" customHeight="1" x14ac:dyDescent="0.2">
      <c r="A156" s="20" t="s">
        <v>308</v>
      </c>
      <c r="B156" s="36">
        <v>46106</v>
      </c>
      <c r="C156" s="32">
        <f t="shared" si="18"/>
        <v>517</v>
      </c>
      <c r="D156" s="38">
        <f t="shared" si="19"/>
        <v>1</v>
      </c>
      <c r="G156" s="32" t="s">
        <v>71</v>
      </c>
      <c r="H156" s="32" t="s">
        <v>4564</v>
      </c>
      <c r="I156" s="20">
        <v>3388</v>
      </c>
      <c r="J156" s="20">
        <v>112111</v>
      </c>
      <c r="K156" s="12" t="s">
        <v>20</v>
      </c>
      <c r="L156" s="12">
        <v>1</v>
      </c>
      <c r="M156" s="34">
        <v>13306451</v>
      </c>
      <c r="N156" s="34">
        <f t="shared" si="14"/>
        <v>13306451</v>
      </c>
      <c r="Q156" s="20">
        <f t="shared" si="17"/>
        <v>12</v>
      </c>
    </row>
    <row r="157" spans="1:17" ht="15" hidden="1" customHeight="1" x14ac:dyDescent="0.2">
      <c r="A157" s="20" t="s">
        <v>308</v>
      </c>
      <c r="B157" s="36">
        <v>46112</v>
      </c>
      <c r="C157" s="32">
        <f t="shared" si="18"/>
        <v>518</v>
      </c>
      <c r="D157" s="38">
        <f t="shared" si="19"/>
        <v>1</v>
      </c>
      <c r="G157" s="32" t="s">
        <v>66</v>
      </c>
      <c r="H157" s="32" t="s">
        <v>2613</v>
      </c>
      <c r="I157" s="20">
        <v>64277</v>
      </c>
      <c r="J157" s="20">
        <v>112111</v>
      </c>
      <c r="K157" s="12" t="s">
        <v>20</v>
      </c>
      <c r="L157" s="12">
        <v>1</v>
      </c>
      <c r="M157" s="34">
        <v>454</v>
      </c>
      <c r="N157" s="34">
        <f t="shared" si="14"/>
        <v>454</v>
      </c>
      <c r="Q157" s="20">
        <f t="shared" si="17"/>
        <v>13</v>
      </c>
    </row>
    <row r="158" spans="1:17" s="177" customFormat="1" ht="15" hidden="1" customHeight="1" x14ac:dyDescent="0.2">
      <c r="A158" s="177" t="s">
        <v>309</v>
      </c>
      <c r="B158" s="166">
        <v>46023</v>
      </c>
      <c r="C158" s="190">
        <f t="shared" si="18"/>
        <v>519</v>
      </c>
      <c r="D158" s="168">
        <f t="shared" si="19"/>
        <v>1</v>
      </c>
      <c r="F158" s="190"/>
      <c r="G158" s="191" t="s">
        <v>4715</v>
      </c>
      <c r="H158" s="190" t="s">
        <v>3484</v>
      </c>
      <c r="I158" s="177">
        <v>112121</v>
      </c>
      <c r="J158" s="177">
        <v>131</v>
      </c>
      <c r="K158" s="165" t="s">
        <v>20</v>
      </c>
      <c r="L158" s="165">
        <v>1</v>
      </c>
      <c r="M158" s="179">
        <v>29666434</v>
      </c>
      <c r="N158" s="179">
        <f t="shared" si="14"/>
        <v>29666434</v>
      </c>
      <c r="Q158" s="177">
        <f t="shared" ref="Q158:Q162" si="20">LEN(H158)</f>
        <v>48</v>
      </c>
    </row>
    <row r="159" spans="1:17" s="177" customFormat="1" ht="15" hidden="1" customHeight="1" x14ac:dyDescent="0.2">
      <c r="A159" s="177" t="s">
        <v>309</v>
      </c>
      <c r="B159" s="178">
        <v>46028</v>
      </c>
      <c r="C159" s="190">
        <f t="shared" si="18"/>
        <v>519</v>
      </c>
      <c r="D159" s="168">
        <f t="shared" si="19"/>
        <v>0</v>
      </c>
      <c r="F159" s="190"/>
      <c r="G159" s="191" t="s">
        <v>84</v>
      </c>
      <c r="H159" s="190" t="s">
        <v>3484</v>
      </c>
      <c r="I159" s="177">
        <v>112121</v>
      </c>
      <c r="J159" s="177">
        <v>131</v>
      </c>
      <c r="K159" s="165" t="s">
        <v>20</v>
      </c>
      <c r="L159" s="165">
        <v>1</v>
      </c>
      <c r="M159" s="179">
        <v>29274193</v>
      </c>
      <c r="N159" s="179">
        <f t="shared" si="14"/>
        <v>29274193</v>
      </c>
      <c r="Q159" s="177">
        <f t="shared" si="20"/>
        <v>48</v>
      </c>
    </row>
    <row r="160" spans="1:17" ht="15" hidden="1" customHeight="1" x14ac:dyDescent="0.2">
      <c r="A160" s="20" t="s">
        <v>309</v>
      </c>
      <c r="B160" s="61">
        <v>46028</v>
      </c>
      <c r="C160" s="32">
        <f t="shared" si="18"/>
        <v>520</v>
      </c>
      <c r="D160" s="38">
        <f t="shared" si="19"/>
        <v>1</v>
      </c>
      <c r="G160" s="32" t="s">
        <v>284</v>
      </c>
      <c r="H160" s="32" t="s">
        <v>4568</v>
      </c>
      <c r="I160" s="20">
        <v>112121</v>
      </c>
      <c r="J160" s="20">
        <v>131</v>
      </c>
      <c r="K160" s="12" t="s">
        <v>20</v>
      </c>
      <c r="L160" s="12">
        <v>1</v>
      </c>
      <c r="M160" s="34">
        <v>18629033</v>
      </c>
      <c r="N160" s="34">
        <f t="shared" si="14"/>
        <v>18629033</v>
      </c>
      <c r="Q160" s="20">
        <f t="shared" si="20"/>
        <v>154</v>
      </c>
    </row>
    <row r="161" spans="1:17" ht="15" hidden="1" customHeight="1" x14ac:dyDescent="0.2">
      <c r="A161" s="20" t="s">
        <v>308</v>
      </c>
      <c r="B161" s="61">
        <v>46028</v>
      </c>
      <c r="C161" s="32">
        <f t="shared" si="18"/>
        <v>521</v>
      </c>
      <c r="D161" s="38">
        <f t="shared" si="19"/>
        <v>1</v>
      </c>
      <c r="G161" s="32" t="s">
        <v>66</v>
      </c>
      <c r="H161" s="32" t="s">
        <v>3032</v>
      </c>
      <c r="I161" s="20">
        <v>1111</v>
      </c>
      <c r="J161" s="20">
        <v>112121</v>
      </c>
      <c r="K161" s="12" t="s">
        <v>20</v>
      </c>
      <c r="L161" s="12">
        <v>1</v>
      </c>
      <c r="M161" s="34">
        <v>150000000</v>
      </c>
      <c r="N161" s="34">
        <f t="shared" si="14"/>
        <v>150000000</v>
      </c>
      <c r="Q161" s="20">
        <f t="shared" si="20"/>
        <v>40</v>
      </c>
    </row>
    <row r="162" spans="1:17" ht="15" hidden="1" customHeight="1" x14ac:dyDescent="0.2">
      <c r="A162" s="20" t="s">
        <v>309</v>
      </c>
      <c r="B162" s="61">
        <v>46047</v>
      </c>
      <c r="C162" s="32">
        <f t="shared" si="18"/>
        <v>522</v>
      </c>
      <c r="D162" s="38">
        <f t="shared" si="19"/>
        <v>1</v>
      </c>
      <c r="G162" s="32" t="s">
        <v>66</v>
      </c>
      <c r="H162" s="32" t="s">
        <v>3561</v>
      </c>
      <c r="I162" s="20">
        <v>112121</v>
      </c>
      <c r="J162" s="20">
        <v>5154</v>
      </c>
      <c r="K162" s="12" t="s">
        <v>20</v>
      </c>
      <c r="L162" s="12">
        <v>1</v>
      </c>
      <c r="M162" s="34">
        <v>3712</v>
      </c>
      <c r="N162" s="34">
        <f t="shared" si="14"/>
        <v>3712</v>
      </c>
      <c r="Q162" s="20">
        <f t="shared" si="20"/>
        <v>22</v>
      </c>
    </row>
    <row r="163" spans="1:17" s="177" customFormat="1" ht="15" hidden="1" customHeight="1" x14ac:dyDescent="0.2">
      <c r="A163" s="177" t="s">
        <v>309</v>
      </c>
      <c r="B163" s="178">
        <v>46048</v>
      </c>
      <c r="C163" s="190">
        <f t="shared" si="18"/>
        <v>523</v>
      </c>
      <c r="D163" s="168">
        <f t="shared" si="19"/>
        <v>1</v>
      </c>
      <c r="F163" s="190"/>
      <c r="G163" s="191" t="s">
        <v>4715</v>
      </c>
      <c r="H163" s="190" t="s">
        <v>3484</v>
      </c>
      <c r="I163" s="177">
        <v>112121</v>
      </c>
      <c r="J163" s="177">
        <v>131</v>
      </c>
      <c r="K163" s="165" t="s">
        <v>20</v>
      </c>
      <c r="L163" s="165">
        <v>1</v>
      </c>
      <c r="M163" s="179">
        <v>44501442</v>
      </c>
      <c r="N163" s="179">
        <f t="shared" si="14"/>
        <v>44501442</v>
      </c>
      <c r="Q163" s="177">
        <f t="shared" ref="Q163:Q165" si="21">LEN(H163)</f>
        <v>48</v>
      </c>
    </row>
    <row r="164" spans="1:17" ht="15" hidden="1" customHeight="1" x14ac:dyDescent="0.2">
      <c r="A164" s="20" t="s">
        <v>308</v>
      </c>
      <c r="B164" s="61">
        <v>46050</v>
      </c>
      <c r="C164" s="32">
        <f t="shared" si="18"/>
        <v>524</v>
      </c>
      <c r="D164" s="38">
        <f t="shared" si="19"/>
        <v>1</v>
      </c>
      <c r="G164" s="32" t="s">
        <v>2629</v>
      </c>
      <c r="H164" s="32" t="s">
        <v>4569</v>
      </c>
      <c r="I164" s="20">
        <v>333821</v>
      </c>
      <c r="J164" s="20">
        <v>112121</v>
      </c>
      <c r="K164" s="12" t="s">
        <v>20</v>
      </c>
      <c r="L164" s="12">
        <v>1</v>
      </c>
      <c r="M164" s="34">
        <v>48247507</v>
      </c>
      <c r="N164" s="34">
        <f t="shared" si="14"/>
        <v>48247507</v>
      </c>
      <c r="Q164" s="20">
        <f t="shared" si="21"/>
        <v>31</v>
      </c>
    </row>
    <row r="165" spans="1:17" ht="15" hidden="1" customHeight="1" x14ac:dyDescent="0.2">
      <c r="A165" s="20" t="s">
        <v>309</v>
      </c>
      <c r="B165" s="61">
        <v>46051</v>
      </c>
      <c r="C165" s="32">
        <f t="shared" si="18"/>
        <v>525</v>
      </c>
      <c r="D165" s="38">
        <f t="shared" si="19"/>
        <v>1</v>
      </c>
      <c r="G165" s="32" t="s">
        <v>84</v>
      </c>
      <c r="H165" s="32" t="s">
        <v>4570</v>
      </c>
      <c r="I165" s="20">
        <v>112121</v>
      </c>
      <c r="J165" s="20">
        <v>131</v>
      </c>
      <c r="K165" s="12" t="s">
        <v>20</v>
      </c>
      <c r="L165" s="12">
        <v>1</v>
      </c>
      <c r="M165" s="34">
        <v>15967742</v>
      </c>
      <c r="N165" s="34">
        <f t="shared" si="14"/>
        <v>15967742</v>
      </c>
      <c r="Q165" s="20">
        <f t="shared" si="21"/>
        <v>124</v>
      </c>
    </row>
    <row r="166" spans="1:17" s="177" customFormat="1" ht="15" hidden="1" customHeight="1" x14ac:dyDescent="0.2">
      <c r="A166" s="177" t="s">
        <v>309</v>
      </c>
      <c r="B166" s="178">
        <v>46052</v>
      </c>
      <c r="C166" s="190">
        <f t="shared" si="18"/>
        <v>526</v>
      </c>
      <c r="D166" s="168">
        <f t="shared" si="19"/>
        <v>1</v>
      </c>
      <c r="F166" s="190"/>
      <c r="G166" s="191" t="s">
        <v>4715</v>
      </c>
      <c r="H166" s="190" t="s">
        <v>3484</v>
      </c>
      <c r="I166" s="177">
        <v>112121</v>
      </c>
      <c r="J166" s="177">
        <v>131</v>
      </c>
      <c r="K166" s="165" t="s">
        <v>20</v>
      </c>
      <c r="L166" s="165">
        <v>1</v>
      </c>
      <c r="M166" s="179">
        <v>29274194</v>
      </c>
      <c r="N166" s="179">
        <f t="shared" si="14"/>
        <v>29274194</v>
      </c>
      <c r="Q166" s="177">
        <f t="shared" ref="Q166" si="22">LEN(H166)</f>
        <v>48</v>
      </c>
    </row>
    <row r="167" spans="1:17" ht="15" hidden="1" customHeight="1" x14ac:dyDescent="0.2">
      <c r="A167" s="20" t="s">
        <v>309</v>
      </c>
      <c r="B167" s="61">
        <v>46052</v>
      </c>
      <c r="C167" s="32">
        <f t="shared" si="18"/>
        <v>527</v>
      </c>
      <c r="D167" s="38">
        <f t="shared" si="19"/>
        <v>1</v>
      </c>
      <c r="G167" s="32" t="s">
        <v>56</v>
      </c>
      <c r="H167" s="32" t="s">
        <v>4571</v>
      </c>
      <c r="I167" s="20">
        <v>112121</v>
      </c>
      <c r="J167" s="20">
        <v>131</v>
      </c>
      <c r="K167" s="12" t="s">
        <v>20</v>
      </c>
      <c r="L167" s="12">
        <v>1</v>
      </c>
      <c r="M167" s="34">
        <v>15967742</v>
      </c>
      <c r="N167" s="34">
        <f t="shared" si="14"/>
        <v>15967742</v>
      </c>
      <c r="Q167" s="20">
        <f>LEN(H167)</f>
        <v>147</v>
      </c>
    </row>
    <row r="168" spans="1:17" s="177" customFormat="1" ht="15" hidden="1" customHeight="1" x14ac:dyDescent="0.2">
      <c r="A168" s="177" t="s">
        <v>308</v>
      </c>
      <c r="B168" s="178">
        <v>46052</v>
      </c>
      <c r="C168" s="190">
        <f t="shared" si="18"/>
        <v>528</v>
      </c>
      <c r="D168" s="168">
        <f t="shared" si="19"/>
        <v>1</v>
      </c>
      <c r="F168" s="190"/>
      <c r="G168" s="191" t="s">
        <v>66</v>
      </c>
      <c r="H168" s="190" t="s">
        <v>3032</v>
      </c>
      <c r="I168" s="177">
        <v>1111</v>
      </c>
      <c r="J168" s="177">
        <v>112121</v>
      </c>
      <c r="K168" s="165" t="s">
        <v>20</v>
      </c>
      <c r="L168" s="165">
        <v>1</v>
      </c>
      <c r="M168" s="179">
        <v>27522000</v>
      </c>
      <c r="N168" s="179">
        <f t="shared" si="14"/>
        <v>27522000</v>
      </c>
      <c r="Q168" s="177">
        <f t="shared" ref="Q168:Q182" si="23">LEN(H168)</f>
        <v>40</v>
      </c>
    </row>
    <row r="169" spans="1:17" ht="15" hidden="1" customHeight="1" x14ac:dyDescent="0.2">
      <c r="A169" s="20" t="s">
        <v>309</v>
      </c>
      <c r="B169" s="61">
        <v>46057</v>
      </c>
      <c r="C169" s="32">
        <f t="shared" si="18"/>
        <v>529</v>
      </c>
      <c r="D169" s="38">
        <f t="shared" si="19"/>
        <v>1</v>
      </c>
      <c r="G169" s="32" t="s">
        <v>84</v>
      </c>
      <c r="H169" s="32" t="s">
        <v>4572</v>
      </c>
      <c r="I169" s="20">
        <v>112121</v>
      </c>
      <c r="J169" s="20">
        <v>131</v>
      </c>
      <c r="K169" s="12" t="s">
        <v>20</v>
      </c>
      <c r="L169" s="12">
        <v>1</v>
      </c>
      <c r="M169" s="34">
        <v>13306452</v>
      </c>
      <c r="N169" s="34">
        <f t="shared" si="14"/>
        <v>13306452</v>
      </c>
      <c r="Q169" s="20">
        <f t="shared" si="23"/>
        <v>121</v>
      </c>
    </row>
    <row r="170" spans="1:17" ht="15" hidden="1" customHeight="1" x14ac:dyDescent="0.2">
      <c r="A170" s="20" t="s">
        <v>309</v>
      </c>
      <c r="B170" s="61">
        <v>46057</v>
      </c>
      <c r="C170" s="32">
        <f t="shared" si="18"/>
        <v>530</v>
      </c>
      <c r="D170" s="38">
        <f t="shared" si="19"/>
        <v>1</v>
      </c>
      <c r="G170" s="32" t="s">
        <v>49</v>
      </c>
      <c r="H170" s="32" t="s">
        <v>4573</v>
      </c>
      <c r="I170" s="20">
        <v>112121</v>
      </c>
      <c r="J170" s="20">
        <v>131</v>
      </c>
      <c r="K170" s="12" t="s">
        <v>20</v>
      </c>
      <c r="L170" s="12">
        <v>1</v>
      </c>
      <c r="M170" s="34">
        <v>15967742</v>
      </c>
      <c r="N170" s="34">
        <f t="shared" si="14"/>
        <v>15967742</v>
      </c>
      <c r="Q170" s="20">
        <f t="shared" si="23"/>
        <v>156</v>
      </c>
    </row>
    <row r="171" spans="1:17" ht="15" hidden="1" customHeight="1" x14ac:dyDescent="0.2">
      <c r="A171" s="20" t="s">
        <v>309</v>
      </c>
      <c r="B171" s="61">
        <v>46058</v>
      </c>
      <c r="C171" s="32">
        <f t="shared" si="18"/>
        <v>531</v>
      </c>
      <c r="D171" s="38">
        <f t="shared" si="19"/>
        <v>1</v>
      </c>
      <c r="G171" s="32" t="s">
        <v>58</v>
      </c>
      <c r="H171" s="32" t="s">
        <v>4574</v>
      </c>
      <c r="I171" s="20">
        <v>112121</v>
      </c>
      <c r="J171" s="20">
        <v>131</v>
      </c>
      <c r="K171" s="12" t="s">
        <v>20</v>
      </c>
      <c r="L171" s="12">
        <v>1</v>
      </c>
      <c r="M171" s="34">
        <v>11000000</v>
      </c>
      <c r="N171" s="34">
        <f t="shared" si="14"/>
        <v>11000000</v>
      </c>
      <c r="Q171" s="20">
        <f t="shared" si="23"/>
        <v>122</v>
      </c>
    </row>
    <row r="172" spans="1:17" ht="15" hidden="1" customHeight="1" x14ac:dyDescent="0.2">
      <c r="A172" s="20" t="s">
        <v>309</v>
      </c>
      <c r="B172" s="61">
        <v>46062</v>
      </c>
      <c r="C172" s="32">
        <f t="shared" si="18"/>
        <v>532</v>
      </c>
      <c r="D172" s="38">
        <f t="shared" si="19"/>
        <v>1</v>
      </c>
      <c r="G172" s="32" t="s">
        <v>39</v>
      </c>
      <c r="H172" s="32" t="s">
        <v>3499</v>
      </c>
      <c r="I172" s="20">
        <v>112121</v>
      </c>
      <c r="J172" s="20">
        <v>131</v>
      </c>
      <c r="K172" s="12" t="s">
        <v>20</v>
      </c>
      <c r="L172" s="12">
        <v>1</v>
      </c>
      <c r="M172" s="34">
        <v>34646798</v>
      </c>
      <c r="N172" s="34">
        <f t="shared" si="14"/>
        <v>34646798</v>
      </c>
      <c r="Q172" s="20">
        <f t="shared" si="23"/>
        <v>48</v>
      </c>
    </row>
    <row r="173" spans="1:17" ht="15" hidden="1" customHeight="1" x14ac:dyDescent="0.2">
      <c r="A173" s="20" t="s">
        <v>308</v>
      </c>
      <c r="B173" s="61">
        <v>46062</v>
      </c>
      <c r="C173" s="32">
        <f t="shared" si="18"/>
        <v>533</v>
      </c>
      <c r="D173" s="38">
        <f t="shared" si="19"/>
        <v>1</v>
      </c>
      <c r="G173" s="32" t="s">
        <v>66</v>
      </c>
      <c r="H173" s="32" t="s">
        <v>3032</v>
      </c>
      <c r="I173" s="20">
        <v>1111</v>
      </c>
      <c r="J173" s="20">
        <v>112121</v>
      </c>
      <c r="K173" s="12" t="s">
        <v>20</v>
      </c>
      <c r="L173" s="12">
        <v>1</v>
      </c>
      <c r="M173" s="34">
        <v>100000000</v>
      </c>
      <c r="N173" s="34">
        <f t="shared" si="14"/>
        <v>100000000</v>
      </c>
      <c r="Q173" s="20">
        <f t="shared" si="23"/>
        <v>40</v>
      </c>
    </row>
    <row r="174" spans="1:17" ht="15" hidden="1" customHeight="1" x14ac:dyDescent="0.2">
      <c r="A174" s="20" t="s">
        <v>308</v>
      </c>
      <c r="B174" s="61">
        <v>46063</v>
      </c>
      <c r="C174" s="32">
        <f t="shared" si="18"/>
        <v>534</v>
      </c>
      <c r="D174" s="38">
        <f t="shared" si="19"/>
        <v>1</v>
      </c>
      <c r="G174" s="32" t="s">
        <v>2629</v>
      </c>
      <c r="H174" s="32" t="s">
        <v>2628</v>
      </c>
      <c r="I174" s="20">
        <v>333822</v>
      </c>
      <c r="J174" s="20">
        <v>112121</v>
      </c>
      <c r="K174" s="12" t="s">
        <v>20</v>
      </c>
      <c r="L174" s="12">
        <v>1</v>
      </c>
      <c r="M174" s="34">
        <v>4500000</v>
      </c>
      <c r="N174" s="34">
        <f t="shared" si="14"/>
        <v>4500000</v>
      </c>
      <c r="Q174" s="20">
        <f t="shared" si="23"/>
        <v>28</v>
      </c>
    </row>
    <row r="175" spans="1:17" ht="15" hidden="1" customHeight="1" x14ac:dyDescent="0.2">
      <c r="A175" s="20" t="s">
        <v>309</v>
      </c>
      <c r="B175" s="61">
        <v>46064</v>
      </c>
      <c r="C175" s="32">
        <f t="shared" si="18"/>
        <v>535</v>
      </c>
      <c r="D175" s="38">
        <f t="shared" si="19"/>
        <v>1</v>
      </c>
      <c r="G175" s="32" t="s">
        <v>56</v>
      </c>
      <c r="H175" s="32" t="s">
        <v>4575</v>
      </c>
      <c r="I175" s="20">
        <v>112121</v>
      </c>
      <c r="J175" s="20">
        <v>131</v>
      </c>
      <c r="K175" s="12" t="s">
        <v>20</v>
      </c>
      <c r="L175" s="12">
        <v>1</v>
      </c>
      <c r="M175" s="34">
        <v>13306452</v>
      </c>
      <c r="N175" s="34">
        <f t="shared" si="14"/>
        <v>13306452</v>
      </c>
      <c r="Q175" s="20">
        <f t="shared" si="23"/>
        <v>178</v>
      </c>
    </row>
    <row r="176" spans="1:17" ht="15" hidden="1" customHeight="1" x14ac:dyDescent="0.2">
      <c r="A176" s="20" t="s">
        <v>309</v>
      </c>
      <c r="B176" s="61">
        <v>46065</v>
      </c>
      <c r="C176" s="32">
        <f t="shared" si="18"/>
        <v>536</v>
      </c>
      <c r="D176" s="38">
        <f t="shared" si="19"/>
        <v>1</v>
      </c>
      <c r="G176" s="32" t="s">
        <v>65</v>
      </c>
      <c r="H176" s="32" t="s">
        <v>4576</v>
      </c>
      <c r="I176" s="20">
        <v>112121</v>
      </c>
      <c r="J176" s="20">
        <v>131</v>
      </c>
      <c r="K176" s="12" t="s">
        <v>20</v>
      </c>
      <c r="L176" s="12">
        <v>1</v>
      </c>
      <c r="M176" s="34">
        <v>14903226</v>
      </c>
      <c r="N176" s="34">
        <f t="shared" si="14"/>
        <v>14903226</v>
      </c>
      <c r="Q176" s="20">
        <f t="shared" si="23"/>
        <v>172</v>
      </c>
    </row>
    <row r="177" spans="1:17" ht="15" hidden="1" customHeight="1" x14ac:dyDescent="0.2">
      <c r="A177" s="20" t="s">
        <v>309</v>
      </c>
      <c r="B177" s="61">
        <v>46078</v>
      </c>
      <c r="C177" s="32">
        <f t="shared" si="18"/>
        <v>537</v>
      </c>
      <c r="D177" s="38">
        <f t="shared" si="19"/>
        <v>1</v>
      </c>
      <c r="G177" s="32" t="s">
        <v>66</v>
      </c>
      <c r="H177" s="32" t="s">
        <v>3561</v>
      </c>
      <c r="I177" s="20">
        <v>112121</v>
      </c>
      <c r="J177" s="20">
        <v>5154</v>
      </c>
      <c r="K177" s="12" t="s">
        <v>20</v>
      </c>
      <c r="L177" s="12">
        <v>1</v>
      </c>
      <c r="M177" s="34">
        <v>6000</v>
      </c>
      <c r="N177" s="34">
        <f t="shared" si="14"/>
        <v>6000</v>
      </c>
      <c r="Q177" s="20">
        <f t="shared" si="23"/>
        <v>22</v>
      </c>
    </row>
    <row r="178" spans="1:17" ht="15" hidden="1" customHeight="1" x14ac:dyDescent="0.2">
      <c r="A178" s="20" t="s">
        <v>308</v>
      </c>
      <c r="B178" s="61">
        <v>46080</v>
      </c>
      <c r="C178" s="32">
        <f t="shared" si="18"/>
        <v>538</v>
      </c>
      <c r="D178" s="38">
        <f t="shared" si="19"/>
        <v>1</v>
      </c>
      <c r="G178" s="32" t="s">
        <v>34</v>
      </c>
      <c r="H178" s="32" t="s">
        <v>4577</v>
      </c>
      <c r="I178" s="20">
        <v>1388</v>
      </c>
      <c r="J178" s="20">
        <v>112121</v>
      </c>
      <c r="K178" s="12" t="s">
        <v>20</v>
      </c>
      <c r="L178" s="12">
        <v>1</v>
      </c>
      <c r="M178" s="34">
        <v>8305600</v>
      </c>
      <c r="N178" s="34">
        <f t="shared" si="14"/>
        <v>8305600</v>
      </c>
      <c r="Q178" s="20">
        <f t="shared" si="23"/>
        <v>22</v>
      </c>
    </row>
    <row r="179" spans="1:17" ht="15" hidden="1" customHeight="1" x14ac:dyDescent="0.2">
      <c r="A179" s="20" t="s">
        <v>309</v>
      </c>
      <c r="B179" s="61">
        <v>46080</v>
      </c>
      <c r="C179" s="32">
        <f t="shared" si="18"/>
        <v>539</v>
      </c>
      <c r="D179" s="38">
        <f t="shared" si="19"/>
        <v>1</v>
      </c>
      <c r="G179" s="32" t="s">
        <v>34</v>
      </c>
      <c r="H179" s="32" t="s">
        <v>4578</v>
      </c>
      <c r="I179" s="20">
        <v>112121</v>
      </c>
      <c r="J179" s="20">
        <v>1388</v>
      </c>
      <c r="K179" s="12" t="s">
        <v>20</v>
      </c>
      <c r="L179" s="12">
        <v>1</v>
      </c>
      <c r="M179" s="34">
        <v>8283600</v>
      </c>
      <c r="N179" s="34">
        <f t="shared" si="14"/>
        <v>8283600</v>
      </c>
      <c r="Q179" s="20">
        <f t="shared" si="23"/>
        <v>20</v>
      </c>
    </row>
    <row r="180" spans="1:17" ht="15" hidden="1" customHeight="1" x14ac:dyDescent="0.2">
      <c r="A180" s="20" t="s">
        <v>308</v>
      </c>
      <c r="B180" s="61">
        <v>46081</v>
      </c>
      <c r="C180" s="32">
        <f t="shared" si="18"/>
        <v>540</v>
      </c>
      <c r="D180" s="38">
        <f t="shared" si="19"/>
        <v>1</v>
      </c>
      <c r="G180" s="32" t="s">
        <v>66</v>
      </c>
      <c r="H180" s="32" t="s">
        <v>3032</v>
      </c>
      <c r="I180" s="20">
        <v>1111</v>
      </c>
      <c r="J180" s="20">
        <v>112121</v>
      </c>
      <c r="K180" s="12" t="s">
        <v>20</v>
      </c>
      <c r="L180" s="12">
        <v>1</v>
      </c>
      <c r="M180" s="34">
        <v>8305600</v>
      </c>
      <c r="N180" s="34">
        <f t="shared" si="14"/>
        <v>8305600</v>
      </c>
      <c r="Q180" s="20">
        <f t="shared" si="23"/>
        <v>40</v>
      </c>
    </row>
    <row r="181" spans="1:17" ht="15" hidden="1" customHeight="1" x14ac:dyDescent="0.2">
      <c r="A181" s="20" t="s">
        <v>308</v>
      </c>
      <c r="B181" s="61">
        <v>46084</v>
      </c>
      <c r="C181" s="32">
        <f t="shared" si="18"/>
        <v>540</v>
      </c>
      <c r="D181" s="38">
        <f t="shared" si="19"/>
        <v>0</v>
      </c>
      <c r="G181" s="32" t="s">
        <v>66</v>
      </c>
      <c r="H181" s="32" t="s">
        <v>3032</v>
      </c>
      <c r="I181" s="20">
        <v>1111</v>
      </c>
      <c r="J181" s="20">
        <v>112121</v>
      </c>
      <c r="K181" s="12" t="s">
        <v>20</v>
      </c>
      <c r="L181" s="12">
        <v>1</v>
      </c>
      <c r="M181" s="34">
        <v>121000</v>
      </c>
      <c r="N181" s="34">
        <f t="shared" si="14"/>
        <v>121000</v>
      </c>
      <c r="Q181" s="20">
        <f t="shared" si="23"/>
        <v>40</v>
      </c>
    </row>
    <row r="182" spans="1:17" ht="15" hidden="1" customHeight="1" x14ac:dyDescent="0.2">
      <c r="A182" s="20" t="s">
        <v>309</v>
      </c>
      <c r="B182" s="61">
        <v>46084</v>
      </c>
      <c r="C182" s="32">
        <f t="shared" si="18"/>
        <v>541</v>
      </c>
      <c r="D182" s="38">
        <f t="shared" si="19"/>
        <v>1</v>
      </c>
      <c r="G182" s="164" t="s">
        <v>939</v>
      </c>
      <c r="H182" s="32" t="s">
        <v>4582</v>
      </c>
      <c r="I182" s="20">
        <v>112121</v>
      </c>
      <c r="J182" s="20">
        <v>131</v>
      </c>
      <c r="K182" s="12" t="s">
        <v>20</v>
      </c>
      <c r="L182" s="12">
        <v>1</v>
      </c>
      <c r="M182" s="34">
        <v>22000000</v>
      </c>
      <c r="N182" s="34">
        <f t="shared" si="14"/>
        <v>22000000</v>
      </c>
      <c r="Q182" s="20">
        <f t="shared" si="23"/>
        <v>123</v>
      </c>
    </row>
    <row r="183" spans="1:17" s="177" customFormat="1" ht="15" hidden="1" customHeight="1" x14ac:dyDescent="0.2">
      <c r="A183" s="177" t="s">
        <v>309</v>
      </c>
      <c r="B183" s="178">
        <v>46084</v>
      </c>
      <c r="C183" s="190">
        <f t="shared" si="18"/>
        <v>542</v>
      </c>
      <c r="D183" s="168">
        <f t="shared" si="19"/>
        <v>1</v>
      </c>
      <c r="F183" s="190"/>
      <c r="G183" s="191" t="s">
        <v>4715</v>
      </c>
      <c r="H183" s="190" t="s">
        <v>3484</v>
      </c>
      <c r="I183" s="177">
        <v>112121</v>
      </c>
      <c r="J183" s="177">
        <v>131</v>
      </c>
      <c r="K183" s="165" t="s">
        <v>20</v>
      </c>
      <c r="L183" s="165">
        <v>1</v>
      </c>
      <c r="M183" s="179">
        <v>31676775</v>
      </c>
      <c r="N183" s="179">
        <f t="shared" si="14"/>
        <v>31676775</v>
      </c>
      <c r="Q183" s="177">
        <f t="shared" ref="Q183:Q199" si="24">LEN(H183)</f>
        <v>48</v>
      </c>
    </row>
    <row r="184" spans="1:17" ht="15" hidden="1" customHeight="1" x14ac:dyDescent="0.2">
      <c r="A184" s="20" t="s">
        <v>308</v>
      </c>
      <c r="B184" s="61">
        <v>46085</v>
      </c>
      <c r="C184" s="32">
        <f t="shared" si="18"/>
        <v>543</v>
      </c>
      <c r="D184" s="38">
        <f t="shared" si="19"/>
        <v>1</v>
      </c>
      <c r="G184" s="32" t="s">
        <v>35</v>
      </c>
      <c r="H184" s="32" t="s">
        <v>4579</v>
      </c>
      <c r="I184" s="20">
        <v>331</v>
      </c>
      <c r="J184" s="20">
        <v>112121</v>
      </c>
      <c r="K184" s="12" t="s">
        <v>20</v>
      </c>
      <c r="L184" s="12">
        <v>1</v>
      </c>
      <c r="M184" s="34">
        <v>3262000</v>
      </c>
      <c r="N184" s="34">
        <f t="shared" si="14"/>
        <v>3262000</v>
      </c>
      <c r="Q184" s="20">
        <f t="shared" si="24"/>
        <v>52</v>
      </c>
    </row>
    <row r="185" spans="1:17" ht="15" hidden="1" customHeight="1" x14ac:dyDescent="0.2">
      <c r="A185" s="20" t="s">
        <v>308</v>
      </c>
      <c r="B185" s="61">
        <v>46089</v>
      </c>
      <c r="C185" s="32">
        <f t="shared" si="18"/>
        <v>544</v>
      </c>
      <c r="D185" s="38">
        <f t="shared" si="19"/>
        <v>1</v>
      </c>
      <c r="G185" s="32" t="s">
        <v>66</v>
      </c>
      <c r="H185" s="32" t="s">
        <v>3032</v>
      </c>
      <c r="I185" s="20">
        <v>1111</v>
      </c>
      <c r="J185" s="20">
        <v>112121</v>
      </c>
      <c r="K185" s="12" t="s">
        <v>20</v>
      </c>
      <c r="L185" s="12">
        <v>1</v>
      </c>
      <c r="M185" s="34">
        <v>70000000</v>
      </c>
      <c r="N185" s="34">
        <f t="shared" si="14"/>
        <v>70000000</v>
      </c>
      <c r="Q185" s="20">
        <f t="shared" si="24"/>
        <v>40</v>
      </c>
    </row>
    <row r="186" spans="1:17" ht="15" hidden="1" customHeight="1" x14ac:dyDescent="0.2">
      <c r="A186" s="20" t="s">
        <v>309</v>
      </c>
      <c r="B186" s="61">
        <v>46092</v>
      </c>
      <c r="C186" s="32">
        <f t="shared" si="18"/>
        <v>545</v>
      </c>
      <c r="D186" s="38">
        <f t="shared" si="19"/>
        <v>1</v>
      </c>
      <c r="G186" s="32" t="s">
        <v>49</v>
      </c>
      <c r="H186" s="32" t="s">
        <v>4580</v>
      </c>
      <c r="I186" s="20">
        <v>112121</v>
      </c>
      <c r="J186" s="20">
        <v>131</v>
      </c>
      <c r="K186" s="12" t="s">
        <v>20</v>
      </c>
      <c r="L186" s="12">
        <v>1</v>
      </c>
      <c r="M186" s="34">
        <v>15967742</v>
      </c>
      <c r="N186" s="34">
        <f t="shared" si="14"/>
        <v>15967742</v>
      </c>
      <c r="Q186" s="20">
        <f t="shared" si="24"/>
        <v>153</v>
      </c>
    </row>
    <row r="187" spans="1:17" ht="15" hidden="1" customHeight="1" x14ac:dyDescent="0.2">
      <c r="A187" s="20" t="s">
        <v>309</v>
      </c>
      <c r="B187" s="61">
        <v>46095</v>
      </c>
      <c r="C187" s="32">
        <f t="shared" si="18"/>
        <v>546</v>
      </c>
      <c r="D187" s="38">
        <f t="shared" si="19"/>
        <v>1</v>
      </c>
      <c r="G187" s="32" t="s">
        <v>57</v>
      </c>
      <c r="H187" s="32" t="s">
        <v>4581</v>
      </c>
      <c r="I187" s="20">
        <v>112121</v>
      </c>
      <c r="J187" s="20">
        <v>131</v>
      </c>
      <c r="K187" s="12" t="s">
        <v>20</v>
      </c>
      <c r="L187" s="12">
        <v>1</v>
      </c>
      <c r="M187" s="34">
        <v>13750000</v>
      </c>
      <c r="N187" s="34">
        <f t="shared" si="14"/>
        <v>13750000</v>
      </c>
      <c r="Q187" s="20">
        <f t="shared" si="24"/>
        <v>170</v>
      </c>
    </row>
    <row r="188" spans="1:17" ht="15" hidden="1" customHeight="1" x14ac:dyDescent="0.2">
      <c r="A188" s="20" t="s">
        <v>309</v>
      </c>
      <c r="B188" s="61">
        <v>46098</v>
      </c>
      <c r="C188" s="32">
        <f t="shared" si="18"/>
        <v>547</v>
      </c>
      <c r="D188" s="38">
        <f t="shared" si="19"/>
        <v>1</v>
      </c>
      <c r="G188" s="32" t="s">
        <v>939</v>
      </c>
      <c r="H188" s="32" t="s">
        <v>4582</v>
      </c>
      <c r="I188" s="20">
        <v>112121</v>
      </c>
      <c r="J188" s="20">
        <v>131</v>
      </c>
      <c r="K188" s="12" t="s">
        <v>20</v>
      </c>
      <c r="L188" s="12">
        <v>1</v>
      </c>
      <c r="M188" s="34">
        <v>22000000</v>
      </c>
      <c r="N188" s="34">
        <f t="shared" si="14"/>
        <v>22000000</v>
      </c>
      <c r="Q188" s="20">
        <f t="shared" si="24"/>
        <v>123</v>
      </c>
    </row>
    <row r="189" spans="1:17" ht="15" hidden="1" customHeight="1" x14ac:dyDescent="0.2">
      <c r="A189" s="20" t="s">
        <v>309</v>
      </c>
      <c r="B189" s="61">
        <v>46102</v>
      </c>
      <c r="C189" s="32">
        <f t="shared" si="18"/>
        <v>548</v>
      </c>
      <c r="D189" s="38">
        <f t="shared" si="19"/>
        <v>1</v>
      </c>
      <c r="G189" s="32" t="s">
        <v>39</v>
      </c>
      <c r="H189" s="32" t="s">
        <v>3499</v>
      </c>
      <c r="I189" s="20">
        <v>112121</v>
      </c>
      <c r="J189" s="20">
        <v>131</v>
      </c>
      <c r="K189" s="12" t="s">
        <v>20</v>
      </c>
      <c r="L189" s="12">
        <v>1</v>
      </c>
      <c r="M189" s="34">
        <v>70286754</v>
      </c>
      <c r="N189" s="34">
        <f t="shared" si="14"/>
        <v>70286754</v>
      </c>
      <c r="Q189" s="20">
        <f t="shared" si="24"/>
        <v>48</v>
      </c>
    </row>
    <row r="190" spans="1:17" ht="15" hidden="1" customHeight="1" x14ac:dyDescent="0.2">
      <c r="A190" s="20" t="s">
        <v>308</v>
      </c>
      <c r="B190" s="61">
        <v>46102</v>
      </c>
      <c r="C190" s="32">
        <f t="shared" si="18"/>
        <v>549</v>
      </c>
      <c r="D190" s="38">
        <f t="shared" si="19"/>
        <v>1</v>
      </c>
      <c r="G190" s="32" t="s">
        <v>66</v>
      </c>
      <c r="H190" s="32" t="s">
        <v>4583</v>
      </c>
      <c r="I190" s="20">
        <v>1388</v>
      </c>
      <c r="J190" s="20">
        <v>112121</v>
      </c>
      <c r="K190" s="12" t="s">
        <v>20</v>
      </c>
      <c r="L190" s="12">
        <v>1</v>
      </c>
      <c r="M190" s="34">
        <v>120000000</v>
      </c>
      <c r="N190" s="34">
        <f t="shared" si="14"/>
        <v>120000000</v>
      </c>
      <c r="Q190" s="20">
        <f t="shared" si="24"/>
        <v>17</v>
      </c>
    </row>
    <row r="191" spans="1:17" ht="15" hidden="1" customHeight="1" x14ac:dyDescent="0.2">
      <c r="A191" s="20" t="s">
        <v>309</v>
      </c>
      <c r="B191" s="61">
        <v>46102</v>
      </c>
      <c r="C191" s="32">
        <f t="shared" si="18"/>
        <v>550</v>
      </c>
      <c r="D191" s="38">
        <f t="shared" si="19"/>
        <v>1</v>
      </c>
      <c r="G191" s="32" t="s">
        <v>66</v>
      </c>
      <c r="H191" s="32" t="s">
        <v>4584</v>
      </c>
      <c r="I191" s="20">
        <v>112121</v>
      </c>
      <c r="J191" s="20">
        <v>1388</v>
      </c>
      <c r="K191" s="12" t="s">
        <v>20</v>
      </c>
      <c r="L191" s="12">
        <v>1</v>
      </c>
      <c r="M191" s="34">
        <v>120000000</v>
      </c>
      <c r="N191" s="34">
        <f t="shared" si="14"/>
        <v>120000000</v>
      </c>
      <c r="Q191" s="20">
        <f t="shared" si="24"/>
        <v>31</v>
      </c>
    </row>
    <row r="192" spans="1:17" ht="15" hidden="1" customHeight="1" x14ac:dyDescent="0.2">
      <c r="A192" s="20" t="s">
        <v>308</v>
      </c>
      <c r="B192" s="61">
        <v>46102</v>
      </c>
      <c r="C192" s="32">
        <f t="shared" si="18"/>
        <v>551</v>
      </c>
      <c r="D192" s="38">
        <f t="shared" si="19"/>
        <v>1</v>
      </c>
      <c r="G192" s="32" t="s">
        <v>66</v>
      </c>
      <c r="H192" s="32" t="s">
        <v>3032</v>
      </c>
      <c r="I192" s="20">
        <v>1111</v>
      </c>
      <c r="J192" s="20">
        <v>112121</v>
      </c>
      <c r="K192" s="12" t="s">
        <v>20</v>
      </c>
      <c r="L192" s="12">
        <v>1</v>
      </c>
      <c r="M192" s="34">
        <v>120000000</v>
      </c>
      <c r="N192" s="34">
        <f t="shared" si="14"/>
        <v>120000000</v>
      </c>
      <c r="Q192" s="20">
        <f t="shared" si="24"/>
        <v>40</v>
      </c>
    </row>
    <row r="193" spans="1:17" ht="15" hidden="1" customHeight="1" x14ac:dyDescent="0.2">
      <c r="A193" s="20" t="s">
        <v>309</v>
      </c>
      <c r="B193" s="61">
        <v>46105</v>
      </c>
      <c r="C193" s="32">
        <f t="shared" si="18"/>
        <v>552</v>
      </c>
      <c r="D193" s="38">
        <f t="shared" si="19"/>
        <v>1</v>
      </c>
      <c r="G193" s="164" t="s">
        <v>57</v>
      </c>
      <c r="H193" s="32" t="s">
        <v>4581</v>
      </c>
      <c r="I193" s="20">
        <v>112121</v>
      </c>
      <c r="J193" s="20">
        <v>131</v>
      </c>
      <c r="K193" s="12" t="s">
        <v>20</v>
      </c>
      <c r="L193" s="12">
        <v>1</v>
      </c>
      <c r="M193" s="34">
        <v>13750000</v>
      </c>
      <c r="N193" s="34">
        <f t="shared" si="14"/>
        <v>13750000</v>
      </c>
      <c r="Q193" s="20">
        <f t="shared" si="24"/>
        <v>170</v>
      </c>
    </row>
    <row r="194" spans="1:17" ht="15" hidden="1" customHeight="1" x14ac:dyDescent="0.2">
      <c r="A194" s="20" t="s">
        <v>309</v>
      </c>
      <c r="B194" s="61">
        <v>46105</v>
      </c>
      <c r="C194" s="32">
        <f t="shared" si="18"/>
        <v>553</v>
      </c>
      <c r="D194" s="38">
        <f t="shared" si="19"/>
        <v>1</v>
      </c>
      <c r="G194" s="164" t="s">
        <v>84</v>
      </c>
      <c r="H194" s="32" t="s">
        <v>4710</v>
      </c>
      <c r="I194" s="20">
        <v>112121</v>
      </c>
      <c r="J194" s="20">
        <v>131</v>
      </c>
      <c r="K194" s="12" t="s">
        <v>20</v>
      </c>
      <c r="L194" s="12">
        <v>1</v>
      </c>
      <c r="M194" s="34">
        <v>6600000</v>
      </c>
      <c r="N194" s="34">
        <f t="shared" si="14"/>
        <v>6600000</v>
      </c>
      <c r="Q194" s="20">
        <f t="shared" si="24"/>
        <v>107</v>
      </c>
    </row>
    <row r="195" spans="1:17" ht="15" hidden="1" customHeight="1" x14ac:dyDescent="0.2">
      <c r="A195" s="20" t="s">
        <v>309</v>
      </c>
      <c r="B195" s="61">
        <v>46105</v>
      </c>
      <c r="C195" s="32">
        <f t="shared" si="18"/>
        <v>554</v>
      </c>
      <c r="D195" s="38">
        <f t="shared" si="19"/>
        <v>1</v>
      </c>
      <c r="G195" s="164" t="s">
        <v>26</v>
      </c>
      <c r="H195" s="32" t="s">
        <v>4711</v>
      </c>
      <c r="I195" s="20">
        <v>112121</v>
      </c>
      <c r="J195" s="20">
        <v>131</v>
      </c>
      <c r="K195" s="12" t="s">
        <v>20</v>
      </c>
      <c r="L195" s="12">
        <v>1</v>
      </c>
      <c r="M195" s="34">
        <v>7700000</v>
      </c>
      <c r="N195" s="34">
        <f t="shared" ref="N195:N199" si="25">L195*M195</f>
        <v>7700000</v>
      </c>
      <c r="Q195" s="20">
        <f t="shared" si="24"/>
        <v>104</v>
      </c>
    </row>
    <row r="196" spans="1:17" ht="15" hidden="1" customHeight="1" x14ac:dyDescent="0.2">
      <c r="A196" s="20" t="s">
        <v>309</v>
      </c>
      <c r="B196" s="61">
        <v>46105</v>
      </c>
      <c r="C196" s="32">
        <f t="shared" si="18"/>
        <v>555</v>
      </c>
      <c r="D196" s="38">
        <f t="shared" si="19"/>
        <v>1</v>
      </c>
      <c r="G196" s="164" t="s">
        <v>4025</v>
      </c>
      <c r="H196" s="32" t="s">
        <v>4713</v>
      </c>
      <c r="I196" s="20">
        <v>112121</v>
      </c>
      <c r="J196" s="20">
        <v>131</v>
      </c>
      <c r="K196" s="12" t="s">
        <v>20</v>
      </c>
      <c r="L196" s="12">
        <v>1</v>
      </c>
      <c r="M196" s="34">
        <v>15967742</v>
      </c>
      <c r="N196" s="34">
        <f t="shared" si="25"/>
        <v>15967742</v>
      </c>
      <c r="Q196" s="20">
        <f t="shared" si="24"/>
        <v>134</v>
      </c>
    </row>
    <row r="197" spans="1:17" ht="15" hidden="1" customHeight="1" x14ac:dyDescent="0.2">
      <c r="A197" s="20" t="s">
        <v>309</v>
      </c>
      <c r="B197" s="61">
        <v>46106</v>
      </c>
      <c r="C197" s="32">
        <f t="shared" si="18"/>
        <v>556</v>
      </c>
      <c r="D197" s="38">
        <f t="shared" si="19"/>
        <v>1</v>
      </c>
      <c r="G197" s="164" t="s">
        <v>285</v>
      </c>
      <c r="H197" s="32" t="s">
        <v>4712</v>
      </c>
      <c r="I197" s="20">
        <v>112121</v>
      </c>
      <c r="J197" s="20">
        <v>131</v>
      </c>
      <c r="K197" s="12" t="s">
        <v>20</v>
      </c>
      <c r="L197" s="12">
        <v>1</v>
      </c>
      <c r="M197" s="34">
        <v>13306451</v>
      </c>
      <c r="N197" s="34">
        <f t="shared" si="25"/>
        <v>13306451</v>
      </c>
      <c r="Q197" s="20">
        <f t="shared" si="24"/>
        <v>162</v>
      </c>
    </row>
    <row r="198" spans="1:17" ht="15" hidden="1" customHeight="1" x14ac:dyDescent="0.2">
      <c r="A198" s="20" t="s">
        <v>309</v>
      </c>
      <c r="B198" s="61">
        <v>46106</v>
      </c>
      <c r="C198" s="32">
        <f t="shared" si="18"/>
        <v>557</v>
      </c>
      <c r="D198" s="38">
        <f t="shared" si="19"/>
        <v>1</v>
      </c>
      <c r="G198" s="32" t="s">
        <v>66</v>
      </c>
      <c r="H198" s="32" t="s">
        <v>3561</v>
      </c>
      <c r="I198" s="20">
        <v>112121</v>
      </c>
      <c r="J198" s="20">
        <v>5154</v>
      </c>
      <c r="K198" s="12" t="s">
        <v>20</v>
      </c>
      <c r="L198" s="12">
        <v>1</v>
      </c>
      <c r="M198" s="34">
        <v>5554</v>
      </c>
      <c r="N198" s="34">
        <f t="shared" si="25"/>
        <v>5554</v>
      </c>
      <c r="Q198" s="20">
        <f t="shared" si="24"/>
        <v>22</v>
      </c>
    </row>
    <row r="199" spans="1:17" ht="15" hidden="1" customHeight="1" x14ac:dyDescent="0.2">
      <c r="A199" s="20" t="s">
        <v>308</v>
      </c>
      <c r="B199" s="61">
        <v>46112</v>
      </c>
      <c r="C199" s="32">
        <f t="shared" si="18"/>
        <v>558</v>
      </c>
      <c r="D199" s="38">
        <f t="shared" si="19"/>
        <v>1</v>
      </c>
      <c r="G199" s="32" t="s">
        <v>35</v>
      </c>
      <c r="H199" s="32" t="s">
        <v>4585</v>
      </c>
      <c r="I199" s="20">
        <v>331</v>
      </c>
      <c r="J199" s="20">
        <v>112121</v>
      </c>
      <c r="K199" s="12" t="s">
        <v>20</v>
      </c>
      <c r="L199" s="12">
        <v>1</v>
      </c>
      <c r="M199" s="34">
        <v>3262000</v>
      </c>
      <c r="N199" s="34">
        <f t="shared" si="25"/>
        <v>3262000</v>
      </c>
      <c r="Q199" s="20">
        <f t="shared" si="24"/>
        <v>53</v>
      </c>
    </row>
  </sheetData>
  <autoFilter ref="A3:Q199" xr:uid="{00000000-0009-0000-0000-00000F000000}">
    <filterColumn colId="8">
      <filters>
        <filter val="333821"/>
      </filters>
    </filterColumn>
    <filterColumn colId="9">
      <filters>
        <filter val="131"/>
      </filters>
    </filterColumn>
  </autoFilter>
  <mergeCells count="13">
    <mergeCell ref="F1:F2"/>
    <mergeCell ref="A1:A2"/>
    <mergeCell ref="B1:B2"/>
    <mergeCell ref="C1:C2"/>
    <mergeCell ref="D1:D2"/>
    <mergeCell ref="E1:E2"/>
    <mergeCell ref="N1:N2"/>
    <mergeCell ref="G1:G2"/>
    <mergeCell ref="H1:H2"/>
    <mergeCell ref="I1:J1"/>
    <mergeCell ref="K1:K2"/>
    <mergeCell ref="L1:L2"/>
    <mergeCell ref="M1:M2"/>
  </mergeCells>
  <hyperlinks>
    <hyperlink ref="P1" location="Summary!A1" display="Back to summary" xr:uid="{00000000-0004-0000-0F00-000000000000}"/>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B177"/>
  <sheetViews>
    <sheetView workbookViewId="0">
      <selection activeCell="P1" sqref="P1"/>
    </sheetView>
  </sheetViews>
  <sheetFormatPr defaultRowHeight="15" customHeight="1" x14ac:dyDescent="0.2"/>
  <cols>
    <col min="1" max="1" width="9.140625" style="12"/>
    <col min="2" max="2" width="9.140625" style="36"/>
    <col min="3" max="6" width="9.140625" style="12"/>
    <col min="7" max="7" width="9.140625" style="14"/>
    <col min="8" max="8" width="28.28515625" style="12" customWidth="1"/>
    <col min="9" max="12" width="9.140625" style="12"/>
    <col min="13" max="14" width="10.7109375" style="17" bestFit="1" customWidth="1"/>
    <col min="15" max="17" width="9.140625" style="12"/>
    <col min="18" max="18" width="10.85546875" style="12" bestFit="1" customWidth="1"/>
    <col min="19" max="20" width="9.5703125" style="12" bestFit="1" customWidth="1"/>
    <col min="21" max="25" width="9.140625" style="12"/>
    <col min="26" max="28" width="9.140625" style="14"/>
    <col min="29" max="16384" width="9.140625" style="12"/>
  </cols>
  <sheetData>
    <row r="1" spans="1:20" ht="15" customHeight="1" thickBot="1" x14ac:dyDescent="0.25">
      <c r="A1" s="247" t="s">
        <v>0</v>
      </c>
      <c r="B1" s="219" t="s">
        <v>1</v>
      </c>
      <c r="C1" s="247" t="s">
        <v>2</v>
      </c>
      <c r="D1" s="249" t="s">
        <v>3</v>
      </c>
      <c r="E1" s="249" t="s">
        <v>4</v>
      </c>
      <c r="F1" s="249" t="s">
        <v>5</v>
      </c>
      <c r="G1" s="241" t="s">
        <v>6</v>
      </c>
      <c r="H1" s="243" t="s">
        <v>7</v>
      </c>
      <c r="I1" s="245" t="s">
        <v>8</v>
      </c>
      <c r="J1" s="246"/>
      <c r="K1" s="247" t="s">
        <v>9</v>
      </c>
      <c r="L1" s="247" t="s">
        <v>10</v>
      </c>
      <c r="M1" s="254" t="s">
        <v>76</v>
      </c>
      <c r="N1" s="254" t="s">
        <v>77</v>
      </c>
      <c r="O1" s="45" t="s">
        <v>78</v>
      </c>
      <c r="P1" s="146" t="s">
        <v>356</v>
      </c>
    </row>
    <row r="2" spans="1:20" ht="15" customHeight="1" thickBot="1" x14ac:dyDescent="0.25">
      <c r="A2" s="248"/>
      <c r="B2" s="220"/>
      <c r="C2" s="248"/>
      <c r="D2" s="253"/>
      <c r="E2" s="253"/>
      <c r="F2" s="250"/>
      <c r="G2" s="242"/>
      <c r="H2" s="244"/>
      <c r="I2" s="46" t="s">
        <v>13</v>
      </c>
      <c r="J2" s="47" t="s">
        <v>14</v>
      </c>
      <c r="K2" s="248"/>
      <c r="L2" s="248"/>
      <c r="M2" s="255"/>
      <c r="N2" s="255"/>
      <c r="O2" s="38" t="s">
        <v>78</v>
      </c>
      <c r="P2" s="38"/>
    </row>
    <row r="3" spans="1:20" ht="15" customHeight="1" x14ac:dyDescent="0.2">
      <c r="A3" s="48"/>
      <c r="B3" s="81"/>
      <c r="C3" s="121">
        <v>140</v>
      </c>
      <c r="D3" s="122">
        <v>38</v>
      </c>
      <c r="E3" s="49"/>
      <c r="F3" s="49"/>
      <c r="G3" s="51" t="s">
        <v>15</v>
      </c>
      <c r="H3" s="52"/>
      <c r="I3" s="52"/>
      <c r="J3" s="52"/>
      <c r="K3" s="48"/>
      <c r="L3" s="48"/>
      <c r="M3" s="82"/>
      <c r="N3" s="82"/>
      <c r="O3" s="38" t="s">
        <v>16</v>
      </c>
      <c r="P3" s="38" t="s">
        <v>17</v>
      </c>
    </row>
    <row r="4" spans="1:20" ht="15" customHeight="1" x14ac:dyDescent="0.2">
      <c r="A4" s="12" t="s">
        <v>18</v>
      </c>
      <c r="B4" s="36">
        <v>46053</v>
      </c>
      <c r="C4" s="87">
        <f t="shared" ref="C4:C41" si="0">C3+D4</f>
        <v>141</v>
      </c>
      <c r="D4" s="38">
        <f t="shared" ref="D4:D67" si="1">IF(H4=H3,0,1)</f>
        <v>1</v>
      </c>
      <c r="G4" s="14" t="s">
        <v>71</v>
      </c>
      <c r="H4" s="12" t="s">
        <v>369</v>
      </c>
      <c r="I4" s="12">
        <v>64271</v>
      </c>
      <c r="J4" s="12">
        <v>3383</v>
      </c>
      <c r="K4" s="12" t="s">
        <v>20</v>
      </c>
      <c r="L4" s="12">
        <v>1</v>
      </c>
      <c r="M4" s="17">
        <v>690300</v>
      </c>
      <c r="N4" s="17">
        <f t="shared" ref="N4:N41" si="2">L4*M4</f>
        <v>690300</v>
      </c>
      <c r="R4" s="84"/>
      <c r="T4" s="84"/>
    </row>
    <row r="5" spans="1:20" ht="15" customHeight="1" x14ac:dyDescent="0.2">
      <c r="A5" s="12" t="s">
        <v>18</v>
      </c>
      <c r="B5" s="36">
        <v>46053</v>
      </c>
      <c r="C5" s="87">
        <f t="shared" si="0"/>
        <v>142</v>
      </c>
      <c r="D5" s="38">
        <f t="shared" si="1"/>
        <v>1</v>
      </c>
      <c r="G5" s="14" t="s">
        <v>71</v>
      </c>
      <c r="H5" s="12" t="s">
        <v>372</v>
      </c>
      <c r="I5" s="12">
        <v>64271</v>
      </c>
      <c r="J5" s="12">
        <v>3383</v>
      </c>
      <c r="K5" s="12" t="s">
        <v>20</v>
      </c>
      <c r="L5" s="12">
        <v>1</v>
      </c>
      <c r="M5" s="17">
        <v>4800000</v>
      </c>
      <c r="N5" s="17">
        <f t="shared" si="2"/>
        <v>4800000</v>
      </c>
      <c r="R5" s="84"/>
      <c r="T5" s="84"/>
    </row>
    <row r="6" spans="1:20" ht="15" customHeight="1" x14ac:dyDescent="0.2">
      <c r="A6" s="12" t="s">
        <v>18</v>
      </c>
      <c r="B6" s="36">
        <v>46081</v>
      </c>
      <c r="C6" s="87">
        <f t="shared" si="0"/>
        <v>143</v>
      </c>
      <c r="D6" s="38">
        <f t="shared" si="1"/>
        <v>1</v>
      </c>
      <c r="G6" s="14" t="s">
        <v>71</v>
      </c>
      <c r="H6" s="12" t="s">
        <v>370</v>
      </c>
      <c r="I6" s="12">
        <v>64271</v>
      </c>
      <c r="J6" s="12">
        <v>3383</v>
      </c>
      <c r="K6" s="12" t="s">
        <v>20</v>
      </c>
      <c r="L6" s="12">
        <v>1</v>
      </c>
      <c r="M6" s="17">
        <v>690300</v>
      </c>
      <c r="N6" s="17">
        <f t="shared" si="2"/>
        <v>690300</v>
      </c>
      <c r="T6" s="84"/>
    </row>
    <row r="7" spans="1:20" ht="15" customHeight="1" x14ac:dyDescent="0.2">
      <c r="A7" s="12" t="s">
        <v>18</v>
      </c>
      <c r="B7" s="36">
        <v>46081</v>
      </c>
      <c r="C7" s="87">
        <f t="shared" si="0"/>
        <v>144</v>
      </c>
      <c r="D7" s="38">
        <f t="shared" si="1"/>
        <v>1</v>
      </c>
      <c r="G7" s="14" t="s">
        <v>71</v>
      </c>
      <c r="H7" s="12" t="s">
        <v>373</v>
      </c>
      <c r="I7" s="12">
        <v>64271</v>
      </c>
      <c r="J7" s="12">
        <v>3383</v>
      </c>
      <c r="K7" s="12" t="s">
        <v>20</v>
      </c>
      <c r="L7" s="12">
        <v>1</v>
      </c>
      <c r="M7" s="17">
        <v>4800000</v>
      </c>
      <c r="N7" s="17">
        <f t="shared" si="2"/>
        <v>4800000</v>
      </c>
    </row>
    <row r="8" spans="1:20" ht="15" customHeight="1" x14ac:dyDescent="0.2">
      <c r="A8" s="12" t="s">
        <v>18</v>
      </c>
      <c r="B8" s="36">
        <v>46112</v>
      </c>
      <c r="C8" s="87">
        <f t="shared" si="0"/>
        <v>145</v>
      </c>
      <c r="D8" s="38">
        <f t="shared" si="1"/>
        <v>1</v>
      </c>
      <c r="G8" s="14" t="s">
        <v>71</v>
      </c>
      <c r="H8" s="12" t="s">
        <v>371</v>
      </c>
      <c r="I8" s="12">
        <v>64271</v>
      </c>
      <c r="J8" s="12">
        <v>3383</v>
      </c>
      <c r="K8" s="12" t="s">
        <v>20</v>
      </c>
      <c r="L8" s="12">
        <v>1</v>
      </c>
      <c r="M8" s="17">
        <v>690300</v>
      </c>
      <c r="N8" s="17">
        <f t="shared" si="2"/>
        <v>690300</v>
      </c>
    </row>
    <row r="9" spans="1:20" ht="15" customHeight="1" x14ac:dyDescent="0.2">
      <c r="A9" s="12" t="s">
        <v>18</v>
      </c>
      <c r="B9" s="36">
        <v>46112</v>
      </c>
      <c r="C9" s="87">
        <f t="shared" si="0"/>
        <v>146</v>
      </c>
      <c r="D9" s="38">
        <f t="shared" si="1"/>
        <v>1</v>
      </c>
      <c r="G9" s="14" t="s">
        <v>71</v>
      </c>
      <c r="H9" s="12" t="s">
        <v>368</v>
      </c>
      <c r="I9" s="12">
        <v>64271</v>
      </c>
      <c r="J9" s="12">
        <v>3383</v>
      </c>
      <c r="K9" s="12" t="s">
        <v>20</v>
      </c>
      <c r="L9" s="12">
        <v>1</v>
      </c>
      <c r="M9" s="17">
        <v>4800000</v>
      </c>
      <c r="N9" s="17">
        <f t="shared" si="2"/>
        <v>4800000</v>
      </c>
    </row>
    <row r="10" spans="1:20" ht="15" customHeight="1" x14ac:dyDescent="0.2">
      <c r="A10" s="12" t="s">
        <v>18</v>
      </c>
      <c r="B10" s="36">
        <v>46028</v>
      </c>
      <c r="C10" s="87">
        <f t="shared" si="0"/>
        <v>147</v>
      </c>
      <c r="D10" s="38">
        <f t="shared" si="1"/>
        <v>1</v>
      </c>
      <c r="G10" s="14" t="s">
        <v>1538</v>
      </c>
      <c r="H10" s="12" t="s">
        <v>1635</v>
      </c>
      <c r="I10" s="12">
        <v>64277</v>
      </c>
      <c r="J10" s="12">
        <v>331</v>
      </c>
      <c r="K10" s="12" t="s">
        <v>20</v>
      </c>
      <c r="L10" s="12">
        <v>1</v>
      </c>
      <c r="M10" s="17">
        <v>3000000</v>
      </c>
      <c r="N10" s="17">
        <f t="shared" si="2"/>
        <v>3000000</v>
      </c>
    </row>
    <row r="11" spans="1:20" ht="15" customHeight="1" x14ac:dyDescent="0.2">
      <c r="A11" s="12" t="s">
        <v>18</v>
      </c>
      <c r="B11" s="36">
        <v>46028</v>
      </c>
      <c r="C11" s="87">
        <f t="shared" ref="C11:C12" si="3">C10+D11</f>
        <v>147</v>
      </c>
      <c r="D11" s="38">
        <f t="shared" si="1"/>
        <v>0</v>
      </c>
      <c r="G11" s="14" t="s">
        <v>1538</v>
      </c>
      <c r="H11" s="12" t="s">
        <v>1635</v>
      </c>
      <c r="I11" s="12">
        <v>1331</v>
      </c>
      <c r="J11" s="12">
        <v>331</v>
      </c>
      <c r="K11" s="12" t="s">
        <v>20</v>
      </c>
      <c r="L11" s="12">
        <v>1</v>
      </c>
      <c r="M11" s="17">
        <v>240000</v>
      </c>
      <c r="N11" s="17">
        <f t="shared" ref="N11" si="4">L11*M11</f>
        <v>240000</v>
      </c>
    </row>
    <row r="12" spans="1:20" ht="15" customHeight="1" x14ac:dyDescent="0.2">
      <c r="A12" s="12" t="s">
        <v>310</v>
      </c>
      <c r="B12" s="36">
        <v>46028</v>
      </c>
      <c r="C12" s="87">
        <f t="shared" si="3"/>
        <v>147</v>
      </c>
      <c r="D12" s="38">
        <f t="shared" si="1"/>
        <v>0</v>
      </c>
      <c r="G12" s="14" t="s">
        <v>1538</v>
      </c>
      <c r="H12" s="12" t="s">
        <v>1635</v>
      </c>
      <c r="I12" s="12">
        <v>331</v>
      </c>
      <c r="J12" s="12">
        <v>1111</v>
      </c>
      <c r="K12" s="12" t="s">
        <v>20</v>
      </c>
      <c r="L12" s="12">
        <v>1</v>
      </c>
      <c r="M12" s="17">
        <v>3240000</v>
      </c>
      <c r="N12" s="17">
        <f t="shared" si="2"/>
        <v>3240000</v>
      </c>
    </row>
    <row r="13" spans="1:20" ht="15" customHeight="1" x14ac:dyDescent="0.2">
      <c r="A13" s="12" t="s">
        <v>18</v>
      </c>
      <c r="B13" s="36">
        <v>46053</v>
      </c>
      <c r="C13" s="87">
        <f t="shared" si="0"/>
        <v>148</v>
      </c>
      <c r="D13" s="38">
        <f t="shared" si="1"/>
        <v>1</v>
      </c>
      <c r="G13" s="14" t="s">
        <v>1636</v>
      </c>
      <c r="H13" s="12" t="s">
        <v>1637</v>
      </c>
      <c r="I13" s="12">
        <v>64277</v>
      </c>
      <c r="J13" s="12">
        <v>331</v>
      </c>
      <c r="K13" s="12" t="s">
        <v>20</v>
      </c>
      <c r="L13" s="12">
        <v>1</v>
      </c>
      <c r="M13" s="17">
        <v>242727</v>
      </c>
      <c r="N13" s="17">
        <f t="shared" si="2"/>
        <v>242727</v>
      </c>
    </row>
    <row r="14" spans="1:20" ht="15" customHeight="1" x14ac:dyDescent="0.2">
      <c r="A14" s="12" t="s">
        <v>18</v>
      </c>
      <c r="B14" s="36">
        <v>46053</v>
      </c>
      <c r="C14" s="87">
        <f t="shared" si="0"/>
        <v>148</v>
      </c>
      <c r="D14" s="38">
        <f t="shared" si="1"/>
        <v>0</v>
      </c>
      <c r="G14" s="14" t="s">
        <v>1636</v>
      </c>
      <c r="H14" s="12" t="s">
        <v>1637</v>
      </c>
      <c r="I14" s="12">
        <v>1331</v>
      </c>
      <c r="J14" s="12">
        <v>331</v>
      </c>
      <c r="K14" s="12" t="s">
        <v>20</v>
      </c>
      <c r="L14" s="12">
        <v>1</v>
      </c>
      <c r="M14" s="17">
        <v>22873</v>
      </c>
      <c r="N14" s="17">
        <f t="shared" si="2"/>
        <v>22873</v>
      </c>
    </row>
    <row r="15" spans="1:20" ht="15" customHeight="1" x14ac:dyDescent="0.2">
      <c r="A15" s="12" t="s">
        <v>310</v>
      </c>
      <c r="B15" s="36">
        <v>46053</v>
      </c>
      <c r="C15" s="87">
        <f t="shared" si="0"/>
        <v>148</v>
      </c>
      <c r="D15" s="38">
        <f t="shared" si="1"/>
        <v>0</v>
      </c>
      <c r="G15" s="14" t="s">
        <v>1636</v>
      </c>
      <c r="H15" s="12" t="s">
        <v>1637</v>
      </c>
      <c r="I15" s="12">
        <v>331</v>
      </c>
      <c r="J15" s="12">
        <v>1111</v>
      </c>
      <c r="K15" s="12" t="s">
        <v>20</v>
      </c>
      <c r="L15" s="12">
        <v>1</v>
      </c>
      <c r="M15" s="17">
        <v>265600</v>
      </c>
      <c r="N15" s="17">
        <f t="shared" si="2"/>
        <v>265600</v>
      </c>
    </row>
    <row r="16" spans="1:20" ht="15" customHeight="1" x14ac:dyDescent="0.2">
      <c r="A16" s="12" t="s">
        <v>18</v>
      </c>
      <c r="B16" s="36">
        <v>46054</v>
      </c>
      <c r="C16" s="87">
        <f t="shared" si="0"/>
        <v>149</v>
      </c>
      <c r="D16" s="38">
        <f t="shared" si="1"/>
        <v>1</v>
      </c>
      <c r="G16" s="14" t="s">
        <v>1538</v>
      </c>
      <c r="H16" s="12" t="s">
        <v>1638</v>
      </c>
      <c r="I16" s="12">
        <v>64277</v>
      </c>
      <c r="J16" s="12">
        <v>331</v>
      </c>
      <c r="K16" s="12" t="s">
        <v>20</v>
      </c>
      <c r="L16" s="12">
        <v>1</v>
      </c>
      <c r="M16" s="17">
        <v>3000000</v>
      </c>
      <c r="N16" s="17">
        <f t="shared" si="2"/>
        <v>3000000</v>
      </c>
    </row>
    <row r="17" spans="1:14" ht="15" customHeight="1" x14ac:dyDescent="0.2">
      <c r="A17" s="12" t="s">
        <v>18</v>
      </c>
      <c r="B17" s="36">
        <v>46054</v>
      </c>
      <c r="C17" s="87">
        <f t="shared" si="0"/>
        <v>149</v>
      </c>
      <c r="D17" s="38">
        <f t="shared" si="1"/>
        <v>0</v>
      </c>
      <c r="G17" s="14" t="s">
        <v>1538</v>
      </c>
      <c r="H17" s="12" t="s">
        <v>1638</v>
      </c>
      <c r="I17" s="12">
        <v>1331</v>
      </c>
      <c r="J17" s="12">
        <v>331</v>
      </c>
      <c r="K17" s="12" t="s">
        <v>20</v>
      </c>
      <c r="L17" s="12">
        <v>1</v>
      </c>
      <c r="M17" s="17">
        <v>240000</v>
      </c>
      <c r="N17" s="17">
        <f t="shared" si="2"/>
        <v>240000</v>
      </c>
    </row>
    <row r="18" spans="1:14" ht="15" customHeight="1" x14ac:dyDescent="0.2">
      <c r="A18" s="12" t="s">
        <v>310</v>
      </c>
      <c r="B18" s="36">
        <v>46054</v>
      </c>
      <c r="C18" s="87">
        <f t="shared" si="0"/>
        <v>149</v>
      </c>
      <c r="D18" s="38">
        <f t="shared" si="1"/>
        <v>0</v>
      </c>
      <c r="G18" s="14" t="s">
        <v>1538</v>
      </c>
      <c r="H18" s="12" t="s">
        <v>1638</v>
      </c>
      <c r="I18" s="12">
        <v>331</v>
      </c>
      <c r="J18" s="12">
        <v>1111</v>
      </c>
      <c r="K18" s="12" t="s">
        <v>20</v>
      </c>
      <c r="L18" s="12">
        <v>1</v>
      </c>
      <c r="M18" s="17">
        <v>3240000</v>
      </c>
      <c r="N18" s="17">
        <f t="shared" si="2"/>
        <v>3240000</v>
      </c>
    </row>
    <row r="19" spans="1:14" ht="15" customHeight="1" x14ac:dyDescent="0.2">
      <c r="A19" s="12" t="s">
        <v>18</v>
      </c>
      <c r="B19" s="36">
        <v>46056</v>
      </c>
      <c r="C19" s="87">
        <f t="shared" si="0"/>
        <v>150</v>
      </c>
      <c r="D19" s="38">
        <f t="shared" si="1"/>
        <v>1</v>
      </c>
      <c r="G19" s="14" t="s">
        <v>1639</v>
      </c>
      <c r="H19" s="12" t="s">
        <v>1640</v>
      </c>
      <c r="I19" s="12">
        <v>64277</v>
      </c>
      <c r="J19" s="12">
        <v>331</v>
      </c>
      <c r="K19" s="12" t="s">
        <v>20</v>
      </c>
      <c r="L19" s="12">
        <v>1</v>
      </c>
      <c r="M19" s="17">
        <v>1354000</v>
      </c>
      <c r="N19" s="17">
        <f t="shared" si="2"/>
        <v>1354000</v>
      </c>
    </row>
    <row r="20" spans="1:14" ht="15" customHeight="1" x14ac:dyDescent="0.2">
      <c r="A20" s="12" t="s">
        <v>18</v>
      </c>
      <c r="B20" s="36">
        <v>46056</v>
      </c>
      <c r="C20" s="87">
        <f t="shared" si="0"/>
        <v>150</v>
      </c>
      <c r="D20" s="38">
        <f t="shared" si="1"/>
        <v>0</v>
      </c>
      <c r="G20" s="14" t="s">
        <v>1639</v>
      </c>
      <c r="H20" s="12" t="s">
        <v>1640</v>
      </c>
      <c r="I20" s="12">
        <v>1331</v>
      </c>
      <c r="J20" s="12">
        <v>331</v>
      </c>
      <c r="K20" s="12" t="s">
        <v>20</v>
      </c>
      <c r="L20" s="12">
        <v>1</v>
      </c>
      <c r="M20" s="17">
        <v>108320</v>
      </c>
      <c r="N20" s="17">
        <f t="shared" si="2"/>
        <v>108320</v>
      </c>
    </row>
    <row r="21" spans="1:14" ht="15" customHeight="1" x14ac:dyDescent="0.2">
      <c r="A21" s="12" t="s">
        <v>310</v>
      </c>
      <c r="B21" s="36">
        <v>46056</v>
      </c>
      <c r="C21" s="87">
        <f t="shared" si="0"/>
        <v>150</v>
      </c>
      <c r="D21" s="38">
        <f t="shared" si="1"/>
        <v>0</v>
      </c>
      <c r="G21" s="14" t="s">
        <v>1639</v>
      </c>
      <c r="H21" s="12" t="s">
        <v>1640</v>
      </c>
      <c r="I21" s="12">
        <v>331</v>
      </c>
      <c r="J21" s="12">
        <v>1111</v>
      </c>
      <c r="K21" s="12" t="s">
        <v>20</v>
      </c>
      <c r="L21" s="12">
        <v>1</v>
      </c>
      <c r="M21" s="17">
        <v>1462320</v>
      </c>
      <c r="N21" s="17">
        <f t="shared" si="2"/>
        <v>1462320</v>
      </c>
    </row>
    <row r="22" spans="1:14" ht="15" customHeight="1" x14ac:dyDescent="0.2">
      <c r="A22" s="12" t="s">
        <v>18</v>
      </c>
      <c r="B22" s="36">
        <v>46058</v>
      </c>
      <c r="C22" s="87">
        <f t="shared" si="0"/>
        <v>151</v>
      </c>
      <c r="D22" s="38">
        <f t="shared" si="1"/>
        <v>1</v>
      </c>
      <c r="G22" s="14" t="s">
        <v>1639</v>
      </c>
      <c r="H22" s="12" t="s">
        <v>1641</v>
      </c>
      <c r="I22" s="12">
        <v>64277</v>
      </c>
      <c r="J22" s="12">
        <v>331</v>
      </c>
      <c r="K22" s="12" t="s">
        <v>20</v>
      </c>
      <c r="L22" s="12">
        <v>1</v>
      </c>
      <c r="M22" s="17">
        <v>1354000</v>
      </c>
      <c r="N22" s="17">
        <f t="shared" si="2"/>
        <v>1354000</v>
      </c>
    </row>
    <row r="23" spans="1:14" ht="15" customHeight="1" x14ac:dyDescent="0.2">
      <c r="A23" s="12" t="s">
        <v>18</v>
      </c>
      <c r="B23" s="36">
        <v>46058</v>
      </c>
      <c r="C23" s="87">
        <f t="shared" si="0"/>
        <v>151</v>
      </c>
      <c r="D23" s="38">
        <f t="shared" si="1"/>
        <v>0</v>
      </c>
      <c r="G23" s="14" t="s">
        <v>1639</v>
      </c>
      <c r="H23" s="12" t="s">
        <v>1641</v>
      </c>
      <c r="I23" s="12">
        <v>1331</v>
      </c>
      <c r="J23" s="12">
        <v>331</v>
      </c>
      <c r="K23" s="12" t="s">
        <v>20</v>
      </c>
      <c r="L23" s="12">
        <v>1</v>
      </c>
      <c r="M23" s="17">
        <v>108320</v>
      </c>
      <c r="N23" s="17">
        <f t="shared" si="2"/>
        <v>108320</v>
      </c>
    </row>
    <row r="24" spans="1:14" ht="15" customHeight="1" x14ac:dyDescent="0.2">
      <c r="A24" s="12" t="s">
        <v>310</v>
      </c>
      <c r="B24" s="36">
        <v>46058</v>
      </c>
      <c r="C24" s="87">
        <f t="shared" si="0"/>
        <v>151</v>
      </c>
      <c r="D24" s="38">
        <f t="shared" si="1"/>
        <v>0</v>
      </c>
      <c r="G24" s="14" t="s">
        <v>1639</v>
      </c>
      <c r="H24" s="12" t="s">
        <v>1641</v>
      </c>
      <c r="I24" s="12">
        <v>331</v>
      </c>
      <c r="J24" s="12">
        <v>1111</v>
      </c>
      <c r="K24" s="12" t="s">
        <v>20</v>
      </c>
      <c r="L24" s="12">
        <v>1</v>
      </c>
      <c r="M24" s="17">
        <v>1462320</v>
      </c>
      <c r="N24" s="17">
        <f t="shared" si="2"/>
        <v>1462320</v>
      </c>
    </row>
    <row r="25" spans="1:14" ht="15" customHeight="1" x14ac:dyDescent="0.2">
      <c r="A25" s="12" t="s">
        <v>18</v>
      </c>
      <c r="B25" s="36">
        <v>46065</v>
      </c>
      <c r="C25" s="87">
        <f t="shared" si="0"/>
        <v>152</v>
      </c>
      <c r="D25" s="38">
        <f t="shared" si="1"/>
        <v>1</v>
      </c>
      <c r="G25" s="14" t="s">
        <v>1642</v>
      </c>
      <c r="H25" s="12" t="s">
        <v>1643</v>
      </c>
      <c r="I25" s="12">
        <v>64277</v>
      </c>
      <c r="J25" s="12">
        <v>331</v>
      </c>
      <c r="K25" s="12" t="s">
        <v>20</v>
      </c>
      <c r="L25" s="12">
        <v>1</v>
      </c>
      <c r="M25" s="17">
        <v>1605000</v>
      </c>
      <c r="N25" s="17">
        <f t="shared" si="2"/>
        <v>1605000</v>
      </c>
    </row>
    <row r="26" spans="1:14" ht="15" customHeight="1" x14ac:dyDescent="0.2">
      <c r="A26" s="12" t="s">
        <v>18</v>
      </c>
      <c r="B26" s="36">
        <v>46065</v>
      </c>
      <c r="C26" s="87">
        <f t="shared" si="0"/>
        <v>152</v>
      </c>
      <c r="D26" s="38">
        <f t="shared" si="1"/>
        <v>0</v>
      </c>
      <c r="G26" s="14" t="s">
        <v>1642</v>
      </c>
      <c r="H26" s="12" t="s">
        <v>1643</v>
      </c>
      <c r="I26" s="12">
        <v>1331</v>
      </c>
      <c r="J26" s="12">
        <v>331</v>
      </c>
      <c r="K26" s="12" t="s">
        <v>20</v>
      </c>
      <c r="L26" s="12">
        <v>1</v>
      </c>
      <c r="M26" s="17">
        <v>129400</v>
      </c>
      <c r="N26" s="17">
        <f t="shared" si="2"/>
        <v>129400</v>
      </c>
    </row>
    <row r="27" spans="1:14" ht="15" customHeight="1" x14ac:dyDescent="0.2">
      <c r="A27" s="12" t="s">
        <v>310</v>
      </c>
      <c r="B27" s="36">
        <v>46065</v>
      </c>
      <c r="C27" s="87">
        <f t="shared" si="0"/>
        <v>152</v>
      </c>
      <c r="D27" s="38">
        <f t="shared" si="1"/>
        <v>0</v>
      </c>
      <c r="G27" s="14" t="s">
        <v>1642</v>
      </c>
      <c r="H27" s="12" t="s">
        <v>1643</v>
      </c>
      <c r="I27" s="12">
        <v>331</v>
      </c>
      <c r="J27" s="12">
        <v>1111</v>
      </c>
      <c r="K27" s="12" t="s">
        <v>20</v>
      </c>
      <c r="L27" s="12">
        <v>1</v>
      </c>
      <c r="M27" s="17">
        <v>1734400</v>
      </c>
      <c r="N27" s="17">
        <f t="shared" si="2"/>
        <v>1734400</v>
      </c>
    </row>
    <row r="28" spans="1:14" ht="15" customHeight="1" x14ac:dyDescent="0.2">
      <c r="A28" s="12" t="s">
        <v>18</v>
      </c>
      <c r="B28" s="36">
        <v>46081</v>
      </c>
      <c r="C28" s="87">
        <f t="shared" si="0"/>
        <v>153</v>
      </c>
      <c r="D28" s="38">
        <f t="shared" si="1"/>
        <v>1</v>
      </c>
      <c r="G28" s="14" t="s">
        <v>1636</v>
      </c>
      <c r="H28" s="12" t="s">
        <v>1644</v>
      </c>
      <c r="I28" s="12">
        <v>64277</v>
      </c>
      <c r="J28" s="12">
        <v>331</v>
      </c>
      <c r="K28" s="12" t="s">
        <v>20</v>
      </c>
      <c r="L28" s="12">
        <v>1</v>
      </c>
      <c r="M28" s="17">
        <v>242727</v>
      </c>
      <c r="N28" s="17">
        <f t="shared" si="2"/>
        <v>242727</v>
      </c>
    </row>
    <row r="29" spans="1:14" ht="15" customHeight="1" x14ac:dyDescent="0.2">
      <c r="A29" s="12" t="s">
        <v>18</v>
      </c>
      <c r="B29" s="36">
        <v>46081</v>
      </c>
      <c r="C29" s="87">
        <f t="shared" si="0"/>
        <v>153</v>
      </c>
      <c r="D29" s="38">
        <f t="shared" si="1"/>
        <v>0</v>
      </c>
      <c r="G29" s="14" t="s">
        <v>1636</v>
      </c>
      <c r="H29" s="12" t="s">
        <v>1644</v>
      </c>
      <c r="I29" s="12">
        <v>1331</v>
      </c>
      <c r="J29" s="12">
        <v>331</v>
      </c>
      <c r="K29" s="12" t="s">
        <v>20</v>
      </c>
      <c r="L29" s="12">
        <v>1</v>
      </c>
      <c r="M29" s="17">
        <v>22873</v>
      </c>
      <c r="N29" s="17">
        <f t="shared" si="2"/>
        <v>22873</v>
      </c>
    </row>
    <row r="30" spans="1:14" ht="15" customHeight="1" x14ac:dyDescent="0.2">
      <c r="A30" s="12" t="s">
        <v>310</v>
      </c>
      <c r="B30" s="36">
        <v>46081</v>
      </c>
      <c r="C30" s="87">
        <f t="shared" si="0"/>
        <v>153</v>
      </c>
      <c r="D30" s="38">
        <f t="shared" si="1"/>
        <v>0</v>
      </c>
      <c r="G30" s="14" t="s">
        <v>1636</v>
      </c>
      <c r="H30" s="12" t="s">
        <v>1644</v>
      </c>
      <c r="I30" s="12">
        <v>331</v>
      </c>
      <c r="J30" s="12">
        <v>1111</v>
      </c>
      <c r="K30" s="12" t="s">
        <v>20</v>
      </c>
      <c r="L30" s="12">
        <v>1</v>
      </c>
      <c r="M30" s="17">
        <v>265600</v>
      </c>
      <c r="N30" s="17">
        <f t="shared" si="2"/>
        <v>265600</v>
      </c>
    </row>
    <row r="31" spans="1:14" ht="15" customHeight="1" x14ac:dyDescent="0.2">
      <c r="A31" s="12" t="s">
        <v>18</v>
      </c>
      <c r="B31" s="36">
        <v>46087</v>
      </c>
      <c r="C31" s="87">
        <f t="shared" si="0"/>
        <v>154</v>
      </c>
      <c r="D31" s="38">
        <f t="shared" si="1"/>
        <v>1</v>
      </c>
      <c r="G31" s="14" t="s">
        <v>1538</v>
      </c>
      <c r="H31" s="12" t="s">
        <v>1645</v>
      </c>
      <c r="I31" s="12">
        <v>64277</v>
      </c>
      <c r="J31" s="12">
        <v>331</v>
      </c>
      <c r="K31" s="12" t="s">
        <v>20</v>
      </c>
      <c r="L31" s="12">
        <v>1</v>
      </c>
      <c r="M31" s="17">
        <v>3000000</v>
      </c>
      <c r="N31" s="17">
        <f t="shared" si="2"/>
        <v>3000000</v>
      </c>
    </row>
    <row r="32" spans="1:14" ht="15" customHeight="1" x14ac:dyDescent="0.2">
      <c r="A32" s="12" t="s">
        <v>18</v>
      </c>
      <c r="B32" s="36">
        <v>46087</v>
      </c>
      <c r="C32" s="87">
        <f t="shared" si="0"/>
        <v>154</v>
      </c>
      <c r="D32" s="38">
        <f t="shared" si="1"/>
        <v>0</v>
      </c>
      <c r="G32" s="14" t="s">
        <v>1538</v>
      </c>
      <c r="H32" s="12" t="s">
        <v>1645</v>
      </c>
      <c r="I32" s="12">
        <v>1331</v>
      </c>
      <c r="J32" s="12">
        <v>331</v>
      </c>
      <c r="K32" s="12" t="s">
        <v>20</v>
      </c>
      <c r="L32" s="12">
        <v>1</v>
      </c>
      <c r="M32" s="17">
        <v>240000</v>
      </c>
      <c r="N32" s="17">
        <f t="shared" si="2"/>
        <v>240000</v>
      </c>
    </row>
    <row r="33" spans="1:14" ht="15" customHeight="1" x14ac:dyDescent="0.2">
      <c r="A33" s="12" t="s">
        <v>310</v>
      </c>
      <c r="B33" s="36">
        <v>46087</v>
      </c>
      <c r="C33" s="87">
        <f t="shared" si="0"/>
        <v>154</v>
      </c>
      <c r="D33" s="38">
        <f t="shared" si="1"/>
        <v>0</v>
      </c>
      <c r="G33" s="14" t="s">
        <v>1538</v>
      </c>
      <c r="H33" s="12" t="s">
        <v>1645</v>
      </c>
      <c r="I33" s="12">
        <v>331</v>
      </c>
      <c r="J33" s="12">
        <v>1111</v>
      </c>
      <c r="K33" s="12" t="s">
        <v>20</v>
      </c>
      <c r="L33" s="12">
        <v>1</v>
      </c>
      <c r="M33" s="17">
        <v>3240000</v>
      </c>
      <c r="N33" s="17">
        <f t="shared" si="2"/>
        <v>3240000</v>
      </c>
    </row>
    <row r="34" spans="1:14" ht="15" customHeight="1" x14ac:dyDescent="0.2">
      <c r="A34" s="12" t="s">
        <v>18</v>
      </c>
      <c r="B34" s="36">
        <v>46029</v>
      </c>
      <c r="C34" s="87">
        <f t="shared" si="0"/>
        <v>155</v>
      </c>
      <c r="D34" s="38">
        <f t="shared" si="1"/>
        <v>1</v>
      </c>
      <c r="G34" s="14" t="s">
        <v>1646</v>
      </c>
      <c r="H34" s="12" t="s">
        <v>1647</v>
      </c>
      <c r="I34" s="12">
        <v>131</v>
      </c>
      <c r="J34" s="12">
        <v>5113</v>
      </c>
      <c r="K34" s="12" t="s">
        <v>20</v>
      </c>
      <c r="L34" s="12">
        <v>1</v>
      </c>
      <c r="M34" s="17">
        <v>12903226</v>
      </c>
      <c r="N34" s="17">
        <f t="shared" si="2"/>
        <v>12903226</v>
      </c>
    </row>
    <row r="35" spans="1:14" ht="15" customHeight="1" x14ac:dyDescent="0.2">
      <c r="A35" s="12" t="s">
        <v>18</v>
      </c>
      <c r="B35" s="36">
        <v>46029</v>
      </c>
      <c r="C35" s="87">
        <f t="shared" si="0"/>
        <v>155</v>
      </c>
      <c r="D35" s="38">
        <f t="shared" si="1"/>
        <v>0</v>
      </c>
      <c r="G35" s="14" t="s">
        <v>1646</v>
      </c>
      <c r="H35" s="12" t="s">
        <v>1647</v>
      </c>
      <c r="I35" s="12">
        <v>333821</v>
      </c>
      <c r="J35" s="12">
        <v>131</v>
      </c>
      <c r="K35" s="12" t="s">
        <v>20</v>
      </c>
      <c r="L35" s="12">
        <v>1</v>
      </c>
      <c r="M35" s="17">
        <v>129032</v>
      </c>
      <c r="N35" s="17">
        <f t="shared" si="2"/>
        <v>129032</v>
      </c>
    </row>
    <row r="36" spans="1:14" ht="15" customHeight="1" x14ac:dyDescent="0.2">
      <c r="A36" s="12" t="s">
        <v>18</v>
      </c>
      <c r="B36" s="36">
        <v>46041</v>
      </c>
      <c r="C36" s="87">
        <f t="shared" si="0"/>
        <v>156</v>
      </c>
      <c r="D36" s="38">
        <f t="shared" si="1"/>
        <v>1</v>
      </c>
      <c r="G36" s="14" t="s">
        <v>1648</v>
      </c>
      <c r="H36" s="12" t="s">
        <v>1649</v>
      </c>
      <c r="I36" s="12">
        <v>131</v>
      </c>
      <c r="J36" s="12">
        <v>5113</v>
      </c>
      <c r="K36" s="12" t="s">
        <v>20</v>
      </c>
      <c r="L36" s="12">
        <v>1</v>
      </c>
      <c r="M36" s="17">
        <v>13440861</v>
      </c>
      <c r="N36" s="17">
        <f t="shared" si="2"/>
        <v>13440861</v>
      </c>
    </row>
    <row r="37" spans="1:14" ht="15" customHeight="1" x14ac:dyDescent="0.2">
      <c r="A37" s="12" t="s">
        <v>18</v>
      </c>
      <c r="B37" s="36">
        <v>46041</v>
      </c>
      <c r="C37" s="87">
        <f t="shared" si="0"/>
        <v>156</v>
      </c>
      <c r="D37" s="38">
        <f t="shared" si="1"/>
        <v>0</v>
      </c>
      <c r="G37" s="14" t="s">
        <v>1648</v>
      </c>
      <c r="H37" s="12" t="s">
        <v>1649</v>
      </c>
      <c r="I37" s="12">
        <v>333821</v>
      </c>
      <c r="J37" s="12">
        <v>131</v>
      </c>
      <c r="K37" s="12" t="s">
        <v>20</v>
      </c>
      <c r="L37" s="12">
        <v>1</v>
      </c>
      <c r="M37" s="17">
        <v>134409</v>
      </c>
      <c r="N37" s="17">
        <f t="shared" si="2"/>
        <v>134409</v>
      </c>
    </row>
    <row r="38" spans="1:14" ht="15" customHeight="1" x14ac:dyDescent="0.2">
      <c r="A38" s="12" t="s">
        <v>18</v>
      </c>
      <c r="B38" s="36">
        <v>46042</v>
      </c>
      <c r="C38" s="87">
        <f t="shared" si="0"/>
        <v>157</v>
      </c>
      <c r="D38" s="38">
        <f t="shared" si="1"/>
        <v>1</v>
      </c>
      <c r="G38" s="14" t="s">
        <v>1561</v>
      </c>
      <c r="H38" s="12" t="s">
        <v>1650</v>
      </c>
      <c r="I38" s="12">
        <v>131</v>
      </c>
      <c r="J38" s="12">
        <v>5113</v>
      </c>
      <c r="K38" s="12" t="s">
        <v>20</v>
      </c>
      <c r="L38" s="12">
        <v>1</v>
      </c>
      <c r="M38" s="17">
        <v>12903226</v>
      </c>
      <c r="N38" s="17">
        <f t="shared" si="2"/>
        <v>12903226</v>
      </c>
    </row>
    <row r="39" spans="1:14" ht="15" customHeight="1" x14ac:dyDescent="0.2">
      <c r="A39" s="12" t="s">
        <v>18</v>
      </c>
      <c r="B39" s="36">
        <v>46042</v>
      </c>
      <c r="C39" s="87">
        <f t="shared" si="0"/>
        <v>157</v>
      </c>
      <c r="D39" s="38">
        <f t="shared" si="1"/>
        <v>0</v>
      </c>
      <c r="G39" s="14" t="s">
        <v>1561</v>
      </c>
      <c r="H39" s="12" t="s">
        <v>1650</v>
      </c>
      <c r="I39" s="12">
        <v>333821</v>
      </c>
      <c r="J39" s="12">
        <v>131</v>
      </c>
      <c r="K39" s="12" t="s">
        <v>20</v>
      </c>
      <c r="L39" s="12">
        <v>1</v>
      </c>
      <c r="M39" s="17">
        <v>129032</v>
      </c>
      <c r="N39" s="17">
        <f t="shared" si="2"/>
        <v>129032</v>
      </c>
    </row>
    <row r="40" spans="1:14" ht="15" customHeight="1" x14ac:dyDescent="0.2">
      <c r="A40" s="12" t="s">
        <v>18</v>
      </c>
      <c r="B40" s="36">
        <v>46042</v>
      </c>
      <c r="C40" s="87">
        <f t="shared" si="0"/>
        <v>158</v>
      </c>
      <c r="D40" s="38">
        <f t="shared" si="1"/>
        <v>1</v>
      </c>
      <c r="G40" s="14" t="s">
        <v>1561</v>
      </c>
      <c r="H40" s="12" t="s">
        <v>1651</v>
      </c>
      <c r="I40" s="12">
        <v>131</v>
      </c>
      <c r="J40" s="12">
        <v>5113</v>
      </c>
      <c r="K40" s="12" t="s">
        <v>20</v>
      </c>
      <c r="L40" s="12">
        <v>1</v>
      </c>
      <c r="M40" s="17">
        <v>17777778</v>
      </c>
      <c r="N40" s="17">
        <f t="shared" si="2"/>
        <v>17777778</v>
      </c>
    </row>
    <row r="41" spans="1:14" ht="15" customHeight="1" x14ac:dyDescent="0.2">
      <c r="A41" s="12" t="s">
        <v>18</v>
      </c>
      <c r="B41" s="36">
        <v>46042</v>
      </c>
      <c r="C41" s="87">
        <f t="shared" si="0"/>
        <v>158</v>
      </c>
      <c r="D41" s="38">
        <f t="shared" si="1"/>
        <v>0</v>
      </c>
      <c r="G41" s="14" t="s">
        <v>1561</v>
      </c>
      <c r="H41" s="12" t="s">
        <v>1651</v>
      </c>
      <c r="I41" s="12">
        <v>333821</v>
      </c>
      <c r="J41" s="12">
        <v>131</v>
      </c>
      <c r="K41" s="12" t="s">
        <v>20</v>
      </c>
      <c r="L41" s="12">
        <v>1</v>
      </c>
      <c r="M41" s="17">
        <v>177778</v>
      </c>
      <c r="N41" s="17">
        <f t="shared" si="2"/>
        <v>177778</v>
      </c>
    </row>
    <row r="42" spans="1:14" ht="15" customHeight="1" x14ac:dyDescent="0.2">
      <c r="A42" s="12" t="s">
        <v>18</v>
      </c>
      <c r="B42" s="36">
        <v>46043</v>
      </c>
      <c r="C42" s="87">
        <f t="shared" ref="C42" si="5">C41+D42</f>
        <v>159</v>
      </c>
      <c r="D42" s="38">
        <f t="shared" si="1"/>
        <v>1</v>
      </c>
      <c r="G42" s="14" t="s">
        <v>1652</v>
      </c>
      <c r="H42" s="12" t="s">
        <v>1653</v>
      </c>
      <c r="I42" s="12">
        <v>131</v>
      </c>
      <c r="J42" s="12">
        <v>5113</v>
      </c>
      <c r="K42" s="12" t="s">
        <v>20</v>
      </c>
      <c r="L42" s="12">
        <v>1</v>
      </c>
      <c r="M42" s="17">
        <v>10752688</v>
      </c>
      <c r="N42" s="17">
        <f t="shared" ref="N42:N116" si="6">L42*M42</f>
        <v>10752688</v>
      </c>
    </row>
    <row r="43" spans="1:14" ht="15" customHeight="1" x14ac:dyDescent="0.2">
      <c r="A43" s="12" t="s">
        <v>18</v>
      </c>
      <c r="B43" s="36">
        <v>46043</v>
      </c>
      <c r="C43" s="87">
        <f t="shared" ref="C43:C48" si="7">C42+D43</f>
        <v>159</v>
      </c>
      <c r="D43" s="38">
        <f t="shared" si="1"/>
        <v>0</v>
      </c>
      <c r="G43" s="14" t="s">
        <v>1652</v>
      </c>
      <c r="H43" s="12" t="s">
        <v>1653</v>
      </c>
      <c r="I43" s="12">
        <v>333821</v>
      </c>
      <c r="J43" s="12">
        <v>131</v>
      </c>
      <c r="K43" s="12" t="s">
        <v>20</v>
      </c>
      <c r="L43" s="12">
        <v>1</v>
      </c>
      <c r="M43" s="17">
        <v>107527</v>
      </c>
      <c r="N43" s="17">
        <f t="shared" si="6"/>
        <v>107527</v>
      </c>
    </row>
    <row r="44" spans="1:14" ht="15" customHeight="1" x14ac:dyDescent="0.2">
      <c r="A44" s="12" t="s">
        <v>18</v>
      </c>
      <c r="B44" s="36">
        <v>46045</v>
      </c>
      <c r="C44" s="87">
        <f t="shared" si="7"/>
        <v>160</v>
      </c>
      <c r="D44" s="38">
        <f t="shared" si="1"/>
        <v>1</v>
      </c>
      <c r="G44" s="14" t="s">
        <v>1654</v>
      </c>
      <c r="H44" s="12" t="s">
        <v>1655</v>
      </c>
      <c r="I44" s="12">
        <v>131</v>
      </c>
      <c r="J44" s="12">
        <v>5113</v>
      </c>
      <c r="K44" s="12" t="s">
        <v>20</v>
      </c>
      <c r="L44" s="12">
        <v>1</v>
      </c>
      <c r="M44" s="17">
        <v>1333333</v>
      </c>
      <c r="N44" s="17">
        <f t="shared" si="6"/>
        <v>1333333</v>
      </c>
    </row>
    <row r="45" spans="1:14" ht="15" customHeight="1" x14ac:dyDescent="0.2">
      <c r="A45" s="12" t="s">
        <v>18</v>
      </c>
      <c r="B45" s="36">
        <v>46045</v>
      </c>
      <c r="C45" s="87">
        <f t="shared" si="7"/>
        <v>160</v>
      </c>
      <c r="D45" s="38">
        <f t="shared" si="1"/>
        <v>0</v>
      </c>
      <c r="G45" s="14" t="s">
        <v>1654</v>
      </c>
      <c r="H45" s="12" t="s">
        <v>1655</v>
      </c>
      <c r="I45" s="12">
        <v>333821</v>
      </c>
      <c r="J45" s="12">
        <v>131</v>
      </c>
      <c r="K45" s="12" t="s">
        <v>20</v>
      </c>
      <c r="L45" s="12">
        <v>1</v>
      </c>
      <c r="M45" s="17">
        <v>13333</v>
      </c>
      <c r="N45" s="17">
        <f t="shared" si="6"/>
        <v>13333</v>
      </c>
    </row>
    <row r="46" spans="1:14" ht="15" customHeight="1" x14ac:dyDescent="0.2">
      <c r="A46" s="12" t="s">
        <v>18</v>
      </c>
      <c r="B46" s="36">
        <v>46049</v>
      </c>
      <c r="C46" s="87">
        <f t="shared" si="7"/>
        <v>161</v>
      </c>
      <c r="D46" s="38">
        <f t="shared" si="1"/>
        <v>1</v>
      </c>
      <c r="G46" s="14" t="s">
        <v>1656</v>
      </c>
      <c r="H46" s="12" t="s">
        <v>1657</v>
      </c>
      <c r="I46" s="12">
        <v>131</v>
      </c>
      <c r="J46" s="12">
        <v>5113</v>
      </c>
      <c r="K46" s="12" t="s">
        <v>20</v>
      </c>
      <c r="L46" s="12">
        <v>1</v>
      </c>
      <c r="M46" s="17">
        <v>33333333</v>
      </c>
      <c r="N46" s="17">
        <f t="shared" si="6"/>
        <v>33333333</v>
      </c>
    </row>
    <row r="47" spans="1:14" ht="15" customHeight="1" x14ac:dyDescent="0.2">
      <c r="A47" s="12" t="s">
        <v>18</v>
      </c>
      <c r="B47" s="36">
        <v>46049</v>
      </c>
      <c r="C47" s="87">
        <f t="shared" si="7"/>
        <v>161</v>
      </c>
      <c r="D47" s="38">
        <f t="shared" si="1"/>
        <v>0</v>
      </c>
      <c r="G47" s="14" t="s">
        <v>1656</v>
      </c>
      <c r="H47" s="12" t="s">
        <v>1657</v>
      </c>
      <c r="I47" s="12">
        <v>333821</v>
      </c>
      <c r="J47" s="12">
        <v>131</v>
      </c>
      <c r="K47" s="12" t="s">
        <v>20</v>
      </c>
      <c r="L47" s="12">
        <v>1</v>
      </c>
      <c r="M47" s="17">
        <v>333333</v>
      </c>
      <c r="N47" s="17">
        <f t="shared" si="6"/>
        <v>333333</v>
      </c>
    </row>
    <row r="48" spans="1:14" ht="15" customHeight="1" x14ac:dyDescent="0.2">
      <c r="A48" s="12" t="s">
        <v>18</v>
      </c>
      <c r="B48" s="36">
        <v>46050</v>
      </c>
      <c r="C48" s="87">
        <f t="shared" si="7"/>
        <v>162</v>
      </c>
      <c r="D48" s="38">
        <f t="shared" si="1"/>
        <v>1</v>
      </c>
      <c r="G48" s="14" t="s">
        <v>1656</v>
      </c>
      <c r="H48" s="12" t="s">
        <v>1658</v>
      </c>
      <c r="I48" s="12">
        <v>131</v>
      </c>
      <c r="J48" s="12">
        <v>5113</v>
      </c>
      <c r="K48" s="12" t="s">
        <v>20</v>
      </c>
      <c r="L48" s="12">
        <v>1</v>
      </c>
      <c r="M48" s="17">
        <v>42222222</v>
      </c>
      <c r="N48" s="17">
        <f t="shared" si="6"/>
        <v>42222222</v>
      </c>
    </row>
    <row r="49" spans="1:14" ht="15" customHeight="1" x14ac:dyDescent="0.2">
      <c r="A49" s="12" t="s">
        <v>18</v>
      </c>
      <c r="B49" s="36">
        <v>46050</v>
      </c>
      <c r="C49" s="87">
        <f t="shared" ref="C49:C119" si="8">C48+D49</f>
        <v>162</v>
      </c>
      <c r="D49" s="38">
        <f t="shared" si="1"/>
        <v>0</v>
      </c>
      <c r="G49" s="14" t="s">
        <v>1656</v>
      </c>
      <c r="H49" s="12" t="s">
        <v>1658</v>
      </c>
      <c r="I49" s="12">
        <v>333821</v>
      </c>
      <c r="J49" s="12">
        <v>131</v>
      </c>
      <c r="K49" s="12" t="s">
        <v>20</v>
      </c>
      <c r="L49" s="12">
        <v>1</v>
      </c>
      <c r="M49" s="17">
        <v>0</v>
      </c>
      <c r="N49" s="17">
        <f t="shared" si="6"/>
        <v>0</v>
      </c>
    </row>
    <row r="50" spans="1:14" ht="15" customHeight="1" x14ac:dyDescent="0.2">
      <c r="A50" s="12" t="s">
        <v>18</v>
      </c>
      <c r="B50" s="36">
        <v>46050</v>
      </c>
      <c r="C50" s="87">
        <f t="shared" si="8"/>
        <v>163</v>
      </c>
      <c r="D50" s="38">
        <f t="shared" si="1"/>
        <v>1</v>
      </c>
      <c r="G50" s="14" t="s">
        <v>1656</v>
      </c>
      <c r="H50" s="12" t="s">
        <v>1659</v>
      </c>
      <c r="I50" s="12">
        <v>131</v>
      </c>
      <c r="J50" s="12">
        <v>5113</v>
      </c>
      <c r="K50" s="12" t="s">
        <v>20</v>
      </c>
      <c r="L50" s="12">
        <v>1</v>
      </c>
      <c r="M50" s="17">
        <v>16666667</v>
      </c>
      <c r="N50" s="17">
        <f t="shared" si="6"/>
        <v>16666667</v>
      </c>
    </row>
    <row r="51" spans="1:14" ht="15" customHeight="1" x14ac:dyDescent="0.2">
      <c r="A51" s="12" t="s">
        <v>18</v>
      </c>
      <c r="B51" s="36">
        <v>46050</v>
      </c>
      <c r="C51" s="87">
        <f t="shared" si="8"/>
        <v>163</v>
      </c>
      <c r="D51" s="38">
        <f t="shared" si="1"/>
        <v>0</v>
      </c>
      <c r="G51" s="14" t="s">
        <v>1656</v>
      </c>
      <c r="H51" s="12" t="s">
        <v>1659</v>
      </c>
      <c r="I51" s="12">
        <v>333821</v>
      </c>
      <c r="J51" s="12">
        <v>131</v>
      </c>
      <c r="K51" s="12" t="s">
        <v>20</v>
      </c>
      <c r="L51" s="12">
        <v>1</v>
      </c>
      <c r="M51" s="17">
        <v>166667</v>
      </c>
      <c r="N51" s="17">
        <f t="shared" si="6"/>
        <v>166667</v>
      </c>
    </row>
    <row r="52" spans="1:14" ht="15" customHeight="1" x14ac:dyDescent="0.2">
      <c r="A52" s="12" t="s">
        <v>18</v>
      </c>
      <c r="B52" s="36">
        <v>46051</v>
      </c>
      <c r="C52" s="87">
        <f t="shared" si="8"/>
        <v>164</v>
      </c>
      <c r="D52" s="38">
        <f t="shared" si="1"/>
        <v>1</v>
      </c>
      <c r="G52" s="14" t="s">
        <v>1660</v>
      </c>
      <c r="H52" s="12" t="s">
        <v>1661</v>
      </c>
      <c r="I52" s="12">
        <v>131</v>
      </c>
      <c r="J52" s="12">
        <v>5113</v>
      </c>
      <c r="K52" s="12" t="s">
        <v>20</v>
      </c>
      <c r="L52" s="12">
        <v>1</v>
      </c>
      <c r="M52" s="17">
        <v>17777778</v>
      </c>
      <c r="N52" s="17">
        <f t="shared" si="6"/>
        <v>17777778</v>
      </c>
    </row>
    <row r="53" spans="1:14" ht="15" customHeight="1" x14ac:dyDescent="0.2">
      <c r="A53" s="12" t="s">
        <v>18</v>
      </c>
      <c r="B53" s="36">
        <v>46051</v>
      </c>
      <c r="C53" s="87">
        <f t="shared" si="8"/>
        <v>164</v>
      </c>
      <c r="D53" s="38">
        <f t="shared" si="1"/>
        <v>0</v>
      </c>
      <c r="G53" s="14" t="s">
        <v>1660</v>
      </c>
      <c r="H53" s="12" t="s">
        <v>1661</v>
      </c>
      <c r="I53" s="12">
        <v>333821</v>
      </c>
      <c r="J53" s="12">
        <v>131</v>
      </c>
      <c r="K53" s="12" t="s">
        <v>20</v>
      </c>
      <c r="L53" s="12">
        <v>1</v>
      </c>
      <c r="M53" s="17">
        <v>177778</v>
      </c>
      <c r="N53" s="17">
        <f t="shared" si="6"/>
        <v>177778</v>
      </c>
    </row>
    <row r="54" spans="1:14" ht="15" customHeight="1" x14ac:dyDescent="0.2">
      <c r="A54" s="12" t="s">
        <v>18</v>
      </c>
      <c r="B54" s="36">
        <v>46064</v>
      </c>
      <c r="C54" s="87">
        <f t="shared" si="8"/>
        <v>165</v>
      </c>
      <c r="D54" s="38">
        <f t="shared" si="1"/>
        <v>1</v>
      </c>
      <c r="G54" s="14" t="s">
        <v>1646</v>
      </c>
      <c r="H54" s="12" t="s">
        <v>1662</v>
      </c>
      <c r="I54" s="12">
        <v>131</v>
      </c>
      <c r="J54" s="12">
        <v>5113</v>
      </c>
      <c r="K54" s="12" t="s">
        <v>20</v>
      </c>
      <c r="L54" s="12">
        <v>1</v>
      </c>
      <c r="M54" s="17">
        <v>12903226</v>
      </c>
      <c r="N54" s="17">
        <f t="shared" si="6"/>
        <v>12903226</v>
      </c>
    </row>
    <row r="55" spans="1:14" ht="15" customHeight="1" x14ac:dyDescent="0.2">
      <c r="A55" s="12" t="s">
        <v>18</v>
      </c>
      <c r="B55" s="36">
        <v>46064</v>
      </c>
      <c r="C55" s="87">
        <f t="shared" si="8"/>
        <v>165</v>
      </c>
      <c r="D55" s="38">
        <f t="shared" si="1"/>
        <v>0</v>
      </c>
      <c r="G55" s="14" t="s">
        <v>1646</v>
      </c>
      <c r="H55" s="12" t="s">
        <v>1662</v>
      </c>
      <c r="I55" s="12">
        <v>333821</v>
      </c>
      <c r="J55" s="12">
        <v>131</v>
      </c>
      <c r="K55" s="12" t="s">
        <v>20</v>
      </c>
      <c r="L55" s="12">
        <v>1</v>
      </c>
      <c r="M55" s="17">
        <v>129032</v>
      </c>
      <c r="N55" s="17">
        <f t="shared" si="6"/>
        <v>129032</v>
      </c>
    </row>
    <row r="56" spans="1:14" ht="15" customHeight="1" x14ac:dyDescent="0.2">
      <c r="A56" s="12" t="s">
        <v>18</v>
      </c>
      <c r="B56" s="36">
        <v>46079</v>
      </c>
      <c r="C56" s="87">
        <f t="shared" si="8"/>
        <v>166</v>
      </c>
      <c r="D56" s="38">
        <f t="shared" si="1"/>
        <v>1</v>
      </c>
      <c r="G56" s="14" t="s">
        <v>1573</v>
      </c>
      <c r="H56" s="12" t="s">
        <v>1663</v>
      </c>
      <c r="I56" s="12">
        <v>131</v>
      </c>
      <c r="J56" s="12">
        <v>5113</v>
      </c>
      <c r="K56" s="12" t="s">
        <v>20</v>
      </c>
      <c r="L56" s="12">
        <v>1</v>
      </c>
      <c r="M56" s="17">
        <v>17777778</v>
      </c>
      <c r="N56" s="17">
        <f t="shared" si="6"/>
        <v>17777778</v>
      </c>
    </row>
    <row r="57" spans="1:14" ht="15" customHeight="1" x14ac:dyDescent="0.2">
      <c r="A57" s="12" t="s">
        <v>18</v>
      </c>
      <c r="B57" s="36">
        <v>46079</v>
      </c>
      <c r="C57" s="87">
        <f t="shared" si="8"/>
        <v>166</v>
      </c>
      <c r="D57" s="38">
        <f t="shared" si="1"/>
        <v>0</v>
      </c>
      <c r="G57" s="14" t="s">
        <v>1573</v>
      </c>
      <c r="H57" s="12" t="s">
        <v>1663</v>
      </c>
      <c r="I57" s="12">
        <v>333821</v>
      </c>
      <c r="J57" s="12">
        <v>131</v>
      </c>
      <c r="K57" s="12" t="s">
        <v>20</v>
      </c>
      <c r="L57" s="12">
        <v>1</v>
      </c>
      <c r="M57" s="17">
        <v>177778</v>
      </c>
      <c r="N57" s="17">
        <f t="shared" si="6"/>
        <v>177778</v>
      </c>
    </row>
    <row r="58" spans="1:14" ht="15" customHeight="1" x14ac:dyDescent="0.2">
      <c r="A58" s="12" t="s">
        <v>18</v>
      </c>
      <c r="B58" s="36">
        <v>46080</v>
      </c>
      <c r="C58" s="87">
        <f t="shared" si="8"/>
        <v>167</v>
      </c>
      <c r="D58" s="38">
        <f t="shared" si="1"/>
        <v>1</v>
      </c>
      <c r="G58" s="14" t="s">
        <v>1656</v>
      </c>
      <c r="H58" s="12" t="s">
        <v>1664</v>
      </c>
      <c r="I58" s="12">
        <v>131</v>
      </c>
      <c r="J58" s="12">
        <v>5113</v>
      </c>
      <c r="K58" s="12" t="s">
        <v>20</v>
      </c>
      <c r="L58" s="12">
        <v>1</v>
      </c>
      <c r="M58" s="17">
        <v>4166667</v>
      </c>
      <c r="N58" s="17">
        <f t="shared" si="6"/>
        <v>4166667</v>
      </c>
    </row>
    <row r="59" spans="1:14" ht="15" customHeight="1" x14ac:dyDescent="0.2">
      <c r="A59" s="12" t="s">
        <v>18</v>
      </c>
      <c r="B59" s="36">
        <v>46080</v>
      </c>
      <c r="C59" s="87">
        <f t="shared" si="8"/>
        <v>167</v>
      </c>
      <c r="D59" s="38">
        <f t="shared" si="1"/>
        <v>0</v>
      </c>
      <c r="G59" s="14" t="s">
        <v>1656</v>
      </c>
      <c r="H59" s="12" t="s">
        <v>1664</v>
      </c>
      <c r="I59" s="12">
        <v>333821</v>
      </c>
      <c r="J59" s="12">
        <v>131</v>
      </c>
      <c r="K59" s="12" t="s">
        <v>20</v>
      </c>
      <c r="L59" s="12">
        <v>1</v>
      </c>
      <c r="M59" s="17">
        <v>41667</v>
      </c>
      <c r="N59" s="17">
        <f t="shared" si="6"/>
        <v>41667</v>
      </c>
    </row>
    <row r="60" spans="1:14" ht="15" customHeight="1" x14ac:dyDescent="0.2">
      <c r="A60" s="12" t="s">
        <v>18</v>
      </c>
      <c r="B60" s="36">
        <v>46090</v>
      </c>
      <c r="C60" s="87">
        <f t="shared" si="8"/>
        <v>168</v>
      </c>
      <c r="D60" s="38">
        <f t="shared" si="1"/>
        <v>1</v>
      </c>
      <c r="G60" s="14" t="s">
        <v>1656</v>
      </c>
      <c r="H60" s="12" t="s">
        <v>1665</v>
      </c>
      <c r="I60" s="12">
        <v>131</v>
      </c>
      <c r="J60" s="12">
        <v>5113</v>
      </c>
      <c r="K60" s="12" t="s">
        <v>20</v>
      </c>
      <c r="L60" s="12">
        <v>1</v>
      </c>
      <c r="M60" s="17">
        <v>8333333</v>
      </c>
      <c r="N60" s="17">
        <f t="shared" si="6"/>
        <v>8333333</v>
      </c>
    </row>
    <row r="61" spans="1:14" ht="15" customHeight="1" x14ac:dyDescent="0.2">
      <c r="A61" s="12" t="s">
        <v>18</v>
      </c>
      <c r="B61" s="36">
        <v>46090</v>
      </c>
      <c r="C61" s="87">
        <f t="shared" si="8"/>
        <v>168</v>
      </c>
      <c r="D61" s="38">
        <f t="shared" si="1"/>
        <v>0</v>
      </c>
      <c r="G61" s="14" t="s">
        <v>1656</v>
      </c>
      <c r="H61" s="12" t="s">
        <v>1665</v>
      </c>
      <c r="I61" s="12">
        <v>333821</v>
      </c>
      <c r="J61" s="12">
        <v>131</v>
      </c>
      <c r="K61" s="12" t="s">
        <v>20</v>
      </c>
      <c r="L61" s="12">
        <v>1</v>
      </c>
      <c r="M61" s="17">
        <v>83333</v>
      </c>
      <c r="N61" s="17">
        <f t="shared" si="6"/>
        <v>83333</v>
      </c>
    </row>
    <row r="62" spans="1:14" ht="15" customHeight="1" x14ac:dyDescent="0.2">
      <c r="A62" s="12" t="s">
        <v>18</v>
      </c>
      <c r="B62" s="36">
        <v>46090</v>
      </c>
      <c r="C62" s="87">
        <f t="shared" si="8"/>
        <v>169</v>
      </c>
      <c r="D62" s="38">
        <f t="shared" si="1"/>
        <v>1</v>
      </c>
      <c r="G62" s="14" t="s">
        <v>1656</v>
      </c>
      <c r="H62" s="12" t="s">
        <v>1666</v>
      </c>
      <c r="I62" s="12">
        <v>131</v>
      </c>
      <c r="J62" s="12">
        <v>5113</v>
      </c>
      <c r="K62" s="12" t="s">
        <v>20</v>
      </c>
      <c r="L62" s="12">
        <v>1</v>
      </c>
      <c r="M62" s="17">
        <v>16666667</v>
      </c>
      <c r="N62" s="17">
        <f t="shared" si="6"/>
        <v>16666667</v>
      </c>
    </row>
    <row r="63" spans="1:14" ht="15" customHeight="1" x14ac:dyDescent="0.2">
      <c r="A63" s="12" t="s">
        <v>18</v>
      </c>
      <c r="B63" s="36">
        <v>46090</v>
      </c>
      <c r="C63" s="87">
        <f t="shared" si="8"/>
        <v>169</v>
      </c>
      <c r="D63" s="38">
        <f t="shared" si="1"/>
        <v>0</v>
      </c>
      <c r="G63" s="14" t="s">
        <v>1656</v>
      </c>
      <c r="H63" s="12" t="s">
        <v>1666</v>
      </c>
      <c r="I63" s="12">
        <v>333821</v>
      </c>
      <c r="J63" s="12">
        <v>131</v>
      </c>
      <c r="K63" s="12" t="s">
        <v>20</v>
      </c>
      <c r="L63" s="12">
        <v>1</v>
      </c>
      <c r="M63" s="17">
        <v>166667</v>
      </c>
      <c r="N63" s="17">
        <f t="shared" si="6"/>
        <v>166667</v>
      </c>
    </row>
    <row r="64" spans="1:14" ht="15" customHeight="1" x14ac:dyDescent="0.2">
      <c r="A64" s="12" t="s">
        <v>18</v>
      </c>
      <c r="B64" s="36">
        <v>46112</v>
      </c>
      <c r="C64" s="87">
        <f t="shared" si="8"/>
        <v>170</v>
      </c>
      <c r="D64" s="38">
        <f t="shared" si="1"/>
        <v>1</v>
      </c>
      <c r="G64" s="14" t="s">
        <v>1652</v>
      </c>
      <c r="H64" s="12" t="s">
        <v>1667</v>
      </c>
      <c r="I64" s="12">
        <v>131</v>
      </c>
      <c r="J64" s="12">
        <v>5113</v>
      </c>
      <c r="K64" s="12" t="s">
        <v>20</v>
      </c>
      <c r="L64" s="12">
        <v>1</v>
      </c>
      <c r="M64" s="17">
        <v>1333333</v>
      </c>
      <c r="N64" s="17">
        <f t="shared" si="6"/>
        <v>1333333</v>
      </c>
    </row>
    <row r="65" spans="1:14" ht="15" customHeight="1" x14ac:dyDescent="0.2">
      <c r="A65" s="12" t="s">
        <v>18</v>
      </c>
      <c r="B65" s="36">
        <v>46112</v>
      </c>
      <c r="C65" s="87">
        <f t="shared" si="8"/>
        <v>170</v>
      </c>
      <c r="D65" s="38">
        <f t="shared" si="1"/>
        <v>0</v>
      </c>
      <c r="G65" s="14" t="s">
        <v>1652</v>
      </c>
      <c r="H65" s="12" t="s">
        <v>1667</v>
      </c>
      <c r="I65" s="12">
        <v>333821</v>
      </c>
      <c r="J65" s="12">
        <v>131</v>
      </c>
      <c r="K65" s="12" t="s">
        <v>20</v>
      </c>
      <c r="L65" s="12">
        <v>1</v>
      </c>
      <c r="M65" s="17">
        <v>13333</v>
      </c>
      <c r="N65" s="17">
        <f t="shared" si="6"/>
        <v>13333</v>
      </c>
    </row>
    <row r="66" spans="1:14" ht="15" customHeight="1" x14ac:dyDescent="0.2">
      <c r="C66" s="87">
        <f t="shared" ref="C66:C69" si="9">C65+D66</f>
        <v>171</v>
      </c>
      <c r="D66" s="38">
        <f t="shared" si="1"/>
        <v>1</v>
      </c>
      <c r="K66" s="12" t="s">
        <v>20</v>
      </c>
      <c r="L66" s="12">
        <v>1</v>
      </c>
      <c r="N66" s="17">
        <f t="shared" si="6"/>
        <v>0</v>
      </c>
    </row>
    <row r="67" spans="1:14" ht="15" customHeight="1" x14ac:dyDescent="0.2">
      <c r="C67" s="87">
        <f t="shared" si="9"/>
        <v>171</v>
      </c>
      <c r="D67" s="38">
        <f t="shared" si="1"/>
        <v>0</v>
      </c>
      <c r="K67" s="12" t="s">
        <v>20</v>
      </c>
      <c r="L67" s="12">
        <v>1</v>
      </c>
      <c r="N67" s="17">
        <f t="shared" si="6"/>
        <v>0</v>
      </c>
    </row>
    <row r="68" spans="1:14" ht="15" customHeight="1" x14ac:dyDescent="0.2">
      <c r="C68" s="87">
        <f t="shared" si="9"/>
        <v>171</v>
      </c>
      <c r="D68" s="38">
        <f t="shared" ref="D68:D131" si="10">IF(H68=H67,0,1)</f>
        <v>0</v>
      </c>
      <c r="K68" s="12" t="s">
        <v>20</v>
      </c>
      <c r="L68" s="12">
        <v>1</v>
      </c>
      <c r="N68" s="17">
        <f t="shared" si="6"/>
        <v>0</v>
      </c>
    </row>
    <row r="69" spans="1:14" ht="15" customHeight="1" x14ac:dyDescent="0.2">
      <c r="C69" s="87">
        <f t="shared" si="9"/>
        <v>171</v>
      </c>
      <c r="D69" s="38">
        <f t="shared" si="10"/>
        <v>0</v>
      </c>
      <c r="K69" s="12" t="s">
        <v>20</v>
      </c>
      <c r="L69" s="12">
        <v>1</v>
      </c>
      <c r="N69" s="17">
        <f t="shared" si="6"/>
        <v>0</v>
      </c>
    </row>
    <row r="70" spans="1:14" ht="15" customHeight="1" x14ac:dyDescent="0.2">
      <c r="C70" s="87">
        <f t="shared" si="8"/>
        <v>171</v>
      </c>
      <c r="D70" s="38">
        <f t="shared" si="10"/>
        <v>0</v>
      </c>
      <c r="K70" s="12" t="s">
        <v>20</v>
      </c>
      <c r="L70" s="12">
        <v>1</v>
      </c>
      <c r="N70" s="17">
        <f t="shared" si="6"/>
        <v>0</v>
      </c>
    </row>
    <row r="71" spans="1:14" ht="15" customHeight="1" x14ac:dyDescent="0.2">
      <c r="C71" s="87">
        <f t="shared" si="8"/>
        <v>171</v>
      </c>
      <c r="D71" s="38">
        <f t="shared" si="10"/>
        <v>0</v>
      </c>
      <c r="K71" s="12" t="s">
        <v>20</v>
      </c>
      <c r="L71" s="12">
        <v>1</v>
      </c>
      <c r="N71" s="17">
        <f t="shared" si="6"/>
        <v>0</v>
      </c>
    </row>
    <row r="72" spans="1:14" ht="15" customHeight="1" x14ac:dyDescent="0.2">
      <c r="C72" s="87">
        <f t="shared" si="8"/>
        <v>171</v>
      </c>
      <c r="D72" s="38">
        <f t="shared" si="10"/>
        <v>0</v>
      </c>
      <c r="K72" s="12" t="s">
        <v>20</v>
      </c>
      <c r="L72" s="12">
        <v>1</v>
      </c>
      <c r="N72" s="17">
        <f t="shared" si="6"/>
        <v>0</v>
      </c>
    </row>
    <row r="73" spans="1:14" ht="15" customHeight="1" x14ac:dyDescent="0.2">
      <c r="C73" s="87">
        <f t="shared" si="8"/>
        <v>171</v>
      </c>
      <c r="D73" s="38">
        <f t="shared" si="10"/>
        <v>0</v>
      </c>
      <c r="K73" s="12" t="s">
        <v>20</v>
      </c>
      <c r="L73" s="12">
        <v>1</v>
      </c>
      <c r="N73" s="17">
        <f t="shared" si="6"/>
        <v>0</v>
      </c>
    </row>
    <row r="74" spans="1:14" ht="15" customHeight="1" x14ac:dyDescent="0.2">
      <c r="C74" s="87">
        <f t="shared" si="8"/>
        <v>171</v>
      </c>
      <c r="D74" s="38">
        <f t="shared" si="10"/>
        <v>0</v>
      </c>
      <c r="K74" s="12" t="s">
        <v>20</v>
      </c>
      <c r="L74" s="12">
        <v>1</v>
      </c>
      <c r="N74" s="17">
        <f t="shared" si="6"/>
        <v>0</v>
      </c>
    </row>
    <row r="75" spans="1:14" ht="15" customHeight="1" x14ac:dyDescent="0.2">
      <c r="C75" s="87">
        <f t="shared" si="8"/>
        <v>171</v>
      </c>
      <c r="D75" s="38">
        <f t="shared" si="10"/>
        <v>0</v>
      </c>
      <c r="K75" s="12" t="s">
        <v>20</v>
      </c>
      <c r="L75" s="12">
        <v>1</v>
      </c>
      <c r="N75" s="17">
        <f t="shared" si="6"/>
        <v>0</v>
      </c>
    </row>
    <row r="76" spans="1:14" ht="15" customHeight="1" x14ac:dyDescent="0.2">
      <c r="C76" s="87">
        <f t="shared" si="8"/>
        <v>171</v>
      </c>
      <c r="D76" s="38">
        <f t="shared" si="10"/>
        <v>0</v>
      </c>
      <c r="K76" s="12" t="s">
        <v>20</v>
      </c>
      <c r="L76" s="12">
        <v>1</v>
      </c>
      <c r="N76" s="17">
        <f t="shared" si="6"/>
        <v>0</v>
      </c>
    </row>
    <row r="77" spans="1:14" ht="15" customHeight="1" x14ac:dyDescent="0.2">
      <c r="C77" s="87">
        <f t="shared" si="8"/>
        <v>171</v>
      </c>
      <c r="D77" s="38">
        <f t="shared" si="10"/>
        <v>0</v>
      </c>
      <c r="K77" s="12" t="s">
        <v>20</v>
      </c>
      <c r="L77" s="12">
        <v>1</v>
      </c>
      <c r="N77" s="17">
        <f t="shared" si="6"/>
        <v>0</v>
      </c>
    </row>
    <row r="78" spans="1:14" ht="15" customHeight="1" x14ac:dyDescent="0.2">
      <c r="C78" s="87">
        <f t="shared" si="8"/>
        <v>171</v>
      </c>
      <c r="D78" s="38">
        <f t="shared" si="10"/>
        <v>0</v>
      </c>
      <c r="K78" s="12" t="s">
        <v>20</v>
      </c>
      <c r="L78" s="12">
        <v>1</v>
      </c>
      <c r="N78" s="17">
        <f t="shared" si="6"/>
        <v>0</v>
      </c>
    </row>
    <row r="79" spans="1:14" ht="15" customHeight="1" x14ac:dyDescent="0.2">
      <c r="C79" s="87">
        <f t="shared" si="8"/>
        <v>171</v>
      </c>
      <c r="D79" s="38">
        <f t="shared" si="10"/>
        <v>0</v>
      </c>
      <c r="K79" s="12" t="s">
        <v>20</v>
      </c>
      <c r="L79" s="12">
        <v>1</v>
      </c>
      <c r="N79" s="17">
        <f t="shared" si="6"/>
        <v>0</v>
      </c>
    </row>
    <row r="80" spans="1:14" ht="15" customHeight="1" x14ac:dyDescent="0.2">
      <c r="C80" s="87">
        <f t="shared" ref="C80:C81" si="11">C79+D80</f>
        <v>171</v>
      </c>
      <c r="D80" s="38">
        <f t="shared" si="10"/>
        <v>0</v>
      </c>
      <c r="K80" s="12" t="s">
        <v>20</v>
      </c>
      <c r="L80" s="12">
        <v>1</v>
      </c>
      <c r="N80" s="17">
        <f t="shared" si="6"/>
        <v>0</v>
      </c>
    </row>
    <row r="81" spans="3:14" ht="15" customHeight="1" x14ac:dyDescent="0.2">
      <c r="C81" s="87">
        <f t="shared" si="11"/>
        <v>171</v>
      </c>
      <c r="D81" s="38">
        <f t="shared" si="10"/>
        <v>0</v>
      </c>
      <c r="K81" s="12" t="s">
        <v>20</v>
      </c>
      <c r="L81" s="12">
        <v>1</v>
      </c>
      <c r="N81" s="17">
        <f t="shared" si="6"/>
        <v>0</v>
      </c>
    </row>
    <row r="82" spans="3:14" ht="15" customHeight="1" x14ac:dyDescent="0.2">
      <c r="C82" s="87">
        <f t="shared" si="8"/>
        <v>171</v>
      </c>
      <c r="D82" s="38">
        <f t="shared" si="10"/>
        <v>0</v>
      </c>
      <c r="K82" s="12" t="s">
        <v>20</v>
      </c>
      <c r="L82" s="12">
        <v>1</v>
      </c>
      <c r="N82" s="17">
        <f t="shared" si="6"/>
        <v>0</v>
      </c>
    </row>
    <row r="83" spans="3:14" ht="15" customHeight="1" x14ac:dyDescent="0.2">
      <c r="C83" s="87">
        <f t="shared" si="8"/>
        <v>171</v>
      </c>
      <c r="D83" s="38">
        <f t="shared" si="10"/>
        <v>0</v>
      </c>
      <c r="K83" s="12" t="s">
        <v>20</v>
      </c>
      <c r="L83" s="12">
        <v>1</v>
      </c>
      <c r="N83" s="17">
        <f t="shared" si="6"/>
        <v>0</v>
      </c>
    </row>
    <row r="84" spans="3:14" ht="15" customHeight="1" x14ac:dyDescent="0.2">
      <c r="C84" s="87">
        <f t="shared" si="8"/>
        <v>171</v>
      </c>
      <c r="D84" s="38">
        <f t="shared" si="10"/>
        <v>0</v>
      </c>
      <c r="K84" s="12" t="s">
        <v>20</v>
      </c>
      <c r="L84" s="12">
        <v>1</v>
      </c>
      <c r="N84" s="17">
        <f t="shared" si="6"/>
        <v>0</v>
      </c>
    </row>
    <row r="85" spans="3:14" ht="15" customHeight="1" x14ac:dyDescent="0.2">
      <c r="C85" s="87">
        <f t="shared" si="8"/>
        <v>171</v>
      </c>
      <c r="D85" s="38">
        <f t="shared" si="10"/>
        <v>0</v>
      </c>
      <c r="K85" s="12" t="s">
        <v>20</v>
      </c>
      <c r="L85" s="12">
        <v>1</v>
      </c>
      <c r="N85" s="17">
        <f t="shared" si="6"/>
        <v>0</v>
      </c>
    </row>
    <row r="86" spans="3:14" ht="15" customHeight="1" x14ac:dyDescent="0.2">
      <c r="C86" s="87">
        <f t="shared" si="8"/>
        <v>171</v>
      </c>
      <c r="D86" s="38">
        <f t="shared" si="10"/>
        <v>0</v>
      </c>
      <c r="K86" s="12" t="s">
        <v>20</v>
      </c>
      <c r="L86" s="12">
        <v>1</v>
      </c>
      <c r="N86" s="17">
        <f t="shared" si="6"/>
        <v>0</v>
      </c>
    </row>
    <row r="87" spans="3:14" ht="15" customHeight="1" x14ac:dyDescent="0.2">
      <c r="C87" s="87">
        <f t="shared" si="8"/>
        <v>171</v>
      </c>
      <c r="D87" s="38">
        <f t="shared" si="10"/>
        <v>0</v>
      </c>
      <c r="K87" s="12" t="s">
        <v>20</v>
      </c>
      <c r="L87" s="12">
        <v>1</v>
      </c>
      <c r="N87" s="17">
        <f t="shared" si="6"/>
        <v>0</v>
      </c>
    </row>
    <row r="88" spans="3:14" ht="15" customHeight="1" x14ac:dyDescent="0.2">
      <c r="C88" s="87">
        <f t="shared" ref="C88:C89" si="12">C87+D88</f>
        <v>171</v>
      </c>
      <c r="D88" s="38">
        <f t="shared" si="10"/>
        <v>0</v>
      </c>
      <c r="K88" s="12" t="s">
        <v>20</v>
      </c>
      <c r="L88" s="12">
        <v>1</v>
      </c>
      <c r="N88" s="17">
        <f t="shared" si="6"/>
        <v>0</v>
      </c>
    </row>
    <row r="89" spans="3:14" ht="15" customHeight="1" x14ac:dyDescent="0.2">
      <c r="C89" s="87">
        <f t="shared" si="12"/>
        <v>171</v>
      </c>
      <c r="D89" s="38">
        <f t="shared" si="10"/>
        <v>0</v>
      </c>
      <c r="K89" s="12" t="s">
        <v>20</v>
      </c>
      <c r="L89" s="12">
        <v>1</v>
      </c>
      <c r="N89" s="17">
        <f t="shared" si="6"/>
        <v>0</v>
      </c>
    </row>
    <row r="90" spans="3:14" ht="15" customHeight="1" x14ac:dyDescent="0.2">
      <c r="C90" s="87">
        <f t="shared" si="8"/>
        <v>171</v>
      </c>
      <c r="D90" s="38">
        <f t="shared" si="10"/>
        <v>0</v>
      </c>
      <c r="K90" s="12" t="s">
        <v>20</v>
      </c>
      <c r="L90" s="12">
        <v>1</v>
      </c>
      <c r="N90" s="17">
        <f t="shared" si="6"/>
        <v>0</v>
      </c>
    </row>
    <row r="91" spans="3:14" ht="15" customHeight="1" x14ac:dyDescent="0.2">
      <c r="C91" s="87">
        <f t="shared" si="8"/>
        <v>171</v>
      </c>
      <c r="D91" s="38">
        <f t="shared" si="10"/>
        <v>0</v>
      </c>
      <c r="K91" s="12" t="s">
        <v>20</v>
      </c>
      <c r="L91" s="12">
        <v>1</v>
      </c>
      <c r="N91" s="17">
        <f t="shared" si="6"/>
        <v>0</v>
      </c>
    </row>
    <row r="92" spans="3:14" ht="15" customHeight="1" x14ac:dyDescent="0.2">
      <c r="C92" s="87">
        <f t="shared" ref="C92:C93" si="13">C91+D92</f>
        <v>171</v>
      </c>
      <c r="D92" s="38">
        <f t="shared" si="10"/>
        <v>0</v>
      </c>
      <c r="K92" s="12" t="s">
        <v>20</v>
      </c>
      <c r="L92" s="12">
        <v>1</v>
      </c>
      <c r="N92" s="17">
        <f t="shared" si="6"/>
        <v>0</v>
      </c>
    </row>
    <row r="93" spans="3:14" ht="15" customHeight="1" x14ac:dyDescent="0.2">
      <c r="C93" s="87">
        <f t="shared" si="13"/>
        <v>171</v>
      </c>
      <c r="D93" s="38">
        <f t="shared" si="10"/>
        <v>0</v>
      </c>
      <c r="K93" s="12" t="s">
        <v>20</v>
      </c>
      <c r="L93" s="12">
        <v>1</v>
      </c>
      <c r="N93" s="17">
        <f t="shared" si="6"/>
        <v>0</v>
      </c>
    </row>
    <row r="94" spans="3:14" ht="15" customHeight="1" x14ac:dyDescent="0.2">
      <c r="C94" s="87">
        <f t="shared" si="8"/>
        <v>171</v>
      </c>
      <c r="D94" s="38">
        <f t="shared" si="10"/>
        <v>0</v>
      </c>
      <c r="K94" s="12" t="s">
        <v>20</v>
      </c>
      <c r="L94" s="12">
        <v>1</v>
      </c>
      <c r="N94" s="17">
        <f t="shared" si="6"/>
        <v>0</v>
      </c>
    </row>
    <row r="95" spans="3:14" ht="15" customHeight="1" x14ac:dyDescent="0.2">
      <c r="C95" s="87">
        <f t="shared" si="8"/>
        <v>171</v>
      </c>
      <c r="D95" s="38">
        <f t="shared" si="10"/>
        <v>0</v>
      </c>
      <c r="K95" s="12" t="s">
        <v>20</v>
      </c>
      <c r="L95" s="12">
        <v>1</v>
      </c>
      <c r="N95" s="17">
        <f t="shared" si="6"/>
        <v>0</v>
      </c>
    </row>
    <row r="96" spans="3:14" ht="15" customHeight="1" x14ac:dyDescent="0.2">
      <c r="C96" s="87">
        <f t="shared" si="8"/>
        <v>171</v>
      </c>
      <c r="D96" s="38">
        <f t="shared" si="10"/>
        <v>0</v>
      </c>
      <c r="K96" s="12" t="s">
        <v>20</v>
      </c>
      <c r="L96" s="12">
        <v>1</v>
      </c>
      <c r="N96" s="17">
        <f t="shared" si="6"/>
        <v>0</v>
      </c>
    </row>
    <row r="97" spans="3:14" ht="15" customHeight="1" x14ac:dyDescent="0.2">
      <c r="C97" s="87">
        <f t="shared" ref="C97:C98" si="14">C96+D97</f>
        <v>171</v>
      </c>
      <c r="D97" s="38">
        <f t="shared" si="10"/>
        <v>0</v>
      </c>
      <c r="K97" s="12" t="s">
        <v>20</v>
      </c>
      <c r="L97" s="12">
        <v>1</v>
      </c>
      <c r="N97" s="17">
        <f t="shared" si="6"/>
        <v>0</v>
      </c>
    </row>
    <row r="98" spans="3:14" ht="15" customHeight="1" x14ac:dyDescent="0.2">
      <c r="C98" s="87">
        <f t="shared" si="14"/>
        <v>171</v>
      </c>
      <c r="D98" s="38">
        <f t="shared" si="10"/>
        <v>0</v>
      </c>
      <c r="K98" s="12" t="s">
        <v>20</v>
      </c>
      <c r="L98" s="12">
        <v>1</v>
      </c>
      <c r="N98" s="17">
        <f t="shared" si="6"/>
        <v>0</v>
      </c>
    </row>
    <row r="99" spans="3:14" ht="15" customHeight="1" x14ac:dyDescent="0.2">
      <c r="C99" s="87">
        <f t="shared" si="8"/>
        <v>171</v>
      </c>
      <c r="D99" s="38">
        <f t="shared" si="10"/>
        <v>0</v>
      </c>
      <c r="K99" s="12" t="s">
        <v>20</v>
      </c>
      <c r="L99" s="12">
        <v>1</v>
      </c>
      <c r="N99" s="17">
        <f t="shared" si="6"/>
        <v>0</v>
      </c>
    </row>
    <row r="100" spans="3:14" ht="15" customHeight="1" x14ac:dyDescent="0.2">
      <c r="C100" s="87">
        <f t="shared" si="8"/>
        <v>171</v>
      </c>
      <c r="D100" s="38">
        <f t="shared" si="10"/>
        <v>0</v>
      </c>
      <c r="K100" s="12" t="s">
        <v>20</v>
      </c>
      <c r="L100" s="12">
        <v>1</v>
      </c>
      <c r="N100" s="17">
        <f t="shared" si="6"/>
        <v>0</v>
      </c>
    </row>
    <row r="101" spans="3:14" ht="15" customHeight="1" x14ac:dyDescent="0.2">
      <c r="C101" s="87">
        <f t="shared" si="8"/>
        <v>171</v>
      </c>
      <c r="D101" s="38">
        <f t="shared" si="10"/>
        <v>0</v>
      </c>
      <c r="K101" s="12" t="s">
        <v>20</v>
      </c>
      <c r="L101" s="12">
        <v>1</v>
      </c>
      <c r="N101" s="17">
        <f t="shared" si="6"/>
        <v>0</v>
      </c>
    </row>
    <row r="102" spans="3:14" ht="15" customHeight="1" x14ac:dyDescent="0.2">
      <c r="C102" s="87">
        <f t="shared" si="8"/>
        <v>171</v>
      </c>
      <c r="D102" s="38">
        <f t="shared" si="10"/>
        <v>0</v>
      </c>
      <c r="K102" s="12" t="s">
        <v>20</v>
      </c>
      <c r="L102" s="12">
        <v>1</v>
      </c>
      <c r="N102" s="17">
        <f t="shared" si="6"/>
        <v>0</v>
      </c>
    </row>
    <row r="103" spans="3:14" ht="15" customHeight="1" x14ac:dyDescent="0.2">
      <c r="C103" s="87">
        <f t="shared" si="8"/>
        <v>171</v>
      </c>
      <c r="D103" s="38">
        <f t="shared" si="10"/>
        <v>0</v>
      </c>
      <c r="K103" s="12" t="s">
        <v>20</v>
      </c>
      <c r="L103" s="12">
        <v>1</v>
      </c>
      <c r="N103" s="17">
        <f t="shared" si="6"/>
        <v>0</v>
      </c>
    </row>
    <row r="104" spans="3:14" ht="15" customHeight="1" x14ac:dyDescent="0.2">
      <c r="C104" s="87">
        <f t="shared" si="8"/>
        <v>171</v>
      </c>
      <c r="D104" s="38">
        <f t="shared" si="10"/>
        <v>0</v>
      </c>
      <c r="K104" s="12" t="s">
        <v>20</v>
      </c>
      <c r="L104" s="12">
        <v>1</v>
      </c>
      <c r="N104" s="17">
        <f t="shared" si="6"/>
        <v>0</v>
      </c>
    </row>
    <row r="105" spans="3:14" ht="15" customHeight="1" x14ac:dyDescent="0.2">
      <c r="C105" s="87">
        <f t="shared" si="8"/>
        <v>171</v>
      </c>
      <c r="D105" s="38">
        <f t="shared" si="10"/>
        <v>0</v>
      </c>
      <c r="K105" s="12" t="s">
        <v>20</v>
      </c>
      <c r="L105" s="12">
        <v>1</v>
      </c>
      <c r="N105" s="17">
        <f t="shared" si="6"/>
        <v>0</v>
      </c>
    </row>
    <row r="106" spans="3:14" ht="15" customHeight="1" x14ac:dyDescent="0.2">
      <c r="C106" s="87">
        <f t="shared" si="8"/>
        <v>171</v>
      </c>
      <c r="D106" s="38">
        <f t="shared" si="10"/>
        <v>0</v>
      </c>
      <c r="K106" s="12" t="s">
        <v>20</v>
      </c>
      <c r="L106" s="12">
        <v>1</v>
      </c>
      <c r="N106" s="17">
        <f t="shared" si="6"/>
        <v>0</v>
      </c>
    </row>
    <row r="107" spans="3:14" ht="15" customHeight="1" x14ac:dyDescent="0.2">
      <c r="C107" s="87">
        <f t="shared" si="8"/>
        <v>171</v>
      </c>
      <c r="D107" s="38">
        <f t="shared" si="10"/>
        <v>0</v>
      </c>
      <c r="K107" s="12" t="s">
        <v>20</v>
      </c>
      <c r="L107" s="12">
        <v>1</v>
      </c>
      <c r="N107" s="17">
        <f t="shared" si="6"/>
        <v>0</v>
      </c>
    </row>
    <row r="108" spans="3:14" ht="15" customHeight="1" x14ac:dyDescent="0.2">
      <c r="C108" s="87">
        <f t="shared" si="8"/>
        <v>171</v>
      </c>
      <c r="D108" s="38">
        <f t="shared" si="10"/>
        <v>0</v>
      </c>
      <c r="K108" s="12" t="s">
        <v>20</v>
      </c>
      <c r="L108" s="12">
        <v>1</v>
      </c>
      <c r="N108" s="17">
        <f t="shared" si="6"/>
        <v>0</v>
      </c>
    </row>
    <row r="109" spans="3:14" ht="15" customHeight="1" x14ac:dyDescent="0.2">
      <c r="C109" s="87">
        <f t="shared" si="8"/>
        <v>171</v>
      </c>
      <c r="D109" s="38">
        <f t="shared" si="10"/>
        <v>0</v>
      </c>
      <c r="K109" s="12" t="s">
        <v>20</v>
      </c>
      <c r="L109" s="12">
        <v>1</v>
      </c>
      <c r="N109" s="17">
        <f t="shared" si="6"/>
        <v>0</v>
      </c>
    </row>
    <row r="110" spans="3:14" ht="15" customHeight="1" x14ac:dyDescent="0.2">
      <c r="C110" s="87">
        <f t="shared" si="8"/>
        <v>171</v>
      </c>
      <c r="D110" s="38">
        <f t="shared" si="10"/>
        <v>0</v>
      </c>
      <c r="K110" s="12" t="s">
        <v>20</v>
      </c>
      <c r="L110" s="12">
        <v>1</v>
      </c>
      <c r="N110" s="17">
        <f t="shared" si="6"/>
        <v>0</v>
      </c>
    </row>
    <row r="111" spans="3:14" ht="15" customHeight="1" x14ac:dyDescent="0.2">
      <c r="C111" s="87">
        <f t="shared" si="8"/>
        <v>171</v>
      </c>
      <c r="D111" s="38">
        <f t="shared" si="10"/>
        <v>0</v>
      </c>
      <c r="K111" s="12" t="s">
        <v>20</v>
      </c>
      <c r="L111" s="12">
        <v>1</v>
      </c>
      <c r="N111" s="17">
        <f t="shared" si="6"/>
        <v>0</v>
      </c>
    </row>
    <row r="112" spans="3:14" ht="15" customHeight="1" x14ac:dyDescent="0.2">
      <c r="C112" s="87">
        <f t="shared" si="8"/>
        <v>171</v>
      </c>
      <c r="D112" s="38">
        <f t="shared" si="10"/>
        <v>0</v>
      </c>
      <c r="K112" s="12" t="s">
        <v>20</v>
      </c>
      <c r="L112" s="12">
        <v>1</v>
      </c>
      <c r="N112" s="17">
        <f t="shared" si="6"/>
        <v>0</v>
      </c>
    </row>
    <row r="113" spans="3:14" ht="15" customHeight="1" x14ac:dyDescent="0.2">
      <c r="C113" s="87">
        <f t="shared" si="8"/>
        <v>171</v>
      </c>
      <c r="D113" s="38">
        <f t="shared" si="10"/>
        <v>0</v>
      </c>
      <c r="K113" s="12" t="s">
        <v>20</v>
      </c>
      <c r="L113" s="12">
        <v>1</v>
      </c>
      <c r="N113" s="17">
        <f t="shared" si="6"/>
        <v>0</v>
      </c>
    </row>
    <row r="114" spans="3:14" ht="15" customHeight="1" x14ac:dyDescent="0.2">
      <c r="C114" s="87">
        <f t="shared" si="8"/>
        <v>171</v>
      </c>
      <c r="D114" s="38">
        <f t="shared" si="10"/>
        <v>0</v>
      </c>
      <c r="K114" s="12" t="s">
        <v>20</v>
      </c>
      <c r="L114" s="12">
        <v>1</v>
      </c>
      <c r="N114" s="17">
        <f t="shared" si="6"/>
        <v>0</v>
      </c>
    </row>
    <row r="115" spans="3:14" ht="15" customHeight="1" x14ac:dyDescent="0.2">
      <c r="C115" s="87">
        <f t="shared" ref="C115:C118" si="15">C114+D115</f>
        <v>171</v>
      </c>
      <c r="D115" s="38">
        <f t="shared" si="10"/>
        <v>0</v>
      </c>
      <c r="K115" s="12" t="s">
        <v>20</v>
      </c>
      <c r="L115" s="12">
        <v>1</v>
      </c>
      <c r="N115" s="17">
        <f t="shared" si="6"/>
        <v>0</v>
      </c>
    </row>
    <row r="116" spans="3:14" ht="15" customHeight="1" x14ac:dyDescent="0.2">
      <c r="C116" s="87">
        <f t="shared" si="15"/>
        <v>171</v>
      </c>
      <c r="D116" s="38">
        <f t="shared" si="10"/>
        <v>0</v>
      </c>
      <c r="K116" s="12" t="s">
        <v>20</v>
      </c>
      <c r="L116" s="12">
        <v>1</v>
      </c>
      <c r="N116" s="17">
        <f t="shared" si="6"/>
        <v>0</v>
      </c>
    </row>
    <row r="117" spans="3:14" ht="15" customHeight="1" x14ac:dyDescent="0.2">
      <c r="C117" s="87">
        <f t="shared" si="15"/>
        <v>171</v>
      </c>
      <c r="D117" s="38">
        <f t="shared" si="10"/>
        <v>0</v>
      </c>
      <c r="K117" s="12" t="s">
        <v>20</v>
      </c>
      <c r="L117" s="12">
        <v>1</v>
      </c>
      <c r="N117" s="17">
        <f t="shared" ref="N117:N119" si="16">L117*M117</f>
        <v>0</v>
      </c>
    </row>
    <row r="118" spans="3:14" ht="15" customHeight="1" x14ac:dyDescent="0.2">
      <c r="C118" s="87">
        <f t="shared" si="15"/>
        <v>171</v>
      </c>
      <c r="D118" s="38">
        <f t="shared" si="10"/>
        <v>0</v>
      </c>
      <c r="K118" s="12" t="s">
        <v>20</v>
      </c>
      <c r="L118" s="12">
        <v>1</v>
      </c>
      <c r="N118" s="17">
        <f t="shared" si="16"/>
        <v>0</v>
      </c>
    </row>
    <row r="119" spans="3:14" ht="15" customHeight="1" x14ac:dyDescent="0.2">
      <c r="C119" s="87">
        <f t="shared" si="8"/>
        <v>171</v>
      </c>
      <c r="D119" s="38">
        <f t="shared" si="10"/>
        <v>0</v>
      </c>
      <c r="K119" s="12" t="s">
        <v>20</v>
      </c>
      <c r="L119" s="12">
        <v>1</v>
      </c>
      <c r="N119" s="17">
        <f t="shared" si="16"/>
        <v>0</v>
      </c>
    </row>
    <row r="120" spans="3:14" ht="15" customHeight="1" x14ac:dyDescent="0.2">
      <c r="C120" s="87">
        <f t="shared" ref="C120:C175" si="17">C119+D120</f>
        <v>171</v>
      </c>
      <c r="D120" s="38">
        <f t="shared" si="10"/>
        <v>0</v>
      </c>
      <c r="K120" s="12" t="s">
        <v>20</v>
      </c>
      <c r="L120" s="12">
        <v>1</v>
      </c>
      <c r="N120" s="17">
        <f t="shared" ref="N120:N175" si="18">L120*M120</f>
        <v>0</v>
      </c>
    </row>
    <row r="121" spans="3:14" ht="15" customHeight="1" x14ac:dyDescent="0.2">
      <c r="C121" s="87">
        <f t="shared" si="17"/>
        <v>171</v>
      </c>
      <c r="D121" s="38">
        <f t="shared" si="10"/>
        <v>0</v>
      </c>
      <c r="K121" s="12" t="s">
        <v>20</v>
      </c>
      <c r="L121" s="12">
        <v>1</v>
      </c>
      <c r="N121" s="17">
        <f t="shared" si="18"/>
        <v>0</v>
      </c>
    </row>
    <row r="122" spans="3:14" ht="15" customHeight="1" x14ac:dyDescent="0.2">
      <c r="C122" s="87">
        <f t="shared" si="17"/>
        <v>171</v>
      </c>
      <c r="D122" s="38">
        <f t="shared" si="10"/>
        <v>0</v>
      </c>
      <c r="K122" s="12" t="s">
        <v>20</v>
      </c>
      <c r="L122" s="12">
        <v>1</v>
      </c>
      <c r="N122" s="17">
        <f t="shared" si="18"/>
        <v>0</v>
      </c>
    </row>
    <row r="123" spans="3:14" ht="15" customHeight="1" x14ac:dyDescent="0.2">
      <c r="C123" s="87">
        <f t="shared" si="17"/>
        <v>171</v>
      </c>
      <c r="D123" s="38">
        <f t="shared" si="10"/>
        <v>0</v>
      </c>
      <c r="K123" s="12" t="s">
        <v>20</v>
      </c>
      <c r="L123" s="12">
        <v>1</v>
      </c>
      <c r="N123" s="17">
        <f t="shared" si="18"/>
        <v>0</v>
      </c>
    </row>
    <row r="124" spans="3:14" ht="15" customHeight="1" x14ac:dyDescent="0.2">
      <c r="C124" s="87">
        <f t="shared" si="17"/>
        <v>171</v>
      </c>
      <c r="D124" s="38">
        <f t="shared" si="10"/>
        <v>0</v>
      </c>
      <c r="K124" s="12" t="s">
        <v>20</v>
      </c>
      <c r="L124" s="12">
        <v>1</v>
      </c>
      <c r="N124" s="17">
        <f t="shared" si="18"/>
        <v>0</v>
      </c>
    </row>
    <row r="125" spans="3:14" ht="15" customHeight="1" x14ac:dyDescent="0.2">
      <c r="C125" s="87">
        <f t="shared" si="17"/>
        <v>171</v>
      </c>
      <c r="D125" s="38">
        <f t="shared" si="10"/>
        <v>0</v>
      </c>
      <c r="K125" s="12" t="s">
        <v>20</v>
      </c>
      <c r="L125" s="12">
        <v>1</v>
      </c>
      <c r="N125" s="17">
        <f t="shared" si="18"/>
        <v>0</v>
      </c>
    </row>
    <row r="126" spans="3:14" ht="15" customHeight="1" x14ac:dyDescent="0.2">
      <c r="C126" s="87">
        <f t="shared" si="17"/>
        <v>171</v>
      </c>
      <c r="D126" s="38">
        <f t="shared" si="10"/>
        <v>0</v>
      </c>
      <c r="K126" s="12" t="s">
        <v>20</v>
      </c>
      <c r="L126" s="12">
        <v>1</v>
      </c>
      <c r="N126" s="17">
        <f t="shared" si="18"/>
        <v>0</v>
      </c>
    </row>
    <row r="127" spans="3:14" ht="15" customHeight="1" x14ac:dyDescent="0.2">
      <c r="C127" s="87">
        <f t="shared" si="17"/>
        <v>171</v>
      </c>
      <c r="D127" s="38">
        <f t="shared" si="10"/>
        <v>0</v>
      </c>
      <c r="K127" s="12" t="s">
        <v>20</v>
      </c>
      <c r="L127" s="12">
        <v>1</v>
      </c>
      <c r="N127" s="17">
        <f t="shared" si="18"/>
        <v>0</v>
      </c>
    </row>
    <row r="128" spans="3:14" ht="15" customHeight="1" x14ac:dyDescent="0.2">
      <c r="C128" s="87">
        <f t="shared" si="17"/>
        <v>171</v>
      </c>
      <c r="D128" s="38">
        <f t="shared" si="10"/>
        <v>0</v>
      </c>
      <c r="K128" s="12" t="s">
        <v>20</v>
      </c>
      <c r="L128" s="12">
        <v>1</v>
      </c>
      <c r="N128" s="17">
        <f t="shared" si="18"/>
        <v>0</v>
      </c>
    </row>
    <row r="129" spans="3:14" ht="15" customHeight="1" x14ac:dyDescent="0.2">
      <c r="C129" s="87">
        <f t="shared" si="17"/>
        <v>171</v>
      </c>
      <c r="D129" s="38">
        <f t="shared" si="10"/>
        <v>0</v>
      </c>
      <c r="K129" s="12" t="s">
        <v>20</v>
      </c>
      <c r="L129" s="12">
        <v>1</v>
      </c>
      <c r="N129" s="17">
        <f t="shared" si="18"/>
        <v>0</v>
      </c>
    </row>
    <row r="130" spans="3:14" ht="15" customHeight="1" x14ac:dyDescent="0.2">
      <c r="C130" s="87">
        <f t="shared" si="17"/>
        <v>171</v>
      </c>
      <c r="D130" s="38">
        <f t="shared" si="10"/>
        <v>0</v>
      </c>
      <c r="K130" s="12" t="s">
        <v>20</v>
      </c>
      <c r="L130" s="12">
        <v>1</v>
      </c>
      <c r="N130" s="17">
        <f t="shared" si="18"/>
        <v>0</v>
      </c>
    </row>
    <row r="131" spans="3:14" ht="15" customHeight="1" x14ac:dyDescent="0.2">
      <c r="C131" s="87">
        <f t="shared" ref="C131:C132" si="19">C130+D131</f>
        <v>171</v>
      </c>
      <c r="D131" s="38">
        <f t="shared" si="10"/>
        <v>0</v>
      </c>
      <c r="K131" s="12" t="s">
        <v>20</v>
      </c>
      <c r="L131" s="12">
        <v>1</v>
      </c>
      <c r="N131" s="17">
        <f t="shared" ref="N131:N132" si="20">L131*M131</f>
        <v>0</v>
      </c>
    </row>
    <row r="132" spans="3:14" ht="15" customHeight="1" x14ac:dyDescent="0.2">
      <c r="C132" s="87">
        <f t="shared" si="19"/>
        <v>171</v>
      </c>
      <c r="D132" s="38">
        <f t="shared" ref="D132:D177" si="21">IF(H132=H131,0,1)</f>
        <v>0</v>
      </c>
      <c r="K132" s="12" t="s">
        <v>20</v>
      </c>
      <c r="L132" s="12">
        <v>1</v>
      </c>
      <c r="N132" s="17">
        <f t="shared" si="20"/>
        <v>0</v>
      </c>
    </row>
    <row r="133" spans="3:14" ht="15" customHeight="1" x14ac:dyDescent="0.2">
      <c r="C133" s="87">
        <f t="shared" si="17"/>
        <v>171</v>
      </c>
      <c r="D133" s="38">
        <f t="shared" si="21"/>
        <v>0</v>
      </c>
      <c r="K133" s="12" t="s">
        <v>20</v>
      </c>
      <c r="L133" s="12">
        <v>1</v>
      </c>
      <c r="N133" s="17">
        <f t="shared" si="18"/>
        <v>0</v>
      </c>
    </row>
    <row r="134" spans="3:14" ht="15" customHeight="1" x14ac:dyDescent="0.2">
      <c r="C134" s="87">
        <f t="shared" si="17"/>
        <v>171</v>
      </c>
      <c r="D134" s="38">
        <f t="shared" si="21"/>
        <v>0</v>
      </c>
      <c r="K134" s="12" t="s">
        <v>20</v>
      </c>
      <c r="L134" s="12">
        <v>1</v>
      </c>
      <c r="N134" s="17">
        <f t="shared" si="18"/>
        <v>0</v>
      </c>
    </row>
    <row r="135" spans="3:14" ht="15" customHeight="1" x14ac:dyDescent="0.2">
      <c r="C135" s="87">
        <f t="shared" si="17"/>
        <v>171</v>
      </c>
      <c r="D135" s="38">
        <f t="shared" si="21"/>
        <v>0</v>
      </c>
      <c r="K135" s="12" t="s">
        <v>20</v>
      </c>
      <c r="L135" s="12">
        <v>1</v>
      </c>
      <c r="N135" s="17">
        <f t="shared" si="18"/>
        <v>0</v>
      </c>
    </row>
    <row r="136" spans="3:14" ht="15" customHeight="1" x14ac:dyDescent="0.2">
      <c r="C136" s="87">
        <f t="shared" ref="C136:C137" si="22">C135+D136</f>
        <v>171</v>
      </c>
      <c r="D136" s="38">
        <f t="shared" si="21"/>
        <v>0</v>
      </c>
      <c r="K136" s="12" t="s">
        <v>20</v>
      </c>
      <c r="L136" s="12">
        <v>1</v>
      </c>
      <c r="N136" s="17">
        <f t="shared" ref="N136:N137" si="23">L136*M136</f>
        <v>0</v>
      </c>
    </row>
    <row r="137" spans="3:14" ht="15" customHeight="1" x14ac:dyDescent="0.2">
      <c r="C137" s="87">
        <f t="shared" si="22"/>
        <v>171</v>
      </c>
      <c r="D137" s="38">
        <f t="shared" si="21"/>
        <v>0</v>
      </c>
      <c r="K137" s="12" t="s">
        <v>20</v>
      </c>
      <c r="L137" s="12">
        <v>1</v>
      </c>
      <c r="N137" s="17">
        <f t="shared" si="23"/>
        <v>0</v>
      </c>
    </row>
    <row r="138" spans="3:14" ht="15" customHeight="1" x14ac:dyDescent="0.2">
      <c r="C138" s="87">
        <f t="shared" si="17"/>
        <v>171</v>
      </c>
      <c r="D138" s="38">
        <f t="shared" si="21"/>
        <v>0</v>
      </c>
      <c r="K138" s="12" t="s">
        <v>20</v>
      </c>
      <c r="L138" s="12">
        <v>1</v>
      </c>
      <c r="N138" s="17">
        <f t="shared" si="18"/>
        <v>0</v>
      </c>
    </row>
    <row r="139" spans="3:14" ht="15" customHeight="1" x14ac:dyDescent="0.2">
      <c r="C139" s="87">
        <f t="shared" si="17"/>
        <v>171</v>
      </c>
      <c r="D139" s="38">
        <f t="shared" si="21"/>
        <v>0</v>
      </c>
      <c r="K139" s="12" t="s">
        <v>20</v>
      </c>
      <c r="L139" s="12">
        <v>1</v>
      </c>
      <c r="N139" s="17">
        <f t="shared" si="18"/>
        <v>0</v>
      </c>
    </row>
    <row r="140" spans="3:14" ht="15" customHeight="1" x14ac:dyDescent="0.2">
      <c r="C140" s="87">
        <f t="shared" si="17"/>
        <v>171</v>
      </c>
      <c r="D140" s="38">
        <f t="shared" si="21"/>
        <v>0</v>
      </c>
      <c r="K140" s="12" t="s">
        <v>20</v>
      </c>
      <c r="L140" s="12">
        <v>1</v>
      </c>
      <c r="N140" s="17">
        <f t="shared" si="18"/>
        <v>0</v>
      </c>
    </row>
    <row r="141" spans="3:14" ht="15" customHeight="1" x14ac:dyDescent="0.2">
      <c r="C141" s="87">
        <f t="shared" si="17"/>
        <v>171</v>
      </c>
      <c r="D141" s="38">
        <f t="shared" si="21"/>
        <v>0</v>
      </c>
      <c r="K141" s="12" t="s">
        <v>20</v>
      </c>
      <c r="L141" s="12">
        <v>1</v>
      </c>
      <c r="N141" s="17">
        <f t="shared" si="18"/>
        <v>0</v>
      </c>
    </row>
    <row r="142" spans="3:14" ht="15" customHeight="1" x14ac:dyDescent="0.2">
      <c r="C142" s="87">
        <f t="shared" si="17"/>
        <v>171</v>
      </c>
      <c r="D142" s="38">
        <f t="shared" si="21"/>
        <v>0</v>
      </c>
      <c r="K142" s="12" t="s">
        <v>20</v>
      </c>
      <c r="L142" s="12">
        <v>1</v>
      </c>
      <c r="N142" s="17">
        <f t="shared" si="18"/>
        <v>0</v>
      </c>
    </row>
    <row r="143" spans="3:14" ht="15" customHeight="1" x14ac:dyDescent="0.2">
      <c r="C143" s="87">
        <f t="shared" si="17"/>
        <v>171</v>
      </c>
      <c r="D143" s="38">
        <f t="shared" si="21"/>
        <v>0</v>
      </c>
      <c r="K143" s="12" t="s">
        <v>20</v>
      </c>
      <c r="L143" s="12">
        <v>1</v>
      </c>
      <c r="N143" s="17">
        <f t="shared" si="18"/>
        <v>0</v>
      </c>
    </row>
    <row r="144" spans="3:14" ht="15" customHeight="1" x14ac:dyDescent="0.2">
      <c r="C144" s="87">
        <f t="shared" si="17"/>
        <v>171</v>
      </c>
      <c r="D144" s="38">
        <f t="shared" si="21"/>
        <v>0</v>
      </c>
      <c r="K144" s="12" t="s">
        <v>20</v>
      </c>
      <c r="L144" s="12">
        <v>1</v>
      </c>
      <c r="N144" s="17">
        <f t="shared" si="18"/>
        <v>0</v>
      </c>
    </row>
    <row r="145" spans="3:14" ht="15" customHeight="1" x14ac:dyDescent="0.2">
      <c r="C145" s="87">
        <f t="shared" si="17"/>
        <v>171</v>
      </c>
      <c r="D145" s="38">
        <f t="shared" si="21"/>
        <v>0</v>
      </c>
      <c r="K145" s="12" t="s">
        <v>20</v>
      </c>
      <c r="L145" s="12">
        <v>1</v>
      </c>
      <c r="N145" s="17">
        <f t="shared" si="18"/>
        <v>0</v>
      </c>
    </row>
    <row r="146" spans="3:14" ht="15" customHeight="1" x14ac:dyDescent="0.2">
      <c r="C146" s="87">
        <f t="shared" si="17"/>
        <v>171</v>
      </c>
      <c r="D146" s="38">
        <f t="shared" si="21"/>
        <v>0</v>
      </c>
      <c r="K146" s="12" t="s">
        <v>20</v>
      </c>
      <c r="L146" s="12">
        <v>1</v>
      </c>
      <c r="N146" s="17">
        <f t="shared" si="18"/>
        <v>0</v>
      </c>
    </row>
    <row r="147" spans="3:14" ht="15" customHeight="1" x14ac:dyDescent="0.2">
      <c r="C147" s="87">
        <f t="shared" si="17"/>
        <v>171</v>
      </c>
      <c r="D147" s="38">
        <f t="shared" si="21"/>
        <v>0</v>
      </c>
      <c r="K147" s="12" t="s">
        <v>20</v>
      </c>
      <c r="L147" s="12">
        <v>1</v>
      </c>
      <c r="N147" s="17">
        <f t="shared" si="18"/>
        <v>0</v>
      </c>
    </row>
    <row r="148" spans="3:14" ht="15" customHeight="1" x14ac:dyDescent="0.2">
      <c r="C148" s="87">
        <f t="shared" si="17"/>
        <v>171</v>
      </c>
      <c r="D148" s="38">
        <f t="shared" si="21"/>
        <v>0</v>
      </c>
      <c r="K148" s="12" t="s">
        <v>20</v>
      </c>
      <c r="L148" s="12">
        <v>1</v>
      </c>
      <c r="N148" s="17">
        <f t="shared" si="18"/>
        <v>0</v>
      </c>
    </row>
    <row r="149" spans="3:14" ht="15" customHeight="1" x14ac:dyDescent="0.2">
      <c r="C149" s="87">
        <f t="shared" ref="C149:C150" si="24">C148+D149</f>
        <v>171</v>
      </c>
      <c r="D149" s="38">
        <f t="shared" si="21"/>
        <v>0</v>
      </c>
      <c r="K149" s="12" t="s">
        <v>20</v>
      </c>
      <c r="L149" s="12">
        <v>1</v>
      </c>
      <c r="N149" s="17">
        <f t="shared" ref="N149:N150" si="25">L149*M149</f>
        <v>0</v>
      </c>
    </row>
    <row r="150" spans="3:14" ht="15" customHeight="1" x14ac:dyDescent="0.2">
      <c r="C150" s="87">
        <f t="shared" si="24"/>
        <v>171</v>
      </c>
      <c r="D150" s="38">
        <f t="shared" si="21"/>
        <v>0</v>
      </c>
      <c r="K150" s="12" t="s">
        <v>20</v>
      </c>
      <c r="L150" s="12">
        <v>1</v>
      </c>
      <c r="N150" s="17">
        <f t="shared" si="25"/>
        <v>0</v>
      </c>
    </row>
    <row r="151" spans="3:14" ht="15" customHeight="1" x14ac:dyDescent="0.2">
      <c r="C151" s="87">
        <f t="shared" si="17"/>
        <v>171</v>
      </c>
      <c r="D151" s="38">
        <f t="shared" si="21"/>
        <v>0</v>
      </c>
      <c r="K151" s="12" t="s">
        <v>20</v>
      </c>
      <c r="L151" s="12">
        <v>1</v>
      </c>
      <c r="N151" s="17">
        <f t="shared" si="18"/>
        <v>0</v>
      </c>
    </row>
    <row r="152" spans="3:14" ht="15" customHeight="1" x14ac:dyDescent="0.2">
      <c r="C152" s="87">
        <f t="shared" si="17"/>
        <v>171</v>
      </c>
      <c r="D152" s="38">
        <f t="shared" si="21"/>
        <v>0</v>
      </c>
      <c r="K152" s="12" t="s">
        <v>20</v>
      </c>
      <c r="L152" s="12">
        <v>1</v>
      </c>
      <c r="N152" s="17">
        <f t="shared" si="18"/>
        <v>0</v>
      </c>
    </row>
    <row r="153" spans="3:14" ht="15" customHeight="1" x14ac:dyDescent="0.2">
      <c r="C153" s="87">
        <f t="shared" si="17"/>
        <v>171</v>
      </c>
      <c r="D153" s="38">
        <f t="shared" si="21"/>
        <v>0</v>
      </c>
      <c r="K153" s="12" t="s">
        <v>20</v>
      </c>
      <c r="L153" s="12">
        <v>1</v>
      </c>
      <c r="N153" s="17">
        <f t="shared" si="18"/>
        <v>0</v>
      </c>
    </row>
    <row r="154" spans="3:14" ht="15" customHeight="1" x14ac:dyDescent="0.2">
      <c r="C154" s="87">
        <f t="shared" si="17"/>
        <v>171</v>
      </c>
      <c r="D154" s="38">
        <f t="shared" si="21"/>
        <v>0</v>
      </c>
      <c r="K154" s="12" t="s">
        <v>20</v>
      </c>
      <c r="L154" s="12">
        <v>1</v>
      </c>
      <c r="N154" s="17">
        <f t="shared" si="18"/>
        <v>0</v>
      </c>
    </row>
    <row r="155" spans="3:14" ht="15" customHeight="1" x14ac:dyDescent="0.2">
      <c r="C155" s="87">
        <f t="shared" si="17"/>
        <v>171</v>
      </c>
      <c r="D155" s="38">
        <f t="shared" si="21"/>
        <v>0</v>
      </c>
      <c r="K155" s="12" t="s">
        <v>20</v>
      </c>
      <c r="L155" s="12">
        <v>1</v>
      </c>
      <c r="N155" s="17">
        <f t="shared" si="18"/>
        <v>0</v>
      </c>
    </row>
    <row r="156" spans="3:14" ht="15" customHeight="1" x14ac:dyDescent="0.2">
      <c r="C156" s="87">
        <f t="shared" si="17"/>
        <v>171</v>
      </c>
      <c r="D156" s="38">
        <f t="shared" si="21"/>
        <v>0</v>
      </c>
      <c r="K156" s="12" t="s">
        <v>20</v>
      </c>
      <c r="L156" s="12">
        <v>1</v>
      </c>
      <c r="N156" s="17">
        <f t="shared" si="18"/>
        <v>0</v>
      </c>
    </row>
    <row r="157" spans="3:14" ht="15" customHeight="1" x14ac:dyDescent="0.2">
      <c r="C157" s="87">
        <f t="shared" si="17"/>
        <v>171</v>
      </c>
      <c r="D157" s="38">
        <f t="shared" si="21"/>
        <v>0</v>
      </c>
      <c r="K157" s="12" t="s">
        <v>20</v>
      </c>
      <c r="L157" s="12">
        <v>1</v>
      </c>
      <c r="N157" s="17">
        <f t="shared" si="18"/>
        <v>0</v>
      </c>
    </row>
    <row r="158" spans="3:14" ht="15" customHeight="1" x14ac:dyDescent="0.2">
      <c r="C158" s="87">
        <f t="shared" si="17"/>
        <v>171</v>
      </c>
      <c r="D158" s="38">
        <f t="shared" si="21"/>
        <v>0</v>
      </c>
      <c r="K158" s="12" t="s">
        <v>20</v>
      </c>
      <c r="L158" s="12">
        <v>1</v>
      </c>
      <c r="N158" s="17">
        <f t="shared" si="18"/>
        <v>0</v>
      </c>
    </row>
    <row r="159" spans="3:14" ht="15" customHeight="1" x14ac:dyDescent="0.2">
      <c r="C159" s="87">
        <f t="shared" si="17"/>
        <v>171</v>
      </c>
      <c r="D159" s="38">
        <f t="shared" si="21"/>
        <v>0</v>
      </c>
      <c r="K159" s="12" t="s">
        <v>20</v>
      </c>
      <c r="L159" s="12">
        <v>1</v>
      </c>
      <c r="N159" s="17">
        <f t="shared" si="18"/>
        <v>0</v>
      </c>
    </row>
    <row r="160" spans="3:14" ht="15" customHeight="1" x14ac:dyDescent="0.2">
      <c r="C160" s="87">
        <f t="shared" si="17"/>
        <v>171</v>
      </c>
      <c r="D160" s="38">
        <f t="shared" si="21"/>
        <v>0</v>
      </c>
      <c r="K160" s="12" t="s">
        <v>20</v>
      </c>
      <c r="L160" s="12">
        <v>1</v>
      </c>
      <c r="N160" s="17">
        <f t="shared" si="18"/>
        <v>0</v>
      </c>
    </row>
    <row r="161" spans="3:14" ht="15" customHeight="1" x14ac:dyDescent="0.2">
      <c r="C161" s="87">
        <f t="shared" si="17"/>
        <v>171</v>
      </c>
      <c r="D161" s="38">
        <f t="shared" si="21"/>
        <v>0</v>
      </c>
      <c r="K161" s="12" t="s">
        <v>20</v>
      </c>
      <c r="L161" s="12">
        <v>1</v>
      </c>
      <c r="N161" s="17">
        <f t="shared" si="18"/>
        <v>0</v>
      </c>
    </row>
    <row r="162" spans="3:14" ht="15" customHeight="1" x14ac:dyDescent="0.2">
      <c r="C162" s="87">
        <f t="shared" si="17"/>
        <v>171</v>
      </c>
      <c r="D162" s="38">
        <f t="shared" si="21"/>
        <v>0</v>
      </c>
      <c r="K162" s="12" t="s">
        <v>20</v>
      </c>
      <c r="L162" s="12">
        <v>1</v>
      </c>
      <c r="N162" s="17">
        <f t="shared" si="18"/>
        <v>0</v>
      </c>
    </row>
    <row r="163" spans="3:14" ht="15" customHeight="1" x14ac:dyDescent="0.2">
      <c r="C163" s="87">
        <f t="shared" si="17"/>
        <v>171</v>
      </c>
      <c r="D163" s="38">
        <f t="shared" si="21"/>
        <v>0</v>
      </c>
      <c r="K163" s="12" t="s">
        <v>20</v>
      </c>
      <c r="L163" s="12">
        <v>1</v>
      </c>
      <c r="N163" s="17">
        <f t="shared" si="18"/>
        <v>0</v>
      </c>
    </row>
    <row r="164" spans="3:14" ht="15" customHeight="1" x14ac:dyDescent="0.2">
      <c r="C164" s="87">
        <f t="shared" si="17"/>
        <v>171</v>
      </c>
      <c r="D164" s="38">
        <f t="shared" si="21"/>
        <v>0</v>
      </c>
      <c r="K164" s="12" t="s">
        <v>20</v>
      </c>
      <c r="L164" s="12">
        <v>1</v>
      </c>
      <c r="N164" s="17">
        <f t="shared" si="18"/>
        <v>0</v>
      </c>
    </row>
    <row r="165" spans="3:14" ht="15" customHeight="1" x14ac:dyDescent="0.2">
      <c r="C165" s="87">
        <f t="shared" si="17"/>
        <v>171</v>
      </c>
      <c r="D165" s="38">
        <f t="shared" si="21"/>
        <v>0</v>
      </c>
      <c r="K165" s="12" t="s">
        <v>20</v>
      </c>
      <c r="L165" s="12">
        <v>1</v>
      </c>
      <c r="N165" s="17">
        <f t="shared" si="18"/>
        <v>0</v>
      </c>
    </row>
    <row r="166" spans="3:14" ht="15" customHeight="1" x14ac:dyDescent="0.2">
      <c r="C166" s="87">
        <f t="shared" ref="C166:C167" si="26">C165+D166</f>
        <v>171</v>
      </c>
      <c r="D166" s="38">
        <f t="shared" si="21"/>
        <v>0</v>
      </c>
      <c r="K166" s="12" t="s">
        <v>20</v>
      </c>
      <c r="L166" s="12">
        <v>1</v>
      </c>
      <c r="N166" s="17">
        <f t="shared" ref="N166:N167" si="27">L166*M166</f>
        <v>0</v>
      </c>
    </row>
    <row r="167" spans="3:14" ht="15" customHeight="1" x14ac:dyDescent="0.2">
      <c r="C167" s="87">
        <f t="shared" si="26"/>
        <v>171</v>
      </c>
      <c r="D167" s="38">
        <f t="shared" si="21"/>
        <v>0</v>
      </c>
      <c r="K167" s="12" t="s">
        <v>20</v>
      </c>
      <c r="L167" s="12">
        <v>1</v>
      </c>
      <c r="N167" s="17">
        <f t="shared" si="27"/>
        <v>0</v>
      </c>
    </row>
    <row r="168" spans="3:14" ht="15" customHeight="1" x14ac:dyDescent="0.2">
      <c r="C168" s="87">
        <f t="shared" si="17"/>
        <v>171</v>
      </c>
      <c r="D168" s="38">
        <f t="shared" si="21"/>
        <v>0</v>
      </c>
      <c r="K168" s="12" t="s">
        <v>20</v>
      </c>
      <c r="L168" s="12">
        <v>1</v>
      </c>
      <c r="N168" s="17">
        <f t="shared" si="18"/>
        <v>0</v>
      </c>
    </row>
    <row r="169" spans="3:14" ht="15" customHeight="1" x14ac:dyDescent="0.2">
      <c r="C169" s="87">
        <f t="shared" si="17"/>
        <v>171</v>
      </c>
      <c r="D169" s="38">
        <f t="shared" si="21"/>
        <v>0</v>
      </c>
      <c r="K169" s="12" t="s">
        <v>20</v>
      </c>
      <c r="L169" s="12">
        <v>1</v>
      </c>
      <c r="N169" s="17">
        <f t="shared" si="18"/>
        <v>0</v>
      </c>
    </row>
    <row r="170" spans="3:14" ht="15" customHeight="1" x14ac:dyDescent="0.2">
      <c r="C170" s="87">
        <f t="shared" si="17"/>
        <v>171</v>
      </c>
      <c r="D170" s="38">
        <f t="shared" si="21"/>
        <v>0</v>
      </c>
      <c r="K170" s="12" t="s">
        <v>20</v>
      </c>
      <c r="L170" s="12">
        <v>1</v>
      </c>
      <c r="N170" s="17">
        <f t="shared" si="18"/>
        <v>0</v>
      </c>
    </row>
    <row r="171" spans="3:14" ht="15" customHeight="1" x14ac:dyDescent="0.2">
      <c r="C171" s="87">
        <f t="shared" si="17"/>
        <v>171</v>
      </c>
      <c r="D171" s="38">
        <f t="shared" si="21"/>
        <v>0</v>
      </c>
      <c r="K171" s="12" t="s">
        <v>20</v>
      </c>
      <c r="L171" s="12">
        <v>1</v>
      </c>
      <c r="N171" s="17">
        <f t="shared" si="18"/>
        <v>0</v>
      </c>
    </row>
    <row r="172" spans="3:14" ht="15" customHeight="1" x14ac:dyDescent="0.2">
      <c r="C172" s="87">
        <f t="shared" si="17"/>
        <v>171</v>
      </c>
      <c r="D172" s="38">
        <f t="shared" si="21"/>
        <v>0</v>
      </c>
      <c r="K172" s="12" t="s">
        <v>20</v>
      </c>
      <c r="L172" s="12">
        <v>1</v>
      </c>
      <c r="N172" s="17">
        <f t="shared" si="18"/>
        <v>0</v>
      </c>
    </row>
    <row r="173" spans="3:14" ht="15" customHeight="1" x14ac:dyDescent="0.2">
      <c r="C173" s="87">
        <f t="shared" si="17"/>
        <v>171</v>
      </c>
      <c r="D173" s="38">
        <f t="shared" si="21"/>
        <v>0</v>
      </c>
      <c r="K173" s="12" t="s">
        <v>20</v>
      </c>
      <c r="L173" s="12">
        <v>1</v>
      </c>
      <c r="N173" s="17">
        <f t="shared" si="18"/>
        <v>0</v>
      </c>
    </row>
    <row r="174" spans="3:14" ht="15" customHeight="1" x14ac:dyDescent="0.2">
      <c r="C174" s="87">
        <f t="shared" si="17"/>
        <v>171</v>
      </c>
      <c r="D174" s="38">
        <f t="shared" si="21"/>
        <v>0</v>
      </c>
      <c r="K174" s="12" t="s">
        <v>20</v>
      </c>
      <c r="L174" s="12">
        <v>1</v>
      </c>
      <c r="N174" s="17">
        <f t="shared" si="18"/>
        <v>0</v>
      </c>
    </row>
    <row r="175" spans="3:14" ht="15" customHeight="1" x14ac:dyDescent="0.2">
      <c r="C175" s="87">
        <f t="shared" si="17"/>
        <v>171</v>
      </c>
      <c r="D175" s="38">
        <f t="shared" si="21"/>
        <v>0</v>
      </c>
      <c r="K175" s="12" t="s">
        <v>20</v>
      </c>
      <c r="L175" s="12">
        <v>1</v>
      </c>
      <c r="N175" s="17">
        <f t="shared" si="18"/>
        <v>0</v>
      </c>
    </row>
    <row r="176" spans="3:14" ht="15" customHeight="1" x14ac:dyDescent="0.2">
      <c r="C176" s="87">
        <f t="shared" ref="C176" si="28">C175+D176</f>
        <v>171</v>
      </c>
      <c r="D176" s="38">
        <f t="shared" si="21"/>
        <v>0</v>
      </c>
      <c r="K176" s="12" t="s">
        <v>20</v>
      </c>
      <c r="L176" s="12">
        <v>1</v>
      </c>
      <c r="N176" s="17">
        <f t="shared" ref="N176" si="29">L176*M176</f>
        <v>0</v>
      </c>
    </row>
    <row r="177" spans="3:14" ht="15" customHeight="1" x14ac:dyDescent="0.2">
      <c r="C177" s="87">
        <f t="shared" ref="C177" si="30">C176+D177</f>
        <v>171</v>
      </c>
      <c r="D177" s="38">
        <f t="shared" si="21"/>
        <v>0</v>
      </c>
      <c r="K177" s="12" t="s">
        <v>20</v>
      </c>
      <c r="L177" s="12">
        <v>1</v>
      </c>
      <c r="N177" s="17">
        <f t="shared" ref="N177" si="31">L177*M177</f>
        <v>0</v>
      </c>
    </row>
  </sheetData>
  <autoFilter ref="A3:P175" xr:uid="{00000000-0009-0000-0000-000010000000}">
    <sortState xmlns:xlrd2="http://schemas.microsoft.com/office/spreadsheetml/2017/richdata2" ref="A4:P41">
      <sortCondition ref="P3:P41"/>
    </sortState>
  </autoFilter>
  <mergeCells count="13">
    <mergeCell ref="N1:N2"/>
    <mergeCell ref="G1:G2"/>
    <mergeCell ref="H1:H2"/>
    <mergeCell ref="I1:J1"/>
    <mergeCell ref="K1:K2"/>
    <mergeCell ref="L1:L2"/>
    <mergeCell ref="M1:M2"/>
    <mergeCell ref="F1:F2"/>
    <mergeCell ref="A1:A2"/>
    <mergeCell ref="B1:B2"/>
    <mergeCell ref="C1:C2"/>
    <mergeCell ref="D1:D2"/>
    <mergeCell ref="E1:E2"/>
  </mergeCells>
  <conditionalFormatting sqref="O114:O119">
    <cfRule type="uniqueValues" dxfId="0" priority="1"/>
  </conditionalFormatting>
  <hyperlinks>
    <hyperlink ref="P1" location="Summary!A1" display="Back to summary" xr:uid="{00000000-0004-0000-1000-000000000000}"/>
  </hyperlink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filterMode="1">
    <tabColor rgb="FF92D050"/>
  </sheetPr>
  <dimension ref="A1:Q410"/>
  <sheetViews>
    <sheetView workbookViewId="0">
      <selection activeCell="M15" sqref="M15:M110"/>
    </sheetView>
  </sheetViews>
  <sheetFormatPr defaultRowHeight="15" x14ac:dyDescent="0.25"/>
  <cols>
    <col min="1" max="6" width="9.140625" style="123"/>
    <col min="7" max="7" width="12.7109375" style="123" bestFit="1" customWidth="1"/>
    <col min="8" max="8" width="33" style="123" customWidth="1"/>
    <col min="9" max="12" width="9.140625" style="123"/>
    <col min="13" max="15" width="11.28515625" style="123" bestFit="1" customWidth="1"/>
    <col min="16" max="16" width="9.140625" style="123"/>
    <col min="17" max="17" width="14.28515625" style="123" bestFit="1" customWidth="1"/>
    <col min="18" max="16384" width="9.140625" style="123"/>
  </cols>
  <sheetData>
    <row r="1" spans="1:16" ht="15.75" customHeight="1" thickBot="1" x14ac:dyDescent="0.25">
      <c r="A1" s="232" t="s">
        <v>0</v>
      </c>
      <c r="B1" s="196" t="s">
        <v>1</v>
      </c>
      <c r="C1" s="232" t="s">
        <v>2</v>
      </c>
      <c r="D1" s="234" t="s">
        <v>3</v>
      </c>
      <c r="E1" s="234" t="s">
        <v>4</v>
      </c>
      <c r="F1" s="234" t="s">
        <v>5</v>
      </c>
      <c r="G1" s="226" t="s">
        <v>6</v>
      </c>
      <c r="H1" s="228" t="s">
        <v>7</v>
      </c>
      <c r="I1" s="230" t="s">
        <v>8</v>
      </c>
      <c r="J1" s="231"/>
      <c r="K1" s="232" t="s">
        <v>9</v>
      </c>
      <c r="L1" s="232" t="s">
        <v>10</v>
      </c>
      <c r="M1" s="224" t="s">
        <v>76</v>
      </c>
      <c r="N1" s="224" t="s">
        <v>77</v>
      </c>
      <c r="O1" s="88" t="s">
        <v>78</v>
      </c>
      <c r="P1" s="146" t="s">
        <v>356</v>
      </c>
    </row>
    <row r="2" spans="1:16" ht="15.75" thickBot="1" x14ac:dyDescent="0.3">
      <c r="A2" s="233"/>
      <c r="B2" s="197"/>
      <c r="C2" s="233"/>
      <c r="D2" s="236"/>
      <c r="E2" s="236"/>
      <c r="F2" s="235"/>
      <c r="G2" s="227"/>
      <c r="H2" s="229"/>
      <c r="I2" s="93" t="s">
        <v>13</v>
      </c>
      <c r="J2" s="94" t="s">
        <v>14</v>
      </c>
      <c r="K2" s="233"/>
      <c r="L2" s="233"/>
      <c r="M2" s="225"/>
      <c r="N2" s="225"/>
      <c r="O2" s="89" t="s">
        <v>78</v>
      </c>
      <c r="P2" s="89"/>
    </row>
    <row r="3" spans="1:16" x14ac:dyDescent="0.25">
      <c r="A3" s="95"/>
      <c r="B3" s="66"/>
      <c r="C3" s="95">
        <v>238</v>
      </c>
      <c r="D3" s="96"/>
      <c r="E3" s="96"/>
      <c r="F3" s="96"/>
      <c r="G3" s="97" t="s">
        <v>15</v>
      </c>
      <c r="H3" s="98"/>
      <c r="I3" s="98"/>
      <c r="J3" s="98"/>
      <c r="K3" s="95"/>
      <c r="L3" s="95"/>
      <c r="M3" s="99"/>
      <c r="N3" s="99"/>
      <c r="O3" s="89" t="s">
        <v>16</v>
      </c>
      <c r="P3" s="89" t="s">
        <v>376</v>
      </c>
    </row>
    <row r="4" spans="1:16" hidden="1" x14ac:dyDescent="0.2">
      <c r="A4" s="90" t="s">
        <v>309</v>
      </c>
      <c r="B4" s="36">
        <v>46024</v>
      </c>
      <c r="C4" s="90">
        <f>C3+D4</f>
        <v>239</v>
      </c>
      <c r="D4" s="38">
        <f t="shared" ref="D4:D68" si="0">IF(H4=H3,0,1)</f>
        <v>1</v>
      </c>
      <c r="E4" s="90"/>
      <c r="F4" s="90"/>
      <c r="G4" s="91" t="s">
        <v>56</v>
      </c>
      <c r="H4" s="12" t="s">
        <v>2451</v>
      </c>
      <c r="I4" s="125">
        <v>112111</v>
      </c>
      <c r="J4" s="125">
        <v>131</v>
      </c>
      <c r="K4" s="90" t="s">
        <v>20</v>
      </c>
      <c r="L4" s="90">
        <v>1</v>
      </c>
      <c r="M4" s="100">
        <v>53225806</v>
      </c>
      <c r="N4" s="124">
        <f t="shared" ref="N4:N68" si="1">L4*M4</f>
        <v>53225806</v>
      </c>
      <c r="O4" s="101"/>
      <c r="P4" s="90">
        <f>LEN(H4)</f>
        <v>165</v>
      </c>
    </row>
    <row r="5" spans="1:16" hidden="1" x14ac:dyDescent="0.2">
      <c r="A5" s="90" t="s">
        <v>309</v>
      </c>
      <c r="B5" s="36">
        <v>46024</v>
      </c>
      <c r="C5" s="90">
        <f>C4+D5</f>
        <v>240</v>
      </c>
      <c r="D5" s="38">
        <f t="shared" si="0"/>
        <v>1</v>
      </c>
      <c r="E5" s="90"/>
      <c r="F5" s="90"/>
      <c r="G5" s="91" t="s">
        <v>56</v>
      </c>
      <c r="H5" s="12" t="s">
        <v>2452</v>
      </c>
      <c r="I5" s="125">
        <v>112111</v>
      </c>
      <c r="J5" s="125">
        <v>131</v>
      </c>
      <c r="K5" s="90" t="s">
        <v>20</v>
      </c>
      <c r="L5" s="90">
        <v>1</v>
      </c>
      <c r="M5" s="100">
        <v>53225806</v>
      </c>
      <c r="N5" s="124">
        <f t="shared" si="1"/>
        <v>53225806</v>
      </c>
      <c r="O5" s="101"/>
      <c r="P5" s="90">
        <f t="shared" ref="P5:P68" si="2">LEN(H5)</f>
        <v>185</v>
      </c>
    </row>
    <row r="6" spans="1:16" hidden="1" x14ac:dyDescent="0.2">
      <c r="A6" s="90" t="s">
        <v>18</v>
      </c>
      <c r="B6" s="36">
        <v>46026</v>
      </c>
      <c r="C6" s="90">
        <f t="shared" ref="C6:C70" si="3">C5+D6</f>
        <v>241</v>
      </c>
      <c r="D6" s="38">
        <f t="shared" si="0"/>
        <v>1</v>
      </c>
      <c r="E6" s="90"/>
      <c r="F6" s="90"/>
      <c r="G6" s="91" t="s">
        <v>1668</v>
      </c>
      <c r="H6" s="12" t="s">
        <v>2410</v>
      </c>
      <c r="I6" s="125">
        <v>64277</v>
      </c>
      <c r="J6" s="125">
        <v>331</v>
      </c>
      <c r="K6" s="90" t="s">
        <v>20</v>
      </c>
      <c r="L6" s="90">
        <v>1</v>
      </c>
      <c r="M6" s="100">
        <v>352804</v>
      </c>
      <c r="N6" s="124">
        <f t="shared" si="1"/>
        <v>352804</v>
      </c>
      <c r="O6" s="101"/>
      <c r="P6" s="90">
        <f t="shared" si="2"/>
        <v>43</v>
      </c>
    </row>
    <row r="7" spans="1:16" hidden="1" x14ac:dyDescent="0.2">
      <c r="A7" s="90" t="s">
        <v>18</v>
      </c>
      <c r="B7" s="69">
        <v>46026</v>
      </c>
      <c r="C7" s="90">
        <f t="shared" si="3"/>
        <v>241</v>
      </c>
      <c r="D7" s="38">
        <f t="shared" si="0"/>
        <v>0</v>
      </c>
      <c r="E7" s="90"/>
      <c r="F7" s="90"/>
      <c r="G7" s="91" t="s">
        <v>1668</v>
      </c>
      <c r="H7" s="90" t="s">
        <v>2410</v>
      </c>
      <c r="I7" s="90">
        <v>1331</v>
      </c>
      <c r="J7" s="90">
        <v>331</v>
      </c>
      <c r="K7" s="90" t="s">
        <v>20</v>
      </c>
      <c r="L7" s="90">
        <v>1</v>
      </c>
      <c r="M7" s="124">
        <v>27496</v>
      </c>
      <c r="N7" s="124">
        <f t="shared" si="1"/>
        <v>27496</v>
      </c>
      <c r="O7" s="101"/>
      <c r="P7" s="90">
        <f t="shared" si="2"/>
        <v>43</v>
      </c>
    </row>
    <row r="8" spans="1:16" hidden="1" x14ac:dyDescent="0.2">
      <c r="A8" s="90" t="s">
        <v>308</v>
      </c>
      <c r="B8" s="69">
        <v>46026</v>
      </c>
      <c r="C8" s="90">
        <f t="shared" si="3"/>
        <v>242</v>
      </c>
      <c r="D8" s="38">
        <f t="shared" si="0"/>
        <v>1</v>
      </c>
      <c r="E8" s="90"/>
      <c r="F8" s="90"/>
      <c r="G8" s="91" t="s">
        <v>110</v>
      </c>
      <c r="H8" s="90" t="s">
        <v>2411</v>
      </c>
      <c r="I8" s="90">
        <v>1111</v>
      </c>
      <c r="J8" s="90">
        <v>112111</v>
      </c>
      <c r="K8" s="90" t="s">
        <v>20</v>
      </c>
      <c r="L8" s="90">
        <v>1</v>
      </c>
      <c r="M8" s="124">
        <v>200000000</v>
      </c>
      <c r="N8" s="124">
        <f t="shared" si="1"/>
        <v>200000000</v>
      </c>
      <c r="O8" s="101"/>
      <c r="P8" s="90">
        <f t="shared" si="2"/>
        <v>45</v>
      </c>
    </row>
    <row r="9" spans="1:16" hidden="1" x14ac:dyDescent="0.2">
      <c r="A9" s="90" t="s">
        <v>310</v>
      </c>
      <c r="B9" s="69">
        <v>46026</v>
      </c>
      <c r="C9" s="90">
        <f t="shared" si="3"/>
        <v>243</v>
      </c>
      <c r="D9" s="38">
        <f t="shared" si="0"/>
        <v>1</v>
      </c>
      <c r="E9" s="90"/>
      <c r="F9" s="90"/>
      <c r="G9" s="91" t="s">
        <v>1668</v>
      </c>
      <c r="H9" s="90" t="s">
        <v>2481</v>
      </c>
      <c r="I9" s="90">
        <v>331</v>
      </c>
      <c r="J9" s="90">
        <v>1111</v>
      </c>
      <c r="K9" s="90" t="s">
        <v>20</v>
      </c>
      <c r="L9" s="90">
        <v>1</v>
      </c>
      <c r="M9" s="124">
        <v>380300</v>
      </c>
      <c r="N9" s="124">
        <f t="shared" si="1"/>
        <v>380300</v>
      </c>
      <c r="O9" s="101"/>
      <c r="P9" s="90">
        <f t="shared" si="2"/>
        <v>54</v>
      </c>
    </row>
    <row r="10" spans="1:16" hidden="1" x14ac:dyDescent="0.2">
      <c r="A10" s="90" t="s">
        <v>18</v>
      </c>
      <c r="B10" s="69">
        <v>46027</v>
      </c>
      <c r="C10" s="90">
        <f t="shared" si="3"/>
        <v>244</v>
      </c>
      <c r="D10" s="38">
        <f t="shared" si="0"/>
        <v>1</v>
      </c>
      <c r="E10" s="90"/>
      <c r="F10" s="90"/>
      <c r="G10" s="91" t="s">
        <v>1669</v>
      </c>
      <c r="H10" s="90" t="s">
        <v>2412</v>
      </c>
      <c r="I10" s="90">
        <v>64277</v>
      </c>
      <c r="J10" s="90">
        <v>331</v>
      </c>
      <c r="K10" s="90" t="s">
        <v>20</v>
      </c>
      <c r="L10" s="90">
        <v>1</v>
      </c>
      <c r="M10" s="124">
        <v>315000</v>
      </c>
      <c r="N10" s="124">
        <f t="shared" si="1"/>
        <v>315000</v>
      </c>
      <c r="O10" s="101"/>
      <c r="P10" s="90">
        <f t="shared" si="2"/>
        <v>23</v>
      </c>
    </row>
    <row r="11" spans="1:16" hidden="1" x14ac:dyDescent="0.2">
      <c r="A11" s="90" t="s">
        <v>18</v>
      </c>
      <c r="B11" s="69">
        <v>46027</v>
      </c>
      <c r="C11" s="90">
        <f t="shared" si="3"/>
        <v>244</v>
      </c>
      <c r="D11" s="38">
        <f t="shared" si="0"/>
        <v>0</v>
      </c>
      <c r="E11" s="90"/>
      <c r="F11" s="90"/>
      <c r="G11" s="91" t="s">
        <v>1669</v>
      </c>
      <c r="H11" s="90" t="s">
        <v>2412</v>
      </c>
      <c r="I11" s="90">
        <v>1331</v>
      </c>
      <c r="J11" s="90">
        <v>331</v>
      </c>
      <c r="K11" s="90" t="s">
        <v>20</v>
      </c>
      <c r="L11" s="90">
        <v>1</v>
      </c>
      <c r="M11" s="124">
        <v>31500</v>
      </c>
      <c r="N11" s="124">
        <f t="shared" si="1"/>
        <v>31500</v>
      </c>
      <c r="O11" s="101"/>
      <c r="P11" s="90">
        <f t="shared" si="2"/>
        <v>23</v>
      </c>
    </row>
    <row r="12" spans="1:16" hidden="1" x14ac:dyDescent="0.2">
      <c r="A12" s="90" t="s">
        <v>18</v>
      </c>
      <c r="B12" s="69">
        <v>46027</v>
      </c>
      <c r="C12" s="90">
        <f t="shared" si="3"/>
        <v>245</v>
      </c>
      <c r="D12" s="38">
        <f t="shared" si="0"/>
        <v>1</v>
      </c>
      <c r="E12" s="90"/>
      <c r="F12" s="90"/>
      <c r="G12" s="91" t="s">
        <v>1669</v>
      </c>
      <c r="H12" s="90" t="s">
        <v>2413</v>
      </c>
      <c r="I12" s="90">
        <v>64277</v>
      </c>
      <c r="J12" s="90">
        <v>331</v>
      </c>
      <c r="K12" s="90" t="s">
        <v>20</v>
      </c>
      <c r="L12" s="90">
        <v>1</v>
      </c>
      <c r="M12" s="124">
        <v>1337700</v>
      </c>
      <c r="N12" s="124">
        <f t="shared" si="1"/>
        <v>1337700</v>
      </c>
      <c r="O12" s="101"/>
      <c r="P12" s="90">
        <f t="shared" si="2"/>
        <v>27</v>
      </c>
    </row>
    <row r="13" spans="1:16" hidden="1" x14ac:dyDescent="0.2">
      <c r="A13" s="90" t="s">
        <v>18</v>
      </c>
      <c r="B13" s="69">
        <v>46027</v>
      </c>
      <c r="C13" s="90">
        <f t="shared" si="3"/>
        <v>245</v>
      </c>
      <c r="D13" s="38">
        <f t="shared" si="0"/>
        <v>0</v>
      </c>
      <c r="E13" s="90"/>
      <c r="F13" s="90"/>
      <c r="G13" s="91" t="s">
        <v>1669</v>
      </c>
      <c r="H13" s="90" t="s">
        <v>2413</v>
      </c>
      <c r="I13" s="90">
        <v>1331</v>
      </c>
      <c r="J13" s="90">
        <v>331</v>
      </c>
      <c r="K13" s="90" t="s">
        <v>20</v>
      </c>
      <c r="L13" s="90">
        <v>1</v>
      </c>
      <c r="M13" s="124">
        <v>107016</v>
      </c>
      <c r="N13" s="124">
        <f t="shared" si="1"/>
        <v>107016</v>
      </c>
      <c r="O13" s="101"/>
      <c r="P13" s="90">
        <f t="shared" si="2"/>
        <v>27</v>
      </c>
    </row>
    <row r="14" spans="1:16" hidden="1" x14ac:dyDescent="0.2">
      <c r="A14" s="90" t="s">
        <v>18</v>
      </c>
      <c r="B14" s="69">
        <v>46027</v>
      </c>
      <c r="C14" s="90">
        <f t="shared" si="3"/>
        <v>246</v>
      </c>
      <c r="D14" s="38">
        <f t="shared" si="0"/>
        <v>1</v>
      </c>
      <c r="E14" s="90"/>
      <c r="F14" s="90"/>
      <c r="G14" s="91" t="s">
        <v>253</v>
      </c>
      <c r="H14" s="108" t="s">
        <v>2453</v>
      </c>
      <c r="I14" s="90">
        <v>131</v>
      </c>
      <c r="J14" s="90">
        <v>5113</v>
      </c>
      <c r="K14" s="90" t="s">
        <v>20</v>
      </c>
      <c r="L14" s="90">
        <v>1</v>
      </c>
      <c r="M14" s="124">
        <v>53763440</v>
      </c>
      <c r="N14" s="124">
        <f t="shared" si="1"/>
        <v>53763440</v>
      </c>
      <c r="O14" s="101"/>
      <c r="P14" s="90">
        <f t="shared" si="2"/>
        <v>84</v>
      </c>
    </row>
    <row r="15" spans="1:16" x14ac:dyDescent="0.2">
      <c r="A15" s="90" t="s">
        <v>18</v>
      </c>
      <c r="B15" s="69">
        <v>46027</v>
      </c>
      <c r="C15" s="90">
        <f t="shared" si="3"/>
        <v>246</v>
      </c>
      <c r="D15" s="38">
        <f t="shared" si="0"/>
        <v>0</v>
      </c>
      <c r="E15" s="90"/>
      <c r="F15" s="90"/>
      <c r="G15" s="91" t="s">
        <v>253</v>
      </c>
      <c r="H15" s="90" t="s">
        <v>2453</v>
      </c>
      <c r="I15" s="90">
        <v>333821</v>
      </c>
      <c r="J15" s="90">
        <v>131</v>
      </c>
      <c r="K15" s="90" t="s">
        <v>20</v>
      </c>
      <c r="L15" s="90">
        <v>1</v>
      </c>
      <c r="M15" s="124">
        <v>537634</v>
      </c>
      <c r="N15" s="124">
        <f t="shared" si="1"/>
        <v>537634</v>
      </c>
      <c r="O15" s="101"/>
      <c r="P15" s="90">
        <f t="shared" si="2"/>
        <v>84</v>
      </c>
    </row>
    <row r="16" spans="1:16" hidden="1" x14ac:dyDescent="0.2">
      <c r="A16" s="90" t="s">
        <v>18</v>
      </c>
      <c r="B16" s="69">
        <v>46027</v>
      </c>
      <c r="C16" s="90">
        <f t="shared" si="3"/>
        <v>247</v>
      </c>
      <c r="D16" s="38">
        <f t="shared" si="0"/>
        <v>1</v>
      </c>
      <c r="E16" s="90"/>
      <c r="F16" s="90"/>
      <c r="G16" s="91" t="s">
        <v>68</v>
      </c>
      <c r="H16" s="90" t="s">
        <v>2414</v>
      </c>
      <c r="I16" s="90">
        <v>131</v>
      </c>
      <c r="J16" s="90">
        <v>5113</v>
      </c>
      <c r="K16" s="90" t="s">
        <v>20</v>
      </c>
      <c r="L16" s="90">
        <v>1</v>
      </c>
      <c r="M16" s="124">
        <v>53763440</v>
      </c>
      <c r="N16" s="124">
        <f t="shared" si="1"/>
        <v>53763440</v>
      </c>
      <c r="O16" s="101"/>
      <c r="P16" s="90">
        <f t="shared" si="2"/>
        <v>79</v>
      </c>
    </row>
    <row r="17" spans="1:17" x14ac:dyDescent="0.2">
      <c r="A17" s="90" t="s">
        <v>18</v>
      </c>
      <c r="B17" s="69">
        <v>46027</v>
      </c>
      <c r="C17" s="90">
        <f t="shared" si="3"/>
        <v>247</v>
      </c>
      <c r="D17" s="38">
        <f t="shared" si="0"/>
        <v>0</v>
      </c>
      <c r="E17" s="90"/>
      <c r="F17" s="90"/>
      <c r="G17" s="91" t="s">
        <v>68</v>
      </c>
      <c r="H17" s="90" t="s">
        <v>2414</v>
      </c>
      <c r="I17" s="90">
        <v>333821</v>
      </c>
      <c r="J17" s="90">
        <v>131</v>
      </c>
      <c r="K17" s="90" t="s">
        <v>20</v>
      </c>
      <c r="L17" s="90">
        <v>1</v>
      </c>
      <c r="M17" s="124">
        <v>537634</v>
      </c>
      <c r="N17" s="124">
        <f t="shared" si="1"/>
        <v>537634</v>
      </c>
      <c r="O17" s="101"/>
      <c r="P17" s="90">
        <f t="shared" si="2"/>
        <v>79</v>
      </c>
    </row>
    <row r="18" spans="1:17" hidden="1" x14ac:dyDescent="0.2">
      <c r="A18" s="90" t="s">
        <v>310</v>
      </c>
      <c r="B18" s="69">
        <v>46027</v>
      </c>
      <c r="C18" s="90">
        <f t="shared" si="3"/>
        <v>248</v>
      </c>
      <c r="D18" s="38">
        <f t="shared" si="0"/>
        <v>1</v>
      </c>
      <c r="E18" s="90"/>
      <c r="F18" s="90"/>
      <c r="G18" s="91" t="s">
        <v>1669</v>
      </c>
      <c r="H18" s="90" t="s">
        <v>2482</v>
      </c>
      <c r="I18" s="90">
        <v>331</v>
      </c>
      <c r="J18" s="90">
        <v>1111</v>
      </c>
      <c r="K18" s="90" t="s">
        <v>20</v>
      </c>
      <c r="L18" s="90">
        <v>1</v>
      </c>
      <c r="M18" s="124">
        <v>346500</v>
      </c>
      <c r="N18" s="124">
        <f t="shared" si="1"/>
        <v>346500</v>
      </c>
      <c r="O18" s="101"/>
      <c r="P18" s="90">
        <f t="shared" si="2"/>
        <v>34</v>
      </c>
    </row>
    <row r="19" spans="1:17" hidden="1" x14ac:dyDescent="0.2">
      <c r="A19" s="90" t="s">
        <v>310</v>
      </c>
      <c r="B19" s="69">
        <v>46027</v>
      </c>
      <c r="C19" s="90">
        <f t="shared" si="3"/>
        <v>249</v>
      </c>
      <c r="D19" s="38">
        <f t="shared" si="0"/>
        <v>1</v>
      </c>
      <c r="E19" s="90"/>
      <c r="F19" s="90"/>
      <c r="G19" s="91" t="s">
        <v>1669</v>
      </c>
      <c r="H19" s="90" t="s">
        <v>2483</v>
      </c>
      <c r="I19" s="90">
        <v>331</v>
      </c>
      <c r="J19" s="90">
        <v>1111</v>
      </c>
      <c r="K19" s="90" t="s">
        <v>20</v>
      </c>
      <c r="L19" s="90">
        <v>1</v>
      </c>
      <c r="M19" s="124">
        <v>1444716</v>
      </c>
      <c r="N19" s="124">
        <f t="shared" si="1"/>
        <v>1444716</v>
      </c>
      <c r="O19" s="101"/>
      <c r="P19" s="90">
        <f t="shared" si="2"/>
        <v>38</v>
      </c>
    </row>
    <row r="20" spans="1:17" hidden="1" x14ac:dyDescent="0.2">
      <c r="A20" s="90" t="s">
        <v>18</v>
      </c>
      <c r="B20" s="69">
        <v>46028</v>
      </c>
      <c r="C20" s="90">
        <f t="shared" si="3"/>
        <v>250</v>
      </c>
      <c r="D20" s="38">
        <f t="shared" si="0"/>
        <v>1</v>
      </c>
      <c r="E20" s="90"/>
      <c r="F20" s="90"/>
      <c r="G20" s="91" t="s">
        <v>35</v>
      </c>
      <c r="H20" s="90" t="s">
        <v>2454</v>
      </c>
      <c r="I20" s="90">
        <v>64277</v>
      </c>
      <c r="J20" s="90">
        <v>331</v>
      </c>
      <c r="K20" s="90" t="s">
        <v>20</v>
      </c>
      <c r="L20" s="90">
        <v>1</v>
      </c>
      <c r="M20" s="124">
        <v>3000000</v>
      </c>
      <c r="N20" s="124">
        <f t="shared" si="1"/>
        <v>3000000</v>
      </c>
      <c r="O20" s="101"/>
      <c r="P20" s="90">
        <f t="shared" si="2"/>
        <v>41</v>
      </c>
      <c r="Q20" s="158"/>
    </row>
    <row r="21" spans="1:17" hidden="1" x14ac:dyDescent="0.2">
      <c r="A21" s="90" t="s">
        <v>18</v>
      </c>
      <c r="B21" s="69">
        <v>46028</v>
      </c>
      <c r="C21" s="90">
        <f t="shared" si="3"/>
        <v>250</v>
      </c>
      <c r="D21" s="38">
        <f t="shared" si="0"/>
        <v>0</v>
      </c>
      <c r="E21" s="90"/>
      <c r="F21" s="90"/>
      <c r="G21" s="91" t="s">
        <v>35</v>
      </c>
      <c r="H21" s="90" t="s">
        <v>2454</v>
      </c>
      <c r="I21" s="90">
        <v>1331</v>
      </c>
      <c r="J21" s="90">
        <v>331</v>
      </c>
      <c r="K21" s="90" t="s">
        <v>20</v>
      </c>
      <c r="L21" s="90">
        <v>1</v>
      </c>
      <c r="M21" s="124">
        <v>240000</v>
      </c>
      <c r="N21" s="124">
        <f t="shared" si="1"/>
        <v>240000</v>
      </c>
      <c r="O21" s="101"/>
      <c r="P21" s="90">
        <f t="shared" si="2"/>
        <v>41</v>
      </c>
      <c r="Q21" s="158"/>
    </row>
    <row r="22" spans="1:17" hidden="1" x14ac:dyDescent="0.2">
      <c r="A22" s="90" t="s">
        <v>309</v>
      </c>
      <c r="B22" s="69">
        <v>46028</v>
      </c>
      <c r="C22" s="90">
        <f t="shared" si="3"/>
        <v>251</v>
      </c>
      <c r="D22" s="38">
        <f t="shared" si="0"/>
        <v>1</v>
      </c>
      <c r="E22" s="90"/>
      <c r="F22" s="90"/>
      <c r="G22" s="91" t="s">
        <v>68</v>
      </c>
      <c r="H22" s="90" t="s">
        <v>2415</v>
      </c>
      <c r="I22" s="90">
        <v>112111</v>
      </c>
      <c r="J22" s="90">
        <v>131</v>
      </c>
      <c r="K22" s="90" t="s">
        <v>20</v>
      </c>
      <c r="L22" s="90">
        <v>1</v>
      </c>
      <c r="M22" s="124">
        <v>53225806</v>
      </c>
      <c r="N22" s="124">
        <f t="shared" si="1"/>
        <v>53225806</v>
      </c>
      <c r="O22" s="101"/>
      <c r="P22" s="90">
        <f t="shared" si="2"/>
        <v>84</v>
      </c>
    </row>
    <row r="23" spans="1:17" hidden="1" x14ac:dyDescent="0.2">
      <c r="A23" s="90" t="s">
        <v>310</v>
      </c>
      <c r="B23" s="69">
        <v>46028</v>
      </c>
      <c r="C23" s="90">
        <f t="shared" si="3"/>
        <v>252</v>
      </c>
      <c r="D23" s="38">
        <f t="shared" si="0"/>
        <v>1</v>
      </c>
      <c r="E23" s="90"/>
      <c r="F23" s="90"/>
      <c r="G23" s="91" t="s">
        <v>35</v>
      </c>
      <c r="H23" s="90" t="s">
        <v>2461</v>
      </c>
      <c r="I23" s="90">
        <v>331</v>
      </c>
      <c r="J23" s="90">
        <v>1111</v>
      </c>
      <c r="K23" s="90" t="s">
        <v>20</v>
      </c>
      <c r="L23" s="90">
        <v>1</v>
      </c>
      <c r="M23" s="124">
        <v>3240000</v>
      </c>
      <c r="N23" s="124">
        <f t="shared" si="1"/>
        <v>3240000</v>
      </c>
      <c r="O23" s="101"/>
      <c r="P23" s="90">
        <f t="shared" si="2"/>
        <v>52</v>
      </c>
    </row>
    <row r="24" spans="1:17" hidden="1" x14ac:dyDescent="0.2">
      <c r="A24" s="90" t="s">
        <v>18</v>
      </c>
      <c r="B24" s="69">
        <v>46030</v>
      </c>
      <c r="C24" s="90">
        <f t="shared" si="3"/>
        <v>253</v>
      </c>
      <c r="D24" s="38">
        <f t="shared" si="0"/>
        <v>1</v>
      </c>
      <c r="E24" s="90"/>
      <c r="F24" s="90"/>
      <c r="G24" s="91" t="s">
        <v>1670</v>
      </c>
      <c r="H24" s="90" t="s">
        <v>2416</v>
      </c>
      <c r="I24" s="90">
        <v>64277</v>
      </c>
      <c r="J24" s="90">
        <v>331</v>
      </c>
      <c r="K24" s="90" t="s">
        <v>20</v>
      </c>
      <c r="L24" s="90">
        <v>1</v>
      </c>
      <c r="M24" s="124">
        <v>787074</v>
      </c>
      <c r="N24" s="124">
        <f t="shared" si="1"/>
        <v>787074</v>
      </c>
      <c r="O24" s="101"/>
      <c r="P24" s="90">
        <f t="shared" si="2"/>
        <v>23</v>
      </c>
    </row>
    <row r="25" spans="1:17" hidden="1" x14ac:dyDescent="0.2">
      <c r="A25" s="90" t="s">
        <v>18</v>
      </c>
      <c r="B25" s="69">
        <v>46030</v>
      </c>
      <c r="C25" s="90">
        <f t="shared" si="3"/>
        <v>253</v>
      </c>
      <c r="D25" s="38">
        <f t="shared" si="0"/>
        <v>0</v>
      </c>
      <c r="E25" s="90"/>
      <c r="F25" s="90"/>
      <c r="G25" s="91" t="s">
        <v>1670</v>
      </c>
      <c r="H25" s="90" t="s">
        <v>2416</v>
      </c>
      <c r="I25" s="90">
        <v>1331</v>
      </c>
      <c r="J25" s="90">
        <v>331</v>
      </c>
      <c r="K25" s="90" t="s">
        <v>20</v>
      </c>
      <c r="L25" s="90">
        <v>1</v>
      </c>
      <c r="M25" s="124">
        <v>62966</v>
      </c>
      <c r="N25" s="124">
        <f t="shared" si="1"/>
        <v>62966</v>
      </c>
      <c r="O25" s="101"/>
      <c r="P25" s="90">
        <f t="shared" si="2"/>
        <v>23</v>
      </c>
    </row>
    <row r="26" spans="1:17" hidden="1" x14ac:dyDescent="0.2">
      <c r="A26" s="90" t="s">
        <v>310</v>
      </c>
      <c r="B26" s="69">
        <v>46030</v>
      </c>
      <c r="C26" s="90">
        <f t="shared" si="3"/>
        <v>254</v>
      </c>
      <c r="D26" s="38">
        <f t="shared" si="0"/>
        <v>1</v>
      </c>
      <c r="E26" s="90"/>
      <c r="F26" s="90"/>
      <c r="G26" s="91" t="s">
        <v>1670</v>
      </c>
      <c r="H26" s="90" t="s">
        <v>2484</v>
      </c>
      <c r="I26" s="90">
        <v>331</v>
      </c>
      <c r="J26" s="90">
        <v>1111</v>
      </c>
      <c r="K26" s="90" t="s">
        <v>20</v>
      </c>
      <c r="L26" s="90">
        <v>1</v>
      </c>
      <c r="M26" s="124">
        <v>850040</v>
      </c>
      <c r="N26" s="124">
        <f t="shared" si="1"/>
        <v>850040</v>
      </c>
      <c r="O26" s="101"/>
      <c r="P26" s="90">
        <f t="shared" si="2"/>
        <v>34</v>
      </c>
    </row>
    <row r="27" spans="1:17" hidden="1" x14ac:dyDescent="0.2">
      <c r="A27" s="90" t="s">
        <v>18</v>
      </c>
      <c r="B27" s="69">
        <v>46031</v>
      </c>
      <c r="C27" s="90">
        <f t="shared" si="3"/>
        <v>255</v>
      </c>
      <c r="D27" s="38">
        <f t="shared" si="0"/>
        <v>1</v>
      </c>
      <c r="E27" s="90"/>
      <c r="F27" s="90"/>
      <c r="G27" s="91" t="s">
        <v>57</v>
      </c>
      <c r="H27" s="90" t="s">
        <v>2455</v>
      </c>
      <c r="I27" s="90">
        <v>131</v>
      </c>
      <c r="J27" s="90">
        <v>5113</v>
      </c>
      <c r="K27" s="90" t="s">
        <v>20</v>
      </c>
      <c r="L27" s="90">
        <v>1</v>
      </c>
      <c r="M27" s="124">
        <v>64516129</v>
      </c>
      <c r="N27" s="124">
        <f t="shared" si="1"/>
        <v>64516129</v>
      </c>
      <c r="O27" s="101"/>
      <c r="P27" s="90">
        <f t="shared" si="2"/>
        <v>55</v>
      </c>
    </row>
    <row r="28" spans="1:17" x14ac:dyDescent="0.2">
      <c r="A28" s="90" t="s">
        <v>18</v>
      </c>
      <c r="B28" s="69">
        <v>46031</v>
      </c>
      <c r="C28" s="90">
        <f t="shared" si="3"/>
        <v>255</v>
      </c>
      <c r="D28" s="38">
        <f t="shared" si="0"/>
        <v>0</v>
      </c>
      <c r="E28" s="90"/>
      <c r="F28" s="90"/>
      <c r="G28" s="91" t="s">
        <v>57</v>
      </c>
      <c r="H28" s="90" t="s">
        <v>2455</v>
      </c>
      <c r="I28" s="90">
        <v>333821</v>
      </c>
      <c r="J28" s="90">
        <v>131</v>
      </c>
      <c r="K28" s="90" t="s">
        <v>20</v>
      </c>
      <c r="L28" s="90">
        <v>1</v>
      </c>
      <c r="M28" s="124">
        <v>645161</v>
      </c>
      <c r="N28" s="124">
        <f t="shared" si="1"/>
        <v>645161</v>
      </c>
      <c r="O28" s="101"/>
      <c r="P28" s="90">
        <f t="shared" si="2"/>
        <v>55</v>
      </c>
    </row>
    <row r="29" spans="1:17" hidden="1" x14ac:dyDescent="0.2">
      <c r="A29" s="90" t="s">
        <v>309</v>
      </c>
      <c r="B29" s="69">
        <v>46031</v>
      </c>
      <c r="C29" s="90">
        <f t="shared" si="3"/>
        <v>256</v>
      </c>
      <c r="D29" s="38">
        <f t="shared" si="0"/>
        <v>1</v>
      </c>
      <c r="E29" s="90"/>
      <c r="F29" s="90"/>
      <c r="G29" s="91" t="s">
        <v>84</v>
      </c>
      <c r="H29" s="90" t="s">
        <v>2417</v>
      </c>
      <c r="I29" s="90">
        <v>112111</v>
      </c>
      <c r="J29" s="90">
        <v>131</v>
      </c>
      <c r="K29" s="90" t="s">
        <v>20</v>
      </c>
      <c r="L29" s="90">
        <v>1</v>
      </c>
      <c r="M29" s="124">
        <v>63870968</v>
      </c>
      <c r="N29" s="124">
        <f t="shared" si="1"/>
        <v>63870968</v>
      </c>
      <c r="O29" s="101"/>
      <c r="P29" s="90">
        <f t="shared" si="2"/>
        <v>80</v>
      </c>
    </row>
    <row r="30" spans="1:17" hidden="1" x14ac:dyDescent="0.2">
      <c r="A30" s="90" t="s">
        <v>18</v>
      </c>
      <c r="B30" s="69">
        <v>46032</v>
      </c>
      <c r="C30" s="90">
        <f t="shared" si="3"/>
        <v>257</v>
      </c>
      <c r="D30" s="38">
        <f t="shared" si="0"/>
        <v>1</v>
      </c>
      <c r="E30" s="90"/>
      <c r="F30" s="90"/>
      <c r="G30" s="91" t="s">
        <v>43</v>
      </c>
      <c r="H30" s="90" t="s">
        <v>2456</v>
      </c>
      <c r="I30" s="90">
        <v>131</v>
      </c>
      <c r="J30" s="90">
        <v>5113</v>
      </c>
      <c r="K30" s="90" t="s">
        <v>20</v>
      </c>
      <c r="L30" s="90">
        <v>1</v>
      </c>
      <c r="M30" s="124">
        <v>53763440</v>
      </c>
      <c r="N30" s="124">
        <f t="shared" si="1"/>
        <v>53763440</v>
      </c>
      <c r="O30" s="101"/>
      <c r="P30" s="90">
        <f t="shared" si="2"/>
        <v>82</v>
      </c>
    </row>
    <row r="31" spans="1:17" x14ac:dyDescent="0.2">
      <c r="A31" s="90" t="s">
        <v>18</v>
      </c>
      <c r="B31" s="69">
        <v>46032</v>
      </c>
      <c r="C31" s="90">
        <f t="shared" si="3"/>
        <v>257</v>
      </c>
      <c r="D31" s="38">
        <f t="shared" si="0"/>
        <v>0</v>
      </c>
      <c r="E31" s="90"/>
      <c r="F31" s="90"/>
      <c r="G31" s="91" t="s">
        <v>43</v>
      </c>
      <c r="H31" s="90" t="s">
        <v>2456</v>
      </c>
      <c r="I31" s="90">
        <v>333821</v>
      </c>
      <c r="J31" s="90">
        <v>131</v>
      </c>
      <c r="K31" s="90" t="s">
        <v>20</v>
      </c>
      <c r="L31" s="90">
        <v>1</v>
      </c>
      <c r="M31" s="124">
        <v>537634</v>
      </c>
      <c r="N31" s="124">
        <f t="shared" si="1"/>
        <v>537634</v>
      </c>
      <c r="O31" s="101"/>
      <c r="P31" s="90">
        <f t="shared" si="2"/>
        <v>82</v>
      </c>
    </row>
    <row r="32" spans="1:17" hidden="1" x14ac:dyDescent="0.2">
      <c r="A32" s="90" t="s">
        <v>18</v>
      </c>
      <c r="B32" s="69">
        <v>46032</v>
      </c>
      <c r="C32" s="90">
        <f t="shared" si="3"/>
        <v>258</v>
      </c>
      <c r="D32" s="38">
        <f t="shared" si="0"/>
        <v>1</v>
      </c>
      <c r="E32" s="90"/>
      <c r="F32" s="90"/>
      <c r="G32" s="91" t="s">
        <v>87</v>
      </c>
      <c r="H32" s="90" t="s">
        <v>2457</v>
      </c>
      <c r="I32" s="90">
        <v>131</v>
      </c>
      <c r="J32" s="90">
        <v>5113</v>
      </c>
      <c r="K32" s="90" t="s">
        <v>20</v>
      </c>
      <c r="L32" s="90">
        <v>1</v>
      </c>
      <c r="M32" s="124">
        <v>15131313</v>
      </c>
      <c r="N32" s="124">
        <f t="shared" si="1"/>
        <v>15131313</v>
      </c>
      <c r="O32" s="101"/>
      <c r="P32" s="90">
        <f t="shared" si="2"/>
        <v>67</v>
      </c>
    </row>
    <row r="33" spans="1:16" x14ac:dyDescent="0.2">
      <c r="A33" s="90" t="s">
        <v>18</v>
      </c>
      <c r="B33" s="69">
        <v>46032</v>
      </c>
      <c r="C33" s="90">
        <f t="shared" si="3"/>
        <v>258</v>
      </c>
      <c r="D33" s="38">
        <f t="shared" si="0"/>
        <v>0</v>
      </c>
      <c r="E33" s="90"/>
      <c r="F33" s="90"/>
      <c r="G33" s="91" t="s">
        <v>87</v>
      </c>
      <c r="H33" s="90" t="s">
        <v>2457</v>
      </c>
      <c r="I33" s="90">
        <v>333821</v>
      </c>
      <c r="J33" s="90">
        <v>131</v>
      </c>
      <c r="K33" s="90" t="s">
        <v>20</v>
      </c>
      <c r="L33" s="90">
        <v>1</v>
      </c>
      <c r="M33" s="124">
        <v>151313</v>
      </c>
      <c r="N33" s="124">
        <f t="shared" si="1"/>
        <v>151313</v>
      </c>
      <c r="O33" s="101"/>
      <c r="P33" s="90">
        <f t="shared" si="2"/>
        <v>67</v>
      </c>
    </row>
    <row r="34" spans="1:16" hidden="1" x14ac:dyDescent="0.2">
      <c r="A34" s="90" t="s">
        <v>308</v>
      </c>
      <c r="B34" s="69">
        <v>46033</v>
      </c>
      <c r="C34" s="90">
        <f t="shared" si="3"/>
        <v>259</v>
      </c>
      <c r="D34" s="38">
        <f t="shared" si="0"/>
        <v>1</v>
      </c>
      <c r="E34" s="90"/>
      <c r="F34" s="90"/>
      <c r="G34" s="91" t="s">
        <v>110</v>
      </c>
      <c r="H34" s="90" t="s">
        <v>2411</v>
      </c>
      <c r="I34" s="90">
        <v>1111</v>
      </c>
      <c r="J34" s="90">
        <v>112111</v>
      </c>
      <c r="K34" s="90" t="s">
        <v>20</v>
      </c>
      <c r="L34" s="90">
        <v>1</v>
      </c>
      <c r="M34" s="124">
        <v>117756000</v>
      </c>
      <c r="N34" s="124">
        <f t="shared" si="1"/>
        <v>117756000</v>
      </c>
      <c r="O34" s="101"/>
      <c r="P34" s="90">
        <f t="shared" si="2"/>
        <v>45</v>
      </c>
    </row>
    <row r="35" spans="1:16" hidden="1" x14ac:dyDescent="0.2">
      <c r="A35" s="90" t="s">
        <v>18</v>
      </c>
      <c r="B35" s="69">
        <v>46034</v>
      </c>
      <c r="C35" s="90">
        <f t="shared" si="3"/>
        <v>260</v>
      </c>
      <c r="D35" s="38">
        <f t="shared" si="0"/>
        <v>1</v>
      </c>
      <c r="E35" s="90"/>
      <c r="F35" s="90"/>
      <c r="G35" s="91" t="s">
        <v>69</v>
      </c>
      <c r="H35" s="90" t="s">
        <v>2418</v>
      </c>
      <c r="I35" s="90">
        <v>131</v>
      </c>
      <c r="J35" s="90">
        <v>5113</v>
      </c>
      <c r="K35" s="90" t="s">
        <v>20</v>
      </c>
      <c r="L35" s="90">
        <v>1</v>
      </c>
      <c r="M35" s="124">
        <v>75268817</v>
      </c>
      <c r="N35" s="124">
        <f t="shared" si="1"/>
        <v>75268817</v>
      </c>
      <c r="O35" s="101"/>
      <c r="P35" s="90">
        <f t="shared" si="2"/>
        <v>84</v>
      </c>
    </row>
    <row r="36" spans="1:16" x14ac:dyDescent="0.2">
      <c r="A36" s="90" t="s">
        <v>18</v>
      </c>
      <c r="B36" s="69">
        <v>46034</v>
      </c>
      <c r="C36" s="90">
        <f t="shared" si="3"/>
        <v>260</v>
      </c>
      <c r="D36" s="38">
        <f t="shared" si="0"/>
        <v>0</v>
      </c>
      <c r="E36" s="90"/>
      <c r="F36" s="90"/>
      <c r="G36" s="91" t="s">
        <v>69</v>
      </c>
      <c r="H36" s="90" t="s">
        <v>2418</v>
      </c>
      <c r="I36" s="90">
        <v>333821</v>
      </c>
      <c r="J36" s="90">
        <v>131</v>
      </c>
      <c r="K36" s="90" t="s">
        <v>20</v>
      </c>
      <c r="L36" s="90">
        <v>1</v>
      </c>
      <c r="M36" s="124">
        <v>752688</v>
      </c>
      <c r="N36" s="124">
        <f t="shared" si="1"/>
        <v>752688</v>
      </c>
      <c r="O36" s="101"/>
      <c r="P36" s="90">
        <f t="shared" si="2"/>
        <v>84</v>
      </c>
    </row>
    <row r="37" spans="1:16" hidden="1" x14ac:dyDescent="0.2">
      <c r="A37" s="90" t="s">
        <v>309</v>
      </c>
      <c r="B37" s="69">
        <v>46035</v>
      </c>
      <c r="C37" s="90">
        <f t="shared" si="3"/>
        <v>261</v>
      </c>
      <c r="D37" s="38">
        <f t="shared" si="0"/>
        <v>1</v>
      </c>
      <c r="E37" s="90"/>
      <c r="F37" s="90"/>
      <c r="G37" s="91" t="s">
        <v>67</v>
      </c>
      <c r="H37" s="90" t="s">
        <v>2419</v>
      </c>
      <c r="I37" s="90">
        <v>112111</v>
      </c>
      <c r="J37" s="90">
        <v>131</v>
      </c>
      <c r="K37" s="90" t="s">
        <v>20</v>
      </c>
      <c r="L37" s="90">
        <v>1</v>
      </c>
      <c r="M37" s="124">
        <v>63870968</v>
      </c>
      <c r="N37" s="124">
        <f t="shared" si="1"/>
        <v>63870968</v>
      </c>
      <c r="O37" s="101"/>
      <c r="P37" s="90">
        <f t="shared" si="2"/>
        <v>63</v>
      </c>
    </row>
    <row r="38" spans="1:16" hidden="1" x14ac:dyDescent="0.2">
      <c r="A38" s="90" t="s">
        <v>18</v>
      </c>
      <c r="B38" s="69">
        <v>46036</v>
      </c>
      <c r="C38" s="90">
        <f t="shared" si="3"/>
        <v>262</v>
      </c>
      <c r="D38" s="38">
        <f t="shared" si="0"/>
        <v>1</v>
      </c>
      <c r="E38" s="90"/>
      <c r="F38" s="90"/>
      <c r="G38" s="91" t="s">
        <v>1671</v>
      </c>
      <c r="H38" s="90" t="s">
        <v>2420</v>
      </c>
      <c r="I38" s="90">
        <v>64277</v>
      </c>
      <c r="J38" s="90">
        <v>331</v>
      </c>
      <c r="K38" s="90" t="s">
        <v>20</v>
      </c>
      <c r="L38" s="90">
        <v>1</v>
      </c>
      <c r="M38" s="124">
        <v>2055000</v>
      </c>
      <c r="N38" s="124">
        <f t="shared" si="1"/>
        <v>2055000</v>
      </c>
      <c r="O38" s="101"/>
      <c r="P38" s="90">
        <f t="shared" si="2"/>
        <v>33</v>
      </c>
    </row>
    <row r="39" spans="1:16" hidden="1" x14ac:dyDescent="0.2">
      <c r="A39" s="90" t="s">
        <v>18</v>
      </c>
      <c r="B39" s="67">
        <v>46036</v>
      </c>
      <c r="C39" s="90">
        <f t="shared" si="3"/>
        <v>262</v>
      </c>
      <c r="D39" s="38">
        <f t="shared" si="0"/>
        <v>0</v>
      </c>
      <c r="E39" s="125"/>
      <c r="F39" s="156"/>
      <c r="G39" s="126" t="s">
        <v>1671</v>
      </c>
      <c r="H39" s="125" t="s">
        <v>2420</v>
      </c>
      <c r="I39" s="90">
        <v>1331</v>
      </c>
      <c r="J39" s="90">
        <v>331</v>
      </c>
      <c r="K39" s="90" t="s">
        <v>20</v>
      </c>
      <c r="L39" s="90">
        <v>1</v>
      </c>
      <c r="M39" s="157">
        <v>164400</v>
      </c>
      <c r="N39" s="124">
        <f t="shared" si="1"/>
        <v>164400</v>
      </c>
      <c r="O39" s="101"/>
      <c r="P39" s="90">
        <f t="shared" si="2"/>
        <v>33</v>
      </c>
    </row>
    <row r="40" spans="1:16" hidden="1" x14ac:dyDescent="0.2">
      <c r="A40" s="90" t="s">
        <v>18</v>
      </c>
      <c r="B40" s="69">
        <v>46036</v>
      </c>
      <c r="C40" s="90">
        <f t="shared" si="3"/>
        <v>263</v>
      </c>
      <c r="D40" s="38">
        <f t="shared" si="0"/>
        <v>1</v>
      </c>
      <c r="E40" s="90"/>
      <c r="F40" s="90"/>
      <c r="G40" s="113" t="s">
        <v>69</v>
      </c>
      <c r="H40" s="108" t="s">
        <v>2421</v>
      </c>
      <c r="I40" s="90">
        <v>131</v>
      </c>
      <c r="J40" s="108">
        <v>5113</v>
      </c>
      <c r="K40" s="90" t="s">
        <v>20</v>
      </c>
      <c r="L40" s="90">
        <v>1</v>
      </c>
      <c r="M40" s="124">
        <v>53763441</v>
      </c>
      <c r="N40" s="124">
        <f t="shared" si="1"/>
        <v>53763441</v>
      </c>
      <c r="O40" s="101"/>
      <c r="P40" s="90">
        <f t="shared" si="2"/>
        <v>74</v>
      </c>
    </row>
    <row r="41" spans="1:16" x14ac:dyDescent="0.2">
      <c r="A41" s="90" t="s">
        <v>18</v>
      </c>
      <c r="B41" s="67">
        <v>46036</v>
      </c>
      <c r="C41" s="90">
        <f t="shared" si="3"/>
        <v>263</v>
      </c>
      <c r="D41" s="38">
        <f t="shared" si="0"/>
        <v>0</v>
      </c>
      <c r="E41" s="125"/>
      <c r="F41" s="156"/>
      <c r="G41" s="126" t="s">
        <v>69</v>
      </c>
      <c r="H41" s="125" t="s">
        <v>2421</v>
      </c>
      <c r="I41" s="90">
        <v>333821</v>
      </c>
      <c r="J41" s="90">
        <v>131</v>
      </c>
      <c r="K41" s="90" t="s">
        <v>20</v>
      </c>
      <c r="L41" s="90">
        <v>1</v>
      </c>
      <c r="M41" s="157">
        <v>537635</v>
      </c>
      <c r="N41" s="124">
        <f t="shared" si="1"/>
        <v>537635</v>
      </c>
      <c r="O41" s="101"/>
      <c r="P41" s="90">
        <f t="shared" si="2"/>
        <v>74</v>
      </c>
    </row>
    <row r="42" spans="1:16" hidden="1" x14ac:dyDescent="0.2">
      <c r="A42" s="90" t="s">
        <v>18</v>
      </c>
      <c r="B42" s="69">
        <v>46036</v>
      </c>
      <c r="C42" s="90">
        <f t="shared" si="3"/>
        <v>264</v>
      </c>
      <c r="D42" s="38">
        <f t="shared" si="0"/>
        <v>1</v>
      </c>
      <c r="E42" s="90"/>
      <c r="F42" s="90"/>
      <c r="G42" s="91" t="s">
        <v>69</v>
      </c>
      <c r="H42" s="108" t="s">
        <v>2422</v>
      </c>
      <c r="I42" s="90">
        <v>131</v>
      </c>
      <c r="J42" s="108">
        <v>5113</v>
      </c>
      <c r="K42" s="90" t="s">
        <v>20</v>
      </c>
      <c r="L42" s="90">
        <v>1</v>
      </c>
      <c r="M42" s="124">
        <v>86021505</v>
      </c>
      <c r="N42" s="124">
        <f t="shared" si="1"/>
        <v>86021505</v>
      </c>
      <c r="O42" s="101"/>
      <c r="P42" s="90">
        <f t="shared" si="2"/>
        <v>74</v>
      </c>
    </row>
    <row r="43" spans="1:16" x14ac:dyDescent="0.2">
      <c r="A43" s="90" t="s">
        <v>18</v>
      </c>
      <c r="B43" s="67">
        <v>46036</v>
      </c>
      <c r="C43" s="90">
        <f t="shared" si="3"/>
        <v>264</v>
      </c>
      <c r="D43" s="38">
        <f t="shared" si="0"/>
        <v>0</v>
      </c>
      <c r="E43" s="125"/>
      <c r="F43" s="156"/>
      <c r="G43" s="126" t="s">
        <v>69</v>
      </c>
      <c r="H43" s="89" t="s">
        <v>2422</v>
      </c>
      <c r="I43" s="90">
        <v>333821</v>
      </c>
      <c r="J43" s="90">
        <v>131</v>
      </c>
      <c r="K43" s="90" t="s">
        <v>20</v>
      </c>
      <c r="L43" s="90">
        <v>1</v>
      </c>
      <c r="M43" s="157">
        <v>860215</v>
      </c>
      <c r="N43" s="124">
        <f t="shared" si="1"/>
        <v>860215</v>
      </c>
      <c r="O43" s="101"/>
      <c r="P43" s="90">
        <f t="shared" si="2"/>
        <v>74</v>
      </c>
    </row>
    <row r="44" spans="1:16" hidden="1" x14ac:dyDescent="0.2">
      <c r="A44" s="90" t="s">
        <v>309</v>
      </c>
      <c r="B44" s="69">
        <v>46036</v>
      </c>
      <c r="C44" s="90">
        <f t="shared" si="3"/>
        <v>265</v>
      </c>
      <c r="D44" s="38">
        <f t="shared" si="0"/>
        <v>1</v>
      </c>
      <c r="E44" s="90"/>
      <c r="F44" s="90"/>
      <c r="G44" s="91" t="s">
        <v>87</v>
      </c>
      <c r="H44" s="108" t="s">
        <v>2458</v>
      </c>
      <c r="I44" s="90">
        <v>112111</v>
      </c>
      <c r="J44" s="108">
        <v>131</v>
      </c>
      <c r="K44" s="90" t="s">
        <v>20</v>
      </c>
      <c r="L44" s="90">
        <v>1</v>
      </c>
      <c r="M44" s="124">
        <v>7451613</v>
      </c>
      <c r="N44" s="124">
        <f t="shared" si="1"/>
        <v>7451613</v>
      </c>
      <c r="O44" s="101"/>
      <c r="P44" s="90">
        <f t="shared" si="2"/>
        <v>72</v>
      </c>
    </row>
    <row r="45" spans="1:16" hidden="1" x14ac:dyDescent="0.2">
      <c r="A45" s="90" t="s">
        <v>310</v>
      </c>
      <c r="B45" s="69">
        <v>46036</v>
      </c>
      <c r="C45" s="90">
        <f t="shared" si="3"/>
        <v>266</v>
      </c>
      <c r="D45" s="38">
        <f t="shared" si="0"/>
        <v>1</v>
      </c>
      <c r="E45" s="90"/>
      <c r="F45" s="90"/>
      <c r="G45" s="91" t="s">
        <v>1671</v>
      </c>
      <c r="H45" s="90" t="s">
        <v>2485</v>
      </c>
      <c r="I45" s="90">
        <v>331</v>
      </c>
      <c r="J45" s="90">
        <v>1111</v>
      </c>
      <c r="K45" s="90" t="s">
        <v>20</v>
      </c>
      <c r="L45" s="90">
        <v>1</v>
      </c>
      <c r="M45" s="124">
        <v>2219400</v>
      </c>
      <c r="N45" s="124">
        <f t="shared" si="1"/>
        <v>2219400</v>
      </c>
      <c r="O45" s="101"/>
      <c r="P45" s="90">
        <f t="shared" si="2"/>
        <v>44</v>
      </c>
    </row>
    <row r="46" spans="1:16" hidden="1" x14ac:dyDescent="0.2">
      <c r="A46" s="90" t="s">
        <v>18</v>
      </c>
      <c r="B46" s="69">
        <v>46038</v>
      </c>
      <c r="C46" s="90">
        <f t="shared" si="3"/>
        <v>267</v>
      </c>
      <c r="D46" s="38">
        <f t="shared" si="0"/>
        <v>1</v>
      </c>
      <c r="E46" s="90"/>
      <c r="F46" s="90"/>
      <c r="G46" s="113" t="s">
        <v>1672</v>
      </c>
      <c r="H46" s="108" t="s">
        <v>2423</v>
      </c>
      <c r="I46" s="90">
        <v>64277</v>
      </c>
      <c r="J46" s="108">
        <v>331</v>
      </c>
      <c r="K46" s="90" t="s">
        <v>20</v>
      </c>
      <c r="L46" s="90">
        <v>1</v>
      </c>
      <c r="M46" s="124">
        <v>938780</v>
      </c>
      <c r="N46" s="124">
        <f t="shared" si="1"/>
        <v>938780</v>
      </c>
      <c r="O46" s="101"/>
      <c r="P46" s="90">
        <f t="shared" si="2"/>
        <v>32</v>
      </c>
    </row>
    <row r="47" spans="1:16" hidden="1" x14ac:dyDescent="0.2">
      <c r="A47" s="90" t="s">
        <v>18</v>
      </c>
      <c r="B47" s="69">
        <v>46038</v>
      </c>
      <c r="C47" s="90">
        <f t="shared" si="3"/>
        <v>267</v>
      </c>
      <c r="D47" s="38">
        <f t="shared" si="0"/>
        <v>0</v>
      </c>
      <c r="E47" s="90"/>
      <c r="F47" s="156"/>
      <c r="G47" s="91" t="s">
        <v>1672</v>
      </c>
      <c r="H47" s="89" t="s">
        <v>2423</v>
      </c>
      <c r="I47" s="90">
        <v>1331</v>
      </c>
      <c r="J47" s="90">
        <v>331</v>
      </c>
      <c r="K47" s="90" t="s">
        <v>20</v>
      </c>
      <c r="L47" s="90">
        <v>1</v>
      </c>
      <c r="M47" s="124">
        <v>71401</v>
      </c>
      <c r="N47" s="124">
        <f t="shared" si="1"/>
        <v>71401</v>
      </c>
      <c r="O47" s="101"/>
      <c r="P47" s="90">
        <f t="shared" si="2"/>
        <v>32</v>
      </c>
    </row>
    <row r="48" spans="1:16" hidden="1" x14ac:dyDescent="0.2">
      <c r="A48" s="90" t="s">
        <v>18</v>
      </c>
      <c r="B48" s="69">
        <v>46038</v>
      </c>
      <c r="C48" s="90">
        <f t="shared" si="3"/>
        <v>268</v>
      </c>
      <c r="D48" s="38">
        <f t="shared" si="0"/>
        <v>1</v>
      </c>
      <c r="E48" s="90"/>
      <c r="F48" s="90"/>
      <c r="G48" s="113" t="s">
        <v>1672</v>
      </c>
      <c r="H48" s="108" t="s">
        <v>2424</v>
      </c>
      <c r="I48" s="90">
        <v>64277</v>
      </c>
      <c r="J48" s="108">
        <v>331</v>
      </c>
      <c r="K48" s="90" t="s">
        <v>20</v>
      </c>
      <c r="L48" s="90">
        <v>1</v>
      </c>
      <c r="M48" s="124">
        <v>102315</v>
      </c>
      <c r="N48" s="124">
        <f t="shared" si="1"/>
        <v>102315</v>
      </c>
      <c r="O48" s="101"/>
      <c r="P48" s="90">
        <f t="shared" si="2"/>
        <v>42</v>
      </c>
    </row>
    <row r="49" spans="1:16" hidden="1" x14ac:dyDescent="0.2">
      <c r="A49" s="90" t="s">
        <v>18</v>
      </c>
      <c r="B49" s="69">
        <v>46038</v>
      </c>
      <c r="C49" s="90">
        <f t="shared" si="3"/>
        <v>268</v>
      </c>
      <c r="D49" s="38">
        <f t="shared" si="0"/>
        <v>0</v>
      </c>
      <c r="E49" s="90"/>
      <c r="F49" s="156"/>
      <c r="G49" s="91" t="s">
        <v>1672</v>
      </c>
      <c r="H49" s="89" t="s">
        <v>2424</v>
      </c>
      <c r="I49" s="90">
        <v>1331</v>
      </c>
      <c r="J49" s="90">
        <v>331</v>
      </c>
      <c r="K49" s="90" t="s">
        <v>20</v>
      </c>
      <c r="L49" s="90">
        <v>1</v>
      </c>
      <c r="M49" s="124">
        <v>8185</v>
      </c>
      <c r="N49" s="124">
        <f t="shared" si="1"/>
        <v>8185</v>
      </c>
      <c r="O49" s="101"/>
      <c r="P49" s="90">
        <f t="shared" si="2"/>
        <v>42</v>
      </c>
    </row>
    <row r="50" spans="1:16" hidden="1" x14ac:dyDescent="0.2">
      <c r="A50" s="90" t="s">
        <v>309</v>
      </c>
      <c r="B50" s="69">
        <v>46038</v>
      </c>
      <c r="C50" s="90">
        <f t="shared" si="3"/>
        <v>269</v>
      </c>
      <c r="D50" s="38">
        <f t="shared" si="0"/>
        <v>1</v>
      </c>
      <c r="E50" s="90"/>
      <c r="F50" s="90"/>
      <c r="G50" s="91" t="s">
        <v>69</v>
      </c>
      <c r="H50" s="108" t="s">
        <v>2425</v>
      </c>
      <c r="I50" s="90">
        <v>112111</v>
      </c>
      <c r="J50" s="108">
        <v>131</v>
      </c>
      <c r="K50" s="90" t="s">
        <v>20</v>
      </c>
      <c r="L50" s="90">
        <v>1</v>
      </c>
      <c r="M50" s="124">
        <v>74516129</v>
      </c>
      <c r="N50" s="124">
        <f t="shared" si="1"/>
        <v>74516129</v>
      </c>
      <c r="O50" s="101"/>
      <c r="P50" s="90">
        <f t="shared" si="2"/>
        <v>89</v>
      </c>
    </row>
    <row r="51" spans="1:16" hidden="1" x14ac:dyDescent="0.2">
      <c r="A51" s="90" t="s">
        <v>310</v>
      </c>
      <c r="B51" s="69">
        <v>46038</v>
      </c>
      <c r="C51" s="90">
        <f t="shared" si="3"/>
        <v>270</v>
      </c>
      <c r="D51" s="38">
        <f t="shared" si="0"/>
        <v>1</v>
      </c>
      <c r="E51" s="90"/>
      <c r="F51" s="90"/>
      <c r="G51" s="91" t="s">
        <v>1672</v>
      </c>
      <c r="H51" s="90" t="s">
        <v>2486</v>
      </c>
      <c r="I51" s="90">
        <v>331</v>
      </c>
      <c r="J51" s="90">
        <v>1111</v>
      </c>
      <c r="K51" s="90" t="s">
        <v>20</v>
      </c>
      <c r="L51" s="90">
        <v>1</v>
      </c>
      <c r="M51" s="124">
        <v>1010181</v>
      </c>
      <c r="N51" s="124">
        <f t="shared" si="1"/>
        <v>1010181</v>
      </c>
      <c r="O51" s="101"/>
      <c r="P51" s="90">
        <f t="shared" si="2"/>
        <v>43</v>
      </c>
    </row>
    <row r="52" spans="1:16" hidden="1" x14ac:dyDescent="0.2">
      <c r="A52" s="90" t="s">
        <v>310</v>
      </c>
      <c r="B52" s="69">
        <v>46038</v>
      </c>
      <c r="C52" s="90">
        <f t="shared" si="3"/>
        <v>271</v>
      </c>
      <c r="D52" s="38">
        <f t="shared" si="0"/>
        <v>1</v>
      </c>
      <c r="E52" s="90"/>
      <c r="F52" s="90"/>
      <c r="G52" s="91" t="s">
        <v>1672</v>
      </c>
      <c r="H52" s="90" t="s">
        <v>2487</v>
      </c>
      <c r="I52" s="90">
        <v>331</v>
      </c>
      <c r="J52" s="108">
        <v>1111</v>
      </c>
      <c r="K52" s="90" t="s">
        <v>20</v>
      </c>
      <c r="L52" s="90">
        <v>1</v>
      </c>
      <c r="M52" s="124">
        <v>110500</v>
      </c>
      <c r="N52" s="124">
        <f t="shared" si="1"/>
        <v>110500</v>
      </c>
      <c r="O52" s="101"/>
      <c r="P52" s="90">
        <f t="shared" si="2"/>
        <v>53</v>
      </c>
    </row>
    <row r="53" spans="1:16" hidden="1" x14ac:dyDescent="0.2">
      <c r="A53" s="90" t="s">
        <v>309</v>
      </c>
      <c r="B53" s="69">
        <v>46039</v>
      </c>
      <c r="C53" s="90">
        <f t="shared" si="3"/>
        <v>272</v>
      </c>
      <c r="D53" s="38">
        <f t="shared" si="0"/>
        <v>1</v>
      </c>
      <c r="E53" s="90"/>
      <c r="F53" s="156"/>
      <c r="G53" s="91" t="s">
        <v>2499</v>
      </c>
      <c r="H53" s="90" t="s">
        <v>2426</v>
      </c>
      <c r="I53" s="90">
        <v>112111</v>
      </c>
      <c r="J53" s="90">
        <v>131</v>
      </c>
      <c r="K53" s="90" t="s">
        <v>20</v>
      </c>
      <c r="L53" s="90">
        <v>1</v>
      </c>
      <c r="M53" s="124">
        <v>14903226</v>
      </c>
      <c r="N53" s="124">
        <f t="shared" si="1"/>
        <v>14903226</v>
      </c>
      <c r="O53" s="101"/>
      <c r="P53" s="90">
        <f t="shared" si="2"/>
        <v>123</v>
      </c>
    </row>
    <row r="54" spans="1:16" hidden="1" x14ac:dyDescent="0.2">
      <c r="A54" s="90" t="s">
        <v>18</v>
      </c>
      <c r="B54" s="69">
        <v>46042</v>
      </c>
      <c r="C54" s="90">
        <f t="shared" si="3"/>
        <v>273</v>
      </c>
      <c r="D54" s="38">
        <f t="shared" si="0"/>
        <v>1</v>
      </c>
      <c r="E54" s="90"/>
      <c r="F54" s="90"/>
      <c r="G54" s="91" t="s">
        <v>1668</v>
      </c>
      <c r="H54" s="108" t="s">
        <v>2427</v>
      </c>
      <c r="I54" s="90">
        <v>64277</v>
      </c>
      <c r="J54" s="108">
        <v>331</v>
      </c>
      <c r="K54" s="90" t="s">
        <v>20</v>
      </c>
      <c r="L54" s="90">
        <v>1</v>
      </c>
      <c r="M54" s="124">
        <v>1845465</v>
      </c>
      <c r="N54" s="124">
        <f t="shared" si="1"/>
        <v>1845465</v>
      </c>
      <c r="O54" s="101"/>
      <c r="P54" s="90">
        <f t="shared" si="2"/>
        <v>33</v>
      </c>
    </row>
    <row r="55" spans="1:16" hidden="1" x14ac:dyDescent="0.2">
      <c r="A55" s="90" t="s">
        <v>18</v>
      </c>
      <c r="B55" s="67">
        <v>46042</v>
      </c>
      <c r="C55" s="90">
        <f t="shared" si="3"/>
        <v>273</v>
      </c>
      <c r="D55" s="38">
        <f t="shared" si="0"/>
        <v>0</v>
      </c>
      <c r="E55" s="125"/>
      <c r="F55" s="156"/>
      <c r="G55" s="126" t="s">
        <v>1668</v>
      </c>
      <c r="H55" s="125" t="s">
        <v>2427</v>
      </c>
      <c r="I55" s="90">
        <v>1331</v>
      </c>
      <c r="J55" s="90">
        <v>331</v>
      </c>
      <c r="K55" s="90" t="s">
        <v>20</v>
      </c>
      <c r="L55" s="90">
        <v>1</v>
      </c>
      <c r="M55" s="157">
        <v>132131</v>
      </c>
      <c r="N55" s="124">
        <f t="shared" si="1"/>
        <v>132131</v>
      </c>
      <c r="O55" s="101"/>
      <c r="P55" s="90">
        <f t="shared" si="2"/>
        <v>33</v>
      </c>
    </row>
    <row r="56" spans="1:16" hidden="1" x14ac:dyDescent="0.2">
      <c r="A56" s="90" t="s">
        <v>18</v>
      </c>
      <c r="B56" s="69">
        <v>46042</v>
      </c>
      <c r="C56" s="90">
        <f t="shared" si="3"/>
        <v>274</v>
      </c>
      <c r="D56" s="38">
        <f t="shared" si="0"/>
        <v>1</v>
      </c>
      <c r="E56" s="90"/>
      <c r="F56" s="90"/>
      <c r="G56" s="91" t="s">
        <v>1678</v>
      </c>
      <c r="H56" s="108" t="s">
        <v>2459</v>
      </c>
      <c r="I56" s="90">
        <v>131</v>
      </c>
      <c r="J56" s="108">
        <v>5113</v>
      </c>
      <c r="K56" s="90" t="s">
        <v>20</v>
      </c>
      <c r="L56" s="90">
        <v>1</v>
      </c>
      <c r="M56" s="124">
        <v>151515152</v>
      </c>
      <c r="N56" s="124">
        <f t="shared" si="1"/>
        <v>151515152</v>
      </c>
      <c r="O56" s="101"/>
      <c r="P56" s="90">
        <f t="shared" si="2"/>
        <v>58</v>
      </c>
    </row>
    <row r="57" spans="1:16" x14ac:dyDescent="0.2">
      <c r="A57" s="90" t="s">
        <v>18</v>
      </c>
      <c r="B57" s="67">
        <v>46042</v>
      </c>
      <c r="C57" s="90">
        <f t="shared" si="3"/>
        <v>274</v>
      </c>
      <c r="D57" s="38">
        <f t="shared" si="0"/>
        <v>0</v>
      </c>
      <c r="E57" s="125"/>
      <c r="F57" s="156"/>
      <c r="G57" s="126" t="s">
        <v>1678</v>
      </c>
      <c r="H57" s="125" t="s">
        <v>2459</v>
      </c>
      <c r="I57" s="90">
        <v>333821</v>
      </c>
      <c r="J57" s="90">
        <v>131</v>
      </c>
      <c r="K57" s="90" t="s">
        <v>20</v>
      </c>
      <c r="L57" s="90">
        <v>1</v>
      </c>
      <c r="M57" s="157">
        <v>1515152</v>
      </c>
      <c r="N57" s="124">
        <f t="shared" si="1"/>
        <v>1515152</v>
      </c>
      <c r="O57" s="101"/>
      <c r="P57" s="90">
        <f t="shared" si="2"/>
        <v>58</v>
      </c>
    </row>
    <row r="58" spans="1:16" hidden="1" x14ac:dyDescent="0.2">
      <c r="A58" s="90" t="s">
        <v>309</v>
      </c>
      <c r="B58" s="69">
        <v>46042</v>
      </c>
      <c r="C58" s="90">
        <f t="shared" si="3"/>
        <v>275</v>
      </c>
      <c r="D58" s="38">
        <f t="shared" si="0"/>
        <v>1</v>
      </c>
      <c r="E58" s="90"/>
      <c r="F58" s="90"/>
      <c r="G58" s="91" t="s">
        <v>311</v>
      </c>
      <c r="H58" s="108" t="s">
        <v>2428</v>
      </c>
      <c r="I58" s="90">
        <v>112111</v>
      </c>
      <c r="J58" s="108">
        <v>131</v>
      </c>
      <c r="K58" s="90" t="s">
        <v>20</v>
      </c>
      <c r="L58" s="90">
        <v>1</v>
      </c>
      <c r="M58" s="100">
        <v>484606439</v>
      </c>
      <c r="N58" s="124">
        <f t="shared" si="1"/>
        <v>484606439</v>
      </c>
      <c r="O58" s="101"/>
      <c r="P58" s="90">
        <f t="shared" si="2"/>
        <v>11</v>
      </c>
    </row>
    <row r="59" spans="1:16" hidden="1" x14ac:dyDescent="0.2">
      <c r="A59" s="90" t="s">
        <v>18</v>
      </c>
      <c r="B59" s="69">
        <v>46042</v>
      </c>
      <c r="C59" s="90">
        <f t="shared" ref="C59" si="4">C58+D59</f>
        <v>275</v>
      </c>
      <c r="D59" s="38">
        <f t="shared" ref="D59" si="5">IF(H59=H58,0,1)</f>
        <v>0</v>
      </c>
      <c r="E59" s="90"/>
      <c r="F59" s="90"/>
      <c r="G59" s="91" t="s">
        <v>311</v>
      </c>
      <c r="H59" s="108" t="s">
        <v>2428</v>
      </c>
      <c r="I59" s="108">
        <v>131</v>
      </c>
      <c r="J59" s="108">
        <v>5118</v>
      </c>
      <c r="K59" s="90" t="s">
        <v>20</v>
      </c>
      <c r="L59" s="90">
        <v>1</v>
      </c>
      <c r="M59" s="100">
        <v>484606439</v>
      </c>
      <c r="N59" s="124">
        <f t="shared" ref="N59" si="6">L59*M59</f>
        <v>484606439</v>
      </c>
      <c r="O59" s="101"/>
      <c r="P59" s="90">
        <f t="shared" si="2"/>
        <v>11</v>
      </c>
    </row>
    <row r="60" spans="1:16" hidden="1" x14ac:dyDescent="0.2">
      <c r="A60" s="90" t="s">
        <v>308</v>
      </c>
      <c r="B60" s="67">
        <v>46042</v>
      </c>
      <c r="C60" s="90">
        <f t="shared" ref="C60" si="7">C59+D60</f>
        <v>276</v>
      </c>
      <c r="D60" s="38">
        <f t="shared" ref="D60" si="8">IF(H60=H59,0,1)</f>
        <v>1</v>
      </c>
      <c r="E60" s="125"/>
      <c r="F60" s="156"/>
      <c r="G60" s="91" t="s">
        <v>110</v>
      </c>
      <c r="H60" s="89" t="s">
        <v>2411</v>
      </c>
      <c r="I60" s="90">
        <v>1111</v>
      </c>
      <c r="J60" s="90">
        <v>112111</v>
      </c>
      <c r="K60" s="90" t="s">
        <v>20</v>
      </c>
      <c r="L60" s="90">
        <v>1</v>
      </c>
      <c r="M60" s="157">
        <v>645000000</v>
      </c>
      <c r="N60" s="124">
        <f t="shared" si="1"/>
        <v>645000000</v>
      </c>
      <c r="O60" s="101"/>
      <c r="P60" s="90">
        <f t="shared" si="2"/>
        <v>45</v>
      </c>
    </row>
    <row r="61" spans="1:16" hidden="1" x14ac:dyDescent="0.2">
      <c r="A61" s="90" t="s">
        <v>309</v>
      </c>
      <c r="B61" s="69">
        <v>46042</v>
      </c>
      <c r="C61" s="90">
        <f t="shared" si="3"/>
        <v>277</v>
      </c>
      <c r="D61" s="38">
        <f t="shared" si="0"/>
        <v>1</v>
      </c>
      <c r="E61" s="90"/>
      <c r="F61" s="90"/>
      <c r="G61" s="91" t="s">
        <v>1678</v>
      </c>
      <c r="H61" s="108" t="s">
        <v>2460</v>
      </c>
      <c r="I61" s="90">
        <v>112111</v>
      </c>
      <c r="J61" s="108">
        <v>131</v>
      </c>
      <c r="K61" s="90" t="s">
        <v>20</v>
      </c>
      <c r="L61" s="90">
        <v>1</v>
      </c>
      <c r="M61" s="100">
        <v>150000000</v>
      </c>
      <c r="N61" s="124">
        <f t="shared" si="1"/>
        <v>150000000</v>
      </c>
      <c r="O61" s="101"/>
      <c r="P61" s="90">
        <f t="shared" si="2"/>
        <v>63</v>
      </c>
    </row>
    <row r="62" spans="1:16" hidden="1" x14ac:dyDescent="0.2">
      <c r="A62" s="90" t="s">
        <v>310</v>
      </c>
      <c r="B62" s="69">
        <v>46042</v>
      </c>
      <c r="C62" s="90">
        <f t="shared" si="3"/>
        <v>278</v>
      </c>
      <c r="D62" s="38">
        <f t="shared" si="0"/>
        <v>1</v>
      </c>
      <c r="E62" s="90"/>
      <c r="F62" s="90"/>
      <c r="G62" s="91" t="s">
        <v>1668</v>
      </c>
      <c r="H62" s="90" t="s">
        <v>2488</v>
      </c>
      <c r="I62" s="90">
        <v>331</v>
      </c>
      <c r="J62" s="90">
        <v>1111</v>
      </c>
      <c r="K62" s="90" t="s">
        <v>20</v>
      </c>
      <c r="L62" s="90">
        <v>1</v>
      </c>
      <c r="M62" s="124">
        <v>1977596</v>
      </c>
      <c r="N62" s="124">
        <f t="shared" si="1"/>
        <v>1977596</v>
      </c>
      <c r="O62" s="101"/>
      <c r="P62" s="90">
        <f t="shared" si="2"/>
        <v>44</v>
      </c>
    </row>
    <row r="63" spans="1:16" hidden="1" x14ac:dyDescent="0.2">
      <c r="A63" s="90" t="s">
        <v>309</v>
      </c>
      <c r="B63" s="69">
        <v>46043</v>
      </c>
      <c r="C63" s="90">
        <f t="shared" si="3"/>
        <v>279</v>
      </c>
      <c r="D63" s="38">
        <f t="shared" si="0"/>
        <v>1</v>
      </c>
      <c r="E63" s="90"/>
      <c r="F63" s="90"/>
      <c r="G63" s="91" t="s">
        <v>509</v>
      </c>
      <c r="H63" s="108" t="s">
        <v>2429</v>
      </c>
      <c r="I63" s="90">
        <v>112111</v>
      </c>
      <c r="J63" s="108">
        <v>131</v>
      </c>
      <c r="K63" s="90" t="s">
        <v>20</v>
      </c>
      <c r="L63" s="90">
        <v>1</v>
      </c>
      <c r="M63" s="100">
        <v>63870968</v>
      </c>
      <c r="N63" s="124">
        <f t="shared" si="1"/>
        <v>63870968</v>
      </c>
      <c r="O63" s="101"/>
      <c r="P63" s="90">
        <f t="shared" si="2"/>
        <v>98</v>
      </c>
    </row>
    <row r="64" spans="1:16" hidden="1" x14ac:dyDescent="0.2">
      <c r="A64" s="90" t="s">
        <v>308</v>
      </c>
      <c r="B64" s="69">
        <v>46044</v>
      </c>
      <c r="C64" s="90">
        <f t="shared" si="3"/>
        <v>280</v>
      </c>
      <c r="D64" s="38">
        <f t="shared" si="0"/>
        <v>1</v>
      </c>
      <c r="E64" s="90"/>
      <c r="F64" s="90"/>
      <c r="G64" s="91" t="s">
        <v>35</v>
      </c>
      <c r="H64" s="90" t="s">
        <v>2489</v>
      </c>
      <c r="I64" s="90">
        <v>1111</v>
      </c>
      <c r="J64" s="90">
        <v>112111</v>
      </c>
      <c r="K64" s="90" t="s">
        <v>20</v>
      </c>
      <c r="L64" s="90">
        <v>1</v>
      </c>
      <c r="M64" s="124">
        <v>100000000</v>
      </c>
      <c r="N64" s="124">
        <f t="shared" si="1"/>
        <v>100000000</v>
      </c>
      <c r="O64" s="101"/>
      <c r="P64" s="90">
        <f t="shared" si="2"/>
        <v>63</v>
      </c>
    </row>
    <row r="65" spans="1:16" hidden="1" x14ac:dyDescent="0.2">
      <c r="A65" s="90" t="s">
        <v>309</v>
      </c>
      <c r="B65" s="69">
        <v>46045</v>
      </c>
      <c r="C65" s="90">
        <f t="shared" si="3"/>
        <v>281</v>
      </c>
      <c r="D65" s="38">
        <f t="shared" si="0"/>
        <v>1</v>
      </c>
      <c r="E65" s="90"/>
      <c r="F65" s="90"/>
      <c r="G65" s="91" t="s">
        <v>253</v>
      </c>
      <c r="H65" s="108" t="s">
        <v>2462</v>
      </c>
      <c r="I65" s="90">
        <v>112111</v>
      </c>
      <c r="J65" s="108">
        <v>131</v>
      </c>
      <c r="K65" s="90" t="s">
        <v>20</v>
      </c>
      <c r="L65" s="90">
        <v>1</v>
      </c>
      <c r="M65" s="100">
        <v>53225806</v>
      </c>
      <c r="N65" s="124">
        <f t="shared" si="1"/>
        <v>53225806</v>
      </c>
      <c r="O65" s="101"/>
      <c r="P65" s="90">
        <f t="shared" si="2"/>
        <v>89</v>
      </c>
    </row>
    <row r="66" spans="1:16" hidden="1" x14ac:dyDescent="0.2">
      <c r="A66" s="90" t="s">
        <v>309</v>
      </c>
      <c r="B66" s="69">
        <v>46047</v>
      </c>
      <c r="C66" s="90">
        <f t="shared" si="3"/>
        <v>282</v>
      </c>
      <c r="D66" s="38">
        <f t="shared" si="0"/>
        <v>1</v>
      </c>
      <c r="E66" s="90"/>
      <c r="F66" s="156"/>
      <c r="G66" s="91" t="s">
        <v>57</v>
      </c>
      <c r="H66" s="89" t="s">
        <v>2430</v>
      </c>
      <c r="I66" s="90">
        <v>112111</v>
      </c>
      <c r="J66" s="90">
        <v>131</v>
      </c>
      <c r="K66" s="90" t="s">
        <v>20</v>
      </c>
      <c r="L66" s="90">
        <v>1</v>
      </c>
      <c r="M66" s="124">
        <v>63870968</v>
      </c>
      <c r="N66" s="124">
        <f t="shared" si="1"/>
        <v>63870968</v>
      </c>
      <c r="O66" s="101"/>
      <c r="P66" s="90">
        <f t="shared" si="2"/>
        <v>70</v>
      </c>
    </row>
    <row r="67" spans="1:16" hidden="1" x14ac:dyDescent="0.2">
      <c r="A67" s="90" t="s">
        <v>18</v>
      </c>
      <c r="B67" s="69">
        <v>46049</v>
      </c>
      <c r="C67" s="90">
        <f t="shared" si="3"/>
        <v>283</v>
      </c>
      <c r="D67" s="38">
        <f t="shared" si="0"/>
        <v>1</v>
      </c>
      <c r="E67" s="90"/>
      <c r="F67" s="90"/>
      <c r="G67" s="91" t="s">
        <v>1673</v>
      </c>
      <c r="H67" s="108" t="s">
        <v>2431</v>
      </c>
      <c r="I67" s="90">
        <v>64277</v>
      </c>
      <c r="J67" s="108">
        <v>331</v>
      </c>
      <c r="K67" s="90" t="s">
        <v>20</v>
      </c>
      <c r="L67" s="90">
        <v>1</v>
      </c>
      <c r="M67" s="100">
        <v>583000</v>
      </c>
      <c r="N67" s="124">
        <f t="shared" si="1"/>
        <v>583000</v>
      </c>
      <c r="O67" s="101"/>
      <c r="P67" s="90">
        <f t="shared" si="2"/>
        <v>38</v>
      </c>
    </row>
    <row r="68" spans="1:16" hidden="1" x14ac:dyDescent="0.2">
      <c r="A68" s="90" t="s">
        <v>18</v>
      </c>
      <c r="B68" s="69">
        <v>46049</v>
      </c>
      <c r="C68" s="90">
        <f t="shared" si="3"/>
        <v>283</v>
      </c>
      <c r="D68" s="38">
        <f t="shared" si="0"/>
        <v>0</v>
      </c>
      <c r="E68" s="90"/>
      <c r="F68" s="156"/>
      <c r="G68" s="91" t="s">
        <v>1673</v>
      </c>
      <c r="H68" s="89" t="s">
        <v>2431</v>
      </c>
      <c r="I68" s="90">
        <v>1331</v>
      </c>
      <c r="J68" s="90">
        <v>331</v>
      </c>
      <c r="K68" s="90" t="s">
        <v>20</v>
      </c>
      <c r="L68" s="90">
        <v>1</v>
      </c>
      <c r="M68" s="124">
        <v>46640</v>
      </c>
      <c r="N68" s="124">
        <f t="shared" si="1"/>
        <v>46640</v>
      </c>
      <c r="O68" s="101"/>
      <c r="P68" s="90">
        <f t="shared" si="2"/>
        <v>38</v>
      </c>
    </row>
    <row r="69" spans="1:16" hidden="1" x14ac:dyDescent="0.2">
      <c r="A69" s="90" t="s">
        <v>18</v>
      </c>
      <c r="B69" s="69">
        <v>46049</v>
      </c>
      <c r="C69" s="90">
        <f t="shared" si="3"/>
        <v>284</v>
      </c>
      <c r="D69" s="38">
        <f t="shared" ref="D69:D133" si="9">IF(H69=H68,0,1)</f>
        <v>1</v>
      </c>
      <c r="E69" s="90"/>
      <c r="F69" s="90"/>
      <c r="G69" s="91" t="s">
        <v>56</v>
      </c>
      <c r="H69" s="108" t="s">
        <v>2432</v>
      </c>
      <c r="I69" s="90">
        <v>131</v>
      </c>
      <c r="J69" s="108">
        <v>5113</v>
      </c>
      <c r="K69" s="90" t="s">
        <v>20</v>
      </c>
      <c r="L69" s="90">
        <v>1</v>
      </c>
      <c r="M69" s="100">
        <v>107526882</v>
      </c>
      <c r="N69" s="124">
        <f t="shared" ref="N69:N133" si="10">L69*M69</f>
        <v>107526882</v>
      </c>
      <c r="O69" s="101"/>
      <c r="P69" s="90">
        <f t="shared" ref="P69:P132" si="11">LEN(H69)</f>
        <v>81</v>
      </c>
    </row>
    <row r="70" spans="1:16" x14ac:dyDescent="0.2">
      <c r="A70" s="90" t="s">
        <v>18</v>
      </c>
      <c r="B70" s="69">
        <v>46049</v>
      </c>
      <c r="C70" s="90">
        <f t="shared" si="3"/>
        <v>284</v>
      </c>
      <c r="D70" s="38">
        <f t="shared" si="9"/>
        <v>0</v>
      </c>
      <c r="E70" s="90"/>
      <c r="F70" s="156"/>
      <c r="G70" s="91" t="s">
        <v>56</v>
      </c>
      <c r="H70" s="90" t="s">
        <v>2432</v>
      </c>
      <c r="I70" s="90">
        <v>333821</v>
      </c>
      <c r="J70" s="90">
        <v>131</v>
      </c>
      <c r="K70" s="90" t="s">
        <v>20</v>
      </c>
      <c r="L70" s="90">
        <v>1</v>
      </c>
      <c r="M70" s="124">
        <v>1075269</v>
      </c>
      <c r="N70" s="124">
        <f t="shared" si="10"/>
        <v>1075269</v>
      </c>
      <c r="O70" s="101"/>
      <c r="P70" s="90">
        <f t="shared" si="11"/>
        <v>81</v>
      </c>
    </row>
    <row r="71" spans="1:16" hidden="1" x14ac:dyDescent="0.2">
      <c r="A71" s="90" t="s">
        <v>18</v>
      </c>
      <c r="B71" s="69">
        <v>46049</v>
      </c>
      <c r="C71" s="90">
        <f t="shared" ref="C71:C135" si="12">C70+D71</f>
        <v>285</v>
      </c>
      <c r="D71" s="38">
        <f t="shared" si="9"/>
        <v>1</v>
      </c>
      <c r="E71" s="90"/>
      <c r="F71" s="90"/>
      <c r="G71" s="91" t="s">
        <v>56</v>
      </c>
      <c r="H71" s="108" t="s">
        <v>2433</v>
      </c>
      <c r="I71" s="90">
        <v>131</v>
      </c>
      <c r="J71" s="108">
        <v>5113</v>
      </c>
      <c r="K71" s="90" t="s">
        <v>20</v>
      </c>
      <c r="L71" s="90">
        <v>1</v>
      </c>
      <c r="M71" s="100">
        <v>53763440</v>
      </c>
      <c r="N71" s="124">
        <f t="shared" si="10"/>
        <v>53763440</v>
      </c>
      <c r="O71" s="101"/>
      <c r="P71" s="90">
        <f t="shared" si="11"/>
        <v>91</v>
      </c>
    </row>
    <row r="72" spans="1:16" x14ac:dyDescent="0.2">
      <c r="A72" s="90" t="s">
        <v>18</v>
      </c>
      <c r="B72" s="69">
        <v>46049</v>
      </c>
      <c r="C72" s="90">
        <f t="shared" si="12"/>
        <v>285</v>
      </c>
      <c r="D72" s="38">
        <f t="shared" si="9"/>
        <v>0</v>
      </c>
      <c r="E72" s="90"/>
      <c r="F72" s="156"/>
      <c r="G72" s="113" t="s">
        <v>56</v>
      </c>
      <c r="H72" s="108" t="s">
        <v>2433</v>
      </c>
      <c r="I72" s="90">
        <v>333821</v>
      </c>
      <c r="J72" s="90">
        <v>131</v>
      </c>
      <c r="K72" s="90" t="s">
        <v>20</v>
      </c>
      <c r="L72" s="90">
        <v>1</v>
      </c>
      <c r="M72" s="124">
        <v>537634</v>
      </c>
      <c r="N72" s="124">
        <f t="shared" si="10"/>
        <v>537634</v>
      </c>
      <c r="O72" s="101"/>
      <c r="P72" s="90">
        <f t="shared" si="11"/>
        <v>91</v>
      </c>
    </row>
    <row r="73" spans="1:16" hidden="1" x14ac:dyDescent="0.2">
      <c r="A73" s="90" t="s">
        <v>18</v>
      </c>
      <c r="B73" s="69">
        <v>46049</v>
      </c>
      <c r="C73" s="90">
        <f t="shared" si="12"/>
        <v>286</v>
      </c>
      <c r="D73" s="38">
        <f t="shared" si="9"/>
        <v>1</v>
      </c>
      <c r="E73" s="90"/>
      <c r="F73" s="90"/>
      <c r="G73" s="91" t="s">
        <v>56</v>
      </c>
      <c r="H73" s="108" t="s">
        <v>2434</v>
      </c>
      <c r="I73" s="90">
        <v>131</v>
      </c>
      <c r="J73" s="108">
        <v>5113</v>
      </c>
      <c r="K73" s="90" t="s">
        <v>20</v>
      </c>
      <c r="L73" s="90">
        <v>1</v>
      </c>
      <c r="M73" s="100">
        <v>53763440</v>
      </c>
      <c r="N73" s="124">
        <f t="shared" si="10"/>
        <v>53763440</v>
      </c>
      <c r="O73" s="101"/>
      <c r="P73" s="90">
        <f t="shared" si="11"/>
        <v>90</v>
      </c>
    </row>
    <row r="74" spans="1:16" x14ac:dyDescent="0.2">
      <c r="A74" s="90" t="s">
        <v>18</v>
      </c>
      <c r="B74" s="69">
        <v>46049</v>
      </c>
      <c r="C74" s="90">
        <f t="shared" si="12"/>
        <v>286</v>
      </c>
      <c r="D74" s="38">
        <f t="shared" si="9"/>
        <v>0</v>
      </c>
      <c r="E74" s="90"/>
      <c r="F74" s="156"/>
      <c r="G74" s="113" t="s">
        <v>56</v>
      </c>
      <c r="H74" s="108" t="s">
        <v>2434</v>
      </c>
      <c r="I74" s="90">
        <v>333821</v>
      </c>
      <c r="J74" s="90">
        <v>131</v>
      </c>
      <c r="K74" s="90" t="s">
        <v>20</v>
      </c>
      <c r="L74" s="90">
        <v>1</v>
      </c>
      <c r="M74" s="124">
        <v>537634</v>
      </c>
      <c r="N74" s="124">
        <f t="shared" si="10"/>
        <v>537634</v>
      </c>
      <c r="O74" s="101"/>
      <c r="P74" s="90">
        <f t="shared" si="11"/>
        <v>90</v>
      </c>
    </row>
    <row r="75" spans="1:16" hidden="1" x14ac:dyDescent="0.2">
      <c r="A75" s="90" t="s">
        <v>18</v>
      </c>
      <c r="B75" s="69">
        <v>46049</v>
      </c>
      <c r="C75" s="90">
        <f t="shared" si="12"/>
        <v>287</v>
      </c>
      <c r="D75" s="38">
        <f t="shared" si="9"/>
        <v>1</v>
      </c>
      <c r="E75" s="90"/>
      <c r="F75" s="90"/>
      <c r="G75" s="91" t="s">
        <v>56</v>
      </c>
      <c r="H75" s="108" t="s">
        <v>2435</v>
      </c>
      <c r="I75" s="90">
        <v>131</v>
      </c>
      <c r="J75" s="108">
        <v>5113</v>
      </c>
      <c r="K75" s="90" t="s">
        <v>20</v>
      </c>
      <c r="L75" s="90">
        <v>1</v>
      </c>
      <c r="M75" s="100">
        <v>53763440</v>
      </c>
      <c r="N75" s="124">
        <f t="shared" si="10"/>
        <v>53763440</v>
      </c>
      <c r="O75" s="101"/>
      <c r="P75" s="90">
        <f t="shared" si="11"/>
        <v>89</v>
      </c>
    </row>
    <row r="76" spans="1:16" x14ac:dyDescent="0.2">
      <c r="A76" s="90" t="s">
        <v>18</v>
      </c>
      <c r="B76" s="69">
        <v>46049</v>
      </c>
      <c r="C76" s="90">
        <f t="shared" si="12"/>
        <v>287</v>
      </c>
      <c r="D76" s="38">
        <f t="shared" si="9"/>
        <v>0</v>
      </c>
      <c r="E76" s="90"/>
      <c r="F76" s="156"/>
      <c r="G76" s="91" t="s">
        <v>56</v>
      </c>
      <c r="H76" s="90" t="s">
        <v>2435</v>
      </c>
      <c r="I76" s="90">
        <v>333821</v>
      </c>
      <c r="J76" s="90">
        <v>131</v>
      </c>
      <c r="K76" s="90" t="s">
        <v>20</v>
      </c>
      <c r="L76" s="90">
        <v>1</v>
      </c>
      <c r="M76" s="124">
        <v>537634</v>
      </c>
      <c r="N76" s="124">
        <f t="shared" si="10"/>
        <v>537634</v>
      </c>
      <c r="O76" s="101"/>
      <c r="P76" s="90">
        <f t="shared" si="11"/>
        <v>89</v>
      </c>
    </row>
    <row r="77" spans="1:16" hidden="1" x14ac:dyDescent="0.2">
      <c r="A77" s="90" t="s">
        <v>308</v>
      </c>
      <c r="B77" s="69">
        <v>46049</v>
      </c>
      <c r="C77" s="90">
        <f t="shared" si="12"/>
        <v>288</v>
      </c>
      <c r="D77" s="38">
        <f t="shared" si="9"/>
        <v>1</v>
      </c>
      <c r="E77" s="90"/>
      <c r="F77" s="90"/>
      <c r="G77" s="91" t="s">
        <v>110</v>
      </c>
      <c r="H77" s="108" t="s">
        <v>2411</v>
      </c>
      <c r="I77" s="90">
        <v>1111</v>
      </c>
      <c r="J77" s="108">
        <v>112111</v>
      </c>
      <c r="K77" s="90" t="s">
        <v>20</v>
      </c>
      <c r="L77" s="90">
        <v>1</v>
      </c>
      <c r="M77" s="100">
        <v>231000000</v>
      </c>
      <c r="N77" s="124">
        <f t="shared" si="10"/>
        <v>231000000</v>
      </c>
      <c r="O77" s="101"/>
      <c r="P77" s="90">
        <f t="shared" si="11"/>
        <v>45</v>
      </c>
    </row>
    <row r="78" spans="1:16" hidden="1" x14ac:dyDescent="0.2">
      <c r="A78" s="90" t="s">
        <v>310</v>
      </c>
      <c r="B78" s="69">
        <v>46049</v>
      </c>
      <c r="C78" s="90">
        <f t="shared" si="12"/>
        <v>289</v>
      </c>
      <c r="D78" s="38">
        <f t="shared" si="9"/>
        <v>1</v>
      </c>
      <c r="E78" s="90"/>
      <c r="F78" s="90"/>
      <c r="G78" s="91" t="s">
        <v>1673</v>
      </c>
      <c r="H78" s="90" t="s">
        <v>2490</v>
      </c>
      <c r="I78" s="90">
        <v>331</v>
      </c>
      <c r="J78" s="90">
        <v>1111</v>
      </c>
      <c r="K78" s="90" t="s">
        <v>20</v>
      </c>
      <c r="L78" s="90">
        <v>1</v>
      </c>
      <c r="M78" s="124">
        <v>629640</v>
      </c>
      <c r="N78" s="124">
        <f t="shared" si="10"/>
        <v>629640</v>
      </c>
      <c r="O78" s="101"/>
      <c r="P78" s="90">
        <f t="shared" si="11"/>
        <v>49</v>
      </c>
    </row>
    <row r="79" spans="1:16" hidden="1" x14ac:dyDescent="0.2">
      <c r="A79" s="90" t="s">
        <v>309</v>
      </c>
      <c r="B79" s="69">
        <v>46050</v>
      </c>
      <c r="C79" s="90">
        <f t="shared" si="12"/>
        <v>290</v>
      </c>
      <c r="D79" s="38">
        <f t="shared" si="9"/>
        <v>1</v>
      </c>
      <c r="E79" s="90"/>
      <c r="F79" s="90"/>
      <c r="G79" s="91" t="s">
        <v>69</v>
      </c>
      <c r="H79" s="108" t="s">
        <v>2436</v>
      </c>
      <c r="I79" s="90">
        <v>112111</v>
      </c>
      <c r="J79" s="108">
        <v>131</v>
      </c>
      <c r="K79" s="90" t="s">
        <v>20</v>
      </c>
      <c r="L79" s="90">
        <v>1</v>
      </c>
      <c r="M79" s="100">
        <v>53225806</v>
      </c>
      <c r="N79" s="124">
        <f t="shared" si="10"/>
        <v>53225806</v>
      </c>
      <c r="O79" s="101"/>
      <c r="P79" s="90">
        <f t="shared" si="11"/>
        <v>79</v>
      </c>
    </row>
    <row r="80" spans="1:16" hidden="1" x14ac:dyDescent="0.2">
      <c r="A80" s="90" t="s">
        <v>18</v>
      </c>
      <c r="B80" s="69">
        <v>46051</v>
      </c>
      <c r="C80" s="90">
        <f t="shared" si="12"/>
        <v>291</v>
      </c>
      <c r="D80" s="38">
        <f t="shared" si="9"/>
        <v>1</v>
      </c>
      <c r="E80" s="90"/>
      <c r="F80" s="156"/>
      <c r="G80" s="91" t="s">
        <v>43</v>
      </c>
      <c r="H80" s="90" t="s">
        <v>2463</v>
      </c>
      <c r="I80" s="90">
        <v>131</v>
      </c>
      <c r="J80" s="90">
        <v>5113</v>
      </c>
      <c r="K80" s="90" t="s">
        <v>20</v>
      </c>
      <c r="L80" s="90">
        <v>1</v>
      </c>
      <c r="M80" s="124">
        <v>55555556</v>
      </c>
      <c r="N80" s="124">
        <f t="shared" si="10"/>
        <v>55555556</v>
      </c>
      <c r="O80" s="101"/>
      <c r="P80" s="90">
        <f t="shared" si="11"/>
        <v>89</v>
      </c>
    </row>
    <row r="81" spans="1:16" x14ac:dyDescent="0.2">
      <c r="A81" s="90" t="s">
        <v>18</v>
      </c>
      <c r="B81" s="69">
        <v>46051</v>
      </c>
      <c r="C81" s="90">
        <f t="shared" si="12"/>
        <v>291</v>
      </c>
      <c r="D81" s="38">
        <f t="shared" si="9"/>
        <v>0</v>
      </c>
      <c r="E81" s="90"/>
      <c r="F81" s="90"/>
      <c r="G81" s="91" t="s">
        <v>43</v>
      </c>
      <c r="H81" s="108" t="s">
        <v>2463</v>
      </c>
      <c r="I81" s="90">
        <v>333821</v>
      </c>
      <c r="J81" s="108">
        <v>131</v>
      </c>
      <c r="K81" s="90" t="s">
        <v>20</v>
      </c>
      <c r="L81" s="90">
        <v>1</v>
      </c>
      <c r="M81" s="100">
        <v>555556</v>
      </c>
      <c r="N81" s="124">
        <f t="shared" si="10"/>
        <v>555556</v>
      </c>
      <c r="O81" s="101"/>
      <c r="P81" s="90">
        <f t="shared" si="11"/>
        <v>89</v>
      </c>
    </row>
    <row r="82" spans="1:16" hidden="1" x14ac:dyDescent="0.2">
      <c r="A82" s="90" t="s">
        <v>18</v>
      </c>
      <c r="B82" s="69">
        <v>46051</v>
      </c>
      <c r="C82" s="90">
        <f t="shared" si="12"/>
        <v>292</v>
      </c>
      <c r="D82" s="38">
        <f t="shared" si="9"/>
        <v>1</v>
      </c>
      <c r="E82" s="90"/>
      <c r="F82" s="156"/>
      <c r="G82" s="91" t="s">
        <v>1679</v>
      </c>
      <c r="H82" s="90" t="s">
        <v>2464</v>
      </c>
      <c r="I82" s="90">
        <v>131</v>
      </c>
      <c r="J82" s="90">
        <v>5113</v>
      </c>
      <c r="K82" s="90" t="s">
        <v>20</v>
      </c>
      <c r="L82" s="90">
        <v>1</v>
      </c>
      <c r="M82" s="124">
        <v>64516129</v>
      </c>
      <c r="N82" s="124">
        <f t="shared" si="10"/>
        <v>64516129</v>
      </c>
      <c r="O82" s="101"/>
      <c r="P82" s="90">
        <f t="shared" si="11"/>
        <v>44</v>
      </c>
    </row>
    <row r="83" spans="1:16" x14ac:dyDescent="0.2">
      <c r="A83" s="90" t="s">
        <v>18</v>
      </c>
      <c r="B83" s="69">
        <v>46051</v>
      </c>
      <c r="C83" s="90">
        <f t="shared" si="12"/>
        <v>292</v>
      </c>
      <c r="D83" s="38">
        <f t="shared" si="9"/>
        <v>0</v>
      </c>
      <c r="E83" s="90"/>
      <c r="F83" s="90"/>
      <c r="G83" s="91" t="s">
        <v>1679</v>
      </c>
      <c r="H83" s="108" t="s">
        <v>2464</v>
      </c>
      <c r="I83" s="90">
        <v>333821</v>
      </c>
      <c r="J83" s="108">
        <v>131</v>
      </c>
      <c r="K83" s="90" t="s">
        <v>20</v>
      </c>
      <c r="L83" s="90">
        <v>1</v>
      </c>
      <c r="M83" s="100">
        <v>645161</v>
      </c>
      <c r="N83" s="124">
        <f t="shared" si="10"/>
        <v>645161</v>
      </c>
      <c r="O83" s="101"/>
      <c r="P83" s="90">
        <f t="shared" si="11"/>
        <v>44</v>
      </c>
    </row>
    <row r="84" spans="1:16" hidden="1" x14ac:dyDescent="0.2">
      <c r="A84" s="90" t="s">
        <v>309</v>
      </c>
      <c r="B84" s="69">
        <v>46051</v>
      </c>
      <c r="C84" s="90">
        <f t="shared" si="12"/>
        <v>293</v>
      </c>
      <c r="D84" s="38">
        <f t="shared" si="9"/>
        <v>1</v>
      </c>
      <c r="E84" s="90"/>
      <c r="F84" s="156"/>
      <c r="G84" s="113" t="s">
        <v>1679</v>
      </c>
      <c r="H84" s="108" t="s">
        <v>2465</v>
      </c>
      <c r="I84" s="90">
        <v>112111</v>
      </c>
      <c r="J84" s="90">
        <v>131</v>
      </c>
      <c r="K84" s="90" t="s">
        <v>20</v>
      </c>
      <c r="L84" s="90">
        <v>1</v>
      </c>
      <c r="M84" s="124">
        <v>63870968</v>
      </c>
      <c r="N84" s="124">
        <f t="shared" si="10"/>
        <v>63870968</v>
      </c>
      <c r="O84" s="101"/>
      <c r="P84" s="90">
        <f t="shared" si="11"/>
        <v>49</v>
      </c>
    </row>
    <row r="85" spans="1:16" hidden="1" x14ac:dyDescent="0.2">
      <c r="A85" s="90" t="s">
        <v>18</v>
      </c>
      <c r="B85" s="69">
        <v>46052</v>
      </c>
      <c r="C85" s="90">
        <f t="shared" si="12"/>
        <v>294</v>
      </c>
      <c r="D85" s="38">
        <f t="shared" si="9"/>
        <v>1</v>
      </c>
      <c r="E85" s="90"/>
      <c r="F85" s="90"/>
      <c r="G85" s="91" t="s">
        <v>1680</v>
      </c>
      <c r="H85" s="108" t="s">
        <v>2466</v>
      </c>
      <c r="I85" s="90">
        <v>131</v>
      </c>
      <c r="J85" s="108">
        <v>5113</v>
      </c>
      <c r="K85" s="90" t="s">
        <v>20</v>
      </c>
      <c r="L85" s="90">
        <v>1</v>
      </c>
      <c r="M85" s="100">
        <v>166666667</v>
      </c>
      <c r="N85" s="124">
        <f t="shared" si="10"/>
        <v>166666667</v>
      </c>
      <c r="O85" s="101"/>
      <c r="P85" s="90">
        <f t="shared" si="11"/>
        <v>65</v>
      </c>
    </row>
    <row r="86" spans="1:16" x14ac:dyDescent="0.2">
      <c r="A86" s="90" t="s">
        <v>18</v>
      </c>
      <c r="B86" s="69">
        <v>46052</v>
      </c>
      <c r="C86" s="90">
        <f t="shared" si="12"/>
        <v>294</v>
      </c>
      <c r="D86" s="38">
        <f t="shared" si="9"/>
        <v>0</v>
      </c>
      <c r="E86" s="90"/>
      <c r="F86" s="156"/>
      <c r="G86" s="113" t="s">
        <v>1680</v>
      </c>
      <c r="H86" s="108" t="s">
        <v>2466</v>
      </c>
      <c r="I86" s="90">
        <v>333821</v>
      </c>
      <c r="J86" s="90">
        <v>131</v>
      </c>
      <c r="K86" s="90" t="s">
        <v>20</v>
      </c>
      <c r="L86" s="90">
        <v>1</v>
      </c>
      <c r="M86" s="124">
        <v>1666667</v>
      </c>
      <c r="N86" s="124">
        <f t="shared" si="10"/>
        <v>1666667</v>
      </c>
      <c r="O86" s="101"/>
      <c r="P86" s="90">
        <f t="shared" si="11"/>
        <v>65</v>
      </c>
    </row>
    <row r="87" spans="1:16" hidden="1" x14ac:dyDescent="0.2">
      <c r="A87" s="90" t="s">
        <v>309</v>
      </c>
      <c r="B87" s="69">
        <v>46052</v>
      </c>
      <c r="C87" s="90">
        <f t="shared" si="12"/>
        <v>295</v>
      </c>
      <c r="D87" s="38">
        <f t="shared" si="9"/>
        <v>1</v>
      </c>
      <c r="E87" s="90"/>
      <c r="F87" s="90"/>
      <c r="G87" s="91" t="s">
        <v>1680</v>
      </c>
      <c r="H87" s="108" t="s">
        <v>2467</v>
      </c>
      <c r="I87" s="90">
        <v>112111</v>
      </c>
      <c r="J87" s="108">
        <v>131</v>
      </c>
      <c r="K87" s="90" t="s">
        <v>20</v>
      </c>
      <c r="L87" s="90">
        <v>1</v>
      </c>
      <c r="M87" s="100">
        <v>165000000</v>
      </c>
      <c r="N87" s="124">
        <f t="shared" si="10"/>
        <v>165000000</v>
      </c>
      <c r="O87" s="101"/>
      <c r="P87" s="90">
        <f t="shared" si="11"/>
        <v>70</v>
      </c>
    </row>
    <row r="88" spans="1:16" hidden="1" x14ac:dyDescent="0.2">
      <c r="A88" s="90" t="s">
        <v>309</v>
      </c>
      <c r="B88" s="69">
        <v>46053</v>
      </c>
      <c r="C88" s="90">
        <f t="shared" si="12"/>
        <v>296</v>
      </c>
      <c r="D88" s="38">
        <f t="shared" si="9"/>
        <v>1</v>
      </c>
      <c r="E88" s="90"/>
      <c r="F88" s="156"/>
      <c r="G88" s="91" t="s">
        <v>110</v>
      </c>
      <c r="H88" s="90" t="s">
        <v>2468</v>
      </c>
      <c r="I88" s="90">
        <v>112111</v>
      </c>
      <c r="J88" s="90">
        <v>5154</v>
      </c>
      <c r="K88" s="90" t="s">
        <v>20</v>
      </c>
      <c r="L88" s="90">
        <v>1</v>
      </c>
      <c r="M88" s="124">
        <v>14447</v>
      </c>
      <c r="N88" s="124">
        <f t="shared" si="10"/>
        <v>14447</v>
      </c>
      <c r="O88" s="101"/>
      <c r="P88" s="90">
        <f t="shared" si="11"/>
        <v>26</v>
      </c>
    </row>
    <row r="89" spans="1:16" hidden="1" x14ac:dyDescent="0.2">
      <c r="A89" s="90" t="s">
        <v>18</v>
      </c>
      <c r="B89" s="69">
        <v>46054</v>
      </c>
      <c r="C89" s="90">
        <f t="shared" si="12"/>
        <v>297</v>
      </c>
      <c r="D89" s="38">
        <f t="shared" si="9"/>
        <v>1</v>
      </c>
      <c r="E89" s="90"/>
      <c r="F89" s="90"/>
      <c r="G89" s="91" t="s">
        <v>35</v>
      </c>
      <c r="H89" s="108" t="s">
        <v>2469</v>
      </c>
      <c r="I89" s="90">
        <v>64277</v>
      </c>
      <c r="J89" s="108">
        <v>331</v>
      </c>
      <c r="K89" s="90" t="s">
        <v>20</v>
      </c>
      <c r="L89" s="90">
        <v>1</v>
      </c>
      <c r="M89" s="100">
        <v>3000000</v>
      </c>
      <c r="N89" s="124">
        <f t="shared" si="10"/>
        <v>3000000</v>
      </c>
      <c r="O89" s="101"/>
      <c r="P89" s="90">
        <f t="shared" si="11"/>
        <v>41</v>
      </c>
    </row>
    <row r="90" spans="1:16" hidden="1" x14ac:dyDescent="0.2">
      <c r="A90" s="90" t="s">
        <v>18</v>
      </c>
      <c r="B90" s="69">
        <v>46054</v>
      </c>
      <c r="C90" s="90">
        <f t="shared" si="12"/>
        <v>297</v>
      </c>
      <c r="D90" s="38">
        <f t="shared" si="9"/>
        <v>0</v>
      </c>
      <c r="E90" s="90"/>
      <c r="F90" s="156"/>
      <c r="G90" s="91" t="s">
        <v>35</v>
      </c>
      <c r="H90" s="89" t="s">
        <v>2469</v>
      </c>
      <c r="I90" s="90">
        <v>1331</v>
      </c>
      <c r="J90" s="90">
        <v>331</v>
      </c>
      <c r="K90" s="90" t="s">
        <v>20</v>
      </c>
      <c r="L90" s="90">
        <v>1</v>
      </c>
      <c r="M90" s="124">
        <v>240000</v>
      </c>
      <c r="N90" s="124">
        <f t="shared" si="10"/>
        <v>240000</v>
      </c>
      <c r="O90" s="101"/>
      <c r="P90" s="90">
        <f t="shared" si="11"/>
        <v>41</v>
      </c>
    </row>
    <row r="91" spans="1:16" hidden="1" x14ac:dyDescent="0.2">
      <c r="A91" s="90" t="s">
        <v>309</v>
      </c>
      <c r="B91" s="69">
        <v>46054</v>
      </c>
      <c r="C91" s="90">
        <f t="shared" si="12"/>
        <v>298</v>
      </c>
      <c r="D91" s="38">
        <f t="shared" si="9"/>
        <v>1</v>
      </c>
      <c r="E91" s="90"/>
      <c r="F91" s="90"/>
      <c r="G91" s="91" t="s">
        <v>2450</v>
      </c>
      <c r="H91" s="108" t="s">
        <v>2437</v>
      </c>
      <c r="I91" s="90">
        <v>112111</v>
      </c>
      <c r="J91" s="108">
        <v>131</v>
      </c>
      <c r="K91" s="90" t="s">
        <v>20</v>
      </c>
      <c r="L91" s="90">
        <v>1</v>
      </c>
      <c r="M91" s="100">
        <v>484606476</v>
      </c>
      <c r="N91" s="124">
        <f t="shared" si="10"/>
        <v>484606476</v>
      </c>
      <c r="O91" s="101"/>
      <c r="P91" s="90">
        <f t="shared" si="11"/>
        <v>37</v>
      </c>
    </row>
    <row r="92" spans="1:16" hidden="1" x14ac:dyDescent="0.2">
      <c r="A92" s="90" t="s">
        <v>308</v>
      </c>
      <c r="B92" s="69">
        <v>46054</v>
      </c>
      <c r="C92" s="90">
        <f t="shared" si="12"/>
        <v>299</v>
      </c>
      <c r="D92" s="38">
        <f t="shared" si="9"/>
        <v>1</v>
      </c>
      <c r="E92" s="90"/>
      <c r="F92" s="156"/>
      <c r="G92" s="91" t="s">
        <v>110</v>
      </c>
      <c r="H92" s="89" t="s">
        <v>2411</v>
      </c>
      <c r="I92" s="90">
        <v>1111</v>
      </c>
      <c r="J92" s="90">
        <v>112111</v>
      </c>
      <c r="K92" s="90" t="s">
        <v>20</v>
      </c>
      <c r="L92" s="90">
        <v>1</v>
      </c>
      <c r="M92" s="124">
        <v>767000000</v>
      </c>
      <c r="N92" s="124">
        <f t="shared" si="10"/>
        <v>767000000</v>
      </c>
      <c r="O92" s="101"/>
      <c r="P92" s="90">
        <f t="shared" si="11"/>
        <v>45</v>
      </c>
    </row>
    <row r="93" spans="1:16" hidden="1" x14ac:dyDescent="0.2">
      <c r="A93" s="90" t="s">
        <v>310</v>
      </c>
      <c r="B93" s="69">
        <v>46054</v>
      </c>
      <c r="C93" s="90">
        <f t="shared" si="12"/>
        <v>300</v>
      </c>
      <c r="D93" s="38">
        <f t="shared" si="9"/>
        <v>1</v>
      </c>
      <c r="E93" s="90"/>
      <c r="F93" s="90"/>
      <c r="G93" s="91" t="s">
        <v>35</v>
      </c>
      <c r="H93" s="90" t="s">
        <v>2491</v>
      </c>
      <c r="I93" s="90">
        <v>331</v>
      </c>
      <c r="J93" s="108">
        <v>1111</v>
      </c>
      <c r="K93" s="90" t="s">
        <v>20</v>
      </c>
      <c r="L93" s="90">
        <v>1</v>
      </c>
      <c r="M93" s="100">
        <v>3240000</v>
      </c>
      <c r="N93" s="124">
        <f t="shared" si="10"/>
        <v>3240000</v>
      </c>
      <c r="O93" s="101"/>
      <c r="P93" s="90">
        <f t="shared" si="11"/>
        <v>52</v>
      </c>
    </row>
    <row r="94" spans="1:16" hidden="1" x14ac:dyDescent="0.2">
      <c r="A94" s="90" t="s">
        <v>309</v>
      </c>
      <c r="B94" s="69">
        <v>46055</v>
      </c>
      <c r="C94" s="90">
        <f t="shared" si="12"/>
        <v>301</v>
      </c>
      <c r="D94" s="38">
        <f t="shared" si="9"/>
        <v>1</v>
      </c>
      <c r="E94" s="90"/>
      <c r="F94" s="156"/>
      <c r="G94" s="91" t="s">
        <v>43</v>
      </c>
      <c r="H94" s="90" t="s">
        <v>2470</v>
      </c>
      <c r="I94" s="90">
        <v>112111</v>
      </c>
      <c r="J94" s="90">
        <v>131</v>
      </c>
      <c r="K94" s="90" t="s">
        <v>20</v>
      </c>
      <c r="L94" s="90">
        <v>1</v>
      </c>
      <c r="M94" s="124">
        <v>55000000</v>
      </c>
      <c r="N94" s="124">
        <f t="shared" si="10"/>
        <v>55000000</v>
      </c>
      <c r="O94" s="101"/>
      <c r="P94" s="90">
        <f t="shared" si="11"/>
        <v>94</v>
      </c>
    </row>
    <row r="95" spans="1:16" hidden="1" x14ac:dyDescent="0.2">
      <c r="A95" s="90" t="s">
        <v>309</v>
      </c>
      <c r="B95" s="69">
        <v>46055</v>
      </c>
      <c r="C95" s="90">
        <f t="shared" si="12"/>
        <v>302</v>
      </c>
      <c r="D95" s="38">
        <f t="shared" si="9"/>
        <v>1</v>
      </c>
      <c r="E95" s="90"/>
      <c r="F95" s="90"/>
      <c r="G95" s="91" t="s">
        <v>43</v>
      </c>
      <c r="H95" s="108" t="s">
        <v>2471</v>
      </c>
      <c r="I95" s="90">
        <v>112111</v>
      </c>
      <c r="J95" s="108">
        <v>131</v>
      </c>
      <c r="K95" s="90" t="s">
        <v>20</v>
      </c>
      <c r="L95" s="90">
        <v>1</v>
      </c>
      <c r="M95" s="100">
        <v>53225806</v>
      </c>
      <c r="N95" s="124">
        <f t="shared" si="10"/>
        <v>53225806</v>
      </c>
      <c r="O95" s="101"/>
      <c r="P95" s="90">
        <f t="shared" si="11"/>
        <v>87</v>
      </c>
    </row>
    <row r="96" spans="1:16" hidden="1" x14ac:dyDescent="0.2">
      <c r="A96" s="90" t="s">
        <v>309</v>
      </c>
      <c r="B96" s="69">
        <v>46058</v>
      </c>
      <c r="C96" s="90">
        <f t="shared" si="12"/>
        <v>303</v>
      </c>
      <c r="D96" s="38">
        <f t="shared" si="9"/>
        <v>1</v>
      </c>
      <c r="E96" s="90"/>
      <c r="F96" s="156"/>
      <c r="G96" s="91" t="s">
        <v>69</v>
      </c>
      <c r="H96" s="90" t="s">
        <v>2438</v>
      </c>
      <c r="I96" s="90">
        <v>112111</v>
      </c>
      <c r="J96" s="90">
        <v>131</v>
      </c>
      <c r="K96" s="90" t="s">
        <v>20</v>
      </c>
      <c r="L96" s="90">
        <v>1</v>
      </c>
      <c r="M96" s="124">
        <v>85161290</v>
      </c>
      <c r="N96" s="124">
        <f t="shared" si="10"/>
        <v>85161290</v>
      </c>
      <c r="O96" s="101"/>
      <c r="P96" s="90">
        <f t="shared" si="11"/>
        <v>79</v>
      </c>
    </row>
    <row r="97" spans="1:16" hidden="1" x14ac:dyDescent="0.2">
      <c r="A97" s="90" t="s">
        <v>18</v>
      </c>
      <c r="B97" s="69">
        <v>46062</v>
      </c>
      <c r="C97" s="90">
        <f t="shared" si="12"/>
        <v>304</v>
      </c>
      <c r="D97" s="38">
        <f t="shared" si="9"/>
        <v>1</v>
      </c>
      <c r="E97" s="90"/>
      <c r="F97" s="90"/>
      <c r="G97" s="91" t="s">
        <v>56</v>
      </c>
      <c r="H97" s="108" t="s">
        <v>2439</v>
      </c>
      <c r="I97" s="90">
        <v>131</v>
      </c>
      <c r="J97" s="108">
        <v>5113</v>
      </c>
      <c r="K97" s="90" t="s">
        <v>20</v>
      </c>
      <c r="L97" s="90">
        <v>1</v>
      </c>
      <c r="M97" s="100">
        <v>53763440</v>
      </c>
      <c r="N97" s="124">
        <f t="shared" si="10"/>
        <v>53763440</v>
      </c>
      <c r="O97" s="101"/>
      <c r="P97" s="90">
        <f t="shared" si="11"/>
        <v>75</v>
      </c>
    </row>
    <row r="98" spans="1:16" x14ac:dyDescent="0.2">
      <c r="A98" s="90" t="s">
        <v>18</v>
      </c>
      <c r="B98" s="69">
        <v>46062</v>
      </c>
      <c r="C98" s="90">
        <f t="shared" si="12"/>
        <v>304</v>
      </c>
      <c r="D98" s="38">
        <f t="shared" si="9"/>
        <v>0</v>
      </c>
      <c r="E98" s="90"/>
      <c r="F98" s="156"/>
      <c r="G98" s="91" t="s">
        <v>56</v>
      </c>
      <c r="H98" s="90" t="s">
        <v>2439</v>
      </c>
      <c r="I98" s="90">
        <v>333821</v>
      </c>
      <c r="J98" s="90">
        <v>131</v>
      </c>
      <c r="K98" s="90" t="s">
        <v>20</v>
      </c>
      <c r="L98" s="90">
        <v>1</v>
      </c>
      <c r="M98" s="124">
        <v>537634</v>
      </c>
      <c r="N98" s="124">
        <f t="shared" si="10"/>
        <v>537634</v>
      </c>
      <c r="O98" s="101"/>
      <c r="P98" s="90">
        <f t="shared" si="11"/>
        <v>75</v>
      </c>
    </row>
    <row r="99" spans="1:16" hidden="1" x14ac:dyDescent="0.2">
      <c r="A99" s="90" t="s">
        <v>309</v>
      </c>
      <c r="B99" s="69">
        <v>46064</v>
      </c>
      <c r="C99" s="90">
        <f t="shared" si="12"/>
        <v>305</v>
      </c>
      <c r="D99" s="38">
        <f t="shared" si="9"/>
        <v>1</v>
      </c>
      <c r="E99" s="90"/>
      <c r="F99" s="90"/>
      <c r="G99" s="91" t="s">
        <v>87</v>
      </c>
      <c r="H99" s="108" t="s">
        <v>2458</v>
      </c>
      <c r="I99" s="90">
        <v>112111</v>
      </c>
      <c r="J99" s="108">
        <v>131</v>
      </c>
      <c r="K99" s="90" t="s">
        <v>20</v>
      </c>
      <c r="L99" s="90">
        <v>1</v>
      </c>
      <c r="M99" s="100">
        <v>14980000</v>
      </c>
      <c r="N99" s="124">
        <f t="shared" si="10"/>
        <v>14980000</v>
      </c>
      <c r="O99" s="101"/>
      <c r="P99" s="90">
        <f t="shared" si="11"/>
        <v>72</v>
      </c>
    </row>
    <row r="100" spans="1:16" hidden="1" x14ac:dyDescent="0.2">
      <c r="A100" s="90" t="s">
        <v>309</v>
      </c>
      <c r="B100" s="69">
        <v>46064</v>
      </c>
      <c r="C100" s="90">
        <f t="shared" si="12"/>
        <v>306</v>
      </c>
      <c r="D100" s="38">
        <f t="shared" si="9"/>
        <v>1</v>
      </c>
      <c r="E100" s="90"/>
      <c r="F100" s="156"/>
      <c r="G100" s="91" t="s">
        <v>301</v>
      </c>
      <c r="H100" s="90" t="s">
        <v>2472</v>
      </c>
      <c r="I100" s="90">
        <v>112111</v>
      </c>
      <c r="J100" s="90">
        <v>131</v>
      </c>
      <c r="K100" s="90" t="s">
        <v>20</v>
      </c>
      <c r="L100" s="90">
        <v>1</v>
      </c>
      <c r="M100" s="124">
        <v>15967742</v>
      </c>
      <c r="N100" s="124">
        <f t="shared" si="10"/>
        <v>15967742</v>
      </c>
      <c r="O100" s="101"/>
      <c r="P100" s="90">
        <f t="shared" si="11"/>
        <v>81</v>
      </c>
    </row>
    <row r="101" spans="1:16" hidden="1" x14ac:dyDescent="0.2">
      <c r="A101" s="90" t="s">
        <v>18</v>
      </c>
      <c r="B101" s="69">
        <v>46065</v>
      </c>
      <c r="C101" s="90">
        <f t="shared" si="12"/>
        <v>307</v>
      </c>
      <c r="D101" s="38">
        <f t="shared" si="9"/>
        <v>1</v>
      </c>
      <c r="E101" s="90"/>
      <c r="F101" s="90"/>
      <c r="G101" s="91" t="s">
        <v>301</v>
      </c>
      <c r="H101" s="108" t="s">
        <v>2473</v>
      </c>
      <c r="I101" s="90">
        <v>131</v>
      </c>
      <c r="J101" s="108">
        <v>5113</v>
      </c>
      <c r="K101" s="90" t="s">
        <v>20</v>
      </c>
      <c r="L101" s="90">
        <v>1</v>
      </c>
      <c r="M101" s="100">
        <v>16129032</v>
      </c>
      <c r="N101" s="124">
        <f t="shared" si="10"/>
        <v>16129032</v>
      </c>
      <c r="O101" s="101"/>
      <c r="P101" s="90">
        <f t="shared" si="11"/>
        <v>76</v>
      </c>
    </row>
    <row r="102" spans="1:16" x14ac:dyDescent="0.2">
      <c r="A102" s="90" t="s">
        <v>18</v>
      </c>
      <c r="B102" s="69">
        <v>46065</v>
      </c>
      <c r="C102" s="90">
        <f t="shared" si="12"/>
        <v>307</v>
      </c>
      <c r="D102" s="38">
        <f t="shared" si="9"/>
        <v>0</v>
      </c>
      <c r="E102" s="90"/>
      <c r="F102" s="156"/>
      <c r="G102" s="113" t="s">
        <v>301</v>
      </c>
      <c r="H102" s="108" t="s">
        <v>2473</v>
      </c>
      <c r="I102" s="90">
        <v>333821</v>
      </c>
      <c r="J102" s="90">
        <v>131</v>
      </c>
      <c r="K102" s="90" t="s">
        <v>20</v>
      </c>
      <c r="L102" s="90">
        <v>1</v>
      </c>
      <c r="M102" s="124">
        <v>161290</v>
      </c>
      <c r="N102" s="124">
        <f t="shared" si="10"/>
        <v>161290</v>
      </c>
      <c r="O102" s="101"/>
      <c r="P102" s="90">
        <f t="shared" si="11"/>
        <v>76</v>
      </c>
    </row>
    <row r="103" spans="1:16" hidden="1" x14ac:dyDescent="0.2">
      <c r="A103" s="90" t="s">
        <v>308</v>
      </c>
      <c r="B103" s="69">
        <v>46066</v>
      </c>
      <c r="C103" s="90">
        <f t="shared" si="12"/>
        <v>308</v>
      </c>
      <c r="D103" s="38">
        <f t="shared" si="9"/>
        <v>1</v>
      </c>
      <c r="E103" s="90"/>
      <c r="F103" s="90"/>
      <c r="G103" s="91" t="s">
        <v>110</v>
      </c>
      <c r="H103" s="108" t="s">
        <v>2411</v>
      </c>
      <c r="I103" s="90">
        <v>1111</v>
      </c>
      <c r="J103" s="108">
        <v>112111</v>
      </c>
      <c r="K103" s="90" t="s">
        <v>20</v>
      </c>
      <c r="L103" s="90">
        <v>1</v>
      </c>
      <c r="M103" s="100">
        <v>224369000</v>
      </c>
      <c r="N103" s="124">
        <f t="shared" si="10"/>
        <v>224369000</v>
      </c>
      <c r="O103" s="101"/>
      <c r="P103" s="90">
        <f t="shared" si="11"/>
        <v>45</v>
      </c>
    </row>
    <row r="104" spans="1:16" hidden="1" x14ac:dyDescent="0.2">
      <c r="A104" s="90" t="s">
        <v>18</v>
      </c>
      <c r="B104" s="69">
        <v>46079</v>
      </c>
      <c r="C104" s="90">
        <f t="shared" si="12"/>
        <v>309</v>
      </c>
      <c r="D104" s="38">
        <f t="shared" si="9"/>
        <v>1</v>
      </c>
      <c r="E104" s="90"/>
      <c r="F104" s="90"/>
      <c r="G104" s="91" t="s">
        <v>253</v>
      </c>
      <c r="H104" s="89" t="s">
        <v>2474</v>
      </c>
      <c r="I104" s="125">
        <v>131</v>
      </c>
      <c r="J104" s="125">
        <v>5113</v>
      </c>
      <c r="K104" s="90" t="s">
        <v>20</v>
      </c>
      <c r="L104" s="90">
        <v>1</v>
      </c>
      <c r="M104" s="100">
        <v>55555556</v>
      </c>
      <c r="N104" s="124">
        <f t="shared" si="10"/>
        <v>55555556</v>
      </c>
      <c r="O104" s="101"/>
      <c r="P104" s="90">
        <f t="shared" si="11"/>
        <v>72</v>
      </c>
    </row>
    <row r="105" spans="1:16" x14ac:dyDescent="0.2">
      <c r="A105" s="90" t="s">
        <v>18</v>
      </c>
      <c r="B105" s="69">
        <v>46079</v>
      </c>
      <c r="C105" s="90">
        <f t="shared" si="12"/>
        <v>309</v>
      </c>
      <c r="D105" s="38">
        <f t="shared" si="9"/>
        <v>0</v>
      </c>
      <c r="E105" s="90"/>
      <c r="F105" s="90"/>
      <c r="G105" s="91" t="s">
        <v>253</v>
      </c>
      <c r="H105" s="89" t="s">
        <v>2474</v>
      </c>
      <c r="I105" s="125">
        <v>333821</v>
      </c>
      <c r="J105" s="125">
        <v>131</v>
      </c>
      <c r="K105" s="90" t="s">
        <v>20</v>
      </c>
      <c r="L105" s="90">
        <v>1</v>
      </c>
      <c r="M105" s="100">
        <v>555556</v>
      </c>
      <c r="N105" s="124">
        <f t="shared" si="10"/>
        <v>555556</v>
      </c>
      <c r="O105" s="101"/>
      <c r="P105" s="90">
        <f t="shared" si="11"/>
        <v>72</v>
      </c>
    </row>
    <row r="106" spans="1:16" hidden="1" x14ac:dyDescent="0.2">
      <c r="A106" s="90" t="s">
        <v>309</v>
      </c>
      <c r="B106" s="69">
        <v>46079</v>
      </c>
      <c r="C106" s="90">
        <f t="shared" si="12"/>
        <v>310</v>
      </c>
      <c r="D106" s="38">
        <f t="shared" si="9"/>
        <v>1</v>
      </c>
      <c r="E106" s="90"/>
      <c r="F106" s="90"/>
      <c r="G106" s="91" t="s">
        <v>39</v>
      </c>
      <c r="H106" s="89" t="s">
        <v>2440</v>
      </c>
      <c r="I106" s="125">
        <v>112111</v>
      </c>
      <c r="J106" s="125">
        <v>131</v>
      </c>
      <c r="K106" s="90" t="s">
        <v>20</v>
      </c>
      <c r="L106" s="90">
        <v>1</v>
      </c>
      <c r="M106" s="100">
        <v>74516129</v>
      </c>
      <c r="N106" s="124">
        <f t="shared" si="10"/>
        <v>74516129</v>
      </c>
      <c r="O106" s="101"/>
      <c r="P106" s="90">
        <f t="shared" si="11"/>
        <v>74</v>
      </c>
    </row>
    <row r="107" spans="1:16" hidden="1" x14ac:dyDescent="0.2">
      <c r="A107" s="125" t="s">
        <v>309</v>
      </c>
      <c r="B107" s="127">
        <v>46081</v>
      </c>
      <c r="C107" s="90">
        <f t="shared" si="12"/>
        <v>311</v>
      </c>
      <c r="D107" s="38">
        <f t="shared" si="9"/>
        <v>1</v>
      </c>
      <c r="E107" s="90"/>
      <c r="F107" s="90"/>
      <c r="G107" s="91" t="s">
        <v>249</v>
      </c>
      <c r="H107" s="89" t="s">
        <v>2475</v>
      </c>
      <c r="I107" s="125">
        <v>112111</v>
      </c>
      <c r="J107" s="125">
        <v>131</v>
      </c>
      <c r="K107" s="90" t="s">
        <v>20</v>
      </c>
      <c r="L107" s="90">
        <v>1</v>
      </c>
      <c r="M107" s="100">
        <v>60500000</v>
      </c>
      <c r="N107" s="124">
        <f t="shared" si="10"/>
        <v>60500000</v>
      </c>
      <c r="O107" s="101"/>
      <c r="P107" s="90">
        <f t="shared" si="11"/>
        <v>56</v>
      </c>
    </row>
    <row r="108" spans="1:16" hidden="1" x14ac:dyDescent="0.2">
      <c r="A108" s="125" t="s">
        <v>309</v>
      </c>
      <c r="B108" s="127">
        <v>46081</v>
      </c>
      <c r="C108" s="90">
        <f t="shared" si="12"/>
        <v>312</v>
      </c>
      <c r="D108" s="38">
        <f t="shared" si="9"/>
        <v>1</v>
      </c>
      <c r="E108" s="90"/>
      <c r="F108" s="90"/>
      <c r="G108" s="91" t="s">
        <v>110</v>
      </c>
      <c r="H108" s="89" t="s">
        <v>2476</v>
      </c>
      <c r="I108" s="125">
        <v>112111</v>
      </c>
      <c r="J108" s="125">
        <v>5154</v>
      </c>
      <c r="K108" s="90" t="s">
        <v>20</v>
      </c>
      <c r="L108" s="90">
        <v>1</v>
      </c>
      <c r="M108" s="100">
        <v>17167</v>
      </c>
      <c r="N108" s="124">
        <f t="shared" si="10"/>
        <v>17167</v>
      </c>
      <c r="O108" s="101"/>
      <c r="P108" s="90">
        <f t="shared" si="11"/>
        <v>26</v>
      </c>
    </row>
    <row r="109" spans="1:16" hidden="1" x14ac:dyDescent="0.2">
      <c r="A109" s="125" t="s">
        <v>18</v>
      </c>
      <c r="B109" s="127">
        <v>46084</v>
      </c>
      <c r="C109" s="90">
        <f t="shared" si="12"/>
        <v>313</v>
      </c>
      <c r="D109" s="38">
        <f t="shared" si="9"/>
        <v>1</v>
      </c>
      <c r="E109" s="90"/>
      <c r="F109" s="90"/>
      <c r="G109" s="126" t="s">
        <v>249</v>
      </c>
      <c r="H109" s="125" t="s">
        <v>2477</v>
      </c>
      <c r="I109" s="125">
        <v>131</v>
      </c>
      <c r="J109" s="125">
        <v>5113</v>
      </c>
      <c r="K109" s="90" t="s">
        <v>20</v>
      </c>
      <c r="L109" s="90">
        <v>1</v>
      </c>
      <c r="M109" s="100">
        <v>61111111</v>
      </c>
      <c r="N109" s="124">
        <f t="shared" si="10"/>
        <v>61111111</v>
      </c>
      <c r="O109" s="101"/>
      <c r="P109" s="90">
        <f t="shared" si="11"/>
        <v>51</v>
      </c>
    </row>
    <row r="110" spans="1:16" x14ac:dyDescent="0.2">
      <c r="A110" s="125" t="s">
        <v>18</v>
      </c>
      <c r="B110" s="127">
        <v>46084</v>
      </c>
      <c r="C110" s="90">
        <f t="shared" si="12"/>
        <v>313</v>
      </c>
      <c r="D110" s="38">
        <f t="shared" si="9"/>
        <v>0</v>
      </c>
      <c r="E110" s="90"/>
      <c r="F110" s="90"/>
      <c r="G110" s="91" t="s">
        <v>249</v>
      </c>
      <c r="H110" s="90" t="s">
        <v>2477</v>
      </c>
      <c r="I110" s="125">
        <v>333821</v>
      </c>
      <c r="J110" s="125">
        <v>131</v>
      </c>
      <c r="K110" s="90" t="s">
        <v>20</v>
      </c>
      <c r="L110" s="90">
        <v>1</v>
      </c>
      <c r="M110" s="100">
        <v>611111</v>
      </c>
      <c r="N110" s="124">
        <f t="shared" si="10"/>
        <v>611111</v>
      </c>
      <c r="O110" s="101"/>
      <c r="P110" s="90">
        <f t="shared" si="11"/>
        <v>51</v>
      </c>
    </row>
    <row r="111" spans="1:16" hidden="1" x14ac:dyDescent="0.2">
      <c r="A111" s="125" t="s">
        <v>18</v>
      </c>
      <c r="B111" s="127">
        <v>46085</v>
      </c>
      <c r="C111" s="90">
        <f t="shared" si="12"/>
        <v>314</v>
      </c>
      <c r="D111" s="38">
        <f t="shared" si="9"/>
        <v>1</v>
      </c>
      <c r="E111" s="90"/>
      <c r="F111" s="90"/>
      <c r="G111" s="91" t="s">
        <v>35</v>
      </c>
      <c r="H111" s="89" t="s">
        <v>2478</v>
      </c>
      <c r="I111" s="125">
        <v>64277</v>
      </c>
      <c r="J111" s="125">
        <v>331</v>
      </c>
      <c r="K111" s="90" t="s">
        <v>20</v>
      </c>
      <c r="L111" s="90">
        <v>1</v>
      </c>
      <c r="M111" s="100">
        <v>3000000</v>
      </c>
      <c r="N111" s="124">
        <f t="shared" si="10"/>
        <v>3000000</v>
      </c>
      <c r="O111" s="101"/>
      <c r="P111" s="90">
        <f t="shared" si="11"/>
        <v>41</v>
      </c>
    </row>
    <row r="112" spans="1:16" hidden="1" x14ac:dyDescent="0.2">
      <c r="A112" s="125" t="s">
        <v>18</v>
      </c>
      <c r="B112" s="127">
        <v>46085</v>
      </c>
      <c r="C112" s="90">
        <f t="shared" si="12"/>
        <v>314</v>
      </c>
      <c r="D112" s="38">
        <f t="shared" si="9"/>
        <v>0</v>
      </c>
      <c r="E112" s="90"/>
      <c r="F112" s="90"/>
      <c r="G112" s="91" t="s">
        <v>35</v>
      </c>
      <c r="H112" s="89" t="s">
        <v>2478</v>
      </c>
      <c r="I112" s="125">
        <v>1331</v>
      </c>
      <c r="J112" s="125">
        <v>331</v>
      </c>
      <c r="K112" s="90" t="s">
        <v>20</v>
      </c>
      <c r="L112" s="90">
        <v>1</v>
      </c>
      <c r="M112" s="100">
        <v>240000</v>
      </c>
      <c r="N112" s="124">
        <f t="shared" si="10"/>
        <v>240000</v>
      </c>
      <c r="O112" s="101"/>
      <c r="P112" s="90">
        <f t="shared" si="11"/>
        <v>41</v>
      </c>
    </row>
    <row r="113" spans="1:16" hidden="1" x14ac:dyDescent="0.2">
      <c r="A113" s="125" t="s">
        <v>18</v>
      </c>
      <c r="B113" s="127">
        <v>46085</v>
      </c>
      <c r="C113" s="90">
        <f t="shared" si="12"/>
        <v>315</v>
      </c>
      <c r="D113" s="38">
        <f t="shared" si="9"/>
        <v>1</v>
      </c>
      <c r="E113" s="90"/>
      <c r="F113" s="90"/>
      <c r="G113" s="91" t="s">
        <v>1674</v>
      </c>
      <c r="H113" s="89" t="s">
        <v>2441</v>
      </c>
      <c r="I113" s="125">
        <v>64277</v>
      </c>
      <c r="J113" s="125">
        <v>331</v>
      </c>
      <c r="K113" s="90" t="s">
        <v>20</v>
      </c>
      <c r="L113" s="90">
        <v>1</v>
      </c>
      <c r="M113" s="100">
        <v>21357143</v>
      </c>
      <c r="N113" s="124">
        <f t="shared" si="10"/>
        <v>21357143</v>
      </c>
      <c r="O113" s="101"/>
      <c r="P113" s="90">
        <f t="shared" si="11"/>
        <v>32</v>
      </c>
    </row>
    <row r="114" spans="1:16" hidden="1" x14ac:dyDescent="0.2">
      <c r="A114" s="125" t="s">
        <v>18</v>
      </c>
      <c r="B114" s="127">
        <v>46085</v>
      </c>
      <c r="C114" s="90">
        <f t="shared" si="12"/>
        <v>315</v>
      </c>
      <c r="D114" s="38">
        <f t="shared" si="9"/>
        <v>0</v>
      </c>
      <c r="E114" s="90"/>
      <c r="F114" s="90"/>
      <c r="G114" s="126" t="s">
        <v>1674</v>
      </c>
      <c r="H114" s="89" t="s">
        <v>2441</v>
      </c>
      <c r="I114" s="125">
        <v>1331</v>
      </c>
      <c r="J114" s="108">
        <v>331</v>
      </c>
      <c r="K114" s="90" t="s">
        <v>20</v>
      </c>
      <c r="L114" s="90">
        <v>1</v>
      </c>
      <c r="M114" s="100">
        <v>642857</v>
      </c>
      <c r="N114" s="124">
        <f t="shared" si="10"/>
        <v>642857</v>
      </c>
      <c r="O114" s="101"/>
      <c r="P114" s="90">
        <f t="shared" si="11"/>
        <v>32</v>
      </c>
    </row>
    <row r="115" spans="1:16" hidden="1" x14ac:dyDescent="0.2">
      <c r="A115" s="125" t="s">
        <v>308</v>
      </c>
      <c r="B115" s="127">
        <v>46085</v>
      </c>
      <c r="C115" s="90">
        <f t="shared" si="12"/>
        <v>316</v>
      </c>
      <c r="D115" s="38">
        <f t="shared" si="9"/>
        <v>1</v>
      </c>
      <c r="E115" s="90"/>
      <c r="F115" s="90"/>
      <c r="G115" s="126" t="s">
        <v>35</v>
      </c>
      <c r="H115" s="90" t="s">
        <v>2489</v>
      </c>
      <c r="I115" s="125">
        <v>331</v>
      </c>
      <c r="J115" s="108">
        <v>112111</v>
      </c>
      <c r="K115" s="90" t="s">
        <v>20</v>
      </c>
      <c r="L115" s="90">
        <v>1</v>
      </c>
      <c r="M115" s="100">
        <v>3240000</v>
      </c>
      <c r="N115" s="124">
        <f t="shared" si="10"/>
        <v>3240000</v>
      </c>
      <c r="O115" s="101"/>
      <c r="P115" s="90">
        <f t="shared" si="11"/>
        <v>63</v>
      </c>
    </row>
    <row r="116" spans="1:16" hidden="1" x14ac:dyDescent="0.2">
      <c r="A116" s="125" t="s">
        <v>308</v>
      </c>
      <c r="B116" s="127">
        <v>46085</v>
      </c>
      <c r="C116" s="90">
        <f t="shared" si="12"/>
        <v>317</v>
      </c>
      <c r="D116" s="38">
        <f t="shared" si="9"/>
        <v>1</v>
      </c>
      <c r="E116" s="90"/>
      <c r="F116" s="90"/>
      <c r="G116" s="91" t="s">
        <v>110</v>
      </c>
      <c r="H116" s="89" t="s">
        <v>2442</v>
      </c>
      <c r="I116" s="125">
        <v>1111</v>
      </c>
      <c r="J116" s="125">
        <v>112111</v>
      </c>
      <c r="K116" s="90" t="s">
        <v>20</v>
      </c>
      <c r="L116" s="90">
        <v>1</v>
      </c>
      <c r="M116" s="100">
        <v>131700000</v>
      </c>
      <c r="N116" s="124">
        <f t="shared" si="10"/>
        <v>131700000</v>
      </c>
      <c r="O116" s="101"/>
      <c r="P116" s="90">
        <f t="shared" si="11"/>
        <v>17</v>
      </c>
    </row>
    <row r="117" spans="1:16" hidden="1" x14ac:dyDescent="0.2">
      <c r="A117" s="125" t="s">
        <v>310</v>
      </c>
      <c r="B117" s="127">
        <v>46085</v>
      </c>
      <c r="C117" s="90">
        <f t="shared" si="12"/>
        <v>318</v>
      </c>
      <c r="D117" s="38">
        <f t="shared" si="9"/>
        <v>1</v>
      </c>
      <c r="E117" s="90"/>
      <c r="F117" s="90"/>
      <c r="G117" s="91" t="s">
        <v>1674</v>
      </c>
      <c r="H117" s="90" t="s">
        <v>2492</v>
      </c>
      <c r="I117" s="125">
        <v>331</v>
      </c>
      <c r="J117" s="125">
        <v>1111</v>
      </c>
      <c r="K117" s="90" t="s">
        <v>20</v>
      </c>
      <c r="L117" s="90">
        <v>1</v>
      </c>
      <c r="M117" s="100">
        <v>22000000</v>
      </c>
      <c r="N117" s="124">
        <f t="shared" si="10"/>
        <v>22000000</v>
      </c>
      <c r="O117" s="101"/>
      <c r="P117" s="90">
        <f t="shared" si="11"/>
        <v>43</v>
      </c>
    </row>
    <row r="118" spans="1:16" hidden="1" x14ac:dyDescent="0.2">
      <c r="A118" s="125" t="s">
        <v>18</v>
      </c>
      <c r="B118" s="127">
        <v>46090</v>
      </c>
      <c r="C118" s="90">
        <f t="shared" si="12"/>
        <v>319</v>
      </c>
      <c r="D118" s="38">
        <f t="shared" si="9"/>
        <v>1</v>
      </c>
      <c r="E118" s="90"/>
      <c r="F118" s="90"/>
      <c r="G118" s="91" t="s">
        <v>40</v>
      </c>
      <c r="H118" s="89" t="s">
        <v>2443</v>
      </c>
      <c r="I118" s="125">
        <v>64277</v>
      </c>
      <c r="J118" s="125">
        <v>331</v>
      </c>
      <c r="K118" s="90" t="s">
        <v>20</v>
      </c>
      <c r="L118" s="90">
        <v>1</v>
      </c>
      <c r="M118" s="100">
        <v>7220370</v>
      </c>
      <c r="N118" s="124">
        <f t="shared" si="10"/>
        <v>7220370</v>
      </c>
      <c r="O118" s="101"/>
      <c r="P118" s="90">
        <f t="shared" si="11"/>
        <v>29</v>
      </c>
    </row>
    <row r="119" spans="1:16" hidden="1" x14ac:dyDescent="0.2">
      <c r="A119" s="125" t="s">
        <v>18</v>
      </c>
      <c r="B119" s="127">
        <v>46090</v>
      </c>
      <c r="C119" s="90">
        <f t="shared" si="12"/>
        <v>319</v>
      </c>
      <c r="D119" s="38">
        <f t="shared" si="9"/>
        <v>0</v>
      </c>
      <c r="E119" s="90"/>
      <c r="F119" s="90"/>
      <c r="G119" s="91" t="s">
        <v>40</v>
      </c>
      <c r="H119" s="89" t="s">
        <v>2443</v>
      </c>
      <c r="I119" s="125">
        <v>1331</v>
      </c>
      <c r="J119" s="125">
        <v>331</v>
      </c>
      <c r="K119" s="90" t="s">
        <v>20</v>
      </c>
      <c r="L119" s="90">
        <v>1</v>
      </c>
      <c r="M119" s="100">
        <v>577630</v>
      </c>
      <c r="N119" s="124">
        <f t="shared" si="10"/>
        <v>577630</v>
      </c>
      <c r="O119" s="101"/>
      <c r="P119" s="90">
        <f t="shared" si="11"/>
        <v>29</v>
      </c>
    </row>
    <row r="120" spans="1:16" hidden="1" x14ac:dyDescent="0.2">
      <c r="A120" s="125" t="s">
        <v>310</v>
      </c>
      <c r="B120" s="127">
        <v>46090</v>
      </c>
      <c r="C120" s="90">
        <f t="shared" si="12"/>
        <v>320</v>
      </c>
      <c r="D120" s="38">
        <f t="shared" si="9"/>
        <v>1</v>
      </c>
      <c r="E120" s="90"/>
      <c r="F120" s="90"/>
      <c r="G120" s="91" t="s">
        <v>40</v>
      </c>
      <c r="H120" s="90" t="s">
        <v>2493</v>
      </c>
      <c r="I120" s="125">
        <v>331</v>
      </c>
      <c r="J120" s="125">
        <v>1111</v>
      </c>
      <c r="K120" s="90" t="s">
        <v>20</v>
      </c>
      <c r="L120" s="90">
        <v>1</v>
      </c>
      <c r="M120" s="100">
        <v>8278000</v>
      </c>
      <c r="N120" s="124">
        <f t="shared" si="10"/>
        <v>8278000</v>
      </c>
      <c r="O120" s="101"/>
      <c r="P120" s="90">
        <f t="shared" si="11"/>
        <v>40</v>
      </c>
    </row>
    <row r="121" spans="1:16" hidden="1" x14ac:dyDescent="0.2">
      <c r="A121" s="125" t="s">
        <v>18</v>
      </c>
      <c r="B121" s="127">
        <v>46091</v>
      </c>
      <c r="C121" s="90">
        <f t="shared" si="12"/>
        <v>321</v>
      </c>
      <c r="D121" s="38">
        <f t="shared" si="9"/>
        <v>1</v>
      </c>
      <c r="E121" s="90"/>
      <c r="F121" s="90"/>
      <c r="G121" s="91" t="s">
        <v>1675</v>
      </c>
      <c r="H121" s="89" t="s">
        <v>2444</v>
      </c>
      <c r="I121" s="125">
        <v>64277</v>
      </c>
      <c r="J121" s="125">
        <v>331</v>
      </c>
      <c r="K121" s="90" t="s">
        <v>20</v>
      </c>
      <c r="L121" s="90">
        <v>1</v>
      </c>
      <c r="M121" s="100">
        <v>3740000</v>
      </c>
      <c r="N121" s="124">
        <f t="shared" si="10"/>
        <v>3740000</v>
      </c>
      <c r="O121" s="101"/>
      <c r="P121" s="90">
        <f t="shared" si="11"/>
        <v>43</v>
      </c>
    </row>
    <row r="122" spans="1:16" hidden="1" x14ac:dyDescent="0.2">
      <c r="A122" s="125" t="s">
        <v>18</v>
      </c>
      <c r="B122" s="127">
        <v>46091</v>
      </c>
      <c r="C122" s="90">
        <f t="shared" si="12"/>
        <v>321</v>
      </c>
      <c r="D122" s="38">
        <f t="shared" si="9"/>
        <v>0</v>
      </c>
      <c r="E122" s="90"/>
      <c r="F122" s="90"/>
      <c r="G122" s="91" t="s">
        <v>1675</v>
      </c>
      <c r="H122" s="89" t="s">
        <v>2444</v>
      </c>
      <c r="I122" s="125">
        <v>1331</v>
      </c>
      <c r="J122" s="125">
        <v>331</v>
      </c>
      <c r="K122" s="90" t="s">
        <v>20</v>
      </c>
      <c r="L122" s="90">
        <v>1</v>
      </c>
      <c r="M122" s="100">
        <v>299200</v>
      </c>
      <c r="N122" s="124">
        <f t="shared" si="10"/>
        <v>299200</v>
      </c>
      <c r="O122" s="101"/>
      <c r="P122" s="90">
        <f t="shared" si="11"/>
        <v>43</v>
      </c>
    </row>
    <row r="123" spans="1:16" hidden="1" x14ac:dyDescent="0.2">
      <c r="A123" s="125" t="s">
        <v>18</v>
      </c>
      <c r="B123" s="127">
        <v>46091</v>
      </c>
      <c r="C123" s="90">
        <f t="shared" si="12"/>
        <v>322</v>
      </c>
      <c r="D123" s="38">
        <f t="shared" si="9"/>
        <v>1</v>
      </c>
      <c r="E123" s="90"/>
      <c r="F123" s="90"/>
      <c r="G123" s="91" t="s">
        <v>1676</v>
      </c>
      <c r="H123" s="89" t="s">
        <v>2445</v>
      </c>
      <c r="I123" s="125">
        <v>64277</v>
      </c>
      <c r="J123" s="125">
        <v>331</v>
      </c>
      <c r="K123" s="90" t="s">
        <v>20</v>
      </c>
      <c r="L123" s="90">
        <v>1</v>
      </c>
      <c r="M123" s="100">
        <v>2241531</v>
      </c>
      <c r="N123" s="124">
        <f t="shared" si="10"/>
        <v>2241531</v>
      </c>
      <c r="O123" s="101"/>
      <c r="P123" s="90">
        <f t="shared" si="11"/>
        <v>27</v>
      </c>
    </row>
    <row r="124" spans="1:16" hidden="1" x14ac:dyDescent="0.2">
      <c r="A124" s="125" t="s">
        <v>18</v>
      </c>
      <c r="B124" s="127">
        <v>46091</v>
      </c>
      <c r="C124" s="90">
        <f t="shared" si="12"/>
        <v>322</v>
      </c>
      <c r="D124" s="38">
        <f t="shared" si="9"/>
        <v>0</v>
      </c>
      <c r="E124" s="90"/>
      <c r="F124" s="90"/>
      <c r="G124" s="91" t="s">
        <v>1676</v>
      </c>
      <c r="H124" s="89" t="s">
        <v>2445</v>
      </c>
      <c r="I124" s="125">
        <v>1331</v>
      </c>
      <c r="J124" s="125">
        <v>331</v>
      </c>
      <c r="K124" s="90" t="s">
        <v>20</v>
      </c>
      <c r="L124" s="90">
        <v>1</v>
      </c>
      <c r="M124" s="100">
        <v>161933</v>
      </c>
      <c r="N124" s="124">
        <f t="shared" si="10"/>
        <v>161933</v>
      </c>
      <c r="O124" s="101"/>
      <c r="P124" s="90">
        <f t="shared" si="11"/>
        <v>27</v>
      </c>
    </row>
    <row r="125" spans="1:16" hidden="1" x14ac:dyDescent="0.2">
      <c r="A125" s="125" t="s">
        <v>310</v>
      </c>
      <c r="B125" s="127">
        <v>46091</v>
      </c>
      <c r="C125" s="90">
        <f t="shared" si="12"/>
        <v>323</v>
      </c>
      <c r="D125" s="38">
        <f t="shared" si="9"/>
        <v>1</v>
      </c>
      <c r="E125" s="90"/>
      <c r="F125" s="90"/>
      <c r="G125" s="91" t="s">
        <v>1675</v>
      </c>
      <c r="H125" s="90" t="s">
        <v>2494</v>
      </c>
      <c r="I125" s="125">
        <v>331</v>
      </c>
      <c r="J125" s="125">
        <v>1111</v>
      </c>
      <c r="K125" s="90" t="s">
        <v>20</v>
      </c>
      <c r="L125" s="90">
        <v>1</v>
      </c>
      <c r="M125" s="100">
        <v>4039200</v>
      </c>
      <c r="N125" s="124">
        <f t="shared" si="10"/>
        <v>4039200</v>
      </c>
      <c r="O125" s="101"/>
      <c r="P125" s="90">
        <f t="shared" si="11"/>
        <v>54</v>
      </c>
    </row>
    <row r="126" spans="1:16" hidden="1" x14ac:dyDescent="0.2">
      <c r="A126" s="125" t="s">
        <v>310</v>
      </c>
      <c r="B126" s="127">
        <v>46091</v>
      </c>
      <c r="C126" s="90">
        <f t="shared" si="12"/>
        <v>324</v>
      </c>
      <c r="D126" s="38">
        <f t="shared" si="9"/>
        <v>1</v>
      </c>
      <c r="E126" s="90"/>
      <c r="F126" s="90"/>
      <c r="G126" s="126" t="s">
        <v>1676</v>
      </c>
      <c r="H126" s="90" t="s">
        <v>2495</v>
      </c>
      <c r="I126" s="125">
        <v>331</v>
      </c>
      <c r="J126" s="125">
        <v>1111</v>
      </c>
      <c r="K126" s="90" t="s">
        <v>20</v>
      </c>
      <c r="L126" s="90">
        <v>1</v>
      </c>
      <c r="M126" s="100">
        <v>2403464</v>
      </c>
      <c r="N126" s="124">
        <f t="shared" si="10"/>
        <v>2403464</v>
      </c>
      <c r="O126" s="101"/>
      <c r="P126" s="90">
        <f t="shared" si="11"/>
        <v>38</v>
      </c>
    </row>
    <row r="127" spans="1:16" hidden="1" x14ac:dyDescent="0.2">
      <c r="A127" s="125" t="s">
        <v>309</v>
      </c>
      <c r="B127" s="127">
        <v>46093</v>
      </c>
      <c r="C127" s="90">
        <f t="shared" si="12"/>
        <v>325</v>
      </c>
      <c r="D127" s="38">
        <f t="shared" si="9"/>
        <v>1</v>
      </c>
      <c r="E127" s="90"/>
      <c r="F127" s="90"/>
      <c r="G127" s="126" t="s">
        <v>56</v>
      </c>
      <c r="H127" s="125" t="s">
        <v>2409</v>
      </c>
      <c r="I127" s="125">
        <v>112111</v>
      </c>
      <c r="J127" s="125">
        <v>131</v>
      </c>
      <c r="K127" s="90" t="s">
        <v>20</v>
      </c>
      <c r="L127" s="90">
        <v>1</v>
      </c>
      <c r="M127" s="100">
        <v>53225806</v>
      </c>
      <c r="N127" s="124">
        <f t="shared" si="10"/>
        <v>53225806</v>
      </c>
      <c r="O127" s="101"/>
      <c r="P127" s="90">
        <f t="shared" si="11"/>
        <v>96</v>
      </c>
    </row>
    <row r="128" spans="1:16" hidden="1" x14ac:dyDescent="0.2">
      <c r="A128" s="125" t="s">
        <v>309</v>
      </c>
      <c r="B128" s="127">
        <v>46093</v>
      </c>
      <c r="C128" s="90">
        <f t="shared" si="12"/>
        <v>326</v>
      </c>
      <c r="D128" s="38">
        <f t="shared" si="9"/>
        <v>1</v>
      </c>
      <c r="E128" s="90"/>
      <c r="F128" s="90"/>
      <c r="G128" s="126" t="s">
        <v>56</v>
      </c>
      <c r="H128" s="89" t="s">
        <v>2446</v>
      </c>
      <c r="I128" s="125">
        <v>112111</v>
      </c>
      <c r="J128" s="125">
        <v>131</v>
      </c>
      <c r="K128" s="90" t="s">
        <v>20</v>
      </c>
      <c r="L128" s="90">
        <v>1</v>
      </c>
      <c r="M128" s="100">
        <v>106451613</v>
      </c>
      <c r="N128" s="124">
        <f t="shared" si="10"/>
        <v>106451613</v>
      </c>
      <c r="O128" s="101"/>
      <c r="P128" s="90">
        <f t="shared" si="11"/>
        <v>86</v>
      </c>
    </row>
    <row r="129" spans="1:16" hidden="1" x14ac:dyDescent="0.2">
      <c r="A129" s="125" t="s">
        <v>309</v>
      </c>
      <c r="B129" s="127">
        <v>46093</v>
      </c>
      <c r="C129" s="90">
        <f t="shared" si="12"/>
        <v>327</v>
      </c>
      <c r="D129" s="38">
        <f t="shared" si="9"/>
        <v>1</v>
      </c>
      <c r="E129" s="90"/>
      <c r="F129" s="90"/>
      <c r="G129" s="126" t="s">
        <v>56</v>
      </c>
      <c r="H129" s="89" t="s">
        <v>2409</v>
      </c>
      <c r="I129" s="125">
        <v>112111</v>
      </c>
      <c r="J129" s="125">
        <v>131</v>
      </c>
      <c r="K129" s="90" t="s">
        <v>20</v>
      </c>
      <c r="L129" s="90">
        <v>1</v>
      </c>
      <c r="M129" s="100">
        <v>53225806</v>
      </c>
      <c r="N129" s="124">
        <f t="shared" si="10"/>
        <v>53225806</v>
      </c>
      <c r="O129" s="101"/>
      <c r="P129" s="90">
        <f t="shared" si="11"/>
        <v>96</v>
      </c>
    </row>
    <row r="130" spans="1:16" hidden="1" x14ac:dyDescent="0.2">
      <c r="A130" s="125" t="s">
        <v>309</v>
      </c>
      <c r="B130" s="127">
        <v>46093</v>
      </c>
      <c r="C130" s="90">
        <f t="shared" si="12"/>
        <v>328</v>
      </c>
      <c r="D130" s="38">
        <f t="shared" si="9"/>
        <v>1</v>
      </c>
      <c r="E130" s="90"/>
      <c r="F130" s="90"/>
      <c r="G130" s="126" t="s">
        <v>311</v>
      </c>
      <c r="H130" s="125" t="s">
        <v>2447</v>
      </c>
      <c r="I130" s="125">
        <v>112111</v>
      </c>
      <c r="J130" s="125">
        <v>131</v>
      </c>
      <c r="K130" s="90" t="s">
        <v>20</v>
      </c>
      <c r="L130" s="90">
        <v>1</v>
      </c>
      <c r="M130" s="100">
        <v>485096764</v>
      </c>
      <c r="N130" s="124">
        <f t="shared" si="10"/>
        <v>485096764</v>
      </c>
      <c r="O130" s="101"/>
      <c r="P130" s="90">
        <f t="shared" si="11"/>
        <v>49</v>
      </c>
    </row>
    <row r="131" spans="1:16" hidden="1" x14ac:dyDescent="0.2">
      <c r="A131" s="125" t="s">
        <v>18</v>
      </c>
      <c r="B131" s="127">
        <v>46093</v>
      </c>
      <c r="C131" s="90">
        <f t="shared" ref="C131:C132" si="13">C130+D131</f>
        <v>328</v>
      </c>
      <c r="D131" s="38">
        <f t="shared" ref="D131:D132" si="14">IF(H131=H130,0,1)</f>
        <v>0</v>
      </c>
      <c r="E131" s="90"/>
      <c r="F131" s="90"/>
      <c r="G131" s="126" t="s">
        <v>311</v>
      </c>
      <c r="H131" s="125" t="s">
        <v>2447</v>
      </c>
      <c r="I131" s="125">
        <v>131</v>
      </c>
      <c r="J131" s="125">
        <v>5118</v>
      </c>
      <c r="K131" s="90" t="s">
        <v>20</v>
      </c>
      <c r="L131" s="90">
        <v>1</v>
      </c>
      <c r="M131" s="100">
        <v>485096764</v>
      </c>
      <c r="N131" s="124">
        <f t="shared" ref="N131" si="15">L131*M131</f>
        <v>485096764</v>
      </c>
      <c r="O131" s="101"/>
      <c r="P131" s="90">
        <f t="shared" si="11"/>
        <v>49</v>
      </c>
    </row>
    <row r="132" spans="1:16" hidden="1" x14ac:dyDescent="0.2">
      <c r="A132" s="125" t="s">
        <v>308</v>
      </c>
      <c r="B132" s="127">
        <v>46093</v>
      </c>
      <c r="C132" s="90">
        <f t="shared" si="13"/>
        <v>329</v>
      </c>
      <c r="D132" s="38">
        <f t="shared" si="14"/>
        <v>1</v>
      </c>
      <c r="E132" s="90"/>
      <c r="F132" s="90"/>
      <c r="G132" s="91" t="s">
        <v>110</v>
      </c>
      <c r="H132" s="89" t="s">
        <v>2411</v>
      </c>
      <c r="I132" s="125">
        <v>1111</v>
      </c>
      <c r="J132" s="125">
        <v>112111</v>
      </c>
      <c r="K132" s="90" t="s">
        <v>20</v>
      </c>
      <c r="L132" s="90">
        <v>1</v>
      </c>
      <c r="M132" s="100">
        <v>698000000</v>
      </c>
      <c r="N132" s="124">
        <f t="shared" si="10"/>
        <v>698000000</v>
      </c>
      <c r="O132" s="101"/>
      <c r="P132" s="90">
        <f t="shared" si="11"/>
        <v>45</v>
      </c>
    </row>
    <row r="133" spans="1:16" hidden="1" x14ac:dyDescent="0.2">
      <c r="A133" s="125" t="s">
        <v>18</v>
      </c>
      <c r="B133" s="127">
        <v>46097</v>
      </c>
      <c r="C133" s="90">
        <f t="shared" si="12"/>
        <v>330</v>
      </c>
      <c r="D133" s="38">
        <f t="shared" si="9"/>
        <v>1</v>
      </c>
      <c r="E133" s="90"/>
      <c r="F133" s="90"/>
      <c r="G133" s="91" t="s">
        <v>52</v>
      </c>
      <c r="H133" s="89" t="s">
        <v>2448</v>
      </c>
      <c r="I133" s="125">
        <v>64277</v>
      </c>
      <c r="J133" s="125">
        <v>331</v>
      </c>
      <c r="K133" s="90" t="s">
        <v>20</v>
      </c>
      <c r="L133" s="90">
        <v>1</v>
      </c>
      <c r="M133" s="100">
        <v>655000</v>
      </c>
      <c r="N133" s="124">
        <f t="shared" si="10"/>
        <v>655000</v>
      </c>
      <c r="O133" s="101"/>
      <c r="P133" s="90">
        <f t="shared" ref="P133:P144" si="16">LEN(H133)</f>
        <v>24</v>
      </c>
    </row>
    <row r="134" spans="1:16" hidden="1" x14ac:dyDescent="0.2">
      <c r="A134" s="125" t="s">
        <v>18</v>
      </c>
      <c r="B134" s="127">
        <v>46097</v>
      </c>
      <c r="C134" s="90">
        <f t="shared" si="12"/>
        <v>330</v>
      </c>
      <c r="D134" s="38">
        <f t="shared" ref="D134:D197" si="17">IF(H134=H133,0,1)</f>
        <v>0</v>
      </c>
      <c r="E134" s="90"/>
      <c r="F134" s="90"/>
      <c r="G134" s="126" t="s">
        <v>52</v>
      </c>
      <c r="H134" s="125" t="s">
        <v>2448</v>
      </c>
      <c r="I134" s="125">
        <v>1331</v>
      </c>
      <c r="J134" s="125">
        <v>331</v>
      </c>
      <c r="K134" s="90" t="s">
        <v>20</v>
      </c>
      <c r="L134" s="90">
        <v>1</v>
      </c>
      <c r="M134" s="100">
        <v>52400</v>
      </c>
      <c r="N134" s="124">
        <f t="shared" ref="N134:N196" si="18">L134*M134</f>
        <v>52400</v>
      </c>
      <c r="O134" s="101"/>
      <c r="P134" s="90">
        <f t="shared" si="16"/>
        <v>24</v>
      </c>
    </row>
    <row r="135" spans="1:16" hidden="1" x14ac:dyDescent="0.2">
      <c r="A135" s="125" t="s">
        <v>310</v>
      </c>
      <c r="B135" s="127">
        <v>46097</v>
      </c>
      <c r="C135" s="90">
        <f t="shared" si="12"/>
        <v>331</v>
      </c>
      <c r="D135" s="38">
        <f t="shared" si="17"/>
        <v>1</v>
      </c>
      <c r="E135" s="90"/>
      <c r="F135" s="90"/>
      <c r="G135" s="91" t="s">
        <v>52</v>
      </c>
      <c r="H135" s="90" t="s">
        <v>2496</v>
      </c>
      <c r="I135" s="125">
        <v>331</v>
      </c>
      <c r="J135" s="125">
        <v>1111</v>
      </c>
      <c r="K135" s="90" t="s">
        <v>20</v>
      </c>
      <c r="L135" s="90">
        <v>1</v>
      </c>
      <c r="M135" s="100">
        <v>707400</v>
      </c>
      <c r="N135" s="124">
        <f t="shared" si="18"/>
        <v>707400</v>
      </c>
      <c r="O135" s="101"/>
      <c r="P135" s="90">
        <f t="shared" si="16"/>
        <v>35</v>
      </c>
    </row>
    <row r="136" spans="1:16" hidden="1" x14ac:dyDescent="0.2">
      <c r="A136" s="125" t="s">
        <v>309</v>
      </c>
      <c r="B136" s="127">
        <v>46100</v>
      </c>
      <c r="C136" s="90">
        <f t="shared" ref="C136:C196" si="19">C135+D136</f>
        <v>332</v>
      </c>
      <c r="D136" s="38">
        <f t="shared" si="17"/>
        <v>1</v>
      </c>
      <c r="E136" s="90"/>
      <c r="F136" s="90"/>
      <c r="G136" s="91" t="s">
        <v>56</v>
      </c>
      <c r="H136" s="89" t="s">
        <v>2409</v>
      </c>
      <c r="I136" s="125">
        <v>112111</v>
      </c>
      <c r="J136" s="125">
        <v>131</v>
      </c>
      <c r="K136" s="90" t="s">
        <v>20</v>
      </c>
      <c r="L136" s="90">
        <v>1</v>
      </c>
      <c r="M136" s="100">
        <v>53225806</v>
      </c>
      <c r="N136" s="124">
        <f t="shared" si="18"/>
        <v>53225806</v>
      </c>
      <c r="O136" s="101"/>
      <c r="P136" s="90">
        <f t="shared" si="16"/>
        <v>96</v>
      </c>
    </row>
    <row r="137" spans="1:16" hidden="1" x14ac:dyDescent="0.2">
      <c r="A137" s="125" t="s">
        <v>18</v>
      </c>
      <c r="B137" s="127">
        <v>46101</v>
      </c>
      <c r="C137" s="90">
        <f t="shared" si="19"/>
        <v>333</v>
      </c>
      <c r="D137" s="38">
        <f t="shared" si="17"/>
        <v>1</v>
      </c>
      <c r="E137" s="90"/>
      <c r="F137" s="90"/>
      <c r="G137" s="91" t="s">
        <v>1677</v>
      </c>
      <c r="H137" s="89" t="s">
        <v>2449</v>
      </c>
      <c r="I137" s="125">
        <v>64277</v>
      </c>
      <c r="J137" s="125">
        <v>331</v>
      </c>
      <c r="K137" s="90" t="s">
        <v>20</v>
      </c>
      <c r="L137" s="90">
        <v>1</v>
      </c>
      <c r="M137" s="100">
        <v>959000</v>
      </c>
      <c r="N137" s="124">
        <f t="shared" si="18"/>
        <v>959000</v>
      </c>
      <c r="O137" s="101"/>
      <c r="P137" s="90">
        <f t="shared" si="16"/>
        <v>25</v>
      </c>
    </row>
    <row r="138" spans="1:16" hidden="1" x14ac:dyDescent="0.2">
      <c r="A138" s="125" t="s">
        <v>18</v>
      </c>
      <c r="B138" s="127">
        <v>46101</v>
      </c>
      <c r="C138" s="90">
        <f t="shared" si="19"/>
        <v>333</v>
      </c>
      <c r="D138" s="38">
        <f t="shared" si="17"/>
        <v>0</v>
      </c>
      <c r="E138" s="90"/>
      <c r="F138" s="90"/>
      <c r="G138" s="91" t="s">
        <v>1677</v>
      </c>
      <c r="H138" s="89" t="s">
        <v>2449</v>
      </c>
      <c r="I138" s="125">
        <v>1331</v>
      </c>
      <c r="J138" s="125">
        <v>331</v>
      </c>
      <c r="K138" s="90" t="s">
        <v>20</v>
      </c>
      <c r="L138" s="90">
        <v>1</v>
      </c>
      <c r="M138" s="100">
        <v>76720</v>
      </c>
      <c r="N138" s="124">
        <f t="shared" si="18"/>
        <v>76720</v>
      </c>
      <c r="O138" s="101"/>
      <c r="P138" s="90">
        <f t="shared" si="16"/>
        <v>25</v>
      </c>
    </row>
    <row r="139" spans="1:16" hidden="1" x14ac:dyDescent="0.2">
      <c r="A139" s="125" t="s">
        <v>310</v>
      </c>
      <c r="B139" s="127">
        <v>46101</v>
      </c>
      <c r="C139" s="90">
        <f t="shared" si="19"/>
        <v>334</v>
      </c>
      <c r="D139" s="38">
        <f t="shared" si="17"/>
        <v>1</v>
      </c>
      <c r="E139" s="90"/>
      <c r="F139" s="90"/>
      <c r="G139" s="91" t="s">
        <v>1677</v>
      </c>
      <c r="H139" s="90" t="s">
        <v>2497</v>
      </c>
      <c r="I139" s="125">
        <v>331</v>
      </c>
      <c r="J139" s="125">
        <v>1111</v>
      </c>
      <c r="K139" s="90" t="s">
        <v>20</v>
      </c>
      <c r="L139" s="90">
        <v>1</v>
      </c>
      <c r="M139" s="100">
        <v>1035720</v>
      </c>
      <c r="N139" s="124">
        <f t="shared" si="18"/>
        <v>1035720</v>
      </c>
      <c r="O139" s="101"/>
      <c r="P139" s="90">
        <f t="shared" si="16"/>
        <v>36</v>
      </c>
    </row>
    <row r="140" spans="1:16" hidden="1" x14ac:dyDescent="0.2">
      <c r="A140" s="125" t="s">
        <v>308</v>
      </c>
      <c r="B140" s="127">
        <v>46107</v>
      </c>
      <c r="C140" s="90">
        <f t="shared" si="19"/>
        <v>335</v>
      </c>
      <c r="D140" s="38">
        <f t="shared" si="17"/>
        <v>1</v>
      </c>
      <c r="E140" s="90"/>
      <c r="F140" s="90"/>
      <c r="G140" s="91" t="s">
        <v>110</v>
      </c>
      <c r="H140" s="89" t="s">
        <v>2411</v>
      </c>
      <c r="I140" s="125">
        <v>1111</v>
      </c>
      <c r="J140" s="125">
        <v>112111</v>
      </c>
      <c r="K140" s="90" t="s">
        <v>20</v>
      </c>
      <c r="L140" s="90">
        <v>1</v>
      </c>
      <c r="M140" s="100">
        <v>53000000</v>
      </c>
      <c r="N140" s="124">
        <f t="shared" si="18"/>
        <v>53000000</v>
      </c>
      <c r="O140" s="101"/>
      <c r="P140" s="90">
        <f t="shared" si="16"/>
        <v>45</v>
      </c>
    </row>
    <row r="141" spans="1:16" hidden="1" x14ac:dyDescent="0.2">
      <c r="A141" s="125" t="s">
        <v>18</v>
      </c>
      <c r="B141" s="127">
        <v>46109</v>
      </c>
      <c r="C141" s="90">
        <f t="shared" si="19"/>
        <v>336</v>
      </c>
      <c r="D141" s="38">
        <f t="shared" si="17"/>
        <v>1</v>
      </c>
      <c r="E141" s="90"/>
      <c r="F141" s="90"/>
      <c r="G141" s="126" t="s">
        <v>35</v>
      </c>
      <c r="H141" s="90" t="s">
        <v>2479</v>
      </c>
      <c r="I141" s="125">
        <v>64277</v>
      </c>
      <c r="J141" s="125">
        <v>331</v>
      </c>
      <c r="K141" s="90" t="s">
        <v>20</v>
      </c>
      <c r="L141" s="90">
        <v>1</v>
      </c>
      <c r="M141" s="100">
        <v>3000000</v>
      </c>
      <c r="N141" s="124">
        <f t="shared" si="18"/>
        <v>3000000</v>
      </c>
      <c r="O141" s="101"/>
      <c r="P141" s="90">
        <f t="shared" si="16"/>
        <v>42</v>
      </c>
    </row>
    <row r="142" spans="1:16" hidden="1" x14ac:dyDescent="0.2">
      <c r="A142" s="125" t="s">
        <v>18</v>
      </c>
      <c r="B142" s="127">
        <v>46109</v>
      </c>
      <c r="C142" s="90">
        <f t="shared" si="19"/>
        <v>336</v>
      </c>
      <c r="D142" s="38">
        <f t="shared" si="17"/>
        <v>0</v>
      </c>
      <c r="E142" s="90"/>
      <c r="F142" s="90"/>
      <c r="G142" s="91" t="s">
        <v>35</v>
      </c>
      <c r="H142" s="89" t="s">
        <v>2479</v>
      </c>
      <c r="I142" s="125">
        <v>1331</v>
      </c>
      <c r="J142" s="125">
        <v>331</v>
      </c>
      <c r="K142" s="90" t="s">
        <v>20</v>
      </c>
      <c r="L142" s="90">
        <v>1</v>
      </c>
      <c r="M142" s="100">
        <v>240000</v>
      </c>
      <c r="N142" s="124">
        <f t="shared" si="18"/>
        <v>240000</v>
      </c>
      <c r="O142" s="101"/>
      <c r="P142" s="90">
        <f t="shared" si="16"/>
        <v>42</v>
      </c>
    </row>
    <row r="143" spans="1:16" hidden="1" x14ac:dyDescent="0.2">
      <c r="A143" s="125" t="s">
        <v>310</v>
      </c>
      <c r="B143" s="127">
        <v>46109</v>
      </c>
      <c r="C143" s="90">
        <f t="shared" si="19"/>
        <v>337</v>
      </c>
      <c r="D143" s="38">
        <f t="shared" si="17"/>
        <v>1</v>
      </c>
      <c r="E143" s="90"/>
      <c r="F143" s="90"/>
      <c r="G143" s="91" t="s">
        <v>35</v>
      </c>
      <c r="H143" s="90" t="s">
        <v>2498</v>
      </c>
      <c r="I143" s="125">
        <v>331</v>
      </c>
      <c r="J143" s="125">
        <v>1111</v>
      </c>
      <c r="K143" s="90" t="s">
        <v>20</v>
      </c>
      <c r="L143" s="90">
        <v>1</v>
      </c>
      <c r="M143" s="100">
        <v>3240000</v>
      </c>
      <c r="N143" s="124">
        <f t="shared" si="18"/>
        <v>3240000</v>
      </c>
      <c r="O143" s="101"/>
      <c r="P143" s="90">
        <f t="shared" si="16"/>
        <v>53</v>
      </c>
    </row>
    <row r="144" spans="1:16" hidden="1" x14ac:dyDescent="0.2">
      <c r="A144" s="125" t="s">
        <v>309</v>
      </c>
      <c r="B144" s="127">
        <v>46112</v>
      </c>
      <c r="C144" s="90">
        <f t="shared" si="19"/>
        <v>338</v>
      </c>
      <c r="D144" s="38">
        <f t="shared" si="17"/>
        <v>1</v>
      </c>
      <c r="E144" s="90"/>
      <c r="F144" s="90"/>
      <c r="G144" s="91" t="s">
        <v>110</v>
      </c>
      <c r="H144" s="90" t="s">
        <v>2480</v>
      </c>
      <c r="I144" s="125">
        <v>112111</v>
      </c>
      <c r="J144" s="108">
        <v>5154</v>
      </c>
      <c r="K144" s="90" t="s">
        <v>20</v>
      </c>
      <c r="L144" s="90">
        <v>1</v>
      </c>
      <c r="M144" s="100">
        <v>5537</v>
      </c>
      <c r="N144" s="124">
        <f t="shared" si="18"/>
        <v>5537</v>
      </c>
      <c r="O144" s="101"/>
      <c r="P144" s="90">
        <f t="shared" si="16"/>
        <v>26</v>
      </c>
    </row>
    <row r="145" spans="1:16" hidden="1" x14ac:dyDescent="0.2">
      <c r="A145" s="125"/>
      <c r="B145" s="127"/>
      <c r="C145" s="90">
        <f t="shared" si="19"/>
        <v>339</v>
      </c>
      <c r="D145" s="38">
        <f t="shared" si="17"/>
        <v>1</v>
      </c>
      <c r="E145" s="90"/>
      <c r="F145" s="90"/>
      <c r="G145" s="91"/>
      <c r="H145" s="108"/>
      <c r="I145" s="125"/>
      <c r="J145" s="108"/>
      <c r="K145" s="90" t="s">
        <v>20</v>
      </c>
      <c r="L145" s="90">
        <v>1</v>
      </c>
      <c r="M145" s="100"/>
      <c r="N145" s="124">
        <f t="shared" si="18"/>
        <v>0</v>
      </c>
      <c r="O145" s="101"/>
      <c r="P145" s="90"/>
    </row>
    <row r="146" spans="1:16" hidden="1" x14ac:dyDescent="0.2">
      <c r="A146" s="125"/>
      <c r="B146" s="127"/>
      <c r="C146" s="90">
        <f t="shared" si="19"/>
        <v>339</v>
      </c>
      <c r="D146" s="38">
        <f t="shared" si="17"/>
        <v>0</v>
      </c>
      <c r="E146" s="90"/>
      <c r="F146" s="90"/>
      <c r="G146" s="91"/>
      <c r="H146" s="90"/>
      <c r="I146" s="125"/>
      <c r="J146" s="125"/>
      <c r="K146" s="90" t="s">
        <v>20</v>
      </c>
      <c r="L146" s="90">
        <v>1</v>
      </c>
      <c r="M146" s="100"/>
      <c r="N146" s="124">
        <f t="shared" si="18"/>
        <v>0</v>
      </c>
      <c r="O146" s="101"/>
      <c r="P146" s="90"/>
    </row>
    <row r="147" spans="1:16" hidden="1" x14ac:dyDescent="0.2">
      <c r="A147" s="125"/>
      <c r="B147" s="127"/>
      <c r="C147" s="90">
        <f t="shared" si="19"/>
        <v>339</v>
      </c>
      <c r="D147" s="38">
        <f t="shared" si="17"/>
        <v>0</v>
      </c>
      <c r="E147" s="90"/>
      <c r="F147" s="90"/>
      <c r="G147" s="91"/>
      <c r="H147" s="90"/>
      <c r="I147" s="125"/>
      <c r="J147" s="125"/>
      <c r="K147" s="90" t="s">
        <v>20</v>
      </c>
      <c r="L147" s="90">
        <v>1</v>
      </c>
      <c r="M147" s="100"/>
      <c r="N147" s="124">
        <f t="shared" si="18"/>
        <v>0</v>
      </c>
      <c r="O147" s="101"/>
      <c r="P147" s="90"/>
    </row>
    <row r="148" spans="1:16" hidden="1" x14ac:dyDescent="0.2">
      <c r="A148" s="125"/>
      <c r="B148" s="127"/>
      <c r="C148" s="90">
        <f t="shared" si="19"/>
        <v>339</v>
      </c>
      <c r="D148" s="38">
        <f t="shared" si="17"/>
        <v>0</v>
      </c>
      <c r="E148" s="90"/>
      <c r="F148" s="90"/>
      <c r="G148" s="91"/>
      <c r="H148" s="90"/>
      <c r="I148" s="125"/>
      <c r="J148" s="125"/>
      <c r="K148" s="90" t="s">
        <v>20</v>
      </c>
      <c r="L148" s="90">
        <v>1</v>
      </c>
      <c r="M148" s="100"/>
      <c r="N148" s="124">
        <f t="shared" si="18"/>
        <v>0</v>
      </c>
      <c r="O148" s="101"/>
      <c r="P148" s="90"/>
    </row>
    <row r="149" spans="1:16" hidden="1" x14ac:dyDescent="0.2">
      <c r="A149" s="125"/>
      <c r="B149" s="127"/>
      <c r="C149" s="90">
        <f t="shared" si="19"/>
        <v>339</v>
      </c>
      <c r="D149" s="38">
        <f t="shared" si="17"/>
        <v>0</v>
      </c>
      <c r="E149" s="90"/>
      <c r="F149" s="90"/>
      <c r="G149" s="91"/>
      <c r="H149" s="89"/>
      <c r="I149" s="125"/>
      <c r="J149" s="125"/>
      <c r="K149" s="90" t="s">
        <v>20</v>
      </c>
      <c r="L149" s="90">
        <v>1</v>
      </c>
      <c r="M149" s="100"/>
      <c r="N149" s="124">
        <f t="shared" si="18"/>
        <v>0</v>
      </c>
      <c r="O149" s="101"/>
      <c r="P149" s="90"/>
    </row>
    <row r="150" spans="1:16" hidden="1" x14ac:dyDescent="0.2">
      <c r="A150" s="125"/>
      <c r="B150" s="127"/>
      <c r="C150" s="90">
        <f t="shared" si="19"/>
        <v>339</v>
      </c>
      <c r="D150" s="38">
        <f t="shared" si="17"/>
        <v>0</v>
      </c>
      <c r="E150" s="90"/>
      <c r="F150" s="90"/>
      <c r="G150" s="91"/>
      <c r="H150" s="90"/>
      <c r="I150" s="125"/>
      <c r="J150" s="125"/>
      <c r="K150" s="90" t="s">
        <v>20</v>
      </c>
      <c r="L150" s="90">
        <v>1</v>
      </c>
      <c r="M150" s="100"/>
      <c r="N150" s="124">
        <f t="shared" si="18"/>
        <v>0</v>
      </c>
      <c r="O150" s="101"/>
      <c r="P150" s="90"/>
    </row>
    <row r="151" spans="1:16" hidden="1" x14ac:dyDescent="0.2">
      <c r="A151" s="125"/>
      <c r="B151" s="127"/>
      <c r="C151" s="90">
        <f t="shared" si="19"/>
        <v>339</v>
      </c>
      <c r="D151" s="38">
        <f t="shared" si="17"/>
        <v>0</v>
      </c>
      <c r="E151" s="90"/>
      <c r="F151" s="90"/>
      <c r="G151" s="91"/>
      <c r="H151" s="90"/>
      <c r="I151" s="125"/>
      <c r="J151" s="125"/>
      <c r="K151" s="90" t="s">
        <v>20</v>
      </c>
      <c r="L151" s="90">
        <v>1</v>
      </c>
      <c r="M151" s="100"/>
      <c r="N151" s="124">
        <f t="shared" si="18"/>
        <v>0</v>
      </c>
      <c r="O151" s="101"/>
      <c r="P151" s="90"/>
    </row>
    <row r="152" spans="1:16" hidden="1" x14ac:dyDescent="0.2">
      <c r="A152" s="125"/>
      <c r="B152" s="127"/>
      <c r="C152" s="90">
        <f t="shared" si="19"/>
        <v>339</v>
      </c>
      <c r="D152" s="38">
        <f t="shared" si="17"/>
        <v>0</v>
      </c>
      <c r="E152" s="90"/>
      <c r="F152" s="90"/>
      <c r="G152" s="113"/>
      <c r="H152" s="108"/>
      <c r="I152" s="125"/>
      <c r="J152" s="125"/>
      <c r="K152" s="90" t="s">
        <v>20</v>
      </c>
      <c r="L152" s="90">
        <v>1</v>
      </c>
      <c r="M152" s="100"/>
      <c r="N152" s="124">
        <f t="shared" si="18"/>
        <v>0</v>
      </c>
      <c r="O152" s="101"/>
      <c r="P152" s="90"/>
    </row>
    <row r="153" spans="1:16" hidden="1" x14ac:dyDescent="0.2">
      <c r="A153" s="125"/>
      <c r="B153" s="127"/>
      <c r="C153" s="90">
        <f t="shared" si="19"/>
        <v>339</v>
      </c>
      <c r="D153" s="38">
        <f t="shared" si="17"/>
        <v>0</v>
      </c>
      <c r="E153" s="90"/>
      <c r="F153" s="90"/>
      <c r="G153" s="91"/>
      <c r="H153" s="89"/>
      <c r="I153" s="125"/>
      <c r="J153" s="125"/>
      <c r="K153" s="90" t="s">
        <v>20</v>
      </c>
      <c r="L153" s="90">
        <v>1</v>
      </c>
      <c r="M153" s="100"/>
      <c r="N153" s="124">
        <f t="shared" si="18"/>
        <v>0</v>
      </c>
      <c r="O153" s="101"/>
      <c r="P153" s="90"/>
    </row>
    <row r="154" spans="1:16" hidden="1" x14ac:dyDescent="0.2">
      <c r="A154" s="125"/>
      <c r="B154" s="127"/>
      <c r="C154" s="90">
        <f t="shared" si="19"/>
        <v>339</v>
      </c>
      <c r="D154" s="38">
        <f t="shared" si="17"/>
        <v>0</v>
      </c>
      <c r="E154" s="90"/>
      <c r="F154" s="90"/>
      <c r="G154" s="91"/>
      <c r="H154" s="89"/>
      <c r="I154" s="125"/>
      <c r="J154" s="125"/>
      <c r="K154" s="90" t="s">
        <v>20</v>
      </c>
      <c r="L154" s="90">
        <v>1</v>
      </c>
      <c r="M154" s="100"/>
      <c r="N154" s="124">
        <f t="shared" si="18"/>
        <v>0</v>
      </c>
      <c r="O154" s="101"/>
      <c r="P154" s="90"/>
    </row>
    <row r="155" spans="1:16" hidden="1" x14ac:dyDescent="0.2">
      <c r="A155" s="125"/>
      <c r="B155" s="127"/>
      <c r="C155" s="90">
        <f t="shared" si="19"/>
        <v>339</v>
      </c>
      <c r="D155" s="38">
        <f t="shared" si="17"/>
        <v>0</v>
      </c>
      <c r="E155" s="90"/>
      <c r="F155" s="90"/>
      <c r="G155" s="91"/>
      <c r="H155" s="89"/>
      <c r="I155" s="125"/>
      <c r="J155" s="125"/>
      <c r="K155" s="90" t="s">
        <v>20</v>
      </c>
      <c r="L155" s="90">
        <v>1</v>
      </c>
      <c r="M155" s="100"/>
      <c r="N155" s="124">
        <f t="shared" si="18"/>
        <v>0</v>
      </c>
      <c r="O155" s="101"/>
      <c r="P155" s="90"/>
    </row>
    <row r="156" spans="1:16" hidden="1" x14ac:dyDescent="0.2">
      <c r="A156" s="125"/>
      <c r="B156" s="127"/>
      <c r="C156" s="90">
        <f t="shared" si="19"/>
        <v>339</v>
      </c>
      <c r="D156" s="38">
        <f t="shared" si="17"/>
        <v>0</v>
      </c>
      <c r="E156" s="90"/>
      <c r="F156" s="90"/>
      <c r="G156" s="91"/>
      <c r="H156" s="89"/>
      <c r="I156" s="125"/>
      <c r="J156" s="125"/>
      <c r="K156" s="90" t="s">
        <v>20</v>
      </c>
      <c r="L156" s="90">
        <v>1</v>
      </c>
      <c r="M156" s="100"/>
      <c r="N156" s="124">
        <f t="shared" si="18"/>
        <v>0</v>
      </c>
      <c r="O156" s="101"/>
      <c r="P156" s="90"/>
    </row>
    <row r="157" spans="1:16" hidden="1" x14ac:dyDescent="0.2">
      <c r="A157" s="125"/>
      <c r="B157" s="127"/>
      <c r="C157" s="90">
        <f t="shared" si="19"/>
        <v>339</v>
      </c>
      <c r="D157" s="38">
        <f t="shared" si="17"/>
        <v>0</v>
      </c>
      <c r="E157" s="90"/>
      <c r="F157" s="90"/>
      <c r="G157" s="91"/>
      <c r="H157" s="89"/>
      <c r="I157" s="125"/>
      <c r="J157" s="125"/>
      <c r="K157" s="90" t="s">
        <v>20</v>
      </c>
      <c r="L157" s="90">
        <v>1</v>
      </c>
      <c r="M157" s="100"/>
      <c r="N157" s="124">
        <f t="shared" si="18"/>
        <v>0</v>
      </c>
      <c r="O157" s="101"/>
      <c r="P157" s="90"/>
    </row>
    <row r="158" spans="1:16" hidden="1" x14ac:dyDescent="0.2">
      <c r="A158" s="125"/>
      <c r="B158" s="127"/>
      <c r="C158" s="90">
        <f t="shared" si="19"/>
        <v>339</v>
      </c>
      <c r="D158" s="38">
        <f t="shared" si="17"/>
        <v>0</v>
      </c>
      <c r="E158" s="90"/>
      <c r="F158" s="90"/>
      <c r="G158" s="91"/>
      <c r="H158" s="89"/>
      <c r="I158" s="125"/>
      <c r="J158" s="125"/>
      <c r="K158" s="90" t="s">
        <v>20</v>
      </c>
      <c r="L158" s="90">
        <v>1</v>
      </c>
      <c r="M158" s="100"/>
      <c r="N158" s="124">
        <f t="shared" si="18"/>
        <v>0</v>
      </c>
      <c r="O158" s="101"/>
      <c r="P158" s="90"/>
    </row>
    <row r="159" spans="1:16" hidden="1" x14ac:dyDescent="0.2">
      <c r="A159" s="125"/>
      <c r="B159" s="127"/>
      <c r="C159" s="90">
        <f t="shared" si="19"/>
        <v>339</v>
      </c>
      <c r="D159" s="38">
        <f t="shared" si="17"/>
        <v>0</v>
      </c>
      <c r="E159" s="90"/>
      <c r="F159" s="90"/>
      <c r="G159" s="91"/>
      <c r="H159" s="90"/>
      <c r="I159" s="125"/>
      <c r="J159" s="125"/>
      <c r="K159" s="90" t="s">
        <v>20</v>
      </c>
      <c r="L159" s="90">
        <v>1</v>
      </c>
      <c r="M159" s="100"/>
      <c r="N159" s="124">
        <f t="shared" si="18"/>
        <v>0</v>
      </c>
      <c r="O159" s="101"/>
      <c r="P159" s="90"/>
    </row>
    <row r="160" spans="1:16" hidden="1" x14ac:dyDescent="0.2">
      <c r="A160" s="125"/>
      <c r="B160" s="127"/>
      <c r="C160" s="90">
        <f t="shared" si="19"/>
        <v>339</v>
      </c>
      <c r="D160" s="38">
        <f t="shared" si="17"/>
        <v>0</v>
      </c>
      <c r="E160" s="90"/>
      <c r="F160" s="90"/>
      <c r="G160" s="113"/>
      <c r="H160" s="108"/>
      <c r="I160" s="125"/>
      <c r="J160" s="125"/>
      <c r="K160" s="90" t="s">
        <v>20</v>
      </c>
      <c r="L160" s="90">
        <v>1</v>
      </c>
      <c r="M160" s="100"/>
      <c r="N160" s="124">
        <f t="shared" si="18"/>
        <v>0</v>
      </c>
      <c r="O160" s="101"/>
      <c r="P160" s="90"/>
    </row>
    <row r="161" spans="1:16" hidden="1" x14ac:dyDescent="0.2">
      <c r="A161" s="90"/>
      <c r="B161" s="69"/>
      <c r="C161" s="90">
        <f t="shared" si="19"/>
        <v>339</v>
      </c>
      <c r="D161" s="38">
        <f t="shared" si="17"/>
        <v>0</v>
      </c>
      <c r="E161" s="90"/>
      <c r="F161" s="90"/>
      <c r="G161" s="91"/>
      <c r="H161" s="90"/>
      <c r="I161" s="90"/>
      <c r="J161" s="90"/>
      <c r="K161" s="90" t="s">
        <v>20</v>
      </c>
      <c r="L161" s="90">
        <v>1</v>
      </c>
      <c r="M161" s="124"/>
      <c r="N161" s="124">
        <f t="shared" si="18"/>
        <v>0</v>
      </c>
      <c r="O161" s="101"/>
      <c r="P161" s="90"/>
    </row>
    <row r="162" spans="1:16" hidden="1" x14ac:dyDescent="0.2">
      <c r="A162" s="90"/>
      <c r="B162" s="69"/>
      <c r="C162" s="90">
        <f t="shared" si="19"/>
        <v>339</v>
      </c>
      <c r="D162" s="38">
        <f t="shared" si="17"/>
        <v>0</v>
      </c>
      <c r="E162" s="90"/>
      <c r="F162" s="90"/>
      <c r="G162" s="91"/>
      <c r="H162" s="90"/>
      <c r="I162" s="90"/>
      <c r="J162" s="90"/>
      <c r="K162" s="90" t="s">
        <v>20</v>
      </c>
      <c r="L162" s="90">
        <v>1</v>
      </c>
      <c r="M162" s="124"/>
      <c r="N162" s="124">
        <f t="shared" si="18"/>
        <v>0</v>
      </c>
      <c r="O162" s="101"/>
      <c r="P162" s="90"/>
    </row>
    <row r="163" spans="1:16" hidden="1" x14ac:dyDescent="0.2">
      <c r="A163" s="90"/>
      <c r="B163" s="69"/>
      <c r="C163" s="90">
        <f t="shared" si="19"/>
        <v>339</v>
      </c>
      <c r="D163" s="38">
        <f t="shared" si="17"/>
        <v>0</v>
      </c>
      <c r="E163" s="90"/>
      <c r="F163" s="90"/>
      <c r="G163" s="91"/>
      <c r="H163" s="90"/>
      <c r="I163" s="90"/>
      <c r="J163" s="90"/>
      <c r="K163" s="90" t="s">
        <v>20</v>
      </c>
      <c r="L163" s="90">
        <v>1</v>
      </c>
      <c r="M163" s="124"/>
      <c r="N163" s="124">
        <f t="shared" si="18"/>
        <v>0</v>
      </c>
      <c r="O163" s="101"/>
      <c r="P163" s="90"/>
    </row>
    <row r="164" spans="1:16" hidden="1" x14ac:dyDescent="0.2">
      <c r="A164" s="90"/>
      <c r="B164" s="69"/>
      <c r="C164" s="90">
        <f t="shared" si="19"/>
        <v>339</v>
      </c>
      <c r="D164" s="38">
        <f t="shared" si="17"/>
        <v>0</v>
      </c>
      <c r="E164" s="90"/>
      <c r="F164" s="90"/>
      <c r="G164" s="91"/>
      <c r="H164" s="90"/>
      <c r="I164" s="90"/>
      <c r="J164" s="90"/>
      <c r="K164" s="90" t="s">
        <v>20</v>
      </c>
      <c r="L164" s="90">
        <v>1</v>
      </c>
      <c r="M164" s="124"/>
      <c r="N164" s="124">
        <f t="shared" si="18"/>
        <v>0</v>
      </c>
      <c r="O164" s="101"/>
      <c r="P164" s="90"/>
    </row>
    <row r="165" spans="1:16" hidden="1" x14ac:dyDescent="0.2">
      <c r="A165" s="90"/>
      <c r="B165" s="69"/>
      <c r="C165" s="90">
        <f t="shared" si="19"/>
        <v>339</v>
      </c>
      <c r="D165" s="38">
        <f t="shared" si="17"/>
        <v>0</v>
      </c>
      <c r="E165" s="90"/>
      <c r="F165" s="90"/>
      <c r="G165" s="91"/>
      <c r="H165" s="90"/>
      <c r="I165" s="90"/>
      <c r="J165" s="90"/>
      <c r="K165" s="90" t="s">
        <v>20</v>
      </c>
      <c r="L165" s="90">
        <v>1</v>
      </c>
      <c r="M165" s="124"/>
      <c r="N165" s="124">
        <f t="shared" si="18"/>
        <v>0</v>
      </c>
      <c r="O165" s="101"/>
      <c r="P165" s="90"/>
    </row>
    <row r="166" spans="1:16" hidden="1" x14ac:dyDescent="0.2">
      <c r="A166" s="90"/>
      <c r="B166" s="69"/>
      <c r="C166" s="90">
        <f t="shared" si="19"/>
        <v>339</v>
      </c>
      <c r="D166" s="38">
        <f t="shared" si="17"/>
        <v>0</v>
      </c>
      <c r="E166" s="90"/>
      <c r="F166" s="90"/>
      <c r="G166" s="91"/>
      <c r="H166" s="90"/>
      <c r="I166" s="90"/>
      <c r="J166" s="90"/>
      <c r="K166" s="90" t="s">
        <v>20</v>
      </c>
      <c r="L166" s="90">
        <v>1</v>
      </c>
      <c r="M166" s="124"/>
      <c r="N166" s="124">
        <f t="shared" si="18"/>
        <v>0</v>
      </c>
      <c r="O166" s="101"/>
      <c r="P166" s="90"/>
    </row>
    <row r="167" spans="1:16" hidden="1" x14ac:dyDescent="0.2">
      <c r="A167" s="90"/>
      <c r="B167" s="69"/>
      <c r="C167" s="90">
        <f t="shared" si="19"/>
        <v>339</v>
      </c>
      <c r="D167" s="38">
        <f t="shared" si="17"/>
        <v>0</v>
      </c>
      <c r="E167" s="90"/>
      <c r="F167" s="90"/>
      <c r="G167" s="91"/>
      <c r="H167" s="90"/>
      <c r="I167" s="90"/>
      <c r="J167" s="90"/>
      <c r="K167" s="90" t="s">
        <v>20</v>
      </c>
      <c r="L167" s="90">
        <v>1</v>
      </c>
      <c r="M167" s="124"/>
      <c r="N167" s="124">
        <f t="shared" si="18"/>
        <v>0</v>
      </c>
      <c r="O167" s="101"/>
      <c r="P167" s="90"/>
    </row>
    <row r="168" spans="1:16" hidden="1" x14ac:dyDescent="0.2">
      <c r="A168" s="90"/>
      <c r="B168" s="69"/>
      <c r="C168" s="90">
        <f t="shared" si="19"/>
        <v>339</v>
      </c>
      <c r="D168" s="38">
        <f t="shared" si="17"/>
        <v>0</v>
      </c>
      <c r="E168" s="90"/>
      <c r="F168" s="90"/>
      <c r="G168" s="91"/>
      <c r="H168" s="90"/>
      <c r="I168" s="90"/>
      <c r="J168" s="90"/>
      <c r="K168" s="90" t="s">
        <v>20</v>
      </c>
      <c r="L168" s="90">
        <v>1</v>
      </c>
      <c r="M168" s="124"/>
      <c r="N168" s="124">
        <f t="shared" si="18"/>
        <v>0</v>
      </c>
      <c r="O168" s="101"/>
      <c r="P168" s="90"/>
    </row>
    <row r="169" spans="1:16" hidden="1" x14ac:dyDescent="0.2">
      <c r="A169" s="90"/>
      <c r="B169" s="69"/>
      <c r="C169" s="90">
        <f t="shared" si="19"/>
        <v>339</v>
      </c>
      <c r="D169" s="38">
        <f t="shared" si="17"/>
        <v>0</v>
      </c>
      <c r="E169" s="90"/>
      <c r="F169" s="90"/>
      <c r="G169" s="91"/>
      <c r="H169" s="90"/>
      <c r="I169" s="90"/>
      <c r="J169" s="90"/>
      <c r="K169" s="90" t="s">
        <v>20</v>
      </c>
      <c r="L169" s="90">
        <v>1</v>
      </c>
      <c r="M169" s="124"/>
      <c r="N169" s="124">
        <f t="shared" si="18"/>
        <v>0</v>
      </c>
      <c r="O169" s="101"/>
      <c r="P169" s="90"/>
    </row>
    <row r="170" spans="1:16" hidden="1" x14ac:dyDescent="0.2">
      <c r="A170" s="90"/>
      <c r="B170" s="69"/>
      <c r="C170" s="90">
        <f t="shared" si="19"/>
        <v>339</v>
      </c>
      <c r="D170" s="38">
        <f t="shared" si="17"/>
        <v>0</v>
      </c>
      <c r="E170" s="90"/>
      <c r="F170" s="90"/>
      <c r="G170" s="91"/>
      <c r="H170" s="90"/>
      <c r="I170" s="90"/>
      <c r="J170" s="90"/>
      <c r="K170" s="90" t="s">
        <v>20</v>
      </c>
      <c r="L170" s="90">
        <v>1</v>
      </c>
      <c r="M170" s="124"/>
      <c r="N170" s="124">
        <f t="shared" si="18"/>
        <v>0</v>
      </c>
      <c r="O170" s="101"/>
      <c r="P170" s="90"/>
    </row>
    <row r="171" spans="1:16" hidden="1" x14ac:dyDescent="0.2">
      <c r="A171" s="90"/>
      <c r="B171" s="69"/>
      <c r="C171" s="90">
        <f t="shared" si="19"/>
        <v>339</v>
      </c>
      <c r="D171" s="38">
        <f t="shared" si="17"/>
        <v>0</v>
      </c>
      <c r="E171" s="90"/>
      <c r="F171" s="90"/>
      <c r="G171" s="91"/>
      <c r="H171" s="90"/>
      <c r="I171" s="90"/>
      <c r="J171" s="90"/>
      <c r="K171" s="90" t="s">
        <v>20</v>
      </c>
      <c r="L171" s="90">
        <v>1</v>
      </c>
      <c r="M171" s="124"/>
      <c r="N171" s="124">
        <f t="shared" si="18"/>
        <v>0</v>
      </c>
      <c r="O171" s="101"/>
      <c r="P171" s="90"/>
    </row>
    <row r="172" spans="1:16" hidden="1" x14ac:dyDescent="0.2">
      <c r="A172" s="90"/>
      <c r="B172" s="69"/>
      <c r="C172" s="90">
        <f t="shared" si="19"/>
        <v>339</v>
      </c>
      <c r="D172" s="38">
        <f t="shared" si="17"/>
        <v>0</v>
      </c>
      <c r="E172" s="90"/>
      <c r="F172" s="90"/>
      <c r="G172" s="91"/>
      <c r="H172" s="90"/>
      <c r="I172" s="90"/>
      <c r="J172" s="90"/>
      <c r="K172" s="90" t="s">
        <v>20</v>
      </c>
      <c r="L172" s="90">
        <v>1</v>
      </c>
      <c r="M172" s="124"/>
      <c r="N172" s="124">
        <f t="shared" si="18"/>
        <v>0</v>
      </c>
      <c r="O172" s="101"/>
      <c r="P172" s="90"/>
    </row>
    <row r="173" spans="1:16" hidden="1" x14ac:dyDescent="0.2">
      <c r="A173" s="90"/>
      <c r="B173" s="69"/>
      <c r="C173" s="90">
        <f t="shared" si="19"/>
        <v>339</v>
      </c>
      <c r="D173" s="38">
        <f t="shared" si="17"/>
        <v>0</v>
      </c>
      <c r="E173" s="90"/>
      <c r="F173" s="90"/>
      <c r="G173" s="91"/>
      <c r="H173" s="90"/>
      <c r="I173" s="90"/>
      <c r="J173" s="90"/>
      <c r="K173" s="90" t="s">
        <v>20</v>
      </c>
      <c r="L173" s="90">
        <v>1</v>
      </c>
      <c r="M173" s="124"/>
      <c r="N173" s="124">
        <f t="shared" si="18"/>
        <v>0</v>
      </c>
      <c r="O173" s="101"/>
      <c r="P173" s="90"/>
    </row>
    <row r="174" spans="1:16" hidden="1" x14ac:dyDescent="0.2">
      <c r="A174" s="90"/>
      <c r="B174" s="69"/>
      <c r="C174" s="90">
        <f t="shared" si="19"/>
        <v>339</v>
      </c>
      <c r="D174" s="38">
        <f t="shared" si="17"/>
        <v>0</v>
      </c>
      <c r="E174" s="90"/>
      <c r="F174" s="90"/>
      <c r="G174" s="91"/>
      <c r="H174" s="90"/>
      <c r="I174" s="90"/>
      <c r="J174" s="90"/>
      <c r="K174" s="90" t="s">
        <v>20</v>
      </c>
      <c r="L174" s="90">
        <v>1</v>
      </c>
      <c r="M174" s="124"/>
      <c r="N174" s="124">
        <f t="shared" si="18"/>
        <v>0</v>
      </c>
      <c r="O174" s="101"/>
      <c r="P174" s="90"/>
    </row>
    <row r="175" spans="1:16" hidden="1" x14ac:dyDescent="0.2">
      <c r="A175" s="90"/>
      <c r="B175" s="69"/>
      <c r="C175" s="90">
        <f t="shared" si="19"/>
        <v>339</v>
      </c>
      <c r="D175" s="38">
        <f t="shared" si="17"/>
        <v>0</v>
      </c>
      <c r="E175" s="90"/>
      <c r="F175" s="90"/>
      <c r="G175" s="91"/>
      <c r="H175" s="90"/>
      <c r="I175" s="90"/>
      <c r="J175" s="90"/>
      <c r="K175" s="90" t="s">
        <v>20</v>
      </c>
      <c r="L175" s="90">
        <v>1</v>
      </c>
      <c r="M175" s="124"/>
      <c r="N175" s="124">
        <f t="shared" si="18"/>
        <v>0</v>
      </c>
      <c r="O175" s="101"/>
      <c r="P175" s="90"/>
    </row>
    <row r="176" spans="1:16" hidden="1" x14ac:dyDescent="0.2">
      <c r="A176" s="90"/>
      <c r="B176" s="69"/>
      <c r="C176" s="90">
        <f t="shared" si="19"/>
        <v>339</v>
      </c>
      <c r="D176" s="38">
        <f t="shared" si="17"/>
        <v>0</v>
      </c>
      <c r="E176" s="90"/>
      <c r="F176" s="90"/>
      <c r="G176" s="91"/>
      <c r="H176" s="90"/>
      <c r="I176" s="90"/>
      <c r="J176" s="90"/>
      <c r="K176" s="90" t="s">
        <v>20</v>
      </c>
      <c r="L176" s="90">
        <v>1</v>
      </c>
      <c r="M176" s="124"/>
      <c r="N176" s="124">
        <f t="shared" si="18"/>
        <v>0</v>
      </c>
      <c r="O176" s="101"/>
      <c r="P176" s="90"/>
    </row>
    <row r="177" spans="1:16" hidden="1" x14ac:dyDescent="0.2">
      <c r="A177" s="90"/>
      <c r="B177" s="69"/>
      <c r="C177" s="90">
        <f t="shared" si="19"/>
        <v>339</v>
      </c>
      <c r="D177" s="38">
        <f t="shared" si="17"/>
        <v>0</v>
      </c>
      <c r="E177" s="90"/>
      <c r="F177" s="90"/>
      <c r="G177" s="91"/>
      <c r="H177" s="90"/>
      <c r="I177" s="90"/>
      <c r="J177" s="90"/>
      <c r="K177" s="90" t="s">
        <v>20</v>
      </c>
      <c r="L177" s="90">
        <v>1</v>
      </c>
      <c r="M177" s="124"/>
      <c r="N177" s="124">
        <f t="shared" si="18"/>
        <v>0</v>
      </c>
      <c r="O177" s="101"/>
      <c r="P177" s="90"/>
    </row>
    <row r="178" spans="1:16" hidden="1" x14ac:dyDescent="0.2">
      <c r="A178" s="90"/>
      <c r="B178" s="69"/>
      <c r="C178" s="90">
        <f t="shared" si="19"/>
        <v>339</v>
      </c>
      <c r="D178" s="38">
        <f t="shared" si="17"/>
        <v>0</v>
      </c>
      <c r="E178" s="90"/>
      <c r="F178" s="90"/>
      <c r="G178" s="91"/>
      <c r="H178" s="90"/>
      <c r="I178" s="90"/>
      <c r="J178" s="90"/>
      <c r="K178" s="90" t="s">
        <v>20</v>
      </c>
      <c r="L178" s="90">
        <v>1</v>
      </c>
      <c r="M178" s="124"/>
      <c r="N178" s="124">
        <f t="shared" si="18"/>
        <v>0</v>
      </c>
      <c r="O178" s="101"/>
      <c r="P178" s="90"/>
    </row>
    <row r="179" spans="1:16" hidden="1" x14ac:dyDescent="0.2">
      <c r="A179" s="90"/>
      <c r="B179" s="69"/>
      <c r="C179" s="90">
        <f t="shared" si="19"/>
        <v>339</v>
      </c>
      <c r="D179" s="38">
        <f t="shared" si="17"/>
        <v>0</v>
      </c>
      <c r="E179" s="90"/>
      <c r="F179" s="90"/>
      <c r="G179" s="91"/>
      <c r="H179" s="90"/>
      <c r="I179" s="90"/>
      <c r="J179" s="90"/>
      <c r="K179" s="90" t="s">
        <v>20</v>
      </c>
      <c r="L179" s="90">
        <v>1</v>
      </c>
      <c r="M179" s="124"/>
      <c r="N179" s="124">
        <f t="shared" si="18"/>
        <v>0</v>
      </c>
      <c r="O179" s="101"/>
      <c r="P179" s="90"/>
    </row>
    <row r="180" spans="1:16" hidden="1" x14ac:dyDescent="0.2">
      <c r="A180" s="90"/>
      <c r="B180" s="69"/>
      <c r="C180" s="90">
        <f t="shared" si="19"/>
        <v>339</v>
      </c>
      <c r="D180" s="38">
        <f t="shared" si="17"/>
        <v>0</v>
      </c>
      <c r="E180" s="90"/>
      <c r="F180" s="90"/>
      <c r="G180" s="91"/>
      <c r="H180" s="90"/>
      <c r="I180" s="90"/>
      <c r="J180" s="90"/>
      <c r="K180" s="90" t="s">
        <v>20</v>
      </c>
      <c r="L180" s="90">
        <v>1</v>
      </c>
      <c r="M180" s="124"/>
      <c r="N180" s="124">
        <f t="shared" si="18"/>
        <v>0</v>
      </c>
      <c r="O180" s="101"/>
      <c r="P180" s="90"/>
    </row>
    <row r="181" spans="1:16" hidden="1" x14ac:dyDescent="0.2">
      <c r="A181" s="90"/>
      <c r="B181" s="69"/>
      <c r="C181" s="90">
        <f t="shared" si="19"/>
        <v>339</v>
      </c>
      <c r="D181" s="38">
        <f t="shared" si="17"/>
        <v>0</v>
      </c>
      <c r="E181" s="90"/>
      <c r="F181" s="90"/>
      <c r="G181" s="91"/>
      <c r="H181" s="90"/>
      <c r="I181" s="90"/>
      <c r="J181" s="90"/>
      <c r="K181" s="90" t="s">
        <v>20</v>
      </c>
      <c r="L181" s="90">
        <v>1</v>
      </c>
      <c r="M181" s="124"/>
      <c r="N181" s="124">
        <f t="shared" si="18"/>
        <v>0</v>
      </c>
      <c r="O181" s="101"/>
      <c r="P181" s="90"/>
    </row>
    <row r="182" spans="1:16" hidden="1" x14ac:dyDescent="0.2">
      <c r="A182" s="90"/>
      <c r="B182" s="69"/>
      <c r="C182" s="90">
        <f t="shared" si="19"/>
        <v>339</v>
      </c>
      <c r="D182" s="38">
        <f t="shared" si="17"/>
        <v>0</v>
      </c>
      <c r="E182" s="90"/>
      <c r="F182" s="90"/>
      <c r="G182" s="91"/>
      <c r="H182" s="90"/>
      <c r="I182" s="90"/>
      <c r="J182" s="90"/>
      <c r="K182" s="90" t="s">
        <v>20</v>
      </c>
      <c r="L182" s="90">
        <v>1</v>
      </c>
      <c r="M182" s="124"/>
      <c r="N182" s="124">
        <f t="shared" si="18"/>
        <v>0</v>
      </c>
      <c r="O182" s="101"/>
      <c r="P182" s="90"/>
    </row>
    <row r="183" spans="1:16" hidden="1" x14ac:dyDescent="0.2">
      <c r="A183" s="90"/>
      <c r="B183" s="69"/>
      <c r="C183" s="90">
        <f t="shared" si="19"/>
        <v>339</v>
      </c>
      <c r="D183" s="38">
        <f t="shared" si="17"/>
        <v>0</v>
      </c>
      <c r="E183" s="90"/>
      <c r="F183" s="90"/>
      <c r="G183" s="91"/>
      <c r="H183" s="90"/>
      <c r="I183" s="90"/>
      <c r="J183" s="90"/>
      <c r="K183" s="90" t="s">
        <v>20</v>
      </c>
      <c r="L183" s="90">
        <v>1</v>
      </c>
      <c r="M183" s="124"/>
      <c r="N183" s="124">
        <f t="shared" si="18"/>
        <v>0</v>
      </c>
      <c r="O183" s="101"/>
      <c r="P183" s="90"/>
    </row>
    <row r="184" spans="1:16" hidden="1" x14ac:dyDescent="0.2">
      <c r="A184" s="90"/>
      <c r="B184" s="69"/>
      <c r="C184" s="90">
        <f t="shared" si="19"/>
        <v>339</v>
      </c>
      <c r="D184" s="38">
        <f t="shared" si="17"/>
        <v>0</v>
      </c>
      <c r="E184" s="90"/>
      <c r="F184" s="90"/>
      <c r="G184" s="91"/>
      <c r="H184" s="90"/>
      <c r="I184" s="90"/>
      <c r="J184" s="90"/>
      <c r="K184" s="90" t="s">
        <v>20</v>
      </c>
      <c r="L184" s="90">
        <v>1</v>
      </c>
      <c r="M184" s="124"/>
      <c r="N184" s="124">
        <f t="shared" si="18"/>
        <v>0</v>
      </c>
      <c r="O184" s="101"/>
      <c r="P184" s="90"/>
    </row>
    <row r="185" spans="1:16" hidden="1" x14ac:dyDescent="0.2">
      <c r="A185" s="90"/>
      <c r="B185" s="69"/>
      <c r="C185" s="90">
        <f t="shared" si="19"/>
        <v>339</v>
      </c>
      <c r="D185" s="38">
        <f t="shared" si="17"/>
        <v>0</v>
      </c>
      <c r="E185" s="90"/>
      <c r="F185" s="90"/>
      <c r="G185" s="91"/>
      <c r="H185" s="90"/>
      <c r="I185" s="90"/>
      <c r="J185" s="90"/>
      <c r="K185" s="90" t="s">
        <v>20</v>
      </c>
      <c r="L185" s="90">
        <v>1</v>
      </c>
      <c r="M185" s="124"/>
      <c r="N185" s="124">
        <f t="shared" si="18"/>
        <v>0</v>
      </c>
      <c r="O185" s="101"/>
      <c r="P185" s="90"/>
    </row>
    <row r="186" spans="1:16" hidden="1" x14ac:dyDescent="0.2">
      <c r="A186" s="90"/>
      <c r="B186" s="69"/>
      <c r="C186" s="90">
        <f t="shared" si="19"/>
        <v>339</v>
      </c>
      <c r="D186" s="38">
        <f t="shared" si="17"/>
        <v>0</v>
      </c>
      <c r="E186" s="90"/>
      <c r="F186" s="90"/>
      <c r="G186" s="91"/>
      <c r="H186" s="90"/>
      <c r="I186" s="90"/>
      <c r="J186" s="90"/>
      <c r="K186" s="90" t="s">
        <v>20</v>
      </c>
      <c r="L186" s="90">
        <v>1</v>
      </c>
      <c r="M186" s="124"/>
      <c r="N186" s="124">
        <f t="shared" si="18"/>
        <v>0</v>
      </c>
      <c r="O186" s="101"/>
      <c r="P186" s="90"/>
    </row>
    <row r="187" spans="1:16" hidden="1" x14ac:dyDescent="0.2">
      <c r="A187" s="90"/>
      <c r="B187" s="69"/>
      <c r="C187" s="90">
        <f t="shared" si="19"/>
        <v>339</v>
      </c>
      <c r="D187" s="38">
        <f t="shared" si="17"/>
        <v>0</v>
      </c>
      <c r="E187" s="90"/>
      <c r="F187" s="90"/>
      <c r="G187" s="91"/>
      <c r="H187" s="90"/>
      <c r="I187" s="90"/>
      <c r="J187" s="90"/>
      <c r="K187" s="90" t="s">
        <v>20</v>
      </c>
      <c r="L187" s="90">
        <v>1</v>
      </c>
      <c r="M187" s="124"/>
      <c r="N187" s="124">
        <f t="shared" si="18"/>
        <v>0</v>
      </c>
      <c r="O187" s="101"/>
      <c r="P187" s="90"/>
    </row>
    <row r="188" spans="1:16" hidden="1" x14ac:dyDescent="0.2">
      <c r="A188" s="90"/>
      <c r="B188" s="69"/>
      <c r="C188" s="90">
        <f t="shared" si="19"/>
        <v>339</v>
      </c>
      <c r="D188" s="38">
        <f t="shared" si="17"/>
        <v>0</v>
      </c>
      <c r="E188" s="90"/>
      <c r="F188" s="90"/>
      <c r="G188" s="91"/>
      <c r="H188" s="90"/>
      <c r="I188" s="90"/>
      <c r="J188" s="90"/>
      <c r="K188" s="90" t="s">
        <v>20</v>
      </c>
      <c r="L188" s="90">
        <v>1</v>
      </c>
      <c r="M188" s="124"/>
      <c r="N188" s="124">
        <f t="shared" si="18"/>
        <v>0</v>
      </c>
      <c r="O188" s="101"/>
      <c r="P188" s="90"/>
    </row>
    <row r="189" spans="1:16" hidden="1" x14ac:dyDescent="0.2">
      <c r="A189" s="90"/>
      <c r="B189" s="69"/>
      <c r="C189" s="90">
        <f t="shared" si="19"/>
        <v>339</v>
      </c>
      <c r="D189" s="38">
        <f t="shared" si="17"/>
        <v>0</v>
      </c>
      <c r="E189" s="90"/>
      <c r="F189" s="90"/>
      <c r="G189" s="91"/>
      <c r="H189" s="90"/>
      <c r="I189" s="90"/>
      <c r="J189" s="90"/>
      <c r="K189" s="90" t="s">
        <v>20</v>
      </c>
      <c r="L189" s="90">
        <v>1</v>
      </c>
      <c r="M189" s="124"/>
      <c r="N189" s="124">
        <f t="shared" si="18"/>
        <v>0</v>
      </c>
      <c r="O189" s="101"/>
      <c r="P189" s="90"/>
    </row>
    <row r="190" spans="1:16" hidden="1" x14ac:dyDescent="0.2">
      <c r="A190" s="90"/>
      <c r="B190" s="69"/>
      <c r="C190" s="90">
        <f t="shared" si="19"/>
        <v>339</v>
      </c>
      <c r="D190" s="38">
        <f t="shared" si="17"/>
        <v>0</v>
      </c>
      <c r="E190" s="90"/>
      <c r="F190" s="90"/>
      <c r="G190" s="91"/>
      <c r="H190" s="90"/>
      <c r="I190" s="90"/>
      <c r="J190" s="90"/>
      <c r="K190" s="90" t="s">
        <v>20</v>
      </c>
      <c r="L190" s="90">
        <v>1</v>
      </c>
      <c r="M190" s="124"/>
      <c r="N190" s="124">
        <f t="shared" si="18"/>
        <v>0</v>
      </c>
      <c r="O190" s="101"/>
      <c r="P190" s="90"/>
    </row>
    <row r="191" spans="1:16" hidden="1" x14ac:dyDescent="0.2">
      <c r="A191" s="90"/>
      <c r="B191" s="69"/>
      <c r="C191" s="90">
        <f t="shared" si="19"/>
        <v>339</v>
      </c>
      <c r="D191" s="38">
        <f t="shared" si="17"/>
        <v>0</v>
      </c>
      <c r="E191" s="90"/>
      <c r="F191" s="90"/>
      <c r="G191" s="91"/>
      <c r="H191" s="90"/>
      <c r="I191" s="90"/>
      <c r="J191" s="90"/>
      <c r="K191" s="90" t="s">
        <v>20</v>
      </c>
      <c r="L191" s="90">
        <v>1</v>
      </c>
      <c r="M191" s="124"/>
      <c r="N191" s="124">
        <f t="shared" si="18"/>
        <v>0</v>
      </c>
      <c r="O191" s="101"/>
      <c r="P191" s="90"/>
    </row>
    <row r="192" spans="1:16" hidden="1" x14ac:dyDescent="0.2">
      <c r="A192" s="90"/>
      <c r="B192" s="69"/>
      <c r="C192" s="90">
        <f t="shared" si="19"/>
        <v>339</v>
      </c>
      <c r="D192" s="38">
        <f t="shared" si="17"/>
        <v>0</v>
      </c>
      <c r="E192" s="90"/>
      <c r="F192" s="90"/>
      <c r="G192" s="91"/>
      <c r="H192" s="90"/>
      <c r="I192" s="90"/>
      <c r="J192" s="90"/>
      <c r="K192" s="90" t="s">
        <v>20</v>
      </c>
      <c r="L192" s="90">
        <v>1</v>
      </c>
      <c r="M192" s="124"/>
      <c r="N192" s="124">
        <f t="shared" si="18"/>
        <v>0</v>
      </c>
      <c r="O192" s="101"/>
      <c r="P192" s="90"/>
    </row>
    <row r="193" spans="1:16" hidden="1" x14ac:dyDescent="0.2">
      <c r="A193" s="90"/>
      <c r="B193" s="127"/>
      <c r="C193" s="90">
        <f t="shared" si="19"/>
        <v>339</v>
      </c>
      <c r="D193" s="38">
        <f t="shared" si="17"/>
        <v>0</v>
      </c>
      <c r="E193" s="90"/>
      <c r="F193" s="90"/>
      <c r="G193" s="91"/>
      <c r="H193" s="90"/>
      <c r="I193" s="125"/>
      <c r="J193" s="90"/>
      <c r="K193" s="90" t="s">
        <v>20</v>
      </c>
      <c r="L193" s="90">
        <v>1</v>
      </c>
      <c r="M193" s="100"/>
      <c r="N193" s="124">
        <f t="shared" si="18"/>
        <v>0</v>
      </c>
      <c r="O193" s="101"/>
      <c r="P193" s="90"/>
    </row>
    <row r="194" spans="1:16" hidden="1" x14ac:dyDescent="0.2">
      <c r="A194" s="90"/>
      <c r="B194" s="127"/>
      <c r="C194" s="90">
        <f t="shared" si="19"/>
        <v>339</v>
      </c>
      <c r="D194" s="38">
        <f t="shared" si="17"/>
        <v>0</v>
      </c>
      <c r="E194" s="90"/>
      <c r="F194" s="90"/>
      <c r="G194" s="91"/>
      <c r="H194" s="90"/>
      <c r="I194" s="125"/>
      <c r="J194" s="90"/>
      <c r="K194" s="90" t="s">
        <v>20</v>
      </c>
      <c r="L194" s="90">
        <v>1</v>
      </c>
      <c r="M194" s="100"/>
      <c r="N194" s="124">
        <f t="shared" si="18"/>
        <v>0</v>
      </c>
      <c r="O194" s="101"/>
      <c r="P194" s="90"/>
    </row>
    <row r="195" spans="1:16" hidden="1" x14ac:dyDescent="0.2">
      <c r="A195" s="90"/>
      <c r="B195" s="127"/>
      <c r="C195" s="90">
        <f t="shared" si="19"/>
        <v>339</v>
      </c>
      <c r="D195" s="38">
        <f t="shared" si="17"/>
        <v>0</v>
      </c>
      <c r="E195" s="90"/>
      <c r="F195" s="90"/>
      <c r="G195" s="91"/>
      <c r="H195" s="90"/>
      <c r="I195" s="125"/>
      <c r="J195" s="90"/>
      <c r="K195" s="90" t="s">
        <v>20</v>
      </c>
      <c r="L195" s="90">
        <v>1</v>
      </c>
      <c r="M195" s="100"/>
      <c r="N195" s="124">
        <f t="shared" si="18"/>
        <v>0</v>
      </c>
      <c r="O195" s="101"/>
      <c r="P195" s="90"/>
    </row>
    <row r="196" spans="1:16" hidden="1" x14ac:dyDescent="0.2">
      <c r="A196" s="125"/>
      <c r="B196" s="127"/>
      <c r="C196" s="90">
        <f t="shared" si="19"/>
        <v>339</v>
      </c>
      <c r="D196" s="38">
        <f t="shared" si="17"/>
        <v>0</v>
      </c>
      <c r="E196" s="90"/>
      <c r="F196" s="90"/>
      <c r="G196" s="91"/>
      <c r="H196" s="90"/>
      <c r="I196" s="125"/>
      <c r="J196" s="125"/>
      <c r="K196" s="90" t="s">
        <v>20</v>
      </c>
      <c r="L196" s="90">
        <v>1</v>
      </c>
      <c r="M196" s="100"/>
      <c r="N196" s="124">
        <f t="shared" si="18"/>
        <v>0</v>
      </c>
      <c r="O196" s="101"/>
      <c r="P196" s="90"/>
    </row>
    <row r="197" spans="1:16" hidden="1" x14ac:dyDescent="0.2">
      <c r="A197" s="125"/>
      <c r="B197" s="127"/>
      <c r="C197" s="90">
        <f t="shared" ref="C197" si="20">C196+D197</f>
        <v>339</v>
      </c>
      <c r="D197" s="38">
        <f t="shared" si="17"/>
        <v>0</v>
      </c>
      <c r="E197" s="90"/>
      <c r="F197" s="90"/>
      <c r="G197" s="91"/>
      <c r="H197" s="90"/>
      <c r="I197" s="125"/>
      <c r="J197" s="125"/>
      <c r="K197" s="90" t="s">
        <v>20</v>
      </c>
      <c r="L197" s="90">
        <v>1</v>
      </c>
      <c r="M197" s="100"/>
      <c r="N197" s="124">
        <f t="shared" ref="N197:N200" si="21">L197*M197</f>
        <v>0</v>
      </c>
      <c r="O197" s="101"/>
      <c r="P197" s="90"/>
    </row>
    <row r="198" spans="1:16" hidden="1" x14ac:dyDescent="0.2">
      <c r="A198" s="125"/>
      <c r="B198" s="127"/>
      <c r="C198" s="90">
        <f t="shared" ref="C198" si="22">C197+D198</f>
        <v>339</v>
      </c>
      <c r="D198" s="38">
        <f t="shared" ref="D198:D201" si="23">IF(H198=H197,0,1)</f>
        <v>0</v>
      </c>
      <c r="E198" s="90"/>
      <c r="F198" s="90"/>
      <c r="G198" s="91"/>
      <c r="H198" s="89"/>
      <c r="I198" s="125"/>
      <c r="J198" s="125"/>
      <c r="K198" s="90" t="s">
        <v>20</v>
      </c>
      <c r="L198" s="90">
        <v>1</v>
      </c>
      <c r="M198" s="100"/>
      <c r="N198" s="124">
        <f t="shared" si="21"/>
        <v>0</v>
      </c>
      <c r="O198" s="101"/>
      <c r="P198" s="90"/>
    </row>
    <row r="199" spans="1:16" hidden="1" x14ac:dyDescent="0.2">
      <c r="A199" s="125"/>
      <c r="B199" s="127"/>
      <c r="C199" s="90">
        <f t="shared" ref="C199" si="24">C198+D199</f>
        <v>339</v>
      </c>
      <c r="D199" s="38">
        <f t="shared" si="23"/>
        <v>0</v>
      </c>
      <c r="E199" s="90"/>
      <c r="F199" s="90"/>
      <c r="G199" s="91"/>
      <c r="H199" s="89"/>
      <c r="I199" s="125"/>
      <c r="J199" s="125"/>
      <c r="K199" s="90" t="s">
        <v>20</v>
      </c>
      <c r="L199" s="90">
        <v>1</v>
      </c>
      <c r="M199" s="100"/>
      <c r="N199" s="124">
        <f t="shared" si="21"/>
        <v>0</v>
      </c>
      <c r="O199" s="101"/>
      <c r="P199" s="90"/>
    </row>
    <row r="200" spans="1:16" hidden="1" x14ac:dyDescent="0.2">
      <c r="A200" s="125"/>
      <c r="B200" s="127"/>
      <c r="C200" s="90">
        <f t="shared" ref="C200" si="25">C199+D200</f>
        <v>339</v>
      </c>
      <c r="D200" s="38">
        <f t="shared" si="23"/>
        <v>0</v>
      </c>
      <c r="E200" s="90"/>
      <c r="F200" s="90"/>
      <c r="G200" s="91"/>
      <c r="H200" s="90"/>
      <c r="I200" s="125"/>
      <c r="J200" s="125"/>
      <c r="K200" s="90" t="s">
        <v>20</v>
      </c>
      <c r="L200" s="90">
        <v>1</v>
      </c>
      <c r="M200" s="100"/>
      <c r="N200" s="100">
        <f t="shared" si="21"/>
        <v>0</v>
      </c>
      <c r="O200" s="101"/>
      <c r="P200" s="90"/>
    </row>
    <row r="201" spans="1:16" hidden="1" x14ac:dyDescent="0.2">
      <c r="A201" s="125"/>
      <c r="B201" s="127"/>
      <c r="C201" s="90">
        <f t="shared" ref="C201" si="26">C200+D201</f>
        <v>339</v>
      </c>
      <c r="D201" s="38">
        <f t="shared" si="23"/>
        <v>0</v>
      </c>
      <c r="E201" s="90"/>
      <c r="F201" s="90"/>
      <c r="G201" s="91"/>
      <c r="H201" s="90"/>
      <c r="I201" s="125"/>
      <c r="J201" s="125"/>
      <c r="K201" s="90" t="s">
        <v>20</v>
      </c>
      <c r="L201" s="90">
        <v>1</v>
      </c>
      <c r="M201" s="100"/>
      <c r="N201" s="100">
        <f t="shared" ref="N201" si="27">L201*M201</f>
        <v>0</v>
      </c>
      <c r="O201" s="101"/>
      <c r="P201" s="90"/>
    </row>
    <row r="202" spans="1:16" x14ac:dyDescent="0.25">
      <c r="A202" s="125"/>
      <c r="B202" s="127"/>
      <c r="C202" s="90"/>
      <c r="D202" s="90"/>
      <c r="E202" s="90"/>
      <c r="F202" s="90"/>
      <c r="G202" s="91"/>
      <c r="H202" s="90"/>
      <c r="I202" s="125"/>
      <c r="J202" s="125"/>
      <c r="K202" s="90"/>
      <c r="L202" s="90"/>
      <c r="M202" s="100"/>
      <c r="N202" s="100"/>
      <c r="O202" s="101"/>
      <c r="P202" s="90"/>
    </row>
    <row r="203" spans="1:16" x14ac:dyDescent="0.25">
      <c r="A203" s="125"/>
      <c r="B203" s="127"/>
      <c r="C203" s="90"/>
      <c r="D203" s="90"/>
      <c r="E203" s="90"/>
      <c r="F203" s="90"/>
      <c r="G203" s="91"/>
      <c r="H203" s="90"/>
      <c r="I203" s="125"/>
      <c r="J203" s="125"/>
      <c r="K203" s="90"/>
      <c r="L203" s="90"/>
      <c r="M203" s="100"/>
      <c r="N203" s="100"/>
      <c r="O203" s="101"/>
      <c r="P203" s="90"/>
    </row>
    <row r="204" spans="1:16" x14ac:dyDescent="0.25">
      <c r="A204" s="125"/>
      <c r="B204" s="127"/>
      <c r="C204" s="90"/>
      <c r="D204" s="90"/>
      <c r="E204" s="90"/>
      <c r="F204" s="90"/>
      <c r="G204" s="91"/>
      <c r="H204" s="90"/>
      <c r="I204" s="125"/>
      <c r="J204" s="125"/>
      <c r="K204" s="90"/>
      <c r="L204" s="90"/>
      <c r="M204" s="100"/>
      <c r="N204" s="100"/>
      <c r="O204" s="101"/>
      <c r="P204" s="90"/>
    </row>
    <row r="205" spans="1:16" x14ac:dyDescent="0.25">
      <c r="A205" s="125"/>
      <c r="B205" s="127"/>
      <c r="C205" s="90"/>
      <c r="D205" s="90"/>
      <c r="E205" s="90"/>
      <c r="F205" s="90"/>
      <c r="G205" s="91"/>
      <c r="H205" s="90"/>
      <c r="I205" s="125"/>
      <c r="J205" s="125"/>
      <c r="K205" s="90"/>
      <c r="L205" s="90"/>
      <c r="M205" s="100"/>
      <c r="N205" s="100"/>
      <c r="O205" s="101"/>
      <c r="P205" s="90"/>
    </row>
    <row r="206" spans="1:16" x14ac:dyDescent="0.25">
      <c r="A206" s="90"/>
      <c r="B206" s="67"/>
      <c r="C206" s="90"/>
      <c r="D206" s="90"/>
      <c r="E206" s="90"/>
      <c r="F206" s="90"/>
      <c r="G206" s="126"/>
      <c r="H206" s="89"/>
      <c r="I206" s="125"/>
      <c r="J206" s="125"/>
      <c r="K206" s="90"/>
      <c r="L206" s="90"/>
      <c r="M206" s="128"/>
      <c r="N206" s="100"/>
      <c r="O206" s="101"/>
      <c r="P206" s="90"/>
    </row>
    <row r="207" spans="1:16" x14ac:dyDescent="0.25">
      <c r="A207" s="90"/>
      <c r="B207" s="67"/>
      <c r="C207" s="90"/>
      <c r="D207" s="90"/>
      <c r="E207" s="90"/>
      <c r="F207" s="90"/>
      <c r="G207" s="126"/>
      <c r="H207" s="89"/>
      <c r="I207" s="125"/>
      <c r="J207" s="125"/>
      <c r="K207" s="90"/>
      <c r="L207" s="90"/>
      <c r="M207" s="128"/>
      <c r="N207" s="100"/>
      <c r="O207" s="101"/>
      <c r="P207" s="90"/>
    </row>
    <row r="208" spans="1:16" x14ac:dyDescent="0.25">
      <c r="A208" s="90"/>
      <c r="B208" s="67"/>
      <c r="C208" s="90"/>
      <c r="D208" s="90"/>
      <c r="E208" s="90"/>
      <c r="F208" s="90"/>
      <c r="G208" s="126"/>
      <c r="H208" s="89"/>
      <c r="I208" s="125"/>
      <c r="J208" s="125"/>
      <c r="K208" s="90"/>
      <c r="L208" s="90"/>
      <c r="M208" s="128"/>
      <c r="N208" s="100"/>
      <c r="O208" s="101"/>
      <c r="P208" s="90"/>
    </row>
    <row r="209" spans="1:16" x14ac:dyDescent="0.25">
      <c r="A209" s="90"/>
      <c r="B209" s="127"/>
      <c r="C209" s="90"/>
      <c r="D209" s="90"/>
      <c r="E209" s="90"/>
      <c r="F209" s="90"/>
      <c r="G209" s="91"/>
      <c r="H209" s="89"/>
      <c r="I209" s="125"/>
      <c r="J209" s="125"/>
      <c r="K209" s="90"/>
      <c r="L209" s="90"/>
      <c r="M209" s="100"/>
      <c r="N209" s="100"/>
      <c r="O209" s="101"/>
      <c r="P209" s="90"/>
    </row>
    <row r="210" spans="1:16" x14ac:dyDescent="0.25">
      <c r="A210" s="90"/>
      <c r="B210" s="127"/>
      <c r="C210" s="90"/>
      <c r="D210" s="90"/>
      <c r="E210" s="90"/>
      <c r="F210" s="90"/>
      <c r="G210" s="91"/>
      <c r="H210" s="89"/>
      <c r="I210" s="125"/>
      <c r="J210" s="125"/>
      <c r="K210" s="90"/>
      <c r="L210" s="90"/>
      <c r="M210" s="100"/>
      <c r="N210" s="100"/>
      <c r="O210" s="101"/>
      <c r="P210" s="90"/>
    </row>
    <row r="211" spans="1:16" x14ac:dyDescent="0.25">
      <c r="A211" s="90"/>
      <c r="B211" s="127"/>
      <c r="C211" s="90"/>
      <c r="D211" s="90"/>
      <c r="E211" s="90"/>
      <c r="F211" s="90"/>
      <c r="G211" s="91"/>
      <c r="H211" s="89"/>
      <c r="I211" s="125"/>
      <c r="J211" s="125"/>
      <c r="K211" s="90"/>
      <c r="L211" s="90"/>
      <c r="M211" s="100"/>
      <c r="N211" s="100"/>
      <c r="O211" s="101"/>
      <c r="P211" s="90"/>
    </row>
    <row r="212" spans="1:16" x14ac:dyDescent="0.25">
      <c r="A212" s="90"/>
      <c r="B212" s="127"/>
      <c r="C212" s="90"/>
      <c r="D212" s="90"/>
      <c r="E212" s="90"/>
      <c r="F212" s="90"/>
      <c r="G212" s="91"/>
      <c r="H212" s="89"/>
      <c r="I212" s="125"/>
      <c r="J212" s="125"/>
      <c r="K212" s="90"/>
      <c r="L212" s="90"/>
      <c r="M212" s="100"/>
      <c r="N212" s="100"/>
      <c r="O212" s="101"/>
      <c r="P212" s="90"/>
    </row>
    <row r="213" spans="1:16" x14ac:dyDescent="0.25">
      <c r="A213" s="90"/>
      <c r="B213" s="127"/>
      <c r="C213" s="90"/>
      <c r="D213" s="90"/>
      <c r="E213" s="90"/>
      <c r="F213" s="90"/>
      <c r="G213" s="91"/>
      <c r="H213" s="89"/>
      <c r="I213" s="125"/>
      <c r="J213" s="125"/>
      <c r="K213" s="90"/>
      <c r="L213" s="90"/>
      <c r="M213" s="100"/>
      <c r="N213" s="100"/>
      <c r="O213" s="101"/>
      <c r="P213" s="90"/>
    </row>
    <row r="214" spans="1:16" x14ac:dyDescent="0.25">
      <c r="A214" s="90"/>
      <c r="B214" s="127"/>
      <c r="C214" s="90"/>
      <c r="D214" s="90"/>
      <c r="E214" s="90"/>
      <c r="F214" s="90"/>
      <c r="G214" s="91"/>
      <c r="H214" s="89"/>
      <c r="I214" s="125"/>
      <c r="J214" s="125"/>
      <c r="K214" s="90"/>
      <c r="L214" s="90"/>
      <c r="M214" s="100"/>
      <c r="N214" s="100"/>
      <c r="O214" s="101"/>
      <c r="P214" s="90"/>
    </row>
    <row r="215" spans="1:16" x14ac:dyDescent="0.25">
      <c r="A215" s="90"/>
      <c r="B215" s="127"/>
      <c r="C215" s="90"/>
      <c r="D215" s="90"/>
      <c r="E215" s="90"/>
      <c r="F215" s="90"/>
      <c r="G215" s="91"/>
      <c r="H215" s="89"/>
      <c r="I215" s="125"/>
      <c r="J215" s="125"/>
      <c r="K215" s="90"/>
      <c r="L215" s="90"/>
      <c r="M215" s="100"/>
      <c r="N215" s="100"/>
      <c r="O215" s="101"/>
      <c r="P215" s="90"/>
    </row>
    <row r="216" spans="1:16" x14ac:dyDescent="0.25">
      <c r="A216" s="90"/>
      <c r="B216" s="127"/>
      <c r="C216" s="90"/>
      <c r="D216" s="90"/>
      <c r="E216" s="90"/>
      <c r="F216" s="90"/>
      <c r="G216" s="91"/>
      <c r="H216" s="89"/>
      <c r="I216" s="125"/>
      <c r="J216" s="125"/>
      <c r="K216" s="90"/>
      <c r="L216" s="90"/>
      <c r="M216" s="100"/>
      <c r="N216" s="100"/>
      <c r="O216" s="101"/>
      <c r="P216" s="90"/>
    </row>
    <row r="217" spans="1:16" x14ac:dyDescent="0.25">
      <c r="A217" s="90"/>
      <c r="B217" s="127"/>
      <c r="C217" s="90"/>
      <c r="D217" s="90"/>
      <c r="E217" s="90"/>
      <c r="F217" s="90"/>
      <c r="G217" s="91"/>
      <c r="H217" s="89"/>
      <c r="I217" s="125"/>
      <c r="J217" s="125"/>
      <c r="K217" s="90"/>
      <c r="L217" s="90"/>
      <c r="M217" s="100"/>
      <c r="N217" s="100"/>
      <c r="O217" s="101"/>
      <c r="P217" s="90"/>
    </row>
    <row r="218" spans="1:16" x14ac:dyDescent="0.25">
      <c r="A218" s="90"/>
      <c r="B218" s="127"/>
      <c r="C218" s="90"/>
      <c r="D218" s="90"/>
      <c r="E218" s="90"/>
      <c r="F218" s="90"/>
      <c r="G218" s="91"/>
      <c r="H218" s="89"/>
      <c r="I218" s="125"/>
      <c r="J218" s="125"/>
      <c r="K218" s="90"/>
      <c r="L218" s="90"/>
      <c r="M218" s="100"/>
      <c r="N218" s="100"/>
      <c r="O218" s="101"/>
      <c r="P218" s="90"/>
    </row>
    <row r="219" spans="1:16" x14ac:dyDescent="0.25">
      <c r="A219" s="90"/>
      <c r="B219" s="127"/>
      <c r="C219" s="90"/>
      <c r="D219" s="90"/>
      <c r="E219" s="90"/>
      <c r="F219" s="90"/>
      <c r="G219" s="91"/>
      <c r="H219" s="89"/>
      <c r="I219" s="125"/>
      <c r="J219" s="125"/>
      <c r="K219" s="90"/>
      <c r="L219" s="90"/>
      <c r="M219" s="100"/>
      <c r="N219" s="100"/>
      <c r="O219" s="101"/>
      <c r="P219" s="90"/>
    </row>
    <row r="220" spans="1:16" x14ac:dyDescent="0.25">
      <c r="A220" s="90"/>
      <c r="B220" s="127"/>
      <c r="C220" s="90"/>
      <c r="D220" s="90"/>
      <c r="E220" s="90"/>
      <c r="F220" s="90"/>
      <c r="G220" s="91"/>
      <c r="H220" s="89"/>
      <c r="I220" s="125"/>
      <c r="J220" s="125"/>
      <c r="K220" s="90"/>
      <c r="L220" s="90"/>
      <c r="M220" s="100"/>
      <c r="N220" s="100"/>
      <c r="O220" s="101"/>
      <c r="P220" s="90"/>
    </row>
    <row r="221" spans="1:16" x14ac:dyDescent="0.25">
      <c r="A221" s="90"/>
      <c r="B221" s="127"/>
      <c r="C221" s="90"/>
      <c r="D221" s="90"/>
      <c r="E221" s="90"/>
      <c r="F221" s="90"/>
      <c r="G221" s="91"/>
      <c r="H221" s="89"/>
      <c r="I221" s="125"/>
      <c r="J221" s="125"/>
      <c r="K221" s="90"/>
      <c r="L221" s="90"/>
      <c r="M221" s="100"/>
      <c r="N221" s="100"/>
      <c r="O221" s="101"/>
      <c r="P221" s="90"/>
    </row>
    <row r="222" spans="1:16" x14ac:dyDescent="0.25">
      <c r="A222" s="90"/>
      <c r="B222" s="127"/>
      <c r="C222" s="90"/>
      <c r="D222" s="90"/>
      <c r="E222" s="90"/>
      <c r="F222" s="90"/>
      <c r="G222" s="91"/>
      <c r="H222" s="89"/>
      <c r="I222" s="125"/>
      <c r="J222" s="125"/>
      <c r="K222" s="90"/>
      <c r="L222" s="90"/>
      <c r="M222" s="100"/>
      <c r="N222" s="100"/>
      <c r="O222" s="101"/>
      <c r="P222" s="90"/>
    </row>
    <row r="223" spans="1:16" x14ac:dyDescent="0.25">
      <c r="A223" s="90"/>
      <c r="B223" s="127"/>
      <c r="C223" s="90"/>
      <c r="D223" s="90"/>
      <c r="E223" s="90"/>
      <c r="F223" s="90"/>
      <c r="G223" s="91"/>
      <c r="H223" s="89"/>
      <c r="I223" s="125"/>
      <c r="J223" s="125"/>
      <c r="K223" s="90"/>
      <c r="L223" s="90"/>
      <c r="M223" s="100"/>
      <c r="N223" s="100"/>
      <c r="O223" s="101"/>
      <c r="P223" s="90"/>
    </row>
    <row r="224" spans="1:16" x14ac:dyDescent="0.25">
      <c r="A224" s="90"/>
      <c r="B224" s="127"/>
      <c r="C224" s="90"/>
      <c r="D224" s="90"/>
      <c r="E224" s="90"/>
      <c r="F224" s="90"/>
      <c r="G224" s="91"/>
      <c r="H224" s="89"/>
      <c r="I224" s="125"/>
      <c r="J224" s="125"/>
      <c r="K224" s="90"/>
      <c r="L224" s="90"/>
      <c r="M224" s="100"/>
      <c r="N224" s="100"/>
      <c r="O224" s="101"/>
      <c r="P224" s="90"/>
    </row>
    <row r="225" spans="1:16" x14ac:dyDescent="0.25">
      <c r="A225" s="90"/>
      <c r="B225" s="127"/>
      <c r="C225" s="90"/>
      <c r="D225" s="90"/>
      <c r="E225" s="90"/>
      <c r="F225" s="90"/>
      <c r="G225" s="91"/>
      <c r="H225" s="89"/>
      <c r="I225" s="125"/>
      <c r="J225" s="125"/>
      <c r="K225" s="90"/>
      <c r="L225" s="90"/>
      <c r="M225" s="100"/>
      <c r="N225" s="100"/>
      <c r="O225" s="101"/>
      <c r="P225" s="90"/>
    </row>
    <row r="226" spans="1:16" x14ac:dyDescent="0.25">
      <c r="A226" s="90"/>
      <c r="B226" s="127"/>
      <c r="C226" s="90"/>
      <c r="D226" s="90"/>
      <c r="E226" s="90"/>
      <c r="F226" s="90"/>
      <c r="G226" s="91"/>
      <c r="H226" s="89"/>
      <c r="I226" s="125"/>
      <c r="J226" s="125"/>
      <c r="K226" s="90"/>
      <c r="L226" s="90"/>
      <c r="M226" s="100"/>
      <c r="N226" s="100"/>
      <c r="O226" s="101"/>
      <c r="P226" s="90"/>
    </row>
    <row r="227" spans="1:16" x14ac:dyDescent="0.25">
      <c r="A227" s="90"/>
      <c r="B227" s="127"/>
      <c r="C227" s="90"/>
      <c r="D227" s="90"/>
      <c r="E227" s="90"/>
      <c r="F227" s="90"/>
      <c r="G227" s="91"/>
      <c r="H227" s="89"/>
      <c r="I227" s="125"/>
      <c r="J227" s="125"/>
      <c r="K227" s="90"/>
      <c r="L227" s="90"/>
      <c r="M227" s="100"/>
      <c r="N227" s="100"/>
      <c r="O227" s="101"/>
      <c r="P227" s="90"/>
    </row>
    <row r="228" spans="1:16" x14ac:dyDescent="0.25">
      <c r="A228" s="90"/>
      <c r="B228" s="127"/>
      <c r="C228" s="90"/>
      <c r="D228" s="90"/>
      <c r="E228" s="90"/>
      <c r="F228" s="90"/>
      <c r="G228" s="91"/>
      <c r="H228" s="89"/>
      <c r="I228" s="125"/>
      <c r="J228" s="125"/>
      <c r="K228" s="90"/>
      <c r="L228" s="90"/>
      <c r="M228" s="100"/>
      <c r="N228" s="100"/>
      <c r="O228" s="101"/>
      <c r="P228" s="90"/>
    </row>
    <row r="229" spans="1:16" x14ac:dyDescent="0.25">
      <c r="A229" s="90"/>
      <c r="B229" s="127"/>
      <c r="C229" s="90"/>
      <c r="D229" s="90"/>
      <c r="E229" s="90"/>
      <c r="F229" s="90"/>
      <c r="G229" s="91"/>
      <c r="H229" s="89"/>
      <c r="I229" s="125"/>
      <c r="J229" s="125"/>
      <c r="K229" s="90"/>
      <c r="L229" s="90"/>
      <c r="M229" s="100"/>
      <c r="N229" s="100"/>
      <c r="O229" s="101"/>
      <c r="P229" s="90"/>
    </row>
    <row r="230" spans="1:16" x14ac:dyDescent="0.25">
      <c r="A230" s="90"/>
      <c r="B230" s="127"/>
      <c r="C230" s="90"/>
      <c r="D230" s="90"/>
      <c r="E230" s="90"/>
      <c r="F230" s="90"/>
      <c r="G230" s="91"/>
      <c r="H230" s="89"/>
      <c r="I230" s="125"/>
      <c r="J230" s="125"/>
      <c r="K230" s="90"/>
      <c r="L230" s="90"/>
      <c r="M230" s="100"/>
      <c r="N230" s="100"/>
      <c r="O230" s="101"/>
      <c r="P230" s="90"/>
    </row>
    <row r="231" spans="1:16" x14ac:dyDescent="0.25">
      <c r="A231" s="90"/>
      <c r="B231" s="127"/>
      <c r="C231" s="90"/>
      <c r="D231" s="90"/>
      <c r="E231" s="90"/>
      <c r="F231" s="90"/>
      <c r="G231" s="91"/>
      <c r="H231" s="89"/>
      <c r="I231" s="125"/>
      <c r="J231" s="125"/>
      <c r="K231" s="90"/>
      <c r="L231" s="90"/>
      <c r="M231" s="100"/>
      <c r="N231" s="100"/>
      <c r="O231" s="101"/>
      <c r="P231" s="90"/>
    </row>
    <row r="232" spans="1:16" x14ac:dyDescent="0.25">
      <c r="A232" s="90"/>
      <c r="B232" s="127"/>
      <c r="C232" s="90"/>
      <c r="D232" s="90"/>
      <c r="E232" s="90"/>
      <c r="F232" s="90"/>
      <c r="G232" s="91"/>
      <c r="H232" s="89"/>
      <c r="I232" s="125"/>
      <c r="J232" s="125"/>
      <c r="K232" s="90"/>
      <c r="L232" s="90"/>
      <c r="M232" s="100"/>
      <c r="N232" s="100"/>
      <c r="O232" s="101"/>
      <c r="P232" s="90"/>
    </row>
    <row r="233" spans="1:16" x14ac:dyDescent="0.25">
      <c r="A233" s="90"/>
      <c r="B233" s="127"/>
      <c r="C233" s="90"/>
      <c r="D233" s="90"/>
      <c r="E233" s="90"/>
      <c r="F233" s="90"/>
      <c r="G233" s="91"/>
      <c r="H233" s="89"/>
      <c r="I233" s="125"/>
      <c r="J233" s="125"/>
      <c r="K233" s="90"/>
      <c r="L233" s="90"/>
      <c r="M233" s="100"/>
      <c r="N233" s="100"/>
      <c r="O233" s="101"/>
      <c r="P233" s="90"/>
    </row>
    <row r="234" spans="1:16" x14ac:dyDescent="0.25">
      <c r="A234" s="90"/>
      <c r="B234" s="127"/>
      <c r="C234" s="90"/>
      <c r="D234" s="90"/>
      <c r="E234" s="90"/>
      <c r="F234" s="90"/>
      <c r="G234" s="91"/>
      <c r="H234" s="89"/>
      <c r="I234" s="125"/>
      <c r="J234" s="125"/>
      <c r="K234" s="90"/>
      <c r="L234" s="90"/>
      <c r="M234" s="100"/>
      <c r="N234" s="100"/>
      <c r="O234" s="101"/>
      <c r="P234" s="90"/>
    </row>
    <row r="235" spans="1:16" x14ac:dyDescent="0.25">
      <c r="A235" s="90"/>
      <c r="B235" s="127"/>
      <c r="C235" s="90"/>
      <c r="D235" s="90"/>
      <c r="E235" s="90"/>
      <c r="F235" s="90"/>
      <c r="G235" s="91"/>
      <c r="H235" s="89"/>
      <c r="I235" s="125"/>
      <c r="J235" s="125"/>
      <c r="K235" s="90"/>
      <c r="L235" s="90"/>
      <c r="M235" s="100"/>
      <c r="N235" s="100"/>
      <c r="O235" s="101"/>
      <c r="P235" s="90"/>
    </row>
    <row r="236" spans="1:16" x14ac:dyDescent="0.25">
      <c r="A236" s="90"/>
      <c r="B236" s="127"/>
      <c r="C236" s="90"/>
      <c r="D236" s="90"/>
      <c r="E236" s="90"/>
      <c r="F236" s="90"/>
      <c r="G236" s="91"/>
      <c r="H236" s="89"/>
      <c r="I236" s="125"/>
      <c r="J236" s="125"/>
      <c r="K236" s="90"/>
      <c r="L236" s="90"/>
      <c r="M236" s="100"/>
      <c r="N236" s="100"/>
      <c r="O236" s="101"/>
      <c r="P236" s="90"/>
    </row>
    <row r="237" spans="1:16" x14ac:dyDescent="0.25">
      <c r="A237" s="90"/>
      <c r="B237" s="127"/>
      <c r="C237" s="90"/>
      <c r="D237" s="90"/>
      <c r="E237" s="90"/>
      <c r="F237" s="90"/>
      <c r="G237" s="91"/>
      <c r="H237" s="89"/>
      <c r="I237" s="125"/>
      <c r="J237" s="125"/>
      <c r="K237" s="90"/>
      <c r="L237" s="90"/>
      <c r="M237" s="100"/>
      <c r="N237" s="100"/>
      <c r="O237" s="101"/>
      <c r="P237" s="90"/>
    </row>
    <row r="238" spans="1:16" x14ac:dyDescent="0.25">
      <c r="A238" s="90"/>
      <c r="B238" s="127"/>
      <c r="C238" s="90"/>
      <c r="D238" s="90"/>
      <c r="E238" s="90"/>
      <c r="F238" s="90"/>
      <c r="G238" s="91"/>
      <c r="H238" s="89"/>
      <c r="I238" s="125"/>
      <c r="J238" s="125"/>
      <c r="K238" s="90"/>
      <c r="L238" s="90"/>
      <c r="M238" s="100"/>
      <c r="N238" s="100"/>
      <c r="O238" s="101"/>
      <c r="P238" s="90"/>
    </row>
    <row r="239" spans="1:16" x14ac:dyDescent="0.25">
      <c r="A239" s="90"/>
      <c r="B239" s="127"/>
      <c r="C239" s="90"/>
      <c r="D239" s="90"/>
      <c r="E239" s="90"/>
      <c r="F239" s="90"/>
      <c r="G239" s="91"/>
      <c r="H239" s="89"/>
      <c r="I239" s="125"/>
      <c r="J239" s="125"/>
      <c r="K239" s="90"/>
      <c r="L239" s="90"/>
      <c r="M239" s="100"/>
      <c r="N239" s="100"/>
      <c r="O239" s="101"/>
      <c r="P239" s="90"/>
    </row>
    <row r="240" spans="1:16" x14ac:dyDescent="0.25">
      <c r="A240" s="90"/>
      <c r="B240" s="127"/>
      <c r="C240" s="90"/>
      <c r="D240" s="90"/>
      <c r="E240" s="90"/>
      <c r="F240" s="90"/>
      <c r="G240" s="91"/>
      <c r="H240" s="89"/>
      <c r="I240" s="125"/>
      <c r="J240" s="125"/>
      <c r="K240" s="90"/>
      <c r="L240" s="90"/>
      <c r="M240" s="100"/>
      <c r="N240" s="100"/>
      <c r="O240" s="101"/>
      <c r="P240" s="90"/>
    </row>
    <row r="241" spans="1:16" x14ac:dyDescent="0.25">
      <c r="A241" s="90"/>
      <c r="B241" s="127"/>
      <c r="C241" s="90"/>
      <c r="D241" s="90"/>
      <c r="E241" s="90"/>
      <c r="F241" s="90"/>
      <c r="G241" s="91"/>
      <c r="H241" s="89"/>
      <c r="I241" s="125"/>
      <c r="J241" s="125"/>
      <c r="K241" s="90"/>
      <c r="L241" s="90"/>
      <c r="M241" s="100"/>
      <c r="N241" s="100"/>
      <c r="O241" s="101"/>
      <c r="P241" s="90"/>
    </row>
    <row r="242" spans="1:16" x14ac:dyDescent="0.25">
      <c r="A242" s="90"/>
      <c r="B242" s="127"/>
      <c r="C242" s="90"/>
      <c r="D242" s="90"/>
      <c r="E242" s="90"/>
      <c r="F242" s="90"/>
      <c r="G242" s="91"/>
      <c r="H242" s="89"/>
      <c r="I242" s="125"/>
      <c r="J242" s="125"/>
      <c r="K242" s="90"/>
      <c r="L242" s="90"/>
      <c r="M242" s="100"/>
      <c r="N242" s="100"/>
      <c r="O242" s="101"/>
      <c r="P242" s="90"/>
    </row>
    <row r="243" spans="1:16" x14ac:dyDescent="0.25">
      <c r="A243" s="90"/>
      <c r="B243" s="127"/>
      <c r="C243" s="90"/>
      <c r="D243" s="90"/>
      <c r="E243" s="90"/>
      <c r="F243" s="90"/>
      <c r="G243" s="91"/>
      <c r="H243" s="89"/>
      <c r="I243" s="125"/>
      <c r="J243" s="125"/>
      <c r="K243" s="90"/>
      <c r="L243" s="90"/>
      <c r="M243" s="100"/>
      <c r="N243" s="100"/>
      <c r="O243" s="101"/>
      <c r="P243" s="90"/>
    </row>
    <row r="244" spans="1:16" x14ac:dyDescent="0.25">
      <c r="A244" s="90"/>
      <c r="B244" s="127"/>
      <c r="C244" s="90"/>
      <c r="D244" s="90"/>
      <c r="E244" s="90"/>
      <c r="F244" s="90"/>
      <c r="G244" s="91"/>
      <c r="H244" s="89"/>
      <c r="I244" s="125"/>
      <c r="J244" s="125"/>
      <c r="K244" s="90"/>
      <c r="L244" s="90"/>
      <c r="M244" s="100"/>
      <c r="N244" s="100"/>
      <c r="O244" s="101"/>
      <c r="P244" s="90"/>
    </row>
    <row r="245" spans="1:16" x14ac:dyDescent="0.25">
      <c r="A245" s="90"/>
      <c r="B245" s="127"/>
      <c r="C245" s="90"/>
      <c r="D245" s="90"/>
      <c r="E245" s="90"/>
      <c r="F245" s="90"/>
      <c r="G245" s="91"/>
      <c r="H245" s="89"/>
      <c r="I245" s="125"/>
      <c r="J245" s="125"/>
      <c r="K245" s="90"/>
      <c r="L245" s="90"/>
      <c r="M245" s="100"/>
      <c r="N245" s="100"/>
      <c r="O245" s="101"/>
      <c r="P245" s="90"/>
    </row>
    <row r="246" spans="1:16" x14ac:dyDescent="0.25">
      <c r="A246" s="90"/>
      <c r="B246" s="127"/>
      <c r="C246" s="90"/>
      <c r="D246" s="90"/>
      <c r="E246" s="90"/>
      <c r="F246" s="90"/>
      <c r="G246" s="91"/>
      <c r="H246" s="89"/>
      <c r="I246" s="125"/>
      <c r="J246" s="125"/>
      <c r="K246" s="90"/>
      <c r="L246" s="90"/>
      <c r="M246" s="100"/>
      <c r="N246" s="100"/>
      <c r="O246" s="101"/>
      <c r="P246" s="90"/>
    </row>
    <row r="247" spans="1:16" x14ac:dyDescent="0.25">
      <c r="A247" s="90"/>
      <c r="B247" s="127"/>
      <c r="C247" s="90"/>
      <c r="D247" s="90"/>
      <c r="E247" s="90"/>
      <c r="F247" s="90"/>
      <c r="G247" s="91"/>
      <c r="H247" s="89"/>
      <c r="I247" s="125"/>
      <c r="J247" s="125"/>
      <c r="K247" s="90"/>
      <c r="L247" s="90"/>
      <c r="M247" s="100"/>
      <c r="N247" s="100"/>
      <c r="O247" s="101"/>
      <c r="P247" s="90"/>
    </row>
    <row r="248" spans="1:16" x14ac:dyDescent="0.25">
      <c r="A248" s="90"/>
      <c r="B248" s="127"/>
      <c r="C248" s="90"/>
      <c r="D248" s="90"/>
      <c r="E248" s="90"/>
      <c r="F248" s="90"/>
      <c r="G248" s="91"/>
      <c r="H248" s="89"/>
      <c r="I248" s="125"/>
      <c r="J248" s="125"/>
      <c r="K248" s="90"/>
      <c r="L248" s="90"/>
      <c r="M248" s="100"/>
      <c r="N248" s="100"/>
      <c r="O248" s="101"/>
      <c r="P248" s="90"/>
    </row>
    <row r="249" spans="1:16" x14ac:dyDescent="0.25">
      <c r="A249" s="90"/>
      <c r="B249" s="127"/>
      <c r="C249" s="90"/>
      <c r="D249" s="90"/>
      <c r="E249" s="90"/>
      <c r="F249" s="90"/>
      <c r="G249" s="91"/>
      <c r="H249" s="89"/>
      <c r="I249" s="125"/>
      <c r="J249" s="125"/>
      <c r="K249" s="90"/>
      <c r="L249" s="90"/>
      <c r="M249" s="100"/>
      <c r="N249" s="100"/>
      <c r="O249" s="101"/>
      <c r="P249" s="90"/>
    </row>
    <row r="250" spans="1:16" x14ac:dyDescent="0.25">
      <c r="A250" s="90"/>
      <c r="B250" s="127"/>
      <c r="C250" s="90"/>
      <c r="D250" s="90"/>
      <c r="E250" s="90"/>
      <c r="F250" s="90"/>
      <c r="G250" s="91"/>
      <c r="H250" s="89"/>
      <c r="I250" s="125"/>
      <c r="J250" s="125"/>
      <c r="K250" s="90"/>
      <c r="L250" s="90"/>
      <c r="M250" s="100"/>
      <c r="N250" s="100"/>
      <c r="O250" s="101"/>
      <c r="P250" s="90"/>
    </row>
    <row r="251" spans="1:16" x14ac:dyDescent="0.25">
      <c r="A251" s="90"/>
      <c r="B251" s="127"/>
      <c r="C251" s="90"/>
      <c r="D251" s="90"/>
      <c r="E251" s="90"/>
      <c r="F251" s="90"/>
      <c r="G251" s="91"/>
      <c r="H251" s="89"/>
      <c r="I251" s="125"/>
      <c r="J251" s="125"/>
      <c r="K251" s="90"/>
      <c r="L251" s="90"/>
      <c r="M251" s="100"/>
      <c r="N251" s="100"/>
      <c r="O251" s="101"/>
      <c r="P251" s="90"/>
    </row>
    <row r="252" spans="1:16" x14ac:dyDescent="0.25">
      <c r="A252" s="90"/>
      <c r="B252" s="127"/>
      <c r="C252" s="90"/>
      <c r="D252" s="90"/>
      <c r="E252" s="90"/>
      <c r="F252" s="90"/>
      <c r="G252" s="91"/>
      <c r="H252" s="89"/>
      <c r="I252" s="125"/>
      <c r="J252" s="125"/>
      <c r="K252" s="90"/>
      <c r="L252" s="90"/>
      <c r="M252" s="100"/>
      <c r="N252" s="100"/>
      <c r="O252" s="101"/>
      <c r="P252" s="90"/>
    </row>
    <row r="253" spans="1:16" x14ac:dyDescent="0.25">
      <c r="A253" s="90"/>
      <c r="B253" s="127"/>
      <c r="C253" s="90"/>
      <c r="D253" s="90"/>
      <c r="E253" s="90"/>
      <c r="F253" s="90"/>
      <c r="G253" s="91"/>
      <c r="H253" s="89"/>
      <c r="I253" s="125"/>
      <c r="J253" s="125"/>
      <c r="K253" s="90"/>
      <c r="L253" s="90"/>
      <c r="M253" s="100"/>
      <c r="N253" s="100"/>
      <c r="O253" s="101"/>
      <c r="P253" s="90"/>
    </row>
    <row r="254" spans="1:16" x14ac:dyDescent="0.25">
      <c r="A254" s="90"/>
      <c r="B254" s="127"/>
      <c r="C254" s="90"/>
      <c r="D254" s="90"/>
      <c r="E254" s="90"/>
      <c r="F254" s="90"/>
      <c r="G254" s="91"/>
      <c r="H254" s="89"/>
      <c r="I254" s="125"/>
      <c r="J254" s="125"/>
      <c r="K254" s="90"/>
      <c r="L254" s="90"/>
      <c r="M254" s="100"/>
      <c r="N254" s="100"/>
      <c r="O254" s="101"/>
      <c r="P254" s="90"/>
    </row>
    <row r="255" spans="1:16" x14ac:dyDescent="0.25">
      <c r="A255" s="90"/>
      <c r="B255" s="127"/>
      <c r="C255" s="90"/>
      <c r="D255" s="90"/>
      <c r="E255" s="90"/>
      <c r="F255" s="90"/>
      <c r="G255" s="91"/>
      <c r="H255" s="89"/>
      <c r="I255" s="125"/>
      <c r="J255" s="125"/>
      <c r="K255" s="90"/>
      <c r="L255" s="90"/>
      <c r="M255" s="100"/>
      <c r="N255" s="100"/>
      <c r="O255" s="101"/>
      <c r="P255" s="90"/>
    </row>
    <row r="256" spans="1:16" x14ac:dyDescent="0.25">
      <c r="A256" s="90"/>
      <c r="B256" s="127"/>
      <c r="C256" s="90"/>
      <c r="D256" s="90"/>
      <c r="E256" s="90"/>
      <c r="F256" s="90"/>
      <c r="G256" s="91"/>
      <c r="H256" s="89"/>
      <c r="I256" s="125"/>
      <c r="J256" s="125"/>
      <c r="K256" s="90"/>
      <c r="L256" s="90"/>
      <c r="M256" s="100"/>
      <c r="N256" s="100"/>
      <c r="O256" s="101"/>
      <c r="P256" s="90"/>
    </row>
    <row r="257" spans="1:16" x14ac:dyDescent="0.25">
      <c r="A257" s="90"/>
      <c r="B257" s="127"/>
      <c r="C257" s="90"/>
      <c r="D257" s="90"/>
      <c r="E257" s="90"/>
      <c r="F257" s="90"/>
      <c r="G257" s="91"/>
      <c r="H257" s="89"/>
      <c r="I257" s="125"/>
      <c r="J257" s="125"/>
      <c r="K257" s="90"/>
      <c r="L257" s="90"/>
      <c r="M257" s="100"/>
      <c r="N257" s="100"/>
      <c r="O257" s="101"/>
      <c r="P257" s="90"/>
    </row>
    <row r="258" spans="1:16" x14ac:dyDescent="0.25">
      <c r="A258" s="90"/>
      <c r="B258" s="127"/>
      <c r="C258" s="90"/>
      <c r="D258" s="90"/>
      <c r="E258" s="90"/>
      <c r="F258" s="90"/>
      <c r="G258" s="91"/>
      <c r="H258" s="89"/>
      <c r="I258" s="125"/>
      <c r="J258" s="125"/>
      <c r="K258" s="90"/>
      <c r="L258" s="90"/>
      <c r="M258" s="100"/>
      <c r="N258" s="100"/>
      <c r="O258" s="101"/>
      <c r="P258" s="90"/>
    </row>
    <row r="259" spans="1:16" x14ac:dyDescent="0.25">
      <c r="A259" s="90"/>
      <c r="B259" s="127"/>
      <c r="C259" s="90"/>
      <c r="D259" s="90"/>
      <c r="E259" s="90"/>
      <c r="F259" s="90"/>
      <c r="G259" s="91"/>
      <c r="H259" s="89"/>
      <c r="I259" s="125"/>
      <c r="J259" s="125"/>
      <c r="K259" s="90"/>
      <c r="L259" s="90"/>
      <c r="M259" s="100"/>
      <c r="N259" s="100"/>
      <c r="O259" s="101"/>
      <c r="P259" s="90"/>
    </row>
    <row r="260" spans="1:16" x14ac:dyDescent="0.25">
      <c r="A260" s="90"/>
      <c r="B260" s="127"/>
      <c r="C260" s="90"/>
      <c r="D260" s="90"/>
      <c r="E260" s="90"/>
      <c r="F260" s="90"/>
      <c r="G260" s="91"/>
      <c r="H260" s="89"/>
      <c r="I260" s="125"/>
      <c r="J260" s="125"/>
      <c r="K260" s="90"/>
      <c r="L260" s="90"/>
      <c r="M260" s="100"/>
      <c r="N260" s="100"/>
      <c r="O260" s="101"/>
      <c r="P260" s="90"/>
    </row>
    <row r="261" spans="1:16" x14ac:dyDescent="0.25">
      <c r="A261" s="90"/>
      <c r="B261" s="127"/>
      <c r="C261" s="90"/>
      <c r="D261" s="90"/>
      <c r="E261" s="90"/>
      <c r="F261" s="90"/>
      <c r="G261" s="91"/>
      <c r="H261" s="89"/>
      <c r="I261" s="125"/>
      <c r="J261" s="125"/>
      <c r="K261" s="90"/>
      <c r="L261" s="90"/>
      <c r="M261" s="100"/>
      <c r="N261" s="100"/>
      <c r="O261" s="101"/>
      <c r="P261" s="90"/>
    </row>
    <row r="262" spans="1:16" x14ac:dyDescent="0.25">
      <c r="A262" s="90"/>
      <c r="B262" s="127"/>
      <c r="C262" s="90"/>
      <c r="D262" s="90"/>
      <c r="E262" s="90"/>
      <c r="F262" s="90"/>
      <c r="G262" s="91"/>
      <c r="H262" s="89"/>
      <c r="I262" s="125"/>
      <c r="J262" s="125"/>
      <c r="K262" s="90"/>
      <c r="L262" s="90"/>
      <c r="M262" s="100"/>
      <c r="N262" s="100"/>
      <c r="O262" s="101"/>
      <c r="P262" s="90"/>
    </row>
    <row r="263" spans="1:16" x14ac:dyDescent="0.25">
      <c r="A263" s="90"/>
      <c r="B263" s="127"/>
      <c r="C263" s="90"/>
      <c r="D263" s="90"/>
      <c r="E263" s="90"/>
      <c r="F263" s="90"/>
      <c r="G263" s="91"/>
      <c r="H263" s="89"/>
      <c r="I263" s="125"/>
      <c r="J263" s="125"/>
      <c r="K263" s="90"/>
      <c r="L263" s="90"/>
      <c r="M263" s="100"/>
      <c r="N263" s="100"/>
      <c r="O263" s="101"/>
      <c r="P263" s="90"/>
    </row>
    <row r="264" spans="1:16" x14ac:dyDescent="0.25">
      <c r="A264" s="90"/>
      <c r="B264" s="127"/>
      <c r="C264" s="90"/>
      <c r="D264" s="90"/>
      <c r="E264" s="90"/>
      <c r="F264" s="90"/>
      <c r="G264" s="91"/>
      <c r="H264" s="89"/>
      <c r="I264" s="125"/>
      <c r="J264" s="125"/>
      <c r="K264" s="90"/>
      <c r="L264" s="90"/>
      <c r="M264" s="100"/>
      <c r="N264" s="100"/>
      <c r="O264" s="101"/>
      <c r="P264" s="90"/>
    </row>
    <row r="265" spans="1:16" x14ac:dyDescent="0.25">
      <c r="A265" s="90"/>
      <c r="B265" s="127"/>
      <c r="C265" s="90"/>
      <c r="D265" s="90"/>
      <c r="E265" s="90"/>
      <c r="F265" s="90"/>
      <c r="G265" s="91"/>
      <c r="H265" s="89"/>
      <c r="I265" s="125"/>
      <c r="J265" s="125"/>
      <c r="K265" s="90"/>
      <c r="L265" s="90"/>
      <c r="M265" s="100"/>
      <c r="N265" s="100"/>
      <c r="O265" s="101"/>
      <c r="P265" s="90"/>
    </row>
    <row r="266" spans="1:16" x14ac:dyDescent="0.25">
      <c r="A266" s="90"/>
      <c r="B266" s="127"/>
      <c r="C266" s="90"/>
      <c r="D266" s="90"/>
      <c r="E266" s="90"/>
      <c r="F266" s="90"/>
      <c r="G266" s="91"/>
      <c r="H266" s="89"/>
      <c r="I266" s="125"/>
      <c r="J266" s="125"/>
      <c r="K266" s="90"/>
      <c r="L266" s="90"/>
      <c r="M266" s="100"/>
      <c r="N266" s="100"/>
      <c r="O266" s="101"/>
      <c r="P266" s="90"/>
    </row>
    <row r="267" spans="1:16" x14ac:dyDescent="0.25">
      <c r="A267" s="90"/>
      <c r="B267" s="127"/>
      <c r="C267" s="90"/>
      <c r="D267" s="90"/>
      <c r="E267" s="90"/>
      <c r="F267" s="90"/>
      <c r="G267" s="91"/>
      <c r="H267" s="89"/>
      <c r="I267" s="125"/>
      <c r="J267" s="125"/>
      <c r="K267" s="90"/>
      <c r="L267" s="90"/>
      <c r="M267" s="100"/>
      <c r="N267" s="100"/>
      <c r="O267" s="101"/>
      <c r="P267" s="90"/>
    </row>
    <row r="268" spans="1:16" x14ac:dyDescent="0.25">
      <c r="A268" s="90"/>
      <c r="B268" s="127"/>
      <c r="C268" s="90"/>
      <c r="D268" s="90"/>
      <c r="E268" s="90"/>
      <c r="F268" s="90"/>
      <c r="G268" s="91"/>
      <c r="H268" s="89"/>
      <c r="I268" s="125"/>
      <c r="J268" s="125"/>
      <c r="K268" s="90"/>
      <c r="L268" s="90"/>
      <c r="M268" s="100"/>
      <c r="N268" s="100"/>
      <c r="O268" s="101"/>
      <c r="P268" s="90"/>
    </row>
    <row r="269" spans="1:16" x14ac:dyDescent="0.25">
      <c r="A269" s="90"/>
      <c r="B269" s="127"/>
      <c r="C269" s="90"/>
      <c r="D269" s="90"/>
      <c r="E269" s="90"/>
      <c r="F269" s="90"/>
      <c r="G269" s="91"/>
      <c r="H269" s="89"/>
      <c r="I269" s="125"/>
      <c r="J269" s="125"/>
      <c r="K269" s="90"/>
      <c r="L269" s="90"/>
      <c r="M269" s="100"/>
      <c r="N269" s="100"/>
      <c r="O269" s="101"/>
      <c r="P269" s="90"/>
    </row>
    <row r="270" spans="1:16" x14ac:dyDescent="0.25">
      <c r="A270" s="90"/>
      <c r="B270" s="127"/>
      <c r="C270" s="90"/>
      <c r="D270" s="90"/>
      <c r="E270" s="90"/>
      <c r="F270" s="90"/>
      <c r="G270" s="91"/>
      <c r="H270" s="89"/>
      <c r="I270" s="125"/>
      <c r="J270" s="125"/>
      <c r="K270" s="90"/>
      <c r="L270" s="90"/>
      <c r="M270" s="100"/>
      <c r="N270" s="100"/>
      <c r="O270" s="101"/>
      <c r="P270" s="90"/>
    </row>
    <row r="271" spans="1:16" x14ac:dyDescent="0.25">
      <c r="A271" s="90"/>
      <c r="B271" s="127"/>
      <c r="C271" s="90"/>
      <c r="D271" s="90"/>
      <c r="E271" s="90"/>
      <c r="F271" s="90"/>
      <c r="G271" s="91"/>
      <c r="H271" s="89"/>
      <c r="I271" s="125"/>
      <c r="J271" s="125"/>
      <c r="K271" s="90"/>
      <c r="L271" s="90"/>
      <c r="M271" s="100"/>
      <c r="N271" s="100"/>
      <c r="O271" s="101"/>
      <c r="P271" s="90"/>
    </row>
    <row r="272" spans="1:16" x14ac:dyDescent="0.25">
      <c r="A272" s="90"/>
      <c r="B272" s="127"/>
      <c r="C272" s="90"/>
      <c r="D272" s="90"/>
      <c r="E272" s="90"/>
      <c r="F272" s="90"/>
      <c r="G272" s="91"/>
      <c r="H272" s="89"/>
      <c r="I272" s="125"/>
      <c r="J272" s="125"/>
      <c r="K272" s="90"/>
      <c r="L272" s="90"/>
      <c r="M272" s="100"/>
      <c r="N272" s="100"/>
      <c r="O272" s="101"/>
      <c r="P272" s="90"/>
    </row>
    <row r="273" spans="1:16" x14ac:dyDescent="0.25">
      <c r="A273" s="90"/>
      <c r="B273" s="127"/>
      <c r="C273" s="90"/>
      <c r="D273" s="90"/>
      <c r="E273" s="90"/>
      <c r="F273" s="90"/>
      <c r="G273" s="91"/>
      <c r="H273" s="89"/>
      <c r="I273" s="125"/>
      <c r="J273" s="125"/>
      <c r="K273" s="90"/>
      <c r="L273" s="90"/>
      <c r="M273" s="100"/>
      <c r="N273" s="100"/>
      <c r="O273" s="101"/>
      <c r="P273" s="90"/>
    </row>
    <row r="274" spans="1:16" x14ac:dyDescent="0.25">
      <c r="A274" s="90"/>
      <c r="B274" s="127"/>
      <c r="C274" s="90"/>
      <c r="D274" s="90"/>
      <c r="E274" s="90"/>
      <c r="F274" s="90"/>
      <c r="G274" s="91"/>
      <c r="H274" s="89"/>
      <c r="I274" s="125"/>
      <c r="J274" s="125"/>
      <c r="K274" s="90"/>
      <c r="L274" s="90"/>
      <c r="M274" s="100"/>
      <c r="N274" s="100"/>
      <c r="O274" s="101"/>
      <c r="P274" s="90"/>
    </row>
    <row r="275" spans="1:16" x14ac:dyDescent="0.25">
      <c r="A275" s="90"/>
      <c r="B275" s="127"/>
      <c r="C275" s="90"/>
      <c r="D275" s="90"/>
      <c r="E275" s="90"/>
      <c r="F275" s="90"/>
      <c r="G275" s="91"/>
      <c r="H275" s="89"/>
      <c r="I275" s="125"/>
      <c r="J275" s="125"/>
      <c r="K275" s="90"/>
      <c r="L275" s="90"/>
      <c r="M275" s="100"/>
      <c r="N275" s="100"/>
      <c r="O275" s="101"/>
      <c r="P275" s="90"/>
    </row>
    <row r="276" spans="1:16" x14ac:dyDescent="0.25">
      <c r="A276" s="90"/>
      <c r="B276" s="127"/>
      <c r="C276" s="90"/>
      <c r="D276" s="90"/>
      <c r="E276" s="90"/>
      <c r="F276" s="90"/>
      <c r="G276" s="91"/>
      <c r="H276" s="89"/>
      <c r="I276" s="125"/>
      <c r="J276" s="125"/>
      <c r="K276" s="90"/>
      <c r="L276" s="90"/>
      <c r="M276" s="100"/>
      <c r="N276" s="100"/>
      <c r="O276" s="101"/>
      <c r="P276" s="90"/>
    </row>
    <row r="277" spans="1:16" x14ac:dyDescent="0.25">
      <c r="A277" s="90"/>
      <c r="B277" s="127"/>
      <c r="C277" s="90"/>
      <c r="D277" s="90"/>
      <c r="E277" s="90"/>
      <c r="F277" s="90"/>
      <c r="G277" s="91"/>
      <c r="H277" s="89"/>
      <c r="I277" s="125"/>
      <c r="J277" s="125"/>
      <c r="K277" s="90"/>
      <c r="L277" s="90"/>
      <c r="M277" s="100"/>
      <c r="N277" s="100"/>
      <c r="O277" s="101"/>
      <c r="P277" s="90"/>
    </row>
    <row r="278" spans="1:16" x14ac:dyDescent="0.25">
      <c r="A278" s="90"/>
      <c r="B278" s="127"/>
      <c r="C278" s="90"/>
      <c r="D278" s="90"/>
      <c r="E278" s="90"/>
      <c r="F278" s="90"/>
      <c r="G278" s="91"/>
      <c r="H278" s="89"/>
      <c r="I278" s="125"/>
      <c r="J278" s="125"/>
      <c r="K278" s="90"/>
      <c r="L278" s="90"/>
      <c r="M278" s="100"/>
      <c r="N278" s="100"/>
      <c r="O278" s="101"/>
      <c r="P278" s="90"/>
    </row>
    <row r="279" spans="1:16" x14ac:dyDescent="0.25">
      <c r="A279" s="90"/>
      <c r="B279" s="127"/>
      <c r="C279" s="90"/>
      <c r="D279" s="90"/>
      <c r="E279" s="90"/>
      <c r="F279" s="90"/>
      <c r="G279" s="91"/>
      <c r="H279" s="89"/>
      <c r="I279" s="125"/>
      <c r="J279" s="125"/>
      <c r="K279" s="90"/>
      <c r="L279" s="90"/>
      <c r="M279" s="100"/>
      <c r="N279" s="100"/>
      <c r="O279" s="101"/>
      <c r="P279" s="90"/>
    </row>
    <row r="280" spans="1:16" x14ac:dyDescent="0.25">
      <c r="A280" s="90"/>
      <c r="B280" s="127"/>
      <c r="C280" s="90"/>
      <c r="D280" s="90"/>
      <c r="E280" s="90"/>
      <c r="F280" s="90"/>
      <c r="G280" s="91"/>
      <c r="H280" s="89"/>
      <c r="I280" s="125"/>
      <c r="J280" s="125"/>
      <c r="K280" s="90"/>
      <c r="L280" s="90"/>
      <c r="M280" s="100"/>
      <c r="N280" s="100"/>
      <c r="O280" s="101"/>
      <c r="P280" s="90"/>
    </row>
    <row r="281" spans="1:16" x14ac:dyDescent="0.25">
      <c r="A281" s="90"/>
      <c r="B281" s="127"/>
      <c r="C281" s="90"/>
      <c r="D281" s="90"/>
      <c r="E281" s="90"/>
      <c r="F281" s="90"/>
      <c r="G281" s="91"/>
      <c r="H281" s="89"/>
      <c r="I281" s="125"/>
      <c r="J281" s="125"/>
      <c r="K281" s="90"/>
      <c r="L281" s="90"/>
      <c r="M281" s="100"/>
      <c r="N281" s="100"/>
      <c r="O281" s="101"/>
      <c r="P281" s="90"/>
    </row>
    <row r="282" spans="1:16" x14ac:dyDescent="0.25">
      <c r="A282" s="90"/>
      <c r="B282" s="127"/>
      <c r="C282" s="90"/>
      <c r="D282" s="90"/>
      <c r="E282" s="90"/>
      <c r="F282" s="90"/>
      <c r="G282" s="91"/>
      <c r="H282" s="89"/>
      <c r="I282" s="125"/>
      <c r="J282" s="125"/>
      <c r="K282" s="90"/>
      <c r="L282" s="90"/>
      <c r="M282" s="100"/>
      <c r="N282" s="100"/>
      <c r="O282" s="101"/>
      <c r="P282" s="90"/>
    </row>
    <row r="283" spans="1:16" x14ac:dyDescent="0.25">
      <c r="A283" s="90"/>
      <c r="B283" s="127"/>
      <c r="C283" s="90"/>
      <c r="D283" s="90"/>
      <c r="E283" s="90"/>
      <c r="F283" s="90"/>
      <c r="G283" s="91"/>
      <c r="H283" s="89"/>
      <c r="I283" s="125"/>
      <c r="J283" s="125"/>
      <c r="K283" s="90"/>
      <c r="L283" s="90"/>
      <c r="M283" s="100"/>
      <c r="N283" s="100"/>
      <c r="O283" s="101"/>
      <c r="P283" s="90"/>
    </row>
    <row r="284" spans="1:16" x14ac:dyDescent="0.25">
      <c r="A284" s="90"/>
      <c r="B284" s="127"/>
      <c r="C284" s="90"/>
      <c r="D284" s="90"/>
      <c r="E284" s="90"/>
      <c r="F284" s="90"/>
      <c r="G284" s="91"/>
      <c r="H284" s="89"/>
      <c r="I284" s="125"/>
      <c r="J284" s="125"/>
      <c r="K284" s="90"/>
      <c r="L284" s="90"/>
      <c r="M284" s="100"/>
      <c r="N284" s="100"/>
      <c r="O284" s="101"/>
      <c r="P284" s="90"/>
    </row>
    <row r="285" spans="1:16" x14ac:dyDescent="0.25">
      <c r="A285" s="90"/>
      <c r="B285" s="127"/>
      <c r="C285" s="90"/>
      <c r="D285" s="90"/>
      <c r="E285" s="90"/>
      <c r="F285" s="90"/>
      <c r="G285" s="91"/>
      <c r="H285" s="89"/>
      <c r="I285" s="125"/>
      <c r="J285" s="125"/>
      <c r="K285" s="90"/>
      <c r="L285" s="90"/>
      <c r="M285" s="100"/>
      <c r="N285" s="100"/>
      <c r="O285" s="101"/>
      <c r="P285" s="90"/>
    </row>
    <row r="286" spans="1:16" x14ac:dyDescent="0.25">
      <c r="A286" s="90"/>
      <c r="B286" s="127"/>
      <c r="C286" s="90"/>
      <c r="D286" s="90"/>
      <c r="E286" s="90"/>
      <c r="F286" s="90"/>
      <c r="G286" s="91"/>
      <c r="H286" s="89"/>
      <c r="I286" s="125"/>
      <c r="J286" s="125"/>
      <c r="K286" s="90"/>
      <c r="L286" s="90"/>
      <c r="M286" s="100"/>
      <c r="N286" s="100"/>
      <c r="O286" s="101"/>
      <c r="P286" s="90"/>
    </row>
    <row r="287" spans="1:16" x14ac:dyDescent="0.25">
      <c r="A287" s="90"/>
      <c r="B287" s="127"/>
      <c r="C287" s="90"/>
      <c r="D287" s="90"/>
      <c r="E287" s="90"/>
      <c r="F287" s="90"/>
      <c r="G287" s="91"/>
      <c r="H287" s="89"/>
      <c r="I287" s="125"/>
      <c r="J287" s="125"/>
      <c r="K287" s="90"/>
      <c r="L287" s="90"/>
      <c r="M287" s="100"/>
      <c r="N287" s="100"/>
      <c r="O287" s="101"/>
      <c r="P287" s="90"/>
    </row>
    <row r="288" spans="1:16" x14ac:dyDescent="0.25">
      <c r="A288" s="90"/>
      <c r="B288" s="127"/>
      <c r="C288" s="90"/>
      <c r="D288" s="90"/>
      <c r="E288" s="90"/>
      <c r="F288" s="90"/>
      <c r="G288" s="91"/>
      <c r="H288" s="89"/>
      <c r="I288" s="125"/>
      <c r="J288" s="125"/>
      <c r="K288" s="90"/>
      <c r="L288" s="90"/>
      <c r="M288" s="100"/>
      <c r="N288" s="100"/>
      <c r="O288" s="101"/>
      <c r="P288" s="90"/>
    </row>
    <row r="289" spans="1:16" x14ac:dyDescent="0.25">
      <c r="A289" s="90"/>
      <c r="B289" s="127"/>
      <c r="C289" s="90"/>
      <c r="D289" s="90"/>
      <c r="E289" s="90"/>
      <c r="F289" s="90"/>
      <c r="G289" s="91"/>
      <c r="H289" s="89"/>
      <c r="I289" s="125"/>
      <c r="J289" s="125"/>
      <c r="K289" s="90"/>
      <c r="L289" s="90"/>
      <c r="M289" s="100"/>
      <c r="N289" s="100"/>
      <c r="O289" s="101"/>
      <c r="P289" s="90"/>
    </row>
    <row r="290" spans="1:16" x14ac:dyDescent="0.25">
      <c r="A290" s="90"/>
      <c r="B290" s="127"/>
      <c r="C290" s="90"/>
      <c r="D290" s="90"/>
      <c r="E290" s="90"/>
      <c r="F290" s="90"/>
      <c r="G290" s="91"/>
      <c r="H290" s="89"/>
      <c r="I290" s="125"/>
      <c r="J290" s="125"/>
      <c r="K290" s="90"/>
      <c r="L290" s="90"/>
      <c r="M290" s="100"/>
      <c r="N290" s="100"/>
      <c r="O290" s="101"/>
      <c r="P290" s="90"/>
    </row>
    <row r="291" spans="1:16" x14ac:dyDescent="0.25">
      <c r="A291" s="90"/>
      <c r="B291" s="127"/>
      <c r="C291" s="90"/>
      <c r="D291" s="90"/>
      <c r="E291" s="90"/>
      <c r="F291" s="90"/>
      <c r="G291" s="91"/>
      <c r="H291" s="89"/>
      <c r="I291" s="125"/>
      <c r="J291" s="125"/>
      <c r="K291" s="90"/>
      <c r="L291" s="90"/>
      <c r="M291" s="100"/>
      <c r="N291" s="100"/>
      <c r="O291" s="101"/>
      <c r="P291" s="90"/>
    </row>
    <row r="292" spans="1:16" x14ac:dyDescent="0.25">
      <c r="A292" s="90"/>
      <c r="B292" s="127"/>
      <c r="C292" s="90"/>
      <c r="D292" s="90"/>
      <c r="E292" s="90"/>
      <c r="F292" s="90"/>
      <c r="G292" s="91"/>
      <c r="H292" s="89"/>
      <c r="I292" s="125"/>
      <c r="J292" s="125"/>
      <c r="K292" s="90"/>
      <c r="L292" s="90"/>
      <c r="M292" s="100"/>
      <c r="N292" s="100"/>
      <c r="O292" s="101"/>
      <c r="P292" s="90"/>
    </row>
    <row r="293" spans="1:16" x14ac:dyDescent="0.25">
      <c r="A293" s="90"/>
      <c r="B293" s="127"/>
      <c r="C293" s="90"/>
      <c r="D293" s="90"/>
      <c r="E293" s="90"/>
      <c r="F293" s="90"/>
      <c r="G293" s="91"/>
      <c r="H293" s="89"/>
      <c r="I293" s="125"/>
      <c r="J293" s="125"/>
      <c r="K293" s="90"/>
      <c r="L293" s="90"/>
      <c r="M293" s="100"/>
      <c r="N293" s="100"/>
      <c r="O293" s="101"/>
      <c r="P293" s="90"/>
    </row>
    <row r="294" spans="1:16" x14ac:dyDescent="0.25">
      <c r="A294" s="90"/>
      <c r="B294" s="127"/>
      <c r="C294" s="90"/>
      <c r="D294" s="90"/>
      <c r="E294" s="90"/>
      <c r="F294" s="90"/>
      <c r="G294" s="91"/>
      <c r="H294" s="89"/>
      <c r="I294" s="125"/>
      <c r="J294" s="125"/>
      <c r="K294" s="90"/>
      <c r="L294" s="90"/>
      <c r="M294" s="100"/>
      <c r="N294" s="100"/>
      <c r="O294" s="101"/>
      <c r="P294" s="90"/>
    </row>
    <row r="295" spans="1:16" x14ac:dyDescent="0.25">
      <c r="A295" s="90"/>
      <c r="B295" s="127"/>
      <c r="C295" s="90"/>
      <c r="D295" s="90"/>
      <c r="E295" s="90"/>
      <c r="F295" s="90"/>
      <c r="G295" s="91"/>
      <c r="H295" s="89"/>
      <c r="I295" s="125"/>
      <c r="J295" s="125"/>
      <c r="K295" s="90"/>
      <c r="L295" s="90"/>
      <c r="M295" s="100"/>
      <c r="N295" s="100"/>
      <c r="O295" s="101"/>
      <c r="P295" s="90"/>
    </row>
    <row r="296" spans="1:16" x14ac:dyDescent="0.25">
      <c r="A296" s="90"/>
      <c r="B296" s="127"/>
      <c r="C296" s="90"/>
      <c r="D296" s="90"/>
      <c r="E296" s="90"/>
      <c r="F296" s="90"/>
      <c r="G296" s="91"/>
      <c r="H296" s="89"/>
      <c r="I296" s="125"/>
      <c r="J296" s="125"/>
      <c r="K296" s="90"/>
      <c r="L296" s="90"/>
      <c r="M296" s="100"/>
      <c r="N296" s="100"/>
      <c r="O296" s="101"/>
      <c r="P296" s="90"/>
    </row>
    <row r="297" spans="1:16" x14ac:dyDescent="0.25">
      <c r="A297" s="90"/>
      <c r="B297" s="127"/>
      <c r="C297" s="90"/>
      <c r="D297" s="90"/>
      <c r="E297" s="90"/>
      <c r="F297" s="90"/>
      <c r="G297" s="91"/>
      <c r="H297" s="89"/>
      <c r="I297" s="125"/>
      <c r="J297" s="125"/>
      <c r="K297" s="90"/>
      <c r="L297" s="90"/>
      <c r="M297" s="100"/>
      <c r="N297" s="100"/>
      <c r="O297" s="101"/>
      <c r="P297" s="90"/>
    </row>
    <row r="298" spans="1:16" x14ac:dyDescent="0.25">
      <c r="A298" s="90"/>
      <c r="B298" s="127"/>
      <c r="C298" s="90"/>
      <c r="D298" s="90"/>
      <c r="E298" s="90"/>
      <c r="F298" s="90"/>
      <c r="G298" s="91"/>
      <c r="H298" s="89"/>
      <c r="I298" s="125"/>
      <c r="J298" s="125"/>
      <c r="K298" s="90"/>
      <c r="L298" s="90"/>
      <c r="M298" s="100"/>
      <c r="N298" s="100"/>
      <c r="O298" s="101"/>
      <c r="P298" s="90"/>
    </row>
    <row r="299" spans="1:16" x14ac:dyDescent="0.25">
      <c r="A299" s="90"/>
      <c r="B299" s="127"/>
      <c r="C299" s="90"/>
      <c r="D299" s="90"/>
      <c r="E299" s="90"/>
      <c r="F299" s="90"/>
      <c r="G299" s="91"/>
      <c r="H299" s="89"/>
      <c r="I299" s="125"/>
      <c r="J299" s="125"/>
      <c r="K299" s="90"/>
      <c r="L299" s="90"/>
      <c r="M299" s="100"/>
      <c r="N299" s="100"/>
      <c r="O299" s="101"/>
      <c r="P299" s="90"/>
    </row>
    <row r="300" spans="1:16" x14ac:dyDescent="0.25">
      <c r="A300" s="90"/>
      <c r="B300" s="127"/>
      <c r="C300" s="90"/>
      <c r="D300" s="90"/>
      <c r="E300" s="90"/>
      <c r="F300" s="90"/>
      <c r="G300" s="91"/>
      <c r="H300" s="89"/>
      <c r="I300" s="125"/>
      <c r="J300" s="125"/>
      <c r="K300" s="90"/>
      <c r="L300" s="90"/>
      <c r="M300" s="100"/>
      <c r="N300" s="100"/>
      <c r="O300" s="101"/>
      <c r="P300" s="90"/>
    </row>
    <row r="301" spans="1:16" x14ac:dyDescent="0.25">
      <c r="A301" s="90"/>
      <c r="B301" s="127"/>
      <c r="C301" s="90"/>
      <c r="D301" s="90"/>
      <c r="E301" s="90"/>
      <c r="F301" s="90"/>
      <c r="G301" s="91"/>
      <c r="H301" s="89"/>
      <c r="I301" s="125"/>
      <c r="J301" s="125"/>
      <c r="K301" s="90"/>
      <c r="L301" s="90"/>
      <c r="M301" s="100"/>
      <c r="N301" s="100"/>
      <c r="O301" s="101"/>
      <c r="P301" s="90"/>
    </row>
    <row r="302" spans="1:16" x14ac:dyDescent="0.25">
      <c r="A302" s="90"/>
      <c r="B302" s="127"/>
      <c r="C302" s="90"/>
      <c r="D302" s="90"/>
      <c r="E302" s="90"/>
      <c r="F302" s="90"/>
      <c r="G302" s="91"/>
      <c r="H302" s="89"/>
      <c r="I302" s="125"/>
      <c r="J302" s="125"/>
      <c r="K302" s="90"/>
      <c r="L302" s="90"/>
      <c r="M302" s="100"/>
      <c r="N302" s="100"/>
      <c r="O302" s="101"/>
      <c r="P302" s="90"/>
    </row>
    <row r="303" spans="1:16" x14ac:dyDescent="0.25">
      <c r="A303" s="90"/>
      <c r="B303" s="127"/>
      <c r="C303" s="90"/>
      <c r="D303" s="90"/>
      <c r="E303" s="90"/>
      <c r="F303" s="90"/>
      <c r="G303" s="91"/>
      <c r="H303" s="89"/>
      <c r="I303" s="125"/>
      <c r="J303" s="125"/>
      <c r="K303" s="90"/>
      <c r="L303" s="90"/>
      <c r="M303" s="100"/>
      <c r="N303" s="100"/>
      <c r="O303" s="101"/>
      <c r="P303" s="90"/>
    </row>
    <row r="304" spans="1:16" x14ac:dyDescent="0.25">
      <c r="A304" s="90"/>
      <c r="B304" s="127"/>
      <c r="C304" s="90"/>
      <c r="D304" s="90"/>
      <c r="E304" s="90"/>
      <c r="F304" s="90"/>
      <c r="G304" s="91"/>
      <c r="H304" s="89"/>
      <c r="I304" s="125"/>
      <c r="J304" s="125"/>
      <c r="K304" s="90"/>
      <c r="L304" s="90"/>
      <c r="M304" s="100"/>
      <c r="N304" s="100"/>
      <c r="O304" s="101"/>
      <c r="P304" s="90"/>
    </row>
    <row r="305" spans="1:16" x14ac:dyDescent="0.25">
      <c r="A305" s="90"/>
      <c r="B305" s="127"/>
      <c r="C305" s="90"/>
      <c r="D305" s="90"/>
      <c r="E305" s="90"/>
      <c r="F305" s="90"/>
      <c r="G305" s="91"/>
      <c r="H305" s="89"/>
      <c r="I305" s="125"/>
      <c r="J305" s="125"/>
      <c r="K305" s="90"/>
      <c r="L305" s="90"/>
      <c r="M305" s="100"/>
      <c r="N305" s="100"/>
      <c r="O305" s="101"/>
      <c r="P305" s="90"/>
    </row>
    <row r="306" spans="1:16" x14ac:dyDescent="0.25">
      <c r="A306" s="90"/>
      <c r="B306" s="127"/>
      <c r="C306" s="90"/>
      <c r="D306" s="90"/>
      <c r="E306" s="90"/>
      <c r="F306" s="90"/>
      <c r="G306" s="91"/>
      <c r="H306" s="89"/>
      <c r="I306" s="125"/>
      <c r="J306" s="125"/>
      <c r="K306" s="90"/>
      <c r="L306" s="90"/>
      <c r="M306" s="100"/>
      <c r="N306" s="100"/>
      <c r="O306" s="101"/>
      <c r="P306" s="90"/>
    </row>
    <row r="307" spans="1:16" x14ac:dyDescent="0.25">
      <c r="A307" s="90"/>
      <c r="B307" s="127"/>
      <c r="C307" s="90"/>
      <c r="D307" s="90"/>
      <c r="E307" s="90"/>
      <c r="F307" s="90"/>
      <c r="G307" s="91"/>
      <c r="H307" s="89"/>
      <c r="I307" s="125"/>
      <c r="J307" s="125"/>
      <c r="K307" s="90"/>
      <c r="L307" s="90"/>
      <c r="M307" s="100"/>
      <c r="N307" s="100"/>
      <c r="O307" s="101"/>
      <c r="P307" s="90"/>
    </row>
    <row r="308" spans="1:16" x14ac:dyDescent="0.25">
      <c r="A308" s="90"/>
      <c r="B308" s="127"/>
      <c r="C308" s="90"/>
      <c r="D308" s="90"/>
      <c r="E308" s="90"/>
      <c r="F308" s="90"/>
      <c r="G308" s="91"/>
      <c r="H308" s="89"/>
      <c r="I308" s="125"/>
      <c r="J308" s="125"/>
      <c r="K308" s="90"/>
      <c r="L308" s="90"/>
      <c r="M308" s="100"/>
      <c r="N308" s="100"/>
      <c r="O308" s="101"/>
      <c r="P308" s="90"/>
    </row>
    <row r="309" spans="1:16" x14ac:dyDescent="0.25">
      <c r="A309" s="90"/>
      <c r="B309" s="127"/>
      <c r="C309" s="90"/>
      <c r="D309" s="90"/>
      <c r="E309" s="90"/>
      <c r="F309" s="90"/>
      <c r="G309" s="91"/>
      <c r="H309" s="89"/>
      <c r="I309" s="125"/>
      <c r="J309" s="125"/>
      <c r="K309" s="90"/>
      <c r="L309" s="90"/>
      <c r="M309" s="100"/>
      <c r="N309" s="100"/>
      <c r="O309" s="101"/>
      <c r="P309" s="90"/>
    </row>
    <row r="310" spans="1:16" x14ac:dyDescent="0.25">
      <c r="A310" s="90"/>
      <c r="B310" s="127"/>
      <c r="C310" s="90"/>
      <c r="D310" s="90"/>
      <c r="E310" s="90"/>
      <c r="F310" s="90"/>
      <c r="G310" s="91"/>
      <c r="H310" s="89"/>
      <c r="I310" s="125"/>
      <c r="J310" s="125"/>
      <c r="K310" s="90"/>
      <c r="L310" s="90"/>
      <c r="M310" s="100"/>
      <c r="N310" s="100"/>
      <c r="O310" s="101"/>
      <c r="P310" s="90"/>
    </row>
    <row r="311" spans="1:16" x14ac:dyDescent="0.25">
      <c r="A311" s="90"/>
      <c r="B311" s="127"/>
      <c r="C311" s="90"/>
      <c r="D311" s="90"/>
      <c r="E311" s="90"/>
      <c r="F311" s="90"/>
      <c r="G311" s="91"/>
      <c r="H311" s="89"/>
      <c r="I311" s="125"/>
      <c r="J311" s="125"/>
      <c r="K311" s="90"/>
      <c r="L311" s="90"/>
      <c r="M311" s="100"/>
      <c r="N311" s="100"/>
      <c r="O311" s="101"/>
      <c r="P311" s="90"/>
    </row>
    <row r="312" spans="1:16" x14ac:dyDescent="0.25">
      <c r="A312" s="90"/>
      <c r="B312" s="127"/>
      <c r="C312" s="90"/>
      <c r="D312" s="90"/>
      <c r="E312" s="90"/>
      <c r="F312" s="90"/>
      <c r="G312" s="91"/>
      <c r="H312" s="89"/>
      <c r="I312" s="125"/>
      <c r="J312" s="125"/>
      <c r="K312" s="90"/>
      <c r="L312" s="90"/>
      <c r="M312" s="100"/>
      <c r="N312" s="100"/>
      <c r="O312" s="101"/>
      <c r="P312" s="90"/>
    </row>
    <row r="313" spans="1:16" x14ac:dyDescent="0.25">
      <c r="A313" s="90"/>
      <c r="B313" s="127"/>
      <c r="C313" s="90"/>
      <c r="D313" s="90"/>
      <c r="E313" s="90"/>
      <c r="F313" s="90"/>
      <c r="G313" s="91"/>
      <c r="H313" s="89"/>
      <c r="I313" s="125"/>
      <c r="J313" s="125"/>
      <c r="K313" s="90"/>
      <c r="L313" s="90"/>
      <c r="M313" s="100"/>
      <c r="N313" s="100"/>
      <c r="O313" s="101"/>
      <c r="P313" s="90"/>
    </row>
    <row r="314" spans="1:16" x14ac:dyDescent="0.25">
      <c r="A314" s="90"/>
      <c r="B314" s="127"/>
      <c r="C314" s="90"/>
      <c r="D314" s="90"/>
      <c r="E314" s="90"/>
      <c r="F314" s="90"/>
      <c r="G314" s="91"/>
      <c r="H314" s="89"/>
      <c r="I314" s="125"/>
      <c r="J314" s="125"/>
      <c r="K314" s="90"/>
      <c r="L314" s="90"/>
      <c r="M314" s="100"/>
      <c r="N314" s="100"/>
      <c r="O314" s="101"/>
      <c r="P314" s="90"/>
    </row>
    <row r="315" spans="1:16" x14ac:dyDescent="0.25">
      <c r="A315" s="90"/>
      <c r="B315" s="127"/>
      <c r="C315" s="90"/>
      <c r="D315" s="90"/>
      <c r="E315" s="90"/>
      <c r="F315" s="90"/>
      <c r="G315" s="91"/>
      <c r="H315" s="89"/>
      <c r="I315" s="125"/>
      <c r="J315" s="125"/>
      <c r="K315" s="90"/>
      <c r="L315" s="90"/>
      <c r="M315" s="100"/>
      <c r="N315" s="100"/>
      <c r="O315" s="101"/>
      <c r="P315" s="90"/>
    </row>
    <row r="316" spans="1:16" x14ac:dyDescent="0.25">
      <c r="A316" s="90"/>
      <c r="B316" s="127"/>
      <c r="C316" s="90"/>
      <c r="D316" s="90"/>
      <c r="E316" s="90"/>
      <c r="F316" s="90"/>
      <c r="G316" s="91"/>
      <c r="H316" s="89"/>
      <c r="I316" s="125"/>
      <c r="J316" s="125"/>
      <c r="K316" s="90"/>
      <c r="L316" s="90"/>
      <c r="M316" s="100"/>
      <c r="N316" s="100"/>
      <c r="O316" s="101"/>
      <c r="P316" s="90"/>
    </row>
    <row r="317" spans="1:16" x14ac:dyDescent="0.25">
      <c r="A317" s="90"/>
      <c r="B317" s="127"/>
      <c r="C317" s="90"/>
      <c r="D317" s="90"/>
      <c r="E317" s="90"/>
      <c r="F317" s="90"/>
      <c r="G317" s="91"/>
      <c r="H317" s="89"/>
      <c r="I317" s="125"/>
      <c r="J317" s="125"/>
      <c r="K317" s="90"/>
      <c r="L317" s="90"/>
      <c r="M317" s="100"/>
      <c r="N317" s="100"/>
      <c r="O317" s="101"/>
      <c r="P317" s="90"/>
    </row>
    <row r="318" spans="1:16" x14ac:dyDescent="0.25">
      <c r="A318" s="90"/>
      <c r="B318" s="127"/>
      <c r="C318" s="90"/>
      <c r="D318" s="90"/>
      <c r="E318" s="90"/>
      <c r="F318" s="90"/>
      <c r="G318" s="91"/>
      <c r="H318" s="89"/>
      <c r="I318" s="125"/>
      <c r="J318" s="125"/>
      <c r="K318" s="90"/>
      <c r="L318" s="90"/>
      <c r="M318" s="100"/>
      <c r="N318" s="100"/>
      <c r="O318" s="101"/>
      <c r="P318" s="90"/>
    </row>
    <row r="319" spans="1:16" x14ac:dyDescent="0.25">
      <c r="A319" s="90"/>
      <c r="B319" s="127"/>
      <c r="C319" s="90"/>
      <c r="D319" s="90"/>
      <c r="E319" s="90"/>
      <c r="F319" s="90"/>
      <c r="G319" s="91"/>
      <c r="H319" s="89"/>
      <c r="I319" s="125"/>
      <c r="J319" s="125"/>
      <c r="K319" s="90"/>
      <c r="L319" s="90"/>
      <c r="M319" s="100"/>
      <c r="N319" s="100"/>
      <c r="O319" s="101"/>
      <c r="P319" s="90"/>
    </row>
    <row r="320" spans="1:16" x14ac:dyDescent="0.25">
      <c r="A320" s="90"/>
      <c r="B320" s="127"/>
      <c r="C320" s="90"/>
      <c r="D320" s="90"/>
      <c r="E320" s="90"/>
      <c r="F320" s="90"/>
      <c r="G320" s="91"/>
      <c r="H320" s="89"/>
      <c r="I320" s="125"/>
      <c r="J320" s="125"/>
      <c r="K320" s="90"/>
      <c r="L320" s="90"/>
      <c r="M320" s="100"/>
      <c r="N320" s="100"/>
      <c r="O320" s="101"/>
      <c r="P320" s="90"/>
    </row>
    <row r="321" spans="1:16" x14ac:dyDescent="0.25">
      <c r="A321" s="90"/>
      <c r="B321" s="127"/>
      <c r="C321" s="90"/>
      <c r="D321" s="90"/>
      <c r="E321" s="90"/>
      <c r="F321" s="90"/>
      <c r="G321" s="91"/>
      <c r="H321" s="89"/>
      <c r="I321" s="125"/>
      <c r="J321" s="125"/>
      <c r="K321" s="90"/>
      <c r="L321" s="90"/>
      <c r="M321" s="100"/>
      <c r="N321" s="100"/>
      <c r="O321" s="101"/>
      <c r="P321" s="90"/>
    </row>
    <row r="322" spans="1:16" x14ac:dyDescent="0.25">
      <c r="A322" s="90"/>
      <c r="B322" s="127"/>
      <c r="C322" s="90"/>
      <c r="D322" s="90"/>
      <c r="E322" s="90"/>
      <c r="F322" s="90"/>
      <c r="G322" s="91"/>
      <c r="H322" s="89"/>
      <c r="I322" s="125"/>
      <c r="J322" s="125"/>
      <c r="K322" s="90"/>
      <c r="L322" s="90"/>
      <c r="M322" s="100"/>
      <c r="N322" s="100"/>
      <c r="O322" s="101"/>
      <c r="P322" s="90"/>
    </row>
    <row r="323" spans="1:16" x14ac:dyDescent="0.25">
      <c r="A323" s="90"/>
      <c r="B323" s="127"/>
      <c r="C323" s="90"/>
      <c r="D323" s="90"/>
      <c r="E323" s="90"/>
      <c r="F323" s="90"/>
      <c r="G323" s="91"/>
      <c r="H323" s="89"/>
      <c r="I323" s="125"/>
      <c r="J323" s="125"/>
      <c r="K323" s="90"/>
      <c r="L323" s="90"/>
      <c r="M323" s="100"/>
      <c r="N323" s="100"/>
      <c r="O323" s="101"/>
      <c r="P323" s="90"/>
    </row>
    <row r="324" spans="1:16" x14ac:dyDescent="0.25">
      <c r="A324" s="90"/>
      <c r="B324" s="127"/>
      <c r="C324" s="90"/>
      <c r="D324" s="90"/>
      <c r="E324" s="90"/>
      <c r="F324" s="90"/>
      <c r="G324" s="91"/>
      <c r="H324" s="89"/>
      <c r="I324" s="125"/>
      <c r="J324" s="125"/>
      <c r="K324" s="90"/>
      <c r="L324" s="90"/>
      <c r="M324" s="100"/>
      <c r="N324" s="100"/>
      <c r="O324" s="101"/>
      <c r="P324" s="90"/>
    </row>
    <row r="325" spans="1:16" x14ac:dyDescent="0.25">
      <c r="A325" s="90"/>
      <c r="B325" s="127"/>
      <c r="C325" s="90"/>
      <c r="D325" s="90"/>
      <c r="E325" s="90"/>
      <c r="F325" s="90"/>
      <c r="G325" s="91"/>
      <c r="H325" s="89"/>
      <c r="I325" s="125"/>
      <c r="J325" s="125"/>
      <c r="K325" s="90"/>
      <c r="L325" s="90"/>
      <c r="M325" s="100"/>
      <c r="N325" s="100"/>
      <c r="O325" s="101"/>
      <c r="P325" s="90"/>
    </row>
    <row r="326" spans="1:16" x14ac:dyDescent="0.25">
      <c r="A326" s="90"/>
      <c r="B326" s="127"/>
      <c r="C326" s="90"/>
      <c r="D326" s="90"/>
      <c r="E326" s="90"/>
      <c r="F326" s="90"/>
      <c r="G326" s="91"/>
      <c r="H326" s="89"/>
      <c r="I326" s="125"/>
      <c r="J326" s="125"/>
      <c r="K326" s="90"/>
      <c r="L326" s="90"/>
      <c r="M326" s="100"/>
      <c r="N326" s="100"/>
      <c r="O326" s="101"/>
      <c r="P326" s="90"/>
    </row>
    <row r="327" spans="1:16" x14ac:dyDescent="0.25">
      <c r="A327" s="90"/>
      <c r="B327" s="127"/>
      <c r="C327" s="90"/>
      <c r="D327" s="90"/>
      <c r="E327" s="90"/>
      <c r="F327" s="90"/>
      <c r="G327" s="91"/>
      <c r="H327" s="89"/>
      <c r="I327" s="125"/>
      <c r="J327" s="125"/>
      <c r="K327" s="90"/>
      <c r="L327" s="90"/>
      <c r="M327" s="100"/>
      <c r="N327" s="100"/>
      <c r="O327" s="101"/>
      <c r="P327" s="90"/>
    </row>
    <row r="328" spans="1:16" x14ac:dyDescent="0.25">
      <c r="A328" s="90"/>
      <c r="B328" s="127"/>
      <c r="C328" s="90"/>
      <c r="D328" s="90"/>
      <c r="E328" s="90"/>
      <c r="F328" s="90"/>
      <c r="G328" s="91"/>
      <c r="H328" s="89"/>
      <c r="I328" s="125"/>
      <c r="J328" s="125"/>
      <c r="K328" s="90"/>
      <c r="L328" s="90"/>
      <c r="M328" s="100"/>
      <c r="N328" s="100"/>
      <c r="O328" s="101"/>
      <c r="P328" s="90"/>
    </row>
    <row r="329" spans="1:16" x14ac:dyDescent="0.25">
      <c r="A329" s="90"/>
      <c r="B329" s="127"/>
      <c r="C329" s="90"/>
      <c r="D329" s="90"/>
      <c r="E329" s="90"/>
      <c r="F329" s="90"/>
      <c r="G329" s="91"/>
      <c r="H329" s="89"/>
      <c r="I329" s="125"/>
      <c r="J329" s="125"/>
      <c r="K329" s="90"/>
      <c r="L329" s="90"/>
      <c r="M329" s="100"/>
      <c r="N329" s="100"/>
      <c r="O329" s="101"/>
      <c r="P329" s="90"/>
    </row>
    <row r="330" spans="1:16" x14ac:dyDescent="0.25">
      <c r="A330" s="90"/>
      <c r="B330" s="127"/>
      <c r="C330" s="90"/>
      <c r="D330" s="90"/>
      <c r="E330" s="90"/>
      <c r="F330" s="90"/>
      <c r="G330" s="91"/>
      <c r="H330" s="89"/>
      <c r="I330" s="125"/>
      <c r="J330" s="125"/>
      <c r="K330" s="90"/>
      <c r="L330" s="90"/>
      <c r="M330" s="100"/>
      <c r="N330" s="100"/>
      <c r="O330" s="101"/>
      <c r="P330" s="90"/>
    </row>
    <row r="331" spans="1:16" x14ac:dyDescent="0.25">
      <c r="A331" s="90"/>
      <c r="B331" s="127"/>
      <c r="C331" s="90"/>
      <c r="D331" s="90"/>
      <c r="E331" s="90"/>
      <c r="F331" s="90"/>
      <c r="G331" s="91"/>
      <c r="H331" s="89"/>
      <c r="I331" s="125"/>
      <c r="J331" s="125"/>
      <c r="K331" s="90"/>
      <c r="L331" s="90"/>
      <c r="M331" s="100"/>
      <c r="N331" s="100"/>
      <c r="O331" s="101"/>
      <c r="P331" s="90"/>
    </row>
    <row r="332" spans="1:16" x14ac:dyDescent="0.25">
      <c r="A332" s="90"/>
      <c r="B332" s="127"/>
      <c r="C332" s="90"/>
      <c r="D332" s="90"/>
      <c r="E332" s="90"/>
      <c r="F332" s="90"/>
      <c r="G332" s="91"/>
      <c r="H332" s="89"/>
      <c r="I332" s="125"/>
      <c r="J332" s="125"/>
      <c r="K332" s="90"/>
      <c r="L332" s="90"/>
      <c r="M332" s="100"/>
      <c r="N332" s="100"/>
      <c r="O332" s="101"/>
      <c r="P332" s="90"/>
    </row>
    <row r="333" spans="1:16" x14ac:dyDescent="0.25">
      <c r="A333" s="90"/>
      <c r="B333" s="127"/>
      <c r="C333" s="90"/>
      <c r="D333" s="90"/>
      <c r="E333" s="90"/>
      <c r="F333" s="90"/>
      <c r="G333" s="91"/>
      <c r="H333" s="89"/>
      <c r="I333" s="125"/>
      <c r="J333" s="125"/>
      <c r="K333" s="90"/>
      <c r="L333" s="90"/>
      <c r="M333" s="100"/>
      <c r="N333" s="100"/>
      <c r="O333" s="101"/>
      <c r="P333" s="90"/>
    </row>
    <row r="334" spans="1:16" x14ac:dyDescent="0.25">
      <c r="A334" s="90"/>
      <c r="B334" s="127"/>
      <c r="C334" s="90"/>
      <c r="D334" s="90"/>
      <c r="E334" s="90"/>
      <c r="F334" s="90"/>
      <c r="G334" s="91"/>
      <c r="H334" s="89"/>
      <c r="I334" s="125"/>
      <c r="J334" s="125"/>
      <c r="K334" s="90"/>
      <c r="L334" s="90"/>
      <c r="M334" s="100"/>
      <c r="N334" s="100"/>
      <c r="O334" s="101"/>
      <c r="P334" s="90"/>
    </row>
    <row r="335" spans="1:16" x14ac:dyDescent="0.25">
      <c r="A335" s="90"/>
      <c r="B335" s="127"/>
      <c r="C335" s="90"/>
      <c r="D335" s="90"/>
      <c r="E335" s="90"/>
      <c r="F335" s="90"/>
      <c r="G335" s="91"/>
      <c r="H335" s="89"/>
      <c r="I335" s="125"/>
      <c r="J335" s="125"/>
      <c r="K335" s="90"/>
      <c r="L335" s="90"/>
      <c r="M335" s="100"/>
      <c r="N335" s="100"/>
      <c r="O335" s="101"/>
      <c r="P335" s="90"/>
    </row>
    <row r="336" spans="1:16" x14ac:dyDescent="0.25">
      <c r="A336" s="90"/>
      <c r="B336" s="127"/>
      <c r="C336" s="90"/>
      <c r="D336" s="90"/>
      <c r="E336" s="90"/>
      <c r="F336" s="90"/>
      <c r="G336" s="91"/>
      <c r="H336" s="89"/>
      <c r="I336" s="125"/>
      <c r="J336" s="125"/>
      <c r="K336" s="90"/>
      <c r="L336" s="90"/>
      <c r="M336" s="100"/>
      <c r="N336" s="100"/>
      <c r="O336" s="101"/>
      <c r="P336" s="90"/>
    </row>
    <row r="337" spans="1:16" x14ac:dyDescent="0.25">
      <c r="A337" s="90"/>
      <c r="B337" s="127"/>
      <c r="C337" s="90"/>
      <c r="D337" s="90"/>
      <c r="E337" s="90"/>
      <c r="F337" s="90"/>
      <c r="G337" s="91"/>
      <c r="H337" s="89"/>
      <c r="I337" s="125"/>
      <c r="J337" s="125"/>
      <c r="K337" s="90"/>
      <c r="L337" s="90"/>
      <c r="M337" s="100"/>
      <c r="N337" s="100"/>
      <c r="O337" s="101"/>
      <c r="P337" s="90"/>
    </row>
    <row r="338" spans="1:16" x14ac:dyDescent="0.25">
      <c r="A338" s="90"/>
      <c r="B338" s="127"/>
      <c r="C338" s="90"/>
      <c r="D338" s="90"/>
      <c r="E338" s="90"/>
      <c r="F338" s="90"/>
      <c r="G338" s="91"/>
      <c r="H338" s="89"/>
      <c r="I338" s="125"/>
      <c r="J338" s="125"/>
      <c r="K338" s="90"/>
      <c r="L338" s="90"/>
      <c r="M338" s="100"/>
      <c r="N338" s="100"/>
      <c r="O338" s="101"/>
      <c r="P338" s="90"/>
    </row>
    <row r="339" spans="1:16" x14ac:dyDescent="0.25">
      <c r="A339" s="90"/>
      <c r="B339" s="127"/>
      <c r="C339" s="90"/>
      <c r="D339" s="90"/>
      <c r="E339" s="90"/>
      <c r="F339" s="90"/>
      <c r="G339" s="91"/>
      <c r="H339" s="89"/>
      <c r="I339" s="125"/>
      <c r="J339" s="125"/>
      <c r="K339" s="90"/>
      <c r="L339" s="90"/>
      <c r="M339" s="100"/>
      <c r="N339" s="100"/>
      <c r="O339" s="101"/>
      <c r="P339" s="90"/>
    </row>
    <row r="340" spans="1:16" x14ac:dyDescent="0.25">
      <c r="A340" s="90"/>
      <c r="B340" s="127"/>
      <c r="C340" s="90"/>
      <c r="D340" s="90"/>
      <c r="E340" s="90"/>
      <c r="F340" s="90"/>
      <c r="G340" s="91"/>
      <c r="H340" s="89"/>
      <c r="I340" s="125"/>
      <c r="J340" s="125"/>
      <c r="K340" s="90"/>
      <c r="L340" s="90"/>
      <c r="M340" s="100"/>
      <c r="N340" s="100"/>
      <c r="O340" s="101"/>
      <c r="P340" s="90"/>
    </row>
    <row r="341" spans="1:16" x14ac:dyDescent="0.25">
      <c r="A341" s="90"/>
      <c r="B341" s="127"/>
      <c r="C341" s="90"/>
      <c r="D341" s="90"/>
      <c r="E341" s="90"/>
      <c r="F341" s="90"/>
      <c r="G341" s="91"/>
      <c r="H341" s="89"/>
      <c r="I341" s="125"/>
      <c r="J341" s="125"/>
      <c r="K341" s="90"/>
      <c r="L341" s="90"/>
      <c r="M341" s="100"/>
      <c r="N341" s="100"/>
      <c r="O341" s="101"/>
      <c r="P341" s="90"/>
    </row>
    <row r="342" spans="1:16" x14ac:dyDescent="0.25">
      <c r="A342" s="90"/>
      <c r="B342" s="127"/>
      <c r="C342" s="90"/>
      <c r="D342" s="90"/>
      <c r="E342" s="90"/>
      <c r="F342" s="90"/>
      <c r="G342" s="91"/>
      <c r="H342" s="89"/>
      <c r="I342" s="125"/>
      <c r="J342" s="125"/>
      <c r="K342" s="90"/>
      <c r="L342" s="90"/>
      <c r="M342" s="100"/>
      <c r="N342" s="100"/>
      <c r="O342" s="101"/>
      <c r="P342" s="90"/>
    </row>
    <row r="343" spans="1:16" x14ac:dyDescent="0.25">
      <c r="A343" s="90"/>
      <c r="B343" s="127"/>
      <c r="C343" s="90"/>
      <c r="D343" s="90"/>
      <c r="E343" s="90"/>
      <c r="F343" s="90"/>
      <c r="G343" s="91"/>
      <c r="H343" s="89"/>
      <c r="I343" s="125"/>
      <c r="J343" s="125"/>
      <c r="K343" s="90"/>
      <c r="L343" s="90"/>
      <c r="M343" s="100"/>
      <c r="N343" s="100"/>
      <c r="O343" s="101"/>
      <c r="P343" s="90"/>
    </row>
    <row r="344" spans="1:16" x14ac:dyDescent="0.25">
      <c r="A344" s="90"/>
      <c r="B344" s="127"/>
      <c r="C344" s="90"/>
      <c r="D344" s="90"/>
      <c r="E344" s="90"/>
      <c r="F344" s="90"/>
      <c r="G344" s="91"/>
      <c r="H344" s="89"/>
      <c r="I344" s="125"/>
      <c r="J344" s="125"/>
      <c r="K344" s="90"/>
      <c r="L344" s="90"/>
      <c r="M344" s="100"/>
      <c r="N344" s="100"/>
      <c r="O344" s="101"/>
      <c r="P344" s="90"/>
    </row>
    <row r="345" spans="1:16" x14ac:dyDescent="0.25">
      <c r="A345" s="90"/>
      <c r="B345" s="127"/>
      <c r="C345" s="90"/>
      <c r="D345" s="90"/>
      <c r="E345" s="90"/>
      <c r="F345" s="90"/>
      <c r="G345" s="91"/>
      <c r="H345" s="89"/>
      <c r="I345" s="125"/>
      <c r="J345" s="125"/>
      <c r="K345" s="90"/>
      <c r="L345" s="90"/>
      <c r="M345" s="100"/>
      <c r="N345" s="100"/>
      <c r="O345" s="101"/>
      <c r="P345" s="90"/>
    </row>
    <row r="346" spans="1:16" x14ac:dyDescent="0.25">
      <c r="A346" s="90"/>
      <c r="B346" s="127"/>
      <c r="C346" s="90"/>
      <c r="D346" s="90"/>
      <c r="E346" s="90"/>
      <c r="F346" s="90"/>
      <c r="G346" s="91"/>
      <c r="H346" s="89"/>
      <c r="I346" s="125"/>
      <c r="J346" s="125"/>
      <c r="K346" s="90"/>
      <c r="L346" s="90"/>
      <c r="M346" s="100"/>
      <c r="N346" s="100"/>
      <c r="O346" s="101"/>
      <c r="P346" s="90"/>
    </row>
    <row r="347" spans="1:16" x14ac:dyDescent="0.25">
      <c r="A347" s="90"/>
      <c r="B347" s="127"/>
      <c r="C347" s="90"/>
      <c r="D347" s="90"/>
      <c r="E347" s="90"/>
      <c r="F347" s="90"/>
      <c r="G347" s="91"/>
      <c r="H347" s="89"/>
      <c r="I347" s="125"/>
      <c r="J347" s="125"/>
      <c r="K347" s="90"/>
      <c r="L347" s="90"/>
      <c r="M347" s="100"/>
      <c r="N347" s="100"/>
      <c r="O347" s="101"/>
      <c r="P347" s="90"/>
    </row>
    <row r="348" spans="1:16" x14ac:dyDescent="0.25">
      <c r="A348" s="90"/>
      <c r="B348" s="127"/>
      <c r="C348" s="90"/>
      <c r="D348" s="90"/>
      <c r="E348" s="90"/>
      <c r="F348" s="90"/>
      <c r="G348" s="91"/>
      <c r="H348" s="89"/>
      <c r="I348" s="125"/>
      <c r="J348" s="125"/>
      <c r="K348" s="90"/>
      <c r="L348" s="90"/>
      <c r="M348" s="100"/>
      <c r="N348" s="100"/>
      <c r="O348" s="101"/>
      <c r="P348" s="90"/>
    </row>
    <row r="349" spans="1:16" x14ac:dyDescent="0.25">
      <c r="A349" s="90"/>
      <c r="B349" s="127"/>
      <c r="C349" s="90"/>
      <c r="D349" s="90"/>
      <c r="E349" s="90"/>
      <c r="F349" s="90"/>
      <c r="G349" s="91"/>
      <c r="H349" s="89"/>
      <c r="I349" s="125"/>
      <c r="J349" s="125"/>
      <c r="K349" s="90"/>
      <c r="L349" s="90"/>
      <c r="M349" s="100"/>
      <c r="N349" s="100"/>
      <c r="O349" s="101"/>
      <c r="P349" s="90"/>
    </row>
    <row r="350" spans="1:16" x14ac:dyDescent="0.25">
      <c r="A350" s="90"/>
      <c r="B350" s="127"/>
      <c r="C350" s="90"/>
      <c r="D350" s="90"/>
      <c r="E350" s="90"/>
      <c r="F350" s="90"/>
      <c r="G350" s="91"/>
      <c r="H350" s="89"/>
      <c r="I350" s="125"/>
      <c r="J350" s="125"/>
      <c r="K350" s="90"/>
      <c r="L350" s="90"/>
      <c r="M350" s="100"/>
      <c r="N350" s="100"/>
      <c r="O350" s="101"/>
      <c r="P350" s="90"/>
    </row>
    <row r="351" spans="1:16" x14ac:dyDescent="0.25">
      <c r="A351" s="90"/>
      <c r="B351" s="127"/>
      <c r="C351" s="90"/>
      <c r="D351" s="90"/>
      <c r="E351" s="90"/>
      <c r="F351" s="90"/>
      <c r="G351" s="91"/>
      <c r="H351" s="89"/>
      <c r="I351" s="125"/>
      <c r="J351" s="125"/>
      <c r="K351" s="90"/>
      <c r="L351" s="90"/>
      <c r="M351" s="100"/>
      <c r="N351" s="100"/>
      <c r="O351" s="101"/>
      <c r="P351" s="90"/>
    </row>
    <row r="352" spans="1:16" x14ac:dyDescent="0.25">
      <c r="A352" s="90"/>
      <c r="B352" s="127"/>
      <c r="C352" s="90"/>
      <c r="D352" s="90"/>
      <c r="E352" s="90"/>
      <c r="F352" s="90"/>
      <c r="G352" s="91"/>
      <c r="H352" s="89"/>
      <c r="I352" s="125"/>
      <c r="J352" s="125"/>
      <c r="K352" s="90"/>
      <c r="L352" s="90"/>
      <c r="M352" s="100"/>
      <c r="N352" s="100"/>
      <c r="O352" s="101"/>
      <c r="P352" s="90"/>
    </row>
    <row r="353" spans="1:16" x14ac:dyDescent="0.25">
      <c r="A353" s="90"/>
      <c r="B353" s="127"/>
      <c r="C353" s="90"/>
      <c r="D353" s="90"/>
      <c r="E353" s="90"/>
      <c r="F353" s="90"/>
      <c r="G353" s="91"/>
      <c r="H353" s="89"/>
      <c r="I353" s="125"/>
      <c r="J353" s="125"/>
      <c r="K353" s="90"/>
      <c r="L353" s="90"/>
      <c r="M353" s="100"/>
      <c r="N353" s="100"/>
      <c r="O353" s="101"/>
      <c r="P353" s="90"/>
    </row>
    <row r="354" spans="1:16" x14ac:dyDescent="0.25">
      <c r="A354" s="90"/>
      <c r="B354" s="127"/>
      <c r="C354" s="90"/>
      <c r="D354" s="90"/>
      <c r="E354" s="90"/>
      <c r="F354" s="90"/>
      <c r="G354" s="91"/>
      <c r="H354" s="89"/>
      <c r="I354" s="125"/>
      <c r="J354" s="125"/>
      <c r="K354" s="90"/>
      <c r="L354" s="90"/>
      <c r="M354" s="100"/>
      <c r="N354" s="100"/>
      <c r="O354" s="101"/>
      <c r="P354" s="90"/>
    </row>
    <row r="355" spans="1:16" x14ac:dyDescent="0.25">
      <c r="A355" s="90"/>
      <c r="B355" s="127"/>
      <c r="C355" s="90"/>
      <c r="D355" s="90"/>
      <c r="E355" s="90"/>
      <c r="F355" s="90"/>
      <c r="G355" s="91"/>
      <c r="H355" s="89"/>
      <c r="I355" s="125"/>
      <c r="J355" s="125"/>
      <c r="K355" s="90"/>
      <c r="L355" s="90"/>
      <c r="M355" s="100"/>
      <c r="N355" s="100"/>
      <c r="O355" s="101"/>
      <c r="P355" s="90"/>
    </row>
    <row r="356" spans="1:16" x14ac:dyDescent="0.25">
      <c r="A356" s="90"/>
      <c r="B356" s="127"/>
      <c r="C356" s="90"/>
      <c r="D356" s="90"/>
      <c r="E356" s="90"/>
      <c r="F356" s="90"/>
      <c r="G356" s="91"/>
      <c r="H356" s="89"/>
      <c r="I356" s="125"/>
      <c r="J356" s="125"/>
      <c r="K356" s="90"/>
      <c r="L356" s="90"/>
      <c r="M356" s="100"/>
      <c r="N356" s="100"/>
      <c r="O356" s="101"/>
      <c r="P356" s="90"/>
    </row>
    <row r="357" spans="1:16" x14ac:dyDescent="0.25">
      <c r="A357" s="90"/>
      <c r="B357" s="127"/>
      <c r="C357" s="90"/>
      <c r="D357" s="90"/>
      <c r="E357" s="90"/>
      <c r="F357" s="90"/>
      <c r="G357" s="91"/>
      <c r="H357" s="89"/>
      <c r="I357" s="125"/>
      <c r="J357" s="125"/>
      <c r="K357" s="90"/>
      <c r="L357" s="90"/>
      <c r="M357" s="100"/>
      <c r="N357" s="100"/>
      <c r="O357" s="101"/>
      <c r="P357" s="90"/>
    </row>
    <row r="358" spans="1:16" x14ac:dyDescent="0.25">
      <c r="A358" s="90"/>
      <c r="B358" s="127"/>
      <c r="C358" s="90"/>
      <c r="D358" s="90"/>
      <c r="E358" s="90"/>
      <c r="F358" s="90"/>
      <c r="G358" s="91"/>
      <c r="H358" s="89"/>
      <c r="I358" s="125"/>
      <c r="J358" s="125"/>
      <c r="K358" s="90"/>
      <c r="L358" s="90"/>
      <c r="M358" s="100"/>
      <c r="N358" s="100"/>
      <c r="O358" s="101"/>
      <c r="P358" s="90"/>
    </row>
    <row r="359" spans="1:16" x14ac:dyDescent="0.25">
      <c r="A359" s="90"/>
      <c r="B359" s="127"/>
      <c r="C359" s="90"/>
      <c r="D359" s="90"/>
      <c r="E359" s="90"/>
      <c r="F359" s="90"/>
      <c r="G359" s="91"/>
      <c r="H359" s="89"/>
      <c r="I359" s="125"/>
      <c r="J359" s="125"/>
      <c r="K359" s="90"/>
      <c r="L359" s="90"/>
      <c r="M359" s="100"/>
      <c r="N359" s="100"/>
      <c r="O359" s="101"/>
      <c r="P359" s="90"/>
    </row>
    <row r="360" spans="1:16" x14ac:dyDescent="0.25">
      <c r="A360" s="90"/>
      <c r="B360" s="127"/>
      <c r="C360" s="90"/>
      <c r="D360" s="90"/>
      <c r="E360" s="90"/>
      <c r="F360" s="90"/>
      <c r="G360" s="91"/>
      <c r="H360" s="89"/>
      <c r="I360" s="125"/>
      <c r="J360" s="125"/>
      <c r="K360" s="90"/>
      <c r="L360" s="90"/>
      <c r="M360" s="100"/>
      <c r="N360" s="100"/>
      <c r="O360" s="101"/>
      <c r="P360" s="90"/>
    </row>
    <row r="361" spans="1:16" x14ac:dyDescent="0.25">
      <c r="A361" s="90"/>
      <c r="B361" s="127"/>
      <c r="C361" s="90"/>
      <c r="D361" s="90"/>
      <c r="E361" s="90"/>
      <c r="F361" s="90"/>
      <c r="G361" s="91"/>
      <c r="H361" s="89"/>
      <c r="I361" s="125"/>
      <c r="J361" s="125"/>
      <c r="K361" s="90"/>
      <c r="L361" s="90"/>
      <c r="M361" s="100"/>
      <c r="N361" s="100"/>
      <c r="O361" s="101"/>
      <c r="P361" s="90"/>
    </row>
    <row r="362" spans="1:16" x14ac:dyDescent="0.25">
      <c r="A362" s="90"/>
      <c r="B362" s="127"/>
      <c r="C362" s="90"/>
      <c r="D362" s="90"/>
      <c r="E362" s="90"/>
      <c r="F362" s="90"/>
      <c r="G362" s="91"/>
      <c r="H362" s="89"/>
      <c r="I362" s="125"/>
      <c r="J362" s="125"/>
      <c r="K362" s="90"/>
      <c r="L362" s="90"/>
      <c r="M362" s="100"/>
      <c r="N362" s="100"/>
      <c r="O362" s="101"/>
      <c r="P362" s="90"/>
    </row>
    <row r="363" spans="1:16" x14ac:dyDescent="0.25">
      <c r="A363" s="90"/>
      <c r="B363" s="127"/>
      <c r="C363" s="90"/>
      <c r="D363" s="90"/>
      <c r="E363" s="90"/>
      <c r="F363" s="90"/>
      <c r="G363" s="91"/>
      <c r="H363" s="89"/>
      <c r="I363" s="125"/>
      <c r="J363" s="125"/>
      <c r="K363" s="90"/>
      <c r="L363" s="90"/>
      <c r="M363" s="100"/>
      <c r="N363" s="100"/>
      <c r="O363" s="101"/>
      <c r="P363" s="90"/>
    </row>
    <row r="364" spans="1:16" x14ac:dyDescent="0.25">
      <c r="A364" s="90"/>
      <c r="B364" s="127"/>
      <c r="C364" s="90"/>
      <c r="D364" s="90"/>
      <c r="E364" s="90"/>
      <c r="F364" s="90"/>
      <c r="G364" s="91"/>
      <c r="H364" s="89"/>
      <c r="I364" s="125"/>
      <c r="J364" s="125"/>
      <c r="K364" s="90"/>
      <c r="L364" s="90"/>
      <c r="M364" s="100"/>
      <c r="N364" s="100"/>
      <c r="O364" s="101"/>
      <c r="P364" s="90"/>
    </row>
    <row r="365" spans="1:16" x14ac:dyDescent="0.25">
      <c r="A365" s="90"/>
      <c r="B365" s="127"/>
      <c r="C365" s="90"/>
      <c r="D365" s="90"/>
      <c r="E365" s="90"/>
      <c r="F365" s="90"/>
      <c r="G365" s="91"/>
      <c r="H365" s="89"/>
      <c r="I365" s="125"/>
      <c r="J365" s="125"/>
      <c r="K365" s="90"/>
      <c r="L365" s="90"/>
      <c r="M365" s="100"/>
      <c r="N365" s="100"/>
      <c r="O365" s="101"/>
      <c r="P365" s="90"/>
    </row>
    <row r="366" spans="1:16" x14ac:dyDescent="0.25">
      <c r="A366" s="90"/>
      <c r="B366" s="127"/>
      <c r="C366" s="90"/>
      <c r="D366" s="90"/>
      <c r="E366" s="90"/>
      <c r="F366" s="90"/>
      <c r="G366" s="91"/>
      <c r="H366" s="89"/>
      <c r="I366" s="125"/>
      <c r="J366" s="125"/>
      <c r="K366" s="90"/>
      <c r="L366" s="90"/>
      <c r="M366" s="100"/>
      <c r="N366" s="100"/>
      <c r="O366" s="101"/>
      <c r="P366" s="90"/>
    </row>
    <row r="367" spans="1:16" x14ac:dyDescent="0.25">
      <c r="A367" s="90"/>
      <c r="B367" s="127"/>
      <c r="C367" s="90"/>
      <c r="D367" s="90"/>
      <c r="E367" s="90"/>
      <c r="F367" s="90"/>
      <c r="G367" s="91"/>
      <c r="H367" s="89"/>
      <c r="I367" s="125"/>
      <c r="J367" s="125"/>
      <c r="K367" s="90"/>
      <c r="L367" s="90"/>
      <c r="M367" s="100"/>
      <c r="N367" s="100"/>
      <c r="O367" s="101"/>
      <c r="P367" s="90"/>
    </row>
    <row r="368" spans="1:16" x14ac:dyDescent="0.25">
      <c r="A368" s="90"/>
      <c r="B368" s="127"/>
      <c r="C368" s="90"/>
      <c r="D368" s="90"/>
      <c r="E368" s="90"/>
      <c r="F368" s="90"/>
      <c r="G368" s="91"/>
      <c r="H368" s="89"/>
      <c r="I368" s="125"/>
      <c r="J368" s="125"/>
      <c r="K368" s="90"/>
      <c r="L368" s="90"/>
      <c r="M368" s="100"/>
      <c r="N368" s="100"/>
      <c r="O368" s="101"/>
      <c r="P368" s="90"/>
    </row>
    <row r="369" spans="1:16" x14ac:dyDescent="0.25">
      <c r="A369" s="90"/>
      <c r="B369" s="127"/>
      <c r="C369" s="90"/>
      <c r="D369" s="90"/>
      <c r="E369" s="90"/>
      <c r="F369" s="90"/>
      <c r="G369" s="91"/>
      <c r="H369" s="89"/>
      <c r="I369" s="125"/>
      <c r="J369" s="125"/>
      <c r="K369" s="90"/>
      <c r="L369" s="90"/>
      <c r="M369" s="100"/>
      <c r="N369" s="100"/>
      <c r="O369" s="101"/>
      <c r="P369" s="90"/>
    </row>
    <row r="370" spans="1:16" x14ac:dyDescent="0.25">
      <c r="A370" s="90"/>
      <c r="B370" s="127"/>
      <c r="C370" s="90"/>
      <c r="D370" s="90"/>
      <c r="E370" s="90"/>
      <c r="F370" s="90"/>
      <c r="G370" s="91"/>
      <c r="H370" s="89"/>
      <c r="I370" s="125"/>
      <c r="J370" s="125"/>
      <c r="K370" s="90"/>
      <c r="L370" s="90"/>
      <c r="M370" s="100"/>
      <c r="N370" s="100"/>
      <c r="O370" s="101"/>
      <c r="P370" s="90"/>
    </row>
    <row r="371" spans="1:16" x14ac:dyDescent="0.25">
      <c r="A371" s="90"/>
      <c r="B371" s="127"/>
      <c r="C371" s="90"/>
      <c r="D371" s="90"/>
      <c r="E371" s="90"/>
      <c r="F371" s="90"/>
      <c r="G371" s="91"/>
      <c r="H371" s="89"/>
      <c r="I371" s="125"/>
      <c r="J371" s="125"/>
      <c r="K371" s="90"/>
      <c r="L371" s="90"/>
      <c r="M371" s="100"/>
      <c r="N371" s="100"/>
      <c r="O371" s="101"/>
      <c r="P371" s="90"/>
    </row>
    <row r="372" spans="1:16" x14ac:dyDescent="0.25">
      <c r="A372" s="90"/>
      <c r="B372" s="127"/>
      <c r="C372" s="90"/>
      <c r="D372" s="90"/>
      <c r="E372" s="90"/>
      <c r="F372" s="90"/>
      <c r="G372" s="91"/>
      <c r="H372" s="90"/>
      <c r="I372" s="90"/>
      <c r="J372" s="90"/>
      <c r="K372" s="90"/>
      <c r="L372" s="90"/>
      <c r="M372" s="100"/>
      <c r="N372" s="100"/>
      <c r="O372" s="101"/>
      <c r="P372" s="90"/>
    </row>
    <row r="373" spans="1:16" x14ac:dyDescent="0.25">
      <c r="A373" s="90"/>
      <c r="B373" s="127"/>
      <c r="C373" s="90"/>
      <c r="D373" s="90"/>
      <c r="E373" s="90"/>
      <c r="F373" s="90"/>
      <c r="G373" s="91"/>
      <c r="H373" s="90"/>
      <c r="I373" s="90"/>
      <c r="J373" s="90"/>
      <c r="K373" s="90"/>
      <c r="L373" s="90"/>
      <c r="M373" s="100"/>
      <c r="N373" s="100"/>
      <c r="O373" s="101"/>
      <c r="P373" s="90"/>
    </row>
    <row r="374" spans="1:16" x14ac:dyDescent="0.25">
      <c r="A374" s="90"/>
      <c r="B374" s="127"/>
      <c r="C374" s="90"/>
      <c r="D374" s="90"/>
      <c r="E374" s="90"/>
      <c r="F374" s="90"/>
      <c r="G374" s="91"/>
      <c r="H374" s="89"/>
      <c r="I374" s="90"/>
      <c r="J374" s="90"/>
      <c r="K374" s="90"/>
      <c r="L374" s="90"/>
      <c r="M374" s="100"/>
      <c r="N374" s="100"/>
      <c r="O374" s="90"/>
      <c r="P374" s="90"/>
    </row>
    <row r="375" spans="1:16" x14ac:dyDescent="0.25">
      <c r="A375" s="90"/>
      <c r="B375" s="127"/>
      <c r="C375" s="90"/>
      <c r="D375" s="90"/>
      <c r="E375" s="90"/>
      <c r="F375" s="90"/>
      <c r="G375" s="91"/>
      <c r="H375" s="90"/>
      <c r="I375" s="90"/>
      <c r="J375" s="90"/>
      <c r="K375" s="90"/>
      <c r="L375" s="90"/>
      <c r="M375" s="100"/>
      <c r="N375" s="100"/>
      <c r="O375" s="90"/>
      <c r="P375" s="90"/>
    </row>
    <row r="376" spans="1:16" x14ac:dyDescent="0.25">
      <c r="A376" s="90"/>
      <c r="B376" s="127"/>
      <c r="C376" s="90"/>
      <c r="D376" s="90"/>
      <c r="E376" s="90"/>
      <c r="F376" s="90"/>
      <c r="G376" s="91"/>
      <c r="H376" s="90"/>
      <c r="I376" s="90"/>
      <c r="J376" s="90"/>
      <c r="K376" s="90"/>
      <c r="L376" s="90"/>
      <c r="M376" s="100"/>
      <c r="N376" s="100"/>
      <c r="O376" s="90"/>
      <c r="P376" s="90"/>
    </row>
    <row r="377" spans="1:16" x14ac:dyDescent="0.25">
      <c r="A377" s="90"/>
      <c r="B377" s="127"/>
      <c r="C377" s="90"/>
      <c r="D377" s="90"/>
      <c r="E377" s="90"/>
      <c r="F377" s="90"/>
      <c r="G377" s="91"/>
      <c r="H377" s="90"/>
      <c r="I377" s="90"/>
      <c r="J377" s="90"/>
      <c r="K377" s="90"/>
      <c r="L377" s="90"/>
      <c r="M377" s="100"/>
      <c r="N377" s="100"/>
      <c r="O377" s="90"/>
      <c r="P377" s="90"/>
    </row>
    <row r="378" spans="1:16" x14ac:dyDescent="0.25">
      <c r="A378" s="90"/>
      <c r="B378" s="127"/>
      <c r="C378" s="90"/>
      <c r="D378" s="90"/>
      <c r="E378" s="90"/>
      <c r="F378" s="90"/>
      <c r="G378" s="91"/>
      <c r="H378" s="89"/>
      <c r="I378" s="90"/>
      <c r="J378" s="90"/>
      <c r="K378" s="90"/>
      <c r="L378" s="90"/>
      <c r="M378" s="100"/>
      <c r="N378" s="100"/>
      <c r="O378" s="90"/>
      <c r="P378" s="90"/>
    </row>
    <row r="379" spans="1:16" x14ac:dyDescent="0.25">
      <c r="A379" s="90"/>
      <c r="B379" s="127"/>
      <c r="C379" s="90"/>
      <c r="D379" s="90"/>
      <c r="E379" s="90"/>
      <c r="F379" s="90"/>
      <c r="G379" s="91"/>
      <c r="H379" s="90"/>
      <c r="I379" s="90"/>
      <c r="J379" s="90"/>
      <c r="K379" s="90"/>
      <c r="L379" s="90"/>
      <c r="M379" s="100"/>
      <c r="N379" s="100"/>
      <c r="O379" s="90"/>
      <c r="P379" s="90"/>
    </row>
    <row r="380" spans="1:16" x14ac:dyDescent="0.25">
      <c r="A380" s="90"/>
      <c r="B380" s="127"/>
      <c r="C380" s="90"/>
      <c r="D380" s="90"/>
      <c r="E380" s="90"/>
      <c r="F380" s="90"/>
      <c r="G380" s="91"/>
      <c r="H380" s="90"/>
      <c r="I380" s="90"/>
      <c r="J380" s="90"/>
      <c r="K380" s="90"/>
      <c r="L380" s="90"/>
      <c r="M380" s="100"/>
      <c r="N380" s="100"/>
      <c r="O380" s="90"/>
      <c r="P380" s="90"/>
    </row>
    <row r="381" spans="1:16" x14ac:dyDescent="0.25">
      <c r="A381" s="90"/>
      <c r="B381" s="127"/>
      <c r="C381" s="90"/>
      <c r="D381" s="90"/>
      <c r="E381" s="90"/>
      <c r="F381" s="90"/>
      <c r="G381" s="91"/>
      <c r="H381" s="89"/>
      <c r="I381" s="90"/>
      <c r="J381" s="90"/>
      <c r="K381" s="90"/>
      <c r="L381" s="90"/>
      <c r="M381" s="100"/>
      <c r="N381" s="100"/>
      <c r="O381" s="90"/>
      <c r="P381" s="90"/>
    </row>
    <row r="382" spans="1:16" x14ac:dyDescent="0.25">
      <c r="A382" s="90"/>
      <c r="B382" s="127"/>
      <c r="C382" s="90"/>
      <c r="D382" s="90"/>
      <c r="E382" s="90"/>
      <c r="F382" s="90"/>
      <c r="G382" s="91"/>
      <c r="H382" s="90"/>
      <c r="I382" s="90"/>
      <c r="J382" s="90"/>
      <c r="K382" s="90"/>
      <c r="L382" s="90"/>
      <c r="M382" s="100"/>
      <c r="N382" s="100"/>
      <c r="O382" s="90"/>
      <c r="P382" s="90"/>
    </row>
    <row r="383" spans="1:16" x14ac:dyDescent="0.25">
      <c r="A383" s="90"/>
      <c r="B383" s="127"/>
      <c r="C383" s="90"/>
      <c r="D383" s="90"/>
      <c r="E383" s="90"/>
      <c r="F383" s="90"/>
      <c r="G383" s="91"/>
      <c r="H383" s="89"/>
      <c r="I383" s="90"/>
      <c r="J383" s="90"/>
      <c r="K383" s="90"/>
      <c r="L383" s="90"/>
      <c r="M383" s="100"/>
      <c r="N383" s="100"/>
      <c r="O383" s="90"/>
      <c r="P383" s="90"/>
    </row>
    <row r="384" spans="1:16" x14ac:dyDescent="0.25">
      <c r="A384" s="90"/>
      <c r="B384" s="127"/>
      <c r="C384" s="90"/>
      <c r="D384" s="90"/>
      <c r="E384" s="90"/>
      <c r="F384" s="90"/>
      <c r="G384" s="91"/>
      <c r="H384" s="90"/>
      <c r="I384" s="90"/>
      <c r="J384" s="90"/>
      <c r="K384" s="90"/>
      <c r="L384" s="90"/>
      <c r="M384" s="100"/>
      <c r="N384" s="100"/>
      <c r="O384" s="90"/>
      <c r="P384" s="90"/>
    </row>
    <row r="385" spans="1:16" x14ac:dyDescent="0.25">
      <c r="A385" s="90"/>
      <c r="B385" s="127"/>
      <c r="C385" s="90"/>
      <c r="D385" s="90"/>
      <c r="E385" s="90"/>
      <c r="F385" s="90"/>
      <c r="G385" s="91"/>
      <c r="H385" s="89"/>
      <c r="I385" s="125"/>
      <c r="J385" s="125"/>
      <c r="K385" s="90"/>
      <c r="L385" s="90"/>
      <c r="M385" s="100"/>
      <c r="N385" s="100"/>
      <c r="O385" s="90"/>
      <c r="P385" s="90"/>
    </row>
    <row r="386" spans="1:16" x14ac:dyDescent="0.25">
      <c r="A386" s="90"/>
      <c r="B386" s="127"/>
      <c r="C386" s="90"/>
      <c r="D386" s="90"/>
      <c r="E386" s="90"/>
      <c r="F386" s="90"/>
      <c r="G386" s="113"/>
      <c r="H386" s="108"/>
      <c r="I386" s="90"/>
      <c r="J386" s="90"/>
      <c r="K386" s="90"/>
      <c r="L386" s="90"/>
      <c r="M386" s="100"/>
      <c r="N386" s="100"/>
      <c r="O386" s="90"/>
      <c r="P386" s="90"/>
    </row>
    <row r="387" spans="1:16" x14ac:dyDescent="0.25">
      <c r="A387" s="90"/>
      <c r="B387" s="127"/>
      <c r="C387" s="90"/>
      <c r="D387" s="90"/>
      <c r="E387" s="90"/>
      <c r="F387" s="90"/>
      <c r="G387" s="113"/>
      <c r="H387" s="108"/>
      <c r="I387" s="90"/>
      <c r="J387" s="90"/>
      <c r="K387" s="90"/>
      <c r="L387" s="90"/>
      <c r="M387" s="100"/>
      <c r="N387" s="100"/>
      <c r="O387" s="90"/>
      <c r="P387" s="90"/>
    </row>
    <row r="388" spans="1:16" x14ac:dyDescent="0.25">
      <c r="A388" s="90"/>
      <c r="B388" s="127"/>
      <c r="C388" s="90"/>
      <c r="D388" s="90"/>
      <c r="E388" s="90"/>
      <c r="F388" s="90"/>
      <c r="G388" s="91"/>
      <c r="H388" s="89"/>
      <c r="I388" s="90"/>
      <c r="J388" s="90"/>
      <c r="K388" s="90"/>
      <c r="L388" s="90"/>
      <c r="M388" s="100"/>
      <c r="N388" s="100"/>
      <c r="O388" s="90"/>
      <c r="P388" s="90"/>
    </row>
    <row r="389" spans="1:16" x14ac:dyDescent="0.25">
      <c r="A389" s="90"/>
      <c r="B389" s="127"/>
      <c r="C389" s="90"/>
      <c r="D389" s="90"/>
      <c r="E389" s="90"/>
      <c r="F389" s="90"/>
      <c r="G389" s="91"/>
      <c r="H389" s="90"/>
      <c r="I389" s="90"/>
      <c r="J389" s="90"/>
      <c r="K389" s="90"/>
      <c r="L389" s="90"/>
      <c r="M389" s="100"/>
      <c r="N389" s="100"/>
      <c r="O389" s="90"/>
      <c r="P389" s="90"/>
    </row>
    <row r="390" spans="1:16" x14ac:dyDescent="0.25">
      <c r="A390" s="90"/>
      <c r="B390" s="127"/>
      <c r="C390" s="90"/>
      <c r="D390" s="90"/>
      <c r="E390" s="90"/>
      <c r="F390" s="90"/>
      <c r="G390" s="91"/>
      <c r="H390" s="89"/>
      <c r="I390" s="90"/>
      <c r="J390" s="90"/>
      <c r="K390" s="90"/>
      <c r="L390" s="90"/>
      <c r="M390" s="100"/>
      <c r="N390" s="100"/>
      <c r="O390" s="90"/>
      <c r="P390" s="90"/>
    </row>
    <row r="391" spans="1:16" x14ac:dyDescent="0.25">
      <c r="A391" s="90"/>
      <c r="B391" s="127"/>
      <c r="C391" s="90"/>
      <c r="D391" s="90"/>
      <c r="E391" s="90"/>
      <c r="F391" s="90"/>
      <c r="G391" s="91"/>
      <c r="H391" s="90"/>
      <c r="I391" s="90"/>
      <c r="J391" s="90"/>
      <c r="K391" s="90"/>
      <c r="L391" s="90"/>
      <c r="M391" s="100"/>
      <c r="N391" s="100"/>
      <c r="O391" s="90"/>
      <c r="P391" s="90"/>
    </row>
    <row r="392" spans="1:16" x14ac:dyDescent="0.25">
      <c r="A392" s="90"/>
      <c r="B392" s="127"/>
      <c r="C392" s="90"/>
      <c r="D392" s="90"/>
      <c r="E392" s="90"/>
      <c r="F392" s="90"/>
      <c r="G392" s="91"/>
      <c r="H392" s="89"/>
      <c r="I392" s="90"/>
      <c r="J392" s="90"/>
      <c r="K392" s="90"/>
      <c r="L392" s="90"/>
      <c r="M392" s="100"/>
      <c r="N392" s="100"/>
      <c r="O392" s="90"/>
      <c r="P392" s="90"/>
    </row>
    <row r="393" spans="1:16" x14ac:dyDescent="0.25">
      <c r="A393" s="90"/>
      <c r="B393" s="127"/>
      <c r="C393" s="90"/>
      <c r="D393" s="90"/>
      <c r="E393" s="90"/>
      <c r="F393" s="90"/>
      <c r="G393" s="91"/>
      <c r="H393" s="90"/>
      <c r="I393" s="90"/>
      <c r="J393" s="90"/>
      <c r="K393" s="90"/>
      <c r="L393" s="90"/>
      <c r="M393" s="100"/>
      <c r="N393" s="100"/>
      <c r="O393" s="90"/>
      <c r="P393" s="90"/>
    </row>
    <row r="394" spans="1:16" x14ac:dyDescent="0.25">
      <c r="A394" s="90"/>
      <c r="B394" s="127"/>
      <c r="C394" s="90"/>
      <c r="D394" s="90"/>
      <c r="E394" s="90"/>
      <c r="F394" s="90"/>
      <c r="G394" s="91"/>
      <c r="H394" s="90"/>
      <c r="I394" s="90"/>
      <c r="J394" s="90"/>
      <c r="K394" s="90"/>
      <c r="L394" s="90"/>
      <c r="M394" s="100"/>
      <c r="N394" s="100"/>
      <c r="O394" s="90"/>
      <c r="P394" s="90"/>
    </row>
    <row r="395" spans="1:16" x14ac:dyDescent="0.25">
      <c r="A395" s="90"/>
      <c r="B395" s="127"/>
      <c r="C395" s="90"/>
      <c r="D395" s="90"/>
      <c r="E395" s="90"/>
      <c r="F395" s="90"/>
      <c r="G395" s="91"/>
      <c r="H395" s="90"/>
      <c r="I395" s="90"/>
      <c r="J395" s="90"/>
      <c r="K395" s="90"/>
      <c r="L395" s="90"/>
      <c r="M395" s="100"/>
      <c r="N395" s="100"/>
      <c r="O395" s="90"/>
      <c r="P395" s="90"/>
    </row>
    <row r="396" spans="1:16" x14ac:dyDescent="0.25">
      <c r="A396" s="90"/>
      <c r="B396" s="127"/>
      <c r="C396" s="90"/>
      <c r="D396" s="90"/>
      <c r="E396" s="90"/>
      <c r="F396" s="90"/>
      <c r="G396" s="91"/>
      <c r="H396" s="89"/>
      <c r="I396" s="90"/>
      <c r="J396" s="90"/>
      <c r="K396" s="90"/>
      <c r="L396" s="90"/>
      <c r="M396" s="100"/>
      <c r="N396" s="100"/>
      <c r="O396" s="90"/>
      <c r="P396" s="90"/>
    </row>
    <row r="397" spans="1:16" x14ac:dyDescent="0.25">
      <c r="A397" s="90"/>
      <c r="B397" s="127"/>
      <c r="C397" s="90"/>
      <c r="D397" s="90"/>
      <c r="E397" s="90"/>
      <c r="F397" s="90"/>
      <c r="G397" s="91"/>
      <c r="H397" s="90"/>
      <c r="I397" s="90"/>
      <c r="J397" s="90"/>
      <c r="K397" s="90"/>
      <c r="L397" s="90"/>
      <c r="M397" s="100"/>
      <c r="N397" s="100"/>
      <c r="O397" s="90"/>
      <c r="P397" s="90"/>
    </row>
    <row r="398" spans="1:16" x14ac:dyDescent="0.25">
      <c r="A398" s="90"/>
      <c r="B398" s="127"/>
      <c r="C398" s="90"/>
      <c r="D398" s="90"/>
      <c r="E398" s="90"/>
      <c r="F398" s="90"/>
      <c r="G398" s="91"/>
      <c r="H398" s="90"/>
      <c r="I398" s="90"/>
      <c r="J398" s="90"/>
      <c r="K398" s="90"/>
      <c r="L398" s="90"/>
      <c r="M398" s="100"/>
      <c r="N398" s="100"/>
      <c r="O398" s="90"/>
      <c r="P398" s="90"/>
    </row>
    <row r="399" spans="1:16" x14ac:dyDescent="0.25">
      <c r="A399" s="90"/>
      <c r="B399" s="127"/>
      <c r="C399" s="90"/>
      <c r="D399" s="90"/>
      <c r="E399" s="90"/>
      <c r="F399" s="90"/>
      <c r="G399" s="91"/>
      <c r="H399" s="90"/>
      <c r="I399" s="90"/>
      <c r="J399" s="90"/>
      <c r="K399" s="90"/>
      <c r="L399" s="90"/>
      <c r="M399" s="100"/>
      <c r="N399" s="100"/>
      <c r="O399" s="90"/>
      <c r="P399" s="90"/>
    </row>
    <row r="400" spans="1:16" x14ac:dyDescent="0.25">
      <c r="A400" s="90"/>
      <c r="B400" s="127"/>
      <c r="C400" s="90"/>
      <c r="D400" s="90"/>
      <c r="E400" s="90"/>
      <c r="F400" s="90"/>
      <c r="G400" s="91"/>
      <c r="H400" s="90"/>
      <c r="I400" s="90"/>
      <c r="J400" s="90"/>
      <c r="K400" s="90"/>
      <c r="L400" s="90"/>
      <c r="M400" s="100"/>
      <c r="N400" s="100"/>
      <c r="O400" s="90"/>
      <c r="P400" s="90"/>
    </row>
    <row r="401" spans="1:16" x14ac:dyDescent="0.25">
      <c r="A401" s="90"/>
      <c r="B401" s="127"/>
      <c r="C401" s="90"/>
      <c r="D401" s="90"/>
      <c r="E401" s="90"/>
      <c r="F401" s="90"/>
      <c r="G401" s="91"/>
      <c r="H401" s="90"/>
      <c r="I401" s="90"/>
      <c r="J401" s="90"/>
      <c r="K401" s="90"/>
      <c r="L401" s="90"/>
      <c r="M401" s="100"/>
      <c r="N401" s="100"/>
      <c r="O401" s="90"/>
      <c r="P401" s="90"/>
    </row>
    <row r="402" spans="1:16" x14ac:dyDescent="0.25">
      <c r="A402" s="90"/>
      <c r="B402" s="127"/>
      <c r="C402" s="90"/>
      <c r="D402" s="90"/>
      <c r="E402" s="90"/>
      <c r="F402" s="90"/>
      <c r="G402" s="91"/>
      <c r="H402" s="90"/>
      <c r="I402" s="90"/>
      <c r="J402" s="90"/>
      <c r="K402" s="90"/>
      <c r="L402" s="90"/>
      <c r="M402" s="100"/>
      <c r="N402" s="100"/>
      <c r="O402" s="90"/>
      <c r="P402" s="90"/>
    </row>
    <row r="403" spans="1:16" x14ac:dyDescent="0.25">
      <c r="A403" s="90"/>
      <c r="B403" s="127"/>
      <c r="C403" s="90"/>
      <c r="D403" s="90"/>
      <c r="E403" s="90"/>
      <c r="F403" s="90"/>
      <c r="G403" s="91"/>
      <c r="H403" s="89"/>
      <c r="I403" s="90"/>
      <c r="J403" s="90"/>
      <c r="K403" s="90"/>
      <c r="L403" s="90"/>
      <c r="M403" s="100"/>
      <c r="N403" s="100"/>
      <c r="O403" s="90"/>
      <c r="P403" s="90"/>
    </row>
    <row r="404" spans="1:16" x14ac:dyDescent="0.25">
      <c r="A404" s="90"/>
      <c r="B404" s="127"/>
      <c r="C404" s="90"/>
      <c r="D404" s="90"/>
      <c r="E404" s="90"/>
      <c r="F404" s="90"/>
      <c r="G404" s="91"/>
      <c r="H404" s="89"/>
      <c r="I404" s="90"/>
      <c r="J404" s="90"/>
      <c r="K404" s="90"/>
      <c r="L404" s="90"/>
      <c r="M404" s="100"/>
      <c r="N404" s="100"/>
      <c r="O404" s="90"/>
      <c r="P404" s="90"/>
    </row>
    <row r="405" spans="1:16" x14ac:dyDescent="0.25">
      <c r="A405" s="90"/>
      <c r="B405" s="127"/>
      <c r="C405" s="90"/>
      <c r="D405" s="90"/>
      <c r="E405" s="90"/>
      <c r="F405" s="90"/>
      <c r="G405" s="91"/>
      <c r="H405" s="90"/>
      <c r="I405" s="90"/>
      <c r="J405" s="90"/>
      <c r="K405" s="90"/>
      <c r="L405" s="90"/>
      <c r="M405" s="100"/>
      <c r="N405" s="100"/>
      <c r="O405" s="90"/>
      <c r="P405" s="90"/>
    </row>
    <row r="406" spans="1:16" x14ac:dyDescent="0.25">
      <c r="A406" s="90"/>
      <c r="B406" s="127"/>
      <c r="C406" s="90"/>
      <c r="D406" s="90"/>
      <c r="E406" s="90"/>
      <c r="F406" s="90"/>
      <c r="G406" s="91"/>
      <c r="H406" s="89"/>
      <c r="I406" s="90"/>
      <c r="J406" s="90"/>
      <c r="K406" s="90"/>
      <c r="L406" s="90"/>
      <c r="M406" s="100"/>
      <c r="N406" s="100"/>
      <c r="O406" s="90"/>
      <c r="P406" s="90"/>
    </row>
    <row r="407" spans="1:16" x14ac:dyDescent="0.25">
      <c r="A407" s="90"/>
      <c r="B407" s="127"/>
      <c r="C407" s="90"/>
      <c r="D407" s="90"/>
      <c r="E407" s="90"/>
      <c r="F407" s="90"/>
      <c r="G407" s="91"/>
      <c r="H407" s="89"/>
      <c r="I407" s="90"/>
      <c r="J407" s="90"/>
      <c r="K407" s="90"/>
      <c r="L407" s="90"/>
      <c r="M407" s="100"/>
      <c r="N407" s="100"/>
      <c r="O407" s="90"/>
      <c r="P407" s="90"/>
    </row>
    <row r="408" spans="1:16" x14ac:dyDescent="0.25">
      <c r="A408" s="90"/>
      <c r="B408" s="127"/>
      <c r="C408" s="90"/>
      <c r="D408" s="90"/>
      <c r="E408" s="90"/>
      <c r="F408" s="90"/>
      <c r="G408" s="91"/>
      <c r="H408" s="89"/>
      <c r="I408" s="90"/>
      <c r="J408" s="90"/>
      <c r="K408" s="90"/>
      <c r="L408" s="90"/>
      <c r="M408" s="100"/>
      <c r="N408" s="100"/>
      <c r="O408" s="90"/>
      <c r="P408" s="90"/>
    </row>
    <row r="409" spans="1:16" x14ac:dyDescent="0.25">
      <c r="A409" s="90"/>
      <c r="B409" s="127"/>
      <c r="C409" s="90"/>
      <c r="D409" s="90"/>
      <c r="E409" s="90"/>
      <c r="F409" s="90"/>
      <c r="G409" s="91"/>
      <c r="H409" s="90"/>
      <c r="I409" s="90"/>
      <c r="J409" s="90"/>
      <c r="K409" s="90"/>
      <c r="L409" s="90"/>
      <c r="M409" s="100"/>
      <c r="N409" s="100"/>
      <c r="O409" s="90"/>
      <c r="P409" s="90"/>
    </row>
    <row r="410" spans="1:16" x14ac:dyDescent="0.25">
      <c r="A410" s="90"/>
      <c r="B410" s="127"/>
      <c r="C410" s="90"/>
      <c r="D410" s="90"/>
      <c r="E410" s="90"/>
      <c r="F410" s="90"/>
      <c r="G410" s="91"/>
      <c r="H410" s="90"/>
      <c r="I410" s="90"/>
      <c r="J410" s="90"/>
      <c r="K410" s="90"/>
      <c r="L410" s="90"/>
      <c r="M410" s="100"/>
      <c r="N410" s="100"/>
      <c r="O410" s="90"/>
      <c r="P410" s="90"/>
    </row>
  </sheetData>
  <autoFilter ref="A3:P201" xr:uid="{00000000-0009-0000-0000-000011000000}">
    <filterColumn colId="8">
      <filters>
        <filter val="333821"/>
      </filters>
    </filterColumn>
    <filterColumn colId="9">
      <filters>
        <filter val="131"/>
      </filters>
    </filterColumn>
    <sortState xmlns:xlrd2="http://schemas.microsoft.com/office/spreadsheetml/2017/richdata2" ref="A4:P103">
      <sortCondition ref="P3:P78"/>
    </sortState>
  </autoFilter>
  <mergeCells count="13">
    <mergeCell ref="N1:N2"/>
    <mergeCell ref="G1:G2"/>
    <mergeCell ref="H1:H2"/>
    <mergeCell ref="I1:J1"/>
    <mergeCell ref="K1:K2"/>
    <mergeCell ref="L1:L2"/>
    <mergeCell ref="M1:M2"/>
    <mergeCell ref="F1:F2"/>
    <mergeCell ref="A1:A2"/>
    <mergeCell ref="B1:B2"/>
    <mergeCell ref="C1:C2"/>
    <mergeCell ref="D1:D2"/>
    <mergeCell ref="E1:E2"/>
  </mergeCells>
  <hyperlinks>
    <hyperlink ref="P1" location="Summary!A1" display="Back to summary"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filterMode="1">
    <tabColor rgb="FF92D050"/>
  </sheetPr>
  <dimension ref="A1:Q177"/>
  <sheetViews>
    <sheetView workbookViewId="0">
      <selection activeCell="M120" sqref="M120:M176"/>
    </sheetView>
  </sheetViews>
  <sheetFormatPr defaultRowHeight="15" customHeight="1" x14ac:dyDescent="0.2"/>
  <cols>
    <col min="1" max="1" width="9.140625" style="12"/>
    <col min="2" max="2" width="10.7109375" style="36" bestFit="1" customWidth="1"/>
    <col min="3" max="5" width="9.140625" style="12"/>
    <col min="6" max="6" width="9.140625" style="14"/>
    <col min="7" max="7" width="11" style="14" bestFit="1" customWidth="1"/>
    <col min="8" max="8" width="45.7109375" style="12" customWidth="1"/>
    <col min="9" max="12" width="9.140625" style="12"/>
    <col min="13" max="14" width="11.5703125" style="17" bestFit="1" customWidth="1"/>
    <col min="15" max="15" width="10.5703125" style="12" bestFit="1" customWidth="1"/>
    <col min="16" max="16" width="9.140625" style="12"/>
    <col min="17" max="17" width="15.140625" style="12" bestFit="1" customWidth="1"/>
    <col min="18" max="16384" width="9.140625" style="12"/>
  </cols>
  <sheetData>
    <row r="1" spans="1:17" ht="15" customHeight="1" x14ac:dyDescent="0.2">
      <c r="A1" s="247" t="s">
        <v>0</v>
      </c>
      <c r="B1" s="251" t="s">
        <v>1</v>
      </c>
      <c r="C1" s="247" t="s">
        <v>2</v>
      </c>
      <c r="D1" s="249" t="s">
        <v>3</v>
      </c>
      <c r="E1" s="249" t="s">
        <v>4</v>
      </c>
      <c r="F1" s="280" t="s">
        <v>5</v>
      </c>
      <c r="G1" s="241" t="s">
        <v>6</v>
      </c>
      <c r="H1" s="243" t="s">
        <v>7</v>
      </c>
      <c r="I1" s="245" t="s">
        <v>8</v>
      </c>
      <c r="J1" s="246"/>
      <c r="K1" s="247" t="s">
        <v>9</v>
      </c>
      <c r="L1" s="247" t="s">
        <v>10</v>
      </c>
      <c r="M1" s="239" t="s">
        <v>76</v>
      </c>
      <c r="N1" s="239" t="s">
        <v>77</v>
      </c>
      <c r="O1" s="45" t="s">
        <v>78</v>
      </c>
      <c r="P1" s="146" t="s">
        <v>356</v>
      </c>
    </row>
    <row r="2" spans="1:17" ht="15" customHeight="1" x14ac:dyDescent="0.2">
      <c r="A2" s="248"/>
      <c r="B2" s="252"/>
      <c r="C2" s="248"/>
      <c r="D2" s="253"/>
      <c r="E2" s="253"/>
      <c r="F2" s="281"/>
      <c r="G2" s="242"/>
      <c r="H2" s="244"/>
      <c r="I2" s="46" t="s">
        <v>13</v>
      </c>
      <c r="J2" s="47" t="s">
        <v>14</v>
      </c>
      <c r="K2" s="248"/>
      <c r="L2" s="248"/>
      <c r="M2" s="240"/>
      <c r="N2" s="240"/>
      <c r="O2" s="38" t="s">
        <v>78</v>
      </c>
      <c r="P2" s="38"/>
    </row>
    <row r="3" spans="1:17" ht="15" customHeight="1" x14ac:dyDescent="0.2">
      <c r="A3" s="48"/>
      <c r="B3" s="54"/>
      <c r="C3" s="48">
        <v>296</v>
      </c>
      <c r="D3" s="49"/>
      <c r="E3" s="49"/>
      <c r="F3" s="50"/>
      <c r="G3" s="51" t="s">
        <v>15</v>
      </c>
      <c r="H3" s="52"/>
      <c r="I3" s="52"/>
      <c r="J3" s="52"/>
      <c r="K3" s="48"/>
      <c r="L3" s="48"/>
      <c r="M3" s="53"/>
      <c r="N3" s="53"/>
      <c r="O3" s="38" t="s">
        <v>16</v>
      </c>
      <c r="P3" s="38" t="s">
        <v>17</v>
      </c>
      <c r="Q3" s="12" t="s">
        <v>335</v>
      </c>
    </row>
    <row r="4" spans="1:17" ht="15" hidden="1" customHeight="1" x14ac:dyDescent="0.2">
      <c r="A4" s="12" t="s">
        <v>309</v>
      </c>
      <c r="B4" s="36">
        <v>46030</v>
      </c>
      <c r="C4" s="12">
        <f t="shared" ref="C4:C35" si="0">C3+D4</f>
        <v>297</v>
      </c>
      <c r="D4" s="38">
        <f t="shared" ref="D4:D34" si="1">IF(H4=H3,0,1)</f>
        <v>1</v>
      </c>
      <c r="G4" s="14" t="s">
        <v>4015</v>
      </c>
      <c r="H4" s="12" t="s">
        <v>4049</v>
      </c>
      <c r="I4" s="12">
        <v>112111</v>
      </c>
      <c r="J4" s="12">
        <v>131</v>
      </c>
      <c r="K4" s="12" t="s">
        <v>20</v>
      </c>
      <c r="L4" s="12">
        <v>1</v>
      </c>
      <c r="M4" s="17">
        <v>7983871</v>
      </c>
      <c r="N4" s="17">
        <f t="shared" ref="N4:N35" si="2">L4*M4</f>
        <v>7983871</v>
      </c>
      <c r="O4" s="17"/>
      <c r="Q4" s="12">
        <f t="shared" ref="Q4:Q35" si="3">LEN(H4)</f>
        <v>136</v>
      </c>
    </row>
    <row r="5" spans="1:17" ht="15" hidden="1" customHeight="1" x14ac:dyDescent="0.2">
      <c r="A5" s="12" t="s">
        <v>309</v>
      </c>
      <c r="B5" s="36">
        <v>46031</v>
      </c>
      <c r="C5" s="12">
        <f t="shared" si="0"/>
        <v>298</v>
      </c>
      <c r="D5" s="38">
        <f t="shared" si="1"/>
        <v>1</v>
      </c>
      <c r="F5" s="12"/>
      <c r="G5" s="14" t="s">
        <v>4016</v>
      </c>
      <c r="H5" s="12" t="s">
        <v>4017</v>
      </c>
      <c r="I5" s="12">
        <v>112111</v>
      </c>
      <c r="J5" s="12">
        <v>131</v>
      </c>
      <c r="K5" s="12" t="s">
        <v>20</v>
      </c>
      <c r="L5" s="12">
        <v>1</v>
      </c>
      <c r="M5" s="17">
        <v>23419355</v>
      </c>
      <c r="N5" s="17">
        <f t="shared" si="2"/>
        <v>23419355</v>
      </c>
      <c r="O5" s="17"/>
      <c r="Q5" s="12">
        <f t="shared" si="3"/>
        <v>153</v>
      </c>
    </row>
    <row r="6" spans="1:17" ht="15" hidden="1" customHeight="1" x14ac:dyDescent="0.2">
      <c r="A6" s="12" t="s">
        <v>309</v>
      </c>
      <c r="B6" s="36">
        <v>46032</v>
      </c>
      <c r="C6" s="12">
        <f t="shared" si="0"/>
        <v>299</v>
      </c>
      <c r="D6" s="38">
        <f t="shared" si="1"/>
        <v>1</v>
      </c>
      <c r="F6" s="12"/>
      <c r="G6" s="14" t="s">
        <v>287</v>
      </c>
      <c r="H6" s="12" t="s">
        <v>4018</v>
      </c>
      <c r="I6" s="12">
        <v>112111</v>
      </c>
      <c r="J6" s="12">
        <v>131</v>
      </c>
      <c r="K6" s="12" t="s">
        <v>20</v>
      </c>
      <c r="L6" s="12">
        <v>1</v>
      </c>
      <c r="M6" s="17">
        <v>9580645</v>
      </c>
      <c r="N6" s="17">
        <f t="shared" si="2"/>
        <v>9580645</v>
      </c>
      <c r="O6" s="17"/>
      <c r="Q6" s="12">
        <f t="shared" si="3"/>
        <v>198</v>
      </c>
    </row>
    <row r="7" spans="1:17" ht="15" hidden="1" customHeight="1" x14ac:dyDescent="0.2">
      <c r="A7" s="12" t="s">
        <v>309</v>
      </c>
      <c r="B7" s="36">
        <v>46035</v>
      </c>
      <c r="C7" s="12">
        <f t="shared" si="0"/>
        <v>300</v>
      </c>
      <c r="D7" s="38">
        <f t="shared" si="1"/>
        <v>1</v>
      </c>
      <c r="F7" s="12"/>
      <c r="G7" s="14" t="s">
        <v>4019</v>
      </c>
      <c r="H7" s="12" t="s">
        <v>4020</v>
      </c>
      <c r="I7" s="12">
        <v>112111</v>
      </c>
      <c r="J7" s="12">
        <v>131</v>
      </c>
      <c r="K7" s="12" t="s">
        <v>20</v>
      </c>
      <c r="L7" s="12">
        <v>1</v>
      </c>
      <c r="M7" s="17">
        <v>25016129</v>
      </c>
      <c r="N7" s="17">
        <f t="shared" si="2"/>
        <v>25016129</v>
      </c>
      <c r="O7" s="17"/>
      <c r="Q7" s="12">
        <f t="shared" si="3"/>
        <v>159</v>
      </c>
    </row>
    <row r="8" spans="1:17" ht="15" hidden="1" customHeight="1" x14ac:dyDescent="0.2">
      <c r="A8" s="12" t="s">
        <v>309</v>
      </c>
      <c r="B8" s="36">
        <v>46042</v>
      </c>
      <c r="C8" s="12">
        <f t="shared" si="0"/>
        <v>301</v>
      </c>
      <c r="D8" s="38">
        <f t="shared" si="1"/>
        <v>1</v>
      </c>
      <c r="G8" s="14" t="s">
        <v>96</v>
      </c>
      <c r="H8" s="12" t="s">
        <v>4021</v>
      </c>
      <c r="I8" s="12">
        <v>112111</v>
      </c>
      <c r="J8" s="12">
        <v>131</v>
      </c>
      <c r="K8" s="12" t="s">
        <v>20</v>
      </c>
      <c r="L8" s="12">
        <v>1</v>
      </c>
      <c r="M8" s="17">
        <v>7451613</v>
      </c>
      <c r="N8" s="17">
        <f t="shared" si="2"/>
        <v>7451613</v>
      </c>
      <c r="O8" s="17"/>
      <c r="Q8" s="12">
        <f t="shared" si="3"/>
        <v>164</v>
      </c>
    </row>
    <row r="9" spans="1:17" ht="15" hidden="1" customHeight="1" x14ac:dyDescent="0.2">
      <c r="A9" s="12" t="s">
        <v>309</v>
      </c>
      <c r="B9" s="36">
        <v>46042</v>
      </c>
      <c r="C9" s="12">
        <f t="shared" si="0"/>
        <v>302</v>
      </c>
      <c r="D9" s="38">
        <f t="shared" si="1"/>
        <v>1</v>
      </c>
      <c r="G9" s="14" t="s">
        <v>38</v>
      </c>
      <c r="H9" s="12" t="s">
        <v>4022</v>
      </c>
      <c r="I9" s="12">
        <v>112111</v>
      </c>
      <c r="J9" s="12">
        <v>131</v>
      </c>
      <c r="K9" s="12" t="s">
        <v>20</v>
      </c>
      <c r="L9" s="12">
        <v>1</v>
      </c>
      <c r="M9" s="17">
        <v>26612903</v>
      </c>
      <c r="N9" s="17">
        <f t="shared" si="2"/>
        <v>26612903</v>
      </c>
      <c r="O9" s="17"/>
      <c r="Q9" s="12">
        <f t="shared" si="3"/>
        <v>142</v>
      </c>
    </row>
    <row r="10" spans="1:17" ht="15" hidden="1" customHeight="1" x14ac:dyDescent="0.2">
      <c r="A10" s="12" t="s">
        <v>309</v>
      </c>
      <c r="B10" s="36">
        <v>46043</v>
      </c>
      <c r="C10" s="12">
        <f t="shared" si="0"/>
        <v>303</v>
      </c>
      <c r="D10" s="38">
        <f t="shared" si="1"/>
        <v>1</v>
      </c>
      <c r="G10" s="14" t="s">
        <v>4023</v>
      </c>
      <c r="H10" s="12" t="s">
        <v>4024</v>
      </c>
      <c r="I10" s="12">
        <v>112111</v>
      </c>
      <c r="J10" s="12">
        <v>131</v>
      </c>
      <c r="K10" s="12" t="s">
        <v>20</v>
      </c>
      <c r="L10" s="12">
        <v>1</v>
      </c>
      <c r="M10" s="17">
        <v>967742</v>
      </c>
      <c r="N10" s="17">
        <f t="shared" si="2"/>
        <v>967742</v>
      </c>
      <c r="O10" s="17"/>
      <c r="Q10" s="12">
        <f t="shared" si="3"/>
        <v>113</v>
      </c>
    </row>
    <row r="11" spans="1:17" ht="15" hidden="1" customHeight="1" x14ac:dyDescent="0.2">
      <c r="A11" s="12" t="s">
        <v>309</v>
      </c>
      <c r="B11" s="36">
        <v>46044</v>
      </c>
      <c r="C11" s="12">
        <f t="shared" si="0"/>
        <v>304</v>
      </c>
      <c r="D11" s="38">
        <f t="shared" si="1"/>
        <v>1</v>
      </c>
      <c r="G11" s="14" t="s">
        <v>4025</v>
      </c>
      <c r="H11" s="12" t="s">
        <v>3484</v>
      </c>
      <c r="I11" s="12">
        <v>112111</v>
      </c>
      <c r="J11" s="12">
        <v>131</v>
      </c>
      <c r="K11" s="12" t="s">
        <v>20</v>
      </c>
      <c r="L11" s="12">
        <v>1</v>
      </c>
      <c r="M11" s="17">
        <v>9314386</v>
      </c>
      <c r="N11" s="17">
        <f t="shared" si="2"/>
        <v>9314386</v>
      </c>
      <c r="O11" s="17"/>
      <c r="Q11" s="12">
        <f t="shared" si="3"/>
        <v>48</v>
      </c>
    </row>
    <row r="12" spans="1:17" ht="15" hidden="1" customHeight="1" x14ac:dyDescent="0.2">
      <c r="A12" s="12" t="s">
        <v>309</v>
      </c>
      <c r="B12" s="36">
        <v>46051</v>
      </c>
      <c r="C12" s="12">
        <f t="shared" si="0"/>
        <v>305</v>
      </c>
      <c r="D12" s="38">
        <f t="shared" si="1"/>
        <v>1</v>
      </c>
      <c r="G12" s="14" t="s">
        <v>4028</v>
      </c>
      <c r="H12" s="12" t="s">
        <v>4029</v>
      </c>
      <c r="I12" s="12">
        <v>112111</v>
      </c>
      <c r="J12" s="12">
        <v>131</v>
      </c>
      <c r="K12" s="12" t="s">
        <v>20</v>
      </c>
      <c r="L12" s="12">
        <v>1</v>
      </c>
      <c r="M12" s="17">
        <v>24483871</v>
      </c>
      <c r="N12" s="17">
        <f t="shared" si="2"/>
        <v>24483871</v>
      </c>
      <c r="O12" s="17"/>
      <c r="Q12" s="12">
        <f t="shared" si="3"/>
        <v>141</v>
      </c>
    </row>
    <row r="13" spans="1:17" ht="15" hidden="1" customHeight="1" x14ac:dyDescent="0.2">
      <c r="A13" s="12" t="s">
        <v>309</v>
      </c>
      <c r="B13" s="36">
        <v>46052</v>
      </c>
      <c r="C13" s="12">
        <f t="shared" si="0"/>
        <v>306</v>
      </c>
      <c r="D13" s="38">
        <f t="shared" si="1"/>
        <v>1</v>
      </c>
      <c r="G13" s="14" t="s">
        <v>4025</v>
      </c>
      <c r="H13" s="12" t="s">
        <v>3484</v>
      </c>
      <c r="I13" s="12">
        <v>112111</v>
      </c>
      <c r="J13" s="12">
        <v>131</v>
      </c>
      <c r="K13" s="12" t="s">
        <v>20</v>
      </c>
      <c r="L13" s="12">
        <v>1</v>
      </c>
      <c r="M13" s="17">
        <v>6860996</v>
      </c>
      <c r="N13" s="17">
        <f t="shared" si="2"/>
        <v>6860996</v>
      </c>
      <c r="O13" s="17"/>
      <c r="Q13" s="12">
        <f t="shared" si="3"/>
        <v>48</v>
      </c>
    </row>
    <row r="14" spans="1:17" ht="15" hidden="1" customHeight="1" x14ac:dyDescent="0.2">
      <c r="A14" s="12" t="s">
        <v>309</v>
      </c>
      <c r="B14" s="36">
        <v>46053</v>
      </c>
      <c r="C14" s="12">
        <f t="shared" si="0"/>
        <v>307</v>
      </c>
      <c r="D14" s="38">
        <f t="shared" si="1"/>
        <v>1</v>
      </c>
      <c r="G14" s="14" t="s">
        <v>86</v>
      </c>
      <c r="H14" s="12" t="s">
        <v>3561</v>
      </c>
      <c r="I14" s="12">
        <v>112111</v>
      </c>
      <c r="J14" s="12">
        <v>5154</v>
      </c>
      <c r="K14" s="12" t="s">
        <v>20</v>
      </c>
      <c r="L14" s="12">
        <v>1</v>
      </c>
      <c r="M14" s="17">
        <v>7776</v>
      </c>
      <c r="N14" s="17">
        <f t="shared" si="2"/>
        <v>7776</v>
      </c>
      <c r="O14" s="17"/>
      <c r="Q14" s="12">
        <f t="shared" si="3"/>
        <v>22</v>
      </c>
    </row>
    <row r="15" spans="1:17" ht="15" hidden="1" customHeight="1" x14ac:dyDescent="0.2">
      <c r="A15" s="12" t="s">
        <v>309</v>
      </c>
      <c r="B15" s="36">
        <v>46053</v>
      </c>
      <c r="C15" s="12">
        <f t="shared" si="0"/>
        <v>308</v>
      </c>
      <c r="D15" s="38">
        <f t="shared" si="1"/>
        <v>1</v>
      </c>
      <c r="G15" s="14" t="s">
        <v>4030</v>
      </c>
      <c r="H15" s="12" t="s">
        <v>4031</v>
      </c>
      <c r="I15" s="12">
        <v>112111</v>
      </c>
      <c r="J15" s="12">
        <v>131</v>
      </c>
      <c r="K15" s="12" t="s">
        <v>20</v>
      </c>
      <c r="L15" s="12">
        <v>1</v>
      </c>
      <c r="M15" s="17">
        <v>22354839</v>
      </c>
      <c r="N15" s="17">
        <f t="shared" si="2"/>
        <v>22354839</v>
      </c>
      <c r="O15" s="17"/>
      <c r="Q15" s="12">
        <f t="shared" si="3"/>
        <v>176</v>
      </c>
    </row>
    <row r="16" spans="1:17" ht="15" hidden="1" customHeight="1" x14ac:dyDescent="0.2">
      <c r="A16" s="12" t="s">
        <v>309</v>
      </c>
      <c r="B16" s="36">
        <v>46056</v>
      </c>
      <c r="C16" s="12">
        <f t="shared" si="0"/>
        <v>309</v>
      </c>
      <c r="D16" s="38">
        <f t="shared" si="1"/>
        <v>1</v>
      </c>
      <c r="G16" s="14" t="s">
        <v>1703</v>
      </c>
      <c r="H16" s="12" t="s">
        <v>4032</v>
      </c>
      <c r="I16" s="12">
        <v>112111</v>
      </c>
      <c r="J16" s="12">
        <v>131</v>
      </c>
      <c r="K16" s="12" t="s">
        <v>20</v>
      </c>
      <c r="L16" s="12">
        <v>1</v>
      </c>
      <c r="M16" s="17">
        <v>7700000</v>
      </c>
      <c r="N16" s="17">
        <f t="shared" si="2"/>
        <v>7700000</v>
      </c>
      <c r="O16" s="17"/>
      <c r="Q16" s="12">
        <f t="shared" si="3"/>
        <v>135</v>
      </c>
    </row>
    <row r="17" spans="1:17" ht="15" hidden="1" customHeight="1" x14ac:dyDescent="0.2">
      <c r="A17" s="12" t="s">
        <v>309</v>
      </c>
      <c r="B17" s="36">
        <v>46058</v>
      </c>
      <c r="C17" s="12">
        <f t="shared" si="0"/>
        <v>310</v>
      </c>
      <c r="D17" s="38">
        <f t="shared" si="1"/>
        <v>1</v>
      </c>
      <c r="G17" s="14" t="s">
        <v>288</v>
      </c>
      <c r="H17" s="12" t="s">
        <v>4033</v>
      </c>
      <c r="I17" s="12">
        <v>112111</v>
      </c>
      <c r="J17" s="12">
        <v>131</v>
      </c>
      <c r="K17" s="12" t="s">
        <v>20</v>
      </c>
      <c r="L17" s="12">
        <v>1</v>
      </c>
      <c r="M17" s="17">
        <v>11000000</v>
      </c>
      <c r="N17" s="17">
        <f t="shared" si="2"/>
        <v>11000000</v>
      </c>
      <c r="O17" s="17"/>
      <c r="Q17" s="12">
        <f t="shared" si="3"/>
        <v>157</v>
      </c>
    </row>
    <row r="18" spans="1:17" ht="15" hidden="1" customHeight="1" x14ac:dyDescent="0.2">
      <c r="A18" s="12" t="s">
        <v>309</v>
      </c>
      <c r="B18" s="36">
        <v>46058</v>
      </c>
      <c r="C18" s="12">
        <f t="shared" si="0"/>
        <v>311</v>
      </c>
      <c r="D18" s="38">
        <f t="shared" si="1"/>
        <v>1</v>
      </c>
      <c r="G18" s="14" t="s">
        <v>4034</v>
      </c>
      <c r="H18" s="12" t="s">
        <v>4035</v>
      </c>
      <c r="I18" s="12">
        <v>112111</v>
      </c>
      <c r="J18" s="12">
        <v>131</v>
      </c>
      <c r="K18" s="12" t="s">
        <v>20</v>
      </c>
      <c r="L18" s="12">
        <v>1</v>
      </c>
      <c r="M18" s="17">
        <v>15967742</v>
      </c>
      <c r="N18" s="17">
        <f t="shared" si="2"/>
        <v>15967742</v>
      </c>
      <c r="O18" s="17"/>
      <c r="Q18" s="12">
        <f t="shared" si="3"/>
        <v>155</v>
      </c>
    </row>
    <row r="19" spans="1:17" ht="15" hidden="1" customHeight="1" x14ac:dyDescent="0.2">
      <c r="A19" s="12" t="s">
        <v>309</v>
      </c>
      <c r="B19" s="36">
        <v>46059</v>
      </c>
      <c r="C19" s="12">
        <f t="shared" si="0"/>
        <v>312</v>
      </c>
      <c r="D19" s="38">
        <f t="shared" si="1"/>
        <v>1</v>
      </c>
      <c r="G19" s="14" t="s">
        <v>42</v>
      </c>
      <c r="H19" s="12" t="s">
        <v>4036</v>
      </c>
      <c r="I19" s="12">
        <v>112111</v>
      </c>
      <c r="J19" s="12">
        <v>131</v>
      </c>
      <c r="K19" s="12" t="s">
        <v>20</v>
      </c>
      <c r="L19" s="12">
        <v>1</v>
      </c>
      <c r="M19" s="17">
        <v>11709678</v>
      </c>
      <c r="N19" s="17">
        <f t="shared" si="2"/>
        <v>11709678</v>
      </c>
      <c r="O19" s="17"/>
      <c r="Q19" s="12">
        <f t="shared" si="3"/>
        <v>172</v>
      </c>
    </row>
    <row r="20" spans="1:17" ht="15" hidden="1" customHeight="1" x14ac:dyDescent="0.2">
      <c r="A20" s="12" t="s">
        <v>309</v>
      </c>
      <c r="B20" s="36">
        <v>46063</v>
      </c>
      <c r="C20" s="12">
        <f t="shared" si="0"/>
        <v>313</v>
      </c>
      <c r="D20" s="38">
        <f t="shared" si="1"/>
        <v>1</v>
      </c>
      <c r="G20" s="14" t="s">
        <v>287</v>
      </c>
      <c r="H20" s="12" t="s">
        <v>4037</v>
      </c>
      <c r="I20" s="12">
        <v>112111</v>
      </c>
      <c r="J20" s="12">
        <v>131</v>
      </c>
      <c r="K20" s="12" t="s">
        <v>20</v>
      </c>
      <c r="L20" s="12">
        <v>1</v>
      </c>
      <c r="M20" s="17">
        <v>21481935</v>
      </c>
      <c r="N20" s="17">
        <f t="shared" si="2"/>
        <v>21481935</v>
      </c>
      <c r="O20" s="17"/>
      <c r="Q20" s="12">
        <f t="shared" si="3"/>
        <v>148</v>
      </c>
    </row>
    <row r="21" spans="1:17" ht="15" hidden="1" customHeight="1" x14ac:dyDescent="0.2">
      <c r="A21" s="12" t="s">
        <v>309</v>
      </c>
      <c r="B21" s="36">
        <v>46063</v>
      </c>
      <c r="C21" s="12">
        <f t="shared" si="0"/>
        <v>314</v>
      </c>
      <c r="D21" s="38">
        <f t="shared" si="1"/>
        <v>1</v>
      </c>
      <c r="G21" s="14" t="s">
        <v>287</v>
      </c>
      <c r="H21" s="12" t="s">
        <v>4038</v>
      </c>
      <c r="I21" s="12">
        <v>112111</v>
      </c>
      <c r="J21" s="12">
        <v>131</v>
      </c>
      <c r="K21" s="12" t="s">
        <v>20</v>
      </c>
      <c r="L21" s="12">
        <v>1</v>
      </c>
      <c r="M21" s="17">
        <v>33000000</v>
      </c>
      <c r="N21" s="17">
        <f t="shared" si="2"/>
        <v>33000000</v>
      </c>
      <c r="Q21" s="12">
        <f t="shared" si="3"/>
        <v>149</v>
      </c>
    </row>
    <row r="22" spans="1:17" ht="15" hidden="1" customHeight="1" x14ac:dyDescent="0.2">
      <c r="A22" s="12" t="s">
        <v>309</v>
      </c>
      <c r="B22" s="36">
        <v>46063</v>
      </c>
      <c r="C22" s="12">
        <f t="shared" si="0"/>
        <v>315</v>
      </c>
      <c r="D22" s="38">
        <f t="shared" si="1"/>
        <v>1</v>
      </c>
      <c r="G22" s="14" t="s">
        <v>4039</v>
      </c>
      <c r="H22" s="12" t="s">
        <v>4040</v>
      </c>
      <c r="I22" s="12">
        <v>112111</v>
      </c>
      <c r="J22" s="12">
        <v>131</v>
      </c>
      <c r="K22" s="12" t="s">
        <v>20</v>
      </c>
      <c r="L22" s="12">
        <v>1</v>
      </c>
      <c r="M22" s="17">
        <v>15967742</v>
      </c>
      <c r="N22" s="17">
        <f t="shared" si="2"/>
        <v>15967742</v>
      </c>
      <c r="O22" s="17"/>
      <c r="Q22" s="12">
        <f t="shared" si="3"/>
        <v>150</v>
      </c>
    </row>
    <row r="23" spans="1:17" ht="15" hidden="1" customHeight="1" x14ac:dyDescent="0.2">
      <c r="A23" s="12" t="s">
        <v>309</v>
      </c>
      <c r="B23" s="36">
        <v>46065</v>
      </c>
      <c r="C23" s="12">
        <f t="shared" si="0"/>
        <v>316</v>
      </c>
      <c r="D23" s="38">
        <f t="shared" si="1"/>
        <v>1</v>
      </c>
      <c r="G23" s="14" t="s">
        <v>365</v>
      </c>
      <c r="H23" s="12" t="s">
        <v>4041</v>
      </c>
      <c r="I23" s="12">
        <v>112111</v>
      </c>
      <c r="J23" s="12">
        <v>131</v>
      </c>
      <c r="K23" s="12" t="s">
        <v>20</v>
      </c>
      <c r="L23" s="12">
        <v>1</v>
      </c>
      <c r="M23" s="17">
        <v>16500000</v>
      </c>
      <c r="N23" s="17">
        <f t="shared" si="2"/>
        <v>16500000</v>
      </c>
      <c r="O23" s="17"/>
      <c r="Q23" s="12">
        <f t="shared" si="3"/>
        <v>106</v>
      </c>
    </row>
    <row r="24" spans="1:17" ht="15" hidden="1" customHeight="1" x14ac:dyDescent="0.2">
      <c r="A24" s="12" t="s">
        <v>309</v>
      </c>
      <c r="B24" s="36">
        <v>46081</v>
      </c>
      <c r="C24" s="12">
        <f t="shared" si="0"/>
        <v>317</v>
      </c>
      <c r="D24" s="38">
        <f t="shared" si="1"/>
        <v>1</v>
      </c>
      <c r="G24" s="14" t="s">
        <v>86</v>
      </c>
      <c r="H24" s="12" t="s">
        <v>3561</v>
      </c>
      <c r="I24" s="12">
        <v>112111</v>
      </c>
      <c r="J24" s="12">
        <v>5154</v>
      </c>
      <c r="K24" s="12" t="s">
        <v>20</v>
      </c>
      <c r="L24" s="12">
        <v>1</v>
      </c>
      <c r="M24" s="17">
        <v>7049</v>
      </c>
      <c r="N24" s="17">
        <f t="shared" si="2"/>
        <v>7049</v>
      </c>
      <c r="O24" s="17"/>
      <c r="Q24" s="12">
        <f t="shared" si="3"/>
        <v>22</v>
      </c>
    </row>
    <row r="25" spans="1:17" ht="15" hidden="1" customHeight="1" x14ac:dyDescent="0.2">
      <c r="A25" s="12" t="s">
        <v>309</v>
      </c>
      <c r="B25" s="36">
        <v>46083</v>
      </c>
      <c r="C25" s="12">
        <f t="shared" si="0"/>
        <v>318</v>
      </c>
      <c r="D25" s="38">
        <f t="shared" si="1"/>
        <v>1</v>
      </c>
      <c r="G25" s="14" t="s">
        <v>4025</v>
      </c>
      <c r="H25" s="12" t="s">
        <v>3484</v>
      </c>
      <c r="I25" s="12">
        <v>112111</v>
      </c>
      <c r="J25" s="12">
        <v>131</v>
      </c>
      <c r="K25" s="12" t="s">
        <v>20</v>
      </c>
      <c r="L25" s="12">
        <v>1</v>
      </c>
      <c r="M25" s="17">
        <v>4433874</v>
      </c>
      <c r="N25" s="17">
        <f t="shared" si="2"/>
        <v>4433874</v>
      </c>
      <c r="O25" s="17"/>
      <c r="Q25" s="12">
        <f t="shared" si="3"/>
        <v>48</v>
      </c>
    </row>
    <row r="26" spans="1:17" ht="15" hidden="1" customHeight="1" x14ac:dyDescent="0.2">
      <c r="A26" s="12" t="s">
        <v>309</v>
      </c>
      <c r="B26" s="36">
        <v>46083</v>
      </c>
      <c r="C26" s="12">
        <f t="shared" si="0"/>
        <v>319</v>
      </c>
      <c r="D26" s="38">
        <f t="shared" si="1"/>
        <v>1</v>
      </c>
      <c r="G26" s="14" t="s">
        <v>42</v>
      </c>
      <c r="H26" s="12" t="s">
        <v>4036</v>
      </c>
      <c r="I26" s="12">
        <v>112111</v>
      </c>
      <c r="J26" s="12">
        <v>131</v>
      </c>
      <c r="K26" s="12" t="s">
        <v>20</v>
      </c>
      <c r="L26" s="12">
        <v>1</v>
      </c>
      <c r="M26" s="17">
        <v>11709678</v>
      </c>
      <c r="N26" s="17">
        <f t="shared" si="2"/>
        <v>11709678</v>
      </c>
      <c r="O26" s="17"/>
      <c r="Q26" s="12">
        <f t="shared" si="3"/>
        <v>172</v>
      </c>
    </row>
    <row r="27" spans="1:17" ht="15" hidden="1" customHeight="1" x14ac:dyDescent="0.2">
      <c r="A27" s="12" t="s">
        <v>309</v>
      </c>
      <c r="B27" s="36">
        <v>46097</v>
      </c>
      <c r="C27" s="12">
        <f t="shared" si="0"/>
        <v>320</v>
      </c>
      <c r="D27" s="38">
        <f t="shared" si="1"/>
        <v>1</v>
      </c>
      <c r="G27" s="14" t="s">
        <v>1709</v>
      </c>
      <c r="H27" s="12" t="s">
        <v>4043</v>
      </c>
      <c r="I27" s="12">
        <v>112111</v>
      </c>
      <c r="J27" s="12">
        <v>131</v>
      </c>
      <c r="K27" s="12" t="s">
        <v>20</v>
      </c>
      <c r="L27" s="12">
        <v>1</v>
      </c>
      <c r="M27" s="17">
        <v>29700000</v>
      </c>
      <c r="N27" s="17">
        <f t="shared" si="2"/>
        <v>29700000</v>
      </c>
      <c r="O27" s="17"/>
      <c r="Q27" s="12">
        <f t="shared" si="3"/>
        <v>109</v>
      </c>
    </row>
    <row r="28" spans="1:17" ht="15" hidden="1" customHeight="1" x14ac:dyDescent="0.2">
      <c r="A28" s="12" t="s">
        <v>309</v>
      </c>
      <c r="B28" s="36">
        <v>46101</v>
      </c>
      <c r="C28" s="12">
        <f t="shared" si="0"/>
        <v>321</v>
      </c>
      <c r="D28" s="38">
        <f t="shared" si="1"/>
        <v>1</v>
      </c>
      <c r="G28" s="14" t="s">
        <v>287</v>
      </c>
      <c r="H28" s="12" t="s">
        <v>4044</v>
      </c>
      <c r="I28" s="12">
        <v>112111</v>
      </c>
      <c r="J28" s="12">
        <v>131</v>
      </c>
      <c r="K28" s="12" t="s">
        <v>20</v>
      </c>
      <c r="L28" s="12">
        <v>1</v>
      </c>
      <c r="M28" s="17">
        <v>30800000</v>
      </c>
      <c r="N28" s="17">
        <f t="shared" si="2"/>
        <v>30800000</v>
      </c>
      <c r="O28" s="17"/>
      <c r="Q28" s="12">
        <f t="shared" si="3"/>
        <v>183</v>
      </c>
    </row>
    <row r="29" spans="1:17" ht="15" hidden="1" customHeight="1" x14ac:dyDescent="0.2">
      <c r="A29" s="12" t="s">
        <v>309</v>
      </c>
      <c r="B29" s="36">
        <v>46105</v>
      </c>
      <c r="C29" s="12">
        <f t="shared" si="0"/>
        <v>322</v>
      </c>
      <c r="D29" s="38">
        <f t="shared" si="1"/>
        <v>1</v>
      </c>
      <c r="G29" s="14" t="s">
        <v>4025</v>
      </c>
      <c r="H29" s="12" t="s">
        <v>3484</v>
      </c>
      <c r="I29" s="12">
        <v>112111</v>
      </c>
      <c r="J29" s="12">
        <v>131</v>
      </c>
      <c r="K29" s="12" t="s">
        <v>20</v>
      </c>
      <c r="L29" s="12">
        <v>1</v>
      </c>
      <c r="M29" s="17">
        <v>19968708</v>
      </c>
      <c r="N29" s="17">
        <f t="shared" si="2"/>
        <v>19968708</v>
      </c>
      <c r="O29" s="17"/>
      <c r="Q29" s="12">
        <f t="shared" si="3"/>
        <v>48</v>
      </c>
    </row>
    <row r="30" spans="1:17" ht="15" hidden="1" customHeight="1" x14ac:dyDescent="0.2">
      <c r="A30" s="12" t="s">
        <v>309</v>
      </c>
      <c r="B30" s="36">
        <v>46111</v>
      </c>
      <c r="C30" s="12">
        <f t="shared" si="0"/>
        <v>323</v>
      </c>
      <c r="D30" s="38">
        <f t="shared" si="1"/>
        <v>1</v>
      </c>
      <c r="G30" s="14" t="s">
        <v>1714</v>
      </c>
      <c r="H30" s="12" t="s">
        <v>4045</v>
      </c>
      <c r="I30" s="12">
        <v>112111</v>
      </c>
      <c r="J30" s="12">
        <v>131</v>
      </c>
      <c r="K30" s="12" t="s">
        <v>20</v>
      </c>
      <c r="L30" s="12">
        <v>1</v>
      </c>
      <c r="M30" s="17">
        <v>19800000</v>
      </c>
      <c r="N30" s="17">
        <f t="shared" si="2"/>
        <v>19800000</v>
      </c>
      <c r="O30" s="17"/>
      <c r="Q30" s="12">
        <f t="shared" si="3"/>
        <v>159</v>
      </c>
    </row>
    <row r="31" spans="1:17" ht="15" hidden="1" customHeight="1" x14ac:dyDescent="0.2">
      <c r="A31" s="12" t="s">
        <v>309</v>
      </c>
      <c r="B31" s="36">
        <v>46112</v>
      </c>
      <c r="C31" s="12">
        <f t="shared" si="0"/>
        <v>324</v>
      </c>
      <c r="D31" s="38">
        <f t="shared" si="1"/>
        <v>1</v>
      </c>
      <c r="G31" s="14" t="s">
        <v>86</v>
      </c>
      <c r="H31" s="12" t="s">
        <v>3561</v>
      </c>
      <c r="I31" s="12">
        <v>112111</v>
      </c>
      <c r="J31" s="12">
        <v>5154</v>
      </c>
      <c r="K31" s="12" t="s">
        <v>20</v>
      </c>
      <c r="L31" s="12">
        <v>1</v>
      </c>
      <c r="M31" s="17">
        <v>3972</v>
      </c>
      <c r="N31" s="17">
        <f t="shared" si="2"/>
        <v>3972</v>
      </c>
      <c r="O31" s="17"/>
      <c r="Q31" s="12">
        <f t="shared" si="3"/>
        <v>22</v>
      </c>
    </row>
    <row r="32" spans="1:17" ht="15" hidden="1" customHeight="1" x14ac:dyDescent="0.2">
      <c r="A32" s="12" t="s">
        <v>309</v>
      </c>
      <c r="B32" s="36">
        <v>46112</v>
      </c>
      <c r="C32" s="12">
        <f t="shared" si="0"/>
        <v>325</v>
      </c>
      <c r="D32" s="38">
        <f t="shared" si="1"/>
        <v>1</v>
      </c>
      <c r="G32" s="14" t="s">
        <v>1716</v>
      </c>
      <c r="H32" s="12" t="s">
        <v>4048</v>
      </c>
      <c r="I32" s="12">
        <v>112111</v>
      </c>
      <c r="J32" s="12">
        <v>131</v>
      </c>
      <c r="K32" s="12" t="s">
        <v>20</v>
      </c>
      <c r="L32" s="12">
        <v>1</v>
      </c>
      <c r="M32" s="17">
        <v>27500000</v>
      </c>
      <c r="N32" s="17">
        <f t="shared" si="2"/>
        <v>27500000</v>
      </c>
      <c r="O32" s="17"/>
      <c r="Q32" s="12">
        <f t="shared" si="3"/>
        <v>124</v>
      </c>
    </row>
    <row r="33" spans="1:17" ht="15" hidden="1" customHeight="1" x14ac:dyDescent="0.2">
      <c r="A33" s="12" t="s">
        <v>309</v>
      </c>
      <c r="B33" s="36">
        <v>46112</v>
      </c>
      <c r="C33" s="12">
        <f t="shared" si="0"/>
        <v>326</v>
      </c>
      <c r="D33" s="38">
        <f t="shared" si="1"/>
        <v>1</v>
      </c>
      <c r="G33" s="14" t="s">
        <v>4046</v>
      </c>
      <c r="H33" s="12" t="s">
        <v>4047</v>
      </c>
      <c r="I33" s="12">
        <v>112111</v>
      </c>
      <c r="J33" s="12">
        <v>131</v>
      </c>
      <c r="K33" s="12" t="s">
        <v>20</v>
      </c>
      <c r="L33" s="12">
        <v>1</v>
      </c>
      <c r="M33" s="17">
        <v>23100000</v>
      </c>
      <c r="N33" s="17">
        <f t="shared" si="2"/>
        <v>23100000</v>
      </c>
      <c r="O33" s="17"/>
      <c r="Q33" s="12">
        <f t="shared" si="3"/>
        <v>32</v>
      </c>
    </row>
    <row r="34" spans="1:17" ht="15" hidden="1" customHeight="1" x14ac:dyDescent="0.2">
      <c r="A34" s="12" t="s">
        <v>308</v>
      </c>
      <c r="B34" s="36">
        <v>46026</v>
      </c>
      <c r="C34" s="12">
        <f t="shared" si="0"/>
        <v>327</v>
      </c>
      <c r="D34" s="38">
        <f t="shared" si="1"/>
        <v>1</v>
      </c>
      <c r="G34" s="14" t="s">
        <v>86</v>
      </c>
      <c r="H34" s="12" t="s">
        <v>3032</v>
      </c>
      <c r="I34" s="12">
        <v>1111</v>
      </c>
      <c r="J34" s="12">
        <v>112111</v>
      </c>
      <c r="K34" s="12" t="s">
        <v>20</v>
      </c>
      <c r="L34" s="12">
        <v>1</v>
      </c>
      <c r="M34" s="17">
        <v>20000000</v>
      </c>
      <c r="N34" s="17">
        <f t="shared" si="2"/>
        <v>20000000</v>
      </c>
      <c r="O34" s="17"/>
      <c r="Q34" s="12">
        <f t="shared" si="3"/>
        <v>40</v>
      </c>
    </row>
    <row r="35" spans="1:17" ht="15" hidden="1" customHeight="1" x14ac:dyDescent="0.2">
      <c r="A35" s="12" t="s">
        <v>308</v>
      </c>
      <c r="B35" s="36">
        <v>46028</v>
      </c>
      <c r="C35" s="12">
        <f t="shared" si="0"/>
        <v>328</v>
      </c>
      <c r="D35" s="38">
        <v>1</v>
      </c>
      <c r="G35" s="14" t="s">
        <v>86</v>
      </c>
      <c r="H35" s="12" t="s">
        <v>3032</v>
      </c>
      <c r="I35" s="12">
        <v>1111</v>
      </c>
      <c r="J35" s="12">
        <v>112111</v>
      </c>
      <c r="K35" s="12" t="s">
        <v>20</v>
      </c>
      <c r="L35" s="12">
        <v>1</v>
      </c>
      <c r="M35" s="17">
        <v>13520000</v>
      </c>
      <c r="N35" s="17">
        <f t="shared" si="2"/>
        <v>13520000</v>
      </c>
      <c r="O35" s="17"/>
      <c r="Q35" s="12">
        <f t="shared" si="3"/>
        <v>40</v>
      </c>
    </row>
    <row r="36" spans="1:17" ht="15" hidden="1" customHeight="1" x14ac:dyDescent="0.2">
      <c r="A36" s="12" t="s">
        <v>308</v>
      </c>
      <c r="B36" s="36">
        <v>46031</v>
      </c>
      <c r="C36" s="12">
        <f t="shared" ref="C36:C67" si="4">C35+D36</f>
        <v>329</v>
      </c>
      <c r="D36" s="38">
        <v>1</v>
      </c>
      <c r="G36" s="14" t="s">
        <v>86</v>
      </c>
      <c r="H36" s="12" t="s">
        <v>3032</v>
      </c>
      <c r="I36" s="12">
        <v>1111</v>
      </c>
      <c r="J36" s="12">
        <v>112111</v>
      </c>
      <c r="K36" s="12" t="s">
        <v>20</v>
      </c>
      <c r="L36" s="12">
        <v>1</v>
      </c>
      <c r="M36" s="17">
        <v>6000000</v>
      </c>
      <c r="N36" s="17">
        <f t="shared" ref="N36:N67" si="5">L36*M36</f>
        <v>6000000</v>
      </c>
      <c r="O36" s="17"/>
      <c r="Q36" s="12">
        <f t="shared" ref="Q36:Q67" si="6">LEN(H36)</f>
        <v>40</v>
      </c>
    </row>
    <row r="37" spans="1:17" ht="15" hidden="1" customHeight="1" x14ac:dyDescent="0.2">
      <c r="A37" s="12" t="s">
        <v>308</v>
      </c>
      <c r="B37" s="36">
        <v>46032</v>
      </c>
      <c r="C37" s="12">
        <f t="shared" si="4"/>
        <v>330</v>
      </c>
      <c r="D37" s="38">
        <v>1</v>
      </c>
      <c r="G37" s="14" t="s">
        <v>86</v>
      </c>
      <c r="H37" s="12" t="s">
        <v>3032</v>
      </c>
      <c r="I37" s="12">
        <v>1111</v>
      </c>
      <c r="J37" s="12">
        <v>112111</v>
      </c>
      <c r="K37" s="12" t="s">
        <v>20</v>
      </c>
      <c r="L37" s="12">
        <v>1</v>
      </c>
      <c r="M37" s="17">
        <v>10000000</v>
      </c>
      <c r="N37" s="17">
        <f t="shared" si="5"/>
        <v>10000000</v>
      </c>
      <c r="O37" s="17"/>
      <c r="Q37" s="12">
        <f t="shared" si="6"/>
        <v>40</v>
      </c>
    </row>
    <row r="38" spans="1:17" ht="15" hidden="1" customHeight="1" x14ac:dyDescent="0.2">
      <c r="A38" s="12" t="s">
        <v>308</v>
      </c>
      <c r="B38" s="36">
        <v>46033</v>
      </c>
      <c r="C38" s="12">
        <f t="shared" si="4"/>
        <v>331</v>
      </c>
      <c r="D38" s="38">
        <v>1</v>
      </c>
      <c r="F38" s="12"/>
      <c r="G38" s="14" t="s">
        <v>86</v>
      </c>
      <c r="H38" s="12" t="s">
        <v>3032</v>
      </c>
      <c r="I38" s="12">
        <v>1111</v>
      </c>
      <c r="J38" s="12">
        <v>112111</v>
      </c>
      <c r="K38" s="12" t="s">
        <v>20</v>
      </c>
      <c r="L38" s="12">
        <v>1</v>
      </c>
      <c r="M38" s="17">
        <v>5000000</v>
      </c>
      <c r="N38" s="17">
        <f t="shared" si="5"/>
        <v>5000000</v>
      </c>
      <c r="O38" s="17"/>
      <c r="Q38" s="12">
        <f t="shared" si="6"/>
        <v>40</v>
      </c>
    </row>
    <row r="39" spans="1:17" ht="15" hidden="1" customHeight="1" x14ac:dyDescent="0.2">
      <c r="A39" s="12" t="s">
        <v>308</v>
      </c>
      <c r="B39" s="36">
        <v>46035</v>
      </c>
      <c r="C39" s="12">
        <f t="shared" si="4"/>
        <v>332</v>
      </c>
      <c r="D39" s="38">
        <v>1</v>
      </c>
      <c r="G39" s="14" t="s">
        <v>86</v>
      </c>
      <c r="H39" s="12" t="s">
        <v>3032</v>
      </c>
      <c r="I39" s="12">
        <v>1111</v>
      </c>
      <c r="J39" s="12">
        <v>112111</v>
      </c>
      <c r="K39" s="12" t="s">
        <v>20</v>
      </c>
      <c r="L39" s="12">
        <v>1</v>
      </c>
      <c r="M39" s="17">
        <v>5000000</v>
      </c>
      <c r="N39" s="17">
        <f t="shared" si="5"/>
        <v>5000000</v>
      </c>
      <c r="O39" s="17"/>
      <c r="Q39" s="12">
        <f t="shared" si="6"/>
        <v>40</v>
      </c>
    </row>
    <row r="40" spans="1:17" ht="15" hidden="1" customHeight="1" x14ac:dyDescent="0.2">
      <c r="A40" s="12" t="s">
        <v>308</v>
      </c>
      <c r="B40" s="36">
        <v>46035</v>
      </c>
      <c r="C40" s="12">
        <f t="shared" si="4"/>
        <v>333</v>
      </c>
      <c r="D40" s="38">
        <v>1</v>
      </c>
      <c r="G40" s="14" t="s">
        <v>86</v>
      </c>
      <c r="H40" s="12" t="s">
        <v>3032</v>
      </c>
      <c r="I40" s="12">
        <v>1111</v>
      </c>
      <c r="J40" s="12">
        <v>112111</v>
      </c>
      <c r="K40" s="12" t="s">
        <v>20</v>
      </c>
      <c r="L40" s="12">
        <v>1</v>
      </c>
      <c r="M40" s="17">
        <v>4000000</v>
      </c>
      <c r="N40" s="17">
        <f t="shared" si="5"/>
        <v>4000000</v>
      </c>
      <c r="O40" s="17"/>
      <c r="Q40" s="12">
        <f t="shared" si="6"/>
        <v>40</v>
      </c>
    </row>
    <row r="41" spans="1:17" ht="15" hidden="1" customHeight="1" x14ac:dyDescent="0.2">
      <c r="A41" s="12" t="s">
        <v>308</v>
      </c>
      <c r="B41" s="36">
        <v>46036</v>
      </c>
      <c r="C41" s="12">
        <f t="shared" si="4"/>
        <v>334</v>
      </c>
      <c r="D41" s="38">
        <v>1</v>
      </c>
      <c r="F41" s="12"/>
      <c r="G41" s="14" t="s">
        <v>86</v>
      </c>
      <c r="H41" s="12" t="s">
        <v>3032</v>
      </c>
      <c r="I41" s="12">
        <v>1111</v>
      </c>
      <c r="J41" s="12">
        <v>112111</v>
      </c>
      <c r="K41" s="12" t="s">
        <v>20</v>
      </c>
      <c r="L41" s="12">
        <v>1</v>
      </c>
      <c r="M41" s="17">
        <v>5000000</v>
      </c>
      <c r="N41" s="17">
        <f t="shared" si="5"/>
        <v>5000000</v>
      </c>
      <c r="O41" s="17"/>
      <c r="Q41" s="12">
        <f t="shared" si="6"/>
        <v>40</v>
      </c>
    </row>
    <row r="42" spans="1:17" ht="15" hidden="1" customHeight="1" x14ac:dyDescent="0.2">
      <c r="A42" s="12" t="s">
        <v>308</v>
      </c>
      <c r="B42" s="36">
        <v>46037</v>
      </c>
      <c r="C42" s="12">
        <f t="shared" si="4"/>
        <v>335</v>
      </c>
      <c r="D42" s="38">
        <v>1</v>
      </c>
      <c r="G42" s="14" t="s">
        <v>86</v>
      </c>
      <c r="H42" s="12" t="s">
        <v>3032</v>
      </c>
      <c r="I42" s="12">
        <v>1111</v>
      </c>
      <c r="J42" s="12">
        <v>112111</v>
      </c>
      <c r="K42" s="12" t="s">
        <v>20</v>
      </c>
      <c r="L42" s="12">
        <v>1</v>
      </c>
      <c r="M42" s="17">
        <v>18000000</v>
      </c>
      <c r="N42" s="17">
        <f t="shared" si="5"/>
        <v>18000000</v>
      </c>
      <c r="O42" s="17"/>
      <c r="Q42" s="12">
        <f t="shared" si="6"/>
        <v>40</v>
      </c>
    </row>
    <row r="43" spans="1:17" ht="15" hidden="1" customHeight="1" x14ac:dyDescent="0.2">
      <c r="A43" s="12" t="s">
        <v>308</v>
      </c>
      <c r="B43" s="36">
        <v>46038</v>
      </c>
      <c r="C43" s="12">
        <f t="shared" si="4"/>
        <v>336</v>
      </c>
      <c r="D43" s="38">
        <v>1</v>
      </c>
      <c r="F43" s="12"/>
      <c r="G43" s="14" t="s">
        <v>86</v>
      </c>
      <c r="H43" s="12" t="s">
        <v>3032</v>
      </c>
      <c r="I43" s="12">
        <v>1111</v>
      </c>
      <c r="J43" s="12">
        <v>112111</v>
      </c>
      <c r="K43" s="12" t="s">
        <v>20</v>
      </c>
      <c r="L43" s="12">
        <v>1</v>
      </c>
      <c r="M43" s="17">
        <v>10500000</v>
      </c>
      <c r="N43" s="17">
        <f t="shared" si="5"/>
        <v>10500000</v>
      </c>
      <c r="O43" s="17"/>
      <c r="Q43" s="12">
        <f t="shared" si="6"/>
        <v>40</v>
      </c>
    </row>
    <row r="44" spans="1:17" ht="15" hidden="1" customHeight="1" x14ac:dyDescent="0.2">
      <c r="A44" s="12" t="s">
        <v>308</v>
      </c>
      <c r="B44" s="36">
        <v>46038</v>
      </c>
      <c r="C44" s="12">
        <f t="shared" si="4"/>
        <v>337</v>
      </c>
      <c r="D44" s="38">
        <v>1</v>
      </c>
      <c r="G44" s="14" t="s">
        <v>86</v>
      </c>
      <c r="H44" s="12" t="s">
        <v>3032</v>
      </c>
      <c r="I44" s="12">
        <v>1111</v>
      </c>
      <c r="J44" s="12">
        <v>112111</v>
      </c>
      <c r="K44" s="12" t="s">
        <v>20</v>
      </c>
      <c r="L44" s="12">
        <v>1</v>
      </c>
      <c r="M44" s="17">
        <v>1000000</v>
      </c>
      <c r="N44" s="17">
        <f t="shared" si="5"/>
        <v>1000000</v>
      </c>
      <c r="O44" s="17"/>
      <c r="Q44" s="12">
        <f t="shared" si="6"/>
        <v>40</v>
      </c>
    </row>
    <row r="45" spans="1:17" ht="15" hidden="1" customHeight="1" x14ac:dyDescent="0.2">
      <c r="A45" s="12" t="s">
        <v>308</v>
      </c>
      <c r="B45" s="36">
        <v>46039</v>
      </c>
      <c r="C45" s="12">
        <f t="shared" si="4"/>
        <v>338</v>
      </c>
      <c r="D45" s="38">
        <v>1</v>
      </c>
      <c r="F45" s="12"/>
      <c r="G45" s="14" t="s">
        <v>86</v>
      </c>
      <c r="H45" s="12" t="s">
        <v>3032</v>
      </c>
      <c r="I45" s="12">
        <v>1111</v>
      </c>
      <c r="J45" s="12">
        <v>112111</v>
      </c>
      <c r="K45" s="12" t="s">
        <v>20</v>
      </c>
      <c r="L45" s="12">
        <v>1</v>
      </c>
      <c r="M45" s="17">
        <v>3000000</v>
      </c>
      <c r="N45" s="17">
        <f t="shared" si="5"/>
        <v>3000000</v>
      </c>
      <c r="O45" s="17"/>
      <c r="Q45" s="12">
        <f t="shared" si="6"/>
        <v>40</v>
      </c>
    </row>
    <row r="46" spans="1:17" ht="15" hidden="1" customHeight="1" x14ac:dyDescent="0.2">
      <c r="A46" s="12" t="s">
        <v>308</v>
      </c>
      <c r="B46" s="36">
        <v>46040</v>
      </c>
      <c r="C46" s="12">
        <f t="shared" si="4"/>
        <v>339</v>
      </c>
      <c r="D46" s="38">
        <v>1</v>
      </c>
      <c r="G46" s="14" t="s">
        <v>86</v>
      </c>
      <c r="H46" s="12" t="s">
        <v>3032</v>
      </c>
      <c r="I46" s="12">
        <v>1111</v>
      </c>
      <c r="J46" s="12">
        <v>112111</v>
      </c>
      <c r="K46" s="12" t="s">
        <v>20</v>
      </c>
      <c r="L46" s="12">
        <v>1</v>
      </c>
      <c r="M46" s="17">
        <v>7000000</v>
      </c>
      <c r="N46" s="17">
        <f t="shared" si="5"/>
        <v>7000000</v>
      </c>
      <c r="O46" s="17"/>
      <c r="Q46" s="12">
        <f t="shared" si="6"/>
        <v>40</v>
      </c>
    </row>
    <row r="47" spans="1:17" ht="15" hidden="1" customHeight="1" x14ac:dyDescent="0.2">
      <c r="A47" s="12" t="s">
        <v>308</v>
      </c>
      <c r="B47" s="36">
        <v>46041</v>
      </c>
      <c r="C47" s="12">
        <f t="shared" si="4"/>
        <v>340</v>
      </c>
      <c r="D47" s="38">
        <v>1</v>
      </c>
      <c r="F47" s="12"/>
      <c r="G47" s="14" t="s">
        <v>86</v>
      </c>
      <c r="H47" s="12" t="s">
        <v>3032</v>
      </c>
      <c r="I47" s="12">
        <v>1111</v>
      </c>
      <c r="J47" s="12">
        <v>112111</v>
      </c>
      <c r="K47" s="12" t="s">
        <v>20</v>
      </c>
      <c r="L47" s="12">
        <v>1</v>
      </c>
      <c r="M47" s="17">
        <v>16000000</v>
      </c>
      <c r="N47" s="17">
        <f t="shared" si="5"/>
        <v>16000000</v>
      </c>
      <c r="O47" s="17"/>
      <c r="Q47" s="12">
        <f t="shared" si="6"/>
        <v>40</v>
      </c>
    </row>
    <row r="48" spans="1:17" ht="15" hidden="1" customHeight="1" x14ac:dyDescent="0.2">
      <c r="A48" s="12" t="s">
        <v>308</v>
      </c>
      <c r="B48" s="36">
        <v>46044</v>
      </c>
      <c r="C48" s="12">
        <f t="shared" si="4"/>
        <v>341</v>
      </c>
      <c r="D48" s="38">
        <f>IF(H48=H47,0,1)</f>
        <v>1</v>
      </c>
      <c r="G48" s="14" t="s">
        <v>4026</v>
      </c>
      <c r="H48" s="12" t="s">
        <v>2613</v>
      </c>
      <c r="I48" s="12">
        <v>64277</v>
      </c>
      <c r="J48" s="12">
        <v>112111</v>
      </c>
      <c r="K48" s="12" t="s">
        <v>20</v>
      </c>
      <c r="L48" s="12">
        <v>1</v>
      </c>
      <c r="M48" s="17">
        <v>51700</v>
      </c>
      <c r="N48" s="17">
        <f t="shared" si="5"/>
        <v>51700</v>
      </c>
      <c r="O48" s="17"/>
      <c r="Q48" s="12">
        <f t="shared" si="6"/>
        <v>13</v>
      </c>
    </row>
    <row r="49" spans="1:17" ht="15" hidden="1" customHeight="1" x14ac:dyDescent="0.2">
      <c r="A49" s="12" t="s">
        <v>308</v>
      </c>
      <c r="B49" s="36">
        <v>46045</v>
      </c>
      <c r="C49" s="12">
        <f t="shared" si="4"/>
        <v>342</v>
      </c>
      <c r="D49" s="38">
        <f>IF(H49=H48,0,1)</f>
        <v>1</v>
      </c>
      <c r="G49" s="14" t="s">
        <v>86</v>
      </c>
      <c r="H49" s="12" t="s">
        <v>3032</v>
      </c>
      <c r="I49" s="12">
        <v>1111</v>
      </c>
      <c r="J49" s="12">
        <v>112111</v>
      </c>
      <c r="K49" s="12" t="s">
        <v>20</v>
      </c>
      <c r="L49" s="12">
        <v>1</v>
      </c>
      <c r="M49" s="17">
        <v>7000000</v>
      </c>
      <c r="N49" s="17">
        <f t="shared" si="5"/>
        <v>7000000</v>
      </c>
      <c r="O49" s="17"/>
      <c r="Q49" s="12">
        <f t="shared" si="6"/>
        <v>40</v>
      </c>
    </row>
    <row r="50" spans="1:17" ht="15" hidden="1" customHeight="1" x14ac:dyDescent="0.2">
      <c r="A50" s="12" t="s">
        <v>308</v>
      </c>
      <c r="B50" s="36">
        <v>46046</v>
      </c>
      <c r="C50" s="12">
        <f t="shared" si="4"/>
        <v>343</v>
      </c>
      <c r="D50" s="38">
        <f>IF(H50=H49,0,1)</f>
        <v>1</v>
      </c>
      <c r="G50" s="14" t="s">
        <v>2629</v>
      </c>
      <c r="H50" s="12" t="s">
        <v>4027</v>
      </c>
      <c r="I50" s="12">
        <v>333821</v>
      </c>
      <c r="J50" s="12">
        <v>112111</v>
      </c>
      <c r="K50" s="12" t="s">
        <v>20</v>
      </c>
      <c r="L50" s="12">
        <v>1</v>
      </c>
      <c r="M50" s="17">
        <v>42219139</v>
      </c>
      <c r="N50" s="17">
        <f t="shared" si="5"/>
        <v>42219139</v>
      </c>
      <c r="Q50" s="12">
        <f t="shared" si="6"/>
        <v>27</v>
      </c>
    </row>
    <row r="51" spans="1:17" ht="15" hidden="1" customHeight="1" x14ac:dyDescent="0.2">
      <c r="A51" s="12" t="s">
        <v>308</v>
      </c>
      <c r="B51" s="36">
        <v>46046</v>
      </c>
      <c r="C51" s="12">
        <f t="shared" si="4"/>
        <v>344</v>
      </c>
      <c r="D51" s="38">
        <f>IF(H51=H50,0,1)</f>
        <v>1</v>
      </c>
      <c r="G51" s="14" t="s">
        <v>86</v>
      </c>
      <c r="H51" s="12" t="s">
        <v>3032</v>
      </c>
      <c r="I51" s="12">
        <v>1111</v>
      </c>
      <c r="J51" s="12">
        <v>112111</v>
      </c>
      <c r="K51" s="12" t="s">
        <v>20</v>
      </c>
      <c r="L51" s="12">
        <v>1</v>
      </c>
      <c r="M51" s="17">
        <v>18000000</v>
      </c>
      <c r="N51" s="17">
        <f t="shared" si="5"/>
        <v>18000000</v>
      </c>
      <c r="Q51" s="12">
        <f t="shared" si="6"/>
        <v>40</v>
      </c>
    </row>
    <row r="52" spans="1:17" ht="15" hidden="1" customHeight="1" x14ac:dyDescent="0.2">
      <c r="A52" s="12" t="s">
        <v>308</v>
      </c>
      <c r="B52" s="36">
        <v>46048</v>
      </c>
      <c r="C52" s="12">
        <f t="shared" si="4"/>
        <v>345</v>
      </c>
      <c r="D52" s="38">
        <v>1</v>
      </c>
      <c r="G52" s="14" t="s">
        <v>86</v>
      </c>
      <c r="H52" s="12" t="s">
        <v>3032</v>
      </c>
      <c r="I52" s="12">
        <v>1111</v>
      </c>
      <c r="J52" s="12">
        <v>112111</v>
      </c>
      <c r="K52" s="12" t="s">
        <v>20</v>
      </c>
      <c r="L52" s="12">
        <v>1</v>
      </c>
      <c r="M52" s="17">
        <v>13000000</v>
      </c>
      <c r="N52" s="17">
        <f t="shared" si="5"/>
        <v>13000000</v>
      </c>
      <c r="O52" s="17"/>
      <c r="Q52" s="12">
        <f t="shared" si="6"/>
        <v>40</v>
      </c>
    </row>
    <row r="53" spans="1:17" ht="15" hidden="1" customHeight="1" x14ac:dyDescent="0.2">
      <c r="A53" s="12" t="s">
        <v>308</v>
      </c>
      <c r="B53" s="36">
        <v>46051</v>
      </c>
      <c r="C53" s="12">
        <f t="shared" si="4"/>
        <v>346</v>
      </c>
      <c r="D53" s="38">
        <v>1</v>
      </c>
      <c r="G53" s="14" t="s">
        <v>86</v>
      </c>
      <c r="H53" s="12" t="s">
        <v>3032</v>
      </c>
      <c r="I53" s="12">
        <v>1111</v>
      </c>
      <c r="J53" s="12">
        <v>112111</v>
      </c>
      <c r="K53" s="12" t="s">
        <v>20</v>
      </c>
      <c r="L53" s="12">
        <v>1</v>
      </c>
      <c r="M53" s="17">
        <v>1500000</v>
      </c>
      <c r="N53" s="17">
        <f t="shared" si="5"/>
        <v>1500000</v>
      </c>
      <c r="O53" s="17"/>
      <c r="Q53" s="12">
        <f t="shared" si="6"/>
        <v>40</v>
      </c>
    </row>
    <row r="54" spans="1:17" ht="15" hidden="1" customHeight="1" x14ac:dyDescent="0.2">
      <c r="A54" s="12" t="s">
        <v>308</v>
      </c>
      <c r="B54" s="36">
        <v>46051</v>
      </c>
      <c r="C54" s="12">
        <f t="shared" si="4"/>
        <v>347</v>
      </c>
      <c r="D54" s="38">
        <v>1</v>
      </c>
      <c r="G54" s="14" t="s">
        <v>86</v>
      </c>
      <c r="H54" s="12" t="s">
        <v>3032</v>
      </c>
      <c r="I54" s="12">
        <v>1111</v>
      </c>
      <c r="J54" s="12">
        <v>112111</v>
      </c>
      <c r="K54" s="12" t="s">
        <v>20</v>
      </c>
      <c r="L54" s="12">
        <v>1</v>
      </c>
      <c r="M54" s="17">
        <v>18195000</v>
      </c>
      <c r="N54" s="17">
        <f t="shared" si="5"/>
        <v>18195000</v>
      </c>
      <c r="O54" s="17"/>
      <c r="Q54" s="12">
        <f t="shared" si="6"/>
        <v>40</v>
      </c>
    </row>
    <row r="55" spans="1:17" ht="15" hidden="1" customHeight="1" x14ac:dyDescent="0.2">
      <c r="A55" s="12" t="s">
        <v>308</v>
      </c>
      <c r="B55" s="36">
        <v>46052</v>
      </c>
      <c r="C55" s="12">
        <f t="shared" si="4"/>
        <v>348</v>
      </c>
      <c r="D55" s="38">
        <v>1</v>
      </c>
      <c r="G55" s="14" t="s">
        <v>4026</v>
      </c>
      <c r="H55" s="12" t="s">
        <v>2613</v>
      </c>
      <c r="I55" s="12">
        <v>64277</v>
      </c>
      <c r="J55" s="12">
        <v>112111</v>
      </c>
      <c r="K55" s="12" t="s">
        <v>20</v>
      </c>
      <c r="L55" s="12">
        <v>1</v>
      </c>
      <c r="M55" s="17">
        <v>51700</v>
      </c>
      <c r="N55" s="17">
        <f t="shared" si="5"/>
        <v>51700</v>
      </c>
      <c r="O55" s="17"/>
      <c r="Q55" s="12">
        <f t="shared" si="6"/>
        <v>13</v>
      </c>
    </row>
    <row r="56" spans="1:17" ht="15" hidden="1" customHeight="1" x14ac:dyDescent="0.2">
      <c r="A56" s="12" t="s">
        <v>308</v>
      </c>
      <c r="B56" s="36">
        <v>46054</v>
      </c>
      <c r="C56" s="12">
        <f t="shared" si="4"/>
        <v>349</v>
      </c>
      <c r="D56" s="38">
        <v>1</v>
      </c>
      <c r="G56" s="14" t="s">
        <v>86</v>
      </c>
      <c r="H56" s="12" t="s">
        <v>3032</v>
      </c>
      <c r="I56" s="12">
        <v>1111</v>
      </c>
      <c r="J56" s="12">
        <v>112111</v>
      </c>
      <c r="K56" s="12" t="s">
        <v>20</v>
      </c>
      <c r="L56" s="12">
        <v>1</v>
      </c>
      <c r="M56" s="17">
        <v>1000000</v>
      </c>
      <c r="N56" s="17">
        <f t="shared" si="5"/>
        <v>1000000</v>
      </c>
      <c r="Q56" s="12">
        <f t="shared" si="6"/>
        <v>40</v>
      </c>
    </row>
    <row r="57" spans="1:17" ht="15" hidden="1" customHeight="1" x14ac:dyDescent="0.2">
      <c r="A57" s="12" t="s">
        <v>308</v>
      </c>
      <c r="B57" s="36">
        <v>46056</v>
      </c>
      <c r="C57" s="12">
        <f t="shared" si="4"/>
        <v>350</v>
      </c>
      <c r="D57" s="38">
        <v>1</v>
      </c>
      <c r="G57" s="14" t="s">
        <v>86</v>
      </c>
      <c r="H57" s="12" t="s">
        <v>3032</v>
      </c>
      <c r="I57" s="12">
        <v>1111</v>
      </c>
      <c r="J57" s="12">
        <v>112111</v>
      </c>
      <c r="K57" s="12" t="s">
        <v>20</v>
      </c>
      <c r="L57" s="12">
        <v>1</v>
      </c>
      <c r="M57" s="17">
        <v>3000000</v>
      </c>
      <c r="N57" s="17">
        <f t="shared" si="5"/>
        <v>3000000</v>
      </c>
      <c r="O57" s="17"/>
      <c r="Q57" s="12">
        <f t="shared" si="6"/>
        <v>40</v>
      </c>
    </row>
    <row r="58" spans="1:17" ht="15" hidden="1" customHeight="1" x14ac:dyDescent="0.2">
      <c r="A58" s="12" t="s">
        <v>308</v>
      </c>
      <c r="B58" s="36">
        <v>46056</v>
      </c>
      <c r="C58" s="12">
        <f t="shared" si="4"/>
        <v>351</v>
      </c>
      <c r="D58" s="38">
        <v>1</v>
      </c>
      <c r="G58" s="14" t="s">
        <v>86</v>
      </c>
      <c r="H58" s="12" t="s">
        <v>3032</v>
      </c>
      <c r="I58" s="12">
        <v>1111</v>
      </c>
      <c r="J58" s="12">
        <v>112111</v>
      </c>
      <c r="K58" s="12" t="s">
        <v>20</v>
      </c>
      <c r="L58" s="12">
        <v>1</v>
      </c>
      <c r="M58" s="17">
        <v>1000000</v>
      </c>
      <c r="N58" s="17">
        <f t="shared" si="5"/>
        <v>1000000</v>
      </c>
      <c r="O58" s="17"/>
      <c r="Q58" s="12">
        <f t="shared" si="6"/>
        <v>40</v>
      </c>
    </row>
    <row r="59" spans="1:17" ht="15" hidden="1" customHeight="1" x14ac:dyDescent="0.2">
      <c r="A59" s="12" t="s">
        <v>308</v>
      </c>
      <c r="B59" s="36">
        <v>46056</v>
      </c>
      <c r="C59" s="12">
        <f t="shared" si="4"/>
        <v>352</v>
      </c>
      <c r="D59" s="38">
        <v>1</v>
      </c>
      <c r="G59" s="14" t="s">
        <v>86</v>
      </c>
      <c r="H59" s="12" t="s">
        <v>3032</v>
      </c>
      <c r="I59" s="12">
        <v>1111</v>
      </c>
      <c r="J59" s="12">
        <v>112111</v>
      </c>
      <c r="K59" s="12" t="s">
        <v>20</v>
      </c>
      <c r="L59" s="12">
        <v>1</v>
      </c>
      <c r="M59" s="17">
        <v>10000000</v>
      </c>
      <c r="N59" s="17">
        <f t="shared" si="5"/>
        <v>10000000</v>
      </c>
      <c r="O59" s="17"/>
      <c r="Q59" s="12">
        <f t="shared" si="6"/>
        <v>40</v>
      </c>
    </row>
    <row r="60" spans="1:17" ht="15" hidden="1" customHeight="1" x14ac:dyDescent="0.2">
      <c r="A60" s="12" t="s">
        <v>308</v>
      </c>
      <c r="B60" s="36">
        <v>46058</v>
      </c>
      <c r="C60" s="12">
        <f t="shared" si="4"/>
        <v>353</v>
      </c>
      <c r="D60" s="38">
        <v>1</v>
      </c>
      <c r="G60" s="14" t="s">
        <v>86</v>
      </c>
      <c r="H60" s="12" t="s">
        <v>3032</v>
      </c>
      <c r="I60" s="12">
        <v>1111</v>
      </c>
      <c r="J60" s="12">
        <v>112111</v>
      </c>
      <c r="K60" s="12" t="s">
        <v>20</v>
      </c>
      <c r="L60" s="12">
        <v>1</v>
      </c>
      <c r="M60" s="17">
        <v>20000000</v>
      </c>
      <c r="N60" s="17">
        <f t="shared" si="5"/>
        <v>20000000</v>
      </c>
      <c r="O60" s="17"/>
      <c r="Q60" s="12">
        <f t="shared" si="6"/>
        <v>40</v>
      </c>
    </row>
    <row r="61" spans="1:17" ht="15" hidden="1" customHeight="1" x14ac:dyDescent="0.2">
      <c r="A61" s="12" t="s">
        <v>308</v>
      </c>
      <c r="B61" s="36">
        <v>46062</v>
      </c>
      <c r="C61" s="12">
        <f t="shared" si="4"/>
        <v>354</v>
      </c>
      <c r="D61" s="38">
        <v>1</v>
      </c>
      <c r="G61" s="14" t="s">
        <v>86</v>
      </c>
      <c r="H61" s="12" t="s">
        <v>3032</v>
      </c>
      <c r="I61" s="12">
        <v>1111</v>
      </c>
      <c r="J61" s="12">
        <v>112111</v>
      </c>
      <c r="K61" s="12" t="s">
        <v>20</v>
      </c>
      <c r="L61" s="12">
        <v>1</v>
      </c>
      <c r="M61" s="17">
        <v>5000000</v>
      </c>
      <c r="N61" s="17">
        <f t="shared" si="5"/>
        <v>5000000</v>
      </c>
      <c r="O61" s="17"/>
      <c r="Q61" s="12">
        <f t="shared" si="6"/>
        <v>40</v>
      </c>
    </row>
    <row r="62" spans="1:17" ht="15" hidden="1" customHeight="1" x14ac:dyDescent="0.2">
      <c r="A62" s="12" t="s">
        <v>308</v>
      </c>
      <c r="B62" s="36">
        <v>46063</v>
      </c>
      <c r="C62" s="12">
        <f t="shared" si="4"/>
        <v>355</v>
      </c>
      <c r="D62" s="38">
        <v>1</v>
      </c>
      <c r="G62" s="14" t="s">
        <v>86</v>
      </c>
      <c r="H62" s="12" t="s">
        <v>3032</v>
      </c>
      <c r="I62" s="12">
        <v>1111</v>
      </c>
      <c r="J62" s="12">
        <v>112111</v>
      </c>
      <c r="K62" s="12" t="s">
        <v>20</v>
      </c>
      <c r="L62" s="12">
        <v>1</v>
      </c>
      <c r="M62" s="17">
        <v>15000000</v>
      </c>
      <c r="N62" s="17">
        <f t="shared" si="5"/>
        <v>15000000</v>
      </c>
      <c r="O62" s="17"/>
      <c r="Q62" s="12">
        <f t="shared" si="6"/>
        <v>40</v>
      </c>
    </row>
    <row r="63" spans="1:17" ht="15" hidden="1" customHeight="1" x14ac:dyDescent="0.2">
      <c r="A63" s="12" t="s">
        <v>308</v>
      </c>
      <c r="B63" s="36">
        <v>46065</v>
      </c>
      <c r="C63" s="12">
        <f t="shared" si="4"/>
        <v>356</v>
      </c>
      <c r="D63" s="38">
        <v>1</v>
      </c>
      <c r="G63" s="14" t="s">
        <v>86</v>
      </c>
      <c r="H63" s="12" t="s">
        <v>3032</v>
      </c>
      <c r="I63" s="12">
        <v>1111</v>
      </c>
      <c r="J63" s="12">
        <v>112111</v>
      </c>
      <c r="K63" s="12" t="s">
        <v>20</v>
      </c>
      <c r="L63" s="12">
        <v>1</v>
      </c>
      <c r="M63" s="17">
        <v>6000000</v>
      </c>
      <c r="N63" s="17">
        <f t="shared" si="5"/>
        <v>6000000</v>
      </c>
      <c r="O63" s="17"/>
      <c r="Q63" s="12">
        <f t="shared" si="6"/>
        <v>40</v>
      </c>
    </row>
    <row r="64" spans="1:17" ht="15" hidden="1" customHeight="1" x14ac:dyDescent="0.2">
      <c r="A64" s="12" t="s">
        <v>308</v>
      </c>
      <c r="B64" s="36">
        <v>46066</v>
      </c>
      <c r="C64" s="12">
        <f t="shared" si="4"/>
        <v>357</v>
      </c>
      <c r="D64" s="38">
        <v>1</v>
      </c>
      <c r="G64" s="14" t="s">
        <v>86</v>
      </c>
      <c r="H64" s="12" t="s">
        <v>3032</v>
      </c>
      <c r="I64" s="12">
        <v>1111</v>
      </c>
      <c r="J64" s="12">
        <v>112111</v>
      </c>
      <c r="K64" s="12" t="s">
        <v>20</v>
      </c>
      <c r="L64" s="12">
        <v>1</v>
      </c>
      <c r="M64" s="17">
        <v>2000000</v>
      </c>
      <c r="N64" s="17">
        <f t="shared" si="5"/>
        <v>2000000</v>
      </c>
      <c r="O64" s="17"/>
      <c r="Q64" s="12">
        <f t="shared" si="6"/>
        <v>40</v>
      </c>
    </row>
    <row r="65" spans="1:17" ht="15" hidden="1" customHeight="1" x14ac:dyDescent="0.2">
      <c r="A65" s="12" t="s">
        <v>308</v>
      </c>
      <c r="B65" s="36">
        <v>46066</v>
      </c>
      <c r="C65" s="12">
        <f t="shared" si="4"/>
        <v>358</v>
      </c>
      <c r="D65" s="38">
        <v>1</v>
      </c>
      <c r="G65" s="14" t="s">
        <v>86</v>
      </c>
      <c r="H65" s="12" t="s">
        <v>3032</v>
      </c>
      <c r="I65" s="12">
        <v>1111</v>
      </c>
      <c r="J65" s="12">
        <v>112111</v>
      </c>
      <c r="K65" s="12" t="s">
        <v>20</v>
      </c>
      <c r="L65" s="12">
        <v>1</v>
      </c>
      <c r="M65" s="17">
        <v>6000000</v>
      </c>
      <c r="N65" s="17">
        <f t="shared" si="5"/>
        <v>6000000</v>
      </c>
      <c r="O65" s="17"/>
      <c r="Q65" s="12">
        <f t="shared" si="6"/>
        <v>40</v>
      </c>
    </row>
    <row r="66" spans="1:17" ht="15" hidden="1" customHeight="1" x14ac:dyDescent="0.2">
      <c r="A66" s="12" t="s">
        <v>308</v>
      </c>
      <c r="B66" s="36">
        <v>46068</v>
      </c>
      <c r="C66" s="12">
        <f t="shared" si="4"/>
        <v>359</v>
      </c>
      <c r="D66" s="38">
        <v>1</v>
      </c>
      <c r="G66" s="14" t="s">
        <v>86</v>
      </c>
      <c r="H66" s="12" t="s">
        <v>3032</v>
      </c>
      <c r="I66" s="12">
        <v>1111</v>
      </c>
      <c r="J66" s="12">
        <v>112111</v>
      </c>
      <c r="K66" s="12" t="s">
        <v>20</v>
      </c>
      <c r="L66" s="12">
        <v>1</v>
      </c>
      <c r="M66" s="17">
        <v>30000000</v>
      </c>
      <c r="N66" s="17">
        <f t="shared" si="5"/>
        <v>30000000</v>
      </c>
      <c r="O66" s="17"/>
      <c r="Q66" s="12">
        <f t="shared" si="6"/>
        <v>40</v>
      </c>
    </row>
    <row r="67" spans="1:17" ht="15" hidden="1" customHeight="1" x14ac:dyDescent="0.2">
      <c r="A67" s="12" t="s">
        <v>308</v>
      </c>
      <c r="B67" s="36">
        <v>46078</v>
      </c>
      <c r="C67" s="12">
        <f t="shared" si="4"/>
        <v>360</v>
      </c>
      <c r="D67" s="38">
        <v>1</v>
      </c>
      <c r="G67" s="14" t="s">
        <v>86</v>
      </c>
      <c r="H67" s="12" t="s">
        <v>3032</v>
      </c>
      <c r="I67" s="12">
        <v>1111</v>
      </c>
      <c r="J67" s="12">
        <v>112111</v>
      </c>
      <c r="K67" s="12" t="s">
        <v>20</v>
      </c>
      <c r="L67" s="12">
        <v>1</v>
      </c>
      <c r="M67" s="17">
        <v>18000000</v>
      </c>
      <c r="N67" s="17">
        <f t="shared" si="5"/>
        <v>18000000</v>
      </c>
      <c r="O67" s="17"/>
      <c r="Q67" s="12">
        <f t="shared" si="6"/>
        <v>40</v>
      </c>
    </row>
    <row r="68" spans="1:17" ht="15" hidden="1" customHeight="1" x14ac:dyDescent="0.2">
      <c r="A68" s="12" t="s">
        <v>308</v>
      </c>
      <c r="B68" s="36">
        <v>46079</v>
      </c>
      <c r="C68" s="12">
        <f t="shared" ref="C68:C99" si="7">C67+D68</f>
        <v>361</v>
      </c>
      <c r="D68" s="38">
        <v>1</v>
      </c>
      <c r="G68" s="14" t="s">
        <v>86</v>
      </c>
      <c r="H68" s="12" t="s">
        <v>3032</v>
      </c>
      <c r="I68" s="12">
        <v>1111</v>
      </c>
      <c r="J68" s="12">
        <v>112111</v>
      </c>
      <c r="K68" s="12" t="s">
        <v>20</v>
      </c>
      <c r="L68" s="12">
        <v>1</v>
      </c>
      <c r="M68" s="17">
        <v>4000000</v>
      </c>
      <c r="N68" s="17">
        <f t="shared" ref="N68:N99" si="8">L68*M68</f>
        <v>4000000</v>
      </c>
      <c r="O68" s="17"/>
      <c r="Q68" s="12">
        <f t="shared" ref="Q68:Q99" si="9">LEN(H68)</f>
        <v>40</v>
      </c>
    </row>
    <row r="69" spans="1:17" ht="15" hidden="1" customHeight="1" x14ac:dyDescent="0.2">
      <c r="A69" s="12" t="s">
        <v>308</v>
      </c>
      <c r="B69" s="36">
        <v>46080</v>
      </c>
      <c r="C69" s="12">
        <f t="shared" si="7"/>
        <v>362</v>
      </c>
      <c r="D69" s="38">
        <v>1</v>
      </c>
      <c r="G69" s="14" t="s">
        <v>39</v>
      </c>
      <c r="H69" s="12" t="s">
        <v>4042</v>
      </c>
      <c r="I69" s="12">
        <v>3383</v>
      </c>
      <c r="J69" s="12">
        <v>112111</v>
      </c>
      <c r="K69" s="12" t="s">
        <v>20</v>
      </c>
      <c r="L69" s="12">
        <v>1</v>
      </c>
      <c r="M69" s="17">
        <v>1404735</v>
      </c>
      <c r="N69" s="17">
        <f t="shared" si="8"/>
        <v>1404735</v>
      </c>
      <c r="O69" s="17"/>
      <c r="Q69" s="12">
        <f t="shared" si="9"/>
        <v>8</v>
      </c>
    </row>
    <row r="70" spans="1:17" ht="15" hidden="1" customHeight="1" x14ac:dyDescent="0.2">
      <c r="A70" s="12" t="s">
        <v>308</v>
      </c>
      <c r="B70" s="36">
        <v>46082</v>
      </c>
      <c r="C70" s="12">
        <f t="shared" si="7"/>
        <v>363</v>
      </c>
      <c r="D70" s="38">
        <v>1</v>
      </c>
      <c r="G70" s="14" t="s">
        <v>86</v>
      </c>
      <c r="H70" s="12" t="s">
        <v>3032</v>
      </c>
      <c r="I70" s="12">
        <v>1111</v>
      </c>
      <c r="J70" s="12">
        <v>112111</v>
      </c>
      <c r="K70" s="12" t="s">
        <v>20</v>
      </c>
      <c r="L70" s="12">
        <v>1</v>
      </c>
      <c r="M70" s="17">
        <v>6000000</v>
      </c>
      <c r="N70" s="17">
        <f t="shared" si="8"/>
        <v>6000000</v>
      </c>
      <c r="O70" s="17"/>
      <c r="Q70" s="12">
        <f t="shared" si="9"/>
        <v>40</v>
      </c>
    </row>
    <row r="71" spans="1:17" ht="15" hidden="1" customHeight="1" x14ac:dyDescent="0.2">
      <c r="A71" s="12" t="s">
        <v>308</v>
      </c>
      <c r="B71" s="36">
        <v>46083</v>
      </c>
      <c r="C71" s="12">
        <f t="shared" si="7"/>
        <v>364</v>
      </c>
      <c r="D71" s="38">
        <v>1</v>
      </c>
      <c r="G71" s="14" t="s">
        <v>4026</v>
      </c>
      <c r="H71" s="12" t="s">
        <v>2613</v>
      </c>
      <c r="I71" s="12">
        <v>64277</v>
      </c>
      <c r="J71" s="12">
        <v>112111</v>
      </c>
      <c r="K71" s="12" t="s">
        <v>20</v>
      </c>
      <c r="L71" s="12">
        <v>1</v>
      </c>
      <c r="M71" s="17">
        <v>51700</v>
      </c>
      <c r="N71" s="17">
        <f t="shared" si="8"/>
        <v>51700</v>
      </c>
      <c r="O71" s="17"/>
      <c r="Q71" s="12">
        <f t="shared" si="9"/>
        <v>13</v>
      </c>
    </row>
    <row r="72" spans="1:17" ht="15" hidden="1" customHeight="1" x14ac:dyDescent="0.2">
      <c r="A72" s="12" t="s">
        <v>308</v>
      </c>
      <c r="B72" s="36">
        <v>46085</v>
      </c>
      <c r="C72" s="12">
        <f t="shared" si="7"/>
        <v>365</v>
      </c>
      <c r="D72" s="38">
        <v>1</v>
      </c>
      <c r="G72" s="14" t="s">
        <v>86</v>
      </c>
      <c r="H72" s="12" t="s">
        <v>3032</v>
      </c>
      <c r="I72" s="12">
        <v>1111</v>
      </c>
      <c r="J72" s="12">
        <v>112111</v>
      </c>
      <c r="K72" s="12" t="s">
        <v>20</v>
      </c>
      <c r="L72" s="12">
        <v>1</v>
      </c>
      <c r="M72" s="17">
        <v>12000000</v>
      </c>
      <c r="N72" s="17">
        <f t="shared" si="8"/>
        <v>12000000</v>
      </c>
      <c r="O72" s="17"/>
      <c r="Q72" s="12">
        <f t="shared" si="9"/>
        <v>40</v>
      </c>
    </row>
    <row r="73" spans="1:17" ht="15" hidden="1" customHeight="1" x14ac:dyDescent="0.2">
      <c r="A73" s="12" t="s">
        <v>308</v>
      </c>
      <c r="B73" s="36">
        <v>46085</v>
      </c>
      <c r="C73" s="12">
        <f t="shared" si="7"/>
        <v>366</v>
      </c>
      <c r="D73" s="38">
        <v>1</v>
      </c>
      <c r="G73" s="14" t="s">
        <v>86</v>
      </c>
      <c r="H73" s="12" t="s">
        <v>3032</v>
      </c>
      <c r="I73" s="12">
        <v>1111</v>
      </c>
      <c r="J73" s="12">
        <v>112111</v>
      </c>
      <c r="K73" s="12" t="s">
        <v>20</v>
      </c>
      <c r="L73" s="12">
        <v>1</v>
      </c>
      <c r="M73" s="17">
        <v>2000000</v>
      </c>
      <c r="N73" s="17">
        <f t="shared" si="8"/>
        <v>2000000</v>
      </c>
      <c r="O73" s="17"/>
      <c r="Q73" s="12">
        <f t="shared" si="9"/>
        <v>40</v>
      </c>
    </row>
    <row r="74" spans="1:17" ht="15" hidden="1" customHeight="1" x14ac:dyDescent="0.2">
      <c r="A74" s="12" t="s">
        <v>308</v>
      </c>
      <c r="B74" s="36">
        <v>46086</v>
      </c>
      <c r="C74" s="12">
        <f t="shared" si="7"/>
        <v>367</v>
      </c>
      <c r="D74" s="38">
        <v>1</v>
      </c>
      <c r="G74" s="14" t="s">
        <v>86</v>
      </c>
      <c r="H74" s="12" t="s">
        <v>3032</v>
      </c>
      <c r="I74" s="12">
        <v>1111</v>
      </c>
      <c r="J74" s="12">
        <v>112111</v>
      </c>
      <c r="K74" s="12" t="s">
        <v>20</v>
      </c>
      <c r="L74" s="12">
        <v>1</v>
      </c>
      <c r="M74" s="17">
        <v>5000000</v>
      </c>
      <c r="N74" s="17">
        <f t="shared" si="8"/>
        <v>5000000</v>
      </c>
      <c r="O74" s="17"/>
      <c r="Q74" s="12">
        <f t="shared" si="9"/>
        <v>40</v>
      </c>
    </row>
    <row r="75" spans="1:17" ht="15" hidden="1" customHeight="1" x14ac:dyDescent="0.2">
      <c r="A75" s="12" t="s">
        <v>308</v>
      </c>
      <c r="B75" s="36">
        <v>46089</v>
      </c>
      <c r="C75" s="12">
        <f t="shared" si="7"/>
        <v>368</v>
      </c>
      <c r="D75" s="38">
        <v>1</v>
      </c>
      <c r="G75" s="14" t="s">
        <v>86</v>
      </c>
      <c r="H75" s="12" t="s">
        <v>3032</v>
      </c>
      <c r="I75" s="12">
        <v>1111</v>
      </c>
      <c r="J75" s="12">
        <v>112111</v>
      </c>
      <c r="K75" s="12" t="s">
        <v>20</v>
      </c>
      <c r="L75" s="12">
        <v>1</v>
      </c>
      <c r="M75" s="17">
        <v>15000000</v>
      </c>
      <c r="N75" s="17">
        <f t="shared" si="8"/>
        <v>15000000</v>
      </c>
      <c r="O75" s="17"/>
      <c r="Q75" s="12">
        <f t="shared" si="9"/>
        <v>40</v>
      </c>
    </row>
    <row r="76" spans="1:17" ht="15" hidden="1" customHeight="1" x14ac:dyDescent="0.2">
      <c r="A76" s="12" t="s">
        <v>308</v>
      </c>
      <c r="B76" s="36">
        <v>46090</v>
      </c>
      <c r="C76" s="12">
        <f t="shared" si="7"/>
        <v>369</v>
      </c>
      <c r="D76" s="38">
        <v>1</v>
      </c>
      <c r="G76" s="14" t="s">
        <v>86</v>
      </c>
      <c r="H76" s="12" t="s">
        <v>3032</v>
      </c>
      <c r="I76" s="12">
        <v>1111</v>
      </c>
      <c r="J76" s="12">
        <v>112111</v>
      </c>
      <c r="K76" s="12" t="s">
        <v>20</v>
      </c>
      <c r="L76" s="12">
        <v>1</v>
      </c>
      <c r="M76" s="17">
        <v>5500000</v>
      </c>
      <c r="N76" s="17">
        <f t="shared" si="8"/>
        <v>5500000</v>
      </c>
      <c r="O76" s="17"/>
      <c r="Q76" s="12">
        <f t="shared" si="9"/>
        <v>40</v>
      </c>
    </row>
    <row r="77" spans="1:17" ht="15" hidden="1" customHeight="1" x14ac:dyDescent="0.2">
      <c r="A77" s="12" t="s">
        <v>308</v>
      </c>
      <c r="B77" s="36">
        <v>46091</v>
      </c>
      <c r="C77" s="12">
        <f t="shared" si="7"/>
        <v>370</v>
      </c>
      <c r="D77" s="38">
        <v>1</v>
      </c>
      <c r="G77" s="14" t="s">
        <v>86</v>
      </c>
      <c r="H77" s="12" t="s">
        <v>3032</v>
      </c>
      <c r="I77" s="12">
        <v>1111</v>
      </c>
      <c r="J77" s="12">
        <v>112111</v>
      </c>
      <c r="K77" s="12" t="s">
        <v>20</v>
      </c>
      <c r="L77" s="12">
        <v>1</v>
      </c>
      <c r="M77" s="17">
        <v>10000000</v>
      </c>
      <c r="N77" s="17">
        <f t="shared" si="8"/>
        <v>10000000</v>
      </c>
      <c r="O77" s="17"/>
      <c r="Q77" s="12">
        <f t="shared" si="9"/>
        <v>40</v>
      </c>
    </row>
    <row r="78" spans="1:17" ht="15" hidden="1" customHeight="1" x14ac:dyDescent="0.2">
      <c r="A78" s="12" t="s">
        <v>308</v>
      </c>
      <c r="B78" s="36">
        <v>46096</v>
      </c>
      <c r="C78" s="12">
        <f t="shared" si="7"/>
        <v>371</v>
      </c>
      <c r="D78" s="38">
        <v>1</v>
      </c>
      <c r="G78" s="14" t="s">
        <v>86</v>
      </c>
      <c r="H78" s="12" t="s">
        <v>3032</v>
      </c>
      <c r="I78" s="12">
        <v>1111</v>
      </c>
      <c r="J78" s="12">
        <v>112111</v>
      </c>
      <c r="K78" s="12" t="s">
        <v>20</v>
      </c>
      <c r="L78" s="12">
        <v>1</v>
      </c>
      <c r="M78" s="17">
        <v>18000000</v>
      </c>
      <c r="N78" s="17">
        <f t="shared" si="8"/>
        <v>18000000</v>
      </c>
      <c r="O78" s="17"/>
      <c r="Q78" s="12">
        <f t="shared" si="9"/>
        <v>40</v>
      </c>
    </row>
    <row r="79" spans="1:17" ht="15" hidden="1" customHeight="1" x14ac:dyDescent="0.2">
      <c r="A79" s="12" t="s">
        <v>308</v>
      </c>
      <c r="B79" s="36">
        <v>46096</v>
      </c>
      <c r="C79" s="12">
        <f t="shared" si="7"/>
        <v>372</v>
      </c>
      <c r="D79" s="38">
        <v>1</v>
      </c>
      <c r="G79" s="14" t="s">
        <v>86</v>
      </c>
      <c r="H79" s="12" t="s">
        <v>3032</v>
      </c>
      <c r="I79" s="12">
        <v>1111</v>
      </c>
      <c r="J79" s="12">
        <v>112111</v>
      </c>
      <c r="K79" s="12" t="s">
        <v>20</v>
      </c>
      <c r="L79" s="12">
        <v>1</v>
      </c>
      <c r="M79" s="17">
        <v>3500000</v>
      </c>
      <c r="N79" s="17">
        <f t="shared" si="8"/>
        <v>3500000</v>
      </c>
      <c r="O79" s="17"/>
      <c r="Q79" s="12">
        <f t="shared" si="9"/>
        <v>40</v>
      </c>
    </row>
    <row r="80" spans="1:17" ht="15" hidden="1" customHeight="1" x14ac:dyDescent="0.2">
      <c r="A80" s="12" t="s">
        <v>308</v>
      </c>
      <c r="B80" s="36">
        <v>46097</v>
      </c>
      <c r="C80" s="12">
        <f t="shared" si="7"/>
        <v>373</v>
      </c>
      <c r="D80" s="38">
        <v>1</v>
      </c>
      <c r="G80" s="14" t="s">
        <v>86</v>
      </c>
      <c r="H80" s="12" t="s">
        <v>3032</v>
      </c>
      <c r="I80" s="12">
        <v>1111</v>
      </c>
      <c r="J80" s="12">
        <v>112111</v>
      </c>
      <c r="K80" s="12" t="s">
        <v>20</v>
      </c>
      <c r="L80" s="12">
        <v>1</v>
      </c>
      <c r="M80" s="17">
        <v>3500000</v>
      </c>
      <c r="N80" s="17">
        <f t="shared" si="8"/>
        <v>3500000</v>
      </c>
      <c r="O80" s="17"/>
      <c r="Q80" s="12">
        <f t="shared" si="9"/>
        <v>40</v>
      </c>
    </row>
    <row r="81" spans="1:17" ht="15" hidden="1" customHeight="1" x14ac:dyDescent="0.2">
      <c r="A81" s="12" t="s">
        <v>308</v>
      </c>
      <c r="B81" s="36">
        <v>46098</v>
      </c>
      <c r="C81" s="12">
        <f t="shared" si="7"/>
        <v>374</v>
      </c>
      <c r="D81" s="38">
        <v>1</v>
      </c>
      <c r="G81" s="14" t="s">
        <v>86</v>
      </c>
      <c r="H81" s="12" t="s">
        <v>3032</v>
      </c>
      <c r="I81" s="12">
        <v>1111</v>
      </c>
      <c r="J81" s="12">
        <v>112111</v>
      </c>
      <c r="K81" s="12" t="s">
        <v>20</v>
      </c>
      <c r="L81" s="12">
        <v>1</v>
      </c>
      <c r="M81" s="17">
        <v>1000000</v>
      </c>
      <c r="N81" s="17">
        <f t="shared" si="8"/>
        <v>1000000</v>
      </c>
      <c r="Q81" s="12">
        <f t="shared" si="9"/>
        <v>40</v>
      </c>
    </row>
    <row r="82" spans="1:17" ht="15" hidden="1" customHeight="1" x14ac:dyDescent="0.2">
      <c r="A82" s="12" t="s">
        <v>308</v>
      </c>
      <c r="B82" s="36">
        <v>46101</v>
      </c>
      <c r="C82" s="12">
        <f t="shared" si="7"/>
        <v>375</v>
      </c>
      <c r="D82" s="38">
        <v>1</v>
      </c>
      <c r="G82" s="14" t="s">
        <v>86</v>
      </c>
      <c r="H82" s="12" t="s">
        <v>3032</v>
      </c>
      <c r="I82" s="12">
        <v>1111</v>
      </c>
      <c r="J82" s="12">
        <v>112111</v>
      </c>
      <c r="K82" s="12" t="s">
        <v>20</v>
      </c>
      <c r="L82" s="12">
        <v>1</v>
      </c>
      <c r="M82" s="17">
        <v>1000000</v>
      </c>
      <c r="N82" s="17">
        <f t="shared" si="8"/>
        <v>1000000</v>
      </c>
      <c r="O82" s="17"/>
      <c r="Q82" s="12">
        <f t="shared" si="9"/>
        <v>40</v>
      </c>
    </row>
    <row r="83" spans="1:17" ht="15" hidden="1" customHeight="1" x14ac:dyDescent="0.2">
      <c r="A83" s="12" t="s">
        <v>308</v>
      </c>
      <c r="B83" s="36">
        <v>46102</v>
      </c>
      <c r="C83" s="12">
        <f t="shared" si="7"/>
        <v>376</v>
      </c>
      <c r="D83" s="38">
        <v>1</v>
      </c>
      <c r="G83" s="14" t="s">
        <v>86</v>
      </c>
      <c r="H83" s="12" t="s">
        <v>3032</v>
      </c>
      <c r="I83" s="12">
        <v>1111</v>
      </c>
      <c r="J83" s="12">
        <v>112111</v>
      </c>
      <c r="K83" s="12" t="s">
        <v>20</v>
      </c>
      <c r="L83" s="12">
        <v>1</v>
      </c>
      <c r="M83" s="17">
        <v>3250000</v>
      </c>
      <c r="N83" s="17">
        <f t="shared" si="8"/>
        <v>3250000</v>
      </c>
      <c r="O83" s="17"/>
      <c r="Q83" s="12">
        <f t="shared" si="9"/>
        <v>40</v>
      </c>
    </row>
    <row r="84" spans="1:17" ht="15" hidden="1" customHeight="1" x14ac:dyDescent="0.2">
      <c r="A84" s="12" t="s">
        <v>308</v>
      </c>
      <c r="B84" s="36">
        <v>46105</v>
      </c>
      <c r="C84" s="12">
        <f t="shared" si="7"/>
        <v>377</v>
      </c>
      <c r="D84" s="38">
        <v>1</v>
      </c>
      <c r="G84" s="14" t="s">
        <v>4026</v>
      </c>
      <c r="H84" s="12" t="s">
        <v>2613</v>
      </c>
      <c r="I84" s="12">
        <v>64277</v>
      </c>
      <c r="J84" s="12">
        <v>112111</v>
      </c>
      <c r="K84" s="12" t="s">
        <v>20</v>
      </c>
      <c r="L84" s="12">
        <v>1</v>
      </c>
      <c r="M84" s="17">
        <v>51700</v>
      </c>
      <c r="N84" s="17">
        <f t="shared" si="8"/>
        <v>51700</v>
      </c>
      <c r="O84" s="17"/>
      <c r="Q84" s="12">
        <f t="shared" si="9"/>
        <v>13</v>
      </c>
    </row>
    <row r="85" spans="1:17" ht="15" hidden="1" customHeight="1" x14ac:dyDescent="0.2">
      <c r="A85" s="12" t="s">
        <v>308</v>
      </c>
      <c r="B85" s="36">
        <v>46106</v>
      </c>
      <c r="C85" s="12">
        <f t="shared" si="7"/>
        <v>378</v>
      </c>
      <c r="D85" s="38">
        <v>1</v>
      </c>
      <c r="G85" s="14" t="s">
        <v>4026</v>
      </c>
      <c r="H85" s="12" t="s">
        <v>2613</v>
      </c>
      <c r="I85" s="12">
        <v>64277</v>
      </c>
      <c r="J85" s="12">
        <v>112111</v>
      </c>
      <c r="K85" s="12" t="s">
        <v>20</v>
      </c>
      <c r="L85" s="12">
        <v>1</v>
      </c>
      <c r="M85" s="17">
        <v>22000</v>
      </c>
      <c r="N85" s="17">
        <f t="shared" si="8"/>
        <v>22000</v>
      </c>
      <c r="O85" s="17"/>
      <c r="Q85" s="12">
        <f t="shared" si="9"/>
        <v>13</v>
      </c>
    </row>
    <row r="86" spans="1:17" ht="15" hidden="1" customHeight="1" x14ac:dyDescent="0.2">
      <c r="A86" s="12" t="s">
        <v>308</v>
      </c>
      <c r="B86" s="36">
        <v>46106</v>
      </c>
      <c r="C86" s="12">
        <f t="shared" si="7"/>
        <v>379</v>
      </c>
      <c r="D86" s="38">
        <v>1</v>
      </c>
      <c r="G86" s="14" t="s">
        <v>86</v>
      </c>
      <c r="H86" s="12" t="s">
        <v>3032</v>
      </c>
      <c r="I86" s="12">
        <v>1111</v>
      </c>
      <c r="J86" s="12">
        <v>112111</v>
      </c>
      <c r="K86" s="12" t="s">
        <v>20</v>
      </c>
      <c r="L86" s="12">
        <v>1</v>
      </c>
      <c r="M86" s="17">
        <v>1000000</v>
      </c>
      <c r="N86" s="17">
        <f t="shared" si="8"/>
        <v>1000000</v>
      </c>
      <c r="O86" s="17"/>
      <c r="Q86" s="12">
        <f t="shared" si="9"/>
        <v>40</v>
      </c>
    </row>
    <row r="87" spans="1:17" ht="15" hidden="1" customHeight="1" x14ac:dyDescent="0.2">
      <c r="A87" s="12" t="s">
        <v>308</v>
      </c>
      <c r="B87" s="36">
        <v>46106</v>
      </c>
      <c r="C87" s="12">
        <f t="shared" si="7"/>
        <v>380</v>
      </c>
      <c r="D87" s="38">
        <v>1</v>
      </c>
      <c r="G87" s="14" t="s">
        <v>86</v>
      </c>
      <c r="H87" s="12" t="s">
        <v>3032</v>
      </c>
      <c r="I87" s="12">
        <v>1111</v>
      </c>
      <c r="J87" s="12">
        <v>112111</v>
      </c>
      <c r="K87" s="12" t="s">
        <v>20</v>
      </c>
      <c r="L87" s="12">
        <v>1</v>
      </c>
      <c r="M87" s="17">
        <v>11500000</v>
      </c>
      <c r="N87" s="17">
        <f t="shared" si="8"/>
        <v>11500000</v>
      </c>
      <c r="O87" s="17"/>
      <c r="Q87" s="12">
        <f t="shared" si="9"/>
        <v>40</v>
      </c>
    </row>
    <row r="88" spans="1:17" ht="15" hidden="1" customHeight="1" x14ac:dyDescent="0.2">
      <c r="A88" s="12" t="s">
        <v>308</v>
      </c>
      <c r="B88" s="36">
        <v>46106</v>
      </c>
      <c r="C88" s="12">
        <f t="shared" si="7"/>
        <v>381</v>
      </c>
      <c r="D88" s="38">
        <v>1</v>
      </c>
      <c r="G88" s="14" t="s">
        <v>86</v>
      </c>
      <c r="H88" s="12" t="s">
        <v>3032</v>
      </c>
      <c r="I88" s="12">
        <v>1111</v>
      </c>
      <c r="J88" s="12">
        <v>112111</v>
      </c>
      <c r="K88" s="12" t="s">
        <v>20</v>
      </c>
      <c r="L88" s="12">
        <v>1</v>
      </c>
      <c r="M88" s="17">
        <v>74000000</v>
      </c>
      <c r="N88" s="17">
        <f t="shared" si="8"/>
        <v>74000000</v>
      </c>
      <c r="O88" s="17"/>
      <c r="Q88" s="12">
        <f t="shared" si="9"/>
        <v>40</v>
      </c>
    </row>
    <row r="89" spans="1:17" ht="15" hidden="1" customHeight="1" x14ac:dyDescent="0.2">
      <c r="A89" s="12" t="s">
        <v>308</v>
      </c>
      <c r="B89" s="36">
        <v>46110</v>
      </c>
      <c r="C89" s="12">
        <f t="shared" si="7"/>
        <v>382</v>
      </c>
      <c r="D89" s="38">
        <v>1</v>
      </c>
      <c r="G89" s="14" t="s">
        <v>86</v>
      </c>
      <c r="H89" s="12" t="s">
        <v>3032</v>
      </c>
      <c r="I89" s="12">
        <v>1111</v>
      </c>
      <c r="J89" s="12">
        <v>112111</v>
      </c>
      <c r="K89" s="12" t="s">
        <v>20</v>
      </c>
      <c r="L89" s="12">
        <v>1</v>
      </c>
      <c r="M89" s="17">
        <v>700000</v>
      </c>
      <c r="N89" s="17">
        <f t="shared" si="8"/>
        <v>700000</v>
      </c>
      <c r="O89" s="17"/>
      <c r="Q89" s="12">
        <f t="shared" si="9"/>
        <v>40</v>
      </c>
    </row>
    <row r="90" spans="1:17" ht="15" hidden="1" customHeight="1" x14ac:dyDescent="0.2">
      <c r="A90" s="12" t="s">
        <v>308</v>
      </c>
      <c r="B90" s="36">
        <v>46112</v>
      </c>
      <c r="C90" s="12">
        <f t="shared" si="7"/>
        <v>383</v>
      </c>
      <c r="D90" s="38">
        <v>1</v>
      </c>
      <c r="G90" s="14" t="s">
        <v>86</v>
      </c>
      <c r="H90" s="12" t="s">
        <v>3032</v>
      </c>
      <c r="I90" s="12">
        <v>1111</v>
      </c>
      <c r="J90" s="12">
        <v>112111</v>
      </c>
      <c r="K90" s="12" t="s">
        <v>20</v>
      </c>
      <c r="L90" s="12">
        <v>1</v>
      </c>
      <c r="M90" s="17">
        <v>47970000</v>
      </c>
      <c r="N90" s="17">
        <f t="shared" si="8"/>
        <v>47970000</v>
      </c>
      <c r="O90" s="17"/>
      <c r="Q90" s="12">
        <f t="shared" si="9"/>
        <v>40</v>
      </c>
    </row>
    <row r="91" spans="1:17" ht="15" hidden="1" customHeight="1" x14ac:dyDescent="0.2">
      <c r="A91" s="12" t="s">
        <v>310</v>
      </c>
      <c r="B91" s="36">
        <v>46023</v>
      </c>
      <c r="C91" s="12">
        <f t="shared" si="7"/>
        <v>384</v>
      </c>
      <c r="D91" s="38">
        <f t="shared" ref="D91:D122" si="10">IF(H91=H90,0,1)</f>
        <v>1</v>
      </c>
      <c r="G91" s="14" t="s">
        <v>28</v>
      </c>
      <c r="H91" s="12" t="s">
        <v>4050</v>
      </c>
      <c r="I91" s="12">
        <v>331</v>
      </c>
      <c r="J91" s="12">
        <v>1111</v>
      </c>
      <c r="K91" s="12" t="s">
        <v>20</v>
      </c>
      <c r="L91" s="12">
        <v>1</v>
      </c>
      <c r="M91" s="17">
        <v>2016360</v>
      </c>
      <c r="N91" s="17">
        <f t="shared" si="8"/>
        <v>2016360</v>
      </c>
      <c r="O91" s="17"/>
      <c r="Q91" s="12">
        <f t="shared" si="9"/>
        <v>40</v>
      </c>
    </row>
    <row r="92" spans="1:17" ht="15" hidden="1" customHeight="1" x14ac:dyDescent="0.2">
      <c r="A92" s="12" t="s">
        <v>310</v>
      </c>
      <c r="B92" s="36">
        <v>46028</v>
      </c>
      <c r="C92" s="12">
        <f t="shared" si="7"/>
        <v>385</v>
      </c>
      <c r="D92" s="38">
        <f t="shared" si="10"/>
        <v>1</v>
      </c>
      <c r="G92" s="14" t="s">
        <v>35</v>
      </c>
      <c r="H92" s="12" t="s">
        <v>1681</v>
      </c>
      <c r="I92" s="12">
        <v>331</v>
      </c>
      <c r="J92" s="12">
        <v>1111</v>
      </c>
      <c r="K92" s="12" t="s">
        <v>20</v>
      </c>
      <c r="L92" s="12">
        <v>1</v>
      </c>
      <c r="M92" s="17">
        <v>3240000</v>
      </c>
      <c r="N92" s="17">
        <f t="shared" si="8"/>
        <v>3240000</v>
      </c>
      <c r="O92" s="17"/>
      <c r="Q92" s="12">
        <f t="shared" si="9"/>
        <v>41</v>
      </c>
    </row>
    <row r="93" spans="1:17" ht="15" hidden="1" customHeight="1" x14ac:dyDescent="0.2">
      <c r="A93" s="12" t="s">
        <v>310</v>
      </c>
      <c r="B93" s="36">
        <v>46029</v>
      </c>
      <c r="C93" s="12">
        <f t="shared" si="7"/>
        <v>386</v>
      </c>
      <c r="D93" s="38">
        <f t="shared" si="10"/>
        <v>1</v>
      </c>
      <c r="G93" s="14" t="s">
        <v>1683</v>
      </c>
      <c r="H93" s="12" t="s">
        <v>4051</v>
      </c>
      <c r="I93" s="12">
        <v>331</v>
      </c>
      <c r="J93" s="12">
        <v>1111</v>
      </c>
      <c r="K93" s="12" t="s">
        <v>20</v>
      </c>
      <c r="L93" s="12">
        <v>1</v>
      </c>
      <c r="M93" s="17">
        <v>723450</v>
      </c>
      <c r="N93" s="17">
        <f t="shared" si="8"/>
        <v>723450</v>
      </c>
      <c r="O93" s="17"/>
      <c r="Q93" s="12">
        <f t="shared" si="9"/>
        <v>40</v>
      </c>
    </row>
    <row r="94" spans="1:17" ht="15" hidden="1" customHeight="1" x14ac:dyDescent="0.2">
      <c r="A94" s="12" t="s">
        <v>310</v>
      </c>
      <c r="B94" s="36">
        <v>46029</v>
      </c>
      <c r="C94" s="12">
        <f t="shared" si="7"/>
        <v>387</v>
      </c>
      <c r="D94" s="38">
        <f t="shared" si="10"/>
        <v>1</v>
      </c>
      <c r="G94" s="14" t="s">
        <v>35</v>
      </c>
      <c r="H94" s="12" t="s">
        <v>1682</v>
      </c>
      <c r="I94" s="12">
        <v>331</v>
      </c>
      <c r="J94" s="12">
        <v>1111</v>
      </c>
      <c r="K94" s="12" t="s">
        <v>20</v>
      </c>
      <c r="L94" s="12">
        <v>1</v>
      </c>
      <c r="M94" s="17">
        <v>3240000</v>
      </c>
      <c r="N94" s="17">
        <f t="shared" si="8"/>
        <v>3240000</v>
      </c>
      <c r="O94" s="17"/>
      <c r="Q94" s="12">
        <f t="shared" si="9"/>
        <v>41</v>
      </c>
    </row>
    <row r="95" spans="1:17" ht="15" hidden="1" customHeight="1" x14ac:dyDescent="0.2">
      <c r="A95" s="12" t="s">
        <v>310</v>
      </c>
      <c r="B95" s="36">
        <v>46030</v>
      </c>
      <c r="C95" s="12">
        <f t="shared" si="7"/>
        <v>388</v>
      </c>
      <c r="D95" s="38">
        <f t="shared" si="10"/>
        <v>1</v>
      </c>
      <c r="G95" s="14" t="s">
        <v>1684</v>
      </c>
      <c r="H95" s="12" t="s">
        <v>1685</v>
      </c>
      <c r="I95" s="12">
        <v>331</v>
      </c>
      <c r="J95" s="12">
        <v>1111</v>
      </c>
      <c r="K95" s="12" t="s">
        <v>20</v>
      </c>
      <c r="L95" s="12">
        <v>1</v>
      </c>
      <c r="M95" s="17">
        <v>707400</v>
      </c>
      <c r="N95" s="17">
        <f t="shared" si="8"/>
        <v>707400</v>
      </c>
      <c r="O95" s="17"/>
      <c r="Q95" s="12">
        <f t="shared" si="9"/>
        <v>141</v>
      </c>
    </row>
    <row r="96" spans="1:17" ht="15" hidden="1" customHeight="1" x14ac:dyDescent="0.2">
      <c r="A96" s="12" t="s">
        <v>310</v>
      </c>
      <c r="B96" s="36">
        <v>46044</v>
      </c>
      <c r="C96" s="12">
        <f t="shared" si="7"/>
        <v>389</v>
      </c>
      <c r="D96" s="38">
        <f t="shared" si="10"/>
        <v>1</v>
      </c>
      <c r="G96" s="14" t="s">
        <v>1686</v>
      </c>
      <c r="H96" s="12" t="s">
        <v>1687</v>
      </c>
      <c r="I96" s="12">
        <v>331</v>
      </c>
      <c r="J96" s="12">
        <v>1111</v>
      </c>
      <c r="K96" s="12" t="s">
        <v>20</v>
      </c>
      <c r="L96" s="12">
        <v>1</v>
      </c>
      <c r="M96" s="17">
        <v>51700</v>
      </c>
      <c r="N96" s="17">
        <f t="shared" si="8"/>
        <v>51700</v>
      </c>
      <c r="O96" s="17"/>
      <c r="Q96" s="12">
        <f t="shared" si="9"/>
        <v>12</v>
      </c>
    </row>
    <row r="97" spans="1:17" ht="15" hidden="1" customHeight="1" x14ac:dyDescent="0.2">
      <c r="A97" s="12" t="s">
        <v>310</v>
      </c>
      <c r="B97" s="36">
        <v>46052</v>
      </c>
      <c r="C97" s="12">
        <f t="shared" si="7"/>
        <v>390</v>
      </c>
      <c r="D97" s="38">
        <f t="shared" si="10"/>
        <v>1</v>
      </c>
      <c r="G97" s="14" t="s">
        <v>1686</v>
      </c>
      <c r="H97" s="12" t="s">
        <v>1688</v>
      </c>
      <c r="I97" s="12">
        <v>331</v>
      </c>
      <c r="J97" s="12">
        <v>1111</v>
      </c>
      <c r="K97" s="12" t="s">
        <v>20</v>
      </c>
      <c r="L97" s="12">
        <v>1</v>
      </c>
      <c r="M97" s="17">
        <v>51700</v>
      </c>
      <c r="N97" s="17">
        <f t="shared" si="8"/>
        <v>51700</v>
      </c>
      <c r="O97" s="17"/>
      <c r="Q97" s="12">
        <f t="shared" si="9"/>
        <v>12</v>
      </c>
    </row>
    <row r="98" spans="1:17" ht="15" hidden="1" customHeight="1" x14ac:dyDescent="0.2">
      <c r="A98" s="12" t="s">
        <v>310</v>
      </c>
      <c r="B98" s="36">
        <v>46054</v>
      </c>
      <c r="C98" s="12">
        <f t="shared" si="7"/>
        <v>391</v>
      </c>
      <c r="D98" s="38">
        <f t="shared" si="10"/>
        <v>1</v>
      </c>
      <c r="F98" s="12"/>
      <c r="G98" s="14" t="s">
        <v>25</v>
      </c>
      <c r="H98" s="12" t="s">
        <v>1689</v>
      </c>
      <c r="I98" s="12">
        <v>331</v>
      </c>
      <c r="J98" s="12">
        <v>1111</v>
      </c>
      <c r="K98" s="12" t="s">
        <v>20</v>
      </c>
      <c r="L98" s="12">
        <v>1</v>
      </c>
      <c r="M98" s="17">
        <v>1940760</v>
      </c>
      <c r="N98" s="17">
        <f t="shared" si="8"/>
        <v>1940760</v>
      </c>
      <c r="O98" s="17"/>
      <c r="Q98" s="12">
        <f t="shared" si="9"/>
        <v>106</v>
      </c>
    </row>
    <row r="99" spans="1:17" ht="15" hidden="1" customHeight="1" x14ac:dyDescent="0.2">
      <c r="A99" s="12" t="s">
        <v>310</v>
      </c>
      <c r="B99" s="36">
        <v>46055</v>
      </c>
      <c r="C99" s="12">
        <f t="shared" si="7"/>
        <v>392</v>
      </c>
      <c r="D99" s="38">
        <f t="shared" si="10"/>
        <v>1</v>
      </c>
      <c r="G99" s="14" t="s">
        <v>44</v>
      </c>
      <c r="H99" s="12" t="s">
        <v>1690</v>
      </c>
      <c r="I99" s="12">
        <v>331</v>
      </c>
      <c r="J99" s="12">
        <v>1111</v>
      </c>
      <c r="K99" s="12" t="s">
        <v>20</v>
      </c>
      <c r="L99" s="12">
        <v>1</v>
      </c>
      <c r="M99" s="17">
        <v>408</v>
      </c>
      <c r="N99" s="17">
        <f t="shared" si="8"/>
        <v>408</v>
      </c>
      <c r="O99" s="17"/>
      <c r="Q99" s="12">
        <f t="shared" si="9"/>
        <v>98</v>
      </c>
    </row>
    <row r="100" spans="1:17" ht="15" hidden="1" customHeight="1" x14ac:dyDescent="0.2">
      <c r="A100" s="12" t="s">
        <v>310</v>
      </c>
      <c r="B100" s="36">
        <v>46060</v>
      </c>
      <c r="C100" s="12">
        <f t="shared" ref="C100:C131" si="11">C99+D100</f>
        <v>393</v>
      </c>
      <c r="D100" s="38">
        <f t="shared" si="10"/>
        <v>1</v>
      </c>
      <c r="G100" s="14" t="s">
        <v>61</v>
      </c>
      <c r="H100" s="12" t="s">
        <v>4052</v>
      </c>
      <c r="I100" s="12">
        <v>331</v>
      </c>
      <c r="J100" s="12">
        <v>1111</v>
      </c>
      <c r="K100" s="12" t="s">
        <v>20</v>
      </c>
      <c r="L100" s="12">
        <v>1</v>
      </c>
      <c r="M100" s="17">
        <v>1306800</v>
      </c>
      <c r="N100" s="17">
        <f t="shared" ref="N100:N131" si="12">L100*M100</f>
        <v>1306800</v>
      </c>
      <c r="O100" s="17"/>
      <c r="Q100" s="12">
        <f t="shared" ref="Q100:Q131" si="13">LEN(H100)</f>
        <v>41</v>
      </c>
    </row>
    <row r="101" spans="1:17" ht="15" hidden="1" customHeight="1" x14ac:dyDescent="0.2">
      <c r="A101" s="12" t="s">
        <v>310</v>
      </c>
      <c r="B101" s="36">
        <v>46060</v>
      </c>
      <c r="C101" s="12">
        <f t="shared" si="11"/>
        <v>394</v>
      </c>
      <c r="D101" s="38">
        <f t="shared" si="10"/>
        <v>1</v>
      </c>
      <c r="F101" s="12"/>
      <c r="G101" s="14" t="s">
        <v>35</v>
      </c>
      <c r="H101" s="12" t="s">
        <v>1691</v>
      </c>
      <c r="I101" s="12">
        <v>331</v>
      </c>
      <c r="J101" s="12">
        <v>1111</v>
      </c>
      <c r="K101" s="12" t="s">
        <v>20</v>
      </c>
      <c r="L101" s="12">
        <v>1</v>
      </c>
      <c r="M101" s="17">
        <v>3240000</v>
      </c>
      <c r="N101" s="17">
        <f t="shared" si="12"/>
        <v>3240000</v>
      </c>
      <c r="O101" s="17"/>
      <c r="Q101" s="12">
        <f t="shared" si="13"/>
        <v>41</v>
      </c>
    </row>
    <row r="102" spans="1:17" ht="15" hidden="1" customHeight="1" x14ac:dyDescent="0.2">
      <c r="A102" s="12" t="s">
        <v>310</v>
      </c>
      <c r="B102" s="36">
        <v>46066</v>
      </c>
      <c r="C102" s="12">
        <f t="shared" si="11"/>
        <v>395</v>
      </c>
      <c r="D102" s="38">
        <f t="shared" si="10"/>
        <v>1</v>
      </c>
      <c r="F102" s="12"/>
      <c r="G102" s="14" t="s">
        <v>1692</v>
      </c>
      <c r="H102" s="12" t="s">
        <v>1693</v>
      </c>
      <c r="I102" s="12">
        <v>331</v>
      </c>
      <c r="J102" s="12">
        <v>1111</v>
      </c>
      <c r="K102" s="12" t="s">
        <v>20</v>
      </c>
      <c r="L102" s="12">
        <v>1</v>
      </c>
      <c r="M102" s="17">
        <v>1515000</v>
      </c>
      <c r="N102" s="17">
        <f t="shared" si="12"/>
        <v>1515000</v>
      </c>
      <c r="O102" s="17"/>
      <c r="Q102" s="12">
        <f t="shared" si="13"/>
        <v>159</v>
      </c>
    </row>
    <row r="103" spans="1:17" ht="15" hidden="1" customHeight="1" x14ac:dyDescent="0.2">
      <c r="A103" s="12" t="s">
        <v>310</v>
      </c>
      <c r="B103" s="36">
        <v>46083</v>
      </c>
      <c r="C103" s="12">
        <f t="shared" si="11"/>
        <v>396</v>
      </c>
      <c r="D103" s="38">
        <f t="shared" si="10"/>
        <v>1</v>
      </c>
      <c r="G103" s="14" t="s">
        <v>44</v>
      </c>
      <c r="H103" s="12" t="s">
        <v>1694</v>
      </c>
      <c r="I103" s="12">
        <v>331</v>
      </c>
      <c r="J103" s="12">
        <v>1111</v>
      </c>
      <c r="K103" s="12" t="s">
        <v>20</v>
      </c>
      <c r="L103" s="12">
        <v>1</v>
      </c>
      <c r="M103" s="17">
        <v>404</v>
      </c>
      <c r="N103" s="17">
        <f t="shared" si="12"/>
        <v>404</v>
      </c>
      <c r="O103" s="17"/>
      <c r="Q103" s="12">
        <f t="shared" si="13"/>
        <v>99</v>
      </c>
    </row>
    <row r="104" spans="1:17" ht="15" hidden="1" customHeight="1" x14ac:dyDescent="0.2">
      <c r="A104" s="12" t="s">
        <v>310</v>
      </c>
      <c r="B104" s="36">
        <v>46085</v>
      </c>
      <c r="C104" s="12">
        <f t="shared" si="11"/>
        <v>397</v>
      </c>
      <c r="D104" s="38">
        <f t="shared" si="10"/>
        <v>1</v>
      </c>
      <c r="F104" s="12"/>
      <c r="G104" s="14" t="s">
        <v>35</v>
      </c>
      <c r="H104" s="12" t="s">
        <v>1695</v>
      </c>
      <c r="I104" s="12">
        <v>331</v>
      </c>
      <c r="J104" s="12">
        <v>1111</v>
      </c>
      <c r="K104" s="12" t="s">
        <v>20</v>
      </c>
      <c r="L104" s="12">
        <v>1</v>
      </c>
      <c r="M104" s="17">
        <v>3240000</v>
      </c>
      <c r="N104" s="17">
        <f t="shared" si="12"/>
        <v>3240000</v>
      </c>
      <c r="O104" s="17"/>
      <c r="Q104" s="12">
        <f t="shared" si="13"/>
        <v>41</v>
      </c>
    </row>
    <row r="105" spans="1:17" ht="15" hidden="1" customHeight="1" x14ac:dyDescent="0.2">
      <c r="A105" s="12" t="s">
        <v>310</v>
      </c>
      <c r="B105" s="36">
        <v>46086</v>
      </c>
      <c r="C105" s="12">
        <f t="shared" si="11"/>
        <v>398</v>
      </c>
      <c r="D105" s="38">
        <f t="shared" si="10"/>
        <v>1</v>
      </c>
      <c r="G105" s="14" t="s">
        <v>1696</v>
      </c>
      <c r="H105" s="12" t="s">
        <v>1697</v>
      </c>
      <c r="I105" s="12">
        <v>331</v>
      </c>
      <c r="J105" s="12">
        <v>1111</v>
      </c>
      <c r="K105" s="12" t="s">
        <v>20</v>
      </c>
      <c r="L105" s="12">
        <v>1</v>
      </c>
      <c r="M105" s="17">
        <v>1722000</v>
      </c>
      <c r="N105" s="17">
        <f t="shared" si="12"/>
        <v>1722000</v>
      </c>
      <c r="O105" s="17"/>
      <c r="Q105" s="12">
        <f t="shared" si="13"/>
        <v>127</v>
      </c>
    </row>
    <row r="106" spans="1:17" ht="15" hidden="1" customHeight="1" x14ac:dyDescent="0.2">
      <c r="A106" s="12" t="s">
        <v>310</v>
      </c>
      <c r="B106" s="36">
        <v>46094</v>
      </c>
      <c r="C106" s="12">
        <f t="shared" si="11"/>
        <v>399</v>
      </c>
      <c r="D106" s="38">
        <f t="shared" si="10"/>
        <v>1</v>
      </c>
      <c r="F106" s="12"/>
      <c r="G106" s="14" t="s">
        <v>47</v>
      </c>
      <c r="H106" s="12" t="s">
        <v>1698</v>
      </c>
      <c r="I106" s="12">
        <v>331</v>
      </c>
      <c r="J106" s="12">
        <v>1111</v>
      </c>
      <c r="K106" s="12" t="s">
        <v>20</v>
      </c>
      <c r="L106" s="12">
        <v>1</v>
      </c>
      <c r="M106" s="17">
        <v>999200</v>
      </c>
      <c r="N106" s="17">
        <f t="shared" si="12"/>
        <v>999200</v>
      </c>
      <c r="O106" s="17"/>
      <c r="Q106" s="12">
        <f t="shared" si="13"/>
        <v>165</v>
      </c>
    </row>
    <row r="107" spans="1:17" ht="15" hidden="1" customHeight="1" x14ac:dyDescent="0.2">
      <c r="A107" s="12" t="s">
        <v>310</v>
      </c>
      <c r="B107" s="36">
        <v>46102</v>
      </c>
      <c r="C107" s="12">
        <f t="shared" si="11"/>
        <v>400</v>
      </c>
      <c r="D107" s="38">
        <f t="shared" si="10"/>
        <v>1</v>
      </c>
      <c r="G107" s="14" t="s">
        <v>1699</v>
      </c>
      <c r="H107" s="12" t="s">
        <v>1700</v>
      </c>
      <c r="I107" s="12">
        <v>331</v>
      </c>
      <c r="J107" s="12">
        <v>1111</v>
      </c>
      <c r="K107" s="12" t="s">
        <v>20</v>
      </c>
      <c r="L107" s="12">
        <v>1</v>
      </c>
      <c r="M107" s="17">
        <v>1356480</v>
      </c>
      <c r="N107" s="17">
        <f t="shared" si="12"/>
        <v>1356480</v>
      </c>
      <c r="O107" s="17"/>
      <c r="Q107" s="12">
        <f t="shared" si="13"/>
        <v>43</v>
      </c>
    </row>
    <row r="108" spans="1:17" ht="15" hidden="1" customHeight="1" x14ac:dyDescent="0.2">
      <c r="A108" s="12" t="s">
        <v>310</v>
      </c>
      <c r="B108" s="36">
        <v>46110</v>
      </c>
      <c r="C108" s="12">
        <f t="shared" si="11"/>
        <v>401</v>
      </c>
      <c r="D108" s="38">
        <f t="shared" si="10"/>
        <v>1</v>
      </c>
      <c r="F108" s="12"/>
      <c r="G108" s="14" t="s">
        <v>1701</v>
      </c>
      <c r="H108" s="12" t="s">
        <v>4053</v>
      </c>
      <c r="I108" s="12">
        <v>331</v>
      </c>
      <c r="J108" s="12">
        <v>1111</v>
      </c>
      <c r="K108" s="12" t="s">
        <v>20</v>
      </c>
      <c r="L108" s="12">
        <v>1</v>
      </c>
      <c r="M108" s="17">
        <v>1587600</v>
      </c>
      <c r="N108" s="17">
        <f t="shared" si="12"/>
        <v>1587600</v>
      </c>
      <c r="O108" s="17"/>
      <c r="Q108" s="12">
        <f t="shared" si="13"/>
        <v>41</v>
      </c>
    </row>
    <row r="109" spans="1:17" ht="15" hidden="1" customHeight="1" x14ac:dyDescent="0.2">
      <c r="A109" s="12" t="s">
        <v>18</v>
      </c>
      <c r="B109" s="36">
        <v>46023</v>
      </c>
      <c r="C109" s="12">
        <f t="shared" si="11"/>
        <v>402</v>
      </c>
      <c r="D109" s="38">
        <f t="shared" si="10"/>
        <v>1</v>
      </c>
      <c r="G109" s="14" t="s">
        <v>28</v>
      </c>
      <c r="H109" s="12" t="s">
        <v>4050</v>
      </c>
      <c r="I109" s="12">
        <v>64277</v>
      </c>
      <c r="J109" s="12">
        <v>331</v>
      </c>
      <c r="K109" s="12" t="s">
        <v>20</v>
      </c>
      <c r="L109" s="12">
        <v>1</v>
      </c>
      <c r="M109" s="17">
        <v>1867000</v>
      </c>
      <c r="N109" s="17">
        <f t="shared" si="12"/>
        <v>1867000</v>
      </c>
      <c r="O109" s="17"/>
      <c r="Q109" s="12">
        <f t="shared" si="13"/>
        <v>40</v>
      </c>
    </row>
    <row r="110" spans="1:17" ht="15" hidden="1" customHeight="1" x14ac:dyDescent="0.2">
      <c r="A110" s="12" t="s">
        <v>18</v>
      </c>
      <c r="B110" s="36">
        <v>46023</v>
      </c>
      <c r="C110" s="12">
        <f t="shared" si="11"/>
        <v>402</v>
      </c>
      <c r="D110" s="38">
        <f t="shared" si="10"/>
        <v>0</v>
      </c>
      <c r="F110" s="12"/>
      <c r="G110" s="14" t="s">
        <v>28</v>
      </c>
      <c r="H110" s="12" t="s">
        <v>4050</v>
      </c>
      <c r="I110" s="12">
        <v>1331</v>
      </c>
      <c r="J110" s="12">
        <v>331</v>
      </c>
      <c r="K110" s="12" t="s">
        <v>20</v>
      </c>
      <c r="L110" s="12">
        <v>1</v>
      </c>
      <c r="M110" s="17">
        <v>149360</v>
      </c>
      <c r="N110" s="17">
        <f t="shared" si="12"/>
        <v>149360</v>
      </c>
      <c r="O110" s="17"/>
      <c r="Q110" s="12">
        <f t="shared" si="13"/>
        <v>40</v>
      </c>
    </row>
    <row r="111" spans="1:17" ht="15" hidden="1" customHeight="1" x14ac:dyDescent="0.2">
      <c r="A111" s="12" t="s">
        <v>18</v>
      </c>
      <c r="B111" s="36">
        <v>46028</v>
      </c>
      <c r="C111" s="12">
        <f t="shared" si="11"/>
        <v>403</v>
      </c>
      <c r="D111" s="38">
        <f t="shared" si="10"/>
        <v>1</v>
      </c>
      <c r="G111" s="14" t="s">
        <v>35</v>
      </c>
      <c r="H111" s="12" t="s">
        <v>1681</v>
      </c>
      <c r="I111" s="12">
        <v>64277</v>
      </c>
      <c r="J111" s="12">
        <v>331</v>
      </c>
      <c r="K111" s="12" t="s">
        <v>20</v>
      </c>
      <c r="L111" s="12">
        <v>1</v>
      </c>
      <c r="M111" s="17">
        <v>3000000</v>
      </c>
      <c r="N111" s="17">
        <f t="shared" si="12"/>
        <v>3000000</v>
      </c>
      <c r="O111" s="17"/>
      <c r="Q111" s="12">
        <f t="shared" si="13"/>
        <v>41</v>
      </c>
    </row>
    <row r="112" spans="1:17" ht="15" hidden="1" customHeight="1" x14ac:dyDescent="0.2">
      <c r="A112" s="12" t="s">
        <v>18</v>
      </c>
      <c r="B112" s="36">
        <v>46028</v>
      </c>
      <c r="C112" s="12">
        <f t="shared" si="11"/>
        <v>403</v>
      </c>
      <c r="D112" s="38">
        <f t="shared" si="10"/>
        <v>0</v>
      </c>
      <c r="G112" s="14" t="s">
        <v>35</v>
      </c>
      <c r="H112" s="12" t="s">
        <v>1681</v>
      </c>
      <c r="I112" s="12">
        <v>1331</v>
      </c>
      <c r="J112" s="12">
        <v>331</v>
      </c>
      <c r="K112" s="12" t="s">
        <v>20</v>
      </c>
      <c r="L112" s="12">
        <v>1</v>
      </c>
      <c r="M112" s="17">
        <v>240000</v>
      </c>
      <c r="N112" s="17">
        <f t="shared" si="12"/>
        <v>240000</v>
      </c>
      <c r="O112" s="17"/>
      <c r="Q112" s="12">
        <f t="shared" si="13"/>
        <v>41</v>
      </c>
    </row>
    <row r="113" spans="1:17" ht="15" hidden="1" customHeight="1" x14ac:dyDescent="0.2">
      <c r="A113" s="12" t="s">
        <v>18</v>
      </c>
      <c r="B113" s="36">
        <v>46029</v>
      </c>
      <c r="C113" s="12">
        <f t="shared" si="11"/>
        <v>404</v>
      </c>
      <c r="D113" s="38">
        <f t="shared" si="10"/>
        <v>1</v>
      </c>
      <c r="G113" s="32" t="s">
        <v>1683</v>
      </c>
      <c r="H113" s="32" t="s">
        <v>4051</v>
      </c>
      <c r="I113" s="12">
        <v>64277</v>
      </c>
      <c r="J113" s="12">
        <v>331</v>
      </c>
      <c r="K113" s="12" t="s">
        <v>20</v>
      </c>
      <c r="L113" s="12">
        <v>1</v>
      </c>
      <c r="M113" s="17">
        <v>666679</v>
      </c>
      <c r="N113" s="17">
        <f t="shared" si="12"/>
        <v>666679</v>
      </c>
      <c r="O113" s="17"/>
      <c r="Q113" s="12">
        <f t="shared" si="13"/>
        <v>40</v>
      </c>
    </row>
    <row r="114" spans="1:17" ht="15" hidden="1" customHeight="1" x14ac:dyDescent="0.2">
      <c r="A114" s="12" t="s">
        <v>18</v>
      </c>
      <c r="B114" s="36">
        <v>46029</v>
      </c>
      <c r="C114" s="12">
        <f t="shared" si="11"/>
        <v>404</v>
      </c>
      <c r="D114" s="38">
        <f t="shared" si="10"/>
        <v>0</v>
      </c>
      <c r="G114" s="32" t="s">
        <v>1683</v>
      </c>
      <c r="H114" s="32" t="s">
        <v>4051</v>
      </c>
      <c r="I114" s="20">
        <v>1331</v>
      </c>
      <c r="J114" s="12">
        <v>331</v>
      </c>
      <c r="K114" s="12" t="s">
        <v>20</v>
      </c>
      <c r="L114" s="12">
        <v>1</v>
      </c>
      <c r="M114" s="17">
        <v>56771</v>
      </c>
      <c r="N114" s="17">
        <f t="shared" si="12"/>
        <v>56771</v>
      </c>
      <c r="O114" s="17"/>
      <c r="Q114" s="12">
        <f t="shared" si="13"/>
        <v>40</v>
      </c>
    </row>
    <row r="115" spans="1:17" ht="15" hidden="1" customHeight="1" x14ac:dyDescent="0.2">
      <c r="A115" s="12" t="s">
        <v>18</v>
      </c>
      <c r="B115" s="36">
        <v>46029</v>
      </c>
      <c r="C115" s="12">
        <f t="shared" si="11"/>
        <v>405</v>
      </c>
      <c r="D115" s="38">
        <f t="shared" si="10"/>
        <v>1</v>
      </c>
      <c r="G115" s="14" t="s">
        <v>35</v>
      </c>
      <c r="H115" s="12" t="s">
        <v>1682</v>
      </c>
      <c r="I115" s="12">
        <v>64277</v>
      </c>
      <c r="J115" s="12">
        <v>331</v>
      </c>
      <c r="K115" s="12" t="s">
        <v>20</v>
      </c>
      <c r="L115" s="12">
        <v>1</v>
      </c>
      <c r="M115" s="17">
        <v>3000000</v>
      </c>
      <c r="N115" s="17">
        <f t="shared" si="12"/>
        <v>3000000</v>
      </c>
      <c r="O115" s="17"/>
      <c r="Q115" s="12">
        <f t="shared" si="13"/>
        <v>41</v>
      </c>
    </row>
    <row r="116" spans="1:17" ht="15" hidden="1" customHeight="1" x14ac:dyDescent="0.2">
      <c r="A116" s="12" t="s">
        <v>18</v>
      </c>
      <c r="B116" s="36">
        <v>46029</v>
      </c>
      <c r="C116" s="12">
        <f t="shared" si="11"/>
        <v>405</v>
      </c>
      <c r="D116" s="38">
        <f t="shared" si="10"/>
        <v>0</v>
      </c>
      <c r="G116" s="14" t="s">
        <v>35</v>
      </c>
      <c r="H116" s="12" t="s">
        <v>1682</v>
      </c>
      <c r="I116" s="12">
        <v>1331</v>
      </c>
      <c r="J116" s="12">
        <v>331</v>
      </c>
      <c r="K116" s="12" t="s">
        <v>20</v>
      </c>
      <c r="L116" s="12">
        <v>1</v>
      </c>
      <c r="M116" s="17">
        <v>240000</v>
      </c>
      <c r="N116" s="17">
        <f t="shared" si="12"/>
        <v>240000</v>
      </c>
      <c r="O116" s="17"/>
      <c r="Q116" s="12">
        <f t="shared" si="13"/>
        <v>41</v>
      </c>
    </row>
    <row r="117" spans="1:17" ht="15" hidden="1" customHeight="1" x14ac:dyDescent="0.2">
      <c r="A117" s="12" t="s">
        <v>18</v>
      </c>
      <c r="B117" s="36">
        <v>46030</v>
      </c>
      <c r="C117" s="12">
        <f t="shared" si="11"/>
        <v>406</v>
      </c>
      <c r="D117" s="38">
        <f t="shared" si="10"/>
        <v>1</v>
      </c>
      <c r="G117" s="14" t="s">
        <v>1684</v>
      </c>
      <c r="H117" s="12" t="s">
        <v>1685</v>
      </c>
      <c r="I117" s="12">
        <v>64277</v>
      </c>
      <c r="J117" s="12">
        <v>331</v>
      </c>
      <c r="K117" s="12" t="s">
        <v>20</v>
      </c>
      <c r="L117" s="12">
        <v>1</v>
      </c>
      <c r="M117" s="17">
        <v>695000</v>
      </c>
      <c r="N117" s="17">
        <f t="shared" si="12"/>
        <v>695000</v>
      </c>
      <c r="O117" s="17"/>
      <c r="Q117" s="12">
        <f t="shared" si="13"/>
        <v>141</v>
      </c>
    </row>
    <row r="118" spans="1:17" ht="15" hidden="1" customHeight="1" x14ac:dyDescent="0.2">
      <c r="A118" s="12" t="s">
        <v>18</v>
      </c>
      <c r="B118" s="36">
        <v>46030</v>
      </c>
      <c r="C118" s="12">
        <f t="shared" si="11"/>
        <v>406</v>
      </c>
      <c r="D118" s="38">
        <f t="shared" si="10"/>
        <v>0</v>
      </c>
      <c r="G118" s="14" t="s">
        <v>1684</v>
      </c>
      <c r="H118" s="12" t="s">
        <v>1685</v>
      </c>
      <c r="I118" s="12">
        <v>1331</v>
      </c>
      <c r="J118" s="12">
        <v>331</v>
      </c>
      <c r="K118" s="12" t="s">
        <v>20</v>
      </c>
      <c r="L118" s="12">
        <v>1</v>
      </c>
      <c r="M118" s="17">
        <v>52400</v>
      </c>
      <c r="N118" s="17">
        <f t="shared" si="12"/>
        <v>52400</v>
      </c>
      <c r="O118" s="17"/>
      <c r="Q118" s="12">
        <f t="shared" si="13"/>
        <v>141</v>
      </c>
    </row>
    <row r="119" spans="1:17" ht="15" hidden="1" customHeight="1" x14ac:dyDescent="0.2">
      <c r="A119" s="12" t="s">
        <v>18</v>
      </c>
      <c r="B119" s="36">
        <v>46037</v>
      </c>
      <c r="C119" s="12">
        <f t="shared" si="11"/>
        <v>407</v>
      </c>
      <c r="D119" s="38">
        <f t="shared" si="10"/>
        <v>1</v>
      </c>
      <c r="G119" s="14" t="s">
        <v>96</v>
      </c>
      <c r="H119" s="12" t="s">
        <v>1702</v>
      </c>
      <c r="I119" s="12">
        <v>131</v>
      </c>
      <c r="J119" s="12">
        <v>5113</v>
      </c>
      <c r="K119" s="12" t="s">
        <v>20</v>
      </c>
      <c r="L119" s="12">
        <v>1</v>
      </c>
      <c r="M119" s="17">
        <v>7526882</v>
      </c>
      <c r="N119" s="17">
        <f t="shared" si="12"/>
        <v>7526882</v>
      </c>
      <c r="O119" s="17"/>
      <c r="Q119" s="12">
        <f t="shared" si="13"/>
        <v>159</v>
      </c>
    </row>
    <row r="120" spans="1:17" ht="15" customHeight="1" x14ac:dyDescent="0.2">
      <c r="A120" s="12" t="s">
        <v>18</v>
      </c>
      <c r="B120" s="36">
        <v>46037</v>
      </c>
      <c r="C120" s="12">
        <f t="shared" si="11"/>
        <v>408</v>
      </c>
      <c r="D120" s="38">
        <f t="shared" si="10"/>
        <v>1</v>
      </c>
      <c r="F120" s="12"/>
      <c r="G120" s="14" t="s">
        <v>96</v>
      </c>
      <c r="H120" s="12" t="s">
        <v>4055</v>
      </c>
      <c r="I120" s="12">
        <v>333821</v>
      </c>
      <c r="J120" s="12">
        <v>131</v>
      </c>
      <c r="K120" s="12" t="s">
        <v>20</v>
      </c>
      <c r="L120" s="12">
        <v>1</v>
      </c>
      <c r="M120" s="17">
        <v>75269</v>
      </c>
      <c r="N120" s="17">
        <f t="shared" si="12"/>
        <v>75269</v>
      </c>
      <c r="O120" s="17"/>
      <c r="Q120" s="12">
        <f t="shared" si="13"/>
        <v>175</v>
      </c>
    </row>
    <row r="121" spans="1:17" ht="15" hidden="1" customHeight="1" x14ac:dyDescent="0.2">
      <c r="A121" s="12" t="s">
        <v>18</v>
      </c>
      <c r="B121" s="36">
        <v>46044</v>
      </c>
      <c r="C121" s="12">
        <f t="shared" si="11"/>
        <v>409</v>
      </c>
      <c r="D121" s="38">
        <f t="shared" si="10"/>
        <v>1</v>
      </c>
      <c r="G121" s="14" t="s">
        <v>1686</v>
      </c>
      <c r="H121" s="12" t="s">
        <v>1687</v>
      </c>
      <c r="I121" s="12">
        <v>64277</v>
      </c>
      <c r="J121" s="12">
        <v>331</v>
      </c>
      <c r="K121" s="12" t="s">
        <v>20</v>
      </c>
      <c r="L121" s="12">
        <v>1</v>
      </c>
      <c r="M121" s="17">
        <v>47000</v>
      </c>
      <c r="N121" s="17">
        <f t="shared" si="12"/>
        <v>47000</v>
      </c>
      <c r="O121" s="17"/>
      <c r="Q121" s="12">
        <f t="shared" si="13"/>
        <v>12</v>
      </c>
    </row>
    <row r="122" spans="1:17" ht="15" hidden="1" customHeight="1" x14ac:dyDescent="0.2">
      <c r="A122" s="12" t="s">
        <v>18</v>
      </c>
      <c r="B122" s="36">
        <v>46044</v>
      </c>
      <c r="C122" s="12">
        <f t="shared" si="11"/>
        <v>409</v>
      </c>
      <c r="D122" s="38">
        <f t="shared" si="10"/>
        <v>0</v>
      </c>
      <c r="G122" s="14" t="s">
        <v>1686</v>
      </c>
      <c r="H122" s="12" t="s">
        <v>1687</v>
      </c>
      <c r="I122" s="12">
        <v>1331</v>
      </c>
      <c r="J122" s="12">
        <v>331</v>
      </c>
      <c r="K122" s="12" t="s">
        <v>20</v>
      </c>
      <c r="L122" s="12">
        <v>1</v>
      </c>
      <c r="M122" s="17">
        <v>4700</v>
      </c>
      <c r="N122" s="17">
        <f t="shared" si="12"/>
        <v>4700</v>
      </c>
      <c r="O122" s="17"/>
      <c r="Q122" s="12">
        <f t="shared" si="13"/>
        <v>12</v>
      </c>
    </row>
    <row r="123" spans="1:17" ht="15" hidden="1" customHeight="1" x14ac:dyDescent="0.2">
      <c r="A123" s="12" t="s">
        <v>18</v>
      </c>
      <c r="B123" s="36">
        <v>46052</v>
      </c>
      <c r="C123" s="12">
        <f t="shared" si="11"/>
        <v>410</v>
      </c>
      <c r="D123" s="38">
        <f t="shared" ref="D123:D154" si="14">IF(H123=H122,0,1)</f>
        <v>1</v>
      </c>
      <c r="G123" s="14" t="s">
        <v>1686</v>
      </c>
      <c r="H123" s="12" t="s">
        <v>1688</v>
      </c>
      <c r="I123" s="12">
        <v>64277</v>
      </c>
      <c r="J123" s="12">
        <v>331</v>
      </c>
      <c r="K123" s="12" t="s">
        <v>20</v>
      </c>
      <c r="L123" s="12">
        <v>1</v>
      </c>
      <c r="M123" s="17">
        <v>47000</v>
      </c>
      <c r="N123" s="17">
        <f t="shared" si="12"/>
        <v>47000</v>
      </c>
      <c r="O123" s="17"/>
      <c r="Q123" s="12">
        <f t="shared" si="13"/>
        <v>12</v>
      </c>
    </row>
    <row r="124" spans="1:17" ht="15" hidden="1" customHeight="1" x14ac:dyDescent="0.2">
      <c r="A124" s="12" t="s">
        <v>18</v>
      </c>
      <c r="B124" s="36">
        <v>46052</v>
      </c>
      <c r="C124" s="12">
        <f t="shared" si="11"/>
        <v>410</v>
      </c>
      <c r="D124" s="38">
        <f t="shared" si="14"/>
        <v>0</v>
      </c>
      <c r="G124" s="14" t="s">
        <v>1686</v>
      </c>
      <c r="H124" s="12" t="s">
        <v>1688</v>
      </c>
      <c r="I124" s="12">
        <v>1331</v>
      </c>
      <c r="J124" s="12">
        <v>331</v>
      </c>
      <c r="K124" s="12" t="s">
        <v>20</v>
      </c>
      <c r="L124" s="12">
        <v>1</v>
      </c>
      <c r="M124" s="17">
        <v>4700</v>
      </c>
      <c r="N124" s="17">
        <f t="shared" si="12"/>
        <v>4700</v>
      </c>
      <c r="O124" s="17"/>
      <c r="Q124" s="12">
        <f t="shared" si="13"/>
        <v>12</v>
      </c>
    </row>
    <row r="125" spans="1:17" ht="15" hidden="1" customHeight="1" x14ac:dyDescent="0.2">
      <c r="A125" s="12" t="s">
        <v>18</v>
      </c>
      <c r="B125" s="36">
        <v>46053</v>
      </c>
      <c r="C125" s="12">
        <f t="shared" si="11"/>
        <v>411</v>
      </c>
      <c r="D125" s="38">
        <f t="shared" si="14"/>
        <v>1</v>
      </c>
      <c r="G125" s="14" t="s">
        <v>39</v>
      </c>
      <c r="H125" s="12" t="s">
        <v>455</v>
      </c>
      <c r="I125" s="12">
        <v>64271</v>
      </c>
      <c r="J125" s="12">
        <v>3383</v>
      </c>
      <c r="K125" s="12" t="s">
        <v>20</v>
      </c>
      <c r="L125" s="12">
        <v>1</v>
      </c>
      <c r="M125" s="17">
        <v>690300</v>
      </c>
      <c r="N125" s="17">
        <f t="shared" si="12"/>
        <v>690300</v>
      </c>
      <c r="O125" s="17"/>
      <c r="Q125" s="12">
        <f t="shared" si="13"/>
        <v>30</v>
      </c>
    </row>
    <row r="126" spans="1:17" ht="15" hidden="1" customHeight="1" x14ac:dyDescent="0.2">
      <c r="A126" s="12" t="s">
        <v>18</v>
      </c>
      <c r="B126" s="36">
        <v>46054</v>
      </c>
      <c r="C126" s="12">
        <f t="shared" si="11"/>
        <v>412</v>
      </c>
      <c r="D126" s="38">
        <f t="shared" si="14"/>
        <v>1</v>
      </c>
      <c r="G126" s="14" t="s">
        <v>25</v>
      </c>
      <c r="H126" s="12" t="s">
        <v>1689</v>
      </c>
      <c r="I126" s="12">
        <v>64277</v>
      </c>
      <c r="J126" s="12">
        <v>331</v>
      </c>
      <c r="K126" s="12" t="s">
        <v>20</v>
      </c>
      <c r="L126" s="12">
        <v>1</v>
      </c>
      <c r="M126" s="17">
        <v>1797000</v>
      </c>
      <c r="N126" s="17">
        <f t="shared" si="12"/>
        <v>1797000</v>
      </c>
      <c r="O126" s="17"/>
      <c r="Q126" s="12">
        <f t="shared" si="13"/>
        <v>106</v>
      </c>
    </row>
    <row r="127" spans="1:17" ht="15" hidden="1" customHeight="1" x14ac:dyDescent="0.2">
      <c r="A127" s="12" t="s">
        <v>18</v>
      </c>
      <c r="B127" s="36">
        <v>46054</v>
      </c>
      <c r="C127" s="12">
        <f t="shared" si="11"/>
        <v>412</v>
      </c>
      <c r="D127" s="38">
        <f t="shared" si="14"/>
        <v>0</v>
      </c>
      <c r="G127" s="14" t="s">
        <v>25</v>
      </c>
      <c r="H127" s="12" t="s">
        <v>1689</v>
      </c>
      <c r="I127" s="12">
        <v>1331</v>
      </c>
      <c r="J127" s="12">
        <v>331</v>
      </c>
      <c r="K127" s="12" t="s">
        <v>20</v>
      </c>
      <c r="L127" s="12">
        <v>1</v>
      </c>
      <c r="M127" s="17">
        <v>143760</v>
      </c>
      <c r="N127" s="17">
        <f t="shared" si="12"/>
        <v>143760</v>
      </c>
      <c r="O127" s="17"/>
      <c r="Q127" s="12">
        <f t="shared" si="13"/>
        <v>106</v>
      </c>
    </row>
    <row r="128" spans="1:17" ht="15" hidden="1" customHeight="1" x14ac:dyDescent="0.2">
      <c r="A128" s="12" t="s">
        <v>18</v>
      </c>
      <c r="B128" s="36">
        <v>46055</v>
      </c>
      <c r="C128" s="12">
        <f t="shared" si="11"/>
        <v>413</v>
      </c>
      <c r="D128" s="38">
        <f t="shared" si="14"/>
        <v>1</v>
      </c>
      <c r="F128" s="12"/>
      <c r="G128" s="14" t="s">
        <v>44</v>
      </c>
      <c r="H128" s="12" t="s">
        <v>1690</v>
      </c>
      <c r="I128" s="12">
        <v>64277</v>
      </c>
      <c r="J128" s="12">
        <v>331</v>
      </c>
      <c r="K128" s="12" t="s">
        <v>20</v>
      </c>
      <c r="L128" s="12">
        <v>1</v>
      </c>
      <c r="M128" s="17">
        <v>378</v>
      </c>
      <c r="N128" s="17">
        <f t="shared" si="12"/>
        <v>378</v>
      </c>
      <c r="O128" s="17"/>
      <c r="Q128" s="12">
        <f t="shared" si="13"/>
        <v>98</v>
      </c>
    </row>
    <row r="129" spans="1:17" ht="15" hidden="1" customHeight="1" x14ac:dyDescent="0.2">
      <c r="A129" s="12" t="s">
        <v>18</v>
      </c>
      <c r="B129" s="36">
        <v>46055</v>
      </c>
      <c r="C129" s="12">
        <f t="shared" si="11"/>
        <v>413</v>
      </c>
      <c r="D129" s="38">
        <f t="shared" si="14"/>
        <v>0</v>
      </c>
      <c r="F129" s="12"/>
      <c r="G129" s="14" t="s">
        <v>44</v>
      </c>
      <c r="H129" s="12" t="s">
        <v>1690</v>
      </c>
      <c r="I129" s="12">
        <v>1331</v>
      </c>
      <c r="J129" s="12">
        <v>331</v>
      </c>
      <c r="K129" s="12" t="s">
        <v>20</v>
      </c>
      <c r="L129" s="12">
        <v>1</v>
      </c>
      <c r="M129" s="17">
        <v>30</v>
      </c>
      <c r="N129" s="17">
        <f t="shared" si="12"/>
        <v>30</v>
      </c>
      <c r="O129" s="17"/>
      <c r="Q129" s="12">
        <f t="shared" si="13"/>
        <v>98</v>
      </c>
    </row>
    <row r="130" spans="1:17" ht="15" hidden="1" customHeight="1" x14ac:dyDescent="0.2">
      <c r="A130" s="12" t="s">
        <v>18</v>
      </c>
      <c r="B130" s="36">
        <v>46056</v>
      </c>
      <c r="C130" s="12">
        <f t="shared" si="11"/>
        <v>414</v>
      </c>
      <c r="D130" s="38">
        <f t="shared" si="14"/>
        <v>1</v>
      </c>
      <c r="F130" s="12"/>
      <c r="G130" s="14" t="s">
        <v>1703</v>
      </c>
      <c r="H130" s="12" t="s">
        <v>1704</v>
      </c>
      <c r="I130" s="12">
        <v>131</v>
      </c>
      <c r="J130" s="12">
        <v>5113</v>
      </c>
      <c r="K130" s="12" t="s">
        <v>20</v>
      </c>
      <c r="L130" s="12">
        <v>1</v>
      </c>
      <c r="M130" s="17">
        <v>7777778</v>
      </c>
      <c r="N130" s="17">
        <f t="shared" si="12"/>
        <v>7777778</v>
      </c>
      <c r="O130" s="17"/>
      <c r="Q130" s="12">
        <f t="shared" si="13"/>
        <v>130</v>
      </c>
    </row>
    <row r="131" spans="1:17" ht="15" customHeight="1" x14ac:dyDescent="0.2">
      <c r="A131" s="12" t="s">
        <v>18</v>
      </c>
      <c r="B131" s="36">
        <v>46056</v>
      </c>
      <c r="C131" s="12">
        <f t="shared" si="11"/>
        <v>415</v>
      </c>
      <c r="D131" s="38">
        <f t="shared" si="14"/>
        <v>1</v>
      </c>
      <c r="F131" s="12"/>
      <c r="G131" s="14" t="s">
        <v>1703</v>
      </c>
      <c r="H131" s="12" t="s">
        <v>4056</v>
      </c>
      <c r="I131" s="12">
        <v>333821</v>
      </c>
      <c r="J131" s="12">
        <v>131</v>
      </c>
      <c r="K131" s="12" t="s">
        <v>20</v>
      </c>
      <c r="L131" s="12">
        <v>1</v>
      </c>
      <c r="M131" s="17">
        <v>77778</v>
      </c>
      <c r="N131" s="17">
        <f t="shared" si="12"/>
        <v>77778</v>
      </c>
      <c r="O131" s="17"/>
      <c r="Q131" s="12">
        <f t="shared" si="13"/>
        <v>146</v>
      </c>
    </row>
    <row r="132" spans="1:17" ht="15" hidden="1" customHeight="1" x14ac:dyDescent="0.2">
      <c r="A132" s="12" t="s">
        <v>18</v>
      </c>
      <c r="B132" s="36">
        <v>46057</v>
      </c>
      <c r="C132" s="12">
        <f t="shared" ref="C132:C163" si="15">C131+D132</f>
        <v>416</v>
      </c>
      <c r="D132" s="38">
        <f t="shared" si="14"/>
        <v>1</v>
      </c>
      <c r="F132" s="12"/>
      <c r="G132" s="14" t="s">
        <v>288</v>
      </c>
      <c r="H132" s="12" t="s">
        <v>1705</v>
      </c>
      <c r="I132" s="12">
        <v>131</v>
      </c>
      <c r="J132" s="12">
        <v>5113</v>
      </c>
      <c r="K132" s="12" t="s">
        <v>20</v>
      </c>
      <c r="L132" s="12">
        <v>1</v>
      </c>
      <c r="M132" s="17">
        <v>11111111</v>
      </c>
      <c r="N132" s="17">
        <f t="shared" ref="N132:N163" si="16">L132*M132</f>
        <v>11111111</v>
      </c>
      <c r="O132" s="17"/>
      <c r="Q132" s="12">
        <f t="shared" ref="Q132:Q163" si="17">LEN(H132)</f>
        <v>152</v>
      </c>
    </row>
    <row r="133" spans="1:17" ht="15" customHeight="1" x14ac:dyDescent="0.2">
      <c r="A133" s="12" t="s">
        <v>18</v>
      </c>
      <c r="B133" s="36">
        <v>46057</v>
      </c>
      <c r="C133" s="12">
        <f t="shared" si="15"/>
        <v>417</v>
      </c>
      <c r="D133" s="38">
        <f t="shared" si="14"/>
        <v>1</v>
      </c>
      <c r="F133" s="12"/>
      <c r="G133" s="14" t="s">
        <v>288</v>
      </c>
      <c r="H133" s="12" t="s">
        <v>4057</v>
      </c>
      <c r="I133" s="12">
        <v>333821</v>
      </c>
      <c r="J133" s="12">
        <v>131</v>
      </c>
      <c r="K133" s="12" t="s">
        <v>20</v>
      </c>
      <c r="L133" s="12">
        <v>1</v>
      </c>
      <c r="M133" s="17">
        <v>111111</v>
      </c>
      <c r="N133" s="17">
        <f t="shared" si="16"/>
        <v>111111</v>
      </c>
      <c r="O133" s="17"/>
      <c r="Q133" s="12">
        <f t="shared" si="17"/>
        <v>168</v>
      </c>
    </row>
    <row r="134" spans="1:17" ht="15" hidden="1" customHeight="1" x14ac:dyDescent="0.2">
      <c r="A134" s="12" t="s">
        <v>18</v>
      </c>
      <c r="B134" s="36">
        <v>46059</v>
      </c>
      <c r="C134" s="12">
        <f t="shared" si="15"/>
        <v>418</v>
      </c>
      <c r="D134" s="38">
        <f t="shared" si="14"/>
        <v>1</v>
      </c>
      <c r="G134" s="14" t="s">
        <v>287</v>
      </c>
      <c r="H134" s="12" t="s">
        <v>4054</v>
      </c>
      <c r="I134" s="12">
        <v>131</v>
      </c>
      <c r="J134" s="12">
        <v>5113</v>
      </c>
      <c r="K134" s="12" t="s">
        <v>20</v>
      </c>
      <c r="L134" s="12">
        <v>1</v>
      </c>
      <c r="M134" s="17">
        <v>0</v>
      </c>
      <c r="N134" s="17">
        <f t="shared" si="16"/>
        <v>0</v>
      </c>
      <c r="O134" s="17"/>
      <c r="Q134" s="12">
        <f t="shared" si="17"/>
        <v>180</v>
      </c>
    </row>
    <row r="135" spans="1:17" ht="15" customHeight="1" x14ac:dyDescent="0.2">
      <c r="A135" s="12" t="s">
        <v>18</v>
      </c>
      <c r="B135" s="36">
        <v>46059</v>
      </c>
      <c r="C135" s="12">
        <f t="shared" si="15"/>
        <v>419</v>
      </c>
      <c r="D135" s="38">
        <f t="shared" si="14"/>
        <v>1</v>
      </c>
      <c r="F135" s="12"/>
      <c r="G135" s="14" t="s">
        <v>287</v>
      </c>
      <c r="H135" s="12" t="s">
        <v>4058</v>
      </c>
      <c r="I135" s="12">
        <v>333821</v>
      </c>
      <c r="J135" s="12">
        <v>131</v>
      </c>
      <c r="K135" s="12" t="s">
        <v>20</v>
      </c>
      <c r="L135" s="12">
        <v>1</v>
      </c>
      <c r="M135" s="17">
        <v>0</v>
      </c>
      <c r="N135" s="17">
        <f t="shared" si="16"/>
        <v>0</v>
      </c>
      <c r="O135" s="17"/>
      <c r="Q135" s="12">
        <f t="shared" si="17"/>
        <v>196</v>
      </c>
    </row>
    <row r="136" spans="1:17" ht="15" hidden="1" customHeight="1" x14ac:dyDescent="0.2">
      <c r="A136" s="12" t="s">
        <v>18</v>
      </c>
      <c r="B136" s="36">
        <v>46060</v>
      </c>
      <c r="C136" s="12">
        <f t="shared" si="15"/>
        <v>420</v>
      </c>
      <c r="D136" s="38">
        <f t="shared" si="14"/>
        <v>1</v>
      </c>
      <c r="G136" s="14" t="s">
        <v>61</v>
      </c>
      <c r="H136" s="12" t="s">
        <v>4052</v>
      </c>
      <c r="I136" s="12">
        <v>64277</v>
      </c>
      <c r="J136" s="12">
        <v>331</v>
      </c>
      <c r="K136" s="12" t="s">
        <v>20</v>
      </c>
      <c r="L136" s="12">
        <v>1</v>
      </c>
      <c r="M136" s="17">
        <v>1210000</v>
      </c>
      <c r="N136" s="17">
        <f t="shared" si="16"/>
        <v>1210000</v>
      </c>
      <c r="O136" s="17"/>
      <c r="Q136" s="12">
        <f t="shared" si="17"/>
        <v>41</v>
      </c>
    </row>
    <row r="137" spans="1:17" ht="15" hidden="1" customHeight="1" x14ac:dyDescent="0.2">
      <c r="A137" s="12" t="s">
        <v>18</v>
      </c>
      <c r="B137" s="36">
        <v>46060</v>
      </c>
      <c r="C137" s="12">
        <f t="shared" si="15"/>
        <v>420</v>
      </c>
      <c r="D137" s="38">
        <f t="shared" si="14"/>
        <v>0</v>
      </c>
      <c r="F137" s="12"/>
      <c r="G137" s="14" t="s">
        <v>61</v>
      </c>
      <c r="H137" s="12" t="s">
        <v>4052</v>
      </c>
      <c r="I137" s="12">
        <v>1331</v>
      </c>
      <c r="J137" s="12">
        <v>331</v>
      </c>
      <c r="K137" s="12" t="s">
        <v>20</v>
      </c>
      <c r="L137" s="12">
        <v>1</v>
      </c>
      <c r="M137" s="17">
        <v>96800</v>
      </c>
      <c r="N137" s="17">
        <f t="shared" si="16"/>
        <v>96800</v>
      </c>
      <c r="O137" s="17"/>
      <c r="Q137" s="12">
        <f t="shared" si="17"/>
        <v>41</v>
      </c>
    </row>
    <row r="138" spans="1:17" ht="15" hidden="1" customHeight="1" x14ac:dyDescent="0.2">
      <c r="A138" s="12" t="s">
        <v>18</v>
      </c>
      <c r="B138" s="36">
        <v>46060</v>
      </c>
      <c r="C138" s="12">
        <f t="shared" si="15"/>
        <v>421</v>
      </c>
      <c r="D138" s="38">
        <f t="shared" si="14"/>
        <v>1</v>
      </c>
      <c r="F138" s="12"/>
      <c r="G138" s="14" t="s">
        <v>35</v>
      </c>
      <c r="H138" s="12" t="s">
        <v>1691</v>
      </c>
      <c r="I138" s="12">
        <v>64277</v>
      </c>
      <c r="J138" s="12">
        <v>331</v>
      </c>
      <c r="K138" s="12" t="s">
        <v>20</v>
      </c>
      <c r="L138" s="12">
        <v>1</v>
      </c>
      <c r="M138" s="17">
        <v>3000000</v>
      </c>
      <c r="N138" s="17">
        <f t="shared" si="16"/>
        <v>3000000</v>
      </c>
      <c r="O138" s="17"/>
      <c r="Q138" s="12">
        <f t="shared" si="17"/>
        <v>41</v>
      </c>
    </row>
    <row r="139" spans="1:17" ht="15" hidden="1" customHeight="1" x14ac:dyDescent="0.2">
      <c r="A139" s="12" t="s">
        <v>18</v>
      </c>
      <c r="B139" s="36">
        <v>46060</v>
      </c>
      <c r="C139" s="12">
        <f t="shared" si="15"/>
        <v>421</v>
      </c>
      <c r="D139" s="38">
        <f t="shared" si="14"/>
        <v>0</v>
      </c>
      <c r="G139" s="14" t="s">
        <v>35</v>
      </c>
      <c r="H139" s="12" t="s">
        <v>1691</v>
      </c>
      <c r="I139" s="12">
        <v>1331</v>
      </c>
      <c r="J139" s="12">
        <v>331</v>
      </c>
      <c r="K139" s="12" t="s">
        <v>20</v>
      </c>
      <c r="L139" s="12">
        <v>1</v>
      </c>
      <c r="M139" s="17">
        <v>240000</v>
      </c>
      <c r="N139" s="17">
        <f t="shared" si="16"/>
        <v>240000</v>
      </c>
      <c r="O139" s="17"/>
      <c r="Q139" s="12">
        <f t="shared" si="17"/>
        <v>41</v>
      </c>
    </row>
    <row r="140" spans="1:17" ht="15" hidden="1" customHeight="1" x14ac:dyDescent="0.2">
      <c r="A140" s="12" t="s">
        <v>18</v>
      </c>
      <c r="B140" s="36">
        <v>46065</v>
      </c>
      <c r="C140" s="12">
        <f t="shared" si="15"/>
        <v>422</v>
      </c>
      <c r="D140" s="38">
        <f t="shared" si="14"/>
        <v>1</v>
      </c>
      <c r="G140" s="14" t="s">
        <v>365</v>
      </c>
      <c r="H140" s="12" t="s">
        <v>1708</v>
      </c>
      <c r="I140" s="12">
        <v>131</v>
      </c>
      <c r="J140" s="12">
        <v>5113</v>
      </c>
      <c r="K140" s="12" t="s">
        <v>20</v>
      </c>
      <c r="L140" s="12">
        <v>1</v>
      </c>
      <c r="M140" s="17">
        <v>8888889</v>
      </c>
      <c r="N140" s="17">
        <f t="shared" si="16"/>
        <v>8888889</v>
      </c>
      <c r="O140" s="17"/>
      <c r="Q140" s="12">
        <f t="shared" si="17"/>
        <v>101</v>
      </c>
    </row>
    <row r="141" spans="1:17" ht="15" customHeight="1" x14ac:dyDescent="0.2">
      <c r="A141" s="12" t="s">
        <v>18</v>
      </c>
      <c r="B141" s="36">
        <v>46065</v>
      </c>
      <c r="C141" s="12">
        <f t="shared" si="15"/>
        <v>423</v>
      </c>
      <c r="D141" s="38">
        <f t="shared" si="14"/>
        <v>1</v>
      </c>
      <c r="F141" s="12"/>
      <c r="G141" s="14" t="s">
        <v>365</v>
      </c>
      <c r="H141" s="12" t="s">
        <v>4059</v>
      </c>
      <c r="I141" s="12">
        <v>333821</v>
      </c>
      <c r="J141" s="12">
        <v>131</v>
      </c>
      <c r="K141" s="12" t="s">
        <v>20</v>
      </c>
      <c r="L141" s="12">
        <v>1</v>
      </c>
      <c r="M141" s="17">
        <v>88889</v>
      </c>
      <c r="N141" s="17">
        <f t="shared" si="16"/>
        <v>88889</v>
      </c>
      <c r="O141" s="17"/>
      <c r="Q141" s="12">
        <f t="shared" si="17"/>
        <v>117</v>
      </c>
    </row>
    <row r="142" spans="1:17" ht="15" hidden="1" customHeight="1" x14ac:dyDescent="0.2">
      <c r="A142" s="12" t="s">
        <v>18</v>
      </c>
      <c r="B142" s="36">
        <v>46065</v>
      </c>
      <c r="C142" s="12">
        <f t="shared" si="15"/>
        <v>424</v>
      </c>
      <c r="D142" s="38">
        <f t="shared" si="14"/>
        <v>1</v>
      </c>
      <c r="G142" s="14" t="s">
        <v>365</v>
      </c>
      <c r="H142" s="12" t="s">
        <v>1707</v>
      </c>
      <c r="I142" s="12">
        <v>131</v>
      </c>
      <c r="J142" s="12">
        <v>5113</v>
      </c>
      <c r="K142" s="12" t="s">
        <v>20</v>
      </c>
      <c r="L142" s="12">
        <v>1</v>
      </c>
      <c r="M142" s="17">
        <v>16666667</v>
      </c>
      <c r="N142" s="17">
        <f t="shared" si="16"/>
        <v>16666667</v>
      </c>
      <c r="O142" s="17"/>
      <c r="Q142" s="12">
        <f t="shared" si="17"/>
        <v>101</v>
      </c>
    </row>
    <row r="143" spans="1:17" ht="15" customHeight="1" x14ac:dyDescent="0.2">
      <c r="A143" s="12" t="s">
        <v>18</v>
      </c>
      <c r="B143" s="36">
        <v>46065</v>
      </c>
      <c r="C143" s="12">
        <f t="shared" si="15"/>
        <v>425</v>
      </c>
      <c r="D143" s="38">
        <f t="shared" si="14"/>
        <v>1</v>
      </c>
      <c r="F143" s="12"/>
      <c r="G143" s="14" t="s">
        <v>365</v>
      </c>
      <c r="H143" s="12" t="s">
        <v>4060</v>
      </c>
      <c r="I143" s="12">
        <v>333821</v>
      </c>
      <c r="J143" s="12">
        <v>131</v>
      </c>
      <c r="K143" s="12" t="s">
        <v>20</v>
      </c>
      <c r="L143" s="12">
        <v>1</v>
      </c>
      <c r="M143" s="17">
        <v>166667</v>
      </c>
      <c r="N143" s="17">
        <f t="shared" si="16"/>
        <v>166667</v>
      </c>
      <c r="O143" s="17"/>
      <c r="Q143" s="12">
        <f t="shared" si="17"/>
        <v>117</v>
      </c>
    </row>
    <row r="144" spans="1:17" ht="15" hidden="1" customHeight="1" x14ac:dyDescent="0.2">
      <c r="A144" s="12" t="s">
        <v>18</v>
      </c>
      <c r="B144" s="36">
        <v>46065</v>
      </c>
      <c r="C144" s="12">
        <f t="shared" si="15"/>
        <v>426</v>
      </c>
      <c r="D144" s="38">
        <f t="shared" si="14"/>
        <v>1</v>
      </c>
      <c r="F144" s="12"/>
      <c r="G144" s="14" t="s">
        <v>365</v>
      </c>
      <c r="H144" s="12" t="s">
        <v>1706</v>
      </c>
      <c r="I144" s="12">
        <v>131</v>
      </c>
      <c r="J144" s="12">
        <v>5113</v>
      </c>
      <c r="K144" s="12" t="s">
        <v>20</v>
      </c>
      <c r="L144" s="12">
        <v>1</v>
      </c>
      <c r="M144" s="17">
        <v>-8888889</v>
      </c>
      <c r="N144" s="17">
        <f t="shared" si="16"/>
        <v>-8888889</v>
      </c>
      <c r="O144" s="17"/>
      <c r="Q144" s="12">
        <f t="shared" si="17"/>
        <v>126</v>
      </c>
    </row>
    <row r="145" spans="1:17" ht="15" customHeight="1" x14ac:dyDescent="0.2">
      <c r="A145" s="12" t="s">
        <v>18</v>
      </c>
      <c r="B145" s="36">
        <v>46065</v>
      </c>
      <c r="C145" s="12">
        <f t="shared" si="15"/>
        <v>427</v>
      </c>
      <c r="D145" s="38">
        <f t="shared" si="14"/>
        <v>1</v>
      </c>
      <c r="F145" s="12"/>
      <c r="G145" s="14" t="s">
        <v>365</v>
      </c>
      <c r="H145" s="12" t="s">
        <v>4061</v>
      </c>
      <c r="I145" s="12">
        <v>333821</v>
      </c>
      <c r="J145" s="12">
        <v>131</v>
      </c>
      <c r="K145" s="12" t="s">
        <v>20</v>
      </c>
      <c r="L145" s="12">
        <v>1</v>
      </c>
      <c r="M145" s="17">
        <v>0</v>
      </c>
      <c r="N145" s="17">
        <f t="shared" si="16"/>
        <v>0</v>
      </c>
      <c r="O145" s="17"/>
      <c r="Q145" s="12">
        <f t="shared" si="17"/>
        <v>142</v>
      </c>
    </row>
    <row r="146" spans="1:17" ht="15" hidden="1" customHeight="1" x14ac:dyDescent="0.2">
      <c r="A146" s="12" t="s">
        <v>18</v>
      </c>
      <c r="B146" s="36">
        <v>46066</v>
      </c>
      <c r="C146" s="12">
        <f t="shared" si="15"/>
        <v>428</v>
      </c>
      <c r="D146" s="38">
        <f t="shared" si="14"/>
        <v>1</v>
      </c>
      <c r="F146" s="12"/>
      <c r="G146" s="14" t="s">
        <v>1692</v>
      </c>
      <c r="H146" s="12" t="s">
        <v>1693</v>
      </c>
      <c r="I146" s="12">
        <v>64277</v>
      </c>
      <c r="J146" s="12">
        <v>331</v>
      </c>
      <c r="K146" s="12" t="s">
        <v>20</v>
      </c>
      <c r="L146" s="12">
        <v>1</v>
      </c>
      <c r="M146" s="17">
        <v>1402778</v>
      </c>
      <c r="N146" s="17">
        <f t="shared" si="16"/>
        <v>1402778</v>
      </c>
      <c r="O146" s="17"/>
      <c r="Q146" s="12">
        <f t="shared" si="17"/>
        <v>159</v>
      </c>
    </row>
    <row r="147" spans="1:17" ht="15" hidden="1" customHeight="1" x14ac:dyDescent="0.2">
      <c r="A147" s="12" t="s">
        <v>18</v>
      </c>
      <c r="B147" s="36">
        <v>46066</v>
      </c>
      <c r="C147" s="12">
        <f t="shared" si="15"/>
        <v>428</v>
      </c>
      <c r="D147" s="38">
        <f t="shared" si="14"/>
        <v>0</v>
      </c>
      <c r="G147" s="14" t="s">
        <v>1692</v>
      </c>
      <c r="H147" s="12" t="s">
        <v>1693</v>
      </c>
      <c r="I147" s="12">
        <v>1331</v>
      </c>
      <c r="J147" s="12">
        <v>331</v>
      </c>
      <c r="K147" s="12" t="s">
        <v>20</v>
      </c>
      <c r="L147" s="12">
        <v>1</v>
      </c>
      <c r="M147" s="17">
        <v>112222</v>
      </c>
      <c r="N147" s="17">
        <f t="shared" si="16"/>
        <v>112222</v>
      </c>
      <c r="O147" s="17"/>
      <c r="Q147" s="12">
        <f t="shared" si="17"/>
        <v>159</v>
      </c>
    </row>
    <row r="148" spans="1:17" ht="15" hidden="1" customHeight="1" x14ac:dyDescent="0.2">
      <c r="A148" s="12" t="s">
        <v>18</v>
      </c>
      <c r="B148" s="36">
        <v>46078</v>
      </c>
      <c r="C148" s="12">
        <f t="shared" si="15"/>
        <v>429</v>
      </c>
      <c r="D148" s="38">
        <f t="shared" si="14"/>
        <v>1</v>
      </c>
      <c r="G148" s="14" t="s">
        <v>1709</v>
      </c>
      <c r="H148" s="12" t="s">
        <v>1710</v>
      </c>
      <c r="I148" s="12">
        <v>131</v>
      </c>
      <c r="J148" s="12">
        <v>5113</v>
      </c>
      <c r="K148" s="12" t="s">
        <v>20</v>
      </c>
      <c r="L148" s="12">
        <v>1</v>
      </c>
      <c r="M148" s="17">
        <v>30000000</v>
      </c>
      <c r="N148" s="17">
        <f t="shared" si="16"/>
        <v>30000000</v>
      </c>
      <c r="O148" s="17"/>
      <c r="Q148" s="12">
        <f t="shared" si="17"/>
        <v>104</v>
      </c>
    </row>
    <row r="149" spans="1:17" ht="15" customHeight="1" x14ac:dyDescent="0.2">
      <c r="A149" s="12" t="s">
        <v>18</v>
      </c>
      <c r="B149" s="36">
        <v>46078</v>
      </c>
      <c r="C149" s="12">
        <f t="shared" si="15"/>
        <v>430</v>
      </c>
      <c r="D149" s="38">
        <f t="shared" si="14"/>
        <v>1</v>
      </c>
      <c r="F149" s="12"/>
      <c r="G149" s="14" t="s">
        <v>1709</v>
      </c>
      <c r="H149" s="12" t="s">
        <v>4062</v>
      </c>
      <c r="I149" s="12">
        <v>333821</v>
      </c>
      <c r="J149" s="12">
        <v>131</v>
      </c>
      <c r="K149" s="12" t="s">
        <v>20</v>
      </c>
      <c r="L149" s="12">
        <v>1</v>
      </c>
      <c r="M149" s="17">
        <v>300000</v>
      </c>
      <c r="N149" s="17">
        <f t="shared" si="16"/>
        <v>300000</v>
      </c>
      <c r="O149" s="17"/>
      <c r="Q149" s="12">
        <f t="shared" si="17"/>
        <v>120</v>
      </c>
    </row>
    <row r="150" spans="1:17" ht="15" hidden="1" customHeight="1" x14ac:dyDescent="0.2">
      <c r="A150" s="12" t="s">
        <v>18</v>
      </c>
      <c r="B150" s="36">
        <v>46081</v>
      </c>
      <c r="C150" s="12">
        <f t="shared" si="15"/>
        <v>431</v>
      </c>
      <c r="D150" s="38">
        <f t="shared" si="14"/>
        <v>1</v>
      </c>
      <c r="F150" s="12"/>
      <c r="G150" s="14" t="s">
        <v>39</v>
      </c>
      <c r="H150" s="12" t="s">
        <v>456</v>
      </c>
      <c r="I150" s="12">
        <v>64271</v>
      </c>
      <c r="J150" s="12">
        <v>3383</v>
      </c>
      <c r="K150" s="12" t="s">
        <v>20</v>
      </c>
      <c r="L150" s="12">
        <v>1</v>
      </c>
      <c r="M150" s="17">
        <v>690300</v>
      </c>
      <c r="N150" s="17">
        <f t="shared" si="16"/>
        <v>690300</v>
      </c>
      <c r="O150" s="17"/>
      <c r="Q150" s="12">
        <f t="shared" si="17"/>
        <v>30</v>
      </c>
    </row>
    <row r="151" spans="1:17" ht="15" hidden="1" customHeight="1" x14ac:dyDescent="0.2">
      <c r="A151" s="12" t="s">
        <v>18</v>
      </c>
      <c r="B151" s="36">
        <v>46083</v>
      </c>
      <c r="C151" s="12">
        <f t="shared" si="15"/>
        <v>432</v>
      </c>
      <c r="D151" s="38">
        <f t="shared" si="14"/>
        <v>1</v>
      </c>
      <c r="G151" s="14" t="s">
        <v>287</v>
      </c>
      <c r="H151" s="12" t="s">
        <v>1711</v>
      </c>
      <c r="I151" s="12">
        <v>131</v>
      </c>
      <c r="J151" s="12">
        <v>5113</v>
      </c>
      <c r="K151" s="12" t="s">
        <v>20</v>
      </c>
      <c r="L151" s="12">
        <v>1</v>
      </c>
      <c r="M151" s="17">
        <v>31111111</v>
      </c>
      <c r="N151" s="17">
        <f t="shared" si="16"/>
        <v>31111111</v>
      </c>
      <c r="O151" s="17"/>
      <c r="Q151" s="12">
        <f t="shared" si="17"/>
        <v>178</v>
      </c>
    </row>
    <row r="152" spans="1:17" ht="15" customHeight="1" x14ac:dyDescent="0.2">
      <c r="A152" s="12" t="s">
        <v>18</v>
      </c>
      <c r="B152" s="36">
        <v>46083</v>
      </c>
      <c r="C152" s="12">
        <f t="shared" si="15"/>
        <v>433</v>
      </c>
      <c r="D152" s="38">
        <f t="shared" si="14"/>
        <v>1</v>
      </c>
      <c r="F152" s="12"/>
      <c r="G152" s="14" t="s">
        <v>287</v>
      </c>
      <c r="H152" s="12" t="s">
        <v>4063</v>
      </c>
      <c r="I152" s="12">
        <v>333821</v>
      </c>
      <c r="J152" s="12">
        <v>131</v>
      </c>
      <c r="K152" s="12" t="s">
        <v>20</v>
      </c>
      <c r="L152" s="12">
        <v>1</v>
      </c>
      <c r="M152" s="17">
        <v>311111</v>
      </c>
      <c r="N152" s="17">
        <f t="shared" si="16"/>
        <v>311111</v>
      </c>
      <c r="O152" s="17"/>
      <c r="Q152" s="12">
        <f t="shared" si="17"/>
        <v>194</v>
      </c>
    </row>
    <row r="153" spans="1:17" ht="15" hidden="1" customHeight="1" x14ac:dyDescent="0.2">
      <c r="A153" s="12" t="s">
        <v>18</v>
      </c>
      <c r="B153" s="36">
        <v>46083</v>
      </c>
      <c r="C153" s="12">
        <f t="shared" si="15"/>
        <v>434</v>
      </c>
      <c r="D153" s="38">
        <f t="shared" si="14"/>
        <v>1</v>
      </c>
      <c r="G153" s="14" t="s">
        <v>44</v>
      </c>
      <c r="H153" s="12" t="s">
        <v>1694</v>
      </c>
      <c r="I153" s="12">
        <v>64277</v>
      </c>
      <c r="J153" s="12">
        <v>331</v>
      </c>
      <c r="K153" s="12" t="s">
        <v>20</v>
      </c>
      <c r="L153" s="12">
        <v>1</v>
      </c>
      <c r="M153" s="17">
        <v>374</v>
      </c>
      <c r="N153" s="17">
        <f t="shared" si="16"/>
        <v>374</v>
      </c>
      <c r="O153" s="17"/>
      <c r="Q153" s="12">
        <f t="shared" si="17"/>
        <v>99</v>
      </c>
    </row>
    <row r="154" spans="1:17" ht="15" hidden="1" customHeight="1" x14ac:dyDescent="0.2">
      <c r="A154" s="12" t="s">
        <v>18</v>
      </c>
      <c r="B154" s="36">
        <v>46083</v>
      </c>
      <c r="C154" s="12">
        <f t="shared" si="15"/>
        <v>434</v>
      </c>
      <c r="D154" s="38">
        <f t="shared" si="14"/>
        <v>0</v>
      </c>
      <c r="F154" s="12"/>
      <c r="G154" s="14" t="s">
        <v>44</v>
      </c>
      <c r="H154" s="12" t="s">
        <v>1694</v>
      </c>
      <c r="I154" s="12">
        <v>1331</v>
      </c>
      <c r="J154" s="12">
        <v>331</v>
      </c>
      <c r="K154" s="12" t="s">
        <v>20</v>
      </c>
      <c r="L154" s="12">
        <v>1</v>
      </c>
      <c r="M154" s="17">
        <v>30</v>
      </c>
      <c r="N154" s="17">
        <f t="shared" si="16"/>
        <v>30</v>
      </c>
      <c r="O154" s="17"/>
      <c r="Q154" s="12">
        <f t="shared" si="17"/>
        <v>99</v>
      </c>
    </row>
    <row r="155" spans="1:17" ht="15" hidden="1" customHeight="1" x14ac:dyDescent="0.2">
      <c r="A155" s="12" t="s">
        <v>18</v>
      </c>
      <c r="B155" s="36">
        <v>46085</v>
      </c>
      <c r="C155" s="12">
        <f t="shared" si="15"/>
        <v>435</v>
      </c>
      <c r="D155" s="38">
        <f t="shared" ref="D155:D177" si="18">IF(H155=H154,0,1)</f>
        <v>1</v>
      </c>
      <c r="F155" s="12"/>
      <c r="G155" s="14" t="s">
        <v>35</v>
      </c>
      <c r="H155" s="12" t="s">
        <v>1695</v>
      </c>
      <c r="I155" s="12">
        <v>64277</v>
      </c>
      <c r="J155" s="12">
        <v>331</v>
      </c>
      <c r="K155" s="12" t="s">
        <v>20</v>
      </c>
      <c r="L155" s="12">
        <v>1</v>
      </c>
      <c r="M155" s="17">
        <v>3000000</v>
      </c>
      <c r="N155" s="17">
        <f t="shared" si="16"/>
        <v>3000000</v>
      </c>
      <c r="O155" s="17"/>
      <c r="Q155" s="12">
        <f t="shared" si="17"/>
        <v>41</v>
      </c>
    </row>
    <row r="156" spans="1:17" ht="15" hidden="1" customHeight="1" x14ac:dyDescent="0.2">
      <c r="A156" s="12" t="s">
        <v>18</v>
      </c>
      <c r="B156" s="36">
        <v>46085</v>
      </c>
      <c r="C156" s="12">
        <f t="shared" si="15"/>
        <v>435</v>
      </c>
      <c r="D156" s="38">
        <f t="shared" si="18"/>
        <v>0</v>
      </c>
      <c r="G156" s="14" t="s">
        <v>35</v>
      </c>
      <c r="H156" s="12" t="s">
        <v>1695</v>
      </c>
      <c r="I156" s="12">
        <v>1331</v>
      </c>
      <c r="J156" s="12">
        <v>331</v>
      </c>
      <c r="K156" s="12" t="s">
        <v>20</v>
      </c>
      <c r="L156" s="12">
        <v>1</v>
      </c>
      <c r="M156" s="17">
        <v>240000</v>
      </c>
      <c r="N156" s="17">
        <f t="shared" si="16"/>
        <v>240000</v>
      </c>
      <c r="O156" s="17"/>
      <c r="Q156" s="12">
        <f t="shared" si="17"/>
        <v>41</v>
      </c>
    </row>
    <row r="157" spans="1:17" ht="15" hidden="1" customHeight="1" x14ac:dyDescent="0.2">
      <c r="A157" s="12" t="s">
        <v>18</v>
      </c>
      <c r="B157" s="36">
        <v>46086</v>
      </c>
      <c r="C157" s="12">
        <f t="shared" si="15"/>
        <v>436</v>
      </c>
      <c r="D157" s="38">
        <f t="shared" si="18"/>
        <v>1</v>
      </c>
      <c r="G157" s="14" t="s">
        <v>1696</v>
      </c>
      <c r="H157" s="12" t="s">
        <v>1697</v>
      </c>
      <c r="I157" s="12">
        <v>64277</v>
      </c>
      <c r="J157" s="12">
        <v>331</v>
      </c>
      <c r="K157" s="12" t="s">
        <v>20</v>
      </c>
      <c r="L157" s="12">
        <v>1</v>
      </c>
      <c r="M157" s="17">
        <v>1722000</v>
      </c>
      <c r="N157" s="17">
        <f t="shared" si="16"/>
        <v>1722000</v>
      </c>
      <c r="O157" s="17"/>
      <c r="Q157" s="12">
        <f t="shared" si="17"/>
        <v>127</v>
      </c>
    </row>
    <row r="158" spans="1:17" ht="15" hidden="1" customHeight="1" x14ac:dyDescent="0.2">
      <c r="A158" s="12" t="s">
        <v>18</v>
      </c>
      <c r="B158" s="36">
        <v>46086</v>
      </c>
      <c r="C158" s="12">
        <f t="shared" si="15"/>
        <v>436</v>
      </c>
      <c r="D158" s="38">
        <f t="shared" si="18"/>
        <v>0</v>
      </c>
      <c r="F158" s="12"/>
      <c r="G158" s="14" t="s">
        <v>1696</v>
      </c>
      <c r="H158" s="12" t="s">
        <v>1697</v>
      </c>
      <c r="I158" s="12">
        <v>1331</v>
      </c>
      <c r="J158" s="12">
        <v>331</v>
      </c>
      <c r="K158" s="12" t="s">
        <v>20</v>
      </c>
      <c r="L158" s="12">
        <v>1</v>
      </c>
      <c r="M158" s="17">
        <v>0</v>
      </c>
      <c r="N158" s="17">
        <f t="shared" si="16"/>
        <v>0</v>
      </c>
      <c r="O158" s="17"/>
      <c r="Q158" s="12">
        <f t="shared" si="17"/>
        <v>127</v>
      </c>
    </row>
    <row r="159" spans="1:17" ht="15" hidden="1" customHeight="1" x14ac:dyDescent="0.2">
      <c r="A159" s="12" t="s">
        <v>18</v>
      </c>
      <c r="B159" s="36">
        <v>46093</v>
      </c>
      <c r="C159" s="12">
        <f t="shared" si="15"/>
        <v>437</v>
      </c>
      <c r="D159" s="38">
        <f t="shared" si="18"/>
        <v>1</v>
      </c>
      <c r="G159" s="14" t="s">
        <v>287</v>
      </c>
      <c r="H159" s="12" t="s">
        <v>1712</v>
      </c>
      <c r="I159" s="12">
        <v>131</v>
      </c>
      <c r="J159" s="12">
        <v>5113</v>
      </c>
      <c r="K159" s="12" t="s">
        <v>20</v>
      </c>
      <c r="L159" s="12">
        <v>1</v>
      </c>
      <c r="M159" s="17">
        <v>11111111</v>
      </c>
      <c r="N159" s="17">
        <f t="shared" si="16"/>
        <v>11111111</v>
      </c>
      <c r="O159" s="17"/>
      <c r="Q159" s="12">
        <f t="shared" si="17"/>
        <v>182</v>
      </c>
    </row>
    <row r="160" spans="1:17" ht="15" customHeight="1" x14ac:dyDescent="0.2">
      <c r="A160" s="12" t="s">
        <v>18</v>
      </c>
      <c r="B160" s="36">
        <v>46093</v>
      </c>
      <c r="C160" s="12">
        <f t="shared" si="15"/>
        <v>438</v>
      </c>
      <c r="D160" s="38">
        <f t="shared" si="18"/>
        <v>1</v>
      </c>
      <c r="F160" s="12"/>
      <c r="G160" s="14" t="s">
        <v>287</v>
      </c>
      <c r="H160" s="12" t="s">
        <v>4064</v>
      </c>
      <c r="I160" s="12">
        <v>333821</v>
      </c>
      <c r="J160" s="12">
        <v>131</v>
      </c>
      <c r="K160" s="12" t="s">
        <v>20</v>
      </c>
      <c r="L160" s="12">
        <v>1</v>
      </c>
      <c r="M160" s="17">
        <v>111111</v>
      </c>
      <c r="N160" s="17">
        <f t="shared" si="16"/>
        <v>111111</v>
      </c>
      <c r="O160" s="17"/>
      <c r="Q160" s="12">
        <f t="shared" si="17"/>
        <v>198</v>
      </c>
    </row>
    <row r="161" spans="1:17" ht="15" hidden="1" customHeight="1" x14ac:dyDescent="0.2">
      <c r="A161" s="12" t="s">
        <v>18</v>
      </c>
      <c r="B161" s="36">
        <v>46094</v>
      </c>
      <c r="C161" s="12">
        <f t="shared" si="15"/>
        <v>439</v>
      </c>
      <c r="D161" s="38">
        <f t="shared" si="18"/>
        <v>1</v>
      </c>
      <c r="F161" s="12"/>
      <c r="G161" s="14" t="s">
        <v>47</v>
      </c>
      <c r="H161" s="12" t="s">
        <v>1698</v>
      </c>
      <c r="I161" s="12">
        <v>64277</v>
      </c>
      <c r="J161" s="12">
        <v>331</v>
      </c>
      <c r="K161" s="12" t="s">
        <v>20</v>
      </c>
      <c r="L161" s="12">
        <v>1</v>
      </c>
      <c r="M161" s="17">
        <v>923000</v>
      </c>
      <c r="N161" s="17">
        <f t="shared" si="16"/>
        <v>923000</v>
      </c>
      <c r="O161" s="17"/>
      <c r="Q161" s="12">
        <f t="shared" si="17"/>
        <v>165</v>
      </c>
    </row>
    <row r="162" spans="1:17" ht="15" hidden="1" customHeight="1" x14ac:dyDescent="0.2">
      <c r="A162" s="12" t="s">
        <v>18</v>
      </c>
      <c r="B162" s="36">
        <v>46094</v>
      </c>
      <c r="C162" s="12">
        <f t="shared" si="15"/>
        <v>439</v>
      </c>
      <c r="D162" s="38">
        <f t="shared" si="18"/>
        <v>0</v>
      </c>
      <c r="G162" s="14" t="s">
        <v>47</v>
      </c>
      <c r="H162" s="12" t="s">
        <v>1698</v>
      </c>
      <c r="I162" s="12">
        <v>1331</v>
      </c>
      <c r="J162" s="12">
        <v>331</v>
      </c>
      <c r="K162" s="12" t="s">
        <v>20</v>
      </c>
      <c r="L162" s="12">
        <v>1</v>
      </c>
      <c r="M162" s="17">
        <v>76200</v>
      </c>
      <c r="N162" s="17">
        <f t="shared" si="16"/>
        <v>76200</v>
      </c>
      <c r="O162" s="17"/>
      <c r="Q162" s="12">
        <f t="shared" si="17"/>
        <v>165</v>
      </c>
    </row>
    <row r="163" spans="1:17" ht="15" hidden="1" customHeight="1" x14ac:dyDescent="0.2">
      <c r="A163" s="12" t="s">
        <v>18</v>
      </c>
      <c r="B163" s="36">
        <v>46097</v>
      </c>
      <c r="C163" s="12">
        <f t="shared" si="15"/>
        <v>440</v>
      </c>
      <c r="D163" s="38">
        <f t="shared" si="18"/>
        <v>1</v>
      </c>
      <c r="G163" s="14" t="s">
        <v>81</v>
      </c>
      <c r="H163" s="12" t="s">
        <v>1713</v>
      </c>
      <c r="I163" s="12">
        <v>131</v>
      </c>
      <c r="J163" s="12">
        <v>5113</v>
      </c>
      <c r="K163" s="12" t="s">
        <v>20</v>
      </c>
      <c r="L163" s="12">
        <v>1</v>
      </c>
      <c r="M163" s="17">
        <v>7777778</v>
      </c>
      <c r="N163" s="17">
        <f t="shared" si="16"/>
        <v>7777778</v>
      </c>
      <c r="O163" s="17"/>
      <c r="Q163" s="12">
        <f t="shared" si="17"/>
        <v>141</v>
      </c>
    </row>
    <row r="164" spans="1:17" ht="15" customHeight="1" x14ac:dyDescent="0.2">
      <c r="A164" s="12" t="s">
        <v>18</v>
      </c>
      <c r="B164" s="36">
        <v>46097</v>
      </c>
      <c r="C164" s="12">
        <f t="shared" ref="C164:C177" si="19">C163+D164</f>
        <v>441</v>
      </c>
      <c r="D164" s="38">
        <f t="shared" si="18"/>
        <v>1</v>
      </c>
      <c r="F164" s="12"/>
      <c r="G164" s="14" t="s">
        <v>81</v>
      </c>
      <c r="H164" s="12" t="s">
        <v>4065</v>
      </c>
      <c r="I164" s="12">
        <v>333821</v>
      </c>
      <c r="J164" s="12">
        <v>131</v>
      </c>
      <c r="K164" s="12" t="s">
        <v>20</v>
      </c>
      <c r="L164" s="12">
        <v>1</v>
      </c>
      <c r="M164" s="17">
        <v>77778</v>
      </c>
      <c r="N164" s="17">
        <f t="shared" ref="N164:N177" si="20">L164*M164</f>
        <v>77778</v>
      </c>
      <c r="O164" s="17"/>
      <c r="Q164" s="12">
        <f t="shared" ref="Q164:Q177" si="21">LEN(H164)</f>
        <v>157</v>
      </c>
    </row>
    <row r="165" spans="1:17" ht="15" hidden="1" customHeight="1" x14ac:dyDescent="0.2">
      <c r="A165" s="12" t="s">
        <v>18</v>
      </c>
      <c r="B165" s="36">
        <v>46102</v>
      </c>
      <c r="C165" s="12">
        <f t="shared" si="19"/>
        <v>442</v>
      </c>
      <c r="D165" s="38">
        <f t="shared" si="18"/>
        <v>1</v>
      </c>
      <c r="G165" s="14" t="s">
        <v>1699</v>
      </c>
      <c r="H165" s="12" t="s">
        <v>1700</v>
      </c>
      <c r="I165" s="12">
        <v>64277</v>
      </c>
      <c r="J165" s="12">
        <v>331</v>
      </c>
      <c r="K165" s="12" t="s">
        <v>20</v>
      </c>
      <c r="L165" s="12">
        <v>1</v>
      </c>
      <c r="M165" s="17">
        <v>1256000</v>
      </c>
      <c r="N165" s="17">
        <f t="shared" si="20"/>
        <v>1256000</v>
      </c>
      <c r="O165" s="17"/>
      <c r="Q165" s="12">
        <f t="shared" si="21"/>
        <v>43</v>
      </c>
    </row>
    <row r="166" spans="1:17" ht="15" hidden="1" customHeight="1" x14ac:dyDescent="0.2">
      <c r="A166" s="12" t="s">
        <v>18</v>
      </c>
      <c r="B166" s="36">
        <v>46102</v>
      </c>
      <c r="C166" s="12">
        <f t="shared" si="19"/>
        <v>442</v>
      </c>
      <c r="D166" s="38">
        <f t="shared" si="18"/>
        <v>0</v>
      </c>
      <c r="F166" s="12"/>
      <c r="G166" s="14" t="s">
        <v>1699</v>
      </c>
      <c r="H166" s="12" t="s">
        <v>1700</v>
      </c>
      <c r="I166" s="12">
        <v>1331</v>
      </c>
      <c r="J166" s="12">
        <v>331</v>
      </c>
      <c r="K166" s="12" t="s">
        <v>20</v>
      </c>
      <c r="L166" s="12">
        <v>1</v>
      </c>
      <c r="M166" s="17">
        <v>100480</v>
      </c>
      <c r="N166" s="17">
        <f t="shared" si="20"/>
        <v>100480</v>
      </c>
      <c r="O166" s="17"/>
      <c r="Q166" s="12">
        <f t="shared" si="21"/>
        <v>43</v>
      </c>
    </row>
    <row r="167" spans="1:17" ht="15" hidden="1" customHeight="1" x14ac:dyDescent="0.2">
      <c r="A167" s="12" t="s">
        <v>18</v>
      </c>
      <c r="B167" s="36">
        <v>46103</v>
      </c>
      <c r="C167" s="12">
        <f t="shared" si="19"/>
        <v>443</v>
      </c>
      <c r="D167" s="38">
        <f t="shared" si="18"/>
        <v>1</v>
      </c>
      <c r="G167" s="14" t="s">
        <v>1714</v>
      </c>
      <c r="H167" s="12" t="s">
        <v>1715</v>
      </c>
      <c r="I167" s="12">
        <v>131</v>
      </c>
      <c r="J167" s="12">
        <v>5113</v>
      </c>
      <c r="K167" s="12" t="s">
        <v>20</v>
      </c>
      <c r="L167" s="12">
        <v>1</v>
      </c>
      <c r="M167" s="17">
        <v>20000000</v>
      </c>
      <c r="N167" s="17">
        <f t="shared" si="20"/>
        <v>20000000</v>
      </c>
      <c r="O167" s="17"/>
      <c r="Q167" s="12">
        <f t="shared" si="21"/>
        <v>154</v>
      </c>
    </row>
    <row r="168" spans="1:17" ht="15" customHeight="1" x14ac:dyDescent="0.2">
      <c r="A168" s="12" t="s">
        <v>18</v>
      </c>
      <c r="B168" s="36">
        <v>46103</v>
      </c>
      <c r="C168" s="12">
        <f t="shared" si="19"/>
        <v>444</v>
      </c>
      <c r="D168" s="38">
        <f t="shared" si="18"/>
        <v>1</v>
      </c>
      <c r="F168" s="12"/>
      <c r="G168" s="14" t="s">
        <v>1714</v>
      </c>
      <c r="H168" s="12" t="s">
        <v>4066</v>
      </c>
      <c r="I168" s="12">
        <v>333821</v>
      </c>
      <c r="J168" s="12">
        <v>131</v>
      </c>
      <c r="K168" s="12" t="s">
        <v>20</v>
      </c>
      <c r="L168" s="12">
        <v>1</v>
      </c>
      <c r="M168" s="17">
        <v>200000</v>
      </c>
      <c r="N168" s="17">
        <f t="shared" si="20"/>
        <v>200000</v>
      </c>
      <c r="O168" s="17"/>
      <c r="Q168" s="12">
        <f t="shared" si="21"/>
        <v>170</v>
      </c>
    </row>
    <row r="169" spans="1:17" ht="15" hidden="1" customHeight="1" x14ac:dyDescent="0.2">
      <c r="A169" s="12" t="s">
        <v>18</v>
      </c>
      <c r="B169" s="36">
        <v>46105</v>
      </c>
      <c r="C169" s="12">
        <f t="shared" si="19"/>
        <v>445</v>
      </c>
      <c r="D169" s="38">
        <f t="shared" si="18"/>
        <v>1</v>
      </c>
      <c r="G169" s="14" t="s">
        <v>82</v>
      </c>
      <c r="H169" s="12" t="s">
        <v>1718</v>
      </c>
      <c r="I169" s="12">
        <v>131</v>
      </c>
      <c r="J169" s="12">
        <v>5113</v>
      </c>
      <c r="K169" s="12" t="s">
        <v>20</v>
      </c>
      <c r="L169" s="12">
        <v>1</v>
      </c>
      <c r="M169" s="17">
        <v>22222222</v>
      </c>
      <c r="N169" s="17">
        <f t="shared" si="20"/>
        <v>22222222</v>
      </c>
      <c r="O169" s="17"/>
      <c r="Q169" s="12">
        <f t="shared" si="21"/>
        <v>186</v>
      </c>
    </row>
    <row r="170" spans="1:17" ht="15" customHeight="1" x14ac:dyDescent="0.2">
      <c r="A170" s="12" t="s">
        <v>18</v>
      </c>
      <c r="B170" s="36">
        <v>46105</v>
      </c>
      <c r="C170" s="12">
        <f t="shared" si="19"/>
        <v>446</v>
      </c>
      <c r="D170" s="38">
        <f t="shared" si="18"/>
        <v>1</v>
      </c>
      <c r="F170" s="12"/>
      <c r="G170" s="14" t="s">
        <v>82</v>
      </c>
      <c r="H170" s="12" t="s">
        <v>4067</v>
      </c>
      <c r="I170" s="12">
        <v>333821</v>
      </c>
      <c r="J170" s="12">
        <v>131</v>
      </c>
      <c r="K170" s="12" t="s">
        <v>20</v>
      </c>
      <c r="L170" s="12">
        <v>1</v>
      </c>
      <c r="M170" s="17">
        <v>222222</v>
      </c>
      <c r="N170" s="17">
        <f t="shared" si="20"/>
        <v>222222</v>
      </c>
      <c r="O170" s="17"/>
      <c r="Q170" s="12">
        <f t="shared" si="21"/>
        <v>202</v>
      </c>
    </row>
    <row r="171" spans="1:17" ht="15" hidden="1" customHeight="1" x14ac:dyDescent="0.2">
      <c r="A171" s="12" t="s">
        <v>18</v>
      </c>
      <c r="B171" s="36">
        <v>46105</v>
      </c>
      <c r="C171" s="12">
        <f t="shared" si="19"/>
        <v>447</v>
      </c>
      <c r="D171" s="38">
        <f t="shared" si="18"/>
        <v>1</v>
      </c>
      <c r="G171" s="14" t="s">
        <v>1716</v>
      </c>
      <c r="H171" s="12" t="s">
        <v>1717</v>
      </c>
      <c r="I171" s="12">
        <v>131</v>
      </c>
      <c r="J171" s="12">
        <v>5113</v>
      </c>
      <c r="K171" s="12" t="s">
        <v>20</v>
      </c>
      <c r="L171" s="12">
        <v>1</v>
      </c>
      <c r="M171" s="17">
        <v>27777778</v>
      </c>
      <c r="N171" s="17">
        <f t="shared" si="20"/>
        <v>27777778</v>
      </c>
      <c r="O171" s="17"/>
      <c r="Q171" s="12">
        <f t="shared" si="21"/>
        <v>119</v>
      </c>
    </row>
    <row r="172" spans="1:17" ht="15" customHeight="1" x14ac:dyDescent="0.2">
      <c r="A172" s="12" t="s">
        <v>18</v>
      </c>
      <c r="B172" s="36">
        <v>46105</v>
      </c>
      <c r="C172" s="12">
        <f t="shared" si="19"/>
        <v>448</v>
      </c>
      <c r="D172" s="38">
        <f t="shared" si="18"/>
        <v>1</v>
      </c>
      <c r="F172" s="12"/>
      <c r="G172" s="14" t="s">
        <v>1716</v>
      </c>
      <c r="H172" s="12" t="s">
        <v>4068</v>
      </c>
      <c r="I172" s="12">
        <v>333821</v>
      </c>
      <c r="J172" s="12">
        <v>131</v>
      </c>
      <c r="K172" s="12" t="s">
        <v>20</v>
      </c>
      <c r="L172" s="12">
        <v>1</v>
      </c>
      <c r="M172" s="17">
        <v>277778</v>
      </c>
      <c r="N172" s="17">
        <f t="shared" si="20"/>
        <v>277778</v>
      </c>
      <c r="O172" s="17"/>
      <c r="Q172" s="12">
        <f t="shared" si="21"/>
        <v>135</v>
      </c>
    </row>
    <row r="173" spans="1:17" ht="15" hidden="1" customHeight="1" x14ac:dyDescent="0.2">
      <c r="A173" s="12" t="s">
        <v>18</v>
      </c>
      <c r="B173" s="36">
        <v>46110</v>
      </c>
      <c r="C173" s="12">
        <f t="shared" si="19"/>
        <v>449</v>
      </c>
      <c r="D173" s="38">
        <f t="shared" si="18"/>
        <v>1</v>
      </c>
      <c r="F173" s="12"/>
      <c r="G173" s="14" t="s">
        <v>1701</v>
      </c>
      <c r="H173" s="12" t="s">
        <v>4053</v>
      </c>
      <c r="I173" s="12">
        <v>64277</v>
      </c>
      <c r="J173" s="12">
        <v>331</v>
      </c>
      <c r="K173" s="12" t="s">
        <v>20</v>
      </c>
      <c r="L173" s="12">
        <v>1</v>
      </c>
      <c r="M173" s="17">
        <v>1470000</v>
      </c>
      <c r="N173" s="17">
        <f t="shared" si="20"/>
        <v>1470000</v>
      </c>
      <c r="O173" s="17"/>
      <c r="Q173" s="12">
        <f t="shared" si="21"/>
        <v>41</v>
      </c>
    </row>
    <row r="174" spans="1:17" ht="15" hidden="1" customHeight="1" x14ac:dyDescent="0.2">
      <c r="A174" s="12" t="s">
        <v>18</v>
      </c>
      <c r="B174" s="36">
        <v>46110</v>
      </c>
      <c r="C174" s="12">
        <f t="shared" si="19"/>
        <v>449</v>
      </c>
      <c r="D174" s="38">
        <f t="shared" si="18"/>
        <v>0</v>
      </c>
      <c r="G174" s="14" t="s">
        <v>1701</v>
      </c>
      <c r="H174" s="12" t="s">
        <v>4053</v>
      </c>
      <c r="I174" s="12">
        <v>1331</v>
      </c>
      <c r="J174" s="12">
        <v>331</v>
      </c>
      <c r="K174" s="12" t="s">
        <v>20</v>
      </c>
      <c r="L174" s="12">
        <v>1</v>
      </c>
      <c r="M174" s="17">
        <v>117600</v>
      </c>
      <c r="N174" s="17">
        <f t="shared" si="20"/>
        <v>117600</v>
      </c>
      <c r="O174" s="17"/>
      <c r="Q174" s="12">
        <f t="shared" si="21"/>
        <v>41</v>
      </c>
    </row>
    <row r="175" spans="1:17" ht="15" hidden="1" customHeight="1" x14ac:dyDescent="0.2">
      <c r="A175" s="12" t="s">
        <v>18</v>
      </c>
      <c r="B175" s="36">
        <v>46111</v>
      </c>
      <c r="C175" s="12">
        <f t="shared" si="19"/>
        <v>450</v>
      </c>
      <c r="D175" s="38">
        <f t="shared" si="18"/>
        <v>1</v>
      </c>
      <c r="G175" s="14" t="s">
        <v>69</v>
      </c>
      <c r="H175" s="12" t="s">
        <v>1719</v>
      </c>
      <c r="I175" s="12">
        <v>131</v>
      </c>
      <c r="J175" s="12">
        <v>5113</v>
      </c>
      <c r="K175" s="12" t="s">
        <v>20</v>
      </c>
      <c r="L175" s="12">
        <v>1</v>
      </c>
      <c r="M175" s="17">
        <v>20000000</v>
      </c>
      <c r="N175" s="17">
        <f t="shared" si="20"/>
        <v>20000000</v>
      </c>
      <c r="O175" s="17"/>
      <c r="Q175" s="12">
        <f t="shared" si="21"/>
        <v>115</v>
      </c>
    </row>
    <row r="176" spans="1:17" ht="15" customHeight="1" x14ac:dyDescent="0.2">
      <c r="A176" s="12" t="s">
        <v>18</v>
      </c>
      <c r="B176" s="36">
        <v>46111</v>
      </c>
      <c r="C176" s="12">
        <f t="shared" si="19"/>
        <v>451</v>
      </c>
      <c r="D176" s="38">
        <f t="shared" si="18"/>
        <v>1</v>
      </c>
      <c r="F176" s="12"/>
      <c r="G176" s="14" t="s">
        <v>69</v>
      </c>
      <c r="H176" s="12" t="s">
        <v>4069</v>
      </c>
      <c r="I176" s="12">
        <v>333821</v>
      </c>
      <c r="J176" s="12">
        <v>131</v>
      </c>
      <c r="K176" s="12" t="s">
        <v>20</v>
      </c>
      <c r="L176" s="12">
        <v>1</v>
      </c>
      <c r="M176" s="17">
        <v>200000</v>
      </c>
      <c r="N176" s="17">
        <f t="shared" si="20"/>
        <v>200000</v>
      </c>
      <c r="O176" s="17"/>
      <c r="Q176" s="12">
        <f t="shared" si="21"/>
        <v>131</v>
      </c>
    </row>
    <row r="177" spans="1:17" ht="15" hidden="1" customHeight="1" x14ac:dyDescent="0.2">
      <c r="A177" s="12" t="s">
        <v>18</v>
      </c>
      <c r="B177" s="36">
        <v>46112</v>
      </c>
      <c r="C177" s="12">
        <f t="shared" si="19"/>
        <v>452</v>
      </c>
      <c r="D177" s="38">
        <f t="shared" si="18"/>
        <v>1</v>
      </c>
      <c r="G177" s="14" t="s">
        <v>39</v>
      </c>
      <c r="H177" s="12" t="s">
        <v>457</v>
      </c>
      <c r="I177" s="12">
        <v>64271</v>
      </c>
      <c r="J177" s="12">
        <v>3383</v>
      </c>
      <c r="K177" s="12" t="s">
        <v>20</v>
      </c>
      <c r="L177" s="12">
        <v>1</v>
      </c>
      <c r="M177" s="17">
        <v>690300</v>
      </c>
      <c r="N177" s="17">
        <f t="shared" si="20"/>
        <v>690300</v>
      </c>
      <c r="O177" s="17"/>
      <c r="Q177" s="12">
        <f t="shared" si="21"/>
        <v>30</v>
      </c>
    </row>
  </sheetData>
  <autoFilter ref="A3:Q177" xr:uid="{00000000-0009-0000-0000-000012000000}">
    <filterColumn colId="8">
      <filters>
        <filter val="333821"/>
      </filters>
    </filterColumn>
    <filterColumn colId="9">
      <filters>
        <filter val="131"/>
      </filters>
    </filterColumn>
    <sortState xmlns:xlrd2="http://schemas.microsoft.com/office/spreadsheetml/2017/richdata2" ref="A4:Q177">
      <sortCondition ref="A4:A177"/>
      <sortCondition ref="B4:B177"/>
      <sortCondition ref="H4:H177"/>
    </sortState>
  </autoFilter>
  <mergeCells count="13">
    <mergeCell ref="N1:N2"/>
    <mergeCell ref="G1:G2"/>
    <mergeCell ref="H1:H2"/>
    <mergeCell ref="I1:J1"/>
    <mergeCell ref="K1:K2"/>
    <mergeCell ref="L1:L2"/>
    <mergeCell ref="M1:M2"/>
    <mergeCell ref="F1:F2"/>
    <mergeCell ref="A1:A2"/>
    <mergeCell ref="B1:B2"/>
    <mergeCell ref="C1:C2"/>
    <mergeCell ref="D1:D2"/>
    <mergeCell ref="E1:E2"/>
  </mergeCells>
  <hyperlinks>
    <hyperlink ref="P1" location="Summary!A1" display="Back to summary" xr:uid="{00000000-0004-0000-1200-000000000000}"/>
  </hyperlink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filterMode="1">
    <tabColor rgb="FF92D050"/>
  </sheetPr>
  <dimension ref="A1:S140"/>
  <sheetViews>
    <sheetView workbookViewId="0">
      <selection activeCell="M62" sqref="M62:M90"/>
    </sheetView>
  </sheetViews>
  <sheetFormatPr defaultRowHeight="15" customHeight="1" x14ac:dyDescent="0.2"/>
  <cols>
    <col min="1" max="1" width="9.140625" style="20"/>
    <col min="2" max="2" width="10.7109375" style="61" bestFit="1" customWidth="1"/>
    <col min="3" max="6" width="9.140625" style="20"/>
    <col min="7" max="7" width="9.5703125" style="32" bestFit="1" customWidth="1"/>
    <col min="8" max="8" width="29.85546875" style="20" customWidth="1"/>
    <col min="9" max="12" width="9.140625" style="20"/>
    <col min="13" max="13" width="11.28515625" style="34" bestFit="1" customWidth="1"/>
    <col min="14" max="14" width="10.42578125" style="34" bestFit="1" customWidth="1"/>
    <col min="15" max="15" width="10.42578125" style="20" bestFit="1" customWidth="1"/>
    <col min="16" max="18" width="9.140625" style="20"/>
    <col min="19" max="19" width="11.28515625" style="20" bestFit="1" customWidth="1"/>
    <col min="20" max="16384" width="9.140625" style="20"/>
  </cols>
  <sheetData>
    <row r="1" spans="1:16" ht="15" customHeight="1" thickBot="1" x14ac:dyDescent="0.25">
      <c r="A1" s="194" t="s">
        <v>0</v>
      </c>
      <c r="B1" s="196" t="s">
        <v>1</v>
      </c>
      <c r="C1" s="194" t="s">
        <v>2</v>
      </c>
      <c r="D1" s="192" t="s">
        <v>3</v>
      </c>
      <c r="E1" s="192" t="s">
        <v>4</v>
      </c>
      <c r="F1" s="192" t="s">
        <v>5</v>
      </c>
      <c r="G1" s="201" t="s">
        <v>6</v>
      </c>
      <c r="H1" s="203" t="s">
        <v>7</v>
      </c>
      <c r="I1" s="205" t="s">
        <v>8</v>
      </c>
      <c r="J1" s="206"/>
      <c r="K1" s="194" t="s">
        <v>9</v>
      </c>
      <c r="L1" s="194" t="s">
        <v>10</v>
      </c>
      <c r="M1" s="199" t="s">
        <v>76</v>
      </c>
      <c r="N1" s="199" t="s">
        <v>77</v>
      </c>
      <c r="O1" s="39" t="s">
        <v>78</v>
      </c>
      <c r="P1" s="146" t="s">
        <v>356</v>
      </c>
    </row>
    <row r="2" spans="1:16" ht="15" customHeight="1" thickBot="1" x14ac:dyDescent="0.25">
      <c r="A2" s="195"/>
      <c r="B2" s="197"/>
      <c r="C2" s="195"/>
      <c r="D2" s="198"/>
      <c r="E2" s="198"/>
      <c r="F2" s="193"/>
      <c r="G2" s="202"/>
      <c r="H2" s="204"/>
      <c r="I2" s="40" t="s">
        <v>13</v>
      </c>
      <c r="J2" s="41" t="s">
        <v>14</v>
      </c>
      <c r="K2" s="195"/>
      <c r="L2" s="195"/>
      <c r="M2" s="200"/>
      <c r="N2" s="200"/>
      <c r="O2" s="37" t="s">
        <v>78</v>
      </c>
      <c r="P2" s="37"/>
    </row>
    <row r="3" spans="1:16" ht="15" customHeight="1" x14ac:dyDescent="0.2">
      <c r="A3" s="42"/>
      <c r="B3" s="66"/>
      <c r="C3" s="42">
        <v>252</v>
      </c>
      <c r="D3" s="43"/>
      <c r="E3" s="43"/>
      <c r="F3" s="43"/>
      <c r="G3" s="58" t="s">
        <v>15</v>
      </c>
      <c r="H3" s="44"/>
      <c r="I3" s="44"/>
      <c r="J3" s="44"/>
      <c r="K3" s="42"/>
      <c r="L3" s="42"/>
      <c r="M3" s="64"/>
      <c r="N3" s="64"/>
      <c r="O3" s="37" t="s">
        <v>16</v>
      </c>
      <c r="P3" s="37" t="s">
        <v>17</v>
      </c>
    </row>
    <row r="4" spans="1:16" ht="15" hidden="1" customHeight="1" x14ac:dyDescent="0.2">
      <c r="A4" s="20" t="s">
        <v>18</v>
      </c>
      <c r="B4" s="61">
        <v>46024</v>
      </c>
      <c r="C4" s="20">
        <f t="shared" ref="C4:C36" si="0">C3+D4</f>
        <v>253</v>
      </c>
      <c r="D4" s="38">
        <f t="shared" ref="D4:D67" si="1">IF(H4=H3,0,1)</f>
        <v>1</v>
      </c>
      <c r="G4" s="32" t="s">
        <v>46</v>
      </c>
      <c r="H4" s="20" t="s">
        <v>1720</v>
      </c>
      <c r="I4" s="20">
        <v>64277</v>
      </c>
      <c r="J4" s="20">
        <v>331</v>
      </c>
      <c r="K4" s="20" t="s">
        <v>20</v>
      </c>
      <c r="L4" s="20">
        <v>1</v>
      </c>
      <c r="M4" s="34">
        <v>715000</v>
      </c>
      <c r="N4" s="34">
        <f t="shared" ref="N4:N36" si="2">L4*M4</f>
        <v>715000</v>
      </c>
      <c r="O4" s="33"/>
      <c r="P4" s="20">
        <f>LEN(H4)</f>
        <v>180</v>
      </c>
    </row>
    <row r="5" spans="1:16" ht="15" hidden="1" customHeight="1" x14ac:dyDescent="0.2">
      <c r="A5" s="20" t="s">
        <v>18</v>
      </c>
      <c r="B5" s="61">
        <v>46024</v>
      </c>
      <c r="C5" s="20">
        <f t="shared" si="0"/>
        <v>253</v>
      </c>
      <c r="D5" s="38">
        <f t="shared" si="1"/>
        <v>0</v>
      </c>
      <c r="G5" s="32" t="s">
        <v>46</v>
      </c>
      <c r="H5" s="20" t="s">
        <v>1720</v>
      </c>
      <c r="I5" s="20">
        <v>1331</v>
      </c>
      <c r="J5" s="20">
        <v>331</v>
      </c>
      <c r="K5" s="20" t="s">
        <v>20</v>
      </c>
      <c r="L5" s="20">
        <v>1</v>
      </c>
      <c r="M5" s="34">
        <v>57200</v>
      </c>
      <c r="N5" s="34">
        <f t="shared" si="2"/>
        <v>57200</v>
      </c>
      <c r="O5" s="33"/>
      <c r="P5" s="20">
        <f t="shared" ref="P5:P68" si="3">LEN(H5)</f>
        <v>180</v>
      </c>
    </row>
    <row r="6" spans="1:16" ht="15" hidden="1" customHeight="1" x14ac:dyDescent="0.2">
      <c r="A6" s="20" t="s">
        <v>310</v>
      </c>
      <c r="B6" s="61">
        <v>46024</v>
      </c>
      <c r="C6" s="20">
        <f t="shared" si="0"/>
        <v>254</v>
      </c>
      <c r="D6" s="38">
        <f t="shared" si="1"/>
        <v>1</v>
      </c>
      <c r="G6" s="32" t="s">
        <v>46</v>
      </c>
      <c r="H6" s="20" t="s">
        <v>2592</v>
      </c>
      <c r="I6" s="20">
        <v>331</v>
      </c>
      <c r="J6" s="20">
        <v>1111</v>
      </c>
      <c r="K6" s="20" t="s">
        <v>20</v>
      </c>
      <c r="L6" s="20">
        <v>1</v>
      </c>
      <c r="M6" s="34">
        <v>772200</v>
      </c>
      <c r="N6" s="34">
        <f t="shared" si="2"/>
        <v>772200</v>
      </c>
      <c r="O6" s="33"/>
      <c r="P6" s="20">
        <f t="shared" si="3"/>
        <v>191</v>
      </c>
    </row>
    <row r="7" spans="1:16" ht="15" hidden="1" customHeight="1" x14ac:dyDescent="0.2">
      <c r="A7" s="20" t="s">
        <v>18</v>
      </c>
      <c r="B7" s="61">
        <v>46027</v>
      </c>
      <c r="C7" s="20">
        <f t="shared" si="0"/>
        <v>255</v>
      </c>
      <c r="D7" s="38">
        <f t="shared" si="1"/>
        <v>1</v>
      </c>
      <c r="G7" s="32" t="s">
        <v>289</v>
      </c>
      <c r="H7" s="20" t="s">
        <v>1721</v>
      </c>
      <c r="I7" s="20">
        <v>64277</v>
      </c>
      <c r="J7" s="20">
        <v>331</v>
      </c>
      <c r="K7" s="20" t="s">
        <v>20</v>
      </c>
      <c r="L7" s="20">
        <v>1</v>
      </c>
      <c r="M7" s="34">
        <v>613889</v>
      </c>
      <c r="N7" s="34">
        <f t="shared" si="2"/>
        <v>613889</v>
      </c>
      <c r="O7" s="33"/>
      <c r="P7" s="20">
        <f t="shared" si="3"/>
        <v>111</v>
      </c>
    </row>
    <row r="8" spans="1:16" ht="15" hidden="1" customHeight="1" x14ac:dyDescent="0.2">
      <c r="A8" s="20" t="s">
        <v>18</v>
      </c>
      <c r="B8" s="61">
        <v>46027</v>
      </c>
      <c r="C8" s="20">
        <f t="shared" si="0"/>
        <v>255</v>
      </c>
      <c r="D8" s="38">
        <f t="shared" si="1"/>
        <v>0</v>
      </c>
      <c r="G8" s="32" t="s">
        <v>289</v>
      </c>
      <c r="H8" s="20" t="s">
        <v>1721</v>
      </c>
      <c r="I8" s="20">
        <v>1331</v>
      </c>
      <c r="J8" s="20">
        <v>331</v>
      </c>
      <c r="K8" s="20" t="s">
        <v>20</v>
      </c>
      <c r="L8" s="20">
        <v>1</v>
      </c>
      <c r="M8" s="34">
        <v>49111</v>
      </c>
      <c r="N8" s="34">
        <f t="shared" si="2"/>
        <v>49111</v>
      </c>
      <c r="O8" s="33"/>
      <c r="P8" s="20">
        <f t="shared" si="3"/>
        <v>111</v>
      </c>
    </row>
    <row r="9" spans="1:16" ht="15" hidden="1" customHeight="1" x14ac:dyDescent="0.2">
      <c r="A9" s="20" t="s">
        <v>310</v>
      </c>
      <c r="B9" s="61">
        <v>46027</v>
      </c>
      <c r="C9" s="20">
        <f t="shared" si="0"/>
        <v>256</v>
      </c>
      <c r="D9" s="38">
        <f t="shared" si="1"/>
        <v>1</v>
      </c>
      <c r="G9" s="32" t="s">
        <v>289</v>
      </c>
      <c r="H9" s="20" t="s">
        <v>2593</v>
      </c>
      <c r="I9" s="20">
        <v>331</v>
      </c>
      <c r="J9" s="20">
        <v>1111</v>
      </c>
      <c r="K9" s="20" t="s">
        <v>20</v>
      </c>
      <c r="L9" s="20">
        <v>1</v>
      </c>
      <c r="M9" s="34">
        <v>663000</v>
      </c>
      <c r="N9" s="34">
        <f t="shared" si="2"/>
        <v>663000</v>
      </c>
      <c r="O9" s="33"/>
      <c r="P9" s="20">
        <f t="shared" si="3"/>
        <v>122</v>
      </c>
    </row>
    <row r="10" spans="1:16" ht="15" hidden="1" customHeight="1" x14ac:dyDescent="0.2">
      <c r="A10" s="20" t="s">
        <v>18</v>
      </c>
      <c r="B10" s="61">
        <v>46029</v>
      </c>
      <c r="C10" s="20">
        <f t="shared" si="0"/>
        <v>257</v>
      </c>
      <c r="D10" s="38">
        <f t="shared" si="1"/>
        <v>1</v>
      </c>
      <c r="G10" s="32" t="s">
        <v>1722</v>
      </c>
      <c r="H10" s="20" t="s">
        <v>1723</v>
      </c>
      <c r="I10" s="20">
        <v>64277</v>
      </c>
      <c r="J10" s="20">
        <v>331</v>
      </c>
      <c r="K10" s="20" t="s">
        <v>20</v>
      </c>
      <c r="L10" s="20">
        <v>1</v>
      </c>
      <c r="M10" s="34">
        <v>1655556</v>
      </c>
      <c r="N10" s="34">
        <f t="shared" si="2"/>
        <v>1655556</v>
      </c>
      <c r="O10" s="33"/>
      <c r="P10" s="20">
        <f t="shared" si="3"/>
        <v>165</v>
      </c>
    </row>
    <row r="11" spans="1:16" ht="15" hidden="1" customHeight="1" x14ac:dyDescent="0.2">
      <c r="A11" s="20" t="s">
        <v>18</v>
      </c>
      <c r="B11" s="61">
        <v>46029</v>
      </c>
      <c r="C11" s="20">
        <f t="shared" si="0"/>
        <v>257</v>
      </c>
      <c r="D11" s="38">
        <f t="shared" si="1"/>
        <v>0</v>
      </c>
      <c r="G11" s="32" t="s">
        <v>1722</v>
      </c>
      <c r="H11" s="20" t="s">
        <v>1723</v>
      </c>
      <c r="I11" s="20">
        <v>1331</v>
      </c>
      <c r="J11" s="20">
        <v>331</v>
      </c>
      <c r="K11" s="20" t="s">
        <v>20</v>
      </c>
      <c r="L11" s="20">
        <v>1</v>
      </c>
      <c r="M11" s="34">
        <v>128000</v>
      </c>
      <c r="N11" s="34">
        <f t="shared" si="2"/>
        <v>128000</v>
      </c>
      <c r="O11" s="33"/>
      <c r="P11" s="20">
        <f t="shared" si="3"/>
        <v>165</v>
      </c>
    </row>
    <row r="12" spans="1:16" ht="15" hidden="1" customHeight="1" x14ac:dyDescent="0.2">
      <c r="A12" s="20" t="s">
        <v>310</v>
      </c>
      <c r="B12" s="61">
        <v>46029</v>
      </c>
      <c r="C12" s="20">
        <f t="shared" si="0"/>
        <v>258</v>
      </c>
      <c r="D12" s="38">
        <f t="shared" si="1"/>
        <v>1</v>
      </c>
      <c r="G12" s="32" t="s">
        <v>1722</v>
      </c>
      <c r="H12" s="20" t="s">
        <v>2594</v>
      </c>
      <c r="I12" s="20">
        <v>331</v>
      </c>
      <c r="J12" s="20">
        <v>1111</v>
      </c>
      <c r="K12" s="20" t="s">
        <v>20</v>
      </c>
      <c r="L12" s="20">
        <v>1</v>
      </c>
      <c r="M12" s="34">
        <v>1728000</v>
      </c>
      <c r="N12" s="34">
        <f t="shared" si="2"/>
        <v>1728000</v>
      </c>
      <c r="O12" s="33"/>
      <c r="P12" s="20">
        <f t="shared" si="3"/>
        <v>176</v>
      </c>
    </row>
    <row r="13" spans="1:16" ht="15" hidden="1" customHeight="1" x14ac:dyDescent="0.2">
      <c r="A13" s="20" t="s">
        <v>18</v>
      </c>
      <c r="B13" s="61">
        <v>46031</v>
      </c>
      <c r="C13" s="20">
        <f t="shared" si="0"/>
        <v>259</v>
      </c>
      <c r="D13" s="38">
        <f t="shared" si="1"/>
        <v>1</v>
      </c>
      <c r="G13" s="32" t="s">
        <v>291</v>
      </c>
      <c r="H13" s="20" t="s">
        <v>2588</v>
      </c>
      <c r="I13" s="20">
        <v>64277</v>
      </c>
      <c r="J13" s="20">
        <v>331</v>
      </c>
      <c r="K13" s="20" t="s">
        <v>20</v>
      </c>
      <c r="L13" s="20">
        <v>1</v>
      </c>
      <c r="M13" s="34">
        <v>0</v>
      </c>
      <c r="N13" s="34">
        <f t="shared" si="2"/>
        <v>0</v>
      </c>
      <c r="O13" s="33"/>
      <c r="P13" s="20">
        <f t="shared" si="3"/>
        <v>34</v>
      </c>
    </row>
    <row r="14" spans="1:16" ht="15" hidden="1" customHeight="1" x14ac:dyDescent="0.2">
      <c r="A14" s="20" t="s">
        <v>18</v>
      </c>
      <c r="B14" s="61">
        <v>46031</v>
      </c>
      <c r="C14" s="20">
        <f t="shared" si="0"/>
        <v>259</v>
      </c>
      <c r="D14" s="38">
        <f t="shared" si="1"/>
        <v>0</v>
      </c>
      <c r="G14" s="32" t="s">
        <v>291</v>
      </c>
      <c r="H14" s="20" t="s">
        <v>2588</v>
      </c>
      <c r="I14" s="20">
        <v>1331</v>
      </c>
      <c r="J14" s="20">
        <v>331</v>
      </c>
      <c r="K14" s="20" t="s">
        <v>20</v>
      </c>
      <c r="L14" s="20">
        <v>1</v>
      </c>
      <c r="M14" s="34">
        <v>0</v>
      </c>
      <c r="N14" s="34">
        <f t="shared" si="2"/>
        <v>0</v>
      </c>
      <c r="O14" s="33"/>
      <c r="P14" s="20">
        <f t="shared" si="3"/>
        <v>34</v>
      </c>
    </row>
    <row r="15" spans="1:16" ht="15" hidden="1" customHeight="1" x14ac:dyDescent="0.2">
      <c r="A15" s="20" t="s">
        <v>310</v>
      </c>
      <c r="B15" s="61">
        <v>46031</v>
      </c>
      <c r="C15" s="20">
        <f t="shared" si="0"/>
        <v>260</v>
      </c>
      <c r="D15" s="38">
        <f t="shared" si="1"/>
        <v>1</v>
      </c>
      <c r="G15" s="32" t="s">
        <v>291</v>
      </c>
      <c r="H15" s="20" t="s">
        <v>2595</v>
      </c>
      <c r="I15" s="20">
        <v>331</v>
      </c>
      <c r="J15" s="20">
        <v>1111</v>
      </c>
      <c r="K15" s="20" t="s">
        <v>20</v>
      </c>
      <c r="L15" s="20">
        <v>1</v>
      </c>
      <c r="M15" s="34">
        <v>0</v>
      </c>
      <c r="N15" s="34">
        <f t="shared" si="2"/>
        <v>0</v>
      </c>
      <c r="O15" s="33"/>
      <c r="P15" s="20">
        <f t="shared" si="3"/>
        <v>45</v>
      </c>
    </row>
    <row r="16" spans="1:16" ht="15" hidden="1" customHeight="1" x14ac:dyDescent="0.2">
      <c r="A16" s="20" t="s">
        <v>18</v>
      </c>
      <c r="B16" s="61">
        <v>46032</v>
      </c>
      <c r="C16" s="20">
        <f t="shared" si="0"/>
        <v>261</v>
      </c>
      <c r="D16" s="38">
        <f t="shared" si="1"/>
        <v>1</v>
      </c>
      <c r="G16" s="32" t="s">
        <v>275</v>
      </c>
      <c r="H16" s="20" t="s">
        <v>1724</v>
      </c>
      <c r="I16" s="20">
        <v>64277</v>
      </c>
      <c r="J16" s="20">
        <v>331</v>
      </c>
      <c r="K16" s="20" t="s">
        <v>20</v>
      </c>
      <c r="L16" s="20">
        <v>1</v>
      </c>
      <c r="M16" s="34">
        <v>2406481</v>
      </c>
      <c r="N16" s="34">
        <f t="shared" si="2"/>
        <v>2406481</v>
      </c>
      <c r="O16" s="33"/>
      <c r="P16" s="20">
        <f t="shared" si="3"/>
        <v>82</v>
      </c>
    </row>
    <row r="17" spans="1:16" ht="15" hidden="1" customHeight="1" x14ac:dyDescent="0.2">
      <c r="A17" s="20" t="s">
        <v>18</v>
      </c>
      <c r="B17" s="61">
        <v>46032</v>
      </c>
      <c r="C17" s="20">
        <f t="shared" si="0"/>
        <v>261</v>
      </c>
      <c r="D17" s="38">
        <f t="shared" si="1"/>
        <v>0</v>
      </c>
      <c r="G17" s="32" t="s">
        <v>275</v>
      </c>
      <c r="H17" s="20" t="s">
        <v>1724</v>
      </c>
      <c r="I17" s="20">
        <v>1331</v>
      </c>
      <c r="J17" s="20">
        <v>331</v>
      </c>
      <c r="K17" s="20" t="s">
        <v>20</v>
      </c>
      <c r="L17" s="20">
        <v>1</v>
      </c>
      <c r="M17" s="34">
        <v>192519</v>
      </c>
      <c r="N17" s="34">
        <f t="shared" si="2"/>
        <v>192519</v>
      </c>
      <c r="O17" s="33"/>
      <c r="P17" s="20">
        <f t="shared" si="3"/>
        <v>82</v>
      </c>
    </row>
    <row r="18" spans="1:16" ht="15" hidden="1" customHeight="1" x14ac:dyDescent="0.2">
      <c r="A18" s="20" t="s">
        <v>310</v>
      </c>
      <c r="B18" s="61">
        <v>46032</v>
      </c>
      <c r="C18" s="20">
        <f t="shared" si="0"/>
        <v>262</v>
      </c>
      <c r="D18" s="38">
        <f t="shared" si="1"/>
        <v>1</v>
      </c>
      <c r="G18" s="32" t="s">
        <v>275</v>
      </c>
      <c r="H18" s="20" t="s">
        <v>2596</v>
      </c>
      <c r="I18" s="20">
        <v>331</v>
      </c>
      <c r="J18" s="20">
        <v>1111</v>
      </c>
      <c r="K18" s="20" t="s">
        <v>20</v>
      </c>
      <c r="L18" s="20">
        <v>1</v>
      </c>
      <c r="M18" s="34">
        <v>2599000</v>
      </c>
      <c r="N18" s="34">
        <f t="shared" si="2"/>
        <v>2599000</v>
      </c>
      <c r="O18" s="33"/>
      <c r="P18" s="20">
        <f t="shared" si="3"/>
        <v>93</v>
      </c>
    </row>
    <row r="19" spans="1:16" ht="15" hidden="1" customHeight="1" x14ac:dyDescent="0.2">
      <c r="A19" s="20" t="s">
        <v>18</v>
      </c>
      <c r="B19" s="61">
        <v>46032</v>
      </c>
      <c r="C19" s="20">
        <f t="shared" si="0"/>
        <v>263</v>
      </c>
      <c r="D19" s="38">
        <f t="shared" si="1"/>
        <v>1</v>
      </c>
      <c r="G19" s="32" t="s">
        <v>1725</v>
      </c>
      <c r="H19" s="20" t="s">
        <v>1726</v>
      </c>
      <c r="I19" s="20">
        <v>64277</v>
      </c>
      <c r="J19" s="20">
        <v>331</v>
      </c>
      <c r="K19" s="20" t="s">
        <v>20</v>
      </c>
      <c r="L19" s="20">
        <v>1</v>
      </c>
      <c r="M19" s="34">
        <v>1324074</v>
      </c>
      <c r="N19" s="34">
        <f t="shared" si="2"/>
        <v>1324074</v>
      </c>
      <c r="O19" s="33"/>
      <c r="P19" s="20">
        <f t="shared" si="3"/>
        <v>34</v>
      </c>
    </row>
    <row r="20" spans="1:16" ht="15" hidden="1" customHeight="1" x14ac:dyDescent="0.2">
      <c r="A20" s="20" t="s">
        <v>18</v>
      </c>
      <c r="B20" s="61">
        <v>46032</v>
      </c>
      <c r="C20" s="20">
        <f t="shared" si="0"/>
        <v>263</v>
      </c>
      <c r="D20" s="38">
        <f t="shared" si="1"/>
        <v>0</v>
      </c>
      <c r="G20" s="32" t="s">
        <v>1725</v>
      </c>
      <c r="H20" s="20" t="s">
        <v>1726</v>
      </c>
      <c r="I20" s="20">
        <v>1331</v>
      </c>
      <c r="J20" s="20">
        <v>331</v>
      </c>
      <c r="K20" s="20" t="s">
        <v>20</v>
      </c>
      <c r="L20" s="20">
        <v>1</v>
      </c>
      <c r="M20" s="34">
        <v>105926</v>
      </c>
      <c r="N20" s="34">
        <f t="shared" si="2"/>
        <v>105926</v>
      </c>
      <c r="O20" s="33"/>
      <c r="P20" s="20">
        <f t="shared" si="3"/>
        <v>34</v>
      </c>
    </row>
    <row r="21" spans="1:16" ht="15" hidden="1" customHeight="1" x14ac:dyDescent="0.2">
      <c r="A21" s="20" t="s">
        <v>310</v>
      </c>
      <c r="B21" s="61">
        <v>46032</v>
      </c>
      <c r="C21" s="20">
        <f t="shared" si="0"/>
        <v>264</v>
      </c>
      <c r="D21" s="38">
        <f t="shared" si="1"/>
        <v>1</v>
      </c>
      <c r="G21" s="32" t="s">
        <v>1725</v>
      </c>
      <c r="H21" s="20" t="s">
        <v>2597</v>
      </c>
      <c r="I21" s="20">
        <v>331</v>
      </c>
      <c r="J21" s="20">
        <v>1111</v>
      </c>
      <c r="K21" s="20" t="s">
        <v>20</v>
      </c>
      <c r="L21" s="20">
        <v>1</v>
      </c>
      <c r="M21" s="34">
        <v>1430000</v>
      </c>
      <c r="N21" s="34">
        <f t="shared" si="2"/>
        <v>1430000</v>
      </c>
      <c r="O21" s="33"/>
      <c r="P21" s="20">
        <f t="shared" si="3"/>
        <v>45</v>
      </c>
    </row>
    <row r="22" spans="1:16" ht="15" hidden="1" customHeight="1" x14ac:dyDescent="0.2">
      <c r="A22" s="20" t="s">
        <v>18</v>
      </c>
      <c r="B22" s="61">
        <v>46033</v>
      </c>
      <c r="C22" s="20">
        <f t="shared" si="0"/>
        <v>265</v>
      </c>
      <c r="D22" s="38">
        <f t="shared" si="1"/>
        <v>1</v>
      </c>
      <c r="G22" s="32" t="s">
        <v>35</v>
      </c>
      <c r="H22" s="20" t="s">
        <v>1727</v>
      </c>
      <c r="I22" s="20">
        <v>64277</v>
      </c>
      <c r="J22" s="20">
        <v>331</v>
      </c>
      <c r="K22" s="20" t="s">
        <v>20</v>
      </c>
      <c r="L22" s="20">
        <v>1</v>
      </c>
      <c r="M22" s="34">
        <v>3000000</v>
      </c>
      <c r="N22" s="34">
        <f t="shared" si="2"/>
        <v>3000000</v>
      </c>
      <c r="O22" s="33"/>
      <c r="P22" s="20">
        <f t="shared" si="3"/>
        <v>41</v>
      </c>
    </row>
    <row r="23" spans="1:16" ht="15" hidden="1" customHeight="1" x14ac:dyDescent="0.2">
      <c r="A23" s="20" t="s">
        <v>18</v>
      </c>
      <c r="B23" s="61">
        <v>46033</v>
      </c>
      <c r="C23" s="20">
        <f t="shared" si="0"/>
        <v>265</v>
      </c>
      <c r="D23" s="38">
        <f t="shared" si="1"/>
        <v>0</v>
      </c>
      <c r="G23" s="32" t="s">
        <v>35</v>
      </c>
      <c r="H23" s="20" t="s">
        <v>1727</v>
      </c>
      <c r="I23" s="20">
        <v>1331</v>
      </c>
      <c r="J23" s="20">
        <v>331</v>
      </c>
      <c r="K23" s="20" t="s">
        <v>20</v>
      </c>
      <c r="L23" s="20">
        <v>1</v>
      </c>
      <c r="M23" s="34">
        <v>240000</v>
      </c>
      <c r="N23" s="34">
        <f t="shared" si="2"/>
        <v>240000</v>
      </c>
      <c r="O23" s="33"/>
      <c r="P23" s="20">
        <f t="shared" si="3"/>
        <v>41</v>
      </c>
    </row>
    <row r="24" spans="1:16" ht="15" hidden="1" customHeight="1" x14ac:dyDescent="0.2">
      <c r="A24" s="20" t="s">
        <v>310</v>
      </c>
      <c r="B24" s="61">
        <v>46033</v>
      </c>
      <c r="C24" s="20">
        <f t="shared" si="0"/>
        <v>266</v>
      </c>
      <c r="D24" s="38">
        <f t="shared" si="1"/>
        <v>1</v>
      </c>
      <c r="G24" s="32" t="s">
        <v>35</v>
      </c>
      <c r="H24" s="20" t="s">
        <v>2598</v>
      </c>
      <c r="I24" s="20">
        <v>331</v>
      </c>
      <c r="J24" s="20">
        <v>1111</v>
      </c>
      <c r="K24" s="20" t="s">
        <v>20</v>
      </c>
      <c r="L24" s="20">
        <v>1</v>
      </c>
      <c r="M24" s="34">
        <v>3240000</v>
      </c>
      <c r="N24" s="34">
        <f t="shared" si="2"/>
        <v>3240000</v>
      </c>
      <c r="O24" s="33"/>
      <c r="P24" s="20">
        <f t="shared" si="3"/>
        <v>52</v>
      </c>
    </row>
    <row r="25" spans="1:16" ht="15" hidden="1" customHeight="1" x14ac:dyDescent="0.2">
      <c r="A25" s="20" t="s">
        <v>18</v>
      </c>
      <c r="B25" s="61">
        <v>46055</v>
      </c>
      <c r="C25" s="20">
        <f t="shared" si="0"/>
        <v>267</v>
      </c>
      <c r="D25" s="38">
        <f t="shared" si="1"/>
        <v>1</v>
      </c>
      <c r="G25" s="32" t="s">
        <v>44</v>
      </c>
      <c r="H25" s="20" t="s">
        <v>1728</v>
      </c>
      <c r="I25" s="20">
        <v>64277</v>
      </c>
      <c r="J25" s="20">
        <v>331</v>
      </c>
      <c r="K25" s="20" t="s">
        <v>20</v>
      </c>
      <c r="L25" s="20">
        <v>1</v>
      </c>
      <c r="M25" s="34">
        <v>140</v>
      </c>
      <c r="N25" s="34">
        <f t="shared" si="2"/>
        <v>140</v>
      </c>
      <c r="O25" s="33"/>
      <c r="P25" s="20">
        <f t="shared" si="3"/>
        <v>98</v>
      </c>
    </row>
    <row r="26" spans="1:16" ht="15" hidden="1" customHeight="1" x14ac:dyDescent="0.2">
      <c r="A26" s="20" t="s">
        <v>18</v>
      </c>
      <c r="B26" s="61">
        <v>46055</v>
      </c>
      <c r="C26" s="20">
        <f t="shared" si="0"/>
        <v>267</v>
      </c>
      <c r="D26" s="38">
        <f t="shared" si="1"/>
        <v>0</v>
      </c>
      <c r="G26" s="32" t="s">
        <v>44</v>
      </c>
      <c r="H26" s="20" t="s">
        <v>1728</v>
      </c>
      <c r="I26" s="20">
        <v>1331</v>
      </c>
      <c r="J26" s="20">
        <v>331</v>
      </c>
      <c r="K26" s="20" t="s">
        <v>20</v>
      </c>
      <c r="L26" s="20">
        <v>1</v>
      </c>
      <c r="M26" s="34">
        <v>11</v>
      </c>
      <c r="N26" s="34">
        <f t="shared" si="2"/>
        <v>11</v>
      </c>
      <c r="O26" s="33"/>
      <c r="P26" s="20">
        <f t="shared" si="3"/>
        <v>98</v>
      </c>
    </row>
    <row r="27" spans="1:16" ht="15" hidden="1" customHeight="1" x14ac:dyDescent="0.2">
      <c r="A27" s="20" t="s">
        <v>310</v>
      </c>
      <c r="B27" s="61">
        <v>46055</v>
      </c>
      <c r="C27" s="20">
        <f t="shared" si="0"/>
        <v>268</v>
      </c>
      <c r="D27" s="38">
        <f t="shared" si="1"/>
        <v>1</v>
      </c>
      <c r="G27" s="32" t="s">
        <v>44</v>
      </c>
      <c r="H27" s="20" t="s">
        <v>2599</v>
      </c>
      <c r="I27" s="20">
        <v>331</v>
      </c>
      <c r="J27" s="20">
        <v>1111</v>
      </c>
      <c r="K27" s="20" t="s">
        <v>20</v>
      </c>
      <c r="L27" s="20">
        <v>1</v>
      </c>
      <c r="M27" s="34">
        <v>151</v>
      </c>
      <c r="N27" s="34">
        <f t="shared" si="2"/>
        <v>151</v>
      </c>
      <c r="O27" s="33"/>
      <c r="P27" s="20">
        <f t="shared" si="3"/>
        <v>109</v>
      </c>
    </row>
    <row r="28" spans="1:16" ht="15" hidden="1" customHeight="1" x14ac:dyDescent="0.2">
      <c r="A28" s="20" t="s">
        <v>18</v>
      </c>
      <c r="B28" s="61">
        <v>46055</v>
      </c>
      <c r="C28" s="20">
        <f t="shared" ref="C28:C29" si="4">C27+D28</f>
        <v>269</v>
      </c>
      <c r="D28" s="38">
        <f t="shared" si="1"/>
        <v>1</v>
      </c>
      <c r="G28" s="32" t="s">
        <v>52</v>
      </c>
      <c r="H28" s="20" t="s">
        <v>1729</v>
      </c>
      <c r="I28" s="20">
        <v>64277</v>
      </c>
      <c r="J28" s="20">
        <v>331</v>
      </c>
      <c r="K28" s="20" t="s">
        <v>20</v>
      </c>
      <c r="L28" s="20">
        <v>1</v>
      </c>
      <c r="M28" s="34">
        <v>590000</v>
      </c>
      <c r="N28" s="34">
        <f t="shared" si="2"/>
        <v>590000</v>
      </c>
      <c r="O28" s="33"/>
      <c r="P28" s="20">
        <f t="shared" si="3"/>
        <v>140</v>
      </c>
    </row>
    <row r="29" spans="1:16" ht="15" hidden="1" customHeight="1" x14ac:dyDescent="0.2">
      <c r="A29" s="20" t="s">
        <v>18</v>
      </c>
      <c r="B29" s="61">
        <v>46055</v>
      </c>
      <c r="C29" s="20">
        <f t="shared" si="4"/>
        <v>269</v>
      </c>
      <c r="D29" s="38">
        <f t="shared" si="1"/>
        <v>0</v>
      </c>
      <c r="G29" s="32" t="s">
        <v>52</v>
      </c>
      <c r="H29" s="20" t="s">
        <v>1729</v>
      </c>
      <c r="I29" s="20">
        <v>1331</v>
      </c>
      <c r="J29" s="20">
        <v>331</v>
      </c>
      <c r="K29" s="20" t="s">
        <v>20</v>
      </c>
      <c r="L29" s="20">
        <v>1</v>
      </c>
      <c r="M29" s="34">
        <v>47200</v>
      </c>
      <c r="N29" s="34">
        <f t="shared" si="2"/>
        <v>47200</v>
      </c>
      <c r="O29" s="33"/>
      <c r="P29" s="20">
        <f t="shared" si="3"/>
        <v>140</v>
      </c>
    </row>
    <row r="30" spans="1:16" ht="15" hidden="1" customHeight="1" x14ac:dyDescent="0.2">
      <c r="A30" s="20" t="s">
        <v>310</v>
      </c>
      <c r="B30" s="61">
        <v>46055</v>
      </c>
      <c r="C30" s="20">
        <f t="shared" si="0"/>
        <v>270</v>
      </c>
      <c r="D30" s="38">
        <f t="shared" si="1"/>
        <v>1</v>
      </c>
      <c r="G30" s="32" t="s">
        <v>52</v>
      </c>
      <c r="H30" s="20" t="s">
        <v>2600</v>
      </c>
      <c r="I30" s="20">
        <v>331</v>
      </c>
      <c r="J30" s="20">
        <v>1111</v>
      </c>
      <c r="K30" s="20" t="s">
        <v>20</v>
      </c>
      <c r="L30" s="20">
        <v>1</v>
      </c>
      <c r="M30" s="34">
        <v>637200</v>
      </c>
      <c r="N30" s="34">
        <f t="shared" si="2"/>
        <v>637200</v>
      </c>
      <c r="O30" s="33"/>
      <c r="P30" s="20">
        <f t="shared" si="3"/>
        <v>151</v>
      </c>
    </row>
    <row r="31" spans="1:16" ht="15" hidden="1" customHeight="1" x14ac:dyDescent="0.2">
      <c r="A31" s="20" t="s">
        <v>18</v>
      </c>
      <c r="B31" s="61">
        <v>46056</v>
      </c>
      <c r="C31" s="20">
        <f t="shared" si="0"/>
        <v>271</v>
      </c>
      <c r="D31" s="38">
        <f t="shared" si="1"/>
        <v>1</v>
      </c>
      <c r="G31" s="32" t="s">
        <v>35</v>
      </c>
      <c r="H31" s="20" t="s">
        <v>1730</v>
      </c>
      <c r="I31" s="20">
        <v>64277</v>
      </c>
      <c r="J31" s="20">
        <v>331</v>
      </c>
      <c r="K31" s="20" t="s">
        <v>20</v>
      </c>
      <c r="L31" s="20">
        <v>1</v>
      </c>
      <c r="M31" s="34">
        <v>3000000</v>
      </c>
      <c r="N31" s="34">
        <f t="shared" si="2"/>
        <v>3000000</v>
      </c>
      <c r="O31" s="33"/>
      <c r="P31" s="20">
        <f t="shared" si="3"/>
        <v>41</v>
      </c>
    </row>
    <row r="32" spans="1:16" ht="15" hidden="1" customHeight="1" x14ac:dyDescent="0.2">
      <c r="A32" s="20" t="s">
        <v>18</v>
      </c>
      <c r="B32" s="61">
        <v>46056</v>
      </c>
      <c r="C32" s="20">
        <f t="shared" si="0"/>
        <v>271</v>
      </c>
      <c r="D32" s="38">
        <f t="shared" si="1"/>
        <v>0</v>
      </c>
      <c r="G32" s="32" t="s">
        <v>35</v>
      </c>
      <c r="H32" s="20" t="s">
        <v>1730</v>
      </c>
      <c r="I32" s="20">
        <v>1331</v>
      </c>
      <c r="J32" s="20">
        <v>331</v>
      </c>
      <c r="K32" s="20" t="s">
        <v>20</v>
      </c>
      <c r="L32" s="20">
        <v>1</v>
      </c>
      <c r="M32" s="34">
        <v>240000</v>
      </c>
      <c r="N32" s="34">
        <f t="shared" si="2"/>
        <v>240000</v>
      </c>
      <c r="O32" s="33"/>
      <c r="P32" s="20">
        <f t="shared" si="3"/>
        <v>41</v>
      </c>
    </row>
    <row r="33" spans="1:16" ht="15" hidden="1" customHeight="1" x14ac:dyDescent="0.2">
      <c r="A33" s="20" t="s">
        <v>310</v>
      </c>
      <c r="B33" s="61">
        <v>46056</v>
      </c>
      <c r="C33" s="20">
        <f t="shared" si="0"/>
        <v>272</v>
      </c>
      <c r="D33" s="38">
        <f t="shared" si="1"/>
        <v>1</v>
      </c>
      <c r="G33" s="32" t="s">
        <v>35</v>
      </c>
      <c r="H33" s="20" t="s">
        <v>2601</v>
      </c>
      <c r="I33" s="20">
        <v>331</v>
      </c>
      <c r="J33" s="20">
        <v>1111</v>
      </c>
      <c r="K33" s="20" t="s">
        <v>20</v>
      </c>
      <c r="L33" s="20">
        <v>1</v>
      </c>
      <c r="M33" s="34">
        <v>3240000</v>
      </c>
      <c r="N33" s="34">
        <f t="shared" si="2"/>
        <v>3240000</v>
      </c>
      <c r="O33" s="33"/>
      <c r="P33" s="20">
        <f t="shared" si="3"/>
        <v>52</v>
      </c>
    </row>
    <row r="34" spans="1:16" ht="15" hidden="1" customHeight="1" x14ac:dyDescent="0.2">
      <c r="A34" s="20" t="s">
        <v>18</v>
      </c>
      <c r="B34" s="61">
        <v>46059</v>
      </c>
      <c r="C34" s="20">
        <f t="shared" si="0"/>
        <v>273</v>
      </c>
      <c r="D34" s="38">
        <f t="shared" si="1"/>
        <v>1</v>
      </c>
      <c r="G34" s="32" t="s">
        <v>25</v>
      </c>
      <c r="H34" s="20" t="s">
        <v>1731</v>
      </c>
      <c r="I34" s="20">
        <v>64277</v>
      </c>
      <c r="J34" s="20">
        <v>331</v>
      </c>
      <c r="K34" s="20" t="s">
        <v>20</v>
      </c>
      <c r="L34" s="20">
        <v>1</v>
      </c>
      <c r="M34" s="34">
        <v>1675000</v>
      </c>
      <c r="N34" s="34">
        <f t="shared" si="2"/>
        <v>1675000</v>
      </c>
      <c r="O34" s="33"/>
      <c r="P34" s="20">
        <f t="shared" si="3"/>
        <v>112</v>
      </c>
    </row>
    <row r="35" spans="1:16" ht="15" hidden="1" customHeight="1" x14ac:dyDescent="0.2">
      <c r="A35" s="20" t="s">
        <v>18</v>
      </c>
      <c r="B35" s="61">
        <v>46059</v>
      </c>
      <c r="C35" s="20">
        <f t="shared" si="0"/>
        <v>273</v>
      </c>
      <c r="D35" s="38">
        <f t="shared" si="1"/>
        <v>0</v>
      </c>
      <c r="G35" s="32" t="s">
        <v>25</v>
      </c>
      <c r="H35" s="20" t="s">
        <v>1731</v>
      </c>
      <c r="I35" s="20">
        <v>1331</v>
      </c>
      <c r="J35" s="20">
        <v>331</v>
      </c>
      <c r="K35" s="20" t="s">
        <v>20</v>
      </c>
      <c r="L35" s="20">
        <v>1</v>
      </c>
      <c r="M35" s="34">
        <v>134600</v>
      </c>
      <c r="N35" s="34">
        <f t="shared" si="2"/>
        <v>134600</v>
      </c>
      <c r="O35" s="33"/>
      <c r="P35" s="20">
        <f t="shared" si="3"/>
        <v>112</v>
      </c>
    </row>
    <row r="36" spans="1:16" ht="15" hidden="1" customHeight="1" x14ac:dyDescent="0.2">
      <c r="A36" s="20" t="s">
        <v>310</v>
      </c>
      <c r="B36" s="61">
        <v>46059</v>
      </c>
      <c r="C36" s="20">
        <f t="shared" si="0"/>
        <v>274</v>
      </c>
      <c r="D36" s="38">
        <f t="shared" si="1"/>
        <v>1</v>
      </c>
      <c r="G36" s="32" t="s">
        <v>25</v>
      </c>
      <c r="H36" s="20" t="s">
        <v>2602</v>
      </c>
      <c r="I36" s="20">
        <v>331</v>
      </c>
      <c r="J36" s="20">
        <v>1111</v>
      </c>
      <c r="K36" s="20" t="s">
        <v>20</v>
      </c>
      <c r="L36" s="20">
        <v>1</v>
      </c>
      <c r="M36" s="34">
        <v>1809600</v>
      </c>
      <c r="N36" s="34">
        <f t="shared" si="2"/>
        <v>1809600</v>
      </c>
      <c r="O36" s="33"/>
      <c r="P36" s="20">
        <f t="shared" si="3"/>
        <v>123</v>
      </c>
    </row>
    <row r="37" spans="1:16" ht="15" hidden="1" customHeight="1" x14ac:dyDescent="0.2">
      <c r="A37" s="20" t="s">
        <v>18</v>
      </c>
      <c r="B37" s="61">
        <v>46067</v>
      </c>
      <c r="C37" s="20">
        <f t="shared" ref="C37:C68" si="5">C36+D37</f>
        <v>275</v>
      </c>
      <c r="D37" s="38">
        <f t="shared" si="1"/>
        <v>1</v>
      </c>
      <c r="G37" s="32" t="s">
        <v>290</v>
      </c>
      <c r="H37" s="20" t="s">
        <v>2589</v>
      </c>
      <c r="I37" s="20">
        <v>64277</v>
      </c>
      <c r="J37" s="20">
        <v>331</v>
      </c>
      <c r="K37" s="20" t="s">
        <v>20</v>
      </c>
      <c r="L37" s="20">
        <v>1</v>
      </c>
      <c r="M37" s="34">
        <v>726133</v>
      </c>
      <c r="N37" s="34">
        <f t="shared" ref="N37:N68" si="6">L37*M37</f>
        <v>726133</v>
      </c>
      <c r="O37" s="33"/>
      <c r="P37" s="20">
        <f t="shared" si="3"/>
        <v>37</v>
      </c>
    </row>
    <row r="38" spans="1:16" ht="15" hidden="1" customHeight="1" x14ac:dyDescent="0.2">
      <c r="A38" s="20" t="s">
        <v>18</v>
      </c>
      <c r="B38" s="61">
        <v>46067</v>
      </c>
      <c r="C38" s="20">
        <f t="shared" si="5"/>
        <v>275</v>
      </c>
      <c r="D38" s="38">
        <f t="shared" si="1"/>
        <v>0</v>
      </c>
      <c r="G38" s="32" t="s">
        <v>290</v>
      </c>
      <c r="H38" s="20" t="s">
        <v>2589</v>
      </c>
      <c r="I38" s="20">
        <v>1331</v>
      </c>
      <c r="J38" s="20">
        <v>331</v>
      </c>
      <c r="K38" s="20" t="s">
        <v>20</v>
      </c>
      <c r="L38" s="20">
        <v>1</v>
      </c>
      <c r="M38" s="34">
        <v>36307</v>
      </c>
      <c r="N38" s="34">
        <f t="shared" si="6"/>
        <v>36307</v>
      </c>
      <c r="O38" s="33"/>
      <c r="P38" s="20">
        <f t="shared" si="3"/>
        <v>37</v>
      </c>
    </row>
    <row r="39" spans="1:16" ht="15" hidden="1" customHeight="1" x14ac:dyDescent="0.2">
      <c r="A39" s="20" t="s">
        <v>310</v>
      </c>
      <c r="B39" s="61">
        <v>46067</v>
      </c>
      <c r="C39" s="20">
        <f t="shared" si="5"/>
        <v>276</v>
      </c>
      <c r="D39" s="38">
        <f t="shared" si="1"/>
        <v>1</v>
      </c>
      <c r="G39" s="32" t="s">
        <v>290</v>
      </c>
      <c r="H39" s="20" t="s">
        <v>2603</v>
      </c>
      <c r="I39" s="20">
        <v>331</v>
      </c>
      <c r="J39" s="20">
        <v>1111</v>
      </c>
      <c r="K39" s="20" t="s">
        <v>20</v>
      </c>
      <c r="L39" s="20">
        <v>1</v>
      </c>
      <c r="M39" s="34">
        <v>762440</v>
      </c>
      <c r="N39" s="34">
        <f t="shared" si="6"/>
        <v>762440</v>
      </c>
      <c r="O39" s="33"/>
      <c r="P39" s="20">
        <f t="shared" si="3"/>
        <v>48</v>
      </c>
    </row>
    <row r="40" spans="1:16" ht="15" hidden="1" customHeight="1" x14ac:dyDescent="0.2">
      <c r="A40" s="20" t="s">
        <v>18</v>
      </c>
      <c r="B40" s="61">
        <v>46067</v>
      </c>
      <c r="C40" s="20">
        <f t="shared" si="5"/>
        <v>277</v>
      </c>
      <c r="D40" s="38">
        <f t="shared" si="1"/>
        <v>1</v>
      </c>
      <c r="G40" s="32" t="s">
        <v>1732</v>
      </c>
      <c r="H40" s="20" t="s">
        <v>1733</v>
      </c>
      <c r="I40" s="20">
        <v>64277</v>
      </c>
      <c r="J40" s="20">
        <v>331</v>
      </c>
      <c r="K40" s="20" t="s">
        <v>20</v>
      </c>
      <c r="L40" s="20">
        <v>1</v>
      </c>
      <c r="M40" s="34">
        <v>756734</v>
      </c>
      <c r="N40" s="34">
        <f t="shared" si="6"/>
        <v>756734</v>
      </c>
      <c r="O40" s="33"/>
      <c r="P40" s="20">
        <f t="shared" si="3"/>
        <v>115</v>
      </c>
    </row>
    <row r="41" spans="1:16" ht="15" hidden="1" customHeight="1" x14ac:dyDescent="0.2">
      <c r="A41" s="20" t="s">
        <v>18</v>
      </c>
      <c r="B41" s="61">
        <v>46067</v>
      </c>
      <c r="C41" s="20">
        <f t="shared" si="5"/>
        <v>277</v>
      </c>
      <c r="D41" s="38">
        <f t="shared" si="1"/>
        <v>0</v>
      </c>
      <c r="G41" s="32" t="s">
        <v>1732</v>
      </c>
      <c r="H41" s="20" t="s">
        <v>1733</v>
      </c>
      <c r="I41" s="20">
        <v>1331</v>
      </c>
      <c r="J41" s="20">
        <v>331</v>
      </c>
      <c r="K41" s="20" t="s">
        <v>20</v>
      </c>
      <c r="L41" s="20">
        <v>1</v>
      </c>
      <c r="M41" s="34">
        <v>61266</v>
      </c>
      <c r="N41" s="34">
        <f t="shared" si="6"/>
        <v>61266</v>
      </c>
      <c r="O41" s="33"/>
      <c r="P41" s="20">
        <f t="shared" si="3"/>
        <v>115</v>
      </c>
    </row>
    <row r="42" spans="1:16" ht="15" hidden="1" customHeight="1" x14ac:dyDescent="0.2">
      <c r="A42" s="20" t="s">
        <v>310</v>
      </c>
      <c r="B42" s="61">
        <v>46067</v>
      </c>
      <c r="C42" s="20">
        <f t="shared" si="5"/>
        <v>278</v>
      </c>
      <c r="D42" s="38">
        <f t="shared" si="1"/>
        <v>1</v>
      </c>
      <c r="G42" s="32" t="s">
        <v>1732</v>
      </c>
      <c r="H42" s="20" t="s">
        <v>2604</v>
      </c>
      <c r="I42" s="20">
        <v>331</v>
      </c>
      <c r="J42" s="20">
        <v>1111</v>
      </c>
      <c r="K42" s="20" t="s">
        <v>20</v>
      </c>
      <c r="L42" s="20">
        <v>1</v>
      </c>
      <c r="M42" s="34">
        <v>818000</v>
      </c>
      <c r="N42" s="34">
        <f t="shared" si="6"/>
        <v>818000</v>
      </c>
      <c r="O42" s="33"/>
      <c r="P42" s="20">
        <f t="shared" si="3"/>
        <v>126</v>
      </c>
    </row>
    <row r="43" spans="1:16" ht="15" hidden="1" customHeight="1" x14ac:dyDescent="0.2">
      <c r="A43" s="20" t="s">
        <v>18</v>
      </c>
      <c r="B43" s="61">
        <v>46073</v>
      </c>
      <c r="C43" s="20">
        <f t="shared" si="5"/>
        <v>279</v>
      </c>
      <c r="D43" s="38">
        <f t="shared" si="1"/>
        <v>1</v>
      </c>
      <c r="G43" s="32" t="s">
        <v>1734</v>
      </c>
      <c r="H43" s="20" t="s">
        <v>1735</v>
      </c>
      <c r="I43" s="20">
        <v>64277</v>
      </c>
      <c r="J43" s="20">
        <v>331</v>
      </c>
      <c r="K43" s="20" t="s">
        <v>20</v>
      </c>
      <c r="L43" s="20">
        <v>1</v>
      </c>
      <c r="M43" s="34">
        <v>750000</v>
      </c>
      <c r="N43" s="34">
        <f t="shared" si="6"/>
        <v>750000</v>
      </c>
      <c r="O43" s="33"/>
      <c r="P43" s="20">
        <f t="shared" si="3"/>
        <v>33</v>
      </c>
    </row>
    <row r="44" spans="1:16" ht="15" hidden="1" customHeight="1" x14ac:dyDescent="0.2">
      <c r="A44" s="20" t="s">
        <v>18</v>
      </c>
      <c r="B44" s="61">
        <v>46073</v>
      </c>
      <c r="C44" s="20">
        <f t="shared" si="5"/>
        <v>279</v>
      </c>
      <c r="D44" s="38">
        <f t="shared" si="1"/>
        <v>0</v>
      </c>
      <c r="G44" s="32" t="s">
        <v>1734</v>
      </c>
      <c r="H44" s="20" t="s">
        <v>1735</v>
      </c>
      <c r="I44" s="20">
        <v>1331</v>
      </c>
      <c r="J44" s="20">
        <v>331</v>
      </c>
      <c r="K44" s="20" t="s">
        <v>20</v>
      </c>
      <c r="L44" s="20">
        <v>1</v>
      </c>
      <c r="M44" s="34">
        <v>0</v>
      </c>
      <c r="N44" s="34">
        <f t="shared" si="6"/>
        <v>0</v>
      </c>
      <c r="O44" s="33"/>
      <c r="P44" s="20">
        <f t="shared" si="3"/>
        <v>33</v>
      </c>
    </row>
    <row r="45" spans="1:16" ht="15" hidden="1" customHeight="1" x14ac:dyDescent="0.2">
      <c r="A45" s="20" t="s">
        <v>310</v>
      </c>
      <c r="B45" s="61">
        <v>46073</v>
      </c>
      <c r="C45" s="20">
        <f t="shared" si="5"/>
        <v>280</v>
      </c>
      <c r="D45" s="38">
        <f t="shared" si="1"/>
        <v>1</v>
      </c>
      <c r="G45" s="32" t="s">
        <v>1734</v>
      </c>
      <c r="H45" s="20" t="s">
        <v>2605</v>
      </c>
      <c r="I45" s="20">
        <v>331</v>
      </c>
      <c r="J45" s="20">
        <v>1111</v>
      </c>
      <c r="K45" s="20" t="s">
        <v>20</v>
      </c>
      <c r="L45" s="20">
        <v>1</v>
      </c>
      <c r="M45" s="34">
        <v>750000</v>
      </c>
      <c r="N45" s="34">
        <f t="shared" si="6"/>
        <v>750000</v>
      </c>
      <c r="O45" s="33"/>
      <c r="P45" s="20">
        <f t="shared" si="3"/>
        <v>44</v>
      </c>
    </row>
    <row r="46" spans="1:16" ht="15" hidden="1" customHeight="1" x14ac:dyDescent="0.2">
      <c r="A46" s="20" t="s">
        <v>18</v>
      </c>
      <c r="B46" s="61">
        <v>46081</v>
      </c>
      <c r="C46" s="20">
        <f t="shared" si="5"/>
        <v>281</v>
      </c>
      <c r="D46" s="38">
        <f t="shared" si="1"/>
        <v>1</v>
      </c>
      <c r="G46" s="32" t="s">
        <v>289</v>
      </c>
      <c r="H46" s="20" t="s">
        <v>1736</v>
      </c>
      <c r="I46" s="20">
        <v>64277</v>
      </c>
      <c r="J46" s="20">
        <v>331</v>
      </c>
      <c r="K46" s="20" t="s">
        <v>20</v>
      </c>
      <c r="L46" s="20">
        <v>1</v>
      </c>
      <c r="M46" s="34">
        <v>815742</v>
      </c>
      <c r="N46" s="34">
        <f t="shared" si="6"/>
        <v>815742</v>
      </c>
      <c r="O46" s="33"/>
      <c r="P46" s="20">
        <f t="shared" si="3"/>
        <v>164</v>
      </c>
    </row>
    <row r="47" spans="1:16" ht="15" hidden="1" customHeight="1" x14ac:dyDescent="0.2">
      <c r="A47" s="20" t="s">
        <v>18</v>
      </c>
      <c r="B47" s="61">
        <v>46081</v>
      </c>
      <c r="C47" s="20">
        <f t="shared" si="5"/>
        <v>281</v>
      </c>
      <c r="D47" s="38">
        <f t="shared" si="1"/>
        <v>0</v>
      </c>
      <c r="G47" s="32" t="s">
        <v>289</v>
      </c>
      <c r="H47" s="20" t="s">
        <v>1736</v>
      </c>
      <c r="I47" s="20">
        <v>1331</v>
      </c>
      <c r="J47" s="20">
        <v>331</v>
      </c>
      <c r="K47" s="20" t="s">
        <v>20</v>
      </c>
      <c r="L47" s="20">
        <v>1</v>
      </c>
      <c r="M47" s="34">
        <v>65258</v>
      </c>
      <c r="N47" s="34">
        <f t="shared" si="6"/>
        <v>65258</v>
      </c>
      <c r="O47" s="33"/>
      <c r="P47" s="20">
        <f t="shared" si="3"/>
        <v>164</v>
      </c>
    </row>
    <row r="48" spans="1:16" ht="15" hidden="1" customHeight="1" x14ac:dyDescent="0.2">
      <c r="A48" s="20" t="s">
        <v>310</v>
      </c>
      <c r="B48" s="61">
        <v>46081</v>
      </c>
      <c r="C48" s="20">
        <f t="shared" si="5"/>
        <v>282</v>
      </c>
      <c r="D48" s="38">
        <f t="shared" si="1"/>
        <v>1</v>
      </c>
      <c r="G48" s="32" t="s">
        <v>289</v>
      </c>
      <c r="H48" s="20" t="s">
        <v>2606</v>
      </c>
      <c r="I48" s="20">
        <v>331</v>
      </c>
      <c r="J48" s="20">
        <v>1111</v>
      </c>
      <c r="K48" s="20" t="s">
        <v>20</v>
      </c>
      <c r="L48" s="20">
        <v>1</v>
      </c>
      <c r="M48" s="34">
        <v>881000</v>
      </c>
      <c r="N48" s="34">
        <f t="shared" si="6"/>
        <v>881000</v>
      </c>
      <c r="O48" s="33"/>
      <c r="P48" s="20">
        <f t="shared" si="3"/>
        <v>175</v>
      </c>
    </row>
    <row r="49" spans="1:16" ht="15" hidden="1" customHeight="1" x14ac:dyDescent="0.2">
      <c r="A49" s="20" t="s">
        <v>18</v>
      </c>
      <c r="B49" s="61">
        <v>46088</v>
      </c>
      <c r="C49" s="20">
        <f t="shared" si="5"/>
        <v>283</v>
      </c>
      <c r="D49" s="38">
        <f t="shared" si="1"/>
        <v>1</v>
      </c>
      <c r="G49" s="32" t="s">
        <v>35</v>
      </c>
      <c r="H49" s="20" t="s">
        <v>1737</v>
      </c>
      <c r="I49" s="20">
        <v>64277</v>
      </c>
      <c r="J49" s="20">
        <v>331</v>
      </c>
      <c r="K49" s="20" t="s">
        <v>20</v>
      </c>
      <c r="L49" s="20">
        <v>1</v>
      </c>
      <c r="M49" s="34">
        <v>3000000</v>
      </c>
      <c r="N49" s="34">
        <f t="shared" si="6"/>
        <v>3000000</v>
      </c>
      <c r="O49" s="33"/>
      <c r="P49" s="20">
        <f t="shared" si="3"/>
        <v>41</v>
      </c>
    </row>
    <row r="50" spans="1:16" ht="15" hidden="1" customHeight="1" x14ac:dyDescent="0.2">
      <c r="A50" s="20" t="s">
        <v>18</v>
      </c>
      <c r="B50" s="61">
        <v>46088</v>
      </c>
      <c r="C50" s="20">
        <f t="shared" si="5"/>
        <v>283</v>
      </c>
      <c r="D50" s="38">
        <f t="shared" si="1"/>
        <v>0</v>
      </c>
      <c r="G50" s="32" t="s">
        <v>35</v>
      </c>
      <c r="H50" s="20" t="s">
        <v>1737</v>
      </c>
      <c r="I50" s="20">
        <v>1331</v>
      </c>
      <c r="J50" s="20">
        <v>331</v>
      </c>
      <c r="K50" s="20" t="s">
        <v>20</v>
      </c>
      <c r="L50" s="20">
        <v>1</v>
      </c>
      <c r="M50" s="34">
        <v>240000</v>
      </c>
      <c r="N50" s="34">
        <f t="shared" si="6"/>
        <v>240000</v>
      </c>
      <c r="O50" s="33"/>
      <c r="P50" s="20">
        <f t="shared" si="3"/>
        <v>41</v>
      </c>
    </row>
    <row r="51" spans="1:16" ht="15" hidden="1" customHeight="1" x14ac:dyDescent="0.2">
      <c r="A51" s="20" t="s">
        <v>310</v>
      </c>
      <c r="B51" s="61">
        <v>46088</v>
      </c>
      <c r="C51" s="20">
        <f t="shared" si="5"/>
        <v>284</v>
      </c>
      <c r="D51" s="38">
        <f t="shared" si="1"/>
        <v>1</v>
      </c>
      <c r="G51" s="32" t="s">
        <v>35</v>
      </c>
      <c r="H51" s="20" t="s">
        <v>2607</v>
      </c>
      <c r="I51" s="20">
        <v>331</v>
      </c>
      <c r="J51" s="20">
        <v>1111</v>
      </c>
      <c r="K51" s="20" t="s">
        <v>20</v>
      </c>
      <c r="L51" s="20">
        <v>1</v>
      </c>
      <c r="M51" s="34">
        <v>3240000</v>
      </c>
      <c r="N51" s="34">
        <f t="shared" si="6"/>
        <v>3240000</v>
      </c>
      <c r="O51" s="33"/>
      <c r="P51" s="20">
        <f t="shared" si="3"/>
        <v>52</v>
      </c>
    </row>
    <row r="52" spans="1:16" ht="15" hidden="1" customHeight="1" x14ac:dyDescent="0.2">
      <c r="A52" s="20" t="s">
        <v>18</v>
      </c>
      <c r="B52" s="61">
        <v>46102</v>
      </c>
      <c r="C52" s="20">
        <f t="shared" si="5"/>
        <v>285</v>
      </c>
      <c r="D52" s="38">
        <f t="shared" si="1"/>
        <v>1</v>
      </c>
      <c r="G52" s="32" t="s">
        <v>1738</v>
      </c>
      <c r="H52" s="20" t="s">
        <v>1739</v>
      </c>
      <c r="I52" s="20">
        <v>64277</v>
      </c>
      <c r="J52" s="20">
        <v>331</v>
      </c>
      <c r="K52" s="20" t="s">
        <v>20</v>
      </c>
      <c r="L52" s="20">
        <v>1</v>
      </c>
      <c r="M52" s="34">
        <v>441667</v>
      </c>
      <c r="N52" s="34">
        <f t="shared" si="6"/>
        <v>441667</v>
      </c>
      <c r="O52" s="33"/>
      <c r="P52" s="20">
        <f t="shared" si="3"/>
        <v>91</v>
      </c>
    </row>
    <row r="53" spans="1:16" ht="15" hidden="1" customHeight="1" x14ac:dyDescent="0.2">
      <c r="A53" s="20" t="s">
        <v>18</v>
      </c>
      <c r="B53" s="61">
        <v>46102</v>
      </c>
      <c r="C53" s="20">
        <f t="shared" si="5"/>
        <v>285</v>
      </c>
      <c r="D53" s="38">
        <f t="shared" si="1"/>
        <v>0</v>
      </c>
      <c r="G53" s="32" t="s">
        <v>1738</v>
      </c>
      <c r="H53" s="20" t="s">
        <v>1739</v>
      </c>
      <c r="I53" s="20">
        <v>1331</v>
      </c>
      <c r="J53" s="20">
        <v>331</v>
      </c>
      <c r="K53" s="20" t="s">
        <v>20</v>
      </c>
      <c r="L53" s="20">
        <v>1</v>
      </c>
      <c r="M53" s="34">
        <v>35333</v>
      </c>
      <c r="N53" s="34">
        <f t="shared" si="6"/>
        <v>35333</v>
      </c>
      <c r="O53" s="33"/>
      <c r="P53" s="20">
        <f t="shared" si="3"/>
        <v>91</v>
      </c>
    </row>
    <row r="54" spans="1:16" ht="15" hidden="1" customHeight="1" x14ac:dyDescent="0.2">
      <c r="A54" s="20" t="s">
        <v>310</v>
      </c>
      <c r="B54" s="61">
        <v>46102</v>
      </c>
      <c r="C54" s="20">
        <f t="shared" si="5"/>
        <v>286</v>
      </c>
      <c r="D54" s="38">
        <f t="shared" si="1"/>
        <v>1</v>
      </c>
      <c r="G54" s="32" t="s">
        <v>1738</v>
      </c>
      <c r="H54" s="20" t="s">
        <v>2608</v>
      </c>
      <c r="I54" s="20">
        <v>331</v>
      </c>
      <c r="J54" s="20">
        <v>1111</v>
      </c>
      <c r="K54" s="20" t="s">
        <v>20</v>
      </c>
      <c r="L54" s="20">
        <v>1</v>
      </c>
      <c r="M54" s="34">
        <v>477000</v>
      </c>
      <c r="N54" s="34">
        <f t="shared" si="6"/>
        <v>477000</v>
      </c>
      <c r="O54" s="33"/>
      <c r="P54" s="20">
        <f t="shared" si="3"/>
        <v>102</v>
      </c>
    </row>
    <row r="55" spans="1:16" ht="15" hidden="1" customHeight="1" x14ac:dyDescent="0.2">
      <c r="A55" s="20" t="s">
        <v>18</v>
      </c>
      <c r="B55" s="61">
        <v>46109</v>
      </c>
      <c r="C55" s="20">
        <f t="shared" si="5"/>
        <v>287</v>
      </c>
      <c r="D55" s="38">
        <f t="shared" si="1"/>
        <v>1</v>
      </c>
      <c r="G55" s="32" t="s">
        <v>1740</v>
      </c>
      <c r="H55" s="20" t="s">
        <v>1741</v>
      </c>
      <c r="I55" s="20">
        <v>64277</v>
      </c>
      <c r="J55" s="20">
        <v>331</v>
      </c>
      <c r="K55" s="20" t="s">
        <v>20</v>
      </c>
      <c r="L55" s="20">
        <v>1</v>
      </c>
      <c r="M55" s="34">
        <v>139815</v>
      </c>
      <c r="N55" s="34">
        <f t="shared" si="6"/>
        <v>139815</v>
      </c>
      <c r="O55" s="33"/>
      <c r="P55" s="20">
        <f t="shared" si="3"/>
        <v>76</v>
      </c>
    </row>
    <row r="56" spans="1:16" ht="15" hidden="1" customHeight="1" x14ac:dyDescent="0.2">
      <c r="A56" s="20" t="s">
        <v>18</v>
      </c>
      <c r="B56" s="61">
        <v>46109</v>
      </c>
      <c r="C56" s="20">
        <f t="shared" si="5"/>
        <v>287</v>
      </c>
      <c r="D56" s="38">
        <f t="shared" si="1"/>
        <v>0</v>
      </c>
      <c r="G56" s="32" t="s">
        <v>1740</v>
      </c>
      <c r="H56" s="20" t="s">
        <v>1741</v>
      </c>
      <c r="I56" s="20">
        <v>1331</v>
      </c>
      <c r="J56" s="20">
        <v>331</v>
      </c>
      <c r="K56" s="20" t="s">
        <v>20</v>
      </c>
      <c r="L56" s="20">
        <v>1</v>
      </c>
      <c r="M56" s="34">
        <v>11185</v>
      </c>
      <c r="N56" s="34">
        <f t="shared" si="6"/>
        <v>11185</v>
      </c>
      <c r="O56" s="33"/>
      <c r="P56" s="20">
        <f t="shared" si="3"/>
        <v>76</v>
      </c>
    </row>
    <row r="57" spans="1:16" ht="15" hidden="1" customHeight="1" x14ac:dyDescent="0.2">
      <c r="A57" s="20" t="s">
        <v>310</v>
      </c>
      <c r="B57" s="61">
        <v>46109</v>
      </c>
      <c r="C57" s="20">
        <f t="shared" si="5"/>
        <v>288</v>
      </c>
      <c r="D57" s="38">
        <f t="shared" si="1"/>
        <v>1</v>
      </c>
      <c r="G57" s="32" t="s">
        <v>1740</v>
      </c>
      <c r="H57" s="20" t="s">
        <v>2609</v>
      </c>
      <c r="I57" s="20">
        <v>331</v>
      </c>
      <c r="J57" s="20">
        <v>1111</v>
      </c>
      <c r="K57" s="20" t="s">
        <v>20</v>
      </c>
      <c r="L57" s="20">
        <v>1</v>
      </c>
      <c r="M57" s="34">
        <v>151000</v>
      </c>
      <c r="N57" s="34">
        <f t="shared" si="6"/>
        <v>151000</v>
      </c>
      <c r="O57" s="33"/>
      <c r="P57" s="20">
        <f t="shared" si="3"/>
        <v>87</v>
      </c>
    </row>
    <row r="58" spans="1:16" ht="15" hidden="1" customHeight="1" x14ac:dyDescent="0.2">
      <c r="A58" s="20" t="s">
        <v>18</v>
      </c>
      <c r="B58" s="61">
        <v>46110</v>
      </c>
      <c r="C58" s="20">
        <f t="shared" si="5"/>
        <v>289</v>
      </c>
      <c r="D58" s="38">
        <f t="shared" si="1"/>
        <v>1</v>
      </c>
      <c r="G58" s="32" t="s">
        <v>1742</v>
      </c>
      <c r="H58" s="20" t="s">
        <v>2590</v>
      </c>
      <c r="I58" s="20">
        <v>64277</v>
      </c>
      <c r="J58" s="20">
        <v>331</v>
      </c>
      <c r="K58" s="20" t="s">
        <v>20</v>
      </c>
      <c r="L58" s="20">
        <v>1</v>
      </c>
      <c r="M58" s="34">
        <v>1620461</v>
      </c>
      <c r="N58" s="34">
        <f t="shared" si="6"/>
        <v>1620461</v>
      </c>
      <c r="O58" s="33"/>
      <c r="P58" s="20">
        <f t="shared" si="3"/>
        <v>38</v>
      </c>
    </row>
    <row r="59" spans="1:16" ht="15" hidden="1" customHeight="1" x14ac:dyDescent="0.2">
      <c r="A59" s="20" t="s">
        <v>18</v>
      </c>
      <c r="B59" s="61">
        <v>46110</v>
      </c>
      <c r="C59" s="20">
        <f t="shared" si="5"/>
        <v>289</v>
      </c>
      <c r="D59" s="38">
        <f t="shared" si="1"/>
        <v>0</v>
      </c>
      <c r="G59" s="32" t="s">
        <v>1742</v>
      </c>
      <c r="H59" s="20" t="s">
        <v>2590</v>
      </c>
      <c r="I59" s="20">
        <v>1331</v>
      </c>
      <c r="J59" s="20">
        <v>331</v>
      </c>
      <c r="K59" s="20" t="s">
        <v>20</v>
      </c>
      <c r="L59" s="20">
        <v>1</v>
      </c>
      <c r="M59" s="34">
        <v>129639</v>
      </c>
      <c r="N59" s="34">
        <f t="shared" si="6"/>
        <v>129639</v>
      </c>
      <c r="O59" s="33"/>
      <c r="P59" s="20">
        <f t="shared" si="3"/>
        <v>38</v>
      </c>
    </row>
    <row r="60" spans="1:16" ht="15" hidden="1" customHeight="1" x14ac:dyDescent="0.2">
      <c r="A60" s="20" t="s">
        <v>310</v>
      </c>
      <c r="B60" s="61">
        <v>46110</v>
      </c>
      <c r="C60" s="20">
        <f t="shared" si="5"/>
        <v>290</v>
      </c>
      <c r="D60" s="38">
        <f t="shared" si="1"/>
        <v>1</v>
      </c>
      <c r="G60" s="32" t="s">
        <v>1742</v>
      </c>
      <c r="H60" s="20" t="s">
        <v>2610</v>
      </c>
      <c r="I60" s="20">
        <v>331</v>
      </c>
      <c r="J60" s="20">
        <v>1111</v>
      </c>
      <c r="K60" s="20" t="s">
        <v>20</v>
      </c>
      <c r="L60" s="20">
        <v>1</v>
      </c>
      <c r="M60" s="34">
        <v>1750100</v>
      </c>
      <c r="N60" s="34">
        <f t="shared" si="6"/>
        <v>1750100</v>
      </c>
      <c r="O60" s="33"/>
      <c r="P60" s="20">
        <f t="shared" si="3"/>
        <v>49</v>
      </c>
    </row>
    <row r="61" spans="1:16" ht="15" hidden="1" customHeight="1" x14ac:dyDescent="0.2">
      <c r="A61" s="20" t="s">
        <v>18</v>
      </c>
      <c r="B61" s="61">
        <v>46035</v>
      </c>
      <c r="C61" s="20">
        <f t="shared" si="5"/>
        <v>291</v>
      </c>
      <c r="D61" s="38">
        <f t="shared" si="1"/>
        <v>1</v>
      </c>
      <c r="G61" s="32" t="s">
        <v>714</v>
      </c>
      <c r="H61" s="20" t="s">
        <v>1743</v>
      </c>
      <c r="I61" s="20">
        <v>131</v>
      </c>
      <c r="J61" s="20">
        <v>5113</v>
      </c>
      <c r="K61" s="20" t="s">
        <v>20</v>
      </c>
      <c r="L61" s="20">
        <v>1</v>
      </c>
      <c r="M61" s="34">
        <v>10000000</v>
      </c>
      <c r="N61" s="34">
        <f t="shared" si="6"/>
        <v>10000000</v>
      </c>
      <c r="O61" s="33"/>
      <c r="P61" s="20">
        <f t="shared" si="3"/>
        <v>146</v>
      </c>
    </row>
    <row r="62" spans="1:16" ht="15" customHeight="1" x14ac:dyDescent="0.2">
      <c r="A62" s="20" t="s">
        <v>18</v>
      </c>
      <c r="B62" s="61">
        <v>46035</v>
      </c>
      <c r="C62" s="20">
        <f t="shared" si="5"/>
        <v>291</v>
      </c>
      <c r="D62" s="38">
        <f t="shared" si="1"/>
        <v>0</v>
      </c>
      <c r="G62" s="32" t="s">
        <v>714</v>
      </c>
      <c r="H62" s="20" t="s">
        <v>1743</v>
      </c>
      <c r="I62" s="20">
        <v>333821</v>
      </c>
      <c r="J62" s="20">
        <v>131</v>
      </c>
      <c r="K62" s="20" t="s">
        <v>20</v>
      </c>
      <c r="L62" s="20">
        <v>1</v>
      </c>
      <c r="M62" s="34">
        <v>100000</v>
      </c>
      <c r="N62" s="34">
        <f t="shared" si="6"/>
        <v>100000</v>
      </c>
      <c r="O62" s="33"/>
      <c r="P62" s="20">
        <f t="shared" si="3"/>
        <v>146</v>
      </c>
    </row>
    <row r="63" spans="1:16" ht="15" hidden="1" customHeight="1" x14ac:dyDescent="0.2">
      <c r="A63" s="20" t="s">
        <v>18</v>
      </c>
      <c r="B63" s="61">
        <v>46044</v>
      </c>
      <c r="C63" s="20">
        <f t="shared" si="5"/>
        <v>292</v>
      </c>
      <c r="D63" s="38">
        <f t="shared" si="1"/>
        <v>1</v>
      </c>
      <c r="G63" s="32" t="s">
        <v>56</v>
      </c>
      <c r="H63" s="20" t="s">
        <v>1744</v>
      </c>
      <c r="I63" s="20">
        <v>131</v>
      </c>
      <c r="J63" s="20">
        <v>5113</v>
      </c>
      <c r="K63" s="20" t="s">
        <v>20</v>
      </c>
      <c r="L63" s="20">
        <v>1</v>
      </c>
      <c r="M63" s="34">
        <v>10215054</v>
      </c>
      <c r="N63" s="34">
        <f t="shared" si="6"/>
        <v>10215054</v>
      </c>
      <c r="O63" s="33"/>
      <c r="P63" s="20">
        <f t="shared" si="3"/>
        <v>170</v>
      </c>
    </row>
    <row r="64" spans="1:16" ht="15" customHeight="1" x14ac:dyDescent="0.2">
      <c r="A64" s="20" t="s">
        <v>18</v>
      </c>
      <c r="B64" s="61">
        <v>46044</v>
      </c>
      <c r="C64" s="20">
        <f t="shared" si="5"/>
        <v>292</v>
      </c>
      <c r="D64" s="38">
        <f t="shared" si="1"/>
        <v>0</v>
      </c>
      <c r="G64" s="32" t="s">
        <v>56</v>
      </c>
      <c r="H64" s="20" t="s">
        <v>1744</v>
      </c>
      <c r="I64" s="20">
        <v>333821</v>
      </c>
      <c r="J64" s="20">
        <v>131</v>
      </c>
      <c r="K64" s="20" t="s">
        <v>20</v>
      </c>
      <c r="L64" s="20">
        <v>1</v>
      </c>
      <c r="M64" s="34">
        <v>102151</v>
      </c>
      <c r="N64" s="34">
        <f t="shared" si="6"/>
        <v>102151</v>
      </c>
      <c r="O64" s="33"/>
      <c r="P64" s="20">
        <f t="shared" si="3"/>
        <v>170</v>
      </c>
    </row>
    <row r="65" spans="1:19" ht="15" hidden="1" customHeight="1" x14ac:dyDescent="0.2">
      <c r="A65" s="20" t="s">
        <v>18</v>
      </c>
      <c r="B65" s="61">
        <v>46045</v>
      </c>
      <c r="C65" s="20">
        <f t="shared" si="5"/>
        <v>293</v>
      </c>
      <c r="D65" s="38">
        <f t="shared" si="1"/>
        <v>1</v>
      </c>
      <c r="G65" s="32" t="s">
        <v>41</v>
      </c>
      <c r="H65" s="20" t="s">
        <v>1745</v>
      </c>
      <c r="I65" s="20">
        <v>131</v>
      </c>
      <c r="J65" s="20">
        <v>5113</v>
      </c>
      <c r="K65" s="20" t="s">
        <v>20</v>
      </c>
      <c r="L65" s="20">
        <v>1</v>
      </c>
      <c r="M65" s="34">
        <v>10000000</v>
      </c>
      <c r="N65" s="34">
        <f t="shared" si="6"/>
        <v>10000000</v>
      </c>
      <c r="O65" s="33"/>
      <c r="P65" s="20">
        <f t="shared" si="3"/>
        <v>177</v>
      </c>
    </row>
    <row r="66" spans="1:19" ht="15" customHeight="1" x14ac:dyDescent="0.2">
      <c r="A66" s="20" t="s">
        <v>18</v>
      </c>
      <c r="B66" s="61">
        <v>46045</v>
      </c>
      <c r="C66" s="20">
        <f t="shared" si="5"/>
        <v>293</v>
      </c>
      <c r="D66" s="38">
        <f t="shared" si="1"/>
        <v>0</v>
      </c>
      <c r="G66" s="32" t="s">
        <v>41</v>
      </c>
      <c r="H66" s="20" t="s">
        <v>1745</v>
      </c>
      <c r="I66" s="20">
        <v>333821</v>
      </c>
      <c r="J66" s="20">
        <v>131</v>
      </c>
      <c r="K66" s="20" t="s">
        <v>20</v>
      </c>
      <c r="L66" s="20">
        <v>1</v>
      </c>
      <c r="M66" s="34">
        <v>100000</v>
      </c>
      <c r="N66" s="34">
        <f t="shared" si="6"/>
        <v>100000</v>
      </c>
      <c r="O66" s="33"/>
      <c r="P66" s="20">
        <f t="shared" si="3"/>
        <v>177</v>
      </c>
    </row>
    <row r="67" spans="1:19" ht="15" hidden="1" customHeight="1" x14ac:dyDescent="0.2">
      <c r="A67" s="20" t="s">
        <v>18</v>
      </c>
      <c r="B67" s="61">
        <v>46052</v>
      </c>
      <c r="C67" s="20">
        <f t="shared" si="5"/>
        <v>294</v>
      </c>
      <c r="D67" s="38">
        <f t="shared" si="1"/>
        <v>1</v>
      </c>
      <c r="G67" s="32" t="s">
        <v>43</v>
      </c>
      <c r="H67" s="20" t="s">
        <v>2591</v>
      </c>
      <c r="I67" s="20">
        <v>131</v>
      </c>
      <c r="J67" s="20">
        <v>5113</v>
      </c>
      <c r="K67" s="20" t="s">
        <v>20</v>
      </c>
      <c r="L67" s="20">
        <v>1</v>
      </c>
      <c r="M67" s="34">
        <v>10000000</v>
      </c>
      <c r="N67" s="34">
        <f t="shared" si="6"/>
        <v>10000000</v>
      </c>
      <c r="O67" s="33"/>
      <c r="P67" s="20">
        <f t="shared" si="3"/>
        <v>143</v>
      </c>
    </row>
    <row r="68" spans="1:19" ht="15" customHeight="1" x14ac:dyDescent="0.2">
      <c r="A68" s="20" t="s">
        <v>18</v>
      </c>
      <c r="B68" s="61">
        <v>46052</v>
      </c>
      <c r="C68" s="20">
        <f t="shared" si="5"/>
        <v>294</v>
      </c>
      <c r="D68" s="38">
        <f t="shared" ref="D68:D131" si="7">IF(H68=H67,0,1)</f>
        <v>0</v>
      </c>
      <c r="G68" s="32" t="s">
        <v>43</v>
      </c>
      <c r="H68" s="20" t="s">
        <v>2591</v>
      </c>
      <c r="I68" s="20">
        <v>333821</v>
      </c>
      <c r="J68" s="20">
        <v>131</v>
      </c>
      <c r="K68" s="20" t="s">
        <v>20</v>
      </c>
      <c r="L68" s="20">
        <v>1</v>
      </c>
      <c r="M68" s="34">
        <v>100000</v>
      </c>
      <c r="N68" s="34">
        <f t="shared" si="6"/>
        <v>100000</v>
      </c>
      <c r="O68" s="33"/>
      <c r="P68" s="20">
        <f t="shared" si="3"/>
        <v>143</v>
      </c>
    </row>
    <row r="69" spans="1:19" ht="15" hidden="1" customHeight="1" x14ac:dyDescent="0.2">
      <c r="A69" s="20" t="s">
        <v>18</v>
      </c>
      <c r="B69" s="61">
        <v>46062</v>
      </c>
      <c r="C69" s="20">
        <f t="shared" ref="C69:C72" si="8">C68+D69</f>
        <v>295</v>
      </c>
      <c r="D69" s="38">
        <f t="shared" si="7"/>
        <v>1</v>
      </c>
      <c r="G69" s="32" t="s">
        <v>1746</v>
      </c>
      <c r="H69" s="20" t="s">
        <v>1747</v>
      </c>
      <c r="I69" s="20">
        <v>131</v>
      </c>
      <c r="J69" s="20">
        <v>5113</v>
      </c>
      <c r="K69" s="20" t="s">
        <v>20</v>
      </c>
      <c r="L69" s="20">
        <v>1</v>
      </c>
      <c r="M69" s="34">
        <v>12222222</v>
      </c>
      <c r="N69" s="34">
        <f t="shared" ref="N69:N135" si="9">L69*M69</f>
        <v>12222222</v>
      </c>
      <c r="O69" s="33"/>
      <c r="P69" s="20">
        <f t="shared" ref="P69:P132" si="10">LEN(H69)</f>
        <v>98</v>
      </c>
    </row>
    <row r="70" spans="1:19" ht="15" customHeight="1" x14ac:dyDescent="0.2">
      <c r="A70" s="20" t="s">
        <v>18</v>
      </c>
      <c r="B70" s="61">
        <v>46062</v>
      </c>
      <c r="C70" s="20">
        <f t="shared" si="8"/>
        <v>295</v>
      </c>
      <c r="D70" s="38">
        <f t="shared" si="7"/>
        <v>0</v>
      </c>
      <c r="G70" s="32" t="s">
        <v>1746</v>
      </c>
      <c r="H70" s="20" t="s">
        <v>1747</v>
      </c>
      <c r="I70" s="20">
        <v>333821</v>
      </c>
      <c r="J70" s="20">
        <v>131</v>
      </c>
      <c r="K70" s="20" t="s">
        <v>20</v>
      </c>
      <c r="L70" s="20">
        <v>1</v>
      </c>
      <c r="M70" s="34">
        <v>122222</v>
      </c>
      <c r="N70" s="34">
        <f t="shared" si="9"/>
        <v>122222</v>
      </c>
      <c r="O70" s="33"/>
      <c r="P70" s="20">
        <f t="shared" si="10"/>
        <v>98</v>
      </c>
    </row>
    <row r="71" spans="1:19" ht="15" hidden="1" customHeight="1" x14ac:dyDescent="0.2">
      <c r="A71" s="20" t="s">
        <v>18</v>
      </c>
      <c r="B71" s="61">
        <v>46067</v>
      </c>
      <c r="C71" s="20">
        <f t="shared" si="8"/>
        <v>296</v>
      </c>
      <c r="D71" s="38">
        <f t="shared" si="7"/>
        <v>1</v>
      </c>
      <c r="G71" s="32" t="s">
        <v>41</v>
      </c>
      <c r="H71" s="20" t="s">
        <v>1748</v>
      </c>
      <c r="I71" s="20">
        <v>131</v>
      </c>
      <c r="J71" s="20">
        <v>5113</v>
      </c>
      <c r="K71" s="20" t="s">
        <v>20</v>
      </c>
      <c r="L71" s="20">
        <v>1</v>
      </c>
      <c r="M71" s="34">
        <v>10000000</v>
      </c>
      <c r="N71" s="34">
        <f t="shared" si="9"/>
        <v>10000000</v>
      </c>
      <c r="O71" s="33"/>
      <c r="P71" s="20">
        <f t="shared" si="10"/>
        <v>198</v>
      </c>
    </row>
    <row r="72" spans="1:19" ht="15" customHeight="1" x14ac:dyDescent="0.2">
      <c r="A72" s="20" t="s">
        <v>18</v>
      </c>
      <c r="B72" s="61">
        <v>46067</v>
      </c>
      <c r="C72" s="20">
        <f t="shared" si="8"/>
        <v>296</v>
      </c>
      <c r="D72" s="38">
        <f t="shared" si="7"/>
        <v>0</v>
      </c>
      <c r="G72" s="32" t="s">
        <v>41</v>
      </c>
      <c r="H72" s="20" t="s">
        <v>1748</v>
      </c>
      <c r="I72" s="20">
        <v>333821</v>
      </c>
      <c r="J72" s="20">
        <v>131</v>
      </c>
      <c r="K72" s="20" t="s">
        <v>20</v>
      </c>
      <c r="L72" s="20">
        <v>1</v>
      </c>
      <c r="M72" s="34">
        <v>100000</v>
      </c>
      <c r="N72" s="34">
        <f t="shared" si="9"/>
        <v>100000</v>
      </c>
      <c r="O72" s="33"/>
      <c r="P72" s="20">
        <f t="shared" si="10"/>
        <v>198</v>
      </c>
    </row>
    <row r="73" spans="1:19" ht="15" hidden="1" customHeight="1" x14ac:dyDescent="0.2">
      <c r="A73" s="20" t="s">
        <v>18</v>
      </c>
      <c r="B73" s="61">
        <v>46083</v>
      </c>
      <c r="C73" s="20">
        <f t="shared" ref="C73:C76" si="11">C72+D73</f>
        <v>297</v>
      </c>
      <c r="D73" s="38">
        <f t="shared" si="7"/>
        <v>1</v>
      </c>
      <c r="G73" s="32" t="s">
        <v>98</v>
      </c>
      <c r="H73" s="20" t="s">
        <v>1749</v>
      </c>
      <c r="I73" s="20">
        <v>131</v>
      </c>
      <c r="J73" s="20">
        <v>5113</v>
      </c>
      <c r="K73" s="20" t="s">
        <v>20</v>
      </c>
      <c r="L73" s="20">
        <v>1</v>
      </c>
      <c r="M73" s="34">
        <v>7777778</v>
      </c>
      <c r="N73" s="34">
        <f t="shared" si="9"/>
        <v>7777778</v>
      </c>
      <c r="O73" s="33"/>
      <c r="P73" s="20">
        <f t="shared" si="10"/>
        <v>156</v>
      </c>
    </row>
    <row r="74" spans="1:19" ht="15" customHeight="1" x14ac:dyDescent="0.2">
      <c r="A74" s="20" t="s">
        <v>18</v>
      </c>
      <c r="B74" s="61">
        <v>46083</v>
      </c>
      <c r="C74" s="20">
        <f t="shared" si="11"/>
        <v>297</v>
      </c>
      <c r="D74" s="38">
        <f t="shared" si="7"/>
        <v>0</v>
      </c>
      <c r="G74" s="32" t="s">
        <v>98</v>
      </c>
      <c r="H74" s="20" t="s">
        <v>1749</v>
      </c>
      <c r="I74" s="20">
        <v>333821</v>
      </c>
      <c r="J74" s="20">
        <v>131</v>
      </c>
      <c r="K74" s="20" t="s">
        <v>20</v>
      </c>
      <c r="L74" s="20">
        <v>1</v>
      </c>
      <c r="M74" s="34">
        <v>77778</v>
      </c>
      <c r="N74" s="34">
        <f t="shared" si="9"/>
        <v>77778</v>
      </c>
      <c r="O74" s="33"/>
      <c r="P74" s="20">
        <f t="shared" si="10"/>
        <v>156</v>
      </c>
    </row>
    <row r="75" spans="1:19" ht="15" hidden="1" customHeight="1" x14ac:dyDescent="0.2">
      <c r="A75" s="20" t="s">
        <v>18</v>
      </c>
      <c r="B75" s="61">
        <v>46084</v>
      </c>
      <c r="C75" s="20">
        <f t="shared" si="11"/>
        <v>298</v>
      </c>
      <c r="D75" s="38">
        <f t="shared" si="7"/>
        <v>1</v>
      </c>
      <c r="G75" s="32" t="s">
        <v>56</v>
      </c>
      <c r="H75" s="20" t="s">
        <v>1750</v>
      </c>
      <c r="I75" s="20">
        <v>131</v>
      </c>
      <c r="J75" s="20">
        <v>5113</v>
      </c>
      <c r="K75" s="20" t="s">
        <v>20</v>
      </c>
      <c r="L75" s="20">
        <v>1</v>
      </c>
      <c r="M75" s="34">
        <v>9595960</v>
      </c>
      <c r="N75" s="34">
        <f t="shared" si="9"/>
        <v>9595960</v>
      </c>
      <c r="O75" s="33"/>
      <c r="P75" s="20">
        <f t="shared" si="10"/>
        <v>179</v>
      </c>
    </row>
    <row r="76" spans="1:19" ht="15" customHeight="1" x14ac:dyDescent="0.2">
      <c r="A76" s="20" t="s">
        <v>18</v>
      </c>
      <c r="B76" s="61">
        <v>46084</v>
      </c>
      <c r="C76" s="20">
        <f t="shared" si="11"/>
        <v>298</v>
      </c>
      <c r="D76" s="38">
        <f t="shared" si="7"/>
        <v>0</v>
      </c>
      <c r="G76" s="32" t="s">
        <v>56</v>
      </c>
      <c r="H76" s="20" t="s">
        <v>1750</v>
      </c>
      <c r="I76" s="20">
        <v>333821</v>
      </c>
      <c r="J76" s="20">
        <v>131</v>
      </c>
      <c r="K76" s="20" t="s">
        <v>20</v>
      </c>
      <c r="L76" s="20">
        <v>1</v>
      </c>
      <c r="M76" s="34">
        <v>95960</v>
      </c>
      <c r="N76" s="34">
        <f t="shared" si="9"/>
        <v>95960</v>
      </c>
      <c r="O76" s="33"/>
      <c r="P76" s="20">
        <f t="shared" si="10"/>
        <v>179</v>
      </c>
    </row>
    <row r="77" spans="1:19" ht="15" hidden="1" customHeight="1" x14ac:dyDescent="0.2">
      <c r="A77" s="20" t="s">
        <v>18</v>
      </c>
      <c r="B77" s="61">
        <v>46085</v>
      </c>
      <c r="C77" s="20">
        <f t="shared" ref="C77:C134" si="12">C76+D77</f>
        <v>299</v>
      </c>
      <c r="D77" s="38">
        <f t="shared" si="7"/>
        <v>1</v>
      </c>
      <c r="G77" s="32" t="s">
        <v>26</v>
      </c>
      <c r="H77" s="20" t="s">
        <v>1751</v>
      </c>
      <c r="I77" s="20">
        <v>131</v>
      </c>
      <c r="J77" s="20">
        <v>5113</v>
      </c>
      <c r="K77" s="20" t="s">
        <v>20</v>
      </c>
      <c r="L77" s="20">
        <v>1</v>
      </c>
      <c r="M77" s="34">
        <v>10000000</v>
      </c>
      <c r="N77" s="34">
        <f t="shared" si="9"/>
        <v>10000000</v>
      </c>
      <c r="O77" s="33"/>
      <c r="P77" s="20">
        <f t="shared" si="10"/>
        <v>151</v>
      </c>
    </row>
    <row r="78" spans="1:19" ht="15" customHeight="1" x14ac:dyDescent="0.2">
      <c r="A78" s="20" t="s">
        <v>18</v>
      </c>
      <c r="B78" s="61">
        <v>46085</v>
      </c>
      <c r="C78" s="20">
        <f t="shared" si="12"/>
        <v>299</v>
      </c>
      <c r="D78" s="38">
        <f t="shared" si="7"/>
        <v>0</v>
      </c>
      <c r="G78" s="32" t="s">
        <v>26</v>
      </c>
      <c r="H78" s="20" t="s">
        <v>1751</v>
      </c>
      <c r="I78" s="20">
        <v>333821</v>
      </c>
      <c r="J78" s="20">
        <v>131</v>
      </c>
      <c r="K78" s="20" t="s">
        <v>20</v>
      </c>
      <c r="L78" s="20">
        <v>1</v>
      </c>
      <c r="M78" s="34">
        <v>100000</v>
      </c>
      <c r="N78" s="34">
        <f t="shared" si="9"/>
        <v>100000</v>
      </c>
      <c r="O78" s="33"/>
      <c r="P78" s="20">
        <f t="shared" si="10"/>
        <v>151</v>
      </c>
    </row>
    <row r="79" spans="1:19" ht="15" hidden="1" customHeight="1" x14ac:dyDescent="0.2">
      <c r="A79" s="20" t="s">
        <v>18</v>
      </c>
      <c r="B79" s="61">
        <v>46091</v>
      </c>
      <c r="C79" s="20">
        <f t="shared" si="12"/>
        <v>300</v>
      </c>
      <c r="D79" s="38">
        <f t="shared" si="7"/>
        <v>1</v>
      </c>
      <c r="G79" s="32" t="s">
        <v>26</v>
      </c>
      <c r="H79" s="20" t="s">
        <v>1752</v>
      </c>
      <c r="I79" s="20">
        <v>131</v>
      </c>
      <c r="J79" s="20">
        <v>5113</v>
      </c>
      <c r="K79" s="20" t="s">
        <v>20</v>
      </c>
      <c r="L79" s="20">
        <v>1</v>
      </c>
      <c r="M79" s="34">
        <v>10000000</v>
      </c>
      <c r="N79" s="34">
        <f t="shared" si="9"/>
        <v>10000000</v>
      </c>
      <c r="O79" s="33"/>
      <c r="P79" s="20">
        <f t="shared" si="10"/>
        <v>152</v>
      </c>
    </row>
    <row r="80" spans="1:19" ht="15" customHeight="1" x14ac:dyDescent="0.2">
      <c r="A80" s="20" t="s">
        <v>18</v>
      </c>
      <c r="B80" s="61">
        <v>46091</v>
      </c>
      <c r="C80" s="20">
        <f t="shared" si="12"/>
        <v>300</v>
      </c>
      <c r="D80" s="38">
        <f t="shared" si="7"/>
        <v>0</v>
      </c>
      <c r="G80" s="32" t="s">
        <v>26</v>
      </c>
      <c r="H80" s="20" t="s">
        <v>1752</v>
      </c>
      <c r="I80" s="20">
        <v>333821</v>
      </c>
      <c r="J80" s="20">
        <v>131</v>
      </c>
      <c r="K80" s="20" t="s">
        <v>20</v>
      </c>
      <c r="L80" s="20">
        <v>1</v>
      </c>
      <c r="M80" s="34">
        <v>100000</v>
      </c>
      <c r="N80" s="34">
        <f t="shared" si="9"/>
        <v>100000</v>
      </c>
      <c r="O80" s="33"/>
      <c r="P80" s="20">
        <f t="shared" si="10"/>
        <v>152</v>
      </c>
      <c r="S80" s="33"/>
    </row>
    <row r="81" spans="1:16" ht="15" hidden="1" customHeight="1" x14ac:dyDescent="0.2">
      <c r="A81" s="20" t="s">
        <v>18</v>
      </c>
      <c r="B81" s="61">
        <v>46094</v>
      </c>
      <c r="C81" s="20">
        <f t="shared" si="12"/>
        <v>301</v>
      </c>
      <c r="D81" s="38">
        <f t="shared" si="7"/>
        <v>1</v>
      </c>
      <c r="G81" s="32" t="s">
        <v>56</v>
      </c>
      <c r="H81" s="20" t="s">
        <v>1753</v>
      </c>
      <c r="I81" s="20">
        <v>131</v>
      </c>
      <c r="J81" s="20">
        <v>5113</v>
      </c>
      <c r="K81" s="20" t="s">
        <v>20</v>
      </c>
      <c r="L81" s="20">
        <v>1</v>
      </c>
      <c r="M81" s="34">
        <v>10000000</v>
      </c>
      <c r="N81" s="34">
        <f t="shared" si="9"/>
        <v>10000000</v>
      </c>
      <c r="O81" s="33"/>
      <c r="P81" s="20">
        <f t="shared" si="10"/>
        <v>115</v>
      </c>
    </row>
    <row r="82" spans="1:16" ht="15" customHeight="1" x14ac:dyDescent="0.2">
      <c r="A82" s="20" t="s">
        <v>18</v>
      </c>
      <c r="B82" s="61">
        <v>46094</v>
      </c>
      <c r="C82" s="20">
        <f t="shared" ref="C82:C83" si="13">C81+D82</f>
        <v>301</v>
      </c>
      <c r="D82" s="38">
        <f t="shared" si="7"/>
        <v>0</v>
      </c>
      <c r="G82" s="32" t="s">
        <v>56</v>
      </c>
      <c r="H82" s="20" t="s">
        <v>1753</v>
      </c>
      <c r="I82" s="20">
        <v>333821</v>
      </c>
      <c r="J82" s="20">
        <v>131</v>
      </c>
      <c r="K82" s="20" t="s">
        <v>20</v>
      </c>
      <c r="L82" s="20">
        <v>1</v>
      </c>
      <c r="M82" s="34">
        <v>100000</v>
      </c>
      <c r="N82" s="34">
        <f t="shared" si="9"/>
        <v>100000</v>
      </c>
      <c r="O82" s="33"/>
      <c r="P82" s="20">
        <f t="shared" si="10"/>
        <v>115</v>
      </c>
    </row>
    <row r="83" spans="1:16" ht="15" hidden="1" customHeight="1" x14ac:dyDescent="0.2">
      <c r="A83" s="20" t="s">
        <v>18</v>
      </c>
      <c r="B83" s="61">
        <v>46104</v>
      </c>
      <c r="C83" s="20">
        <f t="shared" si="13"/>
        <v>302</v>
      </c>
      <c r="D83" s="38">
        <f t="shared" si="7"/>
        <v>1</v>
      </c>
      <c r="G83" s="32" t="s">
        <v>98</v>
      </c>
      <c r="H83" s="20" t="s">
        <v>1754</v>
      </c>
      <c r="I83" s="20">
        <v>131</v>
      </c>
      <c r="J83" s="20">
        <v>5113</v>
      </c>
      <c r="K83" s="20" t="s">
        <v>20</v>
      </c>
      <c r="L83" s="20">
        <v>1</v>
      </c>
      <c r="M83" s="34">
        <v>15555556</v>
      </c>
      <c r="N83" s="34">
        <f t="shared" si="9"/>
        <v>15555556</v>
      </c>
      <c r="O83" s="33"/>
      <c r="P83" s="20">
        <f t="shared" si="10"/>
        <v>157</v>
      </c>
    </row>
    <row r="84" spans="1:16" ht="15" customHeight="1" x14ac:dyDescent="0.2">
      <c r="A84" s="20" t="s">
        <v>18</v>
      </c>
      <c r="B84" s="61">
        <v>46104</v>
      </c>
      <c r="C84" s="20">
        <f t="shared" si="12"/>
        <v>302</v>
      </c>
      <c r="D84" s="38">
        <f t="shared" si="7"/>
        <v>0</v>
      </c>
      <c r="G84" s="32" t="s">
        <v>98</v>
      </c>
      <c r="H84" s="20" t="s">
        <v>1754</v>
      </c>
      <c r="I84" s="20">
        <v>333821</v>
      </c>
      <c r="J84" s="20">
        <v>131</v>
      </c>
      <c r="K84" s="20" t="s">
        <v>20</v>
      </c>
      <c r="L84" s="20">
        <v>1</v>
      </c>
      <c r="M84" s="34">
        <v>155556</v>
      </c>
      <c r="N84" s="34">
        <f t="shared" si="9"/>
        <v>155556</v>
      </c>
      <c r="O84" s="33"/>
      <c r="P84" s="20">
        <f t="shared" si="10"/>
        <v>157</v>
      </c>
    </row>
    <row r="85" spans="1:16" ht="15" hidden="1" customHeight="1" x14ac:dyDescent="0.2">
      <c r="A85" s="20" t="s">
        <v>18</v>
      </c>
      <c r="B85" s="61">
        <v>46108</v>
      </c>
      <c r="C85" s="20">
        <f t="shared" si="12"/>
        <v>303</v>
      </c>
      <c r="D85" s="38">
        <f t="shared" si="7"/>
        <v>1</v>
      </c>
      <c r="G85" s="32" t="s">
        <v>26</v>
      </c>
      <c r="H85" s="20" t="s">
        <v>1755</v>
      </c>
      <c r="I85" s="20">
        <v>131</v>
      </c>
      <c r="J85" s="20">
        <v>5113</v>
      </c>
      <c r="K85" s="20" t="s">
        <v>20</v>
      </c>
      <c r="L85" s="20">
        <v>1</v>
      </c>
      <c r="M85" s="34">
        <v>14444444</v>
      </c>
      <c r="N85" s="34">
        <f t="shared" si="9"/>
        <v>14444444</v>
      </c>
      <c r="O85" s="33"/>
      <c r="P85" s="20">
        <f t="shared" si="10"/>
        <v>153</v>
      </c>
    </row>
    <row r="86" spans="1:16" ht="15" customHeight="1" x14ac:dyDescent="0.2">
      <c r="A86" s="20" t="s">
        <v>18</v>
      </c>
      <c r="B86" s="61">
        <v>46108</v>
      </c>
      <c r="C86" s="20">
        <f t="shared" si="12"/>
        <v>303</v>
      </c>
      <c r="D86" s="38">
        <f t="shared" si="7"/>
        <v>0</v>
      </c>
      <c r="G86" s="32" t="s">
        <v>26</v>
      </c>
      <c r="H86" s="20" t="s">
        <v>1755</v>
      </c>
      <c r="I86" s="20">
        <v>333821</v>
      </c>
      <c r="J86" s="20">
        <v>131</v>
      </c>
      <c r="K86" s="20" t="s">
        <v>20</v>
      </c>
      <c r="L86" s="20">
        <v>1</v>
      </c>
      <c r="M86" s="34">
        <v>144444</v>
      </c>
      <c r="N86" s="34">
        <f t="shared" si="9"/>
        <v>144444</v>
      </c>
      <c r="O86" s="33"/>
      <c r="P86" s="20">
        <f t="shared" si="10"/>
        <v>153</v>
      </c>
    </row>
    <row r="87" spans="1:16" ht="15" hidden="1" customHeight="1" x14ac:dyDescent="0.2">
      <c r="A87" s="20" t="s">
        <v>18</v>
      </c>
      <c r="B87" s="61">
        <v>46111</v>
      </c>
      <c r="C87" s="20">
        <f t="shared" si="12"/>
        <v>304</v>
      </c>
      <c r="D87" s="38">
        <f t="shared" si="7"/>
        <v>1</v>
      </c>
      <c r="G87" s="32" t="s">
        <v>92</v>
      </c>
      <c r="H87" s="20" t="s">
        <v>1756</v>
      </c>
      <c r="I87" s="20">
        <v>131</v>
      </c>
      <c r="J87" s="20">
        <v>5113</v>
      </c>
      <c r="K87" s="20" t="s">
        <v>20</v>
      </c>
      <c r="L87" s="20">
        <v>1</v>
      </c>
      <c r="M87" s="34">
        <v>9444444</v>
      </c>
      <c r="N87" s="34">
        <f t="shared" si="9"/>
        <v>9444444</v>
      </c>
      <c r="O87" s="33"/>
      <c r="P87" s="20">
        <f t="shared" si="10"/>
        <v>157</v>
      </c>
    </row>
    <row r="88" spans="1:16" ht="15" customHeight="1" x14ac:dyDescent="0.2">
      <c r="A88" s="20" t="s">
        <v>18</v>
      </c>
      <c r="B88" s="61">
        <v>46111</v>
      </c>
      <c r="C88" s="20">
        <f t="shared" si="12"/>
        <v>304</v>
      </c>
      <c r="D88" s="38">
        <f t="shared" si="7"/>
        <v>0</v>
      </c>
      <c r="G88" s="32" t="s">
        <v>92</v>
      </c>
      <c r="H88" s="20" t="s">
        <v>1756</v>
      </c>
      <c r="I88" s="20">
        <v>333821</v>
      </c>
      <c r="J88" s="20">
        <v>131</v>
      </c>
      <c r="K88" s="20" t="s">
        <v>20</v>
      </c>
      <c r="L88" s="20">
        <v>1</v>
      </c>
      <c r="M88" s="34">
        <v>94444</v>
      </c>
      <c r="N88" s="34">
        <f t="shared" si="9"/>
        <v>94444</v>
      </c>
      <c r="O88" s="33"/>
      <c r="P88" s="20">
        <f t="shared" si="10"/>
        <v>157</v>
      </c>
    </row>
    <row r="89" spans="1:16" ht="15" hidden="1" customHeight="1" x14ac:dyDescent="0.2">
      <c r="A89" s="20" t="s">
        <v>18</v>
      </c>
      <c r="B89" s="61">
        <v>46112</v>
      </c>
      <c r="C89" s="20">
        <f t="shared" si="12"/>
        <v>305</v>
      </c>
      <c r="D89" s="38">
        <f t="shared" si="7"/>
        <v>1</v>
      </c>
      <c r="G89" s="32" t="s">
        <v>97</v>
      </c>
      <c r="H89" s="20" t="s">
        <v>1757</v>
      </c>
      <c r="I89" s="20">
        <v>131</v>
      </c>
      <c r="J89" s="20">
        <v>5113</v>
      </c>
      <c r="K89" s="20" t="s">
        <v>20</v>
      </c>
      <c r="L89" s="20">
        <v>1</v>
      </c>
      <c r="M89" s="34">
        <v>10000000</v>
      </c>
      <c r="N89" s="34">
        <f t="shared" si="9"/>
        <v>10000000</v>
      </c>
      <c r="O89" s="33"/>
      <c r="P89" s="20">
        <f t="shared" si="10"/>
        <v>154</v>
      </c>
    </row>
    <row r="90" spans="1:16" ht="15" customHeight="1" x14ac:dyDescent="0.2">
      <c r="A90" s="20" t="s">
        <v>18</v>
      </c>
      <c r="B90" s="61">
        <v>46112</v>
      </c>
      <c r="C90" s="20">
        <f t="shared" ref="C90:C91" si="14">C89+D90</f>
        <v>305</v>
      </c>
      <c r="D90" s="38">
        <f t="shared" si="7"/>
        <v>0</v>
      </c>
      <c r="G90" s="32" t="s">
        <v>97</v>
      </c>
      <c r="H90" s="20" t="s">
        <v>1757</v>
      </c>
      <c r="I90" s="20">
        <v>333821</v>
      </c>
      <c r="J90" s="20">
        <v>131</v>
      </c>
      <c r="K90" s="20" t="s">
        <v>20</v>
      </c>
      <c r="L90" s="20">
        <v>1</v>
      </c>
      <c r="M90" s="34">
        <v>100000</v>
      </c>
      <c r="N90" s="34">
        <f t="shared" si="9"/>
        <v>100000</v>
      </c>
      <c r="O90" s="33"/>
      <c r="P90" s="20">
        <f t="shared" si="10"/>
        <v>154</v>
      </c>
    </row>
    <row r="91" spans="1:16" ht="15" hidden="1" customHeight="1" x14ac:dyDescent="0.2">
      <c r="A91" s="12" t="s">
        <v>18</v>
      </c>
      <c r="B91" s="36">
        <v>46053</v>
      </c>
      <c r="C91" s="20">
        <f t="shared" si="14"/>
        <v>306</v>
      </c>
      <c r="D91" s="38">
        <f t="shared" si="7"/>
        <v>1</v>
      </c>
      <c r="G91" s="32" t="s">
        <v>312</v>
      </c>
      <c r="H91" s="12" t="s">
        <v>455</v>
      </c>
      <c r="I91" s="12">
        <v>64271</v>
      </c>
      <c r="J91" s="12">
        <v>3383</v>
      </c>
      <c r="K91" s="12" t="s">
        <v>20</v>
      </c>
      <c r="L91" s="12">
        <v>1</v>
      </c>
      <c r="M91" s="17">
        <v>690300</v>
      </c>
      <c r="N91" s="34">
        <f t="shared" si="9"/>
        <v>690300</v>
      </c>
      <c r="O91" s="33"/>
      <c r="P91" s="20">
        <f t="shared" si="10"/>
        <v>30</v>
      </c>
    </row>
    <row r="92" spans="1:16" ht="15" hidden="1" customHeight="1" x14ac:dyDescent="0.2">
      <c r="A92" s="12" t="s">
        <v>18</v>
      </c>
      <c r="B92" s="36">
        <v>46081</v>
      </c>
      <c r="C92" s="20">
        <f t="shared" ref="C92:C94" si="15">C91+D92</f>
        <v>307</v>
      </c>
      <c r="D92" s="38">
        <f t="shared" si="7"/>
        <v>1</v>
      </c>
      <c r="G92" s="32" t="s">
        <v>312</v>
      </c>
      <c r="H92" s="12" t="s">
        <v>456</v>
      </c>
      <c r="I92" s="12">
        <v>64271</v>
      </c>
      <c r="J92" s="12">
        <v>3383</v>
      </c>
      <c r="K92" s="12" t="s">
        <v>20</v>
      </c>
      <c r="L92" s="12">
        <v>1</v>
      </c>
      <c r="M92" s="17">
        <v>690300</v>
      </c>
      <c r="N92" s="34">
        <f t="shared" si="9"/>
        <v>690300</v>
      </c>
      <c r="O92" s="33"/>
      <c r="P92" s="20">
        <f t="shared" si="10"/>
        <v>30</v>
      </c>
    </row>
    <row r="93" spans="1:16" ht="15" hidden="1" customHeight="1" x14ac:dyDescent="0.2">
      <c r="A93" s="12" t="s">
        <v>18</v>
      </c>
      <c r="B93" s="36">
        <v>46112</v>
      </c>
      <c r="C93" s="20">
        <f t="shared" si="15"/>
        <v>308</v>
      </c>
      <c r="D93" s="38">
        <f t="shared" si="7"/>
        <v>1</v>
      </c>
      <c r="G93" s="32" t="s">
        <v>312</v>
      </c>
      <c r="H93" s="12" t="s">
        <v>457</v>
      </c>
      <c r="I93" s="12">
        <v>64271</v>
      </c>
      <c r="J93" s="12">
        <v>3383</v>
      </c>
      <c r="K93" s="12" t="s">
        <v>20</v>
      </c>
      <c r="L93" s="12">
        <v>1</v>
      </c>
      <c r="M93" s="17">
        <v>690300</v>
      </c>
      <c r="N93" s="34">
        <f t="shared" si="9"/>
        <v>690300</v>
      </c>
      <c r="O93" s="33"/>
      <c r="P93" s="20">
        <f t="shared" si="10"/>
        <v>30</v>
      </c>
    </row>
    <row r="94" spans="1:16" ht="15" hidden="1" customHeight="1" x14ac:dyDescent="0.2">
      <c r="A94" s="20" t="s">
        <v>308</v>
      </c>
      <c r="B94" s="61" t="s">
        <v>432</v>
      </c>
      <c r="C94" s="20">
        <f t="shared" si="15"/>
        <v>309</v>
      </c>
      <c r="D94" s="38">
        <f t="shared" si="7"/>
        <v>1</v>
      </c>
      <c r="G94" s="32" t="s">
        <v>232</v>
      </c>
      <c r="H94" s="20" t="s">
        <v>2611</v>
      </c>
      <c r="I94" s="20">
        <v>1111</v>
      </c>
      <c r="J94" s="20">
        <v>112111</v>
      </c>
      <c r="K94" s="20" t="s">
        <v>20</v>
      </c>
      <c r="L94" s="20">
        <v>1</v>
      </c>
      <c r="M94" s="34">
        <v>10000000</v>
      </c>
      <c r="N94" s="34">
        <f t="shared" si="9"/>
        <v>10000000</v>
      </c>
      <c r="O94" s="33"/>
      <c r="P94" s="20">
        <f t="shared" si="10"/>
        <v>12</v>
      </c>
    </row>
    <row r="95" spans="1:16" ht="15" hidden="1" customHeight="1" x14ac:dyDescent="0.2">
      <c r="A95" s="20" t="s">
        <v>308</v>
      </c>
      <c r="B95" s="61" t="s">
        <v>433</v>
      </c>
      <c r="C95" s="20">
        <f t="shared" si="12"/>
        <v>310</v>
      </c>
      <c r="D95" s="38">
        <f t="shared" si="7"/>
        <v>1</v>
      </c>
      <c r="G95" s="32" t="s">
        <v>2629</v>
      </c>
      <c r="H95" s="20" t="s">
        <v>2628</v>
      </c>
      <c r="I95" s="20">
        <v>333822</v>
      </c>
      <c r="J95" s="20">
        <v>112111</v>
      </c>
      <c r="K95" s="20" t="s">
        <v>20</v>
      </c>
      <c r="L95" s="20">
        <v>1</v>
      </c>
      <c r="M95" s="34">
        <v>495162</v>
      </c>
      <c r="N95" s="34">
        <f t="shared" si="9"/>
        <v>495162</v>
      </c>
      <c r="O95" s="33"/>
      <c r="P95" s="20">
        <f t="shared" si="10"/>
        <v>28</v>
      </c>
    </row>
    <row r="96" spans="1:16" ht="15" hidden="1" customHeight="1" x14ac:dyDescent="0.2">
      <c r="A96" s="20" t="s">
        <v>308</v>
      </c>
      <c r="B96" s="61" t="s">
        <v>433</v>
      </c>
      <c r="C96" s="20">
        <f t="shared" si="12"/>
        <v>310</v>
      </c>
      <c r="D96" s="38">
        <f t="shared" si="7"/>
        <v>0</v>
      </c>
      <c r="G96" s="32" t="s">
        <v>2629</v>
      </c>
      <c r="H96" s="20" t="s">
        <v>2628</v>
      </c>
      <c r="I96" s="20">
        <v>333822</v>
      </c>
      <c r="J96" s="20">
        <v>112111</v>
      </c>
      <c r="K96" s="20" t="s">
        <v>20</v>
      </c>
      <c r="L96" s="20">
        <v>1</v>
      </c>
      <c r="M96" s="34">
        <v>255072</v>
      </c>
      <c r="N96" s="34">
        <f t="shared" si="9"/>
        <v>255072</v>
      </c>
      <c r="P96" s="20">
        <f t="shared" si="10"/>
        <v>28</v>
      </c>
    </row>
    <row r="97" spans="1:16" ht="15" hidden="1" customHeight="1" x14ac:dyDescent="0.2">
      <c r="A97" s="20" t="s">
        <v>309</v>
      </c>
      <c r="B97" s="61" t="s">
        <v>493</v>
      </c>
      <c r="C97" s="20">
        <f t="shared" si="12"/>
        <v>311</v>
      </c>
      <c r="D97" s="38">
        <f t="shared" si="7"/>
        <v>1</v>
      </c>
      <c r="G97" s="32" t="s">
        <v>84</v>
      </c>
      <c r="H97" s="20" t="s">
        <v>2614</v>
      </c>
      <c r="I97" s="20">
        <v>112111</v>
      </c>
      <c r="J97" s="20">
        <v>131</v>
      </c>
      <c r="K97" s="20" t="s">
        <v>20</v>
      </c>
      <c r="L97" s="20">
        <v>1</v>
      </c>
      <c r="M97" s="34">
        <v>10645161</v>
      </c>
      <c r="N97" s="34">
        <f t="shared" si="9"/>
        <v>10645161</v>
      </c>
      <c r="O97" s="33"/>
      <c r="P97" s="20">
        <f t="shared" si="10"/>
        <v>161</v>
      </c>
    </row>
    <row r="98" spans="1:16" ht="15" hidden="1" customHeight="1" x14ac:dyDescent="0.2">
      <c r="A98" s="20" t="s">
        <v>309</v>
      </c>
      <c r="B98" s="61" t="s">
        <v>644</v>
      </c>
      <c r="C98" s="20">
        <f t="shared" si="12"/>
        <v>312</v>
      </c>
      <c r="D98" s="38">
        <f t="shared" si="7"/>
        <v>1</v>
      </c>
      <c r="G98" s="32" t="s">
        <v>56</v>
      </c>
      <c r="H98" s="20" t="s">
        <v>2616</v>
      </c>
      <c r="I98" s="20">
        <v>112111</v>
      </c>
      <c r="J98" s="20">
        <v>131</v>
      </c>
      <c r="K98" s="20" t="s">
        <v>20</v>
      </c>
      <c r="L98" s="20">
        <v>1</v>
      </c>
      <c r="M98" s="34">
        <v>9580645</v>
      </c>
      <c r="N98" s="34">
        <f t="shared" si="9"/>
        <v>9580645</v>
      </c>
      <c r="O98" s="33"/>
      <c r="P98" s="20">
        <f t="shared" si="10"/>
        <v>168</v>
      </c>
    </row>
    <row r="99" spans="1:16" ht="15" hidden="1" customHeight="1" x14ac:dyDescent="0.2">
      <c r="A99" s="20" t="s">
        <v>309</v>
      </c>
      <c r="B99" s="61" t="s">
        <v>537</v>
      </c>
      <c r="C99" s="20">
        <f t="shared" ref="C99:C100" si="16">C98+D99</f>
        <v>313</v>
      </c>
      <c r="D99" s="38">
        <f t="shared" si="7"/>
        <v>1</v>
      </c>
      <c r="G99" s="32" t="s">
        <v>311</v>
      </c>
      <c r="H99" s="20" t="s">
        <v>2615</v>
      </c>
      <c r="I99" s="20">
        <v>112111</v>
      </c>
      <c r="J99" s="20">
        <v>131</v>
      </c>
      <c r="K99" s="20" t="s">
        <v>20</v>
      </c>
      <c r="L99" s="20">
        <v>1</v>
      </c>
      <c r="M99" s="34">
        <v>5547489</v>
      </c>
      <c r="N99" s="34">
        <f t="shared" ref="N99" si="17">L99*M99</f>
        <v>5547489</v>
      </c>
      <c r="O99" s="33"/>
      <c r="P99" s="20">
        <f t="shared" si="10"/>
        <v>11</v>
      </c>
    </row>
    <row r="100" spans="1:16" ht="15" hidden="1" customHeight="1" x14ac:dyDescent="0.2">
      <c r="A100" s="20" t="s">
        <v>308</v>
      </c>
      <c r="B100" s="61" t="s">
        <v>537</v>
      </c>
      <c r="C100" s="20">
        <f t="shared" si="16"/>
        <v>314</v>
      </c>
      <c r="D100" s="38">
        <f t="shared" si="7"/>
        <v>1</v>
      </c>
      <c r="G100" s="32" t="s">
        <v>232</v>
      </c>
      <c r="H100" s="20" t="s">
        <v>2611</v>
      </c>
      <c r="I100" s="20">
        <v>1111</v>
      </c>
      <c r="J100" s="20">
        <v>112111</v>
      </c>
      <c r="K100" s="20" t="s">
        <v>20</v>
      </c>
      <c r="L100" s="20">
        <v>1</v>
      </c>
      <c r="M100" s="34">
        <v>12000000</v>
      </c>
      <c r="N100" s="34">
        <f t="shared" si="9"/>
        <v>12000000</v>
      </c>
      <c r="O100" s="33"/>
      <c r="P100" s="20">
        <f t="shared" si="10"/>
        <v>12</v>
      </c>
    </row>
    <row r="101" spans="1:16" ht="15" hidden="1" customHeight="1" x14ac:dyDescent="0.2">
      <c r="A101" s="20" t="s">
        <v>309</v>
      </c>
      <c r="B101" s="61" t="s">
        <v>659</v>
      </c>
      <c r="C101" s="20">
        <f t="shared" si="12"/>
        <v>315</v>
      </c>
      <c r="D101" s="38">
        <f t="shared" si="7"/>
        <v>1</v>
      </c>
      <c r="G101" s="32" t="s">
        <v>311</v>
      </c>
      <c r="H101" s="20" t="s">
        <v>2615</v>
      </c>
      <c r="I101" s="20">
        <v>112111</v>
      </c>
      <c r="J101" s="20">
        <v>131</v>
      </c>
      <c r="K101" s="20" t="s">
        <v>20</v>
      </c>
      <c r="L101" s="20">
        <v>1</v>
      </c>
      <c r="M101" s="34">
        <v>4085266</v>
      </c>
      <c r="N101" s="34">
        <f t="shared" si="9"/>
        <v>4085266</v>
      </c>
      <c r="O101" s="33"/>
      <c r="P101" s="20">
        <f t="shared" si="10"/>
        <v>11</v>
      </c>
    </row>
    <row r="102" spans="1:16" ht="15" hidden="1" customHeight="1" x14ac:dyDescent="0.2">
      <c r="A102" s="20" t="s">
        <v>308</v>
      </c>
      <c r="B102" s="61" t="s">
        <v>659</v>
      </c>
      <c r="C102" s="20">
        <f t="shared" si="12"/>
        <v>316</v>
      </c>
      <c r="D102" s="38">
        <f t="shared" si="7"/>
        <v>1</v>
      </c>
      <c r="G102" s="32" t="s">
        <v>232</v>
      </c>
      <c r="H102" s="20" t="s">
        <v>2611</v>
      </c>
      <c r="I102" s="20">
        <v>1111</v>
      </c>
      <c r="J102" s="20">
        <v>112111</v>
      </c>
      <c r="K102" s="20" t="s">
        <v>20</v>
      </c>
      <c r="L102" s="20">
        <v>1</v>
      </c>
      <c r="M102" s="34">
        <v>2000000</v>
      </c>
      <c r="N102" s="34">
        <f t="shared" si="9"/>
        <v>2000000</v>
      </c>
      <c r="O102" s="33"/>
      <c r="P102" s="20">
        <f t="shared" si="10"/>
        <v>12</v>
      </c>
    </row>
    <row r="103" spans="1:16" ht="15" hidden="1" customHeight="1" x14ac:dyDescent="0.2">
      <c r="A103" s="20" t="s">
        <v>308</v>
      </c>
      <c r="B103" s="61" t="s">
        <v>498</v>
      </c>
      <c r="C103" s="20">
        <f t="shared" ref="C103:C104" si="18">C102+D103</f>
        <v>317</v>
      </c>
      <c r="D103" s="38">
        <f t="shared" si="7"/>
        <v>1</v>
      </c>
      <c r="G103" s="32" t="s">
        <v>71</v>
      </c>
      <c r="H103" s="20" t="s">
        <v>2617</v>
      </c>
      <c r="I103" s="20">
        <v>331</v>
      </c>
      <c r="J103" s="20">
        <v>112111</v>
      </c>
      <c r="K103" s="20" t="s">
        <v>20</v>
      </c>
      <c r="L103" s="20">
        <v>1</v>
      </c>
      <c r="M103" s="34">
        <v>16243401</v>
      </c>
      <c r="N103" s="34">
        <f t="shared" si="9"/>
        <v>16243401</v>
      </c>
      <c r="O103" s="33"/>
      <c r="P103" s="20">
        <f t="shared" si="10"/>
        <v>30</v>
      </c>
    </row>
    <row r="104" spans="1:16" ht="15" hidden="1" customHeight="1" x14ac:dyDescent="0.2">
      <c r="A104" s="20" t="s">
        <v>309</v>
      </c>
      <c r="B104" s="61" t="s">
        <v>473</v>
      </c>
      <c r="C104" s="20">
        <f t="shared" si="18"/>
        <v>318</v>
      </c>
      <c r="D104" s="38">
        <f t="shared" si="7"/>
        <v>1</v>
      </c>
      <c r="G104" s="32" t="s">
        <v>232</v>
      </c>
      <c r="H104" s="20" t="s">
        <v>2543</v>
      </c>
      <c r="I104" s="20">
        <v>112111</v>
      </c>
      <c r="J104" s="20">
        <v>5154</v>
      </c>
      <c r="K104" s="20" t="s">
        <v>20</v>
      </c>
      <c r="L104" s="20">
        <v>1</v>
      </c>
      <c r="M104" s="34">
        <v>5201</v>
      </c>
      <c r="N104" s="34">
        <f t="shared" si="9"/>
        <v>5201</v>
      </c>
      <c r="O104" s="33"/>
      <c r="P104" s="20">
        <f t="shared" si="10"/>
        <v>12</v>
      </c>
    </row>
    <row r="105" spans="1:16" ht="15" hidden="1" customHeight="1" x14ac:dyDescent="0.2">
      <c r="A105" s="20" t="s">
        <v>308</v>
      </c>
      <c r="B105" s="61" t="s">
        <v>436</v>
      </c>
      <c r="C105" s="20">
        <f t="shared" si="12"/>
        <v>319</v>
      </c>
      <c r="D105" s="38">
        <f t="shared" si="7"/>
        <v>1</v>
      </c>
      <c r="G105" s="32" t="s">
        <v>232</v>
      </c>
      <c r="H105" s="20" t="s">
        <v>2612</v>
      </c>
      <c r="I105" s="20">
        <v>3383</v>
      </c>
      <c r="J105" s="20">
        <v>112111</v>
      </c>
      <c r="K105" s="20" t="s">
        <v>20</v>
      </c>
      <c r="L105" s="20">
        <v>1</v>
      </c>
      <c r="M105" s="34">
        <v>690300</v>
      </c>
      <c r="N105" s="34">
        <f t="shared" si="9"/>
        <v>690300</v>
      </c>
      <c r="O105" s="33"/>
      <c r="P105" s="20">
        <f t="shared" si="10"/>
        <v>8</v>
      </c>
    </row>
    <row r="106" spans="1:16" ht="15" hidden="1" customHeight="1" x14ac:dyDescent="0.2">
      <c r="A106" s="20" t="s">
        <v>309</v>
      </c>
      <c r="B106" s="61" t="s">
        <v>474</v>
      </c>
      <c r="C106" s="20">
        <f t="shared" si="12"/>
        <v>320</v>
      </c>
      <c r="D106" s="38">
        <f t="shared" si="7"/>
        <v>1</v>
      </c>
      <c r="G106" s="32" t="s">
        <v>714</v>
      </c>
      <c r="H106" s="20" t="s">
        <v>2618</v>
      </c>
      <c r="I106" s="20">
        <v>112111</v>
      </c>
      <c r="J106" s="20">
        <v>131</v>
      </c>
      <c r="K106" s="20" t="s">
        <v>20</v>
      </c>
      <c r="L106" s="20">
        <v>1</v>
      </c>
      <c r="M106" s="34">
        <v>9900000</v>
      </c>
      <c r="N106" s="34">
        <f t="shared" si="9"/>
        <v>9900000</v>
      </c>
      <c r="O106" s="33"/>
      <c r="P106" s="20">
        <f t="shared" si="10"/>
        <v>151</v>
      </c>
    </row>
    <row r="107" spans="1:16" ht="15" hidden="1" customHeight="1" x14ac:dyDescent="0.2">
      <c r="A107" s="20" t="s">
        <v>308</v>
      </c>
      <c r="B107" s="61" t="s">
        <v>474</v>
      </c>
      <c r="C107" s="20">
        <f t="shared" si="12"/>
        <v>321</v>
      </c>
      <c r="D107" s="38">
        <f t="shared" si="7"/>
        <v>1</v>
      </c>
      <c r="G107" s="32" t="s">
        <v>232</v>
      </c>
      <c r="H107" s="20" t="s">
        <v>2611</v>
      </c>
      <c r="I107" s="20">
        <v>1111</v>
      </c>
      <c r="J107" s="20">
        <v>112111</v>
      </c>
      <c r="K107" s="20" t="s">
        <v>20</v>
      </c>
      <c r="L107" s="20">
        <v>1</v>
      </c>
      <c r="M107" s="34">
        <v>10000000</v>
      </c>
      <c r="N107" s="34">
        <f t="shared" si="9"/>
        <v>10000000</v>
      </c>
      <c r="O107" s="33"/>
      <c r="P107" s="20">
        <f t="shared" si="10"/>
        <v>12</v>
      </c>
    </row>
    <row r="108" spans="1:16" ht="15" hidden="1" customHeight="1" x14ac:dyDescent="0.2">
      <c r="A108" s="20" t="s">
        <v>309</v>
      </c>
      <c r="B108" s="61" t="s">
        <v>545</v>
      </c>
      <c r="C108" s="20">
        <f t="shared" si="12"/>
        <v>322</v>
      </c>
      <c r="D108" s="38">
        <f t="shared" si="7"/>
        <v>1</v>
      </c>
      <c r="G108" s="32" t="s">
        <v>1746</v>
      </c>
      <c r="H108" s="20" t="s">
        <v>2619</v>
      </c>
      <c r="I108" s="20">
        <v>112111</v>
      </c>
      <c r="J108" s="20">
        <v>131</v>
      </c>
      <c r="K108" s="20" t="s">
        <v>20</v>
      </c>
      <c r="L108" s="20">
        <v>1</v>
      </c>
      <c r="M108" s="34">
        <v>12100000</v>
      </c>
      <c r="N108" s="34">
        <f t="shared" si="9"/>
        <v>12100000</v>
      </c>
      <c r="O108" s="33"/>
      <c r="P108" s="20">
        <f t="shared" si="10"/>
        <v>103</v>
      </c>
    </row>
    <row r="109" spans="1:16" ht="15" hidden="1" customHeight="1" x14ac:dyDescent="0.2">
      <c r="A109" s="20" t="s">
        <v>309</v>
      </c>
      <c r="B109" s="61" t="s">
        <v>476</v>
      </c>
      <c r="C109" s="20">
        <f t="shared" si="12"/>
        <v>323</v>
      </c>
      <c r="D109" s="38">
        <f t="shared" si="7"/>
        <v>1</v>
      </c>
      <c r="G109" s="32" t="s">
        <v>311</v>
      </c>
      <c r="H109" s="20" t="s">
        <v>2615</v>
      </c>
      <c r="I109" s="20">
        <v>112111</v>
      </c>
      <c r="J109" s="20">
        <v>131</v>
      </c>
      <c r="K109" s="20" t="s">
        <v>20</v>
      </c>
      <c r="L109" s="20">
        <v>1</v>
      </c>
      <c r="M109" s="34">
        <v>3814481</v>
      </c>
      <c r="N109" s="34">
        <f t="shared" si="9"/>
        <v>3814481</v>
      </c>
      <c r="O109" s="33"/>
      <c r="P109" s="20">
        <f t="shared" si="10"/>
        <v>11</v>
      </c>
    </row>
    <row r="110" spans="1:16" ht="15" hidden="1" customHeight="1" x14ac:dyDescent="0.2">
      <c r="A110" s="20" t="s">
        <v>309</v>
      </c>
      <c r="B110" s="61" t="s">
        <v>476</v>
      </c>
      <c r="C110" s="20">
        <f t="shared" si="12"/>
        <v>324</v>
      </c>
      <c r="D110" s="38">
        <f t="shared" si="7"/>
        <v>1</v>
      </c>
      <c r="G110" s="32" t="s">
        <v>43</v>
      </c>
      <c r="H110" s="20" t="s">
        <v>2620</v>
      </c>
      <c r="I110" s="20">
        <v>112111</v>
      </c>
      <c r="J110" s="20">
        <v>131</v>
      </c>
      <c r="K110" s="20" t="s">
        <v>20</v>
      </c>
      <c r="L110" s="20">
        <v>1</v>
      </c>
      <c r="M110" s="34">
        <v>9900000</v>
      </c>
      <c r="N110" s="34">
        <f t="shared" si="9"/>
        <v>9900000</v>
      </c>
      <c r="O110" s="33"/>
      <c r="P110" s="20">
        <f t="shared" si="10"/>
        <v>148</v>
      </c>
    </row>
    <row r="111" spans="1:16" ht="15" hidden="1" customHeight="1" x14ac:dyDescent="0.2">
      <c r="A111" s="20" t="s">
        <v>308</v>
      </c>
      <c r="B111" s="61" t="s">
        <v>476</v>
      </c>
      <c r="C111" s="20">
        <f t="shared" si="12"/>
        <v>325</v>
      </c>
      <c r="D111" s="38">
        <f t="shared" si="7"/>
        <v>1</v>
      </c>
      <c r="G111" s="32" t="s">
        <v>232</v>
      </c>
      <c r="H111" s="20" t="s">
        <v>2611</v>
      </c>
      <c r="I111" s="20">
        <v>1111</v>
      </c>
      <c r="J111" s="20">
        <v>112111</v>
      </c>
      <c r="K111" s="20" t="s">
        <v>20</v>
      </c>
      <c r="L111" s="20">
        <v>1</v>
      </c>
      <c r="M111" s="34">
        <v>25000000</v>
      </c>
      <c r="N111" s="34">
        <f t="shared" si="9"/>
        <v>25000000</v>
      </c>
      <c r="O111" s="33"/>
      <c r="P111" s="20">
        <f t="shared" si="10"/>
        <v>12</v>
      </c>
    </row>
    <row r="112" spans="1:16" ht="15" hidden="1" customHeight="1" x14ac:dyDescent="0.2">
      <c r="A112" s="20" t="s">
        <v>309</v>
      </c>
      <c r="B112" s="61" t="s">
        <v>712</v>
      </c>
      <c r="C112" s="20">
        <f t="shared" si="12"/>
        <v>326</v>
      </c>
      <c r="D112" s="38">
        <f t="shared" si="7"/>
        <v>1</v>
      </c>
      <c r="G112" s="32" t="s">
        <v>41</v>
      </c>
      <c r="H112" s="20" t="s">
        <v>2621</v>
      </c>
      <c r="I112" s="20">
        <v>112111</v>
      </c>
      <c r="J112" s="20">
        <v>131</v>
      </c>
      <c r="K112" s="20" t="s">
        <v>20</v>
      </c>
      <c r="L112" s="20">
        <v>1</v>
      </c>
      <c r="M112" s="34">
        <v>9900000</v>
      </c>
      <c r="N112" s="34">
        <f t="shared" si="9"/>
        <v>9900000</v>
      </c>
      <c r="O112" s="33"/>
      <c r="P112" s="20">
        <f t="shared" si="10"/>
        <v>182</v>
      </c>
    </row>
    <row r="113" spans="1:16" ht="15" hidden="1" customHeight="1" x14ac:dyDescent="0.2">
      <c r="A113" s="20" t="s">
        <v>308</v>
      </c>
      <c r="B113" s="61" t="s">
        <v>477</v>
      </c>
      <c r="C113" s="20">
        <f t="shared" si="12"/>
        <v>327</v>
      </c>
      <c r="D113" s="38">
        <f t="shared" si="7"/>
        <v>1</v>
      </c>
      <c r="G113" s="32" t="s">
        <v>232</v>
      </c>
      <c r="H113" s="20" t="s">
        <v>2611</v>
      </c>
      <c r="I113" s="20">
        <v>1111</v>
      </c>
      <c r="J113" s="20">
        <v>112111</v>
      </c>
      <c r="K113" s="20" t="s">
        <v>20</v>
      </c>
      <c r="L113" s="20">
        <v>1</v>
      </c>
      <c r="M113" s="34">
        <v>10000000</v>
      </c>
      <c r="N113" s="34">
        <f t="shared" si="9"/>
        <v>10000000</v>
      </c>
      <c r="O113" s="33"/>
      <c r="P113" s="20">
        <f t="shared" si="10"/>
        <v>12</v>
      </c>
    </row>
    <row r="114" spans="1:16" ht="15" hidden="1" customHeight="1" x14ac:dyDescent="0.2">
      <c r="A114" s="20" t="s">
        <v>308</v>
      </c>
      <c r="B114" s="61" t="s">
        <v>477</v>
      </c>
      <c r="C114" s="20">
        <f t="shared" si="12"/>
        <v>328</v>
      </c>
      <c r="D114" s="38">
        <f t="shared" si="7"/>
        <v>1</v>
      </c>
      <c r="G114" s="32" t="s">
        <v>232</v>
      </c>
      <c r="H114" s="20" t="s">
        <v>2613</v>
      </c>
      <c r="I114" s="20">
        <v>64275</v>
      </c>
      <c r="J114" s="20">
        <v>112111</v>
      </c>
      <c r="K114" s="20" t="s">
        <v>20</v>
      </c>
      <c r="L114" s="20">
        <v>1</v>
      </c>
      <c r="M114" s="34">
        <v>585366</v>
      </c>
      <c r="N114" s="34">
        <f t="shared" si="9"/>
        <v>585366</v>
      </c>
      <c r="O114" s="33"/>
      <c r="P114" s="20">
        <f t="shared" si="10"/>
        <v>13</v>
      </c>
    </row>
    <row r="115" spans="1:16" ht="15" hidden="1" customHeight="1" x14ac:dyDescent="0.2">
      <c r="A115" s="20" t="s">
        <v>308</v>
      </c>
      <c r="B115" s="61" t="s">
        <v>477</v>
      </c>
      <c r="C115" s="20">
        <f t="shared" si="12"/>
        <v>328</v>
      </c>
      <c r="D115" s="38">
        <f t="shared" si="7"/>
        <v>0</v>
      </c>
      <c r="G115" s="32" t="s">
        <v>232</v>
      </c>
      <c r="H115" s="20" t="s">
        <v>2613</v>
      </c>
      <c r="I115" s="20">
        <v>64275</v>
      </c>
      <c r="J115" s="20">
        <v>112111</v>
      </c>
      <c r="K115" s="20" t="s">
        <v>20</v>
      </c>
      <c r="L115" s="20">
        <v>1</v>
      </c>
      <c r="M115" s="34">
        <v>331</v>
      </c>
      <c r="N115" s="34">
        <f t="shared" si="9"/>
        <v>331</v>
      </c>
      <c r="O115" s="33"/>
      <c r="P115" s="20">
        <f t="shared" si="10"/>
        <v>13</v>
      </c>
    </row>
    <row r="116" spans="1:16" ht="15" hidden="1" customHeight="1" x14ac:dyDescent="0.2">
      <c r="A116" s="20" t="s">
        <v>308</v>
      </c>
      <c r="B116" s="61" t="s">
        <v>477</v>
      </c>
      <c r="C116" s="20">
        <f t="shared" si="12"/>
        <v>328</v>
      </c>
      <c r="D116" s="38">
        <f t="shared" si="7"/>
        <v>0</v>
      </c>
      <c r="G116" s="32" t="s">
        <v>232</v>
      </c>
      <c r="H116" s="20" t="s">
        <v>2613</v>
      </c>
      <c r="I116" s="20">
        <v>64275</v>
      </c>
      <c r="J116" s="20">
        <v>112111</v>
      </c>
      <c r="K116" s="20" t="s">
        <v>20</v>
      </c>
      <c r="L116" s="20">
        <v>1</v>
      </c>
      <c r="M116" s="34">
        <v>662</v>
      </c>
      <c r="N116" s="34">
        <f t="shared" si="9"/>
        <v>662</v>
      </c>
      <c r="O116" s="33"/>
      <c r="P116" s="20">
        <f t="shared" si="10"/>
        <v>13</v>
      </c>
    </row>
    <row r="117" spans="1:16" ht="15" hidden="1" customHeight="1" x14ac:dyDescent="0.2">
      <c r="A117" s="20" t="s">
        <v>309</v>
      </c>
      <c r="B117" s="61" t="s">
        <v>477</v>
      </c>
      <c r="C117" s="20">
        <f t="shared" si="12"/>
        <v>329</v>
      </c>
      <c r="D117" s="38">
        <f t="shared" si="7"/>
        <v>1</v>
      </c>
      <c r="G117" s="32" t="s">
        <v>56</v>
      </c>
      <c r="H117" s="20" t="s">
        <v>2627</v>
      </c>
      <c r="I117" s="20">
        <v>112111</v>
      </c>
      <c r="J117" s="20">
        <v>131</v>
      </c>
      <c r="K117" s="20" t="s">
        <v>20</v>
      </c>
      <c r="L117" s="20">
        <v>1</v>
      </c>
      <c r="M117" s="34">
        <v>7000000</v>
      </c>
      <c r="N117" s="34">
        <f t="shared" si="9"/>
        <v>7000000</v>
      </c>
      <c r="O117" s="33"/>
      <c r="P117" s="20">
        <f t="shared" si="10"/>
        <v>38</v>
      </c>
    </row>
    <row r="118" spans="1:16" ht="15" hidden="1" customHeight="1" x14ac:dyDescent="0.2">
      <c r="A118" s="20" t="s">
        <v>308</v>
      </c>
      <c r="B118" s="61">
        <v>46067</v>
      </c>
      <c r="C118" s="20">
        <f t="shared" si="12"/>
        <v>330</v>
      </c>
      <c r="D118" s="38">
        <f t="shared" si="7"/>
        <v>1</v>
      </c>
      <c r="G118" s="32" t="s">
        <v>232</v>
      </c>
      <c r="H118" s="20" t="s">
        <v>2611</v>
      </c>
      <c r="I118" s="20">
        <v>1111</v>
      </c>
      <c r="J118" s="20">
        <v>112111</v>
      </c>
      <c r="K118" s="20" t="s">
        <v>20</v>
      </c>
      <c r="L118" s="20">
        <v>1</v>
      </c>
      <c r="M118" s="34">
        <v>7000000</v>
      </c>
      <c r="N118" s="34">
        <f t="shared" si="9"/>
        <v>7000000</v>
      </c>
      <c r="O118" s="33"/>
      <c r="P118" s="20">
        <f t="shared" si="10"/>
        <v>12</v>
      </c>
    </row>
    <row r="119" spans="1:16" ht="15" hidden="1" customHeight="1" x14ac:dyDescent="0.2">
      <c r="A119" s="20" t="s">
        <v>308</v>
      </c>
      <c r="B119" s="61" t="s">
        <v>439</v>
      </c>
      <c r="C119" s="20">
        <f t="shared" si="12"/>
        <v>331</v>
      </c>
      <c r="D119" s="38">
        <f t="shared" si="7"/>
        <v>1</v>
      </c>
      <c r="G119" s="32" t="s">
        <v>232</v>
      </c>
      <c r="H119" s="20" t="s">
        <v>2613</v>
      </c>
      <c r="I119" s="20">
        <v>64275</v>
      </c>
      <c r="J119" s="20">
        <v>112111</v>
      </c>
      <c r="K119" s="20" t="s">
        <v>20</v>
      </c>
      <c r="L119" s="20">
        <v>1</v>
      </c>
      <c r="M119" s="34">
        <v>8000</v>
      </c>
      <c r="N119" s="34">
        <f t="shared" si="9"/>
        <v>8000</v>
      </c>
      <c r="O119" s="33"/>
      <c r="P119" s="20">
        <f t="shared" si="10"/>
        <v>13</v>
      </c>
    </row>
    <row r="120" spans="1:16" ht="15" hidden="1" customHeight="1" x14ac:dyDescent="0.2">
      <c r="A120" s="20" t="s">
        <v>309</v>
      </c>
      <c r="B120" s="61" t="s">
        <v>499</v>
      </c>
      <c r="C120" s="20">
        <f t="shared" si="12"/>
        <v>332</v>
      </c>
      <c r="D120" s="38">
        <f t="shared" si="7"/>
        <v>1</v>
      </c>
      <c r="G120" s="32" t="s">
        <v>232</v>
      </c>
      <c r="H120" s="20" t="s">
        <v>2622</v>
      </c>
      <c r="I120" s="20">
        <v>112111</v>
      </c>
      <c r="J120" s="20">
        <v>1111</v>
      </c>
      <c r="K120" s="20" t="s">
        <v>20</v>
      </c>
      <c r="L120" s="20">
        <v>1</v>
      </c>
      <c r="M120" s="34">
        <v>1400000</v>
      </c>
      <c r="N120" s="34">
        <f t="shared" si="9"/>
        <v>1400000</v>
      </c>
      <c r="O120" s="33"/>
      <c r="P120" s="20">
        <f t="shared" si="10"/>
        <v>22</v>
      </c>
    </row>
    <row r="121" spans="1:16" ht="15" hidden="1" customHeight="1" x14ac:dyDescent="0.2">
      <c r="A121" s="20" t="s">
        <v>308</v>
      </c>
      <c r="B121" s="61" t="s">
        <v>499</v>
      </c>
      <c r="C121" s="20">
        <f t="shared" ref="C121:C122" si="19">C120+D121</f>
        <v>333</v>
      </c>
      <c r="D121" s="38">
        <f t="shared" si="7"/>
        <v>1</v>
      </c>
      <c r="G121" s="32" t="s">
        <v>232</v>
      </c>
      <c r="H121" s="20" t="s">
        <v>2612</v>
      </c>
      <c r="I121" s="20">
        <v>3383</v>
      </c>
      <c r="J121" s="20">
        <v>112111</v>
      </c>
      <c r="K121" s="20" t="s">
        <v>20</v>
      </c>
      <c r="L121" s="20">
        <v>1</v>
      </c>
      <c r="M121" s="34">
        <v>1390112</v>
      </c>
      <c r="N121" s="34">
        <f t="shared" ref="N121:N122" si="20">L121*M121</f>
        <v>1390112</v>
      </c>
      <c r="O121" s="33"/>
      <c r="P121" s="20">
        <f t="shared" si="10"/>
        <v>8</v>
      </c>
    </row>
    <row r="122" spans="1:16" ht="15" hidden="1" customHeight="1" x14ac:dyDescent="0.2">
      <c r="A122" s="20" t="s">
        <v>309</v>
      </c>
      <c r="B122" s="61" t="s">
        <v>828</v>
      </c>
      <c r="C122" s="20">
        <f t="shared" si="19"/>
        <v>334</v>
      </c>
      <c r="D122" s="38">
        <f t="shared" si="7"/>
        <v>1</v>
      </c>
      <c r="G122" s="32" t="s">
        <v>232</v>
      </c>
      <c r="H122" s="20" t="s">
        <v>2543</v>
      </c>
      <c r="I122" s="20">
        <v>112111</v>
      </c>
      <c r="J122" s="20">
        <v>5154</v>
      </c>
      <c r="K122" s="20" t="s">
        <v>20</v>
      </c>
      <c r="L122" s="20">
        <v>1</v>
      </c>
      <c r="M122" s="34">
        <v>353</v>
      </c>
      <c r="N122" s="34">
        <f t="shared" si="20"/>
        <v>353</v>
      </c>
      <c r="O122" s="33"/>
      <c r="P122" s="20">
        <f t="shared" si="10"/>
        <v>12</v>
      </c>
    </row>
    <row r="123" spans="1:16" ht="15" hidden="1" customHeight="1" x14ac:dyDescent="0.2">
      <c r="A123" s="20" t="s">
        <v>309</v>
      </c>
      <c r="B123" s="61" t="s">
        <v>548</v>
      </c>
      <c r="C123" s="20">
        <f t="shared" si="12"/>
        <v>335</v>
      </c>
      <c r="D123" s="38">
        <f t="shared" si="7"/>
        <v>1</v>
      </c>
      <c r="G123" s="32" t="s">
        <v>311</v>
      </c>
      <c r="H123" s="20" t="s">
        <v>2615</v>
      </c>
      <c r="I123" s="20">
        <v>112111</v>
      </c>
      <c r="J123" s="20">
        <v>131</v>
      </c>
      <c r="K123" s="20" t="s">
        <v>20</v>
      </c>
      <c r="L123" s="20">
        <v>1</v>
      </c>
      <c r="M123" s="34">
        <v>2698689</v>
      </c>
      <c r="N123" s="34">
        <f t="shared" si="9"/>
        <v>2698689</v>
      </c>
      <c r="O123" s="33"/>
      <c r="P123" s="20">
        <f t="shared" si="10"/>
        <v>11</v>
      </c>
    </row>
    <row r="124" spans="1:16" ht="15" hidden="1" customHeight="1" x14ac:dyDescent="0.2">
      <c r="A124" s="20" t="s">
        <v>308</v>
      </c>
      <c r="B124" s="61" t="s">
        <v>478</v>
      </c>
      <c r="C124" s="20">
        <f t="shared" si="12"/>
        <v>336</v>
      </c>
      <c r="D124" s="38">
        <f t="shared" si="7"/>
        <v>1</v>
      </c>
      <c r="G124" s="32" t="s">
        <v>232</v>
      </c>
      <c r="H124" s="20" t="s">
        <v>2611</v>
      </c>
      <c r="I124" s="20">
        <v>1111</v>
      </c>
      <c r="J124" s="20">
        <v>112111</v>
      </c>
      <c r="K124" s="20" t="s">
        <v>20</v>
      </c>
      <c r="L124" s="20">
        <v>1</v>
      </c>
      <c r="M124" s="34">
        <v>2800000</v>
      </c>
      <c r="N124" s="34">
        <f t="shared" si="9"/>
        <v>2800000</v>
      </c>
      <c r="O124" s="33"/>
      <c r="P124" s="20">
        <f t="shared" si="10"/>
        <v>12</v>
      </c>
    </row>
    <row r="125" spans="1:16" ht="15" hidden="1" customHeight="1" x14ac:dyDescent="0.2">
      <c r="A125" s="20" t="s">
        <v>309</v>
      </c>
      <c r="B125" s="61" t="s">
        <v>504</v>
      </c>
      <c r="C125" s="20">
        <f t="shared" si="12"/>
        <v>337</v>
      </c>
      <c r="D125" s="38">
        <f t="shared" si="7"/>
        <v>1</v>
      </c>
      <c r="G125" s="32" t="s">
        <v>311</v>
      </c>
      <c r="H125" s="20" t="s">
        <v>2615</v>
      </c>
      <c r="I125" s="20">
        <v>112111</v>
      </c>
      <c r="J125" s="20">
        <v>131</v>
      </c>
      <c r="K125" s="20" t="s">
        <v>20</v>
      </c>
      <c r="L125" s="20">
        <v>1</v>
      </c>
      <c r="M125" s="34">
        <v>4890502</v>
      </c>
      <c r="N125" s="34">
        <f t="shared" si="9"/>
        <v>4890502</v>
      </c>
      <c r="O125" s="33"/>
      <c r="P125" s="20">
        <f t="shared" si="10"/>
        <v>11</v>
      </c>
    </row>
    <row r="126" spans="1:16" ht="15" hidden="1" customHeight="1" x14ac:dyDescent="0.2">
      <c r="A126" s="20" t="s">
        <v>308</v>
      </c>
      <c r="B126" s="61" t="s">
        <v>504</v>
      </c>
      <c r="C126" s="20">
        <f t="shared" si="12"/>
        <v>338</v>
      </c>
      <c r="D126" s="38">
        <f t="shared" si="7"/>
        <v>1</v>
      </c>
      <c r="G126" s="32" t="s">
        <v>232</v>
      </c>
      <c r="H126" s="20" t="s">
        <v>2611</v>
      </c>
      <c r="I126" s="20">
        <v>1111</v>
      </c>
      <c r="J126" s="20">
        <v>112111</v>
      </c>
      <c r="K126" s="20" t="s">
        <v>20</v>
      </c>
      <c r="L126" s="20">
        <v>1</v>
      </c>
      <c r="M126" s="34">
        <v>4980000</v>
      </c>
      <c r="N126" s="34">
        <f t="shared" si="9"/>
        <v>4980000</v>
      </c>
      <c r="O126" s="33"/>
      <c r="P126" s="20">
        <f t="shared" si="10"/>
        <v>12</v>
      </c>
    </row>
    <row r="127" spans="1:16" ht="15" hidden="1" customHeight="1" x14ac:dyDescent="0.2">
      <c r="A127" s="20" t="s">
        <v>309</v>
      </c>
      <c r="B127" s="61">
        <v>46091</v>
      </c>
      <c r="C127" s="20">
        <f t="shared" si="12"/>
        <v>339</v>
      </c>
      <c r="D127" s="38">
        <f t="shared" si="7"/>
        <v>1</v>
      </c>
      <c r="G127" s="32" t="s">
        <v>56</v>
      </c>
      <c r="H127" s="20" t="s">
        <v>2623</v>
      </c>
      <c r="I127" s="20">
        <v>112111</v>
      </c>
      <c r="J127" s="20">
        <v>131</v>
      </c>
      <c r="K127" s="20" t="s">
        <v>20</v>
      </c>
      <c r="L127" s="20">
        <v>1</v>
      </c>
      <c r="M127" s="34">
        <v>10112903</v>
      </c>
      <c r="N127" s="34">
        <f t="shared" si="9"/>
        <v>10112903</v>
      </c>
      <c r="O127" s="33"/>
      <c r="P127" s="20">
        <f t="shared" si="10"/>
        <v>175</v>
      </c>
    </row>
    <row r="128" spans="1:16" ht="15" hidden="1" customHeight="1" x14ac:dyDescent="0.2">
      <c r="A128" s="20" t="s">
        <v>308</v>
      </c>
      <c r="B128" s="61" t="s">
        <v>553</v>
      </c>
      <c r="C128" s="20">
        <f t="shared" ref="C128:C129" si="21">C127+D128</f>
        <v>340</v>
      </c>
      <c r="D128" s="38">
        <f t="shared" si="7"/>
        <v>1</v>
      </c>
      <c r="G128" s="32" t="s">
        <v>232</v>
      </c>
      <c r="H128" s="20" t="s">
        <v>2611</v>
      </c>
      <c r="I128" s="20">
        <v>1111</v>
      </c>
      <c r="J128" s="20">
        <v>112111</v>
      </c>
      <c r="K128" s="20" t="s">
        <v>20</v>
      </c>
      <c r="L128" s="20">
        <v>1</v>
      </c>
      <c r="M128" s="34">
        <v>10000000</v>
      </c>
      <c r="N128" s="34">
        <f t="shared" si="9"/>
        <v>10000000</v>
      </c>
      <c r="O128" s="33"/>
      <c r="P128" s="20">
        <f t="shared" si="10"/>
        <v>12</v>
      </c>
    </row>
    <row r="129" spans="1:16" ht="15" hidden="1" customHeight="1" x14ac:dyDescent="0.2">
      <c r="A129" s="20" t="s">
        <v>309</v>
      </c>
      <c r="B129" s="61" t="s">
        <v>557</v>
      </c>
      <c r="C129" s="20">
        <f t="shared" si="21"/>
        <v>341</v>
      </c>
      <c r="D129" s="38">
        <f t="shared" si="7"/>
        <v>1</v>
      </c>
      <c r="G129" s="32" t="s">
        <v>98</v>
      </c>
      <c r="H129" s="20" t="s">
        <v>2624</v>
      </c>
      <c r="I129" s="20">
        <v>112111</v>
      </c>
      <c r="J129" s="20">
        <v>131</v>
      </c>
      <c r="K129" s="20" t="s">
        <v>20</v>
      </c>
      <c r="L129" s="20">
        <v>1</v>
      </c>
      <c r="M129" s="34">
        <v>7700000</v>
      </c>
      <c r="N129" s="34">
        <f t="shared" si="9"/>
        <v>7700000</v>
      </c>
      <c r="O129" s="33"/>
      <c r="P129" s="20">
        <f t="shared" si="10"/>
        <v>161</v>
      </c>
    </row>
    <row r="130" spans="1:16" ht="15" hidden="1" customHeight="1" x14ac:dyDescent="0.2">
      <c r="A130" s="20" t="s">
        <v>309</v>
      </c>
      <c r="B130" s="61" t="s">
        <v>480</v>
      </c>
      <c r="C130" s="20">
        <f t="shared" si="12"/>
        <v>342</v>
      </c>
      <c r="D130" s="38">
        <f t="shared" si="7"/>
        <v>1</v>
      </c>
      <c r="G130" s="32" t="s">
        <v>311</v>
      </c>
      <c r="H130" s="20" t="s">
        <v>2615</v>
      </c>
      <c r="I130" s="20">
        <v>112111</v>
      </c>
      <c r="J130" s="20">
        <v>131</v>
      </c>
      <c r="K130" s="20" t="s">
        <v>20</v>
      </c>
      <c r="L130" s="20">
        <v>1</v>
      </c>
      <c r="M130" s="34">
        <v>2468329</v>
      </c>
      <c r="N130" s="34">
        <f t="shared" si="9"/>
        <v>2468329</v>
      </c>
      <c r="O130" s="33"/>
      <c r="P130" s="20">
        <f t="shared" si="10"/>
        <v>11</v>
      </c>
    </row>
    <row r="131" spans="1:16" ht="15" hidden="1" customHeight="1" x14ac:dyDescent="0.2">
      <c r="A131" s="20" t="s">
        <v>308</v>
      </c>
      <c r="B131" s="61" t="s">
        <v>480</v>
      </c>
      <c r="C131" s="20">
        <f t="shared" si="12"/>
        <v>343</v>
      </c>
      <c r="D131" s="38">
        <f t="shared" si="7"/>
        <v>1</v>
      </c>
      <c r="G131" s="32" t="s">
        <v>232</v>
      </c>
      <c r="H131" s="20" t="s">
        <v>2611</v>
      </c>
      <c r="I131" s="20">
        <v>1111</v>
      </c>
      <c r="J131" s="20">
        <v>112111</v>
      </c>
      <c r="K131" s="20" t="s">
        <v>20</v>
      </c>
      <c r="L131" s="20">
        <v>1</v>
      </c>
      <c r="M131" s="34">
        <v>7000000</v>
      </c>
      <c r="N131" s="34">
        <f t="shared" si="9"/>
        <v>7000000</v>
      </c>
      <c r="O131" s="33"/>
      <c r="P131" s="20">
        <f t="shared" si="10"/>
        <v>12</v>
      </c>
    </row>
    <row r="132" spans="1:16" ht="15" hidden="1" customHeight="1" x14ac:dyDescent="0.2">
      <c r="A132" s="20" t="s">
        <v>308</v>
      </c>
      <c r="B132" s="61" t="s">
        <v>480</v>
      </c>
      <c r="C132" s="20">
        <f t="shared" si="12"/>
        <v>343</v>
      </c>
      <c r="D132" s="38">
        <f t="shared" ref="D132:D140" si="22">IF(H132=H131,0,1)</f>
        <v>0</v>
      </c>
      <c r="G132" s="32" t="s">
        <v>232</v>
      </c>
      <c r="H132" s="20" t="s">
        <v>2611</v>
      </c>
      <c r="I132" s="20">
        <v>1111</v>
      </c>
      <c r="J132" s="20">
        <v>112111</v>
      </c>
      <c r="K132" s="20" t="s">
        <v>20</v>
      </c>
      <c r="L132" s="20">
        <v>1</v>
      </c>
      <c r="M132" s="34">
        <v>3200000</v>
      </c>
      <c r="N132" s="34">
        <f t="shared" si="9"/>
        <v>3200000</v>
      </c>
      <c r="O132" s="33"/>
      <c r="P132" s="20">
        <f t="shared" si="10"/>
        <v>12</v>
      </c>
    </row>
    <row r="133" spans="1:16" ht="15" hidden="1" customHeight="1" x14ac:dyDescent="0.2">
      <c r="A133" s="20" t="s">
        <v>309</v>
      </c>
      <c r="B133" s="61" t="s">
        <v>507</v>
      </c>
      <c r="C133" s="20">
        <f t="shared" si="12"/>
        <v>344</v>
      </c>
      <c r="D133" s="38">
        <f t="shared" si="22"/>
        <v>1</v>
      </c>
      <c r="G133" s="32" t="s">
        <v>232</v>
      </c>
      <c r="H133" s="20" t="s">
        <v>2543</v>
      </c>
      <c r="I133" s="20">
        <v>112111</v>
      </c>
      <c r="J133" s="20">
        <v>5154</v>
      </c>
      <c r="K133" s="20" t="s">
        <v>20</v>
      </c>
      <c r="L133" s="20">
        <v>1</v>
      </c>
      <c r="M133" s="34">
        <v>73</v>
      </c>
      <c r="N133" s="34">
        <f t="shared" si="9"/>
        <v>73</v>
      </c>
      <c r="O133" s="33"/>
      <c r="P133" s="20">
        <f t="shared" ref="P133:P140" si="23">LEN(H133)</f>
        <v>12</v>
      </c>
    </row>
    <row r="134" spans="1:16" ht="15" hidden="1" customHeight="1" x14ac:dyDescent="0.2">
      <c r="A134" s="20" t="s">
        <v>309</v>
      </c>
      <c r="B134" s="61" t="s">
        <v>507</v>
      </c>
      <c r="C134" s="20">
        <f t="shared" si="12"/>
        <v>345</v>
      </c>
      <c r="D134" s="38">
        <f t="shared" si="22"/>
        <v>1</v>
      </c>
      <c r="G134" s="32" t="s">
        <v>41</v>
      </c>
      <c r="H134" s="20" t="s">
        <v>2626</v>
      </c>
      <c r="I134" s="20">
        <v>112111</v>
      </c>
      <c r="J134" s="20">
        <v>131</v>
      </c>
      <c r="K134" s="20" t="s">
        <v>20</v>
      </c>
      <c r="L134" s="20">
        <v>1</v>
      </c>
      <c r="M134" s="34">
        <v>9900000</v>
      </c>
      <c r="N134" s="34">
        <f t="shared" si="9"/>
        <v>9900000</v>
      </c>
      <c r="O134" s="33"/>
      <c r="P134" s="20">
        <f t="shared" si="23"/>
        <v>96</v>
      </c>
    </row>
    <row r="135" spans="1:16" ht="15" hidden="1" customHeight="1" x14ac:dyDescent="0.2">
      <c r="A135" s="20" t="s">
        <v>18</v>
      </c>
      <c r="B135" s="61" t="s">
        <v>537</v>
      </c>
      <c r="C135" s="20">
        <f t="shared" ref="C135:C140" si="24">C134+D135</f>
        <v>346</v>
      </c>
      <c r="D135" s="38">
        <f t="shared" si="22"/>
        <v>1</v>
      </c>
      <c r="G135" s="32" t="s">
        <v>311</v>
      </c>
      <c r="H135" s="20" t="s">
        <v>2625</v>
      </c>
      <c r="I135" s="20">
        <v>131</v>
      </c>
      <c r="J135" s="20">
        <v>5118</v>
      </c>
      <c r="K135" s="20" t="s">
        <v>20</v>
      </c>
      <c r="L135" s="20">
        <v>1</v>
      </c>
      <c r="M135" s="34">
        <v>5547489</v>
      </c>
      <c r="N135" s="34">
        <f t="shared" si="9"/>
        <v>5547489</v>
      </c>
      <c r="P135" s="20">
        <f t="shared" si="23"/>
        <v>21</v>
      </c>
    </row>
    <row r="136" spans="1:16" ht="15" hidden="1" customHeight="1" x14ac:dyDescent="0.2">
      <c r="A136" s="20" t="s">
        <v>18</v>
      </c>
      <c r="B136" s="61" t="s">
        <v>659</v>
      </c>
      <c r="C136" s="20">
        <f t="shared" si="24"/>
        <v>346</v>
      </c>
      <c r="D136" s="38">
        <f t="shared" si="22"/>
        <v>0</v>
      </c>
      <c r="G136" s="32" t="s">
        <v>311</v>
      </c>
      <c r="H136" s="20" t="s">
        <v>2625</v>
      </c>
      <c r="I136" s="20">
        <v>131</v>
      </c>
      <c r="J136" s="20">
        <v>5118</v>
      </c>
      <c r="K136" s="20" t="s">
        <v>20</v>
      </c>
      <c r="L136" s="20">
        <v>1</v>
      </c>
      <c r="M136" s="34">
        <v>4085266</v>
      </c>
      <c r="N136" s="34">
        <f t="shared" ref="N136:N140" si="25">L136*M136</f>
        <v>4085266</v>
      </c>
      <c r="P136" s="20">
        <f t="shared" si="23"/>
        <v>21</v>
      </c>
    </row>
    <row r="137" spans="1:16" ht="15" hidden="1" customHeight="1" x14ac:dyDescent="0.2">
      <c r="A137" s="20" t="s">
        <v>18</v>
      </c>
      <c r="B137" s="61" t="s">
        <v>476</v>
      </c>
      <c r="C137" s="20">
        <f t="shared" si="24"/>
        <v>346</v>
      </c>
      <c r="D137" s="38">
        <f t="shared" si="22"/>
        <v>0</v>
      </c>
      <c r="G137" s="32" t="s">
        <v>311</v>
      </c>
      <c r="H137" s="20" t="s">
        <v>2625</v>
      </c>
      <c r="I137" s="20">
        <v>131</v>
      </c>
      <c r="J137" s="20">
        <v>5118</v>
      </c>
      <c r="K137" s="20" t="s">
        <v>20</v>
      </c>
      <c r="L137" s="20">
        <v>1</v>
      </c>
      <c r="M137" s="34">
        <v>3814481</v>
      </c>
      <c r="N137" s="34">
        <f t="shared" si="25"/>
        <v>3814481</v>
      </c>
      <c r="P137" s="20">
        <f t="shared" si="23"/>
        <v>21</v>
      </c>
    </row>
    <row r="138" spans="1:16" ht="15" hidden="1" customHeight="1" x14ac:dyDescent="0.2">
      <c r="A138" s="20" t="s">
        <v>18</v>
      </c>
      <c r="B138" s="61" t="s">
        <v>548</v>
      </c>
      <c r="C138" s="20">
        <f t="shared" si="24"/>
        <v>346</v>
      </c>
      <c r="D138" s="38">
        <f t="shared" si="22"/>
        <v>0</v>
      </c>
      <c r="G138" s="32" t="s">
        <v>311</v>
      </c>
      <c r="H138" s="20" t="s">
        <v>2625</v>
      </c>
      <c r="I138" s="20">
        <v>131</v>
      </c>
      <c r="J138" s="20">
        <v>5118</v>
      </c>
      <c r="K138" s="20" t="s">
        <v>20</v>
      </c>
      <c r="L138" s="20">
        <v>1</v>
      </c>
      <c r="M138" s="34">
        <v>2698689</v>
      </c>
      <c r="N138" s="34">
        <f t="shared" si="25"/>
        <v>2698689</v>
      </c>
      <c r="P138" s="20">
        <f t="shared" si="23"/>
        <v>21</v>
      </c>
    </row>
    <row r="139" spans="1:16" ht="15" hidden="1" customHeight="1" x14ac:dyDescent="0.2">
      <c r="A139" s="20" t="s">
        <v>18</v>
      </c>
      <c r="B139" s="61" t="s">
        <v>504</v>
      </c>
      <c r="C139" s="20">
        <f t="shared" si="24"/>
        <v>346</v>
      </c>
      <c r="D139" s="38">
        <f t="shared" si="22"/>
        <v>0</v>
      </c>
      <c r="G139" s="32" t="s">
        <v>311</v>
      </c>
      <c r="H139" s="20" t="s">
        <v>2625</v>
      </c>
      <c r="I139" s="20">
        <v>131</v>
      </c>
      <c r="J139" s="20">
        <v>5118</v>
      </c>
      <c r="K139" s="20" t="s">
        <v>20</v>
      </c>
      <c r="L139" s="20">
        <v>1</v>
      </c>
      <c r="M139" s="34">
        <v>4890502</v>
      </c>
      <c r="N139" s="34">
        <f t="shared" si="25"/>
        <v>4890502</v>
      </c>
      <c r="P139" s="20">
        <f t="shared" si="23"/>
        <v>21</v>
      </c>
    </row>
    <row r="140" spans="1:16" ht="15" hidden="1" customHeight="1" x14ac:dyDescent="0.2">
      <c r="A140" s="20" t="s">
        <v>18</v>
      </c>
      <c r="B140" s="61" t="s">
        <v>480</v>
      </c>
      <c r="C140" s="20">
        <f t="shared" si="24"/>
        <v>346</v>
      </c>
      <c r="D140" s="38">
        <f t="shared" si="22"/>
        <v>0</v>
      </c>
      <c r="G140" s="32" t="s">
        <v>311</v>
      </c>
      <c r="H140" s="20" t="s">
        <v>2625</v>
      </c>
      <c r="I140" s="20">
        <v>131</v>
      </c>
      <c r="J140" s="20">
        <v>5118</v>
      </c>
      <c r="K140" s="20" t="s">
        <v>20</v>
      </c>
      <c r="L140" s="20">
        <v>1</v>
      </c>
      <c r="M140" s="34">
        <v>2468329</v>
      </c>
      <c r="N140" s="34">
        <f t="shared" si="25"/>
        <v>2468329</v>
      </c>
      <c r="P140" s="20">
        <f t="shared" si="23"/>
        <v>21</v>
      </c>
    </row>
  </sheetData>
  <autoFilter ref="A3:Q140" xr:uid="{00000000-0009-0000-0000-000013000000}">
    <filterColumn colId="8">
      <filters>
        <filter val="333821"/>
      </filters>
    </filterColumn>
    <filterColumn colId="9">
      <filters>
        <filter val="131"/>
      </filters>
    </filterColumn>
  </autoFilter>
  <mergeCells count="13">
    <mergeCell ref="N1:N2"/>
    <mergeCell ref="G1:G2"/>
    <mergeCell ref="H1:H2"/>
    <mergeCell ref="I1:J1"/>
    <mergeCell ref="K1:K2"/>
    <mergeCell ref="L1:L2"/>
    <mergeCell ref="M1:M2"/>
    <mergeCell ref="F1:F2"/>
    <mergeCell ref="A1:A2"/>
    <mergeCell ref="B1:B2"/>
    <mergeCell ref="C1:C2"/>
    <mergeCell ref="D1:D2"/>
    <mergeCell ref="E1:E2"/>
  </mergeCells>
  <hyperlinks>
    <hyperlink ref="P1" location="Summary!A1" display="Back to summary"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2D050"/>
  </sheetPr>
  <dimension ref="A1:AB190"/>
  <sheetViews>
    <sheetView tabSelected="1" zoomScaleNormal="100" workbookViewId="0">
      <selection activeCell="I3" sqref="I3"/>
    </sheetView>
  </sheetViews>
  <sheetFormatPr defaultRowHeight="15" customHeight="1" x14ac:dyDescent="0.2"/>
  <cols>
    <col min="1" max="1" width="9.140625" style="12"/>
    <col min="2" max="2" width="9.140625" style="87"/>
    <col min="3" max="6" width="9.140625" style="12"/>
    <col min="7" max="7" width="14.140625" style="14" bestFit="1" customWidth="1"/>
    <col min="8" max="8" width="28.28515625" style="12" customWidth="1"/>
    <col min="9" max="12" width="9.140625" style="12"/>
    <col min="13" max="13" width="12" style="17" bestFit="1" customWidth="1"/>
    <col min="14" max="14" width="11.28515625" style="17" bestFit="1" customWidth="1"/>
    <col min="15" max="15" width="9.140625" style="12"/>
    <col min="16" max="16" width="10.42578125" style="12" bestFit="1" customWidth="1"/>
    <col min="17" max="17" width="9.140625" style="12"/>
    <col min="18" max="28" width="9.140625" style="14"/>
    <col min="29" max="16384" width="9.140625" style="12"/>
  </cols>
  <sheetData>
    <row r="1" spans="1:17" ht="15" customHeight="1" thickBot="1" x14ac:dyDescent="0.25">
      <c r="A1" s="247" t="s">
        <v>0</v>
      </c>
      <c r="B1" s="219" t="s">
        <v>1</v>
      </c>
      <c r="C1" s="247" t="s">
        <v>2</v>
      </c>
      <c r="D1" s="249" t="s">
        <v>3</v>
      </c>
      <c r="E1" s="249" t="s">
        <v>4</v>
      </c>
      <c r="F1" s="249" t="s">
        <v>5</v>
      </c>
      <c r="G1" s="241" t="s">
        <v>6</v>
      </c>
      <c r="H1" s="243" t="s">
        <v>7</v>
      </c>
      <c r="I1" s="245" t="s">
        <v>8</v>
      </c>
      <c r="J1" s="246"/>
      <c r="K1" s="247" t="s">
        <v>9</v>
      </c>
      <c r="L1" s="247" t="s">
        <v>10</v>
      </c>
      <c r="M1" s="254" t="s">
        <v>76</v>
      </c>
      <c r="N1" s="254" t="s">
        <v>77</v>
      </c>
      <c r="O1" s="45" t="s">
        <v>78</v>
      </c>
      <c r="P1" s="38"/>
      <c r="Q1" s="146" t="s">
        <v>356</v>
      </c>
    </row>
    <row r="2" spans="1:17" ht="15" customHeight="1" thickBot="1" x14ac:dyDescent="0.25">
      <c r="A2" s="248"/>
      <c r="B2" s="220"/>
      <c r="C2" s="248"/>
      <c r="D2" s="253"/>
      <c r="E2" s="253"/>
      <c r="F2" s="250"/>
      <c r="G2" s="242"/>
      <c r="H2" s="244"/>
      <c r="I2" s="46" t="s">
        <v>13</v>
      </c>
      <c r="J2" s="47" t="s">
        <v>14</v>
      </c>
      <c r="K2" s="248"/>
      <c r="L2" s="248"/>
      <c r="M2" s="255"/>
      <c r="N2" s="255"/>
      <c r="O2" s="38" t="s">
        <v>78</v>
      </c>
      <c r="P2" s="38"/>
    </row>
    <row r="3" spans="1:17" ht="15" customHeight="1" x14ac:dyDescent="0.2">
      <c r="A3" s="48"/>
      <c r="B3" s="81"/>
      <c r="C3" s="48">
        <v>218</v>
      </c>
      <c r="D3" s="49"/>
      <c r="E3" s="49"/>
      <c r="F3" s="49"/>
      <c r="G3" s="51" t="s">
        <v>15</v>
      </c>
      <c r="H3" s="52"/>
      <c r="I3" s="52"/>
      <c r="J3" s="52"/>
      <c r="K3" s="48"/>
      <c r="L3" s="48"/>
      <c r="M3" s="82"/>
      <c r="N3" s="82"/>
      <c r="O3" s="38" t="s">
        <v>16</v>
      </c>
      <c r="P3" s="38" t="s">
        <v>17</v>
      </c>
    </row>
    <row r="4" spans="1:17" ht="15" customHeight="1" x14ac:dyDescent="0.2">
      <c r="A4" s="12" t="s">
        <v>309</v>
      </c>
      <c r="B4" s="87" t="s">
        <v>470</v>
      </c>
      <c r="C4" s="12">
        <f t="shared" ref="C4:C35" si="0">C3+D4</f>
        <v>219</v>
      </c>
      <c r="D4" s="38">
        <f t="shared" ref="D4:D35" si="1">IF(H4=H3,0,1)</f>
        <v>1</v>
      </c>
      <c r="G4" s="14" t="s">
        <v>252</v>
      </c>
      <c r="H4" s="12" t="s">
        <v>3848</v>
      </c>
      <c r="I4" s="12">
        <v>112111</v>
      </c>
      <c r="J4" s="12">
        <v>131</v>
      </c>
      <c r="K4" s="12" t="s">
        <v>20</v>
      </c>
      <c r="L4" s="12">
        <v>1</v>
      </c>
      <c r="M4" s="17">
        <v>12774194</v>
      </c>
      <c r="N4" s="17">
        <f t="shared" ref="N4:N35" si="2">L4*M4</f>
        <v>12774194</v>
      </c>
      <c r="P4" s="17">
        <f t="shared" ref="P4:P35" si="3">LEN(H4)</f>
        <v>131</v>
      </c>
    </row>
    <row r="5" spans="1:17" ht="15" customHeight="1" x14ac:dyDescent="0.2">
      <c r="A5" s="12" t="s">
        <v>309</v>
      </c>
      <c r="B5" s="87" t="s">
        <v>471</v>
      </c>
      <c r="C5" s="12">
        <f t="shared" si="0"/>
        <v>220</v>
      </c>
      <c r="D5" s="38">
        <f t="shared" si="1"/>
        <v>1</v>
      </c>
      <c r="G5" s="14" t="s">
        <v>2129</v>
      </c>
      <c r="H5" s="12" t="s">
        <v>3849</v>
      </c>
      <c r="I5" s="12">
        <v>112111</v>
      </c>
      <c r="J5" s="12">
        <v>131</v>
      </c>
      <c r="K5" s="12" t="s">
        <v>20</v>
      </c>
      <c r="L5" s="12">
        <v>1</v>
      </c>
      <c r="M5" s="17">
        <v>15967742</v>
      </c>
      <c r="N5" s="17">
        <f t="shared" si="2"/>
        <v>15967742</v>
      </c>
      <c r="P5" s="17">
        <f t="shared" si="3"/>
        <v>174</v>
      </c>
    </row>
    <row r="6" spans="1:17" ht="15" customHeight="1" x14ac:dyDescent="0.2">
      <c r="A6" s="12" t="s">
        <v>309</v>
      </c>
      <c r="B6" s="87" t="s">
        <v>535</v>
      </c>
      <c r="C6" s="12">
        <f t="shared" si="0"/>
        <v>221</v>
      </c>
      <c r="D6" s="38">
        <f t="shared" si="1"/>
        <v>1</v>
      </c>
      <c r="G6" s="14" t="s">
        <v>1777</v>
      </c>
      <c r="H6" s="12" t="s">
        <v>3850</v>
      </c>
      <c r="I6" s="12">
        <v>112111</v>
      </c>
      <c r="J6" s="12">
        <v>131</v>
      </c>
      <c r="K6" s="12" t="s">
        <v>20</v>
      </c>
      <c r="L6" s="12">
        <v>1</v>
      </c>
      <c r="M6" s="17">
        <v>15967742</v>
      </c>
      <c r="N6" s="17">
        <f t="shared" si="2"/>
        <v>15967742</v>
      </c>
      <c r="P6" s="17">
        <f t="shared" si="3"/>
        <v>150</v>
      </c>
    </row>
    <row r="7" spans="1:17" ht="15" customHeight="1" x14ac:dyDescent="0.2">
      <c r="A7" s="12" t="s">
        <v>309</v>
      </c>
      <c r="B7" s="87" t="s">
        <v>658</v>
      </c>
      <c r="C7" s="12">
        <f t="shared" si="0"/>
        <v>222</v>
      </c>
      <c r="D7" s="38">
        <f t="shared" si="1"/>
        <v>1</v>
      </c>
      <c r="G7" s="14" t="s">
        <v>98</v>
      </c>
      <c r="H7" s="12" t="s">
        <v>3851</v>
      </c>
      <c r="I7" s="12">
        <v>112111</v>
      </c>
      <c r="J7" s="12">
        <v>131</v>
      </c>
      <c r="K7" s="12" t="s">
        <v>20</v>
      </c>
      <c r="L7" s="12">
        <v>1</v>
      </c>
      <c r="M7" s="17">
        <v>19800000</v>
      </c>
      <c r="N7" s="17">
        <f t="shared" si="2"/>
        <v>19800000</v>
      </c>
      <c r="P7" s="17">
        <f t="shared" si="3"/>
        <v>160</v>
      </c>
    </row>
    <row r="8" spans="1:17" ht="15" customHeight="1" x14ac:dyDescent="0.2">
      <c r="A8" s="12" t="s">
        <v>309</v>
      </c>
      <c r="B8" s="87" t="s">
        <v>538</v>
      </c>
      <c r="C8" s="12">
        <f t="shared" si="0"/>
        <v>223</v>
      </c>
      <c r="D8" s="38">
        <f t="shared" si="1"/>
        <v>1</v>
      </c>
      <c r="G8" s="14" t="s">
        <v>107</v>
      </c>
      <c r="H8" s="12" t="s">
        <v>3853</v>
      </c>
      <c r="I8" s="12">
        <v>112111</v>
      </c>
      <c r="J8" s="12">
        <v>131</v>
      </c>
      <c r="K8" s="12" t="s">
        <v>20</v>
      </c>
      <c r="L8" s="12">
        <v>1</v>
      </c>
      <c r="M8" s="17">
        <v>24200000</v>
      </c>
      <c r="N8" s="17">
        <f t="shared" si="2"/>
        <v>24200000</v>
      </c>
      <c r="P8" s="17">
        <f t="shared" si="3"/>
        <v>209</v>
      </c>
    </row>
    <row r="9" spans="1:17" ht="15" customHeight="1" x14ac:dyDescent="0.2">
      <c r="A9" s="12" t="s">
        <v>309</v>
      </c>
      <c r="B9" s="87" t="s">
        <v>538</v>
      </c>
      <c r="C9" s="12">
        <f t="shared" si="0"/>
        <v>224</v>
      </c>
      <c r="D9" s="38">
        <f t="shared" si="1"/>
        <v>1</v>
      </c>
      <c r="G9" s="14" t="s">
        <v>107</v>
      </c>
      <c r="H9" s="12" t="s">
        <v>3852</v>
      </c>
      <c r="I9" s="12">
        <v>112111</v>
      </c>
      <c r="J9" s="12">
        <v>131</v>
      </c>
      <c r="K9" s="12" t="s">
        <v>20</v>
      </c>
      <c r="L9" s="12">
        <v>1</v>
      </c>
      <c r="M9" s="17">
        <v>14300000</v>
      </c>
      <c r="N9" s="17">
        <f t="shared" si="2"/>
        <v>14300000</v>
      </c>
      <c r="P9" s="17">
        <f t="shared" si="3"/>
        <v>209</v>
      </c>
    </row>
    <row r="10" spans="1:17" ht="15" customHeight="1" x14ac:dyDescent="0.2">
      <c r="A10" s="12" t="s">
        <v>309</v>
      </c>
      <c r="B10" s="87" t="s">
        <v>645</v>
      </c>
      <c r="C10" s="12">
        <f t="shared" si="0"/>
        <v>225</v>
      </c>
      <c r="D10" s="38">
        <f t="shared" si="1"/>
        <v>1</v>
      </c>
      <c r="G10" s="14" t="s">
        <v>311</v>
      </c>
      <c r="H10" s="12" t="s">
        <v>3854</v>
      </c>
      <c r="I10" s="12">
        <v>112111</v>
      </c>
      <c r="J10" s="12">
        <v>131</v>
      </c>
      <c r="K10" s="12" t="s">
        <v>20</v>
      </c>
      <c r="L10" s="12">
        <v>1</v>
      </c>
      <c r="M10" s="17">
        <v>183783814</v>
      </c>
      <c r="N10" s="17">
        <f t="shared" si="2"/>
        <v>183783814</v>
      </c>
      <c r="P10" s="17">
        <f t="shared" si="3"/>
        <v>41</v>
      </c>
    </row>
    <row r="11" spans="1:17" ht="15" customHeight="1" x14ac:dyDescent="0.2">
      <c r="A11" s="12" t="s">
        <v>309</v>
      </c>
      <c r="B11" s="87" t="s">
        <v>645</v>
      </c>
      <c r="C11" s="12">
        <f t="shared" si="0"/>
        <v>225</v>
      </c>
      <c r="D11" s="38">
        <f t="shared" si="1"/>
        <v>0</v>
      </c>
      <c r="G11" s="14" t="s">
        <v>311</v>
      </c>
      <c r="H11" s="12" t="s">
        <v>3854</v>
      </c>
      <c r="I11" s="12">
        <v>112111</v>
      </c>
      <c r="J11" s="12">
        <v>131</v>
      </c>
      <c r="K11" s="12" t="s">
        <v>20</v>
      </c>
      <c r="L11" s="12">
        <v>1</v>
      </c>
      <c r="M11" s="17">
        <v>98552744</v>
      </c>
      <c r="N11" s="17">
        <f t="shared" si="2"/>
        <v>98552744</v>
      </c>
      <c r="P11" s="17">
        <f t="shared" si="3"/>
        <v>41</v>
      </c>
    </row>
    <row r="12" spans="1:17" ht="15" customHeight="1" x14ac:dyDescent="0.2">
      <c r="A12" s="12" t="s">
        <v>309</v>
      </c>
      <c r="B12" s="87" t="s">
        <v>711</v>
      </c>
      <c r="C12" s="12">
        <f t="shared" si="0"/>
        <v>226</v>
      </c>
      <c r="D12" s="38">
        <f t="shared" si="1"/>
        <v>1</v>
      </c>
      <c r="G12" s="14" t="s">
        <v>91</v>
      </c>
      <c r="H12" s="12" t="s">
        <v>3855</v>
      </c>
      <c r="I12" s="12">
        <v>112111</v>
      </c>
      <c r="J12" s="12">
        <v>131</v>
      </c>
      <c r="K12" s="12" t="s">
        <v>20</v>
      </c>
      <c r="L12" s="12">
        <v>1</v>
      </c>
      <c r="M12" s="17">
        <v>22354839</v>
      </c>
      <c r="N12" s="17">
        <f t="shared" si="2"/>
        <v>22354839</v>
      </c>
      <c r="P12" s="17">
        <f t="shared" si="3"/>
        <v>175</v>
      </c>
    </row>
    <row r="13" spans="1:17" ht="15" customHeight="1" x14ac:dyDescent="0.2">
      <c r="A13" s="12" t="s">
        <v>309</v>
      </c>
      <c r="B13" s="87" t="s">
        <v>659</v>
      </c>
      <c r="C13" s="12">
        <f t="shared" si="0"/>
        <v>227</v>
      </c>
      <c r="D13" s="38">
        <f t="shared" si="1"/>
        <v>1</v>
      </c>
      <c r="G13" s="14" t="s">
        <v>236</v>
      </c>
      <c r="H13" s="12" t="s">
        <v>3561</v>
      </c>
      <c r="I13" s="12">
        <v>112111</v>
      </c>
      <c r="J13" s="12">
        <v>5154</v>
      </c>
      <c r="K13" s="12" t="s">
        <v>20</v>
      </c>
      <c r="L13" s="12">
        <v>1</v>
      </c>
      <c r="M13" s="17">
        <v>114176</v>
      </c>
      <c r="N13" s="17">
        <f t="shared" si="2"/>
        <v>114176</v>
      </c>
      <c r="P13" s="17">
        <f t="shared" si="3"/>
        <v>22</v>
      </c>
    </row>
    <row r="14" spans="1:17" ht="15" customHeight="1" x14ac:dyDescent="0.2">
      <c r="A14" s="12" t="s">
        <v>309</v>
      </c>
      <c r="B14" s="87" t="s">
        <v>497</v>
      </c>
      <c r="C14" s="12">
        <f t="shared" si="0"/>
        <v>228</v>
      </c>
      <c r="D14" s="38">
        <f t="shared" si="1"/>
        <v>1</v>
      </c>
      <c r="G14" s="14" t="s">
        <v>107</v>
      </c>
      <c r="H14" s="12" t="s">
        <v>3856</v>
      </c>
      <c r="I14" s="12">
        <v>112111</v>
      </c>
      <c r="J14" s="12">
        <v>131</v>
      </c>
      <c r="K14" s="12" t="s">
        <v>20</v>
      </c>
      <c r="L14" s="12">
        <v>1</v>
      </c>
      <c r="M14" s="17">
        <v>22000000</v>
      </c>
      <c r="N14" s="17">
        <f t="shared" si="2"/>
        <v>22000000</v>
      </c>
      <c r="P14" s="17">
        <f t="shared" si="3"/>
        <v>209</v>
      </c>
    </row>
    <row r="15" spans="1:17" ht="15" customHeight="1" x14ac:dyDescent="0.2">
      <c r="A15" s="12" t="s">
        <v>309</v>
      </c>
      <c r="B15" s="87" t="s">
        <v>497</v>
      </c>
      <c r="C15" s="12">
        <f t="shared" si="0"/>
        <v>229</v>
      </c>
      <c r="D15" s="38">
        <f t="shared" si="1"/>
        <v>1</v>
      </c>
      <c r="G15" s="14" t="s">
        <v>107</v>
      </c>
      <c r="H15" s="12" t="s">
        <v>3852</v>
      </c>
      <c r="I15" s="12">
        <v>112111</v>
      </c>
      <c r="J15" s="12">
        <v>131</v>
      </c>
      <c r="K15" s="12" t="s">
        <v>20</v>
      </c>
      <c r="L15" s="12">
        <v>1</v>
      </c>
      <c r="M15" s="17">
        <v>14300000</v>
      </c>
      <c r="N15" s="17">
        <f t="shared" si="2"/>
        <v>14300000</v>
      </c>
      <c r="P15" s="17">
        <f t="shared" si="3"/>
        <v>209</v>
      </c>
    </row>
    <row r="16" spans="1:17" ht="15" customHeight="1" x14ac:dyDescent="0.2">
      <c r="A16" s="12" t="s">
        <v>309</v>
      </c>
      <c r="B16" s="87" t="s">
        <v>472</v>
      </c>
      <c r="C16" s="12">
        <f t="shared" si="0"/>
        <v>230</v>
      </c>
      <c r="D16" s="38">
        <f t="shared" si="1"/>
        <v>1</v>
      </c>
      <c r="G16" s="14" t="s">
        <v>1779</v>
      </c>
      <c r="H16" s="12" t="s">
        <v>3857</v>
      </c>
      <c r="I16" s="12">
        <v>112111</v>
      </c>
      <c r="J16" s="12">
        <v>131</v>
      </c>
      <c r="K16" s="12" t="s">
        <v>20</v>
      </c>
      <c r="L16" s="12">
        <v>1</v>
      </c>
      <c r="M16" s="17">
        <v>19800000</v>
      </c>
      <c r="N16" s="17">
        <f t="shared" si="2"/>
        <v>19800000</v>
      </c>
      <c r="P16" s="17">
        <f t="shared" si="3"/>
        <v>162</v>
      </c>
    </row>
    <row r="17" spans="1:16" ht="15" customHeight="1" x14ac:dyDescent="0.2">
      <c r="A17" s="12" t="s">
        <v>309</v>
      </c>
      <c r="B17" s="87" t="s">
        <v>498</v>
      </c>
      <c r="C17" s="12">
        <f t="shared" si="0"/>
        <v>231</v>
      </c>
      <c r="D17" s="38">
        <f t="shared" si="1"/>
        <v>1</v>
      </c>
      <c r="G17" s="14" t="s">
        <v>59</v>
      </c>
      <c r="H17" s="12" t="s">
        <v>3858</v>
      </c>
      <c r="I17" s="12">
        <v>112111</v>
      </c>
      <c r="J17" s="12">
        <v>131</v>
      </c>
      <c r="K17" s="12" t="s">
        <v>20</v>
      </c>
      <c r="L17" s="12">
        <v>1</v>
      </c>
      <c r="M17" s="17">
        <v>39600000</v>
      </c>
      <c r="N17" s="17">
        <f t="shared" si="2"/>
        <v>39600000</v>
      </c>
      <c r="P17" s="17">
        <f t="shared" si="3"/>
        <v>155</v>
      </c>
    </row>
    <row r="18" spans="1:16" ht="15" customHeight="1" x14ac:dyDescent="0.2">
      <c r="A18" s="12" t="s">
        <v>309</v>
      </c>
      <c r="B18" s="87" t="s">
        <v>473</v>
      </c>
      <c r="C18" s="12">
        <f t="shared" si="0"/>
        <v>232</v>
      </c>
      <c r="D18" s="38">
        <f t="shared" si="1"/>
        <v>1</v>
      </c>
      <c r="G18" s="14" t="s">
        <v>311</v>
      </c>
      <c r="H18" s="12" t="s">
        <v>3854</v>
      </c>
      <c r="I18" s="12">
        <v>112111</v>
      </c>
      <c r="J18" s="12">
        <v>131</v>
      </c>
      <c r="K18" s="12" t="s">
        <v>20</v>
      </c>
      <c r="L18" s="12">
        <v>1</v>
      </c>
      <c r="M18" s="17">
        <v>54051226</v>
      </c>
      <c r="N18" s="17">
        <f t="shared" si="2"/>
        <v>54051226</v>
      </c>
      <c r="P18" s="17">
        <f t="shared" si="3"/>
        <v>41</v>
      </c>
    </row>
    <row r="19" spans="1:16" ht="15" customHeight="1" x14ac:dyDescent="0.2">
      <c r="A19" s="12" t="s">
        <v>309</v>
      </c>
      <c r="B19" s="87" t="s">
        <v>473</v>
      </c>
      <c r="C19" s="12">
        <f t="shared" si="0"/>
        <v>232</v>
      </c>
      <c r="D19" s="38">
        <f t="shared" si="1"/>
        <v>0</v>
      </c>
      <c r="G19" s="14" t="s">
        <v>311</v>
      </c>
      <c r="H19" s="12" t="s">
        <v>3854</v>
      </c>
      <c r="I19" s="12">
        <v>112111</v>
      </c>
      <c r="J19" s="12">
        <v>131</v>
      </c>
      <c r="K19" s="12" t="s">
        <v>20</v>
      </c>
      <c r="L19" s="12">
        <v>1</v>
      </c>
      <c r="M19" s="17">
        <v>68939717</v>
      </c>
      <c r="N19" s="17">
        <f t="shared" si="2"/>
        <v>68939717</v>
      </c>
      <c r="P19" s="17">
        <f t="shared" si="3"/>
        <v>41</v>
      </c>
    </row>
    <row r="20" spans="1:16" ht="15" customHeight="1" x14ac:dyDescent="0.2">
      <c r="A20" s="12" t="s">
        <v>309</v>
      </c>
      <c r="B20" s="87" t="s">
        <v>474</v>
      </c>
      <c r="C20" s="12">
        <f t="shared" si="0"/>
        <v>233</v>
      </c>
      <c r="D20" s="38">
        <f t="shared" si="1"/>
        <v>1</v>
      </c>
      <c r="G20" s="14" t="s">
        <v>1785</v>
      </c>
      <c r="H20" s="12" t="s">
        <v>3859</v>
      </c>
      <c r="I20" s="12">
        <v>112111</v>
      </c>
      <c r="J20" s="12">
        <v>131</v>
      </c>
      <c r="K20" s="12" t="s">
        <v>20</v>
      </c>
      <c r="L20" s="12">
        <v>1</v>
      </c>
      <c r="M20" s="17">
        <v>22000000</v>
      </c>
      <c r="N20" s="17">
        <f t="shared" si="2"/>
        <v>22000000</v>
      </c>
      <c r="P20" s="17">
        <f t="shared" si="3"/>
        <v>113</v>
      </c>
    </row>
    <row r="21" spans="1:16" ht="15" customHeight="1" x14ac:dyDescent="0.2">
      <c r="A21" s="12" t="s">
        <v>309</v>
      </c>
      <c r="B21" s="87" t="s">
        <v>437</v>
      </c>
      <c r="C21" s="12">
        <f t="shared" si="0"/>
        <v>234</v>
      </c>
      <c r="D21" s="38">
        <f t="shared" si="1"/>
        <v>1</v>
      </c>
      <c r="G21" s="14" t="s">
        <v>96</v>
      </c>
      <c r="H21" s="12" t="s">
        <v>3860</v>
      </c>
      <c r="I21" s="12">
        <v>112111</v>
      </c>
      <c r="J21" s="12">
        <v>131</v>
      </c>
      <c r="K21" s="12" t="s">
        <v>20</v>
      </c>
      <c r="L21" s="12">
        <v>1</v>
      </c>
      <c r="M21" s="17">
        <v>16500000</v>
      </c>
      <c r="N21" s="17">
        <f t="shared" si="2"/>
        <v>16500000</v>
      </c>
      <c r="P21" s="17">
        <f t="shared" si="3"/>
        <v>164</v>
      </c>
    </row>
    <row r="22" spans="1:16" ht="15" customHeight="1" x14ac:dyDescent="0.2">
      <c r="A22" s="12" t="s">
        <v>309</v>
      </c>
      <c r="B22" s="87" t="s">
        <v>545</v>
      </c>
      <c r="C22" s="12">
        <f t="shared" si="0"/>
        <v>235</v>
      </c>
      <c r="D22" s="38">
        <f t="shared" si="1"/>
        <v>1</v>
      </c>
      <c r="G22" s="14" t="s">
        <v>85</v>
      </c>
      <c r="H22" s="12" t="s">
        <v>3861</v>
      </c>
      <c r="I22" s="12">
        <v>112111</v>
      </c>
      <c r="J22" s="12">
        <v>131</v>
      </c>
      <c r="K22" s="12" t="s">
        <v>20</v>
      </c>
      <c r="L22" s="12">
        <v>1</v>
      </c>
      <c r="M22" s="17">
        <v>22000000</v>
      </c>
      <c r="N22" s="17">
        <f t="shared" si="2"/>
        <v>22000000</v>
      </c>
      <c r="P22" s="17">
        <f t="shared" si="3"/>
        <v>162</v>
      </c>
    </row>
    <row r="23" spans="1:16" ht="15" customHeight="1" x14ac:dyDescent="0.2">
      <c r="A23" s="12" t="s">
        <v>309</v>
      </c>
      <c r="B23" s="87" t="s">
        <v>545</v>
      </c>
      <c r="C23" s="12">
        <f t="shared" si="0"/>
        <v>236</v>
      </c>
      <c r="D23" s="38">
        <f t="shared" si="1"/>
        <v>1</v>
      </c>
      <c r="G23" s="14" t="s">
        <v>1790</v>
      </c>
      <c r="H23" s="12" t="s">
        <v>3862</v>
      </c>
      <c r="I23" s="12">
        <v>112111</v>
      </c>
      <c r="J23" s="12">
        <v>131</v>
      </c>
      <c r="K23" s="12" t="s">
        <v>20</v>
      </c>
      <c r="L23" s="12">
        <v>1</v>
      </c>
      <c r="M23" s="17">
        <v>19161290</v>
      </c>
      <c r="N23" s="17">
        <f t="shared" si="2"/>
        <v>19161290</v>
      </c>
      <c r="P23" s="17">
        <f t="shared" si="3"/>
        <v>148</v>
      </c>
    </row>
    <row r="24" spans="1:16" ht="15" customHeight="1" x14ac:dyDescent="0.2">
      <c r="A24" s="12" t="s">
        <v>309</v>
      </c>
      <c r="B24" s="87" t="s">
        <v>545</v>
      </c>
      <c r="C24" s="12">
        <f t="shared" si="0"/>
        <v>237</v>
      </c>
      <c r="D24" s="38">
        <f t="shared" si="1"/>
        <v>1</v>
      </c>
      <c r="G24" s="14" t="s">
        <v>107</v>
      </c>
      <c r="H24" s="12" t="s">
        <v>3863</v>
      </c>
      <c r="I24" s="12">
        <v>112111</v>
      </c>
      <c r="J24" s="12">
        <v>131</v>
      </c>
      <c r="K24" s="12" t="s">
        <v>20</v>
      </c>
      <c r="L24" s="12">
        <v>1</v>
      </c>
      <c r="M24" s="17">
        <v>16500000</v>
      </c>
      <c r="N24" s="17">
        <f t="shared" si="2"/>
        <v>16500000</v>
      </c>
      <c r="P24" s="17">
        <f t="shared" si="3"/>
        <v>210</v>
      </c>
    </row>
    <row r="25" spans="1:16" ht="15" customHeight="1" x14ac:dyDescent="0.2">
      <c r="A25" s="12" t="s">
        <v>309</v>
      </c>
      <c r="B25" s="87" t="s">
        <v>545</v>
      </c>
      <c r="C25" s="12">
        <f t="shared" si="0"/>
        <v>238</v>
      </c>
      <c r="D25" s="38">
        <f t="shared" si="1"/>
        <v>1</v>
      </c>
      <c r="G25" s="14" t="s">
        <v>107</v>
      </c>
      <c r="H25" s="12" t="s">
        <v>3864</v>
      </c>
      <c r="I25" s="12">
        <v>112111</v>
      </c>
      <c r="J25" s="12">
        <v>131</v>
      </c>
      <c r="K25" s="12" t="s">
        <v>20</v>
      </c>
      <c r="L25" s="12">
        <v>1</v>
      </c>
      <c r="M25" s="17">
        <v>16500000</v>
      </c>
      <c r="N25" s="17">
        <f t="shared" si="2"/>
        <v>16500000</v>
      </c>
      <c r="P25" s="17">
        <f t="shared" si="3"/>
        <v>210</v>
      </c>
    </row>
    <row r="26" spans="1:16" ht="15" customHeight="1" x14ac:dyDescent="0.2">
      <c r="A26" s="12" t="s">
        <v>309</v>
      </c>
      <c r="B26" s="87" t="s">
        <v>476</v>
      </c>
      <c r="C26" s="12">
        <f t="shared" si="0"/>
        <v>239</v>
      </c>
      <c r="D26" s="38">
        <f t="shared" si="1"/>
        <v>1</v>
      </c>
      <c r="G26" s="14" t="s">
        <v>91</v>
      </c>
      <c r="H26" s="12" t="s">
        <v>3865</v>
      </c>
      <c r="I26" s="12">
        <v>112111</v>
      </c>
      <c r="J26" s="12">
        <v>131</v>
      </c>
      <c r="K26" s="12" t="s">
        <v>20</v>
      </c>
      <c r="L26" s="12">
        <v>1</v>
      </c>
      <c r="M26" s="17">
        <v>2200000</v>
      </c>
      <c r="N26" s="17">
        <f t="shared" si="2"/>
        <v>2200000</v>
      </c>
      <c r="P26" s="17">
        <f t="shared" si="3"/>
        <v>176</v>
      </c>
    </row>
    <row r="27" spans="1:16" ht="15" customHeight="1" x14ac:dyDescent="0.2">
      <c r="A27" s="12" t="s">
        <v>309</v>
      </c>
      <c r="B27" s="87" t="s">
        <v>438</v>
      </c>
      <c r="C27" s="12">
        <f t="shared" si="0"/>
        <v>240</v>
      </c>
      <c r="D27" s="38">
        <f t="shared" si="1"/>
        <v>1</v>
      </c>
      <c r="G27" s="14" t="s">
        <v>59</v>
      </c>
      <c r="H27" s="12" t="s">
        <v>3866</v>
      </c>
      <c r="I27" s="12">
        <v>112111</v>
      </c>
      <c r="J27" s="12">
        <v>131</v>
      </c>
      <c r="K27" s="12" t="s">
        <v>20</v>
      </c>
      <c r="L27" s="12">
        <v>1</v>
      </c>
      <c r="M27" s="17">
        <v>14300000</v>
      </c>
      <c r="N27" s="17">
        <f t="shared" si="2"/>
        <v>14300000</v>
      </c>
      <c r="P27" s="17">
        <f t="shared" si="3"/>
        <v>155</v>
      </c>
    </row>
    <row r="28" spans="1:16" ht="15" customHeight="1" x14ac:dyDescent="0.2">
      <c r="A28" s="12" t="s">
        <v>309</v>
      </c>
      <c r="B28" s="87" t="s">
        <v>477</v>
      </c>
      <c r="C28" s="12">
        <f t="shared" si="0"/>
        <v>241</v>
      </c>
      <c r="D28" s="38">
        <f t="shared" si="1"/>
        <v>1</v>
      </c>
      <c r="G28" s="14" t="s">
        <v>88</v>
      </c>
      <c r="H28" s="12" t="s">
        <v>3867</v>
      </c>
      <c r="I28" s="12">
        <v>112111</v>
      </c>
      <c r="J28" s="12">
        <v>131</v>
      </c>
      <c r="K28" s="12" t="s">
        <v>20</v>
      </c>
      <c r="L28" s="12">
        <v>1</v>
      </c>
      <c r="M28" s="17">
        <v>16500000</v>
      </c>
      <c r="N28" s="17">
        <f t="shared" si="2"/>
        <v>16500000</v>
      </c>
      <c r="P28" s="17">
        <f t="shared" si="3"/>
        <v>132</v>
      </c>
    </row>
    <row r="29" spans="1:16" ht="15" customHeight="1" x14ac:dyDescent="0.2">
      <c r="A29" s="12" t="s">
        <v>309</v>
      </c>
      <c r="B29" s="87" t="s">
        <v>477</v>
      </c>
      <c r="C29" s="12">
        <f t="shared" si="0"/>
        <v>242</v>
      </c>
      <c r="D29" s="38">
        <f t="shared" si="1"/>
        <v>1</v>
      </c>
      <c r="G29" s="174" t="s">
        <v>106</v>
      </c>
      <c r="H29" s="12" t="s">
        <v>3879</v>
      </c>
      <c r="I29" s="12">
        <v>112111</v>
      </c>
      <c r="J29" s="12">
        <v>131</v>
      </c>
      <c r="K29" s="12" t="s">
        <v>20</v>
      </c>
      <c r="L29" s="12">
        <v>1</v>
      </c>
      <c r="M29" s="17">
        <v>16129032</v>
      </c>
      <c r="N29" s="17">
        <f t="shared" si="2"/>
        <v>16129032</v>
      </c>
      <c r="P29" s="17">
        <f t="shared" si="3"/>
        <v>152</v>
      </c>
    </row>
    <row r="30" spans="1:16" ht="15" customHeight="1" x14ac:dyDescent="0.2">
      <c r="A30" s="12" t="s">
        <v>309</v>
      </c>
      <c r="B30" s="87" t="s">
        <v>439</v>
      </c>
      <c r="C30" s="12">
        <f t="shared" si="0"/>
        <v>243</v>
      </c>
      <c r="D30" s="38">
        <f t="shared" si="1"/>
        <v>1</v>
      </c>
      <c r="G30" s="14" t="s">
        <v>311</v>
      </c>
      <c r="H30" s="12" t="s">
        <v>3854</v>
      </c>
      <c r="I30" s="12">
        <v>112111</v>
      </c>
      <c r="J30" s="12">
        <v>131</v>
      </c>
      <c r="K30" s="12" t="s">
        <v>20</v>
      </c>
      <c r="L30" s="12">
        <v>1</v>
      </c>
      <c r="M30" s="17">
        <v>109398377</v>
      </c>
      <c r="N30" s="17">
        <f t="shared" si="2"/>
        <v>109398377</v>
      </c>
      <c r="P30" s="17">
        <f t="shared" si="3"/>
        <v>41</v>
      </c>
    </row>
    <row r="31" spans="1:16" ht="15" customHeight="1" x14ac:dyDescent="0.2">
      <c r="A31" s="12" t="s">
        <v>309</v>
      </c>
      <c r="B31" s="87" t="s">
        <v>439</v>
      </c>
      <c r="C31" s="12">
        <f t="shared" si="0"/>
        <v>243</v>
      </c>
      <c r="D31" s="38">
        <f t="shared" si="1"/>
        <v>0</v>
      </c>
      <c r="G31" s="14" t="s">
        <v>311</v>
      </c>
      <c r="H31" s="12" t="s">
        <v>3854</v>
      </c>
      <c r="I31" s="12">
        <v>112111</v>
      </c>
      <c r="J31" s="12">
        <v>131</v>
      </c>
      <c r="K31" s="12" t="s">
        <v>20</v>
      </c>
      <c r="L31" s="12">
        <v>1</v>
      </c>
      <c r="M31" s="17">
        <v>90720072</v>
      </c>
      <c r="N31" s="17">
        <f t="shared" si="2"/>
        <v>90720072</v>
      </c>
      <c r="P31" s="17">
        <f t="shared" si="3"/>
        <v>41</v>
      </c>
    </row>
    <row r="32" spans="1:16" ht="15" customHeight="1" x14ac:dyDescent="0.2">
      <c r="A32" s="12" t="s">
        <v>309</v>
      </c>
      <c r="B32" s="87" t="s">
        <v>500</v>
      </c>
      <c r="C32" s="12">
        <f t="shared" si="0"/>
        <v>244</v>
      </c>
      <c r="D32" s="38">
        <f t="shared" si="1"/>
        <v>1</v>
      </c>
      <c r="G32" s="14" t="s">
        <v>236</v>
      </c>
      <c r="H32" s="12" t="s">
        <v>3561</v>
      </c>
      <c r="I32" s="12">
        <v>112111</v>
      </c>
      <c r="J32" s="12">
        <v>5154</v>
      </c>
      <c r="K32" s="12" t="s">
        <v>20</v>
      </c>
      <c r="L32" s="12">
        <v>1</v>
      </c>
      <c r="M32" s="17">
        <v>305051</v>
      </c>
      <c r="N32" s="17">
        <f t="shared" si="2"/>
        <v>305051</v>
      </c>
      <c r="P32" s="17">
        <f t="shared" si="3"/>
        <v>22</v>
      </c>
    </row>
    <row r="33" spans="1:16" ht="15" customHeight="1" x14ac:dyDescent="0.2">
      <c r="A33" s="12" t="s">
        <v>309</v>
      </c>
      <c r="B33" s="87" t="s">
        <v>828</v>
      </c>
      <c r="C33" s="12">
        <f t="shared" si="0"/>
        <v>245</v>
      </c>
      <c r="D33" s="38">
        <f t="shared" si="1"/>
        <v>1</v>
      </c>
      <c r="G33" s="14" t="s">
        <v>311</v>
      </c>
      <c r="H33" s="12" t="s">
        <v>3854</v>
      </c>
      <c r="I33" s="12">
        <v>112111</v>
      </c>
      <c r="J33" s="12">
        <v>131</v>
      </c>
      <c r="K33" s="12" t="s">
        <v>20</v>
      </c>
      <c r="L33" s="12">
        <v>1</v>
      </c>
      <c r="M33" s="17">
        <v>14353285</v>
      </c>
      <c r="N33" s="17">
        <f t="shared" si="2"/>
        <v>14353285</v>
      </c>
      <c r="P33" s="17">
        <f t="shared" si="3"/>
        <v>41</v>
      </c>
    </row>
    <row r="34" spans="1:16" ht="15" customHeight="1" x14ac:dyDescent="0.2">
      <c r="A34" s="12" t="s">
        <v>309</v>
      </c>
      <c r="B34" s="87" t="s">
        <v>828</v>
      </c>
      <c r="C34" s="12">
        <f t="shared" si="0"/>
        <v>245</v>
      </c>
      <c r="D34" s="38">
        <f t="shared" si="1"/>
        <v>0</v>
      </c>
      <c r="G34" s="14" t="s">
        <v>311</v>
      </c>
      <c r="H34" s="12" t="s">
        <v>3854</v>
      </c>
      <c r="I34" s="12">
        <v>112111</v>
      </c>
      <c r="J34" s="12">
        <v>131</v>
      </c>
      <c r="K34" s="12" t="s">
        <v>20</v>
      </c>
      <c r="L34" s="12">
        <v>1</v>
      </c>
      <c r="M34" s="17">
        <v>41567321</v>
      </c>
      <c r="N34" s="17">
        <f t="shared" si="2"/>
        <v>41567321</v>
      </c>
      <c r="P34" s="17">
        <f t="shared" si="3"/>
        <v>41</v>
      </c>
    </row>
    <row r="35" spans="1:16" ht="15" customHeight="1" x14ac:dyDescent="0.2">
      <c r="A35" s="12" t="s">
        <v>309</v>
      </c>
      <c r="B35" s="87" t="s">
        <v>441</v>
      </c>
      <c r="C35" s="12">
        <f t="shared" si="0"/>
        <v>246</v>
      </c>
      <c r="D35" s="38">
        <f t="shared" si="1"/>
        <v>1</v>
      </c>
      <c r="G35" s="14" t="s">
        <v>1779</v>
      </c>
      <c r="H35" s="12" t="s">
        <v>3868</v>
      </c>
      <c r="I35" s="12">
        <v>112111</v>
      </c>
      <c r="J35" s="12">
        <v>131</v>
      </c>
      <c r="K35" s="12" t="s">
        <v>20</v>
      </c>
      <c r="L35" s="12">
        <v>1</v>
      </c>
      <c r="M35" s="17">
        <v>15400000</v>
      </c>
      <c r="N35" s="17">
        <f t="shared" si="2"/>
        <v>15400000</v>
      </c>
      <c r="P35" s="17">
        <f t="shared" si="3"/>
        <v>193</v>
      </c>
    </row>
    <row r="36" spans="1:16" ht="15" customHeight="1" x14ac:dyDescent="0.2">
      <c r="A36" s="12" t="s">
        <v>309</v>
      </c>
      <c r="B36" s="87" t="s">
        <v>503</v>
      </c>
      <c r="C36" s="12">
        <f t="shared" ref="C36:C67" si="4">C35+D36</f>
        <v>247</v>
      </c>
      <c r="D36" s="38">
        <f t="shared" ref="D36:D67" si="5">IF(H36=H35,0,1)</f>
        <v>1</v>
      </c>
      <c r="G36" s="14" t="s">
        <v>1788</v>
      </c>
      <c r="H36" s="12" t="s">
        <v>3869</v>
      </c>
      <c r="I36" s="12">
        <v>112111</v>
      </c>
      <c r="J36" s="12">
        <v>131</v>
      </c>
      <c r="K36" s="12" t="s">
        <v>20</v>
      </c>
      <c r="L36" s="12">
        <v>1</v>
      </c>
      <c r="M36" s="17">
        <v>16500000</v>
      </c>
      <c r="N36" s="17">
        <f t="shared" ref="N36:N67" si="6">L36*M36</f>
        <v>16500000</v>
      </c>
      <c r="P36" s="17">
        <f t="shared" ref="P36:P67" si="7">LEN(H36)</f>
        <v>154</v>
      </c>
    </row>
    <row r="37" spans="1:16" ht="15" customHeight="1" x14ac:dyDescent="0.2">
      <c r="A37" s="12" t="s">
        <v>309</v>
      </c>
      <c r="B37" s="87" t="s">
        <v>552</v>
      </c>
      <c r="C37" s="12">
        <f t="shared" si="4"/>
        <v>248</v>
      </c>
      <c r="D37" s="38">
        <f t="shared" si="5"/>
        <v>1</v>
      </c>
      <c r="G37" s="14" t="s">
        <v>34</v>
      </c>
      <c r="H37" s="12" t="s">
        <v>3870</v>
      </c>
      <c r="I37" s="12">
        <v>112111</v>
      </c>
      <c r="J37" s="12">
        <v>131</v>
      </c>
      <c r="K37" s="12" t="s">
        <v>20</v>
      </c>
      <c r="L37" s="12">
        <v>1</v>
      </c>
      <c r="M37" s="17">
        <v>16500000</v>
      </c>
      <c r="N37" s="17">
        <f t="shared" si="6"/>
        <v>16500000</v>
      </c>
      <c r="P37" s="17">
        <f t="shared" si="7"/>
        <v>187</v>
      </c>
    </row>
    <row r="38" spans="1:16" ht="15" customHeight="1" x14ac:dyDescent="0.2">
      <c r="A38" s="12" t="s">
        <v>309</v>
      </c>
      <c r="B38" s="87" t="s">
        <v>554</v>
      </c>
      <c r="C38" s="12">
        <f t="shared" si="4"/>
        <v>249</v>
      </c>
      <c r="D38" s="38">
        <f t="shared" si="5"/>
        <v>1</v>
      </c>
      <c r="G38" s="14" t="s">
        <v>29</v>
      </c>
      <c r="H38" s="12" t="s">
        <v>3871</v>
      </c>
      <c r="I38" s="12">
        <v>112111</v>
      </c>
      <c r="J38" s="12">
        <v>131</v>
      </c>
      <c r="K38" s="12" t="s">
        <v>20</v>
      </c>
      <c r="L38" s="12">
        <v>1</v>
      </c>
      <c r="M38" s="17">
        <v>19800000</v>
      </c>
      <c r="N38" s="17">
        <f t="shared" si="6"/>
        <v>19800000</v>
      </c>
      <c r="P38" s="17">
        <f t="shared" si="7"/>
        <v>146</v>
      </c>
    </row>
    <row r="39" spans="1:16" ht="15" customHeight="1" x14ac:dyDescent="0.2">
      <c r="A39" s="12" t="s">
        <v>309</v>
      </c>
      <c r="B39" s="87" t="s">
        <v>554</v>
      </c>
      <c r="C39" s="12">
        <f t="shared" si="4"/>
        <v>250</v>
      </c>
      <c r="D39" s="38">
        <f t="shared" si="5"/>
        <v>1</v>
      </c>
      <c r="G39" s="174" t="s">
        <v>106</v>
      </c>
      <c r="H39" s="12" t="s">
        <v>3879</v>
      </c>
      <c r="I39" s="12">
        <v>112111</v>
      </c>
      <c r="J39" s="12">
        <v>131</v>
      </c>
      <c r="K39" s="12" t="s">
        <v>20</v>
      </c>
      <c r="L39" s="12">
        <v>1</v>
      </c>
      <c r="M39" s="17">
        <v>370968</v>
      </c>
      <c r="N39" s="17">
        <f t="shared" si="6"/>
        <v>370968</v>
      </c>
      <c r="P39" s="17">
        <f t="shared" si="7"/>
        <v>152</v>
      </c>
    </row>
    <row r="40" spans="1:16" ht="15" customHeight="1" x14ac:dyDescent="0.2">
      <c r="A40" s="12" t="s">
        <v>309</v>
      </c>
      <c r="B40" s="87" t="s">
        <v>556</v>
      </c>
      <c r="C40" s="12">
        <f t="shared" si="4"/>
        <v>251</v>
      </c>
      <c r="D40" s="38">
        <f t="shared" si="5"/>
        <v>1</v>
      </c>
      <c r="G40" s="14" t="s">
        <v>280</v>
      </c>
      <c r="H40" s="12" t="s">
        <v>3872</v>
      </c>
      <c r="I40" s="12">
        <v>112111</v>
      </c>
      <c r="J40" s="12">
        <v>131</v>
      </c>
      <c r="K40" s="12" t="s">
        <v>20</v>
      </c>
      <c r="L40" s="12">
        <v>1</v>
      </c>
      <c r="M40" s="17">
        <v>15967742</v>
      </c>
      <c r="N40" s="17">
        <f t="shared" si="6"/>
        <v>15967742</v>
      </c>
      <c r="P40" s="17">
        <f t="shared" si="7"/>
        <v>152</v>
      </c>
    </row>
    <row r="41" spans="1:16" ht="15" customHeight="1" x14ac:dyDescent="0.2">
      <c r="A41" s="12" t="s">
        <v>309</v>
      </c>
      <c r="B41" s="87" t="s">
        <v>505</v>
      </c>
      <c r="C41" s="12">
        <f t="shared" si="4"/>
        <v>252</v>
      </c>
      <c r="D41" s="38">
        <f t="shared" si="5"/>
        <v>1</v>
      </c>
      <c r="G41" s="14" t="s">
        <v>107</v>
      </c>
      <c r="H41" s="12" t="s">
        <v>3876</v>
      </c>
      <c r="I41" s="12">
        <v>112111</v>
      </c>
      <c r="J41" s="12">
        <v>131</v>
      </c>
      <c r="K41" s="12" t="s">
        <v>20</v>
      </c>
      <c r="L41" s="12">
        <v>1</v>
      </c>
      <c r="M41" s="17">
        <v>40700000</v>
      </c>
      <c r="N41" s="17">
        <f t="shared" si="6"/>
        <v>40700000</v>
      </c>
      <c r="P41" s="17">
        <f t="shared" si="7"/>
        <v>210</v>
      </c>
    </row>
    <row r="42" spans="1:16" ht="15" customHeight="1" x14ac:dyDescent="0.2">
      <c r="A42" s="12" t="s">
        <v>309</v>
      </c>
      <c r="B42" s="87" t="s">
        <v>505</v>
      </c>
      <c r="C42" s="12">
        <f t="shared" si="4"/>
        <v>253</v>
      </c>
      <c r="D42" s="38">
        <f t="shared" si="5"/>
        <v>1</v>
      </c>
      <c r="G42" s="14" t="s">
        <v>107</v>
      </c>
      <c r="H42" s="12" t="s">
        <v>3875</v>
      </c>
      <c r="I42" s="12">
        <v>112111</v>
      </c>
      <c r="J42" s="12">
        <v>131</v>
      </c>
      <c r="K42" s="12" t="s">
        <v>20</v>
      </c>
      <c r="L42" s="12">
        <v>1</v>
      </c>
      <c r="M42" s="17">
        <v>16500000</v>
      </c>
      <c r="N42" s="17">
        <f t="shared" si="6"/>
        <v>16500000</v>
      </c>
      <c r="P42" s="17">
        <f t="shared" si="7"/>
        <v>210</v>
      </c>
    </row>
    <row r="43" spans="1:16" ht="15" customHeight="1" x14ac:dyDescent="0.2">
      <c r="A43" s="12" t="s">
        <v>309</v>
      </c>
      <c r="B43" s="87" t="s">
        <v>558</v>
      </c>
      <c r="C43" s="12">
        <f t="shared" si="4"/>
        <v>254</v>
      </c>
      <c r="D43" s="38">
        <f t="shared" si="5"/>
        <v>1</v>
      </c>
      <c r="G43" s="14" t="s">
        <v>311</v>
      </c>
      <c r="H43" s="12" t="s">
        <v>3854</v>
      </c>
      <c r="I43" s="12">
        <v>112111</v>
      </c>
      <c r="J43" s="12">
        <v>131</v>
      </c>
      <c r="K43" s="12" t="s">
        <v>20</v>
      </c>
      <c r="L43" s="12">
        <v>1</v>
      </c>
      <c r="M43" s="17">
        <v>169291924</v>
      </c>
      <c r="N43" s="17">
        <f t="shared" si="6"/>
        <v>169291924</v>
      </c>
      <c r="P43" s="17">
        <f t="shared" si="7"/>
        <v>41</v>
      </c>
    </row>
    <row r="44" spans="1:16" ht="15" customHeight="1" x14ac:dyDescent="0.2">
      <c r="A44" s="12" t="s">
        <v>309</v>
      </c>
      <c r="B44" s="87" t="s">
        <v>558</v>
      </c>
      <c r="C44" s="12">
        <f t="shared" si="4"/>
        <v>254</v>
      </c>
      <c r="D44" s="38">
        <f t="shared" si="5"/>
        <v>0</v>
      </c>
      <c r="G44" s="14" t="s">
        <v>311</v>
      </c>
      <c r="H44" s="12" t="s">
        <v>3854</v>
      </c>
      <c r="I44" s="12">
        <v>112111</v>
      </c>
      <c r="J44" s="12">
        <v>131</v>
      </c>
      <c r="K44" s="12" t="s">
        <v>20</v>
      </c>
      <c r="L44" s="12">
        <v>1</v>
      </c>
      <c r="M44" s="17">
        <v>65516358</v>
      </c>
      <c r="N44" s="17">
        <f t="shared" si="6"/>
        <v>65516358</v>
      </c>
      <c r="P44" s="17">
        <f t="shared" si="7"/>
        <v>41</v>
      </c>
    </row>
    <row r="45" spans="1:16" ht="15" customHeight="1" x14ac:dyDescent="0.2">
      <c r="A45" s="12" t="s">
        <v>309</v>
      </c>
      <c r="B45" s="87" t="s">
        <v>559</v>
      </c>
      <c r="C45" s="12">
        <f t="shared" si="4"/>
        <v>255</v>
      </c>
      <c r="D45" s="38">
        <f t="shared" si="5"/>
        <v>1</v>
      </c>
      <c r="G45" s="14" t="s">
        <v>88</v>
      </c>
      <c r="H45" s="12" t="s">
        <v>3867</v>
      </c>
      <c r="I45" s="12">
        <v>112111</v>
      </c>
      <c r="J45" s="12">
        <v>131</v>
      </c>
      <c r="K45" s="12" t="s">
        <v>20</v>
      </c>
      <c r="L45" s="12">
        <v>1</v>
      </c>
      <c r="M45" s="17">
        <v>16500000</v>
      </c>
      <c r="N45" s="17">
        <f t="shared" si="6"/>
        <v>16500000</v>
      </c>
      <c r="P45" s="17">
        <f t="shared" si="7"/>
        <v>132</v>
      </c>
    </row>
    <row r="46" spans="1:16" ht="15" customHeight="1" x14ac:dyDescent="0.2">
      <c r="A46" s="12" t="s">
        <v>309</v>
      </c>
      <c r="B46" s="87" t="s">
        <v>506</v>
      </c>
      <c r="C46" s="12">
        <f t="shared" si="4"/>
        <v>256</v>
      </c>
      <c r="D46" s="38">
        <f t="shared" si="5"/>
        <v>1</v>
      </c>
      <c r="G46" s="14" t="s">
        <v>236</v>
      </c>
      <c r="H46" s="12" t="s">
        <v>3561</v>
      </c>
      <c r="I46" s="12">
        <v>112111</v>
      </c>
      <c r="J46" s="12">
        <v>5154</v>
      </c>
      <c r="K46" s="12" t="s">
        <v>20</v>
      </c>
      <c r="L46" s="12">
        <v>1</v>
      </c>
      <c r="M46" s="17">
        <v>15017</v>
      </c>
      <c r="N46" s="17">
        <f t="shared" si="6"/>
        <v>15017</v>
      </c>
      <c r="P46" s="17">
        <f t="shared" si="7"/>
        <v>22</v>
      </c>
    </row>
    <row r="47" spans="1:16" ht="15" customHeight="1" x14ac:dyDescent="0.2">
      <c r="A47" s="12" t="s">
        <v>309</v>
      </c>
      <c r="B47" s="87" t="s">
        <v>506</v>
      </c>
      <c r="C47" s="12">
        <f t="shared" si="4"/>
        <v>257</v>
      </c>
      <c r="D47" s="38">
        <f t="shared" si="5"/>
        <v>1</v>
      </c>
      <c r="G47" s="14" t="s">
        <v>91</v>
      </c>
      <c r="H47" s="12" t="s">
        <v>3877</v>
      </c>
      <c r="I47" s="12">
        <v>112111</v>
      </c>
      <c r="J47" s="12">
        <v>131</v>
      </c>
      <c r="K47" s="12" t="s">
        <v>20</v>
      </c>
      <c r="L47" s="12">
        <v>1</v>
      </c>
      <c r="M47" s="17">
        <v>16500000</v>
      </c>
      <c r="N47" s="17">
        <f t="shared" si="6"/>
        <v>16500000</v>
      </c>
      <c r="P47" s="17">
        <f t="shared" si="7"/>
        <v>179</v>
      </c>
    </row>
    <row r="48" spans="1:16" ht="15" customHeight="1" x14ac:dyDescent="0.2">
      <c r="A48" s="12" t="s">
        <v>309</v>
      </c>
      <c r="B48" s="87" t="s">
        <v>506</v>
      </c>
      <c r="C48" s="12">
        <f t="shared" si="4"/>
        <v>258</v>
      </c>
      <c r="D48" s="38">
        <f t="shared" si="5"/>
        <v>1</v>
      </c>
      <c r="G48" s="14" t="s">
        <v>1785</v>
      </c>
      <c r="H48" s="12" t="s">
        <v>3873</v>
      </c>
      <c r="I48" s="12">
        <v>112111</v>
      </c>
      <c r="J48" s="12">
        <v>131</v>
      </c>
      <c r="K48" s="12" t="s">
        <v>20</v>
      </c>
      <c r="L48" s="12">
        <v>1</v>
      </c>
      <c r="M48" s="17">
        <v>60500000</v>
      </c>
      <c r="N48" s="17">
        <f t="shared" si="6"/>
        <v>60500000</v>
      </c>
      <c r="P48" s="17">
        <f t="shared" si="7"/>
        <v>155</v>
      </c>
    </row>
    <row r="49" spans="1:16" ht="15" customHeight="1" x14ac:dyDescent="0.2">
      <c r="A49" s="12" t="s">
        <v>309</v>
      </c>
      <c r="B49" s="87" t="s">
        <v>560</v>
      </c>
      <c r="C49" s="12">
        <f t="shared" si="4"/>
        <v>259</v>
      </c>
      <c r="D49" s="38">
        <f t="shared" si="5"/>
        <v>1</v>
      </c>
      <c r="G49" s="14" t="s">
        <v>1779</v>
      </c>
      <c r="H49" s="12" t="s">
        <v>3874</v>
      </c>
      <c r="I49" s="12">
        <v>112111</v>
      </c>
      <c r="J49" s="12">
        <v>131</v>
      </c>
      <c r="K49" s="12" t="s">
        <v>20</v>
      </c>
      <c r="L49" s="12">
        <v>1</v>
      </c>
      <c r="M49" s="17">
        <v>16500000</v>
      </c>
      <c r="N49" s="17">
        <f t="shared" si="6"/>
        <v>16500000</v>
      </c>
      <c r="P49" s="17">
        <f t="shared" si="7"/>
        <v>193</v>
      </c>
    </row>
    <row r="50" spans="1:16" ht="15" customHeight="1" x14ac:dyDescent="0.2">
      <c r="A50" s="12" t="s">
        <v>309</v>
      </c>
      <c r="B50" s="87" t="s">
        <v>507</v>
      </c>
      <c r="C50" s="12">
        <f t="shared" si="4"/>
        <v>260</v>
      </c>
      <c r="D50" s="38">
        <f t="shared" si="5"/>
        <v>1</v>
      </c>
      <c r="G50" s="14" t="s">
        <v>311</v>
      </c>
      <c r="H50" s="12" t="s">
        <v>3854</v>
      </c>
      <c r="I50" s="12">
        <v>112111</v>
      </c>
      <c r="J50" s="12">
        <v>131</v>
      </c>
      <c r="K50" s="12" t="s">
        <v>20</v>
      </c>
      <c r="L50" s="12">
        <v>1</v>
      </c>
      <c r="M50" s="17">
        <v>42278248</v>
      </c>
      <c r="N50" s="17">
        <f t="shared" si="6"/>
        <v>42278248</v>
      </c>
      <c r="P50" s="17">
        <f t="shared" si="7"/>
        <v>41</v>
      </c>
    </row>
    <row r="51" spans="1:16" ht="15" customHeight="1" x14ac:dyDescent="0.2">
      <c r="A51" s="12" t="s">
        <v>309</v>
      </c>
      <c r="B51" s="87" t="s">
        <v>507</v>
      </c>
      <c r="C51" s="12">
        <f t="shared" si="4"/>
        <v>260</v>
      </c>
      <c r="D51" s="38">
        <f t="shared" si="5"/>
        <v>0</v>
      </c>
      <c r="G51" s="14" t="s">
        <v>311</v>
      </c>
      <c r="H51" s="12" t="s">
        <v>3854</v>
      </c>
      <c r="I51" s="12">
        <v>112111</v>
      </c>
      <c r="J51" s="12">
        <v>131</v>
      </c>
      <c r="K51" s="12" t="s">
        <v>20</v>
      </c>
      <c r="L51" s="12">
        <v>1</v>
      </c>
      <c r="M51" s="17">
        <v>21991394</v>
      </c>
      <c r="N51" s="17">
        <f t="shared" si="6"/>
        <v>21991394</v>
      </c>
      <c r="P51" s="17">
        <f t="shared" si="7"/>
        <v>41</v>
      </c>
    </row>
    <row r="52" spans="1:16" ht="15" customHeight="1" x14ac:dyDescent="0.2">
      <c r="A52" s="12" t="s">
        <v>308</v>
      </c>
      <c r="B52" s="87" t="s">
        <v>659</v>
      </c>
      <c r="C52" s="12">
        <f t="shared" si="4"/>
        <v>261</v>
      </c>
      <c r="D52" s="38">
        <f t="shared" si="5"/>
        <v>1</v>
      </c>
      <c r="G52" s="14" t="s">
        <v>236</v>
      </c>
      <c r="H52" s="12" t="s">
        <v>3032</v>
      </c>
      <c r="I52" s="12">
        <v>1111</v>
      </c>
      <c r="J52" s="12">
        <v>112111</v>
      </c>
      <c r="K52" s="12" t="s">
        <v>20</v>
      </c>
      <c r="L52" s="12">
        <v>1</v>
      </c>
      <c r="M52" s="17">
        <v>40000000</v>
      </c>
      <c r="N52" s="17">
        <f t="shared" si="6"/>
        <v>40000000</v>
      </c>
      <c r="P52" s="17">
        <f t="shared" si="7"/>
        <v>40</v>
      </c>
    </row>
    <row r="53" spans="1:16" ht="15" customHeight="1" x14ac:dyDescent="0.2">
      <c r="A53" s="12" t="s">
        <v>308</v>
      </c>
      <c r="B53" s="87" t="s">
        <v>474</v>
      </c>
      <c r="C53" s="12">
        <f t="shared" si="4"/>
        <v>261</v>
      </c>
      <c r="D53" s="38">
        <f t="shared" si="5"/>
        <v>0</v>
      </c>
      <c r="G53" s="14" t="s">
        <v>236</v>
      </c>
      <c r="H53" s="12" t="s">
        <v>3032</v>
      </c>
      <c r="I53" s="12">
        <v>1111</v>
      </c>
      <c r="J53" s="12">
        <v>112111</v>
      </c>
      <c r="K53" s="12" t="s">
        <v>20</v>
      </c>
      <c r="L53" s="12">
        <v>1</v>
      </c>
      <c r="M53" s="17">
        <v>20000000</v>
      </c>
      <c r="N53" s="17">
        <f t="shared" si="6"/>
        <v>20000000</v>
      </c>
      <c r="P53" s="17">
        <f t="shared" si="7"/>
        <v>40</v>
      </c>
    </row>
    <row r="54" spans="1:16" ht="15" customHeight="1" x14ac:dyDescent="0.2">
      <c r="A54" s="12" t="s">
        <v>308</v>
      </c>
      <c r="B54" s="87" t="s">
        <v>437</v>
      </c>
      <c r="C54" s="12">
        <f t="shared" si="4"/>
        <v>261</v>
      </c>
      <c r="D54" s="38">
        <f t="shared" si="5"/>
        <v>0</v>
      </c>
      <c r="G54" s="14" t="s">
        <v>236</v>
      </c>
      <c r="H54" s="12" t="s">
        <v>3032</v>
      </c>
      <c r="I54" s="12">
        <v>1111</v>
      </c>
      <c r="J54" s="12">
        <v>112111</v>
      </c>
      <c r="K54" s="12" t="s">
        <v>20</v>
      </c>
      <c r="L54" s="12">
        <v>1</v>
      </c>
      <c r="M54" s="17">
        <v>8600000</v>
      </c>
      <c r="N54" s="17">
        <f t="shared" si="6"/>
        <v>8600000</v>
      </c>
      <c r="P54" s="17">
        <f t="shared" si="7"/>
        <v>40</v>
      </c>
    </row>
    <row r="55" spans="1:16" ht="15" customHeight="1" x14ac:dyDescent="0.2">
      <c r="A55" s="12" t="s">
        <v>308</v>
      </c>
      <c r="B55" s="87" t="s">
        <v>3602</v>
      </c>
      <c r="C55" s="12">
        <f t="shared" si="4"/>
        <v>261</v>
      </c>
      <c r="D55" s="38">
        <f t="shared" si="5"/>
        <v>0</v>
      </c>
      <c r="G55" s="14" t="s">
        <v>236</v>
      </c>
      <c r="H55" s="12" t="s">
        <v>3032</v>
      </c>
      <c r="I55" s="12">
        <v>1111</v>
      </c>
      <c r="J55" s="12">
        <v>112111</v>
      </c>
      <c r="K55" s="12" t="s">
        <v>20</v>
      </c>
      <c r="L55" s="12">
        <v>1</v>
      </c>
      <c r="M55" s="17">
        <v>400000000</v>
      </c>
      <c r="N55" s="17">
        <f t="shared" si="6"/>
        <v>400000000</v>
      </c>
      <c r="P55" s="17">
        <f t="shared" si="7"/>
        <v>40</v>
      </c>
    </row>
    <row r="56" spans="1:16" ht="15" customHeight="1" x14ac:dyDescent="0.2">
      <c r="A56" s="12" t="s">
        <v>308</v>
      </c>
      <c r="B56" s="87" t="s">
        <v>3602</v>
      </c>
      <c r="C56" s="12">
        <f t="shared" si="4"/>
        <v>261</v>
      </c>
      <c r="D56" s="38">
        <f t="shared" si="5"/>
        <v>0</v>
      </c>
      <c r="G56" s="14" t="s">
        <v>236</v>
      </c>
      <c r="H56" s="12" t="s">
        <v>3032</v>
      </c>
      <c r="I56" s="12">
        <v>1111</v>
      </c>
      <c r="J56" s="12">
        <v>112111</v>
      </c>
      <c r="K56" s="12" t="s">
        <v>20</v>
      </c>
      <c r="L56" s="12">
        <v>1</v>
      </c>
      <c r="M56" s="17">
        <v>400000000</v>
      </c>
      <c r="N56" s="17">
        <f t="shared" si="6"/>
        <v>400000000</v>
      </c>
      <c r="P56" s="17">
        <f t="shared" si="7"/>
        <v>40</v>
      </c>
    </row>
    <row r="57" spans="1:16" ht="15" customHeight="1" x14ac:dyDescent="0.2">
      <c r="A57" s="12" t="s">
        <v>308</v>
      </c>
      <c r="B57" s="87" t="s">
        <v>3602</v>
      </c>
      <c r="C57" s="12">
        <f t="shared" si="4"/>
        <v>261</v>
      </c>
      <c r="D57" s="38">
        <f t="shared" si="5"/>
        <v>0</v>
      </c>
      <c r="G57" s="14" t="s">
        <v>236</v>
      </c>
      <c r="H57" s="12" t="s">
        <v>3032</v>
      </c>
      <c r="I57" s="12">
        <v>1111</v>
      </c>
      <c r="J57" s="12">
        <v>112111</v>
      </c>
      <c r="K57" s="12" t="s">
        <v>20</v>
      </c>
      <c r="L57" s="12">
        <v>1</v>
      </c>
      <c r="M57" s="17">
        <v>300000000</v>
      </c>
      <c r="N57" s="17">
        <f t="shared" si="6"/>
        <v>300000000</v>
      </c>
      <c r="P57" s="17">
        <f t="shared" si="7"/>
        <v>40</v>
      </c>
    </row>
    <row r="58" spans="1:16" ht="15" customHeight="1" x14ac:dyDescent="0.2">
      <c r="A58" s="12" t="s">
        <v>308</v>
      </c>
      <c r="B58" s="87" t="s">
        <v>499</v>
      </c>
      <c r="C58" s="12">
        <f t="shared" si="4"/>
        <v>261</v>
      </c>
      <c r="D58" s="38">
        <f t="shared" si="5"/>
        <v>0</v>
      </c>
      <c r="G58" s="14" t="s">
        <v>236</v>
      </c>
      <c r="H58" s="12" t="s">
        <v>3032</v>
      </c>
      <c r="I58" s="12">
        <v>1111</v>
      </c>
      <c r="J58" s="12">
        <v>112111</v>
      </c>
      <c r="K58" s="12" t="s">
        <v>20</v>
      </c>
      <c r="L58" s="12">
        <v>1</v>
      </c>
      <c r="M58" s="17">
        <v>8283600</v>
      </c>
      <c r="N58" s="17">
        <f t="shared" si="6"/>
        <v>8283600</v>
      </c>
      <c r="P58" s="17">
        <f t="shared" si="7"/>
        <v>40</v>
      </c>
    </row>
    <row r="59" spans="1:16" ht="15" customHeight="1" x14ac:dyDescent="0.2">
      <c r="A59" s="12" t="s">
        <v>308</v>
      </c>
      <c r="B59" s="87" t="s">
        <v>548</v>
      </c>
      <c r="C59" s="12">
        <f t="shared" si="4"/>
        <v>261</v>
      </c>
      <c r="D59" s="38">
        <f t="shared" si="5"/>
        <v>0</v>
      </c>
      <c r="G59" s="14" t="s">
        <v>236</v>
      </c>
      <c r="H59" s="12" t="s">
        <v>3032</v>
      </c>
      <c r="I59" s="12">
        <v>1111</v>
      </c>
      <c r="J59" s="12">
        <v>112111</v>
      </c>
      <c r="K59" s="12" t="s">
        <v>20</v>
      </c>
      <c r="L59" s="12">
        <v>1</v>
      </c>
      <c r="M59" s="17">
        <v>50000000</v>
      </c>
      <c r="N59" s="17">
        <f t="shared" si="6"/>
        <v>50000000</v>
      </c>
      <c r="P59" s="17">
        <f t="shared" si="7"/>
        <v>40</v>
      </c>
    </row>
    <row r="60" spans="1:16" ht="15" customHeight="1" x14ac:dyDescent="0.2">
      <c r="A60" s="12" t="s">
        <v>308</v>
      </c>
      <c r="B60" s="87" t="s">
        <v>549</v>
      </c>
      <c r="C60" s="12">
        <f t="shared" si="4"/>
        <v>261</v>
      </c>
      <c r="D60" s="38">
        <f t="shared" si="5"/>
        <v>0</v>
      </c>
      <c r="G60" s="14" t="s">
        <v>236</v>
      </c>
      <c r="H60" s="12" t="s">
        <v>3032</v>
      </c>
      <c r="I60" s="12">
        <v>1111</v>
      </c>
      <c r="J60" s="12">
        <v>112111</v>
      </c>
      <c r="K60" s="12" t="s">
        <v>20</v>
      </c>
      <c r="L60" s="12">
        <v>1</v>
      </c>
      <c r="M60" s="17">
        <v>40000000</v>
      </c>
      <c r="N60" s="17">
        <f t="shared" si="6"/>
        <v>40000000</v>
      </c>
      <c r="P60" s="17">
        <f t="shared" si="7"/>
        <v>40</v>
      </c>
    </row>
    <row r="61" spans="1:16" ht="15" customHeight="1" x14ac:dyDescent="0.2">
      <c r="A61" s="12" t="s">
        <v>308</v>
      </c>
      <c r="B61" s="87" t="s">
        <v>558</v>
      </c>
      <c r="C61" s="12">
        <f t="shared" si="4"/>
        <v>261</v>
      </c>
      <c r="D61" s="38">
        <f t="shared" si="5"/>
        <v>0</v>
      </c>
      <c r="G61" s="14" t="s">
        <v>236</v>
      </c>
      <c r="H61" s="12" t="s">
        <v>3032</v>
      </c>
      <c r="I61" s="12">
        <v>1111</v>
      </c>
      <c r="J61" s="12">
        <v>112111</v>
      </c>
      <c r="K61" s="12" t="s">
        <v>20</v>
      </c>
      <c r="L61" s="12">
        <v>1</v>
      </c>
      <c r="M61" s="17">
        <v>350000000</v>
      </c>
      <c r="N61" s="17">
        <f t="shared" si="6"/>
        <v>350000000</v>
      </c>
      <c r="P61" s="17">
        <f t="shared" si="7"/>
        <v>40</v>
      </c>
    </row>
    <row r="62" spans="1:16" ht="15" customHeight="1" x14ac:dyDescent="0.2">
      <c r="A62" s="12" t="s">
        <v>310</v>
      </c>
      <c r="B62" s="36">
        <v>46024</v>
      </c>
      <c r="C62" s="12">
        <f t="shared" si="4"/>
        <v>262</v>
      </c>
      <c r="D62" s="38">
        <f t="shared" si="5"/>
        <v>1</v>
      </c>
      <c r="G62" s="14" t="s">
        <v>44</v>
      </c>
      <c r="H62" s="12" t="s">
        <v>3791</v>
      </c>
      <c r="I62" s="12">
        <v>331</v>
      </c>
      <c r="J62" s="12">
        <v>1111</v>
      </c>
      <c r="K62" s="12" t="s">
        <v>20</v>
      </c>
      <c r="L62" s="12">
        <v>1</v>
      </c>
      <c r="M62" s="17">
        <v>164804</v>
      </c>
      <c r="N62" s="17">
        <f t="shared" si="6"/>
        <v>164804</v>
      </c>
      <c r="P62" s="17">
        <f t="shared" si="7"/>
        <v>64</v>
      </c>
    </row>
    <row r="63" spans="1:16" ht="15" customHeight="1" x14ac:dyDescent="0.2">
      <c r="A63" s="12" t="s">
        <v>310</v>
      </c>
      <c r="B63" s="36">
        <v>46026</v>
      </c>
      <c r="C63" s="12">
        <f t="shared" si="4"/>
        <v>263</v>
      </c>
      <c r="D63" s="38">
        <f t="shared" si="5"/>
        <v>1</v>
      </c>
      <c r="G63" s="14" t="s">
        <v>35</v>
      </c>
      <c r="H63" s="12" t="s">
        <v>3792</v>
      </c>
      <c r="I63" s="12">
        <v>331</v>
      </c>
      <c r="J63" s="12">
        <v>1111</v>
      </c>
      <c r="K63" s="12" t="s">
        <v>20</v>
      </c>
      <c r="L63" s="12">
        <v>1</v>
      </c>
      <c r="M63" s="17">
        <v>3240000</v>
      </c>
      <c r="N63" s="17">
        <f t="shared" si="6"/>
        <v>3240000</v>
      </c>
      <c r="P63" s="17">
        <f t="shared" si="7"/>
        <v>51</v>
      </c>
    </row>
    <row r="64" spans="1:16" ht="15" customHeight="1" x14ac:dyDescent="0.2">
      <c r="A64" s="12" t="s">
        <v>310</v>
      </c>
      <c r="B64" s="36">
        <v>46038</v>
      </c>
      <c r="C64" s="12">
        <f t="shared" si="4"/>
        <v>264</v>
      </c>
      <c r="D64" s="38">
        <f t="shared" si="5"/>
        <v>1</v>
      </c>
      <c r="G64" s="14" t="s">
        <v>19</v>
      </c>
      <c r="H64" s="12" t="s">
        <v>3793</v>
      </c>
      <c r="I64" s="12">
        <v>331</v>
      </c>
      <c r="J64" s="12">
        <v>1111</v>
      </c>
      <c r="K64" s="12" t="s">
        <v>20</v>
      </c>
      <c r="L64" s="12">
        <v>1</v>
      </c>
      <c r="M64" s="17">
        <v>62000</v>
      </c>
      <c r="N64" s="17">
        <f t="shared" si="6"/>
        <v>62000</v>
      </c>
      <c r="P64" s="17">
        <f t="shared" si="7"/>
        <v>117</v>
      </c>
    </row>
    <row r="65" spans="1:16" ht="15" customHeight="1" x14ac:dyDescent="0.2">
      <c r="A65" s="12" t="s">
        <v>310</v>
      </c>
      <c r="B65" s="36">
        <v>46038</v>
      </c>
      <c r="C65" s="12">
        <f t="shared" si="4"/>
        <v>265</v>
      </c>
      <c r="D65" s="38">
        <f t="shared" si="5"/>
        <v>1</v>
      </c>
      <c r="G65" s="14" t="s">
        <v>25</v>
      </c>
      <c r="H65" s="12" t="s">
        <v>3794</v>
      </c>
      <c r="I65" s="12">
        <v>331</v>
      </c>
      <c r="J65" s="12">
        <v>1111</v>
      </c>
      <c r="K65" s="12" t="s">
        <v>20</v>
      </c>
      <c r="L65" s="12">
        <v>1</v>
      </c>
      <c r="M65" s="17">
        <v>1418040</v>
      </c>
      <c r="N65" s="17">
        <f t="shared" si="6"/>
        <v>1418040</v>
      </c>
      <c r="P65" s="17">
        <f t="shared" si="7"/>
        <v>133</v>
      </c>
    </row>
    <row r="66" spans="1:16" ht="15" customHeight="1" x14ac:dyDescent="0.2">
      <c r="A66" s="12" t="s">
        <v>310</v>
      </c>
      <c r="B66" s="36">
        <v>46045</v>
      </c>
      <c r="C66" s="12">
        <f t="shared" si="4"/>
        <v>266</v>
      </c>
      <c r="D66" s="38">
        <f t="shared" si="5"/>
        <v>1</v>
      </c>
      <c r="G66" s="14" t="s">
        <v>19</v>
      </c>
      <c r="H66" s="12" t="s">
        <v>3795</v>
      </c>
      <c r="I66" s="12">
        <v>331</v>
      </c>
      <c r="J66" s="12">
        <v>1111</v>
      </c>
      <c r="K66" s="12" t="s">
        <v>20</v>
      </c>
      <c r="L66" s="12">
        <v>1</v>
      </c>
      <c r="M66" s="17">
        <v>14000</v>
      </c>
      <c r="N66" s="17">
        <f t="shared" si="6"/>
        <v>14000</v>
      </c>
      <c r="P66" s="17">
        <f t="shared" si="7"/>
        <v>179</v>
      </c>
    </row>
    <row r="67" spans="1:16" ht="15" customHeight="1" x14ac:dyDescent="0.2">
      <c r="A67" s="12" t="s">
        <v>310</v>
      </c>
      <c r="B67" s="36">
        <v>46047</v>
      </c>
      <c r="C67" s="12">
        <f t="shared" si="4"/>
        <v>267</v>
      </c>
      <c r="D67" s="38">
        <f t="shared" si="5"/>
        <v>1</v>
      </c>
      <c r="G67" s="14" t="s">
        <v>19</v>
      </c>
      <c r="H67" s="12" t="s">
        <v>3797</v>
      </c>
      <c r="I67" s="12">
        <v>331</v>
      </c>
      <c r="J67" s="12">
        <v>1111</v>
      </c>
      <c r="K67" s="12" t="s">
        <v>20</v>
      </c>
      <c r="L67" s="12">
        <v>1</v>
      </c>
      <c r="M67" s="17">
        <v>18000</v>
      </c>
      <c r="N67" s="17">
        <f t="shared" si="6"/>
        <v>18000</v>
      </c>
      <c r="P67" s="17">
        <f t="shared" si="7"/>
        <v>179</v>
      </c>
    </row>
    <row r="68" spans="1:16" ht="15" customHeight="1" x14ac:dyDescent="0.2">
      <c r="A68" s="12" t="s">
        <v>310</v>
      </c>
      <c r="B68" s="36">
        <v>46047</v>
      </c>
      <c r="C68" s="12">
        <f t="shared" ref="C68:C99" si="8">C67+D68</f>
        <v>268</v>
      </c>
      <c r="D68" s="38">
        <f t="shared" ref="D68:D99" si="9">IF(H68=H67,0,1)</f>
        <v>1</v>
      </c>
      <c r="G68" s="14" t="s">
        <v>19</v>
      </c>
      <c r="H68" s="12" t="s">
        <v>3796</v>
      </c>
      <c r="I68" s="12">
        <v>331</v>
      </c>
      <c r="J68" s="12">
        <v>1111</v>
      </c>
      <c r="K68" s="12" t="s">
        <v>20</v>
      </c>
      <c r="L68" s="12">
        <v>1</v>
      </c>
      <c r="M68" s="17">
        <v>13000</v>
      </c>
      <c r="N68" s="17">
        <f t="shared" ref="N68:N99" si="10">L68*M68</f>
        <v>13000</v>
      </c>
      <c r="P68" s="17">
        <f t="shared" ref="P68:P99" si="11">LEN(H68)</f>
        <v>179</v>
      </c>
    </row>
    <row r="69" spans="1:16" ht="15" customHeight="1" x14ac:dyDescent="0.2">
      <c r="A69" s="12" t="s">
        <v>310</v>
      </c>
      <c r="B69" s="36">
        <v>46054</v>
      </c>
      <c r="C69" s="12">
        <f t="shared" si="8"/>
        <v>269</v>
      </c>
      <c r="D69" s="38">
        <f t="shared" si="9"/>
        <v>1</v>
      </c>
      <c r="G69" s="14" t="s">
        <v>35</v>
      </c>
      <c r="H69" s="12" t="s">
        <v>3798</v>
      </c>
      <c r="I69" s="12">
        <v>331</v>
      </c>
      <c r="J69" s="12">
        <v>1111</v>
      </c>
      <c r="K69" s="12" t="s">
        <v>20</v>
      </c>
      <c r="L69" s="12">
        <v>1</v>
      </c>
      <c r="M69" s="17">
        <v>3240000</v>
      </c>
      <c r="N69" s="17">
        <f t="shared" si="10"/>
        <v>3240000</v>
      </c>
      <c r="P69" s="17">
        <f t="shared" si="11"/>
        <v>52</v>
      </c>
    </row>
    <row r="70" spans="1:16" ht="15" customHeight="1" x14ac:dyDescent="0.2">
      <c r="A70" s="12" t="s">
        <v>310</v>
      </c>
      <c r="B70" s="36">
        <v>46055</v>
      </c>
      <c r="C70" s="12">
        <f t="shared" si="8"/>
        <v>270</v>
      </c>
      <c r="D70" s="38">
        <f t="shared" si="9"/>
        <v>1</v>
      </c>
      <c r="G70" s="14" t="s">
        <v>44</v>
      </c>
      <c r="H70" s="12" t="s">
        <v>3799</v>
      </c>
      <c r="I70" s="12">
        <v>331</v>
      </c>
      <c r="J70" s="12">
        <v>1111</v>
      </c>
      <c r="K70" s="12" t="s">
        <v>20</v>
      </c>
      <c r="L70" s="12">
        <v>1</v>
      </c>
      <c r="M70" s="17">
        <v>208751</v>
      </c>
      <c r="N70" s="17">
        <f t="shared" si="10"/>
        <v>208751</v>
      </c>
      <c r="P70" s="17">
        <f t="shared" si="11"/>
        <v>109</v>
      </c>
    </row>
    <row r="71" spans="1:16" ht="15" customHeight="1" x14ac:dyDescent="0.2">
      <c r="A71" s="12" t="s">
        <v>310</v>
      </c>
      <c r="B71" s="36">
        <v>46073</v>
      </c>
      <c r="C71" s="12">
        <f t="shared" si="8"/>
        <v>271</v>
      </c>
      <c r="D71" s="38">
        <f t="shared" si="9"/>
        <v>1</v>
      </c>
      <c r="G71" s="14" t="s">
        <v>292</v>
      </c>
      <c r="H71" s="12" t="s">
        <v>3800</v>
      </c>
      <c r="I71" s="12">
        <v>331</v>
      </c>
      <c r="J71" s="12">
        <v>1111</v>
      </c>
      <c r="K71" s="12" t="s">
        <v>20</v>
      </c>
      <c r="L71" s="12">
        <v>1</v>
      </c>
      <c r="M71" s="17">
        <v>567864</v>
      </c>
      <c r="N71" s="17">
        <f t="shared" si="10"/>
        <v>567864</v>
      </c>
      <c r="P71" s="17">
        <f t="shared" si="11"/>
        <v>45</v>
      </c>
    </row>
    <row r="72" spans="1:16" ht="15" customHeight="1" x14ac:dyDescent="0.2">
      <c r="A72" s="12" t="s">
        <v>310</v>
      </c>
      <c r="B72" s="36">
        <v>46077</v>
      </c>
      <c r="C72" s="12">
        <f t="shared" si="8"/>
        <v>272</v>
      </c>
      <c r="D72" s="38">
        <f t="shared" si="9"/>
        <v>1</v>
      </c>
      <c r="G72" s="14" t="s">
        <v>339</v>
      </c>
      <c r="H72" s="12" t="s">
        <v>3801</v>
      </c>
      <c r="I72" s="12">
        <v>331</v>
      </c>
      <c r="J72" s="12">
        <v>1111</v>
      </c>
      <c r="K72" s="12" t="s">
        <v>20</v>
      </c>
      <c r="L72" s="12">
        <v>1</v>
      </c>
      <c r="M72" s="17">
        <v>1185800</v>
      </c>
      <c r="N72" s="17">
        <f t="shared" si="10"/>
        <v>1185800</v>
      </c>
      <c r="P72" s="17">
        <f t="shared" si="11"/>
        <v>165</v>
      </c>
    </row>
    <row r="73" spans="1:16" ht="15" customHeight="1" x14ac:dyDescent="0.2">
      <c r="A73" s="12" t="s">
        <v>310</v>
      </c>
      <c r="B73" s="36">
        <v>46080</v>
      </c>
      <c r="C73" s="12">
        <f t="shared" si="8"/>
        <v>273</v>
      </c>
      <c r="D73" s="38">
        <f t="shared" si="9"/>
        <v>1</v>
      </c>
      <c r="G73" s="14" t="s">
        <v>25</v>
      </c>
      <c r="H73" s="12" t="s">
        <v>3802</v>
      </c>
      <c r="I73" s="12">
        <v>331</v>
      </c>
      <c r="J73" s="12">
        <v>1111</v>
      </c>
      <c r="K73" s="20" t="s">
        <v>20</v>
      </c>
      <c r="L73" s="20">
        <v>1</v>
      </c>
      <c r="M73" s="17">
        <v>1189080</v>
      </c>
      <c r="N73" s="34">
        <f t="shared" si="10"/>
        <v>1189080</v>
      </c>
      <c r="P73" s="17">
        <f t="shared" si="11"/>
        <v>117</v>
      </c>
    </row>
    <row r="74" spans="1:16" ht="15" customHeight="1" x14ac:dyDescent="0.2">
      <c r="A74" s="12" t="s">
        <v>310</v>
      </c>
      <c r="B74" s="61">
        <v>46083</v>
      </c>
      <c r="C74" s="12">
        <f t="shared" si="8"/>
        <v>274</v>
      </c>
      <c r="D74" s="38">
        <f t="shared" si="9"/>
        <v>1</v>
      </c>
      <c r="E74" s="20"/>
      <c r="G74" s="32" t="s">
        <v>44</v>
      </c>
      <c r="H74" s="12" t="s">
        <v>3803</v>
      </c>
      <c r="I74" s="12">
        <v>331</v>
      </c>
      <c r="J74" s="12">
        <v>1111</v>
      </c>
      <c r="K74" s="20" t="s">
        <v>20</v>
      </c>
      <c r="L74" s="20">
        <v>1</v>
      </c>
      <c r="M74" s="34">
        <v>189050</v>
      </c>
      <c r="N74" s="34">
        <f t="shared" si="10"/>
        <v>189050</v>
      </c>
      <c r="P74" s="17">
        <f t="shared" si="11"/>
        <v>110</v>
      </c>
    </row>
    <row r="75" spans="1:16" ht="15" customHeight="1" x14ac:dyDescent="0.2">
      <c r="A75" s="12" t="s">
        <v>310</v>
      </c>
      <c r="B75" s="36">
        <v>46085</v>
      </c>
      <c r="C75" s="12">
        <f t="shared" si="8"/>
        <v>275</v>
      </c>
      <c r="D75" s="38">
        <f t="shared" si="9"/>
        <v>1</v>
      </c>
      <c r="G75" s="14" t="s">
        <v>35</v>
      </c>
      <c r="H75" s="12" t="s">
        <v>3804</v>
      </c>
      <c r="I75" s="12">
        <v>331</v>
      </c>
      <c r="J75" s="12">
        <v>1111</v>
      </c>
      <c r="K75" s="20" t="s">
        <v>20</v>
      </c>
      <c r="L75" s="20">
        <v>1</v>
      </c>
      <c r="M75" s="17">
        <v>3240000</v>
      </c>
      <c r="N75" s="34">
        <f t="shared" si="10"/>
        <v>3240000</v>
      </c>
      <c r="P75" s="17">
        <f t="shared" si="11"/>
        <v>52</v>
      </c>
    </row>
    <row r="76" spans="1:16" ht="15" customHeight="1" x14ac:dyDescent="0.2">
      <c r="A76" s="12" t="s">
        <v>310</v>
      </c>
      <c r="B76" s="36">
        <v>46096</v>
      </c>
      <c r="C76" s="12">
        <f t="shared" si="8"/>
        <v>276</v>
      </c>
      <c r="D76" s="38">
        <f t="shared" si="9"/>
        <v>1</v>
      </c>
      <c r="G76" s="14" t="s">
        <v>292</v>
      </c>
      <c r="H76" s="12" t="s">
        <v>3805</v>
      </c>
      <c r="I76" s="12">
        <v>331</v>
      </c>
      <c r="J76" s="12">
        <v>1111</v>
      </c>
      <c r="K76" s="20" t="s">
        <v>20</v>
      </c>
      <c r="L76" s="20">
        <v>1</v>
      </c>
      <c r="M76" s="17">
        <v>537840</v>
      </c>
      <c r="N76" s="34">
        <f t="shared" si="10"/>
        <v>537840</v>
      </c>
      <c r="P76" s="17">
        <f t="shared" si="11"/>
        <v>33</v>
      </c>
    </row>
    <row r="77" spans="1:16" ht="15" customHeight="1" x14ac:dyDescent="0.2">
      <c r="A77" s="12" t="s">
        <v>310</v>
      </c>
      <c r="B77" s="36">
        <v>46106</v>
      </c>
      <c r="C77" s="12">
        <f t="shared" si="8"/>
        <v>277</v>
      </c>
      <c r="D77" s="38">
        <f t="shared" si="9"/>
        <v>1</v>
      </c>
      <c r="G77" s="14" t="s">
        <v>1773</v>
      </c>
      <c r="H77" s="12" t="s">
        <v>3806</v>
      </c>
      <c r="I77" s="12">
        <v>331</v>
      </c>
      <c r="J77" s="12">
        <v>1111</v>
      </c>
      <c r="K77" s="20" t="s">
        <v>20</v>
      </c>
      <c r="L77" s="20">
        <v>1</v>
      </c>
      <c r="M77" s="17">
        <v>2000000</v>
      </c>
      <c r="N77" s="34">
        <f t="shared" si="10"/>
        <v>2000000</v>
      </c>
      <c r="P77" s="17">
        <f t="shared" si="11"/>
        <v>64</v>
      </c>
    </row>
    <row r="78" spans="1:16" ht="15" customHeight="1" x14ac:dyDescent="0.2">
      <c r="A78" s="12" t="s">
        <v>18</v>
      </c>
      <c r="B78" s="36">
        <v>46024</v>
      </c>
      <c r="C78" s="12">
        <f t="shared" si="8"/>
        <v>278</v>
      </c>
      <c r="D78" s="38">
        <f t="shared" si="9"/>
        <v>1</v>
      </c>
      <c r="G78" s="14" t="s">
        <v>44</v>
      </c>
      <c r="H78" s="12" t="s">
        <v>1758</v>
      </c>
      <c r="I78" s="12">
        <v>64277</v>
      </c>
      <c r="J78" s="12">
        <v>331</v>
      </c>
      <c r="K78" s="12" t="s">
        <v>20</v>
      </c>
      <c r="L78" s="12">
        <v>1</v>
      </c>
      <c r="M78" s="17">
        <v>152596</v>
      </c>
      <c r="N78" s="17">
        <f t="shared" si="10"/>
        <v>152596</v>
      </c>
      <c r="P78" s="17">
        <f t="shared" si="11"/>
        <v>53</v>
      </c>
    </row>
    <row r="79" spans="1:16" ht="15" customHeight="1" x14ac:dyDescent="0.2">
      <c r="A79" s="12" t="s">
        <v>18</v>
      </c>
      <c r="B79" s="36">
        <v>46024</v>
      </c>
      <c r="C79" s="12">
        <f t="shared" si="8"/>
        <v>278</v>
      </c>
      <c r="D79" s="38">
        <f t="shared" si="9"/>
        <v>0</v>
      </c>
      <c r="G79" s="14" t="s">
        <v>44</v>
      </c>
      <c r="H79" s="12" t="s">
        <v>1758</v>
      </c>
      <c r="I79" s="12">
        <v>1331</v>
      </c>
      <c r="J79" s="12">
        <v>331</v>
      </c>
      <c r="K79" s="12" t="s">
        <v>20</v>
      </c>
      <c r="L79" s="12">
        <v>1</v>
      </c>
      <c r="M79" s="17">
        <v>12208</v>
      </c>
      <c r="N79" s="17">
        <f t="shared" si="10"/>
        <v>12208</v>
      </c>
      <c r="P79" s="17">
        <f t="shared" si="11"/>
        <v>53</v>
      </c>
    </row>
    <row r="80" spans="1:16" ht="15" customHeight="1" x14ac:dyDescent="0.2">
      <c r="A80" s="12" t="s">
        <v>18</v>
      </c>
      <c r="B80" s="36">
        <v>46026</v>
      </c>
      <c r="C80" s="12">
        <f t="shared" si="8"/>
        <v>279</v>
      </c>
      <c r="D80" s="38">
        <f t="shared" si="9"/>
        <v>1</v>
      </c>
      <c r="G80" s="14" t="s">
        <v>35</v>
      </c>
      <c r="H80" s="12" t="s">
        <v>1759</v>
      </c>
      <c r="I80" s="12">
        <v>64277</v>
      </c>
      <c r="J80" s="12">
        <v>331</v>
      </c>
      <c r="K80" s="12" t="s">
        <v>20</v>
      </c>
      <c r="L80" s="12">
        <v>1</v>
      </c>
      <c r="M80" s="17">
        <v>3000000</v>
      </c>
      <c r="N80" s="17">
        <f t="shared" si="10"/>
        <v>3000000</v>
      </c>
      <c r="P80" s="17">
        <f t="shared" si="11"/>
        <v>40</v>
      </c>
    </row>
    <row r="81" spans="1:16" ht="15" customHeight="1" x14ac:dyDescent="0.2">
      <c r="A81" s="12" t="s">
        <v>18</v>
      </c>
      <c r="B81" s="36">
        <v>46026</v>
      </c>
      <c r="C81" s="12">
        <f t="shared" si="8"/>
        <v>279</v>
      </c>
      <c r="D81" s="38">
        <f t="shared" si="9"/>
        <v>0</v>
      </c>
      <c r="G81" s="14" t="s">
        <v>35</v>
      </c>
      <c r="H81" s="12" t="s">
        <v>1759</v>
      </c>
      <c r="I81" s="12">
        <v>1331</v>
      </c>
      <c r="J81" s="12">
        <v>331</v>
      </c>
      <c r="K81" s="12" t="s">
        <v>20</v>
      </c>
      <c r="L81" s="12">
        <v>1</v>
      </c>
      <c r="M81" s="17">
        <v>240000</v>
      </c>
      <c r="N81" s="17">
        <f t="shared" si="10"/>
        <v>240000</v>
      </c>
      <c r="P81" s="17">
        <f t="shared" si="11"/>
        <v>40</v>
      </c>
    </row>
    <row r="82" spans="1:16" ht="15" customHeight="1" x14ac:dyDescent="0.2">
      <c r="A82" s="12" t="s">
        <v>18</v>
      </c>
      <c r="B82" s="36">
        <v>46027</v>
      </c>
      <c r="C82" s="12">
        <f t="shared" si="8"/>
        <v>280</v>
      </c>
      <c r="D82" s="38">
        <f t="shared" si="9"/>
        <v>1</v>
      </c>
      <c r="G82" s="32" t="s">
        <v>91</v>
      </c>
      <c r="H82" s="20" t="s">
        <v>1775</v>
      </c>
      <c r="I82" s="12">
        <v>131</v>
      </c>
      <c r="J82" s="12">
        <v>5113</v>
      </c>
      <c r="K82" s="20" t="s">
        <v>20</v>
      </c>
      <c r="L82" s="20">
        <v>1</v>
      </c>
      <c r="M82" s="17">
        <v>22580645</v>
      </c>
      <c r="N82" s="34">
        <f t="shared" si="10"/>
        <v>22580645</v>
      </c>
      <c r="P82" s="17">
        <f t="shared" si="11"/>
        <v>170</v>
      </c>
    </row>
    <row r="83" spans="1:16" ht="15" customHeight="1" x14ac:dyDescent="0.2">
      <c r="A83" s="12" t="s">
        <v>18</v>
      </c>
      <c r="B83" s="36">
        <v>46027</v>
      </c>
      <c r="C83" s="12">
        <f t="shared" si="8"/>
        <v>281</v>
      </c>
      <c r="D83" s="38">
        <f t="shared" si="9"/>
        <v>1</v>
      </c>
      <c r="G83" s="14" t="s">
        <v>91</v>
      </c>
      <c r="H83" s="12" t="s">
        <v>3807</v>
      </c>
      <c r="I83" s="12">
        <v>333821</v>
      </c>
      <c r="J83" s="12">
        <v>131</v>
      </c>
      <c r="K83" s="20" t="s">
        <v>20</v>
      </c>
      <c r="L83" s="20">
        <v>1</v>
      </c>
      <c r="M83" s="17">
        <v>225806</v>
      </c>
      <c r="N83" s="34">
        <f t="shared" si="10"/>
        <v>225806</v>
      </c>
      <c r="P83" s="17">
        <f t="shared" si="11"/>
        <v>186</v>
      </c>
    </row>
    <row r="84" spans="1:16" ht="15" customHeight="1" x14ac:dyDescent="0.2">
      <c r="A84" s="12" t="s">
        <v>18</v>
      </c>
      <c r="B84" s="36">
        <v>46029</v>
      </c>
      <c r="C84" s="12">
        <f t="shared" si="8"/>
        <v>282</v>
      </c>
      <c r="D84" s="38">
        <f t="shared" si="9"/>
        <v>1</v>
      </c>
      <c r="G84" s="32" t="s">
        <v>98</v>
      </c>
      <c r="H84" s="20" t="s">
        <v>1776</v>
      </c>
      <c r="I84" s="12">
        <v>131</v>
      </c>
      <c r="J84" s="12">
        <v>5113</v>
      </c>
      <c r="K84" s="20" t="s">
        <v>20</v>
      </c>
      <c r="L84" s="20">
        <v>1</v>
      </c>
      <c r="M84" s="17">
        <v>20000000</v>
      </c>
      <c r="N84" s="34">
        <f t="shared" si="10"/>
        <v>20000000</v>
      </c>
      <c r="P84" s="17">
        <f t="shared" si="11"/>
        <v>155</v>
      </c>
    </row>
    <row r="85" spans="1:16" ht="15" customHeight="1" x14ac:dyDescent="0.2">
      <c r="A85" s="12" t="s">
        <v>18</v>
      </c>
      <c r="B85" s="36">
        <v>46029</v>
      </c>
      <c r="C85" s="12">
        <f t="shared" si="8"/>
        <v>283</v>
      </c>
      <c r="D85" s="38">
        <f t="shared" si="9"/>
        <v>1</v>
      </c>
      <c r="G85" s="14" t="s">
        <v>98</v>
      </c>
      <c r="H85" s="12" t="s">
        <v>3808</v>
      </c>
      <c r="I85" s="12">
        <v>333821</v>
      </c>
      <c r="J85" s="12">
        <v>131</v>
      </c>
      <c r="K85" s="20" t="s">
        <v>20</v>
      </c>
      <c r="L85" s="20">
        <v>1</v>
      </c>
      <c r="M85" s="17">
        <v>200000</v>
      </c>
      <c r="N85" s="34">
        <f t="shared" si="10"/>
        <v>200000</v>
      </c>
      <c r="P85" s="17">
        <f t="shared" si="11"/>
        <v>171</v>
      </c>
    </row>
    <row r="86" spans="1:16" ht="15" customHeight="1" x14ac:dyDescent="0.2">
      <c r="A86" s="12" t="s">
        <v>18</v>
      </c>
      <c r="B86" s="36">
        <v>46033</v>
      </c>
      <c r="C86" s="12">
        <f t="shared" si="8"/>
        <v>284</v>
      </c>
      <c r="D86" s="38">
        <f t="shared" si="9"/>
        <v>1</v>
      </c>
      <c r="G86" s="32" t="s">
        <v>1777</v>
      </c>
      <c r="H86" s="20" t="s">
        <v>1778</v>
      </c>
      <c r="I86" s="12">
        <v>131</v>
      </c>
      <c r="J86" s="12">
        <v>5113</v>
      </c>
      <c r="K86" s="20" t="s">
        <v>20</v>
      </c>
      <c r="L86" s="20">
        <v>1</v>
      </c>
      <c r="M86" s="17">
        <v>16129032</v>
      </c>
      <c r="N86" s="34">
        <f t="shared" si="10"/>
        <v>16129032</v>
      </c>
      <c r="P86" s="17">
        <f t="shared" si="11"/>
        <v>145</v>
      </c>
    </row>
    <row r="87" spans="1:16" ht="15" customHeight="1" x14ac:dyDescent="0.2">
      <c r="A87" s="12" t="s">
        <v>18</v>
      </c>
      <c r="B87" s="36">
        <v>46033</v>
      </c>
      <c r="C87" s="12">
        <f t="shared" si="8"/>
        <v>285</v>
      </c>
      <c r="D87" s="38">
        <f t="shared" si="9"/>
        <v>1</v>
      </c>
      <c r="G87" s="14" t="s">
        <v>1777</v>
      </c>
      <c r="H87" s="12" t="s">
        <v>3809</v>
      </c>
      <c r="I87" s="12">
        <v>333821</v>
      </c>
      <c r="J87" s="12">
        <v>131</v>
      </c>
      <c r="K87" s="20" t="s">
        <v>20</v>
      </c>
      <c r="L87" s="20">
        <v>1</v>
      </c>
      <c r="M87" s="17">
        <v>161290</v>
      </c>
      <c r="N87" s="34">
        <f t="shared" si="10"/>
        <v>161290</v>
      </c>
      <c r="P87" s="17">
        <f t="shared" si="11"/>
        <v>161</v>
      </c>
    </row>
    <row r="88" spans="1:16" ht="15" customHeight="1" x14ac:dyDescent="0.2">
      <c r="A88" s="12" t="s">
        <v>18</v>
      </c>
      <c r="B88" s="36">
        <v>46037</v>
      </c>
      <c r="C88" s="12">
        <f t="shared" si="8"/>
        <v>286</v>
      </c>
      <c r="D88" s="38">
        <f t="shared" si="9"/>
        <v>1</v>
      </c>
      <c r="G88" s="14" t="s">
        <v>107</v>
      </c>
      <c r="H88" s="12" t="s">
        <v>3836</v>
      </c>
      <c r="I88" s="12">
        <v>131</v>
      </c>
      <c r="J88" s="12">
        <v>5113</v>
      </c>
      <c r="K88" s="20" t="s">
        <v>20</v>
      </c>
      <c r="L88" s="20">
        <v>1</v>
      </c>
      <c r="M88" s="17">
        <v>14444444</v>
      </c>
      <c r="N88" s="34">
        <f t="shared" si="10"/>
        <v>14444444</v>
      </c>
      <c r="P88" s="17">
        <f t="shared" si="11"/>
        <v>162</v>
      </c>
    </row>
    <row r="89" spans="1:16" ht="15" customHeight="1" x14ac:dyDescent="0.2">
      <c r="A89" s="12" t="s">
        <v>18</v>
      </c>
      <c r="B89" s="36">
        <v>46037</v>
      </c>
      <c r="C89" s="12">
        <f t="shared" si="8"/>
        <v>287</v>
      </c>
      <c r="D89" s="38">
        <f t="shared" si="9"/>
        <v>1</v>
      </c>
      <c r="G89" s="14" t="s">
        <v>107</v>
      </c>
      <c r="H89" s="12" t="s">
        <v>3834</v>
      </c>
      <c r="I89" s="12">
        <v>131</v>
      </c>
      <c r="J89" s="12">
        <v>5113</v>
      </c>
      <c r="K89" s="20" t="s">
        <v>20</v>
      </c>
      <c r="L89" s="20">
        <v>1</v>
      </c>
      <c r="M89" s="17">
        <v>24444444</v>
      </c>
      <c r="N89" s="34">
        <f t="shared" si="10"/>
        <v>24444444</v>
      </c>
      <c r="P89" s="17">
        <f t="shared" si="11"/>
        <v>162</v>
      </c>
    </row>
    <row r="90" spans="1:16" ht="15" customHeight="1" x14ac:dyDescent="0.2">
      <c r="A90" s="12" t="s">
        <v>18</v>
      </c>
      <c r="B90" s="36">
        <v>46037</v>
      </c>
      <c r="C90" s="12">
        <f t="shared" si="8"/>
        <v>288</v>
      </c>
      <c r="D90" s="38">
        <f t="shared" si="9"/>
        <v>1</v>
      </c>
      <c r="G90" s="32" t="s">
        <v>107</v>
      </c>
      <c r="H90" s="20" t="s">
        <v>3832</v>
      </c>
      <c r="I90" s="12">
        <v>131</v>
      </c>
      <c r="J90" s="12">
        <v>5113</v>
      </c>
      <c r="K90" s="20" t="s">
        <v>20</v>
      </c>
      <c r="L90" s="20">
        <v>1</v>
      </c>
      <c r="M90" s="17">
        <v>22222222</v>
      </c>
      <c r="N90" s="34">
        <f t="shared" si="10"/>
        <v>22222222</v>
      </c>
      <c r="P90" s="17">
        <f t="shared" si="11"/>
        <v>162</v>
      </c>
    </row>
    <row r="91" spans="1:16" ht="15" customHeight="1" x14ac:dyDescent="0.2">
      <c r="A91" s="12" t="s">
        <v>18</v>
      </c>
      <c r="B91" s="36">
        <v>46037</v>
      </c>
      <c r="C91" s="12">
        <f t="shared" si="8"/>
        <v>289</v>
      </c>
      <c r="D91" s="38">
        <f t="shared" si="9"/>
        <v>1</v>
      </c>
      <c r="G91" s="32" t="s">
        <v>107</v>
      </c>
      <c r="H91" s="20" t="s">
        <v>3830</v>
      </c>
      <c r="I91" s="12">
        <v>131</v>
      </c>
      <c r="J91" s="12">
        <v>5113</v>
      </c>
      <c r="K91" s="20" t="s">
        <v>20</v>
      </c>
      <c r="L91" s="20">
        <v>1</v>
      </c>
      <c r="M91" s="17">
        <v>14444444</v>
      </c>
      <c r="N91" s="34">
        <f t="shared" si="10"/>
        <v>14444444</v>
      </c>
      <c r="P91" s="17">
        <f t="shared" si="11"/>
        <v>162</v>
      </c>
    </row>
    <row r="92" spans="1:16" ht="15" customHeight="1" x14ac:dyDescent="0.2">
      <c r="A92" s="12" t="s">
        <v>18</v>
      </c>
      <c r="B92" s="36">
        <v>46037</v>
      </c>
      <c r="C92" s="12">
        <f t="shared" si="8"/>
        <v>290</v>
      </c>
      <c r="D92" s="38">
        <f t="shared" si="9"/>
        <v>1</v>
      </c>
      <c r="G92" s="14" t="s">
        <v>107</v>
      </c>
      <c r="H92" s="12" t="s">
        <v>3837</v>
      </c>
      <c r="I92" s="12">
        <v>333821</v>
      </c>
      <c r="J92" s="12">
        <v>131</v>
      </c>
      <c r="K92" s="20" t="s">
        <v>20</v>
      </c>
      <c r="L92" s="20">
        <v>1</v>
      </c>
      <c r="M92" s="17">
        <v>144444</v>
      </c>
      <c r="N92" s="34">
        <f t="shared" si="10"/>
        <v>144444</v>
      </c>
      <c r="P92" s="17">
        <f t="shared" si="11"/>
        <v>178</v>
      </c>
    </row>
    <row r="93" spans="1:16" ht="15" customHeight="1" x14ac:dyDescent="0.2">
      <c r="A93" s="12" t="s">
        <v>18</v>
      </c>
      <c r="B93" s="36">
        <v>46037</v>
      </c>
      <c r="C93" s="12">
        <f t="shared" si="8"/>
        <v>291</v>
      </c>
      <c r="D93" s="38">
        <f t="shared" si="9"/>
        <v>1</v>
      </c>
      <c r="G93" s="14" t="s">
        <v>107</v>
      </c>
      <c r="H93" s="12" t="s">
        <v>3835</v>
      </c>
      <c r="I93" s="12">
        <v>333821</v>
      </c>
      <c r="J93" s="12">
        <v>131</v>
      </c>
      <c r="K93" s="20" t="s">
        <v>20</v>
      </c>
      <c r="L93" s="20">
        <v>1</v>
      </c>
      <c r="M93" s="17">
        <v>244444</v>
      </c>
      <c r="N93" s="34">
        <f t="shared" si="10"/>
        <v>244444</v>
      </c>
      <c r="P93" s="17">
        <f t="shared" si="11"/>
        <v>178</v>
      </c>
    </row>
    <row r="94" spans="1:16" ht="15" customHeight="1" x14ac:dyDescent="0.2">
      <c r="A94" s="12" t="s">
        <v>18</v>
      </c>
      <c r="B94" s="36">
        <v>46037</v>
      </c>
      <c r="C94" s="12">
        <f t="shared" si="8"/>
        <v>292</v>
      </c>
      <c r="D94" s="38">
        <f t="shared" si="9"/>
        <v>1</v>
      </c>
      <c r="G94" s="14" t="s">
        <v>107</v>
      </c>
      <c r="H94" s="12" t="s">
        <v>3833</v>
      </c>
      <c r="I94" s="12">
        <v>333821</v>
      </c>
      <c r="J94" s="12">
        <v>131</v>
      </c>
      <c r="K94" s="20" t="s">
        <v>20</v>
      </c>
      <c r="L94" s="20">
        <v>1</v>
      </c>
      <c r="M94" s="17">
        <v>222222</v>
      </c>
      <c r="N94" s="34">
        <f t="shared" si="10"/>
        <v>222222</v>
      </c>
      <c r="P94" s="17">
        <f t="shared" si="11"/>
        <v>178</v>
      </c>
    </row>
    <row r="95" spans="1:16" ht="15" customHeight="1" x14ac:dyDescent="0.2">
      <c r="A95" s="12" t="s">
        <v>18</v>
      </c>
      <c r="B95" s="36">
        <v>46037</v>
      </c>
      <c r="C95" s="12">
        <f t="shared" si="8"/>
        <v>293</v>
      </c>
      <c r="D95" s="38">
        <f t="shared" si="9"/>
        <v>1</v>
      </c>
      <c r="G95" s="32" t="s">
        <v>107</v>
      </c>
      <c r="H95" s="12" t="s">
        <v>3831</v>
      </c>
      <c r="I95" s="12">
        <v>333821</v>
      </c>
      <c r="J95" s="12">
        <v>131</v>
      </c>
      <c r="K95" s="20" t="s">
        <v>20</v>
      </c>
      <c r="L95" s="20">
        <v>1</v>
      </c>
      <c r="M95" s="17">
        <v>144444</v>
      </c>
      <c r="N95" s="34">
        <f t="shared" si="10"/>
        <v>144444</v>
      </c>
      <c r="P95" s="17">
        <f t="shared" si="11"/>
        <v>178</v>
      </c>
    </row>
    <row r="96" spans="1:16" ht="15" customHeight="1" x14ac:dyDescent="0.2">
      <c r="A96" s="12" t="s">
        <v>18</v>
      </c>
      <c r="B96" s="36">
        <v>46038</v>
      </c>
      <c r="C96" s="12">
        <f t="shared" si="8"/>
        <v>294</v>
      </c>
      <c r="D96" s="38">
        <f t="shared" si="9"/>
        <v>1</v>
      </c>
      <c r="G96" s="14" t="s">
        <v>19</v>
      </c>
      <c r="H96" s="12" t="s">
        <v>1760</v>
      </c>
      <c r="I96" s="12">
        <v>64277</v>
      </c>
      <c r="J96" s="12">
        <v>331</v>
      </c>
      <c r="K96" s="12" t="s">
        <v>20</v>
      </c>
      <c r="L96" s="12">
        <v>1</v>
      </c>
      <c r="M96" s="17">
        <v>57715</v>
      </c>
      <c r="N96" s="17">
        <f t="shared" si="10"/>
        <v>57715</v>
      </c>
      <c r="P96" s="17">
        <f t="shared" si="11"/>
        <v>106</v>
      </c>
    </row>
    <row r="97" spans="1:16" ht="15" customHeight="1" x14ac:dyDescent="0.2">
      <c r="A97" s="12" t="s">
        <v>18</v>
      </c>
      <c r="B97" s="36">
        <v>46038</v>
      </c>
      <c r="C97" s="12">
        <f t="shared" si="8"/>
        <v>294</v>
      </c>
      <c r="D97" s="38">
        <f t="shared" si="9"/>
        <v>0</v>
      </c>
      <c r="G97" s="14" t="s">
        <v>19</v>
      </c>
      <c r="H97" s="12" t="s">
        <v>1760</v>
      </c>
      <c r="I97" s="12">
        <v>1331</v>
      </c>
      <c r="J97" s="12">
        <v>331</v>
      </c>
      <c r="K97" s="12" t="s">
        <v>20</v>
      </c>
      <c r="L97" s="12">
        <v>1</v>
      </c>
      <c r="M97" s="17">
        <v>4285</v>
      </c>
      <c r="N97" s="17">
        <f t="shared" si="10"/>
        <v>4285</v>
      </c>
      <c r="P97" s="17">
        <f t="shared" si="11"/>
        <v>106</v>
      </c>
    </row>
    <row r="98" spans="1:16" ht="15" customHeight="1" x14ac:dyDescent="0.2">
      <c r="A98" s="12" t="s">
        <v>18</v>
      </c>
      <c r="B98" s="36">
        <v>46038</v>
      </c>
      <c r="C98" s="12">
        <f t="shared" si="8"/>
        <v>295</v>
      </c>
      <c r="D98" s="38">
        <f t="shared" si="9"/>
        <v>1</v>
      </c>
      <c r="G98" s="14" t="s">
        <v>25</v>
      </c>
      <c r="H98" s="12" t="s">
        <v>1761</v>
      </c>
      <c r="I98" s="12">
        <v>64277</v>
      </c>
      <c r="J98" s="12">
        <v>331</v>
      </c>
      <c r="K98" s="12" t="s">
        <v>20</v>
      </c>
      <c r="L98" s="12">
        <v>1</v>
      </c>
      <c r="M98" s="17">
        <v>1313000</v>
      </c>
      <c r="N98" s="17">
        <f t="shared" si="10"/>
        <v>1313000</v>
      </c>
      <c r="P98" s="17">
        <f t="shared" si="11"/>
        <v>122</v>
      </c>
    </row>
    <row r="99" spans="1:16" ht="15" customHeight="1" x14ac:dyDescent="0.2">
      <c r="A99" s="12" t="s">
        <v>18</v>
      </c>
      <c r="B99" s="36">
        <v>46038</v>
      </c>
      <c r="C99" s="12">
        <f t="shared" si="8"/>
        <v>295</v>
      </c>
      <c r="D99" s="38">
        <f t="shared" si="9"/>
        <v>0</v>
      </c>
      <c r="G99" s="14" t="s">
        <v>25</v>
      </c>
      <c r="H99" s="12" t="s">
        <v>1761</v>
      </c>
      <c r="I99" s="12">
        <v>1331</v>
      </c>
      <c r="J99" s="12">
        <v>331</v>
      </c>
      <c r="K99" s="12" t="s">
        <v>20</v>
      </c>
      <c r="L99" s="12">
        <v>1</v>
      </c>
      <c r="M99" s="17">
        <v>105040</v>
      </c>
      <c r="N99" s="17">
        <f t="shared" si="10"/>
        <v>105040</v>
      </c>
      <c r="P99" s="17">
        <f t="shared" si="11"/>
        <v>122</v>
      </c>
    </row>
    <row r="100" spans="1:16" ht="15" customHeight="1" x14ac:dyDescent="0.2">
      <c r="A100" s="12" t="s">
        <v>18</v>
      </c>
      <c r="B100" s="36">
        <v>46041</v>
      </c>
      <c r="C100" s="12">
        <f t="shared" ref="C100:C131" si="12">C99+D100</f>
        <v>296</v>
      </c>
      <c r="D100" s="38">
        <f t="shared" ref="D100:D131" si="13">IF(H100=H99,0,1)</f>
        <v>1</v>
      </c>
      <c r="G100" s="14" t="s">
        <v>1779</v>
      </c>
      <c r="H100" s="12" t="s">
        <v>1780</v>
      </c>
      <c r="I100" s="12">
        <v>131</v>
      </c>
      <c r="J100" s="12">
        <v>5113</v>
      </c>
      <c r="K100" s="20" t="s">
        <v>20</v>
      </c>
      <c r="L100" s="20">
        <v>1</v>
      </c>
      <c r="M100" s="17">
        <v>20000000</v>
      </c>
      <c r="N100" s="34">
        <f t="shared" ref="N100:N131" si="14">L100*M100</f>
        <v>20000000</v>
      </c>
      <c r="P100" s="17">
        <f t="shared" ref="P100:P131" si="15">LEN(H100)</f>
        <v>157</v>
      </c>
    </row>
    <row r="101" spans="1:16" ht="15" customHeight="1" x14ac:dyDescent="0.2">
      <c r="A101" s="12" t="s">
        <v>18</v>
      </c>
      <c r="B101" s="36">
        <v>46041</v>
      </c>
      <c r="C101" s="12">
        <f t="shared" si="12"/>
        <v>297</v>
      </c>
      <c r="D101" s="38">
        <f t="shared" si="13"/>
        <v>1</v>
      </c>
      <c r="G101" s="14" t="s">
        <v>1779</v>
      </c>
      <c r="H101" s="12" t="s">
        <v>3810</v>
      </c>
      <c r="I101" s="12">
        <v>333821</v>
      </c>
      <c r="J101" s="12">
        <v>131</v>
      </c>
      <c r="K101" s="20" t="s">
        <v>20</v>
      </c>
      <c r="L101" s="20">
        <v>1</v>
      </c>
      <c r="M101" s="17">
        <v>200000</v>
      </c>
      <c r="N101" s="34">
        <f t="shared" si="14"/>
        <v>200000</v>
      </c>
      <c r="P101" s="17">
        <f t="shared" si="15"/>
        <v>173</v>
      </c>
    </row>
    <row r="102" spans="1:16" ht="15" customHeight="1" x14ac:dyDescent="0.2">
      <c r="A102" s="12" t="s">
        <v>18</v>
      </c>
      <c r="B102" s="36">
        <v>46042</v>
      </c>
      <c r="C102" s="12">
        <f t="shared" si="12"/>
        <v>298</v>
      </c>
      <c r="D102" s="38">
        <f t="shared" si="13"/>
        <v>1</v>
      </c>
      <c r="G102" s="14" t="s">
        <v>96</v>
      </c>
      <c r="H102" s="12" t="s">
        <v>1781</v>
      </c>
      <c r="I102" s="12">
        <v>131</v>
      </c>
      <c r="J102" s="12">
        <v>5113</v>
      </c>
      <c r="K102" s="20" t="s">
        <v>20</v>
      </c>
      <c r="L102" s="20">
        <v>1</v>
      </c>
      <c r="M102" s="17">
        <v>16666667</v>
      </c>
      <c r="N102" s="34">
        <f t="shared" si="14"/>
        <v>16666667</v>
      </c>
      <c r="P102" s="17">
        <f t="shared" si="15"/>
        <v>159</v>
      </c>
    </row>
    <row r="103" spans="1:16" ht="15" customHeight="1" x14ac:dyDescent="0.2">
      <c r="A103" s="12" t="s">
        <v>18</v>
      </c>
      <c r="B103" s="36">
        <v>46042</v>
      </c>
      <c r="C103" s="12">
        <f t="shared" si="12"/>
        <v>299</v>
      </c>
      <c r="D103" s="38">
        <f t="shared" si="13"/>
        <v>1</v>
      </c>
      <c r="G103" s="14" t="s">
        <v>96</v>
      </c>
      <c r="H103" s="12" t="s">
        <v>3811</v>
      </c>
      <c r="I103" s="12">
        <v>333821</v>
      </c>
      <c r="J103" s="12">
        <v>131</v>
      </c>
      <c r="K103" s="20" t="s">
        <v>20</v>
      </c>
      <c r="L103" s="20">
        <v>1</v>
      </c>
      <c r="M103" s="17">
        <v>166667</v>
      </c>
      <c r="N103" s="34">
        <f t="shared" si="14"/>
        <v>166667</v>
      </c>
      <c r="P103" s="17">
        <f t="shared" si="15"/>
        <v>175</v>
      </c>
    </row>
    <row r="104" spans="1:16" ht="15" customHeight="1" x14ac:dyDescent="0.2">
      <c r="A104" s="12" t="s">
        <v>18</v>
      </c>
      <c r="B104" s="87" t="s">
        <v>645</v>
      </c>
      <c r="C104" s="12">
        <f t="shared" si="12"/>
        <v>300</v>
      </c>
      <c r="D104" s="38">
        <f t="shared" si="13"/>
        <v>1</v>
      </c>
      <c r="G104" s="14" t="s">
        <v>311</v>
      </c>
      <c r="H104" s="12" t="s">
        <v>3878</v>
      </c>
      <c r="I104" s="12">
        <v>131</v>
      </c>
      <c r="J104" s="12">
        <v>5118</v>
      </c>
      <c r="K104" s="12" t="s">
        <v>20</v>
      </c>
      <c r="L104" s="12">
        <v>1</v>
      </c>
      <c r="M104" s="17">
        <v>183783814</v>
      </c>
      <c r="N104" s="17">
        <f t="shared" si="14"/>
        <v>183783814</v>
      </c>
      <c r="P104" s="17">
        <f t="shared" si="15"/>
        <v>36</v>
      </c>
    </row>
    <row r="105" spans="1:16" ht="15" customHeight="1" x14ac:dyDescent="0.2">
      <c r="A105" s="12" t="s">
        <v>18</v>
      </c>
      <c r="B105" s="87" t="s">
        <v>645</v>
      </c>
      <c r="C105" s="12">
        <f t="shared" si="12"/>
        <v>300</v>
      </c>
      <c r="D105" s="38">
        <f t="shared" si="13"/>
        <v>0</v>
      </c>
      <c r="G105" s="14" t="s">
        <v>311</v>
      </c>
      <c r="H105" s="12" t="s">
        <v>3878</v>
      </c>
      <c r="I105" s="12">
        <v>131</v>
      </c>
      <c r="J105" s="12">
        <v>5118</v>
      </c>
      <c r="K105" s="12" t="s">
        <v>20</v>
      </c>
      <c r="L105" s="12">
        <v>1</v>
      </c>
      <c r="M105" s="17">
        <v>98552744</v>
      </c>
      <c r="N105" s="17">
        <f t="shared" si="14"/>
        <v>98552744</v>
      </c>
      <c r="P105" s="17">
        <f t="shared" si="15"/>
        <v>36</v>
      </c>
    </row>
    <row r="106" spans="1:16" ht="15" customHeight="1" x14ac:dyDescent="0.2">
      <c r="A106" s="12" t="s">
        <v>18</v>
      </c>
      <c r="B106" s="36">
        <v>46045</v>
      </c>
      <c r="C106" s="12">
        <f t="shared" si="12"/>
        <v>301</v>
      </c>
      <c r="D106" s="38">
        <f t="shared" si="13"/>
        <v>1</v>
      </c>
      <c r="G106" s="14" t="s">
        <v>19</v>
      </c>
      <c r="H106" s="12" t="s">
        <v>1762</v>
      </c>
      <c r="I106" s="12">
        <v>64277</v>
      </c>
      <c r="J106" s="12">
        <v>331</v>
      </c>
      <c r="K106" s="12" t="s">
        <v>20</v>
      </c>
      <c r="L106" s="12">
        <v>1</v>
      </c>
      <c r="M106" s="17">
        <v>14000</v>
      </c>
      <c r="N106" s="17">
        <f t="shared" si="14"/>
        <v>14000</v>
      </c>
      <c r="P106" s="17">
        <f t="shared" si="15"/>
        <v>168</v>
      </c>
    </row>
    <row r="107" spans="1:16" ht="15" customHeight="1" x14ac:dyDescent="0.2">
      <c r="A107" s="12" t="s">
        <v>18</v>
      </c>
      <c r="B107" s="36">
        <v>46045</v>
      </c>
      <c r="C107" s="12">
        <f t="shared" si="12"/>
        <v>301</v>
      </c>
      <c r="D107" s="38">
        <f t="shared" si="13"/>
        <v>0</v>
      </c>
      <c r="G107" s="14" t="s">
        <v>19</v>
      </c>
      <c r="H107" s="12" t="s">
        <v>1762</v>
      </c>
      <c r="I107" s="12">
        <v>1331</v>
      </c>
      <c r="J107" s="12">
        <v>331</v>
      </c>
      <c r="K107" s="12" t="s">
        <v>20</v>
      </c>
      <c r="L107" s="12">
        <v>1</v>
      </c>
      <c r="M107" s="17">
        <v>958</v>
      </c>
      <c r="N107" s="17">
        <f t="shared" si="14"/>
        <v>958</v>
      </c>
      <c r="P107" s="17">
        <f t="shared" si="15"/>
        <v>168</v>
      </c>
    </row>
    <row r="108" spans="1:16" ht="15" customHeight="1" x14ac:dyDescent="0.2">
      <c r="A108" s="12" t="s">
        <v>18</v>
      </c>
      <c r="B108" s="36">
        <v>46047</v>
      </c>
      <c r="C108" s="12">
        <f t="shared" si="12"/>
        <v>302</v>
      </c>
      <c r="D108" s="38">
        <f t="shared" si="13"/>
        <v>1</v>
      </c>
      <c r="G108" s="14" t="s">
        <v>19</v>
      </c>
      <c r="H108" s="12" t="s">
        <v>1764</v>
      </c>
      <c r="I108" s="12">
        <v>64277</v>
      </c>
      <c r="J108" s="12">
        <v>331</v>
      </c>
      <c r="K108" s="12" t="s">
        <v>20</v>
      </c>
      <c r="L108" s="12">
        <v>1</v>
      </c>
      <c r="M108" s="17">
        <v>18000</v>
      </c>
      <c r="N108" s="17">
        <f t="shared" si="14"/>
        <v>18000</v>
      </c>
      <c r="P108" s="17">
        <f t="shared" si="15"/>
        <v>168</v>
      </c>
    </row>
    <row r="109" spans="1:16" ht="15" customHeight="1" x14ac:dyDescent="0.2">
      <c r="A109" s="12" t="s">
        <v>18</v>
      </c>
      <c r="B109" s="36">
        <v>46047</v>
      </c>
      <c r="C109" s="12">
        <f t="shared" si="12"/>
        <v>302</v>
      </c>
      <c r="D109" s="38">
        <f t="shared" si="13"/>
        <v>0</v>
      </c>
      <c r="G109" s="14" t="s">
        <v>19</v>
      </c>
      <c r="H109" s="12" t="s">
        <v>1764</v>
      </c>
      <c r="I109" s="12">
        <v>1331</v>
      </c>
      <c r="J109" s="12">
        <v>331</v>
      </c>
      <c r="K109" s="12" t="s">
        <v>20</v>
      </c>
      <c r="L109" s="12">
        <v>1</v>
      </c>
      <c r="M109" s="17">
        <v>1234</v>
      </c>
      <c r="N109" s="17">
        <f t="shared" si="14"/>
        <v>1234</v>
      </c>
      <c r="P109" s="17">
        <f t="shared" si="15"/>
        <v>168</v>
      </c>
    </row>
    <row r="110" spans="1:16" ht="15" customHeight="1" x14ac:dyDescent="0.2">
      <c r="A110" s="12" t="s">
        <v>18</v>
      </c>
      <c r="B110" s="36">
        <v>46047</v>
      </c>
      <c r="C110" s="12">
        <f t="shared" si="12"/>
        <v>303</v>
      </c>
      <c r="D110" s="38">
        <f t="shared" si="13"/>
        <v>1</v>
      </c>
      <c r="G110" s="14" t="s">
        <v>19</v>
      </c>
      <c r="H110" s="12" t="s">
        <v>1763</v>
      </c>
      <c r="I110" s="12">
        <v>64277</v>
      </c>
      <c r="J110" s="12">
        <v>331</v>
      </c>
      <c r="K110" s="12" t="s">
        <v>20</v>
      </c>
      <c r="L110" s="12">
        <v>1</v>
      </c>
      <c r="M110" s="17">
        <v>13000</v>
      </c>
      <c r="N110" s="17">
        <f t="shared" si="14"/>
        <v>13000</v>
      </c>
      <c r="P110" s="17">
        <f t="shared" si="15"/>
        <v>168</v>
      </c>
    </row>
    <row r="111" spans="1:16" ht="15" customHeight="1" x14ac:dyDescent="0.2">
      <c r="A111" s="12" t="s">
        <v>18</v>
      </c>
      <c r="B111" s="36">
        <v>46047</v>
      </c>
      <c r="C111" s="12">
        <f t="shared" si="12"/>
        <v>303</v>
      </c>
      <c r="D111" s="38">
        <f t="shared" si="13"/>
        <v>0</v>
      </c>
      <c r="G111" s="14" t="s">
        <v>19</v>
      </c>
      <c r="H111" s="12" t="s">
        <v>1763</v>
      </c>
      <c r="I111" s="12">
        <v>1331</v>
      </c>
      <c r="J111" s="12">
        <v>331</v>
      </c>
      <c r="K111" s="12" t="s">
        <v>20</v>
      </c>
      <c r="L111" s="12">
        <v>1</v>
      </c>
      <c r="M111" s="17">
        <v>889</v>
      </c>
      <c r="N111" s="17">
        <f t="shared" si="14"/>
        <v>889</v>
      </c>
      <c r="P111" s="17">
        <f t="shared" si="15"/>
        <v>168</v>
      </c>
    </row>
    <row r="112" spans="1:16" ht="15" customHeight="1" x14ac:dyDescent="0.2">
      <c r="A112" s="12" t="s">
        <v>18</v>
      </c>
      <c r="B112" s="36">
        <v>46049</v>
      </c>
      <c r="C112" s="12">
        <f t="shared" si="12"/>
        <v>304</v>
      </c>
      <c r="D112" s="38">
        <f t="shared" si="13"/>
        <v>1</v>
      </c>
      <c r="G112" s="14" t="s">
        <v>88</v>
      </c>
      <c r="H112" s="12" t="s">
        <v>1782</v>
      </c>
      <c r="I112" s="12">
        <v>131</v>
      </c>
      <c r="J112" s="12">
        <v>5113</v>
      </c>
      <c r="K112" s="20" t="s">
        <v>20</v>
      </c>
      <c r="L112" s="20">
        <v>1</v>
      </c>
      <c r="M112" s="17">
        <v>16666667</v>
      </c>
      <c r="N112" s="34">
        <f t="shared" si="14"/>
        <v>16666667</v>
      </c>
      <c r="P112" s="17">
        <f t="shared" si="15"/>
        <v>127</v>
      </c>
    </row>
    <row r="113" spans="1:16" ht="15" customHeight="1" x14ac:dyDescent="0.2">
      <c r="A113" s="12" t="s">
        <v>18</v>
      </c>
      <c r="B113" s="36">
        <v>46049</v>
      </c>
      <c r="C113" s="12">
        <f t="shared" si="12"/>
        <v>305</v>
      </c>
      <c r="D113" s="38">
        <f t="shared" si="13"/>
        <v>1</v>
      </c>
      <c r="G113" s="14" t="s">
        <v>88</v>
      </c>
      <c r="H113" s="12" t="s">
        <v>3812</v>
      </c>
      <c r="I113" s="12">
        <v>333821</v>
      </c>
      <c r="J113" s="12">
        <v>131</v>
      </c>
      <c r="K113" s="20" t="s">
        <v>20</v>
      </c>
      <c r="L113" s="20">
        <v>1</v>
      </c>
      <c r="M113" s="17">
        <v>166667</v>
      </c>
      <c r="N113" s="34">
        <f t="shared" si="14"/>
        <v>166667</v>
      </c>
      <c r="P113" s="17">
        <f t="shared" si="15"/>
        <v>143</v>
      </c>
    </row>
    <row r="114" spans="1:16" ht="15" customHeight="1" x14ac:dyDescent="0.2">
      <c r="A114" s="12" t="s">
        <v>18</v>
      </c>
      <c r="B114" s="36">
        <v>46050</v>
      </c>
      <c r="C114" s="12">
        <f t="shared" si="12"/>
        <v>306</v>
      </c>
      <c r="D114" s="38">
        <f t="shared" si="13"/>
        <v>1</v>
      </c>
      <c r="G114" s="32" t="s">
        <v>59</v>
      </c>
      <c r="H114" s="20" t="s">
        <v>1783</v>
      </c>
      <c r="I114" s="12">
        <v>131</v>
      </c>
      <c r="J114" s="12">
        <v>5113</v>
      </c>
      <c r="K114" s="20" t="s">
        <v>20</v>
      </c>
      <c r="L114" s="20">
        <v>1</v>
      </c>
      <c r="M114" s="17">
        <v>40000000</v>
      </c>
      <c r="N114" s="34">
        <f t="shared" si="14"/>
        <v>40000000</v>
      </c>
      <c r="P114" s="17">
        <f t="shared" si="15"/>
        <v>150</v>
      </c>
    </row>
    <row r="115" spans="1:16" ht="15" customHeight="1" x14ac:dyDescent="0.2">
      <c r="A115" s="12" t="s">
        <v>18</v>
      </c>
      <c r="B115" s="36">
        <v>46050</v>
      </c>
      <c r="C115" s="12">
        <f t="shared" si="12"/>
        <v>307</v>
      </c>
      <c r="D115" s="38">
        <f t="shared" si="13"/>
        <v>1</v>
      </c>
      <c r="G115" s="14" t="s">
        <v>59</v>
      </c>
      <c r="H115" s="12" t="s">
        <v>3813</v>
      </c>
      <c r="I115" s="12">
        <v>333821</v>
      </c>
      <c r="J115" s="12">
        <v>131</v>
      </c>
      <c r="K115" s="20" t="s">
        <v>20</v>
      </c>
      <c r="L115" s="20">
        <v>1</v>
      </c>
      <c r="M115" s="17">
        <v>400000</v>
      </c>
      <c r="N115" s="34">
        <f t="shared" si="14"/>
        <v>400000</v>
      </c>
      <c r="P115" s="17">
        <f t="shared" si="15"/>
        <v>166</v>
      </c>
    </row>
    <row r="116" spans="1:16" ht="15" customHeight="1" x14ac:dyDescent="0.2">
      <c r="A116" s="12" t="s">
        <v>18</v>
      </c>
      <c r="B116" s="36">
        <v>46051</v>
      </c>
      <c r="C116" s="12">
        <f t="shared" si="12"/>
        <v>308</v>
      </c>
      <c r="D116" s="38">
        <f t="shared" si="13"/>
        <v>1</v>
      </c>
      <c r="G116" s="14" t="s">
        <v>91</v>
      </c>
      <c r="H116" s="12" t="s">
        <v>1784</v>
      </c>
      <c r="I116" s="12">
        <v>131</v>
      </c>
      <c r="J116" s="12">
        <v>5113</v>
      </c>
      <c r="K116" s="20" t="s">
        <v>20</v>
      </c>
      <c r="L116" s="20">
        <v>1</v>
      </c>
      <c r="M116" s="17">
        <v>2222222</v>
      </c>
      <c r="N116" s="34">
        <f t="shared" si="14"/>
        <v>2222222</v>
      </c>
      <c r="P116" s="17">
        <f t="shared" si="15"/>
        <v>171</v>
      </c>
    </row>
    <row r="117" spans="1:16" ht="15" customHeight="1" x14ac:dyDescent="0.2">
      <c r="A117" s="12" t="s">
        <v>18</v>
      </c>
      <c r="B117" s="36">
        <v>46051</v>
      </c>
      <c r="C117" s="12">
        <f t="shared" si="12"/>
        <v>309</v>
      </c>
      <c r="D117" s="38">
        <f t="shared" si="13"/>
        <v>1</v>
      </c>
      <c r="G117" s="14" t="s">
        <v>91</v>
      </c>
      <c r="H117" s="12" t="s">
        <v>3814</v>
      </c>
      <c r="I117" s="12">
        <v>333821</v>
      </c>
      <c r="J117" s="12">
        <v>131</v>
      </c>
      <c r="K117" s="20" t="s">
        <v>20</v>
      </c>
      <c r="L117" s="20">
        <v>1</v>
      </c>
      <c r="M117" s="17">
        <v>22222</v>
      </c>
      <c r="N117" s="34">
        <f t="shared" si="14"/>
        <v>22222</v>
      </c>
      <c r="P117" s="17">
        <f t="shared" si="15"/>
        <v>187</v>
      </c>
    </row>
    <row r="118" spans="1:16" ht="15" customHeight="1" x14ac:dyDescent="0.2">
      <c r="A118" s="12" t="s">
        <v>18</v>
      </c>
      <c r="B118" s="36">
        <v>46053</v>
      </c>
      <c r="C118" s="12">
        <f t="shared" si="12"/>
        <v>310</v>
      </c>
      <c r="D118" s="38">
        <f t="shared" si="13"/>
        <v>1</v>
      </c>
      <c r="G118" s="14" t="s">
        <v>71</v>
      </c>
      <c r="H118" s="12" t="s">
        <v>455</v>
      </c>
      <c r="I118" s="12">
        <v>64271</v>
      </c>
      <c r="J118" s="12">
        <v>3383</v>
      </c>
      <c r="K118" s="12" t="s">
        <v>20</v>
      </c>
      <c r="L118" s="12">
        <v>1</v>
      </c>
      <c r="M118" s="17">
        <v>690300</v>
      </c>
      <c r="N118" s="17">
        <f t="shared" si="14"/>
        <v>690300</v>
      </c>
      <c r="P118" s="17">
        <f t="shared" si="15"/>
        <v>30</v>
      </c>
    </row>
    <row r="119" spans="1:16" ht="15" customHeight="1" x14ac:dyDescent="0.2">
      <c r="A119" s="12" t="s">
        <v>18</v>
      </c>
      <c r="B119" s="87" t="s">
        <v>473</v>
      </c>
      <c r="C119" s="12">
        <f t="shared" si="12"/>
        <v>311</v>
      </c>
      <c r="D119" s="38">
        <f t="shared" si="13"/>
        <v>1</v>
      </c>
      <c r="G119" s="14" t="s">
        <v>311</v>
      </c>
      <c r="H119" s="12" t="s">
        <v>3878</v>
      </c>
      <c r="I119" s="12">
        <v>131</v>
      </c>
      <c r="J119" s="12">
        <v>5118</v>
      </c>
      <c r="K119" s="12" t="s">
        <v>20</v>
      </c>
      <c r="L119" s="12">
        <v>1</v>
      </c>
      <c r="M119" s="17">
        <v>54051226</v>
      </c>
      <c r="N119" s="17">
        <f t="shared" si="14"/>
        <v>54051226</v>
      </c>
      <c r="P119" s="17">
        <f t="shared" si="15"/>
        <v>36</v>
      </c>
    </row>
    <row r="120" spans="1:16" ht="15" customHeight="1" x14ac:dyDescent="0.2">
      <c r="A120" s="12" t="s">
        <v>18</v>
      </c>
      <c r="B120" s="87" t="s">
        <v>473</v>
      </c>
      <c r="C120" s="12">
        <f t="shared" si="12"/>
        <v>311</v>
      </c>
      <c r="D120" s="38">
        <f t="shared" si="13"/>
        <v>0</v>
      </c>
      <c r="G120" s="14" t="s">
        <v>311</v>
      </c>
      <c r="H120" s="12" t="s">
        <v>3878</v>
      </c>
      <c r="I120" s="12">
        <v>131</v>
      </c>
      <c r="J120" s="12">
        <v>5118</v>
      </c>
      <c r="K120" s="12" t="s">
        <v>20</v>
      </c>
      <c r="L120" s="12">
        <v>1</v>
      </c>
      <c r="M120" s="17">
        <v>68939717</v>
      </c>
      <c r="N120" s="17">
        <f t="shared" si="14"/>
        <v>68939717</v>
      </c>
      <c r="P120" s="17">
        <f t="shared" si="15"/>
        <v>36</v>
      </c>
    </row>
    <row r="121" spans="1:16" ht="15" customHeight="1" x14ac:dyDescent="0.2">
      <c r="A121" s="12" t="s">
        <v>18</v>
      </c>
      <c r="B121" s="36">
        <v>46054</v>
      </c>
      <c r="C121" s="12">
        <f t="shared" si="12"/>
        <v>312</v>
      </c>
      <c r="D121" s="38">
        <f t="shared" si="13"/>
        <v>1</v>
      </c>
      <c r="G121" s="14" t="s">
        <v>35</v>
      </c>
      <c r="H121" s="12" t="s">
        <v>1765</v>
      </c>
      <c r="I121" s="12">
        <v>64277</v>
      </c>
      <c r="J121" s="12">
        <v>331</v>
      </c>
      <c r="K121" s="12" t="s">
        <v>20</v>
      </c>
      <c r="L121" s="12">
        <v>1</v>
      </c>
      <c r="M121" s="17">
        <v>3000000</v>
      </c>
      <c r="N121" s="17">
        <f t="shared" si="14"/>
        <v>3000000</v>
      </c>
      <c r="P121" s="17">
        <f t="shared" si="15"/>
        <v>41</v>
      </c>
    </row>
    <row r="122" spans="1:16" ht="15" customHeight="1" x14ac:dyDescent="0.2">
      <c r="A122" s="12" t="s">
        <v>18</v>
      </c>
      <c r="B122" s="36">
        <v>46054</v>
      </c>
      <c r="C122" s="12">
        <f t="shared" si="12"/>
        <v>312</v>
      </c>
      <c r="D122" s="38">
        <f t="shared" si="13"/>
        <v>0</v>
      </c>
      <c r="G122" s="14" t="s">
        <v>35</v>
      </c>
      <c r="H122" s="12" t="s">
        <v>1765</v>
      </c>
      <c r="I122" s="12">
        <v>1331</v>
      </c>
      <c r="J122" s="12">
        <v>331</v>
      </c>
      <c r="K122" s="12" t="s">
        <v>20</v>
      </c>
      <c r="L122" s="12">
        <v>1</v>
      </c>
      <c r="M122" s="17">
        <v>240000</v>
      </c>
      <c r="N122" s="17">
        <f t="shared" si="14"/>
        <v>240000</v>
      </c>
      <c r="P122" s="17">
        <f t="shared" si="15"/>
        <v>41</v>
      </c>
    </row>
    <row r="123" spans="1:16" ht="15" customHeight="1" x14ac:dyDescent="0.2">
      <c r="A123" s="12" t="s">
        <v>18</v>
      </c>
      <c r="B123" s="36">
        <v>46055</v>
      </c>
      <c r="C123" s="12">
        <f t="shared" si="12"/>
        <v>313</v>
      </c>
      <c r="D123" s="38">
        <f t="shared" si="13"/>
        <v>1</v>
      </c>
      <c r="G123" s="32" t="s">
        <v>1785</v>
      </c>
      <c r="H123" s="20" t="s">
        <v>1786</v>
      </c>
      <c r="I123" s="12">
        <v>131</v>
      </c>
      <c r="J123" s="12">
        <v>5113</v>
      </c>
      <c r="K123" s="20" t="s">
        <v>20</v>
      </c>
      <c r="L123" s="20">
        <v>1</v>
      </c>
      <c r="M123" s="17">
        <v>22222222</v>
      </c>
      <c r="N123" s="34">
        <f t="shared" si="14"/>
        <v>22222222</v>
      </c>
      <c r="P123" s="17">
        <f t="shared" si="15"/>
        <v>108</v>
      </c>
    </row>
    <row r="124" spans="1:16" ht="15" customHeight="1" x14ac:dyDescent="0.2">
      <c r="A124" s="12" t="s">
        <v>18</v>
      </c>
      <c r="B124" s="36">
        <v>46055</v>
      </c>
      <c r="C124" s="12">
        <f t="shared" si="12"/>
        <v>314</v>
      </c>
      <c r="D124" s="38">
        <f t="shared" si="13"/>
        <v>1</v>
      </c>
      <c r="G124" s="14" t="s">
        <v>1785</v>
      </c>
      <c r="H124" s="12" t="s">
        <v>3815</v>
      </c>
      <c r="I124" s="12">
        <v>333821</v>
      </c>
      <c r="J124" s="12">
        <v>131</v>
      </c>
      <c r="K124" s="20" t="s">
        <v>20</v>
      </c>
      <c r="L124" s="20">
        <v>1</v>
      </c>
      <c r="M124" s="17">
        <v>222222</v>
      </c>
      <c r="N124" s="34">
        <f t="shared" si="14"/>
        <v>222222</v>
      </c>
      <c r="P124" s="17">
        <f t="shared" si="15"/>
        <v>124</v>
      </c>
    </row>
    <row r="125" spans="1:16" ht="15" customHeight="1" x14ac:dyDescent="0.2">
      <c r="A125" s="12" t="s">
        <v>18</v>
      </c>
      <c r="B125" s="36">
        <v>46055</v>
      </c>
      <c r="C125" s="12">
        <f t="shared" si="12"/>
        <v>315</v>
      </c>
      <c r="D125" s="38">
        <f t="shared" si="13"/>
        <v>1</v>
      </c>
      <c r="G125" s="14" t="s">
        <v>29</v>
      </c>
      <c r="H125" s="12" t="s">
        <v>3816</v>
      </c>
      <c r="I125" s="12">
        <v>333821</v>
      </c>
      <c r="J125" s="12">
        <v>131</v>
      </c>
      <c r="K125" s="20" t="s">
        <v>20</v>
      </c>
      <c r="L125" s="20">
        <v>1</v>
      </c>
      <c r="M125" s="17">
        <v>200000</v>
      </c>
      <c r="N125" s="34">
        <f t="shared" si="14"/>
        <v>200000</v>
      </c>
      <c r="P125" s="17">
        <f t="shared" si="15"/>
        <v>157</v>
      </c>
    </row>
    <row r="126" spans="1:16" ht="15" customHeight="1" x14ac:dyDescent="0.2">
      <c r="A126" s="12" t="s">
        <v>18</v>
      </c>
      <c r="B126" s="36">
        <v>46055</v>
      </c>
      <c r="C126" s="12">
        <f t="shared" si="12"/>
        <v>316</v>
      </c>
      <c r="D126" s="38">
        <f t="shared" si="13"/>
        <v>1</v>
      </c>
      <c r="G126" s="14" t="s">
        <v>44</v>
      </c>
      <c r="H126" s="12" t="s">
        <v>1766</v>
      </c>
      <c r="I126" s="12">
        <v>64277</v>
      </c>
      <c r="J126" s="12">
        <v>331</v>
      </c>
      <c r="K126" s="12" t="s">
        <v>20</v>
      </c>
      <c r="L126" s="12">
        <v>1</v>
      </c>
      <c r="M126" s="17">
        <v>193287</v>
      </c>
      <c r="N126" s="17">
        <f t="shared" si="14"/>
        <v>193287</v>
      </c>
      <c r="P126" s="17">
        <f t="shared" si="15"/>
        <v>98</v>
      </c>
    </row>
    <row r="127" spans="1:16" ht="15" customHeight="1" x14ac:dyDescent="0.2">
      <c r="A127" s="12" t="s">
        <v>18</v>
      </c>
      <c r="B127" s="36">
        <v>46055</v>
      </c>
      <c r="C127" s="12">
        <f t="shared" si="12"/>
        <v>316</v>
      </c>
      <c r="D127" s="38">
        <f t="shared" si="13"/>
        <v>0</v>
      </c>
      <c r="G127" s="14" t="s">
        <v>44</v>
      </c>
      <c r="H127" s="12" t="s">
        <v>1766</v>
      </c>
      <c r="I127" s="12">
        <v>1331</v>
      </c>
      <c r="J127" s="12">
        <v>331</v>
      </c>
      <c r="K127" s="12" t="s">
        <v>20</v>
      </c>
      <c r="L127" s="12">
        <v>1</v>
      </c>
      <c r="M127" s="17">
        <v>15464</v>
      </c>
      <c r="N127" s="17">
        <f t="shared" si="14"/>
        <v>15464</v>
      </c>
      <c r="P127" s="17">
        <f t="shared" si="15"/>
        <v>98</v>
      </c>
    </row>
    <row r="128" spans="1:16" ht="15" customHeight="1" x14ac:dyDescent="0.2">
      <c r="A128" s="12" t="s">
        <v>18</v>
      </c>
      <c r="B128" s="36">
        <v>46055</v>
      </c>
      <c r="C128" s="12">
        <f t="shared" si="12"/>
        <v>317</v>
      </c>
      <c r="D128" s="38">
        <f t="shared" si="13"/>
        <v>1</v>
      </c>
      <c r="G128" s="32" t="s">
        <v>29</v>
      </c>
      <c r="H128" s="20" t="s">
        <v>1787</v>
      </c>
      <c r="I128" s="12">
        <v>131</v>
      </c>
      <c r="J128" s="12">
        <v>5113</v>
      </c>
      <c r="K128" s="20" t="s">
        <v>20</v>
      </c>
      <c r="L128" s="20">
        <v>1</v>
      </c>
      <c r="M128" s="17">
        <v>20000000</v>
      </c>
      <c r="N128" s="34">
        <f t="shared" si="14"/>
        <v>20000000</v>
      </c>
      <c r="P128" s="17">
        <f t="shared" si="15"/>
        <v>141</v>
      </c>
    </row>
    <row r="129" spans="1:16" ht="15" customHeight="1" x14ac:dyDescent="0.2">
      <c r="A129" s="12" t="s">
        <v>18</v>
      </c>
      <c r="B129" s="36">
        <v>46057</v>
      </c>
      <c r="C129" s="12">
        <f t="shared" si="12"/>
        <v>318</v>
      </c>
      <c r="D129" s="38">
        <f t="shared" si="13"/>
        <v>1</v>
      </c>
      <c r="G129" s="32" t="s">
        <v>1788</v>
      </c>
      <c r="H129" s="20" t="s">
        <v>1789</v>
      </c>
      <c r="I129" s="12">
        <v>131</v>
      </c>
      <c r="J129" s="12">
        <v>5113</v>
      </c>
      <c r="K129" s="20" t="s">
        <v>20</v>
      </c>
      <c r="L129" s="20">
        <v>1</v>
      </c>
      <c r="M129" s="17">
        <v>16666667</v>
      </c>
      <c r="N129" s="34">
        <f t="shared" si="14"/>
        <v>16666667</v>
      </c>
      <c r="P129" s="17">
        <f t="shared" si="15"/>
        <v>149</v>
      </c>
    </row>
    <row r="130" spans="1:16" ht="15" customHeight="1" x14ac:dyDescent="0.2">
      <c r="A130" s="12" t="s">
        <v>18</v>
      </c>
      <c r="B130" s="36">
        <v>46057</v>
      </c>
      <c r="C130" s="12">
        <f t="shared" si="12"/>
        <v>319</v>
      </c>
      <c r="D130" s="38">
        <f t="shared" si="13"/>
        <v>1</v>
      </c>
      <c r="G130" s="14" t="s">
        <v>1788</v>
      </c>
      <c r="H130" s="12" t="s">
        <v>3817</v>
      </c>
      <c r="I130" s="12">
        <v>333821</v>
      </c>
      <c r="J130" s="12">
        <v>131</v>
      </c>
      <c r="K130" s="20" t="s">
        <v>20</v>
      </c>
      <c r="L130" s="20">
        <v>1</v>
      </c>
      <c r="M130" s="17">
        <v>166667</v>
      </c>
      <c r="N130" s="34">
        <f t="shared" si="14"/>
        <v>166667</v>
      </c>
      <c r="P130" s="17">
        <f t="shared" si="15"/>
        <v>165</v>
      </c>
    </row>
    <row r="131" spans="1:16" ht="15" customHeight="1" x14ac:dyDescent="0.2">
      <c r="A131" s="12" t="s">
        <v>18</v>
      </c>
      <c r="B131" s="36">
        <v>46058</v>
      </c>
      <c r="C131" s="12">
        <f t="shared" si="12"/>
        <v>320</v>
      </c>
      <c r="D131" s="38">
        <f t="shared" si="13"/>
        <v>1</v>
      </c>
      <c r="G131" s="32" t="s">
        <v>1790</v>
      </c>
      <c r="H131" s="20" t="s">
        <v>1791</v>
      </c>
      <c r="I131" s="12">
        <v>131</v>
      </c>
      <c r="J131" s="12">
        <v>5113</v>
      </c>
      <c r="K131" s="20" t="s">
        <v>20</v>
      </c>
      <c r="L131" s="20">
        <v>1</v>
      </c>
      <c r="M131" s="17">
        <v>19354839</v>
      </c>
      <c r="N131" s="34">
        <f t="shared" si="14"/>
        <v>19354839</v>
      </c>
      <c r="P131" s="17">
        <f t="shared" si="15"/>
        <v>143</v>
      </c>
    </row>
    <row r="132" spans="1:16" ht="15" customHeight="1" x14ac:dyDescent="0.2">
      <c r="A132" s="12" t="s">
        <v>18</v>
      </c>
      <c r="B132" s="36">
        <v>46058</v>
      </c>
      <c r="C132" s="12">
        <f t="shared" ref="C132:C163" si="16">C131+D132</f>
        <v>321</v>
      </c>
      <c r="D132" s="38">
        <f t="shared" ref="D132:D163" si="17">IF(H132=H131,0,1)</f>
        <v>1</v>
      </c>
      <c r="G132" s="14" t="s">
        <v>1779</v>
      </c>
      <c r="H132" s="12" t="s">
        <v>1792</v>
      </c>
      <c r="I132" s="12">
        <v>131</v>
      </c>
      <c r="J132" s="12">
        <v>5113</v>
      </c>
      <c r="K132" s="20" t="s">
        <v>20</v>
      </c>
      <c r="L132" s="20">
        <v>1</v>
      </c>
      <c r="M132" s="17">
        <v>15555556</v>
      </c>
      <c r="N132" s="34">
        <f t="shared" ref="N132:N163" si="18">L132*M132</f>
        <v>15555556</v>
      </c>
      <c r="P132" s="17">
        <f t="shared" ref="P132:P163" si="19">LEN(H132)</f>
        <v>188</v>
      </c>
    </row>
    <row r="133" spans="1:16" ht="15" customHeight="1" x14ac:dyDescent="0.2">
      <c r="A133" s="12" t="s">
        <v>18</v>
      </c>
      <c r="B133" s="36">
        <v>46058</v>
      </c>
      <c r="C133" s="12">
        <f t="shared" si="16"/>
        <v>322</v>
      </c>
      <c r="D133" s="38">
        <f t="shared" si="17"/>
        <v>1</v>
      </c>
      <c r="G133" s="14" t="s">
        <v>1790</v>
      </c>
      <c r="H133" s="12" t="s">
        <v>3818</v>
      </c>
      <c r="I133" s="12">
        <v>333821</v>
      </c>
      <c r="J133" s="12">
        <v>131</v>
      </c>
      <c r="K133" s="20" t="s">
        <v>20</v>
      </c>
      <c r="L133" s="20">
        <v>1</v>
      </c>
      <c r="M133" s="17">
        <v>193549</v>
      </c>
      <c r="N133" s="34">
        <f t="shared" si="18"/>
        <v>193549</v>
      </c>
      <c r="P133" s="17">
        <f t="shared" si="19"/>
        <v>159</v>
      </c>
    </row>
    <row r="134" spans="1:16" ht="15" customHeight="1" x14ac:dyDescent="0.2">
      <c r="A134" s="12" t="s">
        <v>18</v>
      </c>
      <c r="B134" s="36">
        <v>46058</v>
      </c>
      <c r="C134" s="12">
        <f t="shared" si="16"/>
        <v>323</v>
      </c>
      <c r="D134" s="38">
        <f t="shared" si="17"/>
        <v>1</v>
      </c>
      <c r="G134" s="14" t="s">
        <v>1779</v>
      </c>
      <c r="H134" s="12" t="s">
        <v>3838</v>
      </c>
      <c r="I134" s="12">
        <v>333821</v>
      </c>
      <c r="J134" s="12">
        <v>131</v>
      </c>
      <c r="K134" s="20" t="s">
        <v>20</v>
      </c>
      <c r="L134" s="20">
        <v>1</v>
      </c>
      <c r="M134" s="17">
        <v>155556</v>
      </c>
      <c r="N134" s="34">
        <f t="shared" si="18"/>
        <v>155556</v>
      </c>
      <c r="P134" s="17">
        <f t="shared" si="19"/>
        <v>162</v>
      </c>
    </row>
    <row r="135" spans="1:16" ht="15" customHeight="1" x14ac:dyDescent="0.2">
      <c r="A135" s="12" t="s">
        <v>18</v>
      </c>
      <c r="B135" s="36">
        <v>46059</v>
      </c>
      <c r="C135" s="12">
        <f t="shared" si="16"/>
        <v>324</v>
      </c>
      <c r="D135" s="38">
        <f t="shared" si="17"/>
        <v>1</v>
      </c>
      <c r="G135" s="14" t="s">
        <v>1777</v>
      </c>
      <c r="H135" s="12" t="s">
        <v>1795</v>
      </c>
      <c r="I135" s="12">
        <v>131</v>
      </c>
      <c r="J135" s="12">
        <v>5113</v>
      </c>
      <c r="K135" s="20" t="s">
        <v>20</v>
      </c>
      <c r="L135" s="20">
        <v>1</v>
      </c>
      <c r="M135" s="17">
        <v>16666667</v>
      </c>
      <c r="N135" s="34">
        <f t="shared" si="18"/>
        <v>16666667</v>
      </c>
      <c r="P135" s="17">
        <f t="shared" si="19"/>
        <v>158</v>
      </c>
    </row>
    <row r="136" spans="1:16" ht="15" customHeight="1" x14ac:dyDescent="0.2">
      <c r="A136" s="12" t="s">
        <v>18</v>
      </c>
      <c r="B136" s="36">
        <v>46059</v>
      </c>
      <c r="C136" s="12">
        <f t="shared" si="16"/>
        <v>325</v>
      </c>
      <c r="D136" s="38">
        <f t="shared" si="17"/>
        <v>1</v>
      </c>
      <c r="G136" s="14" t="s">
        <v>85</v>
      </c>
      <c r="H136" s="12" t="s">
        <v>1796</v>
      </c>
      <c r="I136" s="12">
        <v>131</v>
      </c>
      <c r="J136" s="12">
        <v>5113</v>
      </c>
      <c r="K136" s="20" t="s">
        <v>20</v>
      </c>
      <c r="L136" s="20">
        <v>1</v>
      </c>
      <c r="M136" s="17">
        <v>22222222</v>
      </c>
      <c r="N136" s="34">
        <f t="shared" si="18"/>
        <v>22222222</v>
      </c>
      <c r="P136" s="17">
        <f t="shared" si="19"/>
        <v>157</v>
      </c>
    </row>
    <row r="137" spans="1:16" ht="15" customHeight="1" x14ac:dyDescent="0.2">
      <c r="A137" s="12" t="s">
        <v>18</v>
      </c>
      <c r="B137" s="36">
        <v>46059</v>
      </c>
      <c r="C137" s="12">
        <f t="shared" si="16"/>
        <v>326</v>
      </c>
      <c r="D137" s="38">
        <f t="shared" si="17"/>
        <v>1</v>
      </c>
      <c r="G137" s="14" t="s">
        <v>106</v>
      </c>
      <c r="H137" s="12" t="s">
        <v>1793</v>
      </c>
      <c r="I137" s="12">
        <v>131</v>
      </c>
      <c r="J137" s="12">
        <v>5113</v>
      </c>
      <c r="K137" s="20" t="s">
        <v>20</v>
      </c>
      <c r="L137" s="20">
        <v>1</v>
      </c>
      <c r="M137" s="17">
        <v>16666667</v>
      </c>
      <c r="N137" s="34">
        <f t="shared" si="18"/>
        <v>16666667</v>
      </c>
      <c r="P137" s="17">
        <f t="shared" si="19"/>
        <v>147</v>
      </c>
    </row>
    <row r="138" spans="1:16" ht="15" customHeight="1" x14ac:dyDescent="0.2">
      <c r="A138" s="12" t="s">
        <v>18</v>
      </c>
      <c r="B138" s="36">
        <v>46059</v>
      </c>
      <c r="C138" s="12">
        <f t="shared" si="16"/>
        <v>327</v>
      </c>
      <c r="D138" s="38">
        <f t="shared" si="17"/>
        <v>1</v>
      </c>
      <c r="G138" s="14" t="s">
        <v>59</v>
      </c>
      <c r="H138" s="12" t="s">
        <v>1794</v>
      </c>
      <c r="I138" s="12">
        <v>131</v>
      </c>
      <c r="J138" s="12">
        <v>5113</v>
      </c>
      <c r="K138" s="20" t="s">
        <v>20</v>
      </c>
      <c r="L138" s="20">
        <v>1</v>
      </c>
      <c r="M138" s="17">
        <v>14444444</v>
      </c>
      <c r="N138" s="34">
        <f t="shared" si="18"/>
        <v>14444444</v>
      </c>
      <c r="P138" s="17">
        <f t="shared" si="19"/>
        <v>150</v>
      </c>
    </row>
    <row r="139" spans="1:16" ht="15" customHeight="1" x14ac:dyDescent="0.2">
      <c r="A139" s="12" t="s">
        <v>18</v>
      </c>
      <c r="B139" s="36">
        <v>46059</v>
      </c>
      <c r="C139" s="12">
        <f t="shared" si="16"/>
        <v>328</v>
      </c>
      <c r="D139" s="38">
        <f t="shared" si="17"/>
        <v>1</v>
      </c>
      <c r="G139" s="14" t="s">
        <v>1777</v>
      </c>
      <c r="H139" s="12" t="s">
        <v>3821</v>
      </c>
      <c r="I139" s="12">
        <v>333821</v>
      </c>
      <c r="J139" s="12">
        <v>131</v>
      </c>
      <c r="K139" s="20" t="s">
        <v>20</v>
      </c>
      <c r="L139" s="20">
        <v>1</v>
      </c>
      <c r="M139" s="17">
        <v>166667</v>
      </c>
      <c r="N139" s="34">
        <f t="shared" si="18"/>
        <v>166667</v>
      </c>
      <c r="P139" s="17">
        <f t="shared" si="19"/>
        <v>174</v>
      </c>
    </row>
    <row r="140" spans="1:16" ht="15" customHeight="1" x14ac:dyDescent="0.2">
      <c r="A140" s="12" t="s">
        <v>18</v>
      </c>
      <c r="B140" s="36">
        <v>46059</v>
      </c>
      <c r="C140" s="12">
        <f t="shared" si="16"/>
        <v>329</v>
      </c>
      <c r="D140" s="38">
        <f t="shared" si="17"/>
        <v>1</v>
      </c>
      <c r="G140" s="14" t="s">
        <v>85</v>
      </c>
      <c r="H140" s="12" t="s">
        <v>3822</v>
      </c>
      <c r="I140" s="12">
        <v>333821</v>
      </c>
      <c r="J140" s="12">
        <v>131</v>
      </c>
      <c r="K140" s="20" t="s">
        <v>20</v>
      </c>
      <c r="L140" s="20">
        <v>1</v>
      </c>
      <c r="M140" s="17">
        <v>222222</v>
      </c>
      <c r="N140" s="34">
        <f t="shared" si="18"/>
        <v>222222</v>
      </c>
      <c r="P140" s="17">
        <f t="shared" si="19"/>
        <v>173</v>
      </c>
    </row>
    <row r="141" spans="1:16" ht="15" customHeight="1" x14ac:dyDescent="0.2">
      <c r="A141" s="12" t="s">
        <v>18</v>
      </c>
      <c r="B141" s="36">
        <v>46059</v>
      </c>
      <c r="C141" s="12">
        <f t="shared" si="16"/>
        <v>330</v>
      </c>
      <c r="D141" s="38">
        <f t="shared" si="17"/>
        <v>1</v>
      </c>
      <c r="G141" s="14" t="s">
        <v>106</v>
      </c>
      <c r="H141" s="12" t="s">
        <v>3819</v>
      </c>
      <c r="I141" s="12">
        <v>333821</v>
      </c>
      <c r="J141" s="12">
        <v>131</v>
      </c>
      <c r="K141" s="20" t="s">
        <v>20</v>
      </c>
      <c r="L141" s="20">
        <v>1</v>
      </c>
      <c r="M141" s="17">
        <v>166667</v>
      </c>
      <c r="N141" s="34">
        <f t="shared" si="18"/>
        <v>166667</v>
      </c>
      <c r="P141" s="17">
        <f t="shared" si="19"/>
        <v>163</v>
      </c>
    </row>
    <row r="142" spans="1:16" ht="15" customHeight="1" x14ac:dyDescent="0.2">
      <c r="A142" s="12" t="s">
        <v>18</v>
      </c>
      <c r="B142" s="36">
        <v>46059</v>
      </c>
      <c r="C142" s="12">
        <f t="shared" si="16"/>
        <v>331</v>
      </c>
      <c r="D142" s="38">
        <f t="shared" si="17"/>
        <v>1</v>
      </c>
      <c r="G142" s="14" t="s">
        <v>59</v>
      </c>
      <c r="H142" s="12" t="s">
        <v>3820</v>
      </c>
      <c r="I142" s="12">
        <v>333821</v>
      </c>
      <c r="J142" s="12">
        <v>131</v>
      </c>
      <c r="K142" s="20" t="s">
        <v>20</v>
      </c>
      <c r="L142" s="20">
        <v>1</v>
      </c>
      <c r="M142" s="17">
        <v>144444</v>
      </c>
      <c r="N142" s="34">
        <f t="shared" si="18"/>
        <v>144444</v>
      </c>
      <c r="P142" s="17">
        <f t="shared" si="19"/>
        <v>166</v>
      </c>
    </row>
    <row r="143" spans="1:16" ht="15" customHeight="1" x14ac:dyDescent="0.2">
      <c r="A143" s="12" t="s">
        <v>18</v>
      </c>
      <c r="B143" s="36">
        <v>46062</v>
      </c>
      <c r="C143" s="12">
        <f t="shared" si="16"/>
        <v>332</v>
      </c>
      <c r="D143" s="38">
        <f t="shared" si="17"/>
        <v>1</v>
      </c>
      <c r="G143" s="14" t="s">
        <v>107</v>
      </c>
      <c r="H143" s="12" t="s">
        <v>3841</v>
      </c>
      <c r="I143" s="12">
        <v>131</v>
      </c>
      <c r="J143" s="12">
        <v>5113</v>
      </c>
      <c r="K143" s="20" t="s">
        <v>20</v>
      </c>
      <c r="L143" s="20">
        <v>1</v>
      </c>
      <c r="M143" s="17">
        <v>16666667</v>
      </c>
      <c r="N143" s="34">
        <f t="shared" si="18"/>
        <v>16666667</v>
      </c>
      <c r="P143" s="17">
        <f t="shared" si="19"/>
        <v>163</v>
      </c>
    </row>
    <row r="144" spans="1:16" ht="15" customHeight="1" x14ac:dyDescent="0.2">
      <c r="A144" s="12" t="s">
        <v>18</v>
      </c>
      <c r="B144" s="36">
        <v>46062</v>
      </c>
      <c r="C144" s="12">
        <f t="shared" si="16"/>
        <v>333</v>
      </c>
      <c r="D144" s="38">
        <f t="shared" si="17"/>
        <v>1</v>
      </c>
      <c r="G144" s="14" t="s">
        <v>107</v>
      </c>
      <c r="H144" s="12" t="s">
        <v>3839</v>
      </c>
      <c r="I144" s="12">
        <v>131</v>
      </c>
      <c r="J144" s="12">
        <v>5113</v>
      </c>
      <c r="K144" s="20" t="s">
        <v>20</v>
      </c>
      <c r="L144" s="20">
        <v>1</v>
      </c>
      <c r="M144" s="17">
        <v>16666667</v>
      </c>
      <c r="N144" s="34">
        <f t="shared" si="18"/>
        <v>16666667</v>
      </c>
      <c r="P144" s="17">
        <f t="shared" si="19"/>
        <v>163</v>
      </c>
    </row>
    <row r="145" spans="1:16" ht="15" customHeight="1" x14ac:dyDescent="0.2">
      <c r="A145" s="12" t="s">
        <v>18</v>
      </c>
      <c r="B145" s="36">
        <v>46062</v>
      </c>
      <c r="C145" s="12">
        <f t="shared" si="16"/>
        <v>334</v>
      </c>
      <c r="D145" s="38">
        <f t="shared" si="17"/>
        <v>1</v>
      </c>
      <c r="G145" s="14" t="s">
        <v>107</v>
      </c>
      <c r="H145" s="12" t="s">
        <v>3842</v>
      </c>
      <c r="I145" s="12">
        <v>333821</v>
      </c>
      <c r="J145" s="12">
        <v>131</v>
      </c>
      <c r="K145" s="20" t="s">
        <v>20</v>
      </c>
      <c r="L145" s="20">
        <v>1</v>
      </c>
      <c r="M145" s="17">
        <v>166667</v>
      </c>
      <c r="N145" s="34">
        <f t="shared" si="18"/>
        <v>166667</v>
      </c>
      <c r="P145" s="17">
        <f t="shared" si="19"/>
        <v>179</v>
      </c>
    </row>
    <row r="146" spans="1:16" ht="15" customHeight="1" x14ac:dyDescent="0.2">
      <c r="A146" s="12" t="s">
        <v>18</v>
      </c>
      <c r="B146" s="36">
        <v>46062</v>
      </c>
      <c r="C146" s="12">
        <f t="shared" si="16"/>
        <v>335</v>
      </c>
      <c r="D146" s="38">
        <f t="shared" si="17"/>
        <v>1</v>
      </c>
      <c r="G146" s="14" t="s">
        <v>107</v>
      </c>
      <c r="H146" s="12" t="s">
        <v>3840</v>
      </c>
      <c r="I146" s="12">
        <v>333821</v>
      </c>
      <c r="J146" s="12">
        <v>131</v>
      </c>
      <c r="K146" s="20" t="s">
        <v>20</v>
      </c>
      <c r="L146" s="20">
        <v>1</v>
      </c>
      <c r="M146" s="17">
        <v>166667</v>
      </c>
      <c r="N146" s="34">
        <f t="shared" si="18"/>
        <v>166667</v>
      </c>
      <c r="P146" s="17">
        <f t="shared" si="19"/>
        <v>179</v>
      </c>
    </row>
    <row r="147" spans="1:16" ht="15" customHeight="1" x14ac:dyDescent="0.2">
      <c r="A147" s="12" t="s">
        <v>18</v>
      </c>
      <c r="B147" s="36">
        <v>46065</v>
      </c>
      <c r="C147" s="12">
        <f t="shared" si="16"/>
        <v>336</v>
      </c>
      <c r="D147" s="38">
        <f t="shared" si="17"/>
        <v>1</v>
      </c>
      <c r="G147" s="174" t="s">
        <v>34</v>
      </c>
      <c r="H147" s="12" t="s">
        <v>1797</v>
      </c>
      <c r="I147" s="12">
        <v>131</v>
      </c>
      <c r="J147" s="12">
        <v>5113</v>
      </c>
      <c r="K147" s="20" t="s">
        <v>20</v>
      </c>
      <c r="L147" s="20">
        <v>1</v>
      </c>
      <c r="M147" s="17">
        <v>16666667</v>
      </c>
      <c r="N147" s="34">
        <f t="shared" si="18"/>
        <v>16666667</v>
      </c>
      <c r="P147" s="17">
        <f t="shared" si="19"/>
        <v>182</v>
      </c>
    </row>
    <row r="148" spans="1:16" ht="15" customHeight="1" x14ac:dyDescent="0.2">
      <c r="A148" s="12" t="s">
        <v>18</v>
      </c>
      <c r="B148" s="36">
        <v>46065</v>
      </c>
      <c r="C148" s="12">
        <f t="shared" si="16"/>
        <v>337</v>
      </c>
      <c r="D148" s="38">
        <f t="shared" si="17"/>
        <v>1</v>
      </c>
      <c r="G148" s="174" t="s">
        <v>34</v>
      </c>
      <c r="H148" s="12" t="s">
        <v>3823</v>
      </c>
      <c r="I148" s="12">
        <v>333821</v>
      </c>
      <c r="J148" s="12">
        <v>131</v>
      </c>
      <c r="K148" s="20" t="s">
        <v>20</v>
      </c>
      <c r="L148" s="20">
        <v>1</v>
      </c>
      <c r="M148" s="17">
        <v>166667</v>
      </c>
      <c r="N148" s="34">
        <f t="shared" si="18"/>
        <v>166667</v>
      </c>
      <c r="P148" s="17">
        <f t="shared" si="19"/>
        <v>198</v>
      </c>
    </row>
    <row r="149" spans="1:16" ht="15" customHeight="1" x14ac:dyDescent="0.2">
      <c r="A149" s="12" t="s">
        <v>18</v>
      </c>
      <c r="B149" s="87" t="s">
        <v>439</v>
      </c>
      <c r="C149" s="12">
        <f t="shared" si="16"/>
        <v>338</v>
      </c>
      <c r="D149" s="38">
        <f t="shared" si="17"/>
        <v>1</v>
      </c>
      <c r="G149" s="14" t="s">
        <v>311</v>
      </c>
      <c r="H149" s="12" t="s">
        <v>3878</v>
      </c>
      <c r="I149" s="12">
        <v>131</v>
      </c>
      <c r="J149" s="12">
        <v>5118</v>
      </c>
      <c r="K149" s="12" t="s">
        <v>20</v>
      </c>
      <c r="L149" s="12">
        <v>1</v>
      </c>
      <c r="M149" s="17">
        <v>109398377</v>
      </c>
      <c r="N149" s="17">
        <f t="shared" si="18"/>
        <v>109398377</v>
      </c>
      <c r="P149" s="17">
        <f t="shared" si="19"/>
        <v>36</v>
      </c>
    </row>
    <row r="150" spans="1:16" ht="15" customHeight="1" x14ac:dyDescent="0.2">
      <c r="A150" s="12" t="s">
        <v>18</v>
      </c>
      <c r="B150" s="87" t="s">
        <v>439</v>
      </c>
      <c r="C150" s="12">
        <f t="shared" si="16"/>
        <v>338</v>
      </c>
      <c r="D150" s="38">
        <f t="shared" si="17"/>
        <v>0</v>
      </c>
      <c r="G150" s="14" t="s">
        <v>311</v>
      </c>
      <c r="H150" s="12" t="s">
        <v>3878</v>
      </c>
      <c r="I150" s="12">
        <v>131</v>
      </c>
      <c r="J150" s="12">
        <v>5118</v>
      </c>
      <c r="K150" s="12" t="s">
        <v>20</v>
      </c>
      <c r="L150" s="12">
        <v>1</v>
      </c>
      <c r="M150" s="17">
        <v>90720072</v>
      </c>
      <c r="N150" s="17">
        <f t="shared" si="18"/>
        <v>90720072</v>
      </c>
      <c r="P150" s="17">
        <f t="shared" si="19"/>
        <v>36</v>
      </c>
    </row>
    <row r="151" spans="1:16" ht="15" customHeight="1" x14ac:dyDescent="0.2">
      <c r="A151" s="12" t="s">
        <v>18</v>
      </c>
      <c r="B151" s="36">
        <v>46073</v>
      </c>
      <c r="C151" s="12">
        <f t="shared" si="16"/>
        <v>339</v>
      </c>
      <c r="D151" s="38">
        <f t="shared" si="17"/>
        <v>1</v>
      </c>
      <c r="G151" s="14" t="s">
        <v>292</v>
      </c>
      <c r="H151" s="12" t="s">
        <v>1767</v>
      </c>
      <c r="I151" s="12">
        <v>64277</v>
      </c>
      <c r="J151" s="12">
        <v>331</v>
      </c>
      <c r="K151" s="12" t="s">
        <v>20</v>
      </c>
      <c r="L151" s="12">
        <v>1</v>
      </c>
      <c r="M151" s="17">
        <v>525800</v>
      </c>
      <c r="N151" s="17">
        <f t="shared" si="18"/>
        <v>525800</v>
      </c>
      <c r="P151" s="17">
        <f t="shared" si="19"/>
        <v>34</v>
      </c>
    </row>
    <row r="152" spans="1:16" ht="15" customHeight="1" x14ac:dyDescent="0.2">
      <c r="A152" s="12" t="s">
        <v>18</v>
      </c>
      <c r="B152" s="36">
        <v>46073</v>
      </c>
      <c r="C152" s="12">
        <f t="shared" si="16"/>
        <v>339</v>
      </c>
      <c r="D152" s="38">
        <f t="shared" si="17"/>
        <v>0</v>
      </c>
      <c r="G152" s="14" t="s">
        <v>292</v>
      </c>
      <c r="H152" s="12" t="s">
        <v>1767</v>
      </c>
      <c r="I152" s="12">
        <v>1331</v>
      </c>
      <c r="J152" s="12">
        <v>331</v>
      </c>
      <c r="K152" s="12" t="s">
        <v>20</v>
      </c>
      <c r="L152" s="12">
        <v>1</v>
      </c>
      <c r="M152" s="17">
        <v>42064</v>
      </c>
      <c r="N152" s="17">
        <f t="shared" si="18"/>
        <v>42064</v>
      </c>
      <c r="P152" s="17">
        <f t="shared" si="19"/>
        <v>34</v>
      </c>
    </row>
    <row r="153" spans="1:16" ht="15" customHeight="1" x14ac:dyDescent="0.2">
      <c r="A153" s="12" t="s">
        <v>18</v>
      </c>
      <c r="B153" s="36">
        <v>46077</v>
      </c>
      <c r="C153" s="12">
        <f t="shared" si="16"/>
        <v>340</v>
      </c>
      <c r="D153" s="38">
        <f t="shared" si="17"/>
        <v>1</v>
      </c>
      <c r="G153" s="14" t="s">
        <v>339</v>
      </c>
      <c r="H153" s="12" t="s">
        <v>1768</v>
      </c>
      <c r="I153" s="12">
        <v>64277</v>
      </c>
      <c r="J153" s="12">
        <v>331</v>
      </c>
      <c r="K153" s="12" t="s">
        <v>20</v>
      </c>
      <c r="L153" s="12">
        <v>1</v>
      </c>
      <c r="M153" s="17">
        <v>1094058</v>
      </c>
      <c r="N153" s="17">
        <f t="shared" si="18"/>
        <v>1094058</v>
      </c>
      <c r="P153" s="17">
        <f t="shared" si="19"/>
        <v>154</v>
      </c>
    </row>
    <row r="154" spans="1:16" ht="15" customHeight="1" x14ac:dyDescent="0.2">
      <c r="A154" s="12" t="s">
        <v>18</v>
      </c>
      <c r="B154" s="36">
        <v>46077</v>
      </c>
      <c r="C154" s="12">
        <f t="shared" si="16"/>
        <v>340</v>
      </c>
      <c r="D154" s="38">
        <f t="shared" si="17"/>
        <v>0</v>
      </c>
      <c r="G154" s="14" t="s">
        <v>339</v>
      </c>
      <c r="H154" s="12" t="s">
        <v>1768</v>
      </c>
      <c r="I154" s="12">
        <v>1331</v>
      </c>
      <c r="J154" s="12">
        <v>331</v>
      </c>
      <c r="K154" s="12" t="s">
        <v>20</v>
      </c>
      <c r="L154" s="12">
        <v>1</v>
      </c>
      <c r="M154" s="17">
        <v>91742</v>
      </c>
      <c r="N154" s="17">
        <f t="shared" si="18"/>
        <v>91742</v>
      </c>
      <c r="P154" s="17">
        <f t="shared" si="19"/>
        <v>154</v>
      </c>
    </row>
    <row r="155" spans="1:16" ht="15" customHeight="1" x14ac:dyDescent="0.2">
      <c r="A155" s="12" t="s">
        <v>18</v>
      </c>
      <c r="B155" s="36">
        <v>46078</v>
      </c>
      <c r="C155" s="12">
        <f t="shared" si="16"/>
        <v>341</v>
      </c>
      <c r="D155" s="38">
        <f t="shared" si="17"/>
        <v>1</v>
      </c>
      <c r="G155" s="32" t="s">
        <v>91</v>
      </c>
      <c r="H155" s="12" t="s">
        <v>1798</v>
      </c>
      <c r="I155" s="12">
        <v>131</v>
      </c>
      <c r="J155" s="12">
        <v>5113</v>
      </c>
      <c r="K155" s="20" t="s">
        <v>20</v>
      </c>
      <c r="L155" s="20">
        <v>1</v>
      </c>
      <c r="M155" s="17">
        <v>16666667</v>
      </c>
      <c r="N155" s="34">
        <f t="shared" si="18"/>
        <v>16666667</v>
      </c>
      <c r="P155" s="17">
        <f t="shared" si="19"/>
        <v>174</v>
      </c>
    </row>
    <row r="156" spans="1:16" ht="15" customHeight="1" x14ac:dyDescent="0.2">
      <c r="A156" s="12" t="s">
        <v>18</v>
      </c>
      <c r="B156" s="36">
        <v>46078</v>
      </c>
      <c r="C156" s="12">
        <f t="shared" si="16"/>
        <v>342</v>
      </c>
      <c r="D156" s="38">
        <f t="shared" si="17"/>
        <v>1</v>
      </c>
      <c r="G156" s="32" t="s">
        <v>91</v>
      </c>
      <c r="H156" s="12" t="s">
        <v>3824</v>
      </c>
      <c r="I156" s="12">
        <v>333821</v>
      </c>
      <c r="J156" s="12">
        <v>131</v>
      </c>
      <c r="K156" s="20" t="s">
        <v>20</v>
      </c>
      <c r="L156" s="20">
        <v>1</v>
      </c>
      <c r="M156" s="17">
        <v>166667</v>
      </c>
      <c r="N156" s="34">
        <f t="shared" si="18"/>
        <v>166667</v>
      </c>
      <c r="P156" s="17">
        <f t="shared" si="19"/>
        <v>190</v>
      </c>
    </row>
    <row r="157" spans="1:16" ht="15" customHeight="1" x14ac:dyDescent="0.2">
      <c r="A157" s="12" t="s">
        <v>18</v>
      </c>
      <c r="B157" s="36">
        <v>46080</v>
      </c>
      <c r="C157" s="12">
        <f t="shared" si="16"/>
        <v>343</v>
      </c>
      <c r="D157" s="38">
        <f t="shared" si="17"/>
        <v>1</v>
      </c>
      <c r="G157" s="14" t="s">
        <v>25</v>
      </c>
      <c r="H157" s="12" t="s">
        <v>1769</v>
      </c>
      <c r="I157" s="12">
        <v>64277</v>
      </c>
      <c r="J157" s="12">
        <v>331</v>
      </c>
      <c r="K157" s="12" t="s">
        <v>20</v>
      </c>
      <c r="L157" s="12">
        <v>1</v>
      </c>
      <c r="M157" s="17">
        <v>1101000</v>
      </c>
      <c r="N157" s="17">
        <f t="shared" si="18"/>
        <v>1101000</v>
      </c>
      <c r="P157" s="17">
        <f t="shared" si="19"/>
        <v>106</v>
      </c>
    </row>
    <row r="158" spans="1:16" ht="15" customHeight="1" x14ac:dyDescent="0.2">
      <c r="A158" s="12" t="s">
        <v>18</v>
      </c>
      <c r="B158" s="36">
        <v>46080</v>
      </c>
      <c r="C158" s="12">
        <f t="shared" si="16"/>
        <v>343</v>
      </c>
      <c r="D158" s="38">
        <f t="shared" si="17"/>
        <v>0</v>
      </c>
      <c r="G158" s="14" t="s">
        <v>25</v>
      </c>
      <c r="H158" s="12" t="s">
        <v>1769</v>
      </c>
      <c r="I158" s="12">
        <v>1331</v>
      </c>
      <c r="J158" s="12">
        <v>331</v>
      </c>
      <c r="K158" s="12" t="s">
        <v>20</v>
      </c>
      <c r="L158" s="12">
        <v>1</v>
      </c>
      <c r="M158" s="17">
        <v>88080</v>
      </c>
      <c r="N158" s="17">
        <f t="shared" si="18"/>
        <v>88080</v>
      </c>
      <c r="P158" s="17">
        <f t="shared" si="19"/>
        <v>106</v>
      </c>
    </row>
    <row r="159" spans="1:16" ht="15" customHeight="1" x14ac:dyDescent="0.2">
      <c r="A159" s="12" t="s">
        <v>18</v>
      </c>
      <c r="B159" s="36">
        <v>46081</v>
      </c>
      <c r="C159" s="12">
        <f t="shared" si="16"/>
        <v>344</v>
      </c>
      <c r="D159" s="38">
        <f t="shared" si="17"/>
        <v>1</v>
      </c>
      <c r="G159" s="14" t="s">
        <v>71</v>
      </c>
      <c r="H159" s="12" t="s">
        <v>456</v>
      </c>
      <c r="I159" s="12">
        <v>64271</v>
      </c>
      <c r="J159" s="12">
        <v>3383</v>
      </c>
      <c r="K159" s="12" t="s">
        <v>20</v>
      </c>
      <c r="L159" s="12">
        <v>1</v>
      </c>
      <c r="M159" s="17">
        <v>690300</v>
      </c>
      <c r="N159" s="17">
        <f t="shared" si="18"/>
        <v>690300</v>
      </c>
      <c r="P159" s="17">
        <f t="shared" si="19"/>
        <v>30</v>
      </c>
    </row>
    <row r="160" spans="1:16" ht="15" customHeight="1" x14ac:dyDescent="0.2">
      <c r="A160" s="12" t="s">
        <v>18</v>
      </c>
      <c r="B160" s="87" t="s">
        <v>828</v>
      </c>
      <c r="C160" s="12">
        <f t="shared" si="16"/>
        <v>345</v>
      </c>
      <c r="D160" s="38">
        <f t="shared" si="17"/>
        <v>1</v>
      </c>
      <c r="G160" s="14" t="s">
        <v>311</v>
      </c>
      <c r="H160" s="12" t="s">
        <v>3878</v>
      </c>
      <c r="I160" s="12">
        <v>131</v>
      </c>
      <c r="J160" s="12">
        <v>5118</v>
      </c>
      <c r="K160" s="12" t="s">
        <v>20</v>
      </c>
      <c r="L160" s="12">
        <v>1</v>
      </c>
      <c r="M160" s="17">
        <v>14353285</v>
      </c>
      <c r="N160" s="17">
        <f t="shared" si="18"/>
        <v>14353285</v>
      </c>
      <c r="P160" s="17">
        <f t="shared" si="19"/>
        <v>36</v>
      </c>
    </row>
    <row r="161" spans="1:16" ht="15" customHeight="1" x14ac:dyDescent="0.2">
      <c r="A161" s="12" t="s">
        <v>18</v>
      </c>
      <c r="B161" s="87" t="s">
        <v>828</v>
      </c>
      <c r="C161" s="12">
        <f t="shared" si="16"/>
        <v>345</v>
      </c>
      <c r="D161" s="38">
        <f t="shared" si="17"/>
        <v>0</v>
      </c>
      <c r="G161" s="14" t="s">
        <v>311</v>
      </c>
      <c r="H161" s="12" t="s">
        <v>3878</v>
      </c>
      <c r="I161" s="12">
        <v>131</v>
      </c>
      <c r="J161" s="12">
        <v>5118</v>
      </c>
      <c r="K161" s="12" t="s">
        <v>20</v>
      </c>
      <c r="L161" s="12">
        <v>1</v>
      </c>
      <c r="M161" s="17">
        <v>41567321</v>
      </c>
      <c r="N161" s="17">
        <f t="shared" si="18"/>
        <v>41567321</v>
      </c>
      <c r="P161" s="17">
        <f t="shared" si="19"/>
        <v>36</v>
      </c>
    </row>
    <row r="162" spans="1:16" ht="15" customHeight="1" x14ac:dyDescent="0.2">
      <c r="A162" s="12" t="s">
        <v>18</v>
      </c>
      <c r="B162" s="36">
        <v>46083</v>
      </c>
      <c r="C162" s="12">
        <f t="shared" si="16"/>
        <v>346</v>
      </c>
      <c r="D162" s="38">
        <f t="shared" si="17"/>
        <v>1</v>
      </c>
      <c r="G162" s="14" t="s">
        <v>44</v>
      </c>
      <c r="H162" s="12" t="s">
        <v>1770</v>
      </c>
      <c r="I162" s="12">
        <v>64277</v>
      </c>
      <c r="J162" s="12">
        <v>331</v>
      </c>
      <c r="K162" s="12" t="s">
        <v>20</v>
      </c>
      <c r="L162" s="12">
        <v>1</v>
      </c>
      <c r="M162" s="17">
        <v>175047</v>
      </c>
      <c r="N162" s="17">
        <f t="shared" si="18"/>
        <v>175047</v>
      </c>
      <c r="P162" s="17">
        <f t="shared" si="19"/>
        <v>99</v>
      </c>
    </row>
    <row r="163" spans="1:16" ht="15" customHeight="1" x14ac:dyDescent="0.2">
      <c r="A163" s="12" t="s">
        <v>18</v>
      </c>
      <c r="B163" s="36">
        <v>46083</v>
      </c>
      <c r="C163" s="12">
        <f t="shared" si="16"/>
        <v>346</v>
      </c>
      <c r="D163" s="38">
        <f t="shared" si="17"/>
        <v>0</v>
      </c>
      <c r="G163" s="14" t="s">
        <v>44</v>
      </c>
      <c r="H163" s="12" t="s">
        <v>1770</v>
      </c>
      <c r="I163" s="12">
        <v>1331</v>
      </c>
      <c r="J163" s="12">
        <v>331</v>
      </c>
      <c r="K163" s="20" t="s">
        <v>20</v>
      </c>
      <c r="L163" s="20">
        <v>1</v>
      </c>
      <c r="M163" s="17">
        <v>14003</v>
      </c>
      <c r="N163" s="34">
        <f t="shared" si="18"/>
        <v>14003</v>
      </c>
      <c r="P163" s="17">
        <f t="shared" si="19"/>
        <v>99</v>
      </c>
    </row>
    <row r="164" spans="1:16" ht="15" customHeight="1" x14ac:dyDescent="0.2">
      <c r="A164" s="12" t="s">
        <v>18</v>
      </c>
      <c r="B164" s="36">
        <v>46085</v>
      </c>
      <c r="C164" s="12">
        <f t="shared" ref="C164:C190" si="20">C163+D164</f>
        <v>347</v>
      </c>
      <c r="D164" s="38">
        <f t="shared" ref="D164:D190" si="21">IF(H164=H163,0,1)</f>
        <v>1</v>
      </c>
      <c r="G164" s="14" t="s">
        <v>280</v>
      </c>
      <c r="H164" s="12" t="s">
        <v>1799</v>
      </c>
      <c r="I164" s="12">
        <v>131</v>
      </c>
      <c r="J164" s="12">
        <v>5113</v>
      </c>
      <c r="K164" s="12" t="s">
        <v>20</v>
      </c>
      <c r="L164" s="12">
        <v>1</v>
      </c>
      <c r="M164" s="17">
        <v>16129032</v>
      </c>
      <c r="N164" s="34">
        <f t="shared" ref="N164:N190" si="22">L164*M164</f>
        <v>16129032</v>
      </c>
      <c r="P164" s="17">
        <f t="shared" ref="P164:P190" si="23">LEN(H164)</f>
        <v>147</v>
      </c>
    </row>
    <row r="165" spans="1:16" ht="15" customHeight="1" x14ac:dyDescent="0.2">
      <c r="A165" s="12" t="s">
        <v>18</v>
      </c>
      <c r="B165" s="36">
        <v>46085</v>
      </c>
      <c r="C165" s="12">
        <f t="shared" si="20"/>
        <v>348</v>
      </c>
      <c r="D165" s="38">
        <f t="shared" si="21"/>
        <v>1</v>
      </c>
      <c r="G165" s="14" t="s">
        <v>280</v>
      </c>
      <c r="H165" s="12" t="s">
        <v>3825</v>
      </c>
      <c r="I165" s="12">
        <v>333821</v>
      </c>
      <c r="J165" s="12">
        <v>131</v>
      </c>
      <c r="K165" s="12" t="s">
        <v>20</v>
      </c>
      <c r="L165" s="12">
        <v>1</v>
      </c>
      <c r="M165" s="17">
        <v>161290</v>
      </c>
      <c r="N165" s="34">
        <f t="shared" si="22"/>
        <v>161290</v>
      </c>
      <c r="P165" s="17">
        <f t="shared" si="23"/>
        <v>163</v>
      </c>
    </row>
    <row r="166" spans="1:16" ht="15" customHeight="1" x14ac:dyDescent="0.2">
      <c r="A166" s="12" t="s">
        <v>18</v>
      </c>
      <c r="B166" s="36">
        <v>46085</v>
      </c>
      <c r="C166" s="12">
        <f t="shared" si="20"/>
        <v>349</v>
      </c>
      <c r="D166" s="38">
        <f t="shared" si="21"/>
        <v>1</v>
      </c>
      <c r="G166" s="14" t="s">
        <v>35</v>
      </c>
      <c r="H166" s="12" t="s">
        <v>1771</v>
      </c>
      <c r="I166" s="12">
        <v>64277</v>
      </c>
      <c r="J166" s="12">
        <v>331</v>
      </c>
      <c r="K166" s="20" t="s">
        <v>20</v>
      </c>
      <c r="L166" s="20">
        <v>1</v>
      </c>
      <c r="M166" s="17">
        <v>3000000</v>
      </c>
      <c r="N166" s="34">
        <f t="shared" si="22"/>
        <v>3000000</v>
      </c>
      <c r="P166" s="17">
        <f t="shared" si="23"/>
        <v>41</v>
      </c>
    </row>
    <row r="167" spans="1:16" ht="15" customHeight="1" x14ac:dyDescent="0.2">
      <c r="A167" s="12" t="s">
        <v>18</v>
      </c>
      <c r="B167" s="61">
        <v>46085</v>
      </c>
      <c r="C167" s="12">
        <f t="shared" si="20"/>
        <v>349</v>
      </c>
      <c r="D167" s="38">
        <f t="shared" si="21"/>
        <v>0</v>
      </c>
      <c r="E167" s="20"/>
      <c r="G167" s="32" t="s">
        <v>35</v>
      </c>
      <c r="H167" s="20" t="s">
        <v>1771</v>
      </c>
      <c r="I167" s="12">
        <v>1331</v>
      </c>
      <c r="J167" s="12">
        <v>331</v>
      </c>
      <c r="K167" s="20" t="s">
        <v>20</v>
      </c>
      <c r="L167" s="20">
        <v>1</v>
      </c>
      <c r="M167" s="34">
        <v>240000</v>
      </c>
      <c r="N167" s="34">
        <f t="shared" si="22"/>
        <v>240000</v>
      </c>
      <c r="P167" s="17">
        <f t="shared" si="23"/>
        <v>41</v>
      </c>
    </row>
    <row r="168" spans="1:16" ht="15" customHeight="1" x14ac:dyDescent="0.2">
      <c r="A168" s="12" t="s">
        <v>18</v>
      </c>
      <c r="B168" s="36">
        <v>46093</v>
      </c>
      <c r="C168" s="12">
        <f t="shared" si="20"/>
        <v>350</v>
      </c>
      <c r="D168" s="38">
        <f t="shared" si="21"/>
        <v>1</v>
      </c>
      <c r="G168" s="14" t="s">
        <v>88</v>
      </c>
      <c r="H168" s="12" t="s">
        <v>1800</v>
      </c>
      <c r="I168" s="12">
        <v>131</v>
      </c>
      <c r="J168" s="12">
        <v>5113</v>
      </c>
      <c r="K168" s="12" t="s">
        <v>20</v>
      </c>
      <c r="L168" s="12">
        <v>1</v>
      </c>
      <c r="M168" s="17">
        <v>16666667</v>
      </c>
      <c r="N168" s="34">
        <f t="shared" si="22"/>
        <v>16666667</v>
      </c>
      <c r="P168" s="17">
        <f t="shared" si="23"/>
        <v>127</v>
      </c>
    </row>
    <row r="169" spans="1:16" ht="15" customHeight="1" x14ac:dyDescent="0.2">
      <c r="A169" s="12" t="s">
        <v>18</v>
      </c>
      <c r="B169" s="36">
        <v>46093</v>
      </c>
      <c r="C169" s="12">
        <f t="shared" si="20"/>
        <v>351</v>
      </c>
      <c r="D169" s="38">
        <f t="shared" si="21"/>
        <v>1</v>
      </c>
      <c r="G169" s="14" t="s">
        <v>107</v>
      </c>
      <c r="H169" s="12" t="s">
        <v>3845</v>
      </c>
      <c r="I169" s="12">
        <v>131</v>
      </c>
      <c r="J169" s="12">
        <v>5113</v>
      </c>
      <c r="K169" s="12" t="s">
        <v>20</v>
      </c>
      <c r="L169" s="12">
        <v>1</v>
      </c>
      <c r="M169" s="17">
        <v>41111111</v>
      </c>
      <c r="N169" s="17">
        <f t="shared" si="22"/>
        <v>41111111</v>
      </c>
      <c r="P169" s="17">
        <f t="shared" si="23"/>
        <v>163</v>
      </c>
    </row>
    <row r="170" spans="1:16" ht="15" customHeight="1" x14ac:dyDescent="0.2">
      <c r="A170" s="12" t="s">
        <v>18</v>
      </c>
      <c r="B170" s="36">
        <v>46093</v>
      </c>
      <c r="C170" s="12">
        <f t="shared" si="20"/>
        <v>352</v>
      </c>
      <c r="D170" s="38">
        <f t="shared" si="21"/>
        <v>1</v>
      </c>
      <c r="G170" s="14" t="s">
        <v>107</v>
      </c>
      <c r="H170" s="12" t="s">
        <v>3843</v>
      </c>
      <c r="I170" s="12">
        <v>131</v>
      </c>
      <c r="J170" s="12">
        <v>5113</v>
      </c>
      <c r="K170" s="12" t="s">
        <v>20</v>
      </c>
      <c r="L170" s="12">
        <v>1</v>
      </c>
      <c r="M170" s="17">
        <v>16666667</v>
      </c>
      <c r="N170" s="17">
        <f t="shared" si="22"/>
        <v>16666667</v>
      </c>
      <c r="P170" s="17">
        <f t="shared" si="23"/>
        <v>163</v>
      </c>
    </row>
    <row r="171" spans="1:16" ht="15" customHeight="1" x14ac:dyDescent="0.2">
      <c r="A171" s="12" t="s">
        <v>18</v>
      </c>
      <c r="B171" s="36">
        <v>46093</v>
      </c>
      <c r="C171" s="12">
        <f t="shared" si="20"/>
        <v>353</v>
      </c>
      <c r="D171" s="38">
        <f t="shared" si="21"/>
        <v>1</v>
      </c>
      <c r="G171" s="14" t="s">
        <v>88</v>
      </c>
      <c r="H171" s="12" t="s">
        <v>3826</v>
      </c>
      <c r="I171" s="12">
        <v>333821</v>
      </c>
      <c r="J171" s="12">
        <v>131</v>
      </c>
      <c r="K171" s="12" t="s">
        <v>20</v>
      </c>
      <c r="L171" s="12">
        <v>1</v>
      </c>
      <c r="M171" s="17">
        <v>166667</v>
      </c>
      <c r="N171" s="17">
        <f t="shared" si="22"/>
        <v>166667</v>
      </c>
      <c r="P171" s="17">
        <f t="shared" si="23"/>
        <v>143</v>
      </c>
    </row>
    <row r="172" spans="1:16" ht="15" customHeight="1" x14ac:dyDescent="0.2">
      <c r="A172" s="12" t="s">
        <v>18</v>
      </c>
      <c r="B172" s="36">
        <v>46093</v>
      </c>
      <c r="C172" s="12">
        <f t="shared" si="20"/>
        <v>354</v>
      </c>
      <c r="D172" s="38">
        <f t="shared" si="21"/>
        <v>1</v>
      </c>
      <c r="G172" s="14" t="s">
        <v>107</v>
      </c>
      <c r="H172" s="12" t="s">
        <v>3846</v>
      </c>
      <c r="I172" s="12">
        <v>333821</v>
      </c>
      <c r="J172" s="12">
        <v>131</v>
      </c>
      <c r="K172" s="12" t="s">
        <v>20</v>
      </c>
      <c r="L172" s="12">
        <v>1</v>
      </c>
      <c r="M172" s="17">
        <v>411111</v>
      </c>
      <c r="N172" s="17">
        <f t="shared" si="22"/>
        <v>411111</v>
      </c>
      <c r="P172" s="17">
        <f t="shared" si="23"/>
        <v>179</v>
      </c>
    </row>
    <row r="173" spans="1:16" ht="15" customHeight="1" x14ac:dyDescent="0.2">
      <c r="A173" s="12" t="s">
        <v>18</v>
      </c>
      <c r="B173" s="36">
        <v>46093</v>
      </c>
      <c r="C173" s="12">
        <f t="shared" si="20"/>
        <v>355</v>
      </c>
      <c r="D173" s="38">
        <f t="shared" si="21"/>
        <v>1</v>
      </c>
      <c r="G173" s="14" t="s">
        <v>107</v>
      </c>
      <c r="H173" s="12" t="s">
        <v>3844</v>
      </c>
      <c r="I173" s="12">
        <v>333821</v>
      </c>
      <c r="J173" s="12">
        <v>131</v>
      </c>
      <c r="K173" s="12" t="s">
        <v>20</v>
      </c>
      <c r="L173" s="12">
        <v>1</v>
      </c>
      <c r="M173" s="17">
        <v>166667</v>
      </c>
      <c r="N173" s="17">
        <f t="shared" si="22"/>
        <v>166667</v>
      </c>
      <c r="P173" s="17">
        <f t="shared" si="23"/>
        <v>179</v>
      </c>
    </row>
    <row r="174" spans="1:16" ht="15" customHeight="1" x14ac:dyDescent="0.2">
      <c r="A174" s="12" t="s">
        <v>18</v>
      </c>
      <c r="B174" s="36">
        <v>46094</v>
      </c>
      <c r="C174" s="12">
        <f t="shared" si="20"/>
        <v>356</v>
      </c>
      <c r="D174" s="38">
        <f t="shared" si="21"/>
        <v>1</v>
      </c>
      <c r="G174" s="14" t="s">
        <v>1779</v>
      </c>
      <c r="H174" s="12" t="s">
        <v>1801</v>
      </c>
      <c r="I174" s="12">
        <v>131</v>
      </c>
      <c r="J174" s="12">
        <v>5113</v>
      </c>
      <c r="K174" s="12" t="s">
        <v>20</v>
      </c>
      <c r="L174" s="12">
        <v>1</v>
      </c>
      <c r="M174" s="17">
        <v>16666667</v>
      </c>
      <c r="N174" s="17">
        <f t="shared" si="22"/>
        <v>16666667</v>
      </c>
      <c r="P174" s="17">
        <f t="shared" si="23"/>
        <v>188</v>
      </c>
    </row>
    <row r="175" spans="1:16" ht="15" customHeight="1" x14ac:dyDescent="0.2">
      <c r="A175" s="12" t="s">
        <v>18</v>
      </c>
      <c r="B175" s="36">
        <v>46094</v>
      </c>
      <c r="C175" s="12">
        <f t="shared" si="20"/>
        <v>357</v>
      </c>
      <c r="D175" s="38">
        <f t="shared" si="21"/>
        <v>1</v>
      </c>
      <c r="G175" s="14" t="s">
        <v>1779</v>
      </c>
      <c r="H175" s="12" t="s">
        <v>3847</v>
      </c>
      <c r="I175" s="12">
        <v>333821</v>
      </c>
      <c r="J175" s="12">
        <v>131</v>
      </c>
      <c r="K175" s="12" t="s">
        <v>20</v>
      </c>
      <c r="L175" s="12">
        <v>1</v>
      </c>
      <c r="M175" s="17">
        <v>166667</v>
      </c>
      <c r="N175" s="17">
        <f t="shared" si="22"/>
        <v>166667</v>
      </c>
      <c r="P175" s="17">
        <f t="shared" si="23"/>
        <v>162</v>
      </c>
    </row>
    <row r="176" spans="1:16" ht="15" customHeight="1" x14ac:dyDescent="0.2">
      <c r="A176" s="12" t="s">
        <v>18</v>
      </c>
      <c r="B176" s="36">
        <v>46096</v>
      </c>
      <c r="C176" s="12">
        <f t="shared" si="20"/>
        <v>358</v>
      </c>
      <c r="D176" s="38">
        <f t="shared" si="21"/>
        <v>1</v>
      </c>
      <c r="G176" s="14" t="s">
        <v>292</v>
      </c>
      <c r="H176" s="12" t="s">
        <v>1772</v>
      </c>
      <c r="I176" s="12">
        <v>64277</v>
      </c>
      <c r="J176" s="12">
        <v>331</v>
      </c>
      <c r="K176" s="20" t="s">
        <v>20</v>
      </c>
      <c r="L176" s="20">
        <v>1</v>
      </c>
      <c r="M176" s="17">
        <v>498000</v>
      </c>
      <c r="N176" s="34">
        <f t="shared" si="22"/>
        <v>498000</v>
      </c>
      <c r="P176" s="17">
        <f t="shared" si="23"/>
        <v>22</v>
      </c>
    </row>
    <row r="177" spans="1:16" ht="15" customHeight="1" x14ac:dyDescent="0.2">
      <c r="A177" s="12" t="s">
        <v>18</v>
      </c>
      <c r="B177" s="36">
        <v>46096</v>
      </c>
      <c r="C177" s="12">
        <f t="shared" si="20"/>
        <v>358</v>
      </c>
      <c r="D177" s="38">
        <f t="shared" si="21"/>
        <v>0</v>
      </c>
      <c r="G177" s="14" t="s">
        <v>292</v>
      </c>
      <c r="H177" s="12" t="s">
        <v>1772</v>
      </c>
      <c r="I177" s="12">
        <v>1331</v>
      </c>
      <c r="J177" s="12">
        <v>331</v>
      </c>
      <c r="K177" s="20" t="s">
        <v>20</v>
      </c>
      <c r="L177" s="20">
        <v>1</v>
      </c>
      <c r="M177" s="17">
        <v>39840</v>
      </c>
      <c r="N177" s="34">
        <f t="shared" si="22"/>
        <v>39840</v>
      </c>
      <c r="P177" s="17">
        <f t="shared" si="23"/>
        <v>22</v>
      </c>
    </row>
    <row r="178" spans="1:16" ht="15" customHeight="1" x14ac:dyDescent="0.2">
      <c r="A178" s="12" t="s">
        <v>18</v>
      </c>
      <c r="B178" s="87" t="s">
        <v>558</v>
      </c>
      <c r="C178" s="12">
        <f t="shared" si="20"/>
        <v>359</v>
      </c>
      <c r="D178" s="38">
        <f t="shared" si="21"/>
        <v>1</v>
      </c>
      <c r="G178" s="14" t="s">
        <v>311</v>
      </c>
      <c r="H178" s="12" t="s">
        <v>3878</v>
      </c>
      <c r="I178" s="12">
        <v>131</v>
      </c>
      <c r="J178" s="12">
        <v>5118</v>
      </c>
      <c r="K178" s="12" t="s">
        <v>20</v>
      </c>
      <c r="L178" s="12">
        <v>1</v>
      </c>
      <c r="M178" s="17">
        <v>169291924</v>
      </c>
      <c r="N178" s="17">
        <f t="shared" si="22"/>
        <v>169291924</v>
      </c>
      <c r="P178" s="17">
        <f t="shared" si="23"/>
        <v>36</v>
      </c>
    </row>
    <row r="179" spans="1:16" ht="15" customHeight="1" x14ac:dyDescent="0.2">
      <c r="A179" s="12" t="s">
        <v>18</v>
      </c>
      <c r="B179" s="87" t="s">
        <v>558</v>
      </c>
      <c r="C179" s="12">
        <f t="shared" si="20"/>
        <v>359</v>
      </c>
      <c r="D179" s="38">
        <f t="shared" si="21"/>
        <v>0</v>
      </c>
      <c r="G179" s="14" t="s">
        <v>311</v>
      </c>
      <c r="H179" s="12" t="s">
        <v>3878</v>
      </c>
      <c r="I179" s="12">
        <v>131</v>
      </c>
      <c r="J179" s="12">
        <v>5118</v>
      </c>
      <c r="K179" s="12" t="s">
        <v>20</v>
      </c>
      <c r="L179" s="12">
        <v>1</v>
      </c>
      <c r="M179" s="17">
        <v>65516358</v>
      </c>
      <c r="N179" s="17">
        <f t="shared" si="22"/>
        <v>65516358</v>
      </c>
      <c r="P179" s="17">
        <f t="shared" si="23"/>
        <v>36</v>
      </c>
    </row>
    <row r="180" spans="1:16" ht="15" customHeight="1" x14ac:dyDescent="0.2">
      <c r="A180" s="12" t="s">
        <v>18</v>
      </c>
      <c r="B180" s="36">
        <v>46104</v>
      </c>
      <c r="C180" s="12">
        <f t="shared" si="20"/>
        <v>360</v>
      </c>
      <c r="D180" s="38">
        <f t="shared" si="21"/>
        <v>1</v>
      </c>
      <c r="G180" s="14" t="s">
        <v>1785</v>
      </c>
      <c r="H180" s="12" t="s">
        <v>1802</v>
      </c>
      <c r="I180" s="12">
        <v>131</v>
      </c>
      <c r="J180" s="12">
        <v>5113</v>
      </c>
      <c r="K180" s="12" t="s">
        <v>20</v>
      </c>
      <c r="L180" s="12">
        <v>1</v>
      </c>
      <c r="M180" s="17">
        <v>61111111</v>
      </c>
      <c r="N180" s="17">
        <f t="shared" si="22"/>
        <v>61111111</v>
      </c>
      <c r="P180" s="17">
        <f t="shared" si="23"/>
        <v>150</v>
      </c>
    </row>
    <row r="181" spans="1:16" ht="15" customHeight="1" x14ac:dyDescent="0.2">
      <c r="A181" s="12" t="s">
        <v>18</v>
      </c>
      <c r="B181" s="36">
        <v>46104</v>
      </c>
      <c r="C181" s="12">
        <f t="shared" si="20"/>
        <v>361</v>
      </c>
      <c r="D181" s="38">
        <f t="shared" si="21"/>
        <v>1</v>
      </c>
      <c r="G181" s="14" t="s">
        <v>1785</v>
      </c>
      <c r="H181" s="12" t="s">
        <v>3827</v>
      </c>
      <c r="I181" s="12">
        <v>333821</v>
      </c>
      <c r="J181" s="12">
        <v>131</v>
      </c>
      <c r="K181" s="12" t="s">
        <v>20</v>
      </c>
      <c r="L181" s="12">
        <v>1</v>
      </c>
      <c r="M181" s="17">
        <v>611111</v>
      </c>
      <c r="N181" s="17">
        <f t="shared" si="22"/>
        <v>611111</v>
      </c>
      <c r="P181" s="17">
        <f t="shared" si="23"/>
        <v>166</v>
      </c>
    </row>
    <row r="182" spans="1:16" ht="15" customHeight="1" x14ac:dyDescent="0.2">
      <c r="A182" s="12" t="s">
        <v>18</v>
      </c>
      <c r="B182" s="36">
        <v>46106</v>
      </c>
      <c r="C182" s="12">
        <f t="shared" si="20"/>
        <v>362</v>
      </c>
      <c r="D182" s="38">
        <f t="shared" si="21"/>
        <v>1</v>
      </c>
      <c r="G182" s="14" t="s">
        <v>1773</v>
      </c>
      <c r="H182" s="12" t="s">
        <v>1774</v>
      </c>
      <c r="I182" s="12">
        <v>64277</v>
      </c>
      <c r="J182" s="12">
        <v>331</v>
      </c>
      <c r="K182" s="20" t="s">
        <v>20</v>
      </c>
      <c r="L182" s="20">
        <v>1</v>
      </c>
      <c r="M182" s="17">
        <v>1851852</v>
      </c>
      <c r="N182" s="34">
        <f t="shared" si="22"/>
        <v>1851852</v>
      </c>
      <c r="P182" s="17">
        <f t="shared" si="23"/>
        <v>53</v>
      </c>
    </row>
    <row r="183" spans="1:16" ht="15" customHeight="1" x14ac:dyDescent="0.2">
      <c r="A183" s="12" t="s">
        <v>18</v>
      </c>
      <c r="B183" s="36">
        <v>46106</v>
      </c>
      <c r="C183" s="12">
        <f t="shared" si="20"/>
        <v>362</v>
      </c>
      <c r="D183" s="38">
        <f t="shared" si="21"/>
        <v>0</v>
      </c>
      <c r="G183" s="32" t="s">
        <v>1773</v>
      </c>
      <c r="H183" s="20" t="s">
        <v>1774</v>
      </c>
      <c r="I183" s="12">
        <v>1331</v>
      </c>
      <c r="J183" s="12">
        <v>331</v>
      </c>
      <c r="K183" s="20" t="s">
        <v>20</v>
      </c>
      <c r="L183" s="20">
        <v>1</v>
      </c>
      <c r="M183" s="17">
        <v>148148</v>
      </c>
      <c r="N183" s="34">
        <f t="shared" si="22"/>
        <v>148148</v>
      </c>
      <c r="P183" s="17">
        <f t="shared" si="23"/>
        <v>53</v>
      </c>
    </row>
    <row r="184" spans="1:16" ht="15" customHeight="1" x14ac:dyDescent="0.2">
      <c r="A184" s="12" t="s">
        <v>18</v>
      </c>
      <c r="B184" s="36">
        <v>46106</v>
      </c>
      <c r="C184" s="12">
        <f t="shared" si="20"/>
        <v>363</v>
      </c>
      <c r="D184" s="38">
        <f t="shared" si="21"/>
        <v>1</v>
      </c>
      <c r="G184" s="14" t="s">
        <v>91</v>
      </c>
      <c r="H184" s="12" t="s">
        <v>1803</v>
      </c>
      <c r="I184" s="12">
        <v>131</v>
      </c>
      <c r="J184" s="12">
        <v>5113</v>
      </c>
      <c r="K184" s="12" t="s">
        <v>20</v>
      </c>
      <c r="L184" s="12">
        <v>1</v>
      </c>
      <c r="M184" s="17">
        <v>4444444</v>
      </c>
      <c r="N184" s="17">
        <f t="shared" si="22"/>
        <v>4444444</v>
      </c>
      <c r="P184" s="17">
        <f t="shared" si="23"/>
        <v>171</v>
      </c>
    </row>
    <row r="185" spans="1:16" ht="15" customHeight="1" x14ac:dyDescent="0.2">
      <c r="A185" s="12" t="s">
        <v>18</v>
      </c>
      <c r="B185" s="36">
        <v>46106</v>
      </c>
      <c r="C185" s="12">
        <f t="shared" si="20"/>
        <v>364</v>
      </c>
      <c r="D185" s="38">
        <f t="shared" si="21"/>
        <v>1</v>
      </c>
      <c r="G185" s="14" t="s">
        <v>91</v>
      </c>
      <c r="H185" s="12" t="s">
        <v>3828</v>
      </c>
      <c r="I185" s="12">
        <v>333821</v>
      </c>
      <c r="J185" s="12">
        <v>131</v>
      </c>
      <c r="K185" s="12" t="s">
        <v>20</v>
      </c>
      <c r="L185" s="12">
        <v>1</v>
      </c>
      <c r="M185" s="17">
        <v>44444</v>
      </c>
      <c r="N185" s="17">
        <f t="shared" si="22"/>
        <v>44444</v>
      </c>
      <c r="P185" s="17">
        <f t="shared" si="23"/>
        <v>187</v>
      </c>
    </row>
    <row r="186" spans="1:16" ht="15" customHeight="1" x14ac:dyDescent="0.2">
      <c r="A186" s="12" t="s">
        <v>18</v>
      </c>
      <c r="B186" s="36">
        <v>46107</v>
      </c>
      <c r="C186" s="12">
        <f t="shared" si="20"/>
        <v>365</v>
      </c>
      <c r="D186" s="38">
        <f t="shared" si="21"/>
        <v>1</v>
      </c>
      <c r="G186" s="14" t="s">
        <v>43</v>
      </c>
      <c r="H186" s="12" t="s">
        <v>1804</v>
      </c>
      <c r="I186" s="12">
        <v>131</v>
      </c>
      <c r="J186" s="12">
        <v>5113</v>
      </c>
      <c r="K186" s="12" t="s">
        <v>20</v>
      </c>
      <c r="L186" s="12">
        <v>1</v>
      </c>
      <c r="M186" s="17">
        <v>27777778</v>
      </c>
      <c r="N186" s="17">
        <f t="shared" si="22"/>
        <v>27777778</v>
      </c>
      <c r="P186" s="17">
        <f t="shared" si="23"/>
        <v>175</v>
      </c>
    </row>
    <row r="187" spans="1:16" ht="15" customHeight="1" x14ac:dyDescent="0.2">
      <c r="A187" s="12" t="s">
        <v>18</v>
      </c>
      <c r="B187" s="36">
        <v>46107</v>
      </c>
      <c r="C187" s="12">
        <f t="shared" si="20"/>
        <v>366</v>
      </c>
      <c r="D187" s="38">
        <f t="shared" si="21"/>
        <v>1</v>
      </c>
      <c r="G187" s="14" t="s">
        <v>43</v>
      </c>
      <c r="H187" s="12" t="s">
        <v>3829</v>
      </c>
      <c r="I187" s="12">
        <v>333821</v>
      </c>
      <c r="J187" s="12">
        <v>131</v>
      </c>
      <c r="K187" s="12" t="s">
        <v>20</v>
      </c>
      <c r="L187" s="12">
        <v>1</v>
      </c>
      <c r="M187" s="17">
        <v>277778</v>
      </c>
      <c r="N187" s="17">
        <f t="shared" si="22"/>
        <v>277778</v>
      </c>
      <c r="P187" s="17">
        <f t="shared" si="23"/>
        <v>191</v>
      </c>
    </row>
    <row r="188" spans="1:16" ht="15" customHeight="1" x14ac:dyDescent="0.2">
      <c r="A188" s="12" t="s">
        <v>18</v>
      </c>
      <c r="B188" s="36">
        <v>46112</v>
      </c>
      <c r="C188" s="12">
        <f t="shared" si="20"/>
        <v>367</v>
      </c>
      <c r="D188" s="38">
        <f t="shared" si="21"/>
        <v>1</v>
      </c>
      <c r="G188" s="14" t="s">
        <v>71</v>
      </c>
      <c r="H188" s="12" t="s">
        <v>457</v>
      </c>
      <c r="I188" s="12">
        <v>64271</v>
      </c>
      <c r="J188" s="12">
        <v>3383</v>
      </c>
      <c r="K188" s="12" t="s">
        <v>20</v>
      </c>
      <c r="L188" s="12">
        <v>1</v>
      </c>
      <c r="M188" s="17">
        <v>690300</v>
      </c>
      <c r="N188" s="17">
        <f t="shared" si="22"/>
        <v>690300</v>
      </c>
      <c r="P188" s="17">
        <f t="shared" si="23"/>
        <v>30</v>
      </c>
    </row>
    <row r="189" spans="1:16" ht="15" customHeight="1" x14ac:dyDescent="0.2">
      <c r="A189" s="12" t="s">
        <v>18</v>
      </c>
      <c r="B189" s="87" t="s">
        <v>507</v>
      </c>
      <c r="C189" s="12">
        <f t="shared" si="20"/>
        <v>368</v>
      </c>
      <c r="D189" s="38">
        <f t="shared" si="21"/>
        <v>1</v>
      </c>
      <c r="G189" s="14" t="s">
        <v>311</v>
      </c>
      <c r="H189" s="12" t="s">
        <v>3878</v>
      </c>
      <c r="I189" s="12">
        <v>131</v>
      </c>
      <c r="J189" s="12">
        <v>5118</v>
      </c>
      <c r="K189" s="12" t="s">
        <v>20</v>
      </c>
      <c r="L189" s="12">
        <v>1</v>
      </c>
      <c r="M189" s="17">
        <v>42278248</v>
      </c>
      <c r="N189" s="17">
        <f t="shared" si="22"/>
        <v>42278248</v>
      </c>
      <c r="P189" s="17">
        <f t="shared" si="23"/>
        <v>36</v>
      </c>
    </row>
    <row r="190" spans="1:16" ht="15" customHeight="1" x14ac:dyDescent="0.2">
      <c r="A190" s="12" t="s">
        <v>18</v>
      </c>
      <c r="B190" s="87" t="s">
        <v>507</v>
      </c>
      <c r="C190" s="12">
        <f t="shared" si="20"/>
        <v>368</v>
      </c>
      <c r="D190" s="38">
        <f t="shared" si="21"/>
        <v>0</v>
      </c>
      <c r="G190" s="14" t="s">
        <v>311</v>
      </c>
      <c r="H190" s="12" t="s">
        <v>3878</v>
      </c>
      <c r="I190" s="12">
        <v>131</v>
      </c>
      <c r="J190" s="12">
        <v>5118</v>
      </c>
      <c r="K190" s="12" t="s">
        <v>20</v>
      </c>
      <c r="L190" s="12">
        <v>1</v>
      </c>
      <c r="M190" s="17">
        <v>21991394</v>
      </c>
      <c r="N190" s="17">
        <f t="shared" si="22"/>
        <v>21991394</v>
      </c>
      <c r="P190" s="17">
        <f t="shared" si="23"/>
        <v>36</v>
      </c>
    </row>
  </sheetData>
  <autoFilter ref="A3:Q190" xr:uid="{00000000-0009-0000-0000-000014000000}">
    <sortState xmlns:xlrd2="http://schemas.microsoft.com/office/spreadsheetml/2017/richdata2" ref="A4:Q190">
      <sortCondition ref="A4:A190"/>
      <sortCondition ref="B4:B190"/>
      <sortCondition ref="H4:H190"/>
    </sortState>
  </autoFilter>
  <mergeCells count="13">
    <mergeCell ref="N1:N2"/>
    <mergeCell ref="G1:G2"/>
    <mergeCell ref="H1:H2"/>
    <mergeCell ref="I1:J1"/>
    <mergeCell ref="K1:K2"/>
    <mergeCell ref="L1:L2"/>
    <mergeCell ref="M1:M2"/>
    <mergeCell ref="F1:F2"/>
    <mergeCell ref="A1:A2"/>
    <mergeCell ref="B1:B2"/>
    <mergeCell ref="C1:C2"/>
    <mergeCell ref="D1:D2"/>
    <mergeCell ref="E1:E2"/>
  </mergeCells>
  <hyperlinks>
    <hyperlink ref="Q1" location="Summary!A1" display="Back to summary" xr:uid="{00000000-0004-0000-1400-000000000000}"/>
  </hyperlink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filterMode="1">
    <tabColor rgb="FF92D050"/>
  </sheetPr>
  <dimension ref="A1:AB110"/>
  <sheetViews>
    <sheetView workbookViewId="0">
      <selection activeCell="M49" sqref="M49:M110"/>
    </sheetView>
  </sheetViews>
  <sheetFormatPr defaultRowHeight="15" customHeight="1" x14ac:dyDescent="0.2"/>
  <cols>
    <col min="1" max="1" width="9.140625" style="12"/>
    <col min="2" max="2" width="9.140625" style="87"/>
    <col min="3" max="5" width="9.140625" style="12"/>
    <col min="6" max="6" width="9.85546875" style="12" bestFit="1" customWidth="1"/>
    <col min="7" max="7" width="9.140625" style="12"/>
    <col min="8" max="8" width="28.28515625" style="12" customWidth="1"/>
    <col min="9" max="12" width="9.140625" style="12"/>
    <col min="13" max="13" width="12" style="17" bestFit="1" customWidth="1"/>
    <col min="14" max="14" width="10.7109375" style="17" bestFit="1" customWidth="1"/>
    <col min="15" max="17" width="9.140625" style="12"/>
    <col min="18" max="28" width="9.140625" style="14"/>
    <col min="29" max="16384" width="9.140625" style="12"/>
  </cols>
  <sheetData>
    <row r="1" spans="1:21" ht="15" customHeight="1" thickBot="1" x14ac:dyDescent="0.25">
      <c r="A1" s="247" t="s">
        <v>0</v>
      </c>
      <c r="B1" s="219" t="s">
        <v>1</v>
      </c>
      <c r="C1" s="247" t="s">
        <v>2</v>
      </c>
      <c r="D1" s="249" t="s">
        <v>3</v>
      </c>
      <c r="E1" s="249" t="s">
        <v>4</v>
      </c>
      <c r="F1" s="249" t="s">
        <v>5</v>
      </c>
      <c r="G1" s="241" t="s">
        <v>6</v>
      </c>
      <c r="H1" s="243" t="s">
        <v>7</v>
      </c>
      <c r="I1" s="245" t="s">
        <v>8</v>
      </c>
      <c r="J1" s="246"/>
      <c r="K1" s="247" t="s">
        <v>9</v>
      </c>
      <c r="L1" s="247" t="s">
        <v>10</v>
      </c>
      <c r="M1" s="254" t="s">
        <v>76</v>
      </c>
      <c r="N1" s="254" t="s">
        <v>77</v>
      </c>
      <c r="O1" s="45" t="s">
        <v>78</v>
      </c>
      <c r="P1" s="146" t="s">
        <v>356</v>
      </c>
    </row>
    <row r="2" spans="1:21" ht="15" customHeight="1" thickBot="1" x14ac:dyDescent="0.25">
      <c r="A2" s="248"/>
      <c r="B2" s="220"/>
      <c r="C2" s="248"/>
      <c r="D2" s="253"/>
      <c r="E2" s="253"/>
      <c r="F2" s="250"/>
      <c r="G2" s="242"/>
      <c r="H2" s="244"/>
      <c r="I2" s="46" t="s">
        <v>13</v>
      </c>
      <c r="J2" s="47" t="s">
        <v>14</v>
      </c>
      <c r="K2" s="248"/>
      <c r="L2" s="248"/>
      <c r="M2" s="255"/>
      <c r="N2" s="255"/>
      <c r="O2" s="38" t="s">
        <v>78</v>
      </c>
      <c r="P2" s="38"/>
    </row>
    <row r="3" spans="1:21" ht="15" customHeight="1" x14ac:dyDescent="0.2">
      <c r="A3" s="48"/>
      <c r="B3" s="81"/>
      <c r="C3" s="48">
        <v>140</v>
      </c>
      <c r="D3" s="49"/>
      <c r="E3" s="49"/>
      <c r="F3" s="49"/>
      <c r="G3" s="51" t="s">
        <v>15</v>
      </c>
      <c r="H3" s="52"/>
      <c r="I3" s="52"/>
      <c r="J3" s="52"/>
      <c r="K3" s="48"/>
      <c r="L3" s="48"/>
      <c r="M3" s="82"/>
      <c r="N3" s="82"/>
      <c r="O3" s="38" t="s">
        <v>16</v>
      </c>
      <c r="P3" s="38" t="s">
        <v>17</v>
      </c>
    </row>
    <row r="4" spans="1:21" ht="15" hidden="1" customHeight="1" x14ac:dyDescent="0.2">
      <c r="A4" s="12" t="s">
        <v>309</v>
      </c>
      <c r="B4" s="36">
        <v>46030.496898148151</v>
      </c>
      <c r="C4" s="12">
        <f t="shared" ref="C4:C35" si="0">C3+D4</f>
        <v>141</v>
      </c>
      <c r="D4" s="38">
        <f t="shared" ref="D4:D35" si="1">IF(H4=H3,0,1)</f>
        <v>1</v>
      </c>
      <c r="G4" s="130" t="s">
        <v>2399</v>
      </c>
      <c r="H4" s="12" t="s">
        <v>4095</v>
      </c>
      <c r="I4" s="12">
        <v>112111</v>
      </c>
      <c r="J4" s="12">
        <v>131</v>
      </c>
      <c r="K4" s="12" t="s">
        <v>20</v>
      </c>
      <c r="L4" s="12">
        <v>1</v>
      </c>
      <c r="M4" s="17">
        <v>26612903</v>
      </c>
      <c r="N4" s="129">
        <f t="shared" ref="N4:N35" si="2">L4*M4</f>
        <v>26612903</v>
      </c>
      <c r="P4" s="12">
        <f>LEN(H4)</f>
        <v>184</v>
      </c>
      <c r="U4" s="12"/>
    </row>
    <row r="5" spans="1:21" ht="15" hidden="1" customHeight="1" x14ac:dyDescent="0.2">
      <c r="A5" s="12" t="s">
        <v>309</v>
      </c>
      <c r="B5" s="36">
        <v>46031.731979166667</v>
      </c>
      <c r="C5" s="12">
        <f t="shared" si="0"/>
        <v>142</v>
      </c>
      <c r="D5" s="38">
        <f t="shared" si="1"/>
        <v>1</v>
      </c>
      <c r="G5" s="130" t="s">
        <v>4131</v>
      </c>
      <c r="H5" s="130" t="s">
        <v>4132</v>
      </c>
      <c r="I5" s="12">
        <v>112111</v>
      </c>
      <c r="J5" s="12">
        <v>131</v>
      </c>
      <c r="K5" s="12" t="s">
        <v>20</v>
      </c>
      <c r="L5" s="12">
        <v>1</v>
      </c>
      <c r="M5" s="17">
        <v>13750000</v>
      </c>
      <c r="N5" s="129">
        <f t="shared" si="2"/>
        <v>13750000</v>
      </c>
      <c r="P5" s="12">
        <f t="shared" ref="P5:P68" si="3">LEN(H5)</f>
        <v>106</v>
      </c>
      <c r="U5" s="12"/>
    </row>
    <row r="6" spans="1:21" ht="15" hidden="1" customHeight="1" x14ac:dyDescent="0.2">
      <c r="A6" s="12" t="s">
        <v>309</v>
      </c>
      <c r="B6" s="36">
        <v>46031.761261574073</v>
      </c>
      <c r="C6" s="12">
        <f t="shared" si="0"/>
        <v>143</v>
      </c>
      <c r="D6" s="38">
        <f t="shared" si="1"/>
        <v>1</v>
      </c>
      <c r="G6" s="130" t="s">
        <v>299</v>
      </c>
      <c r="H6" s="12" t="s">
        <v>4130</v>
      </c>
      <c r="I6" s="12">
        <v>112111</v>
      </c>
      <c r="J6" s="12">
        <v>131</v>
      </c>
      <c r="K6" s="12" t="s">
        <v>20</v>
      </c>
      <c r="L6" s="12">
        <v>1</v>
      </c>
      <c r="M6" s="17">
        <v>18096774</v>
      </c>
      <c r="N6" s="129">
        <f t="shared" si="2"/>
        <v>18096774</v>
      </c>
      <c r="P6" s="12">
        <f t="shared" si="3"/>
        <v>169</v>
      </c>
      <c r="U6" s="12"/>
    </row>
    <row r="7" spans="1:21" ht="15" hidden="1" customHeight="1" x14ac:dyDescent="0.2">
      <c r="A7" s="12" t="s">
        <v>309</v>
      </c>
      <c r="B7" s="36">
        <v>46031.842141203706</v>
      </c>
      <c r="C7" s="12">
        <f t="shared" si="0"/>
        <v>144</v>
      </c>
      <c r="D7" s="38">
        <f t="shared" si="1"/>
        <v>1</v>
      </c>
      <c r="G7" s="130" t="s">
        <v>4096</v>
      </c>
      <c r="H7" s="12" t="s">
        <v>4097</v>
      </c>
      <c r="I7" s="12">
        <v>112111</v>
      </c>
      <c r="J7" s="12">
        <v>131</v>
      </c>
      <c r="K7" s="12" t="s">
        <v>20</v>
      </c>
      <c r="L7" s="12">
        <v>1</v>
      </c>
      <c r="M7" s="17">
        <v>21290322</v>
      </c>
      <c r="N7" s="129">
        <f t="shared" si="2"/>
        <v>21290322</v>
      </c>
      <c r="P7" s="12">
        <f t="shared" si="3"/>
        <v>150</v>
      </c>
      <c r="U7" s="12"/>
    </row>
    <row r="8" spans="1:21" ht="15" hidden="1" customHeight="1" x14ac:dyDescent="0.2">
      <c r="A8" s="12" t="s">
        <v>309</v>
      </c>
      <c r="B8" s="36">
        <v>46035.347210648149</v>
      </c>
      <c r="C8" s="12">
        <f t="shared" si="0"/>
        <v>145</v>
      </c>
      <c r="D8" s="38">
        <f t="shared" si="1"/>
        <v>1</v>
      </c>
      <c r="G8" s="130" t="s">
        <v>4098</v>
      </c>
      <c r="H8" s="12" t="s">
        <v>4099</v>
      </c>
      <c r="I8" s="12">
        <v>112111</v>
      </c>
      <c r="J8" s="12">
        <v>131</v>
      </c>
      <c r="K8" s="12" t="s">
        <v>20</v>
      </c>
      <c r="L8" s="12">
        <v>1</v>
      </c>
      <c r="M8" s="17">
        <v>28741935</v>
      </c>
      <c r="N8" s="129">
        <f t="shared" si="2"/>
        <v>28741935</v>
      </c>
      <c r="P8" s="12">
        <f t="shared" si="3"/>
        <v>121</v>
      </c>
      <c r="U8" s="12"/>
    </row>
    <row r="9" spans="1:21" ht="15" hidden="1" customHeight="1" x14ac:dyDescent="0.2">
      <c r="A9" s="12" t="s">
        <v>309</v>
      </c>
      <c r="B9" s="36">
        <v>46036.61787037037</v>
      </c>
      <c r="C9" s="12">
        <f t="shared" si="0"/>
        <v>146</v>
      </c>
      <c r="D9" s="38">
        <f t="shared" si="1"/>
        <v>1</v>
      </c>
      <c r="G9" s="130" t="s">
        <v>4100</v>
      </c>
      <c r="H9" s="12" t="s">
        <v>4101</v>
      </c>
      <c r="I9" s="12">
        <v>112111</v>
      </c>
      <c r="J9" s="12">
        <v>131</v>
      </c>
      <c r="K9" s="12" t="s">
        <v>20</v>
      </c>
      <c r="L9" s="12">
        <v>1</v>
      </c>
      <c r="M9" s="17">
        <v>26612903</v>
      </c>
      <c r="N9" s="129">
        <f t="shared" si="2"/>
        <v>26612903</v>
      </c>
      <c r="P9" s="12">
        <f t="shared" si="3"/>
        <v>162</v>
      </c>
      <c r="U9" s="12"/>
    </row>
    <row r="10" spans="1:21" ht="15" hidden="1" customHeight="1" x14ac:dyDescent="0.2">
      <c r="A10" s="12" t="s">
        <v>309</v>
      </c>
      <c r="B10" s="36">
        <v>46041.377488425926</v>
      </c>
      <c r="C10" s="12">
        <f t="shared" si="0"/>
        <v>147</v>
      </c>
      <c r="D10" s="38">
        <f t="shared" si="1"/>
        <v>1</v>
      </c>
      <c r="G10" s="12" t="s">
        <v>29</v>
      </c>
      <c r="H10" s="12" t="s">
        <v>4102</v>
      </c>
      <c r="I10" s="12">
        <v>112111</v>
      </c>
      <c r="J10" s="12">
        <v>131</v>
      </c>
      <c r="K10" s="12" t="s">
        <v>20</v>
      </c>
      <c r="L10" s="12">
        <v>1</v>
      </c>
      <c r="M10" s="17">
        <v>26612903</v>
      </c>
      <c r="N10" s="129">
        <f t="shared" si="2"/>
        <v>26612903</v>
      </c>
      <c r="P10" s="12">
        <f t="shared" si="3"/>
        <v>138</v>
      </c>
      <c r="U10" s="12"/>
    </row>
    <row r="11" spans="1:21" ht="15" hidden="1" customHeight="1" x14ac:dyDescent="0.2">
      <c r="A11" s="12" t="s">
        <v>309</v>
      </c>
      <c r="B11" s="36">
        <v>46046.459247685183</v>
      </c>
      <c r="C11" s="12">
        <f t="shared" si="0"/>
        <v>148</v>
      </c>
      <c r="D11" s="38">
        <f t="shared" si="1"/>
        <v>1</v>
      </c>
      <c r="G11" s="130" t="s">
        <v>4131</v>
      </c>
      <c r="H11" s="12" t="s">
        <v>4133</v>
      </c>
      <c r="I11" s="12">
        <v>112111</v>
      </c>
      <c r="J11" s="12">
        <v>131</v>
      </c>
      <c r="K11" s="12" t="s">
        <v>20</v>
      </c>
      <c r="L11" s="12">
        <v>1</v>
      </c>
      <c r="M11" s="17">
        <v>13750000</v>
      </c>
      <c r="N11" s="129">
        <f t="shared" si="2"/>
        <v>13750000</v>
      </c>
      <c r="P11" s="12">
        <f t="shared" si="3"/>
        <v>106</v>
      </c>
      <c r="U11" s="12"/>
    </row>
    <row r="12" spans="1:21" ht="15" hidden="1" customHeight="1" x14ac:dyDescent="0.2">
      <c r="A12" s="12" t="s">
        <v>309</v>
      </c>
      <c r="B12" s="36">
        <v>46052.817083333335</v>
      </c>
      <c r="C12" s="12">
        <f t="shared" si="0"/>
        <v>149</v>
      </c>
      <c r="D12" s="38">
        <f t="shared" si="1"/>
        <v>1</v>
      </c>
      <c r="G12" s="12" t="s">
        <v>29</v>
      </c>
      <c r="H12" s="12" t="s">
        <v>4103</v>
      </c>
      <c r="I12" s="12">
        <v>112111</v>
      </c>
      <c r="J12" s="12">
        <v>131</v>
      </c>
      <c r="K12" s="12" t="s">
        <v>20</v>
      </c>
      <c r="L12" s="12">
        <v>1</v>
      </c>
      <c r="M12" s="17">
        <v>16666667</v>
      </c>
      <c r="N12" s="129">
        <f t="shared" si="2"/>
        <v>16666667</v>
      </c>
      <c r="P12" s="12">
        <f t="shared" si="3"/>
        <v>136</v>
      </c>
      <c r="U12" s="12"/>
    </row>
    <row r="13" spans="1:21" ht="15" hidden="1" customHeight="1" x14ac:dyDescent="0.2">
      <c r="A13" s="12" t="s">
        <v>309</v>
      </c>
      <c r="B13" s="36">
        <v>46052.822094907409</v>
      </c>
      <c r="C13" s="12">
        <f t="shared" si="0"/>
        <v>150</v>
      </c>
      <c r="D13" s="38">
        <f t="shared" si="1"/>
        <v>1</v>
      </c>
      <c r="G13" s="130" t="s">
        <v>29</v>
      </c>
      <c r="H13" s="12" t="s">
        <v>4104</v>
      </c>
      <c r="I13" s="12">
        <v>112111</v>
      </c>
      <c r="J13" s="12">
        <v>131</v>
      </c>
      <c r="K13" s="12" t="s">
        <v>20</v>
      </c>
      <c r="L13" s="12">
        <v>1</v>
      </c>
      <c r="M13" s="17">
        <v>18700000</v>
      </c>
      <c r="N13" s="129">
        <f t="shared" si="2"/>
        <v>18700000</v>
      </c>
      <c r="P13" s="12">
        <f t="shared" si="3"/>
        <v>135</v>
      </c>
      <c r="U13" s="12"/>
    </row>
    <row r="14" spans="1:21" ht="15" hidden="1" customHeight="1" x14ac:dyDescent="0.2">
      <c r="A14" s="12" t="s">
        <v>309</v>
      </c>
      <c r="B14" s="36">
        <v>46064.665532407409</v>
      </c>
      <c r="C14" s="12">
        <f t="shared" si="0"/>
        <v>151</v>
      </c>
      <c r="D14" s="38">
        <f t="shared" si="1"/>
        <v>1</v>
      </c>
      <c r="G14" s="130" t="s">
        <v>4105</v>
      </c>
      <c r="H14" s="12" t="s">
        <v>4106</v>
      </c>
      <c r="I14" s="12">
        <v>112111</v>
      </c>
      <c r="J14" s="12">
        <v>131</v>
      </c>
      <c r="K14" s="12" t="s">
        <v>20</v>
      </c>
      <c r="L14" s="12">
        <v>1</v>
      </c>
      <c r="M14" s="17">
        <v>18096774</v>
      </c>
      <c r="N14" s="129">
        <f t="shared" si="2"/>
        <v>18096774</v>
      </c>
      <c r="P14" s="12">
        <f t="shared" si="3"/>
        <v>137</v>
      </c>
      <c r="U14" s="12"/>
    </row>
    <row r="15" spans="1:21" ht="15" hidden="1" customHeight="1" x14ac:dyDescent="0.2">
      <c r="A15" s="12" t="s">
        <v>309</v>
      </c>
      <c r="B15" s="36">
        <v>46065.495219907411</v>
      </c>
      <c r="C15" s="12">
        <f t="shared" si="0"/>
        <v>152</v>
      </c>
      <c r="D15" s="38">
        <f t="shared" si="1"/>
        <v>1</v>
      </c>
      <c r="G15" s="12" t="s">
        <v>29</v>
      </c>
      <c r="H15" s="12" t="s">
        <v>4107</v>
      </c>
      <c r="I15" s="12">
        <v>112111</v>
      </c>
      <c r="J15" s="12">
        <v>131</v>
      </c>
      <c r="K15" s="12" t="s">
        <v>20</v>
      </c>
      <c r="L15" s="12">
        <v>1</v>
      </c>
      <c r="M15" s="17">
        <v>37777778</v>
      </c>
      <c r="N15" s="129">
        <f t="shared" si="2"/>
        <v>37777778</v>
      </c>
      <c r="P15" s="12">
        <f t="shared" si="3"/>
        <v>134</v>
      </c>
      <c r="U15" s="12"/>
    </row>
    <row r="16" spans="1:21" ht="15" hidden="1" customHeight="1" x14ac:dyDescent="0.2">
      <c r="A16" s="12" t="s">
        <v>309</v>
      </c>
      <c r="B16" s="36">
        <v>46066.632314814815</v>
      </c>
      <c r="C16" s="12">
        <f t="shared" si="0"/>
        <v>153</v>
      </c>
      <c r="D16" s="38">
        <f t="shared" si="1"/>
        <v>1</v>
      </c>
      <c r="G16" s="130" t="s">
        <v>4096</v>
      </c>
      <c r="H16" s="12" t="s">
        <v>4108</v>
      </c>
      <c r="I16" s="12">
        <v>112111</v>
      </c>
      <c r="J16" s="12">
        <v>131</v>
      </c>
      <c r="K16" s="12" t="s">
        <v>20</v>
      </c>
      <c r="L16" s="12">
        <v>1</v>
      </c>
      <c r="M16" s="17">
        <v>18700000</v>
      </c>
      <c r="N16" s="129">
        <f t="shared" si="2"/>
        <v>18700000</v>
      </c>
      <c r="P16" s="12">
        <f t="shared" si="3"/>
        <v>151</v>
      </c>
      <c r="U16" s="12"/>
    </row>
    <row r="17" spans="1:21" ht="15" hidden="1" customHeight="1" x14ac:dyDescent="0.2">
      <c r="A17" s="12" t="s">
        <v>309</v>
      </c>
      <c r="B17" s="36">
        <v>46066.646620370368</v>
      </c>
      <c r="C17" s="12">
        <f t="shared" si="0"/>
        <v>154</v>
      </c>
      <c r="D17" s="38">
        <f t="shared" si="1"/>
        <v>1</v>
      </c>
      <c r="G17" s="130" t="s">
        <v>106</v>
      </c>
      <c r="H17" s="20" t="s">
        <v>4109</v>
      </c>
      <c r="I17" s="12">
        <v>112111</v>
      </c>
      <c r="J17" s="12">
        <v>131</v>
      </c>
      <c r="K17" s="12" t="s">
        <v>20</v>
      </c>
      <c r="L17" s="12">
        <v>1</v>
      </c>
      <c r="M17" s="17">
        <v>18096774</v>
      </c>
      <c r="N17" s="129">
        <f t="shared" si="2"/>
        <v>18096774</v>
      </c>
      <c r="P17" s="12">
        <f t="shared" si="3"/>
        <v>161</v>
      </c>
      <c r="U17" s="12"/>
    </row>
    <row r="18" spans="1:21" ht="15" hidden="1" customHeight="1" x14ac:dyDescent="0.2">
      <c r="A18" s="12" t="s">
        <v>309</v>
      </c>
      <c r="B18" s="36">
        <v>46086.701261574075</v>
      </c>
      <c r="C18" s="12">
        <f t="shared" si="0"/>
        <v>155</v>
      </c>
      <c r="D18" s="38">
        <f t="shared" si="1"/>
        <v>1</v>
      </c>
      <c r="G18" s="130" t="s">
        <v>4015</v>
      </c>
      <c r="H18" s="12" t="s">
        <v>4110</v>
      </c>
      <c r="I18" s="12">
        <v>112111</v>
      </c>
      <c r="J18" s="12">
        <v>131</v>
      </c>
      <c r="K18" s="12" t="s">
        <v>20</v>
      </c>
      <c r="L18" s="12">
        <v>1</v>
      </c>
      <c r="M18" s="17">
        <v>29806452</v>
      </c>
      <c r="N18" s="129">
        <f t="shared" si="2"/>
        <v>29806452</v>
      </c>
      <c r="P18" s="12">
        <f t="shared" si="3"/>
        <v>166</v>
      </c>
      <c r="U18" s="12"/>
    </row>
    <row r="19" spans="1:21" ht="15" hidden="1" customHeight="1" x14ac:dyDescent="0.2">
      <c r="A19" s="12" t="s">
        <v>309</v>
      </c>
      <c r="B19" s="36">
        <v>46092.545034722221</v>
      </c>
      <c r="C19" s="12">
        <f t="shared" si="0"/>
        <v>156</v>
      </c>
      <c r="D19" s="38">
        <f t="shared" si="1"/>
        <v>1</v>
      </c>
      <c r="G19" s="130" t="s">
        <v>68</v>
      </c>
      <c r="H19" s="12" t="s">
        <v>4111</v>
      </c>
      <c r="I19" s="12">
        <v>112111</v>
      </c>
      <c r="J19" s="12">
        <v>131</v>
      </c>
      <c r="K19" s="12" t="s">
        <v>20</v>
      </c>
      <c r="L19" s="12">
        <v>1</v>
      </c>
      <c r="M19" s="17">
        <v>18700000</v>
      </c>
      <c r="N19" s="129">
        <f t="shared" si="2"/>
        <v>18700000</v>
      </c>
      <c r="P19" s="12">
        <f t="shared" si="3"/>
        <v>149</v>
      </c>
      <c r="U19" s="12"/>
    </row>
    <row r="20" spans="1:21" ht="15" hidden="1" customHeight="1" x14ac:dyDescent="0.2">
      <c r="A20" s="12" t="s">
        <v>309</v>
      </c>
      <c r="B20" s="36">
        <v>46094.723483796297</v>
      </c>
      <c r="C20" s="12">
        <f t="shared" si="0"/>
        <v>157</v>
      </c>
      <c r="D20" s="38">
        <f t="shared" si="1"/>
        <v>1</v>
      </c>
      <c r="G20" s="130" t="s">
        <v>29</v>
      </c>
      <c r="H20" s="12" t="s">
        <v>4112</v>
      </c>
      <c r="I20" s="12">
        <v>112111</v>
      </c>
      <c r="J20" s="12">
        <v>131</v>
      </c>
      <c r="K20" s="12" t="s">
        <v>20</v>
      </c>
      <c r="L20" s="12">
        <v>1</v>
      </c>
      <c r="M20" s="17">
        <v>16500000</v>
      </c>
      <c r="N20" s="129">
        <f t="shared" si="2"/>
        <v>16500000</v>
      </c>
      <c r="P20" s="12">
        <f t="shared" si="3"/>
        <v>147</v>
      </c>
      <c r="U20" s="12"/>
    </row>
    <row r="21" spans="1:21" ht="15" hidden="1" customHeight="1" x14ac:dyDescent="0.2">
      <c r="A21" s="12" t="s">
        <v>309</v>
      </c>
      <c r="B21" s="36">
        <v>46094.806759259256</v>
      </c>
      <c r="C21" s="12">
        <f t="shared" si="0"/>
        <v>158</v>
      </c>
      <c r="D21" s="38">
        <f t="shared" si="1"/>
        <v>1</v>
      </c>
      <c r="G21" s="130" t="s">
        <v>3122</v>
      </c>
      <c r="H21" s="12" t="s">
        <v>4113</v>
      </c>
      <c r="I21" s="12">
        <v>112111</v>
      </c>
      <c r="J21" s="12">
        <v>131</v>
      </c>
      <c r="K21" s="12" t="s">
        <v>20</v>
      </c>
      <c r="L21" s="12">
        <v>1</v>
      </c>
      <c r="M21" s="17">
        <v>28741935</v>
      </c>
      <c r="N21" s="129">
        <f t="shared" si="2"/>
        <v>28741935</v>
      </c>
      <c r="P21" s="12">
        <f t="shared" si="3"/>
        <v>183</v>
      </c>
      <c r="U21" s="12"/>
    </row>
    <row r="22" spans="1:21" ht="15" hidden="1" customHeight="1" x14ac:dyDescent="0.2">
      <c r="A22" s="12" t="s">
        <v>309</v>
      </c>
      <c r="B22" s="36">
        <v>46100.658761574072</v>
      </c>
      <c r="C22" s="12">
        <f t="shared" si="0"/>
        <v>159</v>
      </c>
      <c r="D22" s="38">
        <f t="shared" si="1"/>
        <v>1</v>
      </c>
      <c r="G22" s="130" t="s">
        <v>69</v>
      </c>
      <c r="H22" s="12" t="s">
        <v>4115</v>
      </c>
      <c r="I22" s="12">
        <v>112111</v>
      </c>
      <c r="J22" s="12">
        <v>131</v>
      </c>
      <c r="K22" s="12" t="s">
        <v>20</v>
      </c>
      <c r="L22" s="12">
        <v>1</v>
      </c>
      <c r="M22" s="17">
        <v>27500000</v>
      </c>
      <c r="N22" s="129">
        <f t="shared" si="2"/>
        <v>27500000</v>
      </c>
      <c r="P22" s="12">
        <f t="shared" si="3"/>
        <v>122</v>
      </c>
      <c r="U22" s="12"/>
    </row>
    <row r="23" spans="1:21" ht="15" hidden="1" customHeight="1" x14ac:dyDescent="0.2">
      <c r="A23" s="12" t="s">
        <v>309</v>
      </c>
      <c r="B23" s="36">
        <v>46112.607106481482</v>
      </c>
      <c r="C23" s="12">
        <f t="shared" si="0"/>
        <v>160</v>
      </c>
      <c r="D23" s="38">
        <f t="shared" si="1"/>
        <v>1</v>
      </c>
      <c r="G23" s="130" t="s">
        <v>29</v>
      </c>
      <c r="H23" s="12" t="s">
        <v>4116</v>
      </c>
      <c r="I23" s="12">
        <v>112111</v>
      </c>
      <c r="J23" s="12">
        <v>131</v>
      </c>
      <c r="K23" s="12" t="s">
        <v>20</v>
      </c>
      <c r="L23" s="12">
        <v>1</v>
      </c>
      <c r="M23" s="17">
        <v>18700000</v>
      </c>
      <c r="N23" s="129">
        <f t="shared" si="2"/>
        <v>18700000</v>
      </c>
      <c r="P23" s="12">
        <f t="shared" si="3"/>
        <v>136</v>
      </c>
      <c r="U23" s="12"/>
    </row>
    <row r="24" spans="1:21" ht="15" hidden="1" customHeight="1" x14ac:dyDescent="0.2">
      <c r="A24" s="12" t="s">
        <v>309</v>
      </c>
      <c r="B24" s="36">
        <v>46122.727326388886</v>
      </c>
      <c r="C24" s="12">
        <f t="shared" si="0"/>
        <v>161</v>
      </c>
      <c r="D24" s="38">
        <f t="shared" si="1"/>
        <v>1</v>
      </c>
      <c r="G24" s="12" t="s">
        <v>29</v>
      </c>
      <c r="H24" s="12" t="s">
        <v>4117</v>
      </c>
      <c r="I24" s="12">
        <v>112111</v>
      </c>
      <c r="J24" s="12">
        <v>131</v>
      </c>
      <c r="K24" s="12" t="s">
        <v>20</v>
      </c>
      <c r="L24" s="12">
        <v>1</v>
      </c>
      <c r="M24" s="17">
        <v>22000000</v>
      </c>
      <c r="N24" s="129">
        <f t="shared" si="2"/>
        <v>22000000</v>
      </c>
      <c r="P24" s="12">
        <f t="shared" si="3"/>
        <v>145</v>
      </c>
      <c r="U24" s="12"/>
    </row>
    <row r="25" spans="1:21" ht="15" hidden="1" customHeight="1" x14ac:dyDescent="0.2">
      <c r="A25" s="12" t="s">
        <v>308</v>
      </c>
      <c r="B25" s="36">
        <v>46023.019826388889</v>
      </c>
      <c r="C25" s="12">
        <f t="shared" si="0"/>
        <v>162</v>
      </c>
      <c r="D25" s="38">
        <f t="shared" si="1"/>
        <v>1</v>
      </c>
      <c r="G25" s="130" t="s">
        <v>237</v>
      </c>
      <c r="H25" s="12" t="s">
        <v>2660</v>
      </c>
      <c r="I25" s="12">
        <v>1111</v>
      </c>
      <c r="J25" s="12">
        <v>112111</v>
      </c>
      <c r="K25" s="12" t="s">
        <v>20</v>
      </c>
      <c r="L25" s="12">
        <v>1</v>
      </c>
      <c r="M25" s="17">
        <v>291357000</v>
      </c>
      <c r="N25" s="129">
        <f t="shared" si="2"/>
        <v>291357000</v>
      </c>
      <c r="P25" s="12">
        <f t="shared" si="3"/>
        <v>26</v>
      </c>
      <c r="U25" s="12"/>
    </row>
    <row r="26" spans="1:21" ht="15" hidden="1" customHeight="1" x14ac:dyDescent="0.2">
      <c r="A26" s="12" t="s">
        <v>308</v>
      </c>
      <c r="B26" s="36">
        <v>46053.634050925924</v>
      </c>
      <c r="C26" s="12">
        <f t="shared" si="0"/>
        <v>162</v>
      </c>
      <c r="D26" s="38">
        <f t="shared" si="1"/>
        <v>0</v>
      </c>
      <c r="G26" s="130" t="s">
        <v>237</v>
      </c>
      <c r="H26" s="12" t="s">
        <v>2660</v>
      </c>
      <c r="I26" s="12">
        <v>1111</v>
      </c>
      <c r="J26" s="12">
        <v>112111</v>
      </c>
      <c r="K26" s="12" t="s">
        <v>20</v>
      </c>
      <c r="L26" s="12">
        <v>1</v>
      </c>
      <c r="M26" s="17">
        <v>210858665</v>
      </c>
      <c r="N26" s="129">
        <f t="shared" si="2"/>
        <v>210858665</v>
      </c>
      <c r="P26" s="12">
        <f t="shared" si="3"/>
        <v>26</v>
      </c>
      <c r="U26" s="12"/>
    </row>
    <row r="27" spans="1:21" ht="15" hidden="1" customHeight="1" x14ac:dyDescent="0.2">
      <c r="A27" s="12" t="s">
        <v>308</v>
      </c>
      <c r="B27" s="36">
        <v>46081.504571759258</v>
      </c>
      <c r="C27" s="12">
        <f t="shared" si="0"/>
        <v>163</v>
      </c>
      <c r="D27" s="38">
        <f t="shared" si="1"/>
        <v>1</v>
      </c>
      <c r="G27" s="130" t="s">
        <v>71</v>
      </c>
      <c r="H27" s="12" t="s">
        <v>2612</v>
      </c>
      <c r="I27" s="12">
        <v>3383</v>
      </c>
      <c r="J27" s="12">
        <v>112111</v>
      </c>
      <c r="K27" s="12" t="s">
        <v>20</v>
      </c>
      <c r="L27" s="12">
        <v>1</v>
      </c>
      <c r="M27" s="17">
        <v>2798399</v>
      </c>
      <c r="N27" s="129">
        <f t="shared" si="2"/>
        <v>2798399</v>
      </c>
      <c r="P27" s="12">
        <f t="shared" si="3"/>
        <v>8</v>
      </c>
      <c r="U27" s="12"/>
    </row>
    <row r="28" spans="1:21" ht="15" hidden="1" customHeight="1" x14ac:dyDescent="0.2">
      <c r="A28" s="12" t="s">
        <v>308</v>
      </c>
      <c r="B28" s="36">
        <v>46081.508310185185</v>
      </c>
      <c r="C28" s="12">
        <f t="shared" si="0"/>
        <v>164</v>
      </c>
      <c r="D28" s="38">
        <f t="shared" si="1"/>
        <v>1</v>
      </c>
      <c r="G28" s="130" t="s">
        <v>237</v>
      </c>
      <c r="H28" s="12" t="s">
        <v>2660</v>
      </c>
      <c r="I28" s="12">
        <v>1111</v>
      </c>
      <c r="J28" s="12">
        <v>112111</v>
      </c>
      <c r="K28" s="12" t="s">
        <v>20</v>
      </c>
      <c r="L28" s="12">
        <v>1</v>
      </c>
      <c r="M28" s="17">
        <v>89885389</v>
      </c>
      <c r="N28" s="129">
        <f t="shared" si="2"/>
        <v>89885389</v>
      </c>
      <c r="P28" s="12">
        <f t="shared" si="3"/>
        <v>26</v>
      </c>
      <c r="U28" s="12"/>
    </row>
    <row r="29" spans="1:21" ht="15" hidden="1" customHeight="1" x14ac:dyDescent="0.2">
      <c r="A29" s="12" t="s">
        <v>308</v>
      </c>
      <c r="B29" s="36">
        <v>46097.758252314816</v>
      </c>
      <c r="C29" s="12">
        <f t="shared" si="0"/>
        <v>165</v>
      </c>
      <c r="D29" s="38">
        <f t="shared" si="1"/>
        <v>1</v>
      </c>
      <c r="G29" s="130" t="s">
        <v>4114</v>
      </c>
      <c r="H29" s="12" t="s">
        <v>4118</v>
      </c>
      <c r="I29" s="12">
        <v>331</v>
      </c>
      <c r="J29" s="12">
        <v>112111</v>
      </c>
      <c r="K29" s="12" t="s">
        <v>20</v>
      </c>
      <c r="L29" s="12">
        <v>1</v>
      </c>
      <c r="M29" s="17">
        <v>16622000</v>
      </c>
      <c r="N29" s="129">
        <f t="shared" si="2"/>
        <v>16622000</v>
      </c>
      <c r="P29" s="12">
        <f t="shared" si="3"/>
        <v>50</v>
      </c>
      <c r="U29" s="12"/>
    </row>
    <row r="30" spans="1:21" ht="15" hidden="1" customHeight="1" x14ac:dyDescent="0.2">
      <c r="A30" s="12" t="s">
        <v>308</v>
      </c>
      <c r="B30" s="36">
        <v>46100.405509259261</v>
      </c>
      <c r="C30" s="12">
        <f t="shared" si="0"/>
        <v>166</v>
      </c>
      <c r="D30" s="38">
        <f t="shared" si="1"/>
        <v>1</v>
      </c>
      <c r="G30" s="130" t="s">
        <v>4114</v>
      </c>
      <c r="H30" s="12" t="s">
        <v>4119</v>
      </c>
      <c r="I30" s="12">
        <v>331</v>
      </c>
      <c r="J30" s="12">
        <v>112111</v>
      </c>
      <c r="K30" s="12" t="s">
        <v>20</v>
      </c>
      <c r="L30" s="12">
        <v>1</v>
      </c>
      <c r="M30" s="17">
        <v>12322000</v>
      </c>
      <c r="N30" s="129">
        <f t="shared" si="2"/>
        <v>12322000</v>
      </c>
      <c r="P30" s="12">
        <f t="shared" si="3"/>
        <v>50</v>
      </c>
      <c r="U30" s="12"/>
    </row>
    <row r="31" spans="1:21" ht="15" hidden="1" customHeight="1" x14ac:dyDescent="0.2">
      <c r="A31" s="12" t="s">
        <v>308</v>
      </c>
      <c r="B31" s="36">
        <v>46114.104664351849</v>
      </c>
      <c r="C31" s="12">
        <f t="shared" si="0"/>
        <v>167</v>
      </c>
      <c r="D31" s="38">
        <f t="shared" si="1"/>
        <v>1</v>
      </c>
      <c r="G31" s="130" t="s">
        <v>71</v>
      </c>
      <c r="H31" s="12" t="s">
        <v>2612</v>
      </c>
      <c r="I31" s="12">
        <v>3383</v>
      </c>
      <c r="J31" s="12">
        <v>112111</v>
      </c>
      <c r="K31" s="12" t="s">
        <v>20</v>
      </c>
      <c r="L31" s="12">
        <v>1</v>
      </c>
      <c r="M31" s="17">
        <v>712300</v>
      </c>
      <c r="N31" s="129">
        <f t="shared" si="2"/>
        <v>712300</v>
      </c>
      <c r="P31" s="12">
        <f t="shared" si="3"/>
        <v>8</v>
      </c>
      <c r="U31" s="12"/>
    </row>
    <row r="32" spans="1:21" ht="15" hidden="1" customHeight="1" x14ac:dyDescent="0.2">
      <c r="A32" s="12" t="s">
        <v>308</v>
      </c>
      <c r="B32" s="36">
        <v>46114.105462962965</v>
      </c>
      <c r="C32" s="12">
        <f t="shared" si="0"/>
        <v>167</v>
      </c>
      <c r="D32" s="38">
        <f t="shared" si="1"/>
        <v>0</v>
      </c>
      <c r="G32" s="130" t="s">
        <v>71</v>
      </c>
      <c r="H32" s="12" t="s">
        <v>2612</v>
      </c>
      <c r="I32" s="12">
        <v>3383</v>
      </c>
      <c r="J32" s="12">
        <v>112111</v>
      </c>
      <c r="K32" s="12" t="s">
        <v>20</v>
      </c>
      <c r="L32" s="12">
        <v>1</v>
      </c>
      <c r="M32" s="17">
        <v>712300</v>
      </c>
      <c r="N32" s="129">
        <f t="shared" si="2"/>
        <v>712300</v>
      </c>
      <c r="P32" s="12">
        <f t="shared" si="3"/>
        <v>8</v>
      </c>
      <c r="U32" s="12"/>
    </row>
    <row r="33" spans="1:21" ht="15" hidden="1" customHeight="1" x14ac:dyDescent="0.2">
      <c r="A33" s="12" t="s">
        <v>308</v>
      </c>
      <c r="B33" s="36">
        <v>46114.106469907405</v>
      </c>
      <c r="C33" s="12">
        <f t="shared" si="0"/>
        <v>168</v>
      </c>
      <c r="D33" s="38">
        <f t="shared" si="1"/>
        <v>1</v>
      </c>
      <c r="G33" s="130" t="s">
        <v>237</v>
      </c>
      <c r="H33" s="12" t="s">
        <v>2660</v>
      </c>
      <c r="I33" s="12">
        <v>1111</v>
      </c>
      <c r="J33" s="12">
        <v>112111</v>
      </c>
      <c r="K33" s="12" t="s">
        <v>20</v>
      </c>
      <c r="L33" s="12">
        <v>1</v>
      </c>
      <c r="M33" s="17">
        <v>100000000</v>
      </c>
      <c r="N33" s="129">
        <f t="shared" si="2"/>
        <v>100000000</v>
      </c>
      <c r="P33" s="12">
        <f t="shared" si="3"/>
        <v>26</v>
      </c>
      <c r="U33" s="12"/>
    </row>
    <row r="34" spans="1:21" ht="15" hidden="1" customHeight="1" x14ac:dyDescent="0.2">
      <c r="A34" s="12" t="s">
        <v>310</v>
      </c>
      <c r="B34" s="36">
        <v>46028</v>
      </c>
      <c r="C34" s="12">
        <f t="shared" si="0"/>
        <v>169</v>
      </c>
      <c r="D34" s="38">
        <f t="shared" si="1"/>
        <v>1</v>
      </c>
      <c r="G34" s="12" t="s">
        <v>1805</v>
      </c>
      <c r="H34" s="12" t="s">
        <v>4070</v>
      </c>
      <c r="I34" s="12">
        <v>331</v>
      </c>
      <c r="J34" s="12">
        <v>1111</v>
      </c>
      <c r="K34" s="12" t="s">
        <v>20</v>
      </c>
      <c r="L34" s="12">
        <v>1</v>
      </c>
      <c r="M34" s="17">
        <v>2898000</v>
      </c>
      <c r="N34" s="17">
        <f t="shared" si="2"/>
        <v>2898000</v>
      </c>
      <c r="P34" s="12">
        <f t="shared" si="3"/>
        <v>33</v>
      </c>
      <c r="U34" s="12"/>
    </row>
    <row r="35" spans="1:21" ht="15" hidden="1" customHeight="1" x14ac:dyDescent="0.2">
      <c r="A35" s="12" t="s">
        <v>310</v>
      </c>
      <c r="B35" s="36">
        <v>46034</v>
      </c>
      <c r="C35" s="12">
        <f t="shared" si="0"/>
        <v>170</v>
      </c>
      <c r="D35" s="38">
        <f t="shared" si="1"/>
        <v>1</v>
      </c>
      <c r="G35" s="12" t="s">
        <v>1538</v>
      </c>
      <c r="H35" s="12" t="s">
        <v>4071</v>
      </c>
      <c r="I35" s="12">
        <v>331</v>
      </c>
      <c r="J35" s="12">
        <v>1111</v>
      </c>
      <c r="K35" s="12" t="s">
        <v>20</v>
      </c>
      <c r="L35" s="12">
        <v>1</v>
      </c>
      <c r="M35" s="17">
        <v>3240000</v>
      </c>
      <c r="N35" s="17">
        <f t="shared" si="2"/>
        <v>3240000</v>
      </c>
      <c r="P35" s="12">
        <f t="shared" si="3"/>
        <v>52</v>
      </c>
      <c r="U35" s="12"/>
    </row>
    <row r="36" spans="1:21" ht="15" hidden="1" customHeight="1" x14ac:dyDescent="0.2">
      <c r="A36" s="12" t="s">
        <v>310</v>
      </c>
      <c r="B36" s="36">
        <v>46045</v>
      </c>
      <c r="C36" s="12">
        <f t="shared" ref="C36:C67" si="4">C35+D36</f>
        <v>171</v>
      </c>
      <c r="D36" s="38">
        <f t="shared" ref="D36:D67" si="5">IF(H36=H35,0,1)</f>
        <v>1</v>
      </c>
      <c r="G36" s="12" t="s">
        <v>1808</v>
      </c>
      <c r="H36" s="12" t="s">
        <v>4120</v>
      </c>
      <c r="I36" s="12">
        <v>331</v>
      </c>
      <c r="J36" s="12">
        <v>1111</v>
      </c>
      <c r="K36" s="12" t="s">
        <v>20</v>
      </c>
      <c r="L36" s="12">
        <v>1</v>
      </c>
      <c r="M36" s="17">
        <v>2400000</v>
      </c>
      <c r="N36" s="17">
        <f t="shared" ref="N36:N67" si="6">L36*M36</f>
        <v>2400000</v>
      </c>
      <c r="P36" s="12">
        <f t="shared" si="3"/>
        <v>47</v>
      </c>
      <c r="U36" s="12"/>
    </row>
    <row r="37" spans="1:21" ht="15" hidden="1" customHeight="1" x14ac:dyDescent="0.2">
      <c r="A37" s="12" t="s">
        <v>310</v>
      </c>
      <c r="B37" s="36">
        <v>46048</v>
      </c>
      <c r="C37" s="12">
        <f t="shared" si="4"/>
        <v>172</v>
      </c>
      <c r="D37" s="38">
        <f t="shared" si="5"/>
        <v>1</v>
      </c>
      <c r="G37" s="12" t="s">
        <v>1809</v>
      </c>
      <c r="H37" s="12" t="s">
        <v>4121</v>
      </c>
      <c r="I37" s="12">
        <v>331</v>
      </c>
      <c r="J37" s="12">
        <v>1111</v>
      </c>
      <c r="K37" s="12" t="s">
        <v>20</v>
      </c>
      <c r="L37" s="12">
        <v>1</v>
      </c>
      <c r="M37" s="17">
        <v>1910358</v>
      </c>
      <c r="N37" s="17">
        <f t="shared" si="6"/>
        <v>1910358</v>
      </c>
      <c r="P37" s="12">
        <f t="shared" si="3"/>
        <v>52</v>
      </c>
      <c r="U37" s="12"/>
    </row>
    <row r="38" spans="1:21" ht="15" hidden="1" customHeight="1" x14ac:dyDescent="0.2">
      <c r="A38" s="12" t="s">
        <v>310</v>
      </c>
      <c r="B38" s="36">
        <v>46063</v>
      </c>
      <c r="C38" s="12">
        <f t="shared" si="4"/>
        <v>173</v>
      </c>
      <c r="D38" s="38">
        <f t="shared" si="5"/>
        <v>1</v>
      </c>
      <c r="G38" s="12" t="s">
        <v>1538</v>
      </c>
      <c r="H38" s="12" t="s">
        <v>4072</v>
      </c>
      <c r="I38" s="12">
        <v>331</v>
      </c>
      <c r="J38" s="12">
        <v>1111</v>
      </c>
      <c r="K38" s="12" t="s">
        <v>20</v>
      </c>
      <c r="L38" s="12">
        <v>1</v>
      </c>
      <c r="M38" s="17">
        <v>8640000</v>
      </c>
      <c r="N38" s="17">
        <f t="shared" si="6"/>
        <v>8640000</v>
      </c>
      <c r="P38" s="12">
        <f t="shared" si="3"/>
        <v>52</v>
      </c>
      <c r="U38" s="12"/>
    </row>
    <row r="39" spans="1:21" ht="15" hidden="1" customHeight="1" x14ac:dyDescent="0.2">
      <c r="A39" s="12" t="s">
        <v>310</v>
      </c>
      <c r="B39" s="36">
        <v>46076</v>
      </c>
      <c r="C39" s="12">
        <f t="shared" si="4"/>
        <v>174</v>
      </c>
      <c r="D39" s="38">
        <f t="shared" si="5"/>
        <v>1</v>
      </c>
      <c r="G39" s="12" t="s">
        <v>1811</v>
      </c>
      <c r="H39" s="12" t="s">
        <v>4073</v>
      </c>
      <c r="I39" s="12">
        <v>331</v>
      </c>
      <c r="J39" s="12">
        <v>1111</v>
      </c>
      <c r="K39" s="12" t="s">
        <v>20</v>
      </c>
      <c r="L39" s="12">
        <v>1</v>
      </c>
      <c r="M39" s="17">
        <v>2500000</v>
      </c>
      <c r="N39" s="17">
        <f t="shared" si="6"/>
        <v>2500000</v>
      </c>
      <c r="P39" s="12">
        <f t="shared" si="3"/>
        <v>65</v>
      </c>
      <c r="U39" s="12"/>
    </row>
    <row r="40" spans="1:21" ht="15" hidden="1" customHeight="1" x14ac:dyDescent="0.2">
      <c r="A40" s="12" t="s">
        <v>310</v>
      </c>
      <c r="B40" s="36">
        <v>46081</v>
      </c>
      <c r="C40" s="12">
        <f t="shared" si="4"/>
        <v>175</v>
      </c>
      <c r="D40" s="38">
        <f t="shared" si="5"/>
        <v>1</v>
      </c>
      <c r="G40" s="12" t="s">
        <v>1813</v>
      </c>
      <c r="H40" s="12" t="s">
        <v>4074</v>
      </c>
      <c r="I40" s="12">
        <v>331</v>
      </c>
      <c r="J40" s="12">
        <v>1111</v>
      </c>
      <c r="K40" s="12" t="s">
        <v>20</v>
      </c>
      <c r="L40" s="12">
        <v>1</v>
      </c>
      <c r="M40" s="17">
        <v>22000</v>
      </c>
      <c r="N40" s="17">
        <f t="shared" si="6"/>
        <v>22000</v>
      </c>
      <c r="P40" s="12">
        <f t="shared" si="3"/>
        <v>46</v>
      </c>
      <c r="U40" s="12"/>
    </row>
    <row r="41" spans="1:21" ht="15" hidden="1" customHeight="1" x14ac:dyDescent="0.2">
      <c r="A41" s="12" t="s">
        <v>310</v>
      </c>
      <c r="B41" s="36">
        <v>46085</v>
      </c>
      <c r="C41" s="12">
        <f t="shared" si="4"/>
        <v>176</v>
      </c>
      <c r="D41" s="38">
        <f t="shared" si="5"/>
        <v>1</v>
      </c>
      <c r="G41" s="12" t="s">
        <v>1538</v>
      </c>
      <c r="H41" s="12" t="s">
        <v>4075</v>
      </c>
      <c r="I41" s="12">
        <v>331</v>
      </c>
      <c r="J41" s="12">
        <v>1111</v>
      </c>
      <c r="K41" s="12" t="s">
        <v>20</v>
      </c>
      <c r="L41" s="12">
        <v>1</v>
      </c>
      <c r="M41" s="17">
        <v>8640000</v>
      </c>
      <c r="N41" s="17">
        <f t="shared" si="6"/>
        <v>8640000</v>
      </c>
      <c r="P41" s="12">
        <f t="shared" si="3"/>
        <v>52</v>
      </c>
      <c r="U41" s="12"/>
    </row>
    <row r="42" spans="1:21" ht="15" hidden="1" customHeight="1" x14ac:dyDescent="0.2">
      <c r="A42" s="12" t="s">
        <v>310</v>
      </c>
      <c r="B42" s="36">
        <v>46098</v>
      </c>
      <c r="C42" s="12">
        <f t="shared" si="4"/>
        <v>177</v>
      </c>
      <c r="D42" s="38">
        <f t="shared" si="5"/>
        <v>1</v>
      </c>
      <c r="G42" s="12" t="s">
        <v>1816</v>
      </c>
      <c r="H42" s="12" t="s">
        <v>4118</v>
      </c>
      <c r="I42" s="12">
        <v>331</v>
      </c>
      <c r="J42" s="12">
        <v>1111</v>
      </c>
      <c r="K42" s="20" t="s">
        <v>20</v>
      </c>
      <c r="L42" s="20">
        <v>1</v>
      </c>
      <c r="M42" s="17">
        <v>16600000</v>
      </c>
      <c r="N42" s="129">
        <f t="shared" si="6"/>
        <v>16600000</v>
      </c>
      <c r="P42" s="12">
        <f t="shared" si="3"/>
        <v>50</v>
      </c>
      <c r="U42" s="12"/>
    </row>
    <row r="43" spans="1:21" ht="15" hidden="1" customHeight="1" x14ac:dyDescent="0.2">
      <c r="A43" s="12" t="s">
        <v>310</v>
      </c>
      <c r="B43" s="36">
        <v>46099</v>
      </c>
      <c r="C43" s="12">
        <f t="shared" si="4"/>
        <v>178</v>
      </c>
      <c r="D43" s="38">
        <f t="shared" si="5"/>
        <v>1</v>
      </c>
      <c r="G43" s="12" t="s">
        <v>1816</v>
      </c>
      <c r="H43" s="12" t="s">
        <v>4119</v>
      </c>
      <c r="I43" s="12">
        <v>331</v>
      </c>
      <c r="J43" s="12">
        <v>1111</v>
      </c>
      <c r="K43" s="20" t="s">
        <v>20</v>
      </c>
      <c r="L43" s="20">
        <v>1</v>
      </c>
      <c r="M43" s="17">
        <v>12300000</v>
      </c>
      <c r="N43" s="129">
        <f t="shared" si="6"/>
        <v>12300000</v>
      </c>
      <c r="P43" s="12">
        <f t="shared" si="3"/>
        <v>50</v>
      </c>
      <c r="U43" s="12"/>
    </row>
    <row r="44" spans="1:21" ht="15" hidden="1" customHeight="1" x14ac:dyDescent="0.2">
      <c r="A44" s="12" t="s">
        <v>310</v>
      </c>
      <c r="B44" s="36">
        <v>46099</v>
      </c>
      <c r="C44" s="12">
        <f t="shared" si="4"/>
        <v>179</v>
      </c>
      <c r="D44" s="38">
        <f t="shared" si="5"/>
        <v>1</v>
      </c>
      <c r="G44" s="12" t="s">
        <v>1816</v>
      </c>
      <c r="H44" s="12" t="s">
        <v>4128</v>
      </c>
      <c r="I44" s="12">
        <v>331</v>
      </c>
      <c r="J44" s="12">
        <v>1111</v>
      </c>
      <c r="K44" s="20" t="s">
        <v>20</v>
      </c>
      <c r="L44" s="20">
        <v>1</v>
      </c>
      <c r="M44" s="17">
        <v>-16600000</v>
      </c>
      <c r="N44" s="129">
        <f t="shared" si="6"/>
        <v>-16600000</v>
      </c>
      <c r="P44" s="12">
        <f t="shared" si="3"/>
        <v>50</v>
      </c>
      <c r="U44" s="12"/>
    </row>
    <row r="45" spans="1:21" ht="15" hidden="1" customHeight="1" x14ac:dyDescent="0.2">
      <c r="A45" s="12" t="s">
        <v>310</v>
      </c>
      <c r="B45" s="36">
        <v>46107</v>
      </c>
      <c r="C45" s="12">
        <f t="shared" si="4"/>
        <v>180</v>
      </c>
      <c r="D45" s="38">
        <f t="shared" si="5"/>
        <v>1</v>
      </c>
      <c r="G45" s="12" t="s">
        <v>1817</v>
      </c>
      <c r="H45" s="12" t="s">
        <v>4129</v>
      </c>
      <c r="I45" s="12">
        <v>331</v>
      </c>
      <c r="J45" s="12">
        <v>1111</v>
      </c>
      <c r="K45" s="20" t="s">
        <v>20</v>
      </c>
      <c r="L45" s="20">
        <v>1</v>
      </c>
      <c r="M45" s="17">
        <v>1776600</v>
      </c>
      <c r="N45" s="129">
        <f t="shared" si="6"/>
        <v>1776600</v>
      </c>
      <c r="P45" s="12">
        <f t="shared" si="3"/>
        <v>53</v>
      </c>
      <c r="U45" s="12"/>
    </row>
    <row r="46" spans="1:21" ht="15" hidden="1" customHeight="1" x14ac:dyDescent="0.2">
      <c r="A46" s="12" t="s">
        <v>18</v>
      </c>
      <c r="B46" s="36">
        <v>46028</v>
      </c>
      <c r="C46" s="12">
        <f t="shared" si="4"/>
        <v>181</v>
      </c>
      <c r="D46" s="38">
        <f t="shared" si="5"/>
        <v>1</v>
      </c>
      <c r="G46" s="12" t="s">
        <v>1805</v>
      </c>
      <c r="H46" s="12" t="s">
        <v>1806</v>
      </c>
      <c r="I46" s="12">
        <v>64277</v>
      </c>
      <c r="J46" s="12">
        <v>331</v>
      </c>
      <c r="K46" s="12" t="s">
        <v>20</v>
      </c>
      <c r="L46" s="12">
        <v>1</v>
      </c>
      <c r="M46" s="17">
        <v>2683334</v>
      </c>
      <c r="N46" s="17">
        <f t="shared" si="6"/>
        <v>2683334</v>
      </c>
      <c r="P46" s="12">
        <f t="shared" si="3"/>
        <v>22</v>
      </c>
      <c r="U46" s="12"/>
    </row>
    <row r="47" spans="1:21" ht="15" hidden="1" customHeight="1" x14ac:dyDescent="0.2">
      <c r="A47" s="12" t="s">
        <v>18</v>
      </c>
      <c r="B47" s="36">
        <v>46028</v>
      </c>
      <c r="C47" s="12">
        <f t="shared" si="4"/>
        <v>181</v>
      </c>
      <c r="D47" s="38">
        <f t="shared" si="5"/>
        <v>0</v>
      </c>
      <c r="G47" s="12" t="s">
        <v>1805</v>
      </c>
      <c r="H47" s="12" t="s">
        <v>1806</v>
      </c>
      <c r="I47" s="12">
        <v>1331</v>
      </c>
      <c r="J47" s="12">
        <v>331</v>
      </c>
      <c r="K47" s="12" t="s">
        <v>20</v>
      </c>
      <c r="L47" s="12">
        <v>1</v>
      </c>
      <c r="M47" s="17">
        <v>214666</v>
      </c>
      <c r="N47" s="17">
        <f t="shared" si="6"/>
        <v>214666</v>
      </c>
      <c r="P47" s="12">
        <f t="shared" si="3"/>
        <v>22</v>
      </c>
      <c r="U47" s="12"/>
    </row>
    <row r="48" spans="1:21" ht="15" hidden="1" customHeight="1" x14ac:dyDescent="0.2">
      <c r="A48" s="12" t="s">
        <v>18</v>
      </c>
      <c r="B48" s="36">
        <v>46031</v>
      </c>
      <c r="C48" s="12">
        <f t="shared" si="4"/>
        <v>182</v>
      </c>
      <c r="D48" s="38">
        <f t="shared" si="5"/>
        <v>1</v>
      </c>
      <c r="G48" s="12" t="s">
        <v>1818</v>
      </c>
      <c r="H48" s="12" t="s">
        <v>1819</v>
      </c>
      <c r="I48" s="12">
        <v>131</v>
      </c>
      <c r="J48" s="12">
        <v>5113</v>
      </c>
      <c r="K48" s="20" t="s">
        <v>20</v>
      </c>
      <c r="L48" s="20">
        <v>1</v>
      </c>
      <c r="M48" s="17">
        <v>13888889</v>
      </c>
      <c r="N48" s="129">
        <f t="shared" si="6"/>
        <v>13888889</v>
      </c>
      <c r="P48" s="12">
        <f t="shared" si="3"/>
        <v>101</v>
      </c>
      <c r="U48" s="12"/>
    </row>
    <row r="49" spans="1:21" ht="15" customHeight="1" x14ac:dyDescent="0.2">
      <c r="A49" s="12" t="s">
        <v>18</v>
      </c>
      <c r="B49" s="36">
        <v>46031</v>
      </c>
      <c r="C49" s="12">
        <f t="shared" si="4"/>
        <v>183</v>
      </c>
      <c r="D49" s="38">
        <f t="shared" si="5"/>
        <v>1</v>
      </c>
      <c r="F49" s="17"/>
      <c r="G49" s="12" t="s">
        <v>1818</v>
      </c>
      <c r="H49" s="12" t="s">
        <v>4076</v>
      </c>
      <c r="I49" s="12">
        <v>333821</v>
      </c>
      <c r="J49" s="12">
        <v>131</v>
      </c>
      <c r="K49" s="20" t="s">
        <v>20</v>
      </c>
      <c r="L49" s="20">
        <v>1</v>
      </c>
      <c r="M49" s="17">
        <v>138889</v>
      </c>
      <c r="N49" s="129">
        <f t="shared" si="6"/>
        <v>138889</v>
      </c>
      <c r="P49" s="12">
        <f t="shared" si="3"/>
        <v>117</v>
      </c>
      <c r="U49" s="12"/>
    </row>
    <row r="50" spans="1:21" ht="15" hidden="1" customHeight="1" x14ac:dyDescent="0.2">
      <c r="A50" s="12" t="s">
        <v>18</v>
      </c>
      <c r="B50" s="36">
        <v>46034</v>
      </c>
      <c r="C50" s="12">
        <f t="shared" si="4"/>
        <v>184</v>
      </c>
      <c r="D50" s="38">
        <f t="shared" si="5"/>
        <v>1</v>
      </c>
      <c r="G50" s="12" t="s">
        <v>1538</v>
      </c>
      <c r="H50" s="12" t="s">
        <v>1807</v>
      </c>
      <c r="I50" s="12">
        <v>64277</v>
      </c>
      <c r="J50" s="12">
        <v>331</v>
      </c>
      <c r="K50" s="12" t="s">
        <v>20</v>
      </c>
      <c r="L50" s="12">
        <v>1</v>
      </c>
      <c r="M50" s="17">
        <v>3000000</v>
      </c>
      <c r="N50" s="17">
        <f t="shared" si="6"/>
        <v>3000000</v>
      </c>
      <c r="P50" s="12">
        <f t="shared" si="3"/>
        <v>41</v>
      </c>
      <c r="U50" s="12"/>
    </row>
    <row r="51" spans="1:21" ht="15" hidden="1" customHeight="1" x14ac:dyDescent="0.2">
      <c r="A51" s="12" t="s">
        <v>18</v>
      </c>
      <c r="B51" s="36">
        <v>46034</v>
      </c>
      <c r="C51" s="12">
        <f t="shared" si="4"/>
        <v>184</v>
      </c>
      <c r="D51" s="38">
        <f t="shared" si="5"/>
        <v>0</v>
      </c>
      <c r="G51" s="12" t="s">
        <v>1538</v>
      </c>
      <c r="H51" s="12" t="s">
        <v>1807</v>
      </c>
      <c r="I51" s="12">
        <v>1331</v>
      </c>
      <c r="J51" s="12">
        <v>331</v>
      </c>
      <c r="K51" s="12" t="s">
        <v>20</v>
      </c>
      <c r="L51" s="12">
        <v>1</v>
      </c>
      <c r="M51" s="17">
        <v>240000</v>
      </c>
      <c r="N51" s="17">
        <f t="shared" si="6"/>
        <v>240000</v>
      </c>
      <c r="P51" s="12">
        <f t="shared" si="3"/>
        <v>41</v>
      </c>
    </row>
    <row r="52" spans="1:21" ht="15" hidden="1" customHeight="1" x14ac:dyDescent="0.2">
      <c r="A52" s="12" t="s">
        <v>18</v>
      </c>
      <c r="B52" s="36">
        <v>46035</v>
      </c>
      <c r="C52" s="12">
        <f t="shared" si="4"/>
        <v>185</v>
      </c>
      <c r="D52" s="38">
        <f t="shared" si="5"/>
        <v>1</v>
      </c>
      <c r="G52" s="12" t="s">
        <v>1820</v>
      </c>
      <c r="H52" s="12" t="s">
        <v>1821</v>
      </c>
      <c r="I52" s="12">
        <v>131</v>
      </c>
      <c r="J52" s="12">
        <v>5113</v>
      </c>
      <c r="K52" s="20" t="s">
        <v>20</v>
      </c>
      <c r="L52" s="20">
        <v>1</v>
      </c>
      <c r="M52" s="17">
        <v>30107527</v>
      </c>
      <c r="N52" s="129">
        <f t="shared" si="6"/>
        <v>30107527</v>
      </c>
      <c r="P52" s="12">
        <f t="shared" si="3"/>
        <v>161</v>
      </c>
    </row>
    <row r="53" spans="1:21" ht="15" customHeight="1" x14ac:dyDescent="0.2">
      <c r="A53" s="12" t="s">
        <v>18</v>
      </c>
      <c r="B53" s="36">
        <v>46035</v>
      </c>
      <c r="C53" s="12">
        <f t="shared" si="4"/>
        <v>186</v>
      </c>
      <c r="D53" s="38">
        <f t="shared" si="5"/>
        <v>1</v>
      </c>
      <c r="F53" s="17"/>
      <c r="G53" s="130" t="s">
        <v>1820</v>
      </c>
      <c r="H53" s="12" t="s">
        <v>4077</v>
      </c>
      <c r="I53" s="12">
        <v>333821</v>
      </c>
      <c r="J53" s="12">
        <v>131</v>
      </c>
      <c r="K53" s="20" t="s">
        <v>20</v>
      </c>
      <c r="L53" s="20">
        <v>1</v>
      </c>
      <c r="M53" s="17">
        <v>301075</v>
      </c>
      <c r="N53" s="129">
        <f t="shared" si="6"/>
        <v>301075</v>
      </c>
      <c r="P53" s="12">
        <f t="shared" si="3"/>
        <v>177</v>
      </c>
    </row>
    <row r="54" spans="1:21" ht="15" customHeight="1" x14ac:dyDescent="0.2">
      <c r="A54" s="12" t="s">
        <v>18</v>
      </c>
      <c r="B54" s="36">
        <v>46038</v>
      </c>
      <c r="C54" s="12">
        <f t="shared" si="4"/>
        <v>187</v>
      </c>
      <c r="D54" s="38">
        <f t="shared" si="5"/>
        <v>1</v>
      </c>
      <c r="F54" s="17"/>
      <c r="G54" s="12" t="s">
        <v>1656</v>
      </c>
      <c r="H54" s="12" t="s">
        <v>4078</v>
      </c>
      <c r="I54" s="12">
        <v>333821</v>
      </c>
      <c r="J54" s="12">
        <v>131</v>
      </c>
      <c r="K54" s="20" t="s">
        <v>20</v>
      </c>
      <c r="L54" s="20">
        <v>1</v>
      </c>
      <c r="M54" s="17">
        <v>166667</v>
      </c>
      <c r="N54" s="129">
        <f t="shared" si="6"/>
        <v>166667</v>
      </c>
      <c r="P54" s="12">
        <f t="shared" si="3"/>
        <v>158</v>
      </c>
    </row>
    <row r="55" spans="1:21" ht="15" hidden="1" customHeight="1" x14ac:dyDescent="0.2">
      <c r="A55" s="12" t="s">
        <v>18</v>
      </c>
      <c r="B55" s="36">
        <v>46038</v>
      </c>
      <c r="C55" s="12">
        <f t="shared" si="4"/>
        <v>188</v>
      </c>
      <c r="D55" s="38">
        <f t="shared" si="5"/>
        <v>1</v>
      </c>
      <c r="G55" s="130" t="s">
        <v>1656</v>
      </c>
      <c r="H55" s="12" t="s">
        <v>1822</v>
      </c>
      <c r="I55" s="12">
        <v>131</v>
      </c>
      <c r="J55" s="12">
        <v>5113</v>
      </c>
      <c r="K55" s="20" t="s">
        <v>20</v>
      </c>
      <c r="L55" s="20">
        <v>1</v>
      </c>
      <c r="M55" s="17">
        <v>16666667</v>
      </c>
      <c r="N55" s="129">
        <f t="shared" si="6"/>
        <v>16666667</v>
      </c>
      <c r="P55" s="12">
        <f t="shared" si="3"/>
        <v>142</v>
      </c>
    </row>
    <row r="56" spans="1:21" ht="15" hidden="1" customHeight="1" x14ac:dyDescent="0.2">
      <c r="A56" s="12" t="s">
        <v>18</v>
      </c>
      <c r="B56" s="36">
        <v>46042</v>
      </c>
      <c r="C56" s="12">
        <f t="shared" si="4"/>
        <v>189</v>
      </c>
      <c r="D56" s="38">
        <f t="shared" si="5"/>
        <v>1</v>
      </c>
      <c r="G56" s="12" t="s">
        <v>1825</v>
      </c>
      <c r="H56" s="12" t="s">
        <v>1826</v>
      </c>
      <c r="I56" s="12">
        <v>131</v>
      </c>
      <c r="J56" s="12">
        <v>5113</v>
      </c>
      <c r="K56" s="20" t="s">
        <v>20</v>
      </c>
      <c r="L56" s="20">
        <v>1</v>
      </c>
      <c r="M56" s="17">
        <v>21505376</v>
      </c>
      <c r="N56" s="129">
        <f t="shared" si="6"/>
        <v>21505376</v>
      </c>
      <c r="P56" s="12">
        <f t="shared" si="3"/>
        <v>145</v>
      </c>
    </row>
    <row r="57" spans="1:21" ht="15" customHeight="1" x14ac:dyDescent="0.2">
      <c r="A57" s="12" t="s">
        <v>18</v>
      </c>
      <c r="B57" s="36">
        <v>46042</v>
      </c>
      <c r="C57" s="12">
        <f t="shared" si="4"/>
        <v>190</v>
      </c>
      <c r="D57" s="38">
        <f t="shared" si="5"/>
        <v>1</v>
      </c>
      <c r="F57" s="17"/>
      <c r="G57" s="12" t="s">
        <v>1825</v>
      </c>
      <c r="H57" s="12" t="s">
        <v>4081</v>
      </c>
      <c r="I57" s="12">
        <v>333821</v>
      </c>
      <c r="J57" s="12">
        <v>131</v>
      </c>
      <c r="K57" s="20" t="s">
        <v>20</v>
      </c>
      <c r="L57" s="20">
        <v>1</v>
      </c>
      <c r="M57" s="17">
        <v>215054</v>
      </c>
      <c r="N57" s="129">
        <f t="shared" si="6"/>
        <v>215054</v>
      </c>
      <c r="P57" s="12">
        <f t="shared" si="3"/>
        <v>161</v>
      </c>
    </row>
    <row r="58" spans="1:21" ht="15" customHeight="1" x14ac:dyDescent="0.2">
      <c r="A58" s="12" t="s">
        <v>18</v>
      </c>
      <c r="B58" s="36">
        <v>46042</v>
      </c>
      <c r="C58" s="12">
        <f t="shared" si="4"/>
        <v>191</v>
      </c>
      <c r="D58" s="38">
        <f t="shared" si="5"/>
        <v>1</v>
      </c>
      <c r="F58" s="17"/>
      <c r="G58" s="12" t="s">
        <v>1656</v>
      </c>
      <c r="H58" s="12" t="s">
        <v>4080</v>
      </c>
      <c r="I58" s="12">
        <v>333821</v>
      </c>
      <c r="J58" s="12">
        <v>131</v>
      </c>
      <c r="K58" s="20" t="s">
        <v>20</v>
      </c>
      <c r="L58" s="20">
        <v>1</v>
      </c>
      <c r="M58" s="17">
        <v>0</v>
      </c>
      <c r="N58" s="129">
        <f t="shared" si="6"/>
        <v>0</v>
      </c>
      <c r="P58" s="12">
        <f t="shared" si="3"/>
        <v>145</v>
      </c>
    </row>
    <row r="59" spans="1:21" ht="15" customHeight="1" x14ac:dyDescent="0.2">
      <c r="A59" s="12" t="s">
        <v>18</v>
      </c>
      <c r="B59" s="36">
        <v>46042</v>
      </c>
      <c r="C59" s="12">
        <f t="shared" si="4"/>
        <v>192</v>
      </c>
      <c r="D59" s="38">
        <f t="shared" si="5"/>
        <v>1</v>
      </c>
      <c r="F59" s="17"/>
      <c r="G59" s="12" t="s">
        <v>1656</v>
      </c>
      <c r="H59" s="12" t="s">
        <v>4079</v>
      </c>
      <c r="I59" s="12">
        <v>333821</v>
      </c>
      <c r="J59" s="12">
        <v>131</v>
      </c>
      <c r="K59" s="20" t="s">
        <v>20</v>
      </c>
      <c r="L59" s="20">
        <v>1</v>
      </c>
      <c r="M59" s="17">
        <v>0</v>
      </c>
      <c r="N59" s="129">
        <f t="shared" si="6"/>
        <v>0</v>
      </c>
      <c r="P59" s="12">
        <f t="shared" si="3"/>
        <v>147</v>
      </c>
    </row>
    <row r="60" spans="1:21" ht="15" hidden="1" customHeight="1" x14ac:dyDescent="0.2">
      <c r="A60" s="12" t="s">
        <v>18</v>
      </c>
      <c r="B60" s="36">
        <v>46042</v>
      </c>
      <c r="C60" s="12">
        <f t="shared" si="4"/>
        <v>193</v>
      </c>
      <c r="D60" s="38">
        <f t="shared" si="5"/>
        <v>1</v>
      </c>
      <c r="G60" s="12" t="s">
        <v>1656</v>
      </c>
      <c r="H60" s="12" t="s">
        <v>1824</v>
      </c>
      <c r="I60" s="12">
        <v>131</v>
      </c>
      <c r="J60" s="12">
        <v>5113</v>
      </c>
      <c r="K60" s="20" t="s">
        <v>20</v>
      </c>
      <c r="L60" s="20">
        <v>1</v>
      </c>
      <c r="M60" s="17">
        <v>37777778</v>
      </c>
      <c r="N60" s="129">
        <f t="shared" si="6"/>
        <v>37777778</v>
      </c>
      <c r="P60" s="12">
        <f t="shared" si="3"/>
        <v>129</v>
      </c>
    </row>
    <row r="61" spans="1:21" ht="15" hidden="1" customHeight="1" x14ac:dyDescent="0.2">
      <c r="A61" s="12" t="s">
        <v>18</v>
      </c>
      <c r="B61" s="36">
        <v>46042</v>
      </c>
      <c r="C61" s="12">
        <f t="shared" si="4"/>
        <v>194</v>
      </c>
      <c r="D61" s="38">
        <f t="shared" si="5"/>
        <v>1</v>
      </c>
      <c r="G61" s="12" t="s">
        <v>1656</v>
      </c>
      <c r="H61" s="12" t="s">
        <v>1823</v>
      </c>
      <c r="I61" s="12">
        <v>131</v>
      </c>
      <c r="J61" s="12">
        <v>5113</v>
      </c>
      <c r="K61" s="20" t="s">
        <v>20</v>
      </c>
      <c r="L61" s="20">
        <v>1</v>
      </c>
      <c r="M61" s="17">
        <v>16666667</v>
      </c>
      <c r="N61" s="129">
        <f t="shared" si="6"/>
        <v>16666667</v>
      </c>
      <c r="P61" s="12">
        <f t="shared" si="3"/>
        <v>131</v>
      </c>
    </row>
    <row r="62" spans="1:21" ht="15" customHeight="1" x14ac:dyDescent="0.2">
      <c r="A62" s="12" t="s">
        <v>18</v>
      </c>
      <c r="B62" s="36">
        <v>46044</v>
      </c>
      <c r="C62" s="12">
        <f t="shared" si="4"/>
        <v>195</v>
      </c>
      <c r="D62" s="38">
        <f t="shared" si="5"/>
        <v>1</v>
      </c>
      <c r="F62" s="17"/>
      <c r="G62" s="12" t="s">
        <v>1656</v>
      </c>
      <c r="H62" s="12" t="s">
        <v>4082</v>
      </c>
      <c r="I62" s="12">
        <v>333821</v>
      </c>
      <c r="J62" s="12">
        <v>131</v>
      </c>
      <c r="K62" s="20" t="s">
        <v>20</v>
      </c>
      <c r="L62" s="20">
        <v>1</v>
      </c>
      <c r="M62" s="17">
        <v>188889</v>
      </c>
      <c r="N62" s="129">
        <f t="shared" si="6"/>
        <v>188889</v>
      </c>
      <c r="P62" s="12">
        <f t="shared" si="3"/>
        <v>146</v>
      </c>
    </row>
    <row r="63" spans="1:21" ht="15" hidden="1" customHeight="1" x14ac:dyDescent="0.2">
      <c r="A63" s="12" t="s">
        <v>18</v>
      </c>
      <c r="B63" s="36">
        <v>46044</v>
      </c>
      <c r="C63" s="12">
        <f t="shared" si="4"/>
        <v>196</v>
      </c>
      <c r="D63" s="38">
        <f t="shared" si="5"/>
        <v>1</v>
      </c>
      <c r="G63" s="12" t="s">
        <v>1656</v>
      </c>
      <c r="H63" s="12" t="s">
        <v>1827</v>
      </c>
      <c r="I63" s="12">
        <v>131</v>
      </c>
      <c r="J63" s="12">
        <v>5113</v>
      </c>
      <c r="K63" s="20" t="s">
        <v>20</v>
      </c>
      <c r="L63" s="20">
        <v>1</v>
      </c>
      <c r="M63" s="17">
        <v>18888889</v>
      </c>
      <c r="N63" s="129">
        <f t="shared" si="6"/>
        <v>18888889</v>
      </c>
      <c r="P63" s="12">
        <f t="shared" si="3"/>
        <v>130</v>
      </c>
    </row>
    <row r="64" spans="1:21" ht="15" hidden="1" customHeight="1" x14ac:dyDescent="0.2">
      <c r="A64" s="12" t="s">
        <v>18</v>
      </c>
      <c r="B64" s="36">
        <v>46045</v>
      </c>
      <c r="C64" s="12">
        <f t="shared" si="4"/>
        <v>197</v>
      </c>
      <c r="D64" s="38">
        <f t="shared" si="5"/>
        <v>1</v>
      </c>
      <c r="G64" s="12" t="s">
        <v>1808</v>
      </c>
      <c r="H64" s="12" t="s">
        <v>4124</v>
      </c>
      <c r="I64" s="12">
        <v>64277</v>
      </c>
      <c r="J64" s="12">
        <v>331</v>
      </c>
      <c r="K64" s="12" t="s">
        <v>20</v>
      </c>
      <c r="L64" s="12">
        <v>1</v>
      </c>
      <c r="M64" s="17">
        <v>2222222</v>
      </c>
      <c r="N64" s="17">
        <f t="shared" si="6"/>
        <v>2222222</v>
      </c>
      <c r="P64" s="12">
        <f t="shared" si="3"/>
        <v>36</v>
      </c>
    </row>
    <row r="65" spans="1:16" ht="15" hidden="1" customHeight="1" x14ac:dyDescent="0.2">
      <c r="A65" s="12" t="s">
        <v>18</v>
      </c>
      <c r="B65" s="36">
        <v>46045</v>
      </c>
      <c r="C65" s="12">
        <f t="shared" si="4"/>
        <v>197</v>
      </c>
      <c r="D65" s="38">
        <f t="shared" si="5"/>
        <v>0</v>
      </c>
      <c r="G65" s="12" t="s">
        <v>1808</v>
      </c>
      <c r="H65" s="12" t="s">
        <v>4124</v>
      </c>
      <c r="I65" s="12">
        <v>1331</v>
      </c>
      <c r="J65" s="12">
        <v>331</v>
      </c>
      <c r="K65" s="12" t="s">
        <v>20</v>
      </c>
      <c r="L65" s="12">
        <v>1</v>
      </c>
      <c r="M65" s="17">
        <v>177778</v>
      </c>
      <c r="N65" s="17">
        <f t="shared" si="6"/>
        <v>177778</v>
      </c>
      <c r="P65" s="12">
        <f t="shared" si="3"/>
        <v>36</v>
      </c>
    </row>
    <row r="66" spans="1:16" ht="15" hidden="1" customHeight="1" x14ac:dyDescent="0.2">
      <c r="A66" s="12" t="s">
        <v>18</v>
      </c>
      <c r="B66" s="36">
        <v>46046</v>
      </c>
      <c r="C66" s="12">
        <f t="shared" si="4"/>
        <v>198</v>
      </c>
      <c r="D66" s="38">
        <f t="shared" si="5"/>
        <v>1</v>
      </c>
      <c r="G66" s="12" t="s">
        <v>1818</v>
      </c>
      <c r="H66" s="12" t="s">
        <v>1828</v>
      </c>
      <c r="I66" s="12">
        <v>131</v>
      </c>
      <c r="J66" s="12">
        <v>5113</v>
      </c>
      <c r="K66" s="20" t="s">
        <v>20</v>
      </c>
      <c r="L66" s="20">
        <v>1</v>
      </c>
      <c r="M66" s="17">
        <v>13888889</v>
      </c>
      <c r="N66" s="129">
        <f t="shared" si="6"/>
        <v>13888889</v>
      </c>
      <c r="P66" s="12">
        <f t="shared" si="3"/>
        <v>101</v>
      </c>
    </row>
    <row r="67" spans="1:16" ht="15" customHeight="1" x14ac:dyDescent="0.2">
      <c r="A67" s="12" t="s">
        <v>18</v>
      </c>
      <c r="B67" s="36">
        <v>46046</v>
      </c>
      <c r="C67" s="12">
        <f t="shared" si="4"/>
        <v>199</v>
      </c>
      <c r="D67" s="38">
        <f t="shared" si="5"/>
        <v>1</v>
      </c>
      <c r="F67" s="17"/>
      <c r="G67" s="12" t="s">
        <v>1818</v>
      </c>
      <c r="H67" s="12" t="s">
        <v>4083</v>
      </c>
      <c r="I67" s="12">
        <v>333821</v>
      </c>
      <c r="J67" s="12">
        <v>131</v>
      </c>
      <c r="K67" s="20" t="s">
        <v>20</v>
      </c>
      <c r="L67" s="20">
        <v>1</v>
      </c>
      <c r="M67" s="17">
        <v>138889</v>
      </c>
      <c r="N67" s="129">
        <f t="shared" si="6"/>
        <v>138889</v>
      </c>
      <c r="P67" s="12">
        <f t="shared" si="3"/>
        <v>117</v>
      </c>
    </row>
    <row r="68" spans="1:16" ht="15" hidden="1" customHeight="1" x14ac:dyDescent="0.2">
      <c r="A68" s="12" t="s">
        <v>18</v>
      </c>
      <c r="B68" s="36">
        <v>46048</v>
      </c>
      <c r="C68" s="12">
        <f t="shared" ref="C68:C99" si="7">C67+D68</f>
        <v>200</v>
      </c>
      <c r="D68" s="38">
        <f t="shared" ref="D68:D99" si="8">IF(H68=H67,0,1)</f>
        <v>1</v>
      </c>
      <c r="G68" s="12" t="s">
        <v>1809</v>
      </c>
      <c r="H68" s="12" t="s">
        <v>4122</v>
      </c>
      <c r="I68" s="12">
        <v>64277</v>
      </c>
      <c r="J68" s="12">
        <v>331</v>
      </c>
      <c r="K68" s="12" t="s">
        <v>20</v>
      </c>
      <c r="L68" s="12">
        <v>1</v>
      </c>
      <c r="M68" s="17">
        <v>1768850</v>
      </c>
      <c r="N68" s="17">
        <f t="shared" ref="N68:N99" si="9">L68*M68</f>
        <v>1768850</v>
      </c>
      <c r="P68" s="12">
        <f t="shared" si="3"/>
        <v>41</v>
      </c>
    </row>
    <row r="69" spans="1:16" ht="15" hidden="1" customHeight="1" x14ac:dyDescent="0.2">
      <c r="A69" s="12" t="s">
        <v>18</v>
      </c>
      <c r="B69" s="36">
        <v>46048</v>
      </c>
      <c r="C69" s="12">
        <f t="shared" si="7"/>
        <v>200</v>
      </c>
      <c r="D69" s="38">
        <f t="shared" si="8"/>
        <v>0</v>
      </c>
      <c r="G69" s="12" t="s">
        <v>1809</v>
      </c>
      <c r="H69" s="12" t="s">
        <v>4122</v>
      </c>
      <c r="I69" s="12">
        <v>1331</v>
      </c>
      <c r="J69" s="12">
        <v>331</v>
      </c>
      <c r="K69" s="12" t="s">
        <v>20</v>
      </c>
      <c r="L69" s="12">
        <v>1</v>
      </c>
      <c r="M69" s="17">
        <v>141508</v>
      </c>
      <c r="N69" s="17">
        <f t="shared" si="9"/>
        <v>141508</v>
      </c>
      <c r="P69" s="12">
        <f t="shared" ref="P69:P110" si="10">LEN(H69)</f>
        <v>41</v>
      </c>
    </row>
    <row r="70" spans="1:16" ht="15" hidden="1" customHeight="1" x14ac:dyDescent="0.2">
      <c r="A70" s="12" t="s">
        <v>18</v>
      </c>
      <c r="B70" s="36">
        <v>46053</v>
      </c>
      <c r="C70" s="12">
        <f t="shared" si="7"/>
        <v>201</v>
      </c>
      <c r="D70" s="38">
        <f t="shared" si="8"/>
        <v>1</v>
      </c>
      <c r="G70" s="12" t="s">
        <v>71</v>
      </c>
      <c r="H70" s="12" t="s">
        <v>455</v>
      </c>
      <c r="I70" s="12">
        <v>64271</v>
      </c>
      <c r="J70" s="12">
        <v>3383</v>
      </c>
      <c r="K70" s="12" t="s">
        <v>20</v>
      </c>
      <c r="L70" s="12">
        <v>1</v>
      </c>
      <c r="M70" s="17">
        <v>690300</v>
      </c>
      <c r="N70" s="17">
        <f t="shared" si="9"/>
        <v>690300</v>
      </c>
      <c r="P70" s="12">
        <f t="shared" si="10"/>
        <v>30</v>
      </c>
    </row>
    <row r="71" spans="1:16" ht="15" hidden="1" customHeight="1" x14ac:dyDescent="0.2">
      <c r="A71" s="12" t="s">
        <v>18</v>
      </c>
      <c r="B71" s="36">
        <v>46057</v>
      </c>
      <c r="C71" s="12">
        <f t="shared" si="7"/>
        <v>202</v>
      </c>
      <c r="D71" s="38">
        <f t="shared" si="8"/>
        <v>1</v>
      </c>
      <c r="G71" s="12" t="s">
        <v>1829</v>
      </c>
      <c r="H71" s="12" t="s">
        <v>1830</v>
      </c>
      <c r="I71" s="12">
        <v>131</v>
      </c>
      <c r="J71" s="12">
        <v>5113</v>
      </c>
      <c r="K71" s="20" t="s">
        <v>20</v>
      </c>
      <c r="L71" s="20">
        <v>1</v>
      </c>
      <c r="M71" s="17">
        <v>18279570</v>
      </c>
      <c r="N71" s="129">
        <f t="shared" si="9"/>
        <v>18279570</v>
      </c>
      <c r="P71" s="12">
        <f t="shared" si="10"/>
        <v>132</v>
      </c>
    </row>
    <row r="72" spans="1:16" ht="15" customHeight="1" x14ac:dyDescent="0.2">
      <c r="A72" s="12" t="s">
        <v>18</v>
      </c>
      <c r="B72" s="36">
        <v>46057</v>
      </c>
      <c r="C72" s="12">
        <f t="shared" si="7"/>
        <v>203</v>
      </c>
      <c r="D72" s="38">
        <f t="shared" si="8"/>
        <v>1</v>
      </c>
      <c r="F72" s="17"/>
      <c r="G72" s="12" t="s">
        <v>1829</v>
      </c>
      <c r="H72" s="12" t="s">
        <v>4084</v>
      </c>
      <c r="I72" s="12">
        <v>333821</v>
      </c>
      <c r="J72" s="12">
        <v>131</v>
      </c>
      <c r="K72" s="20" t="s">
        <v>20</v>
      </c>
      <c r="L72" s="20">
        <v>1</v>
      </c>
      <c r="M72" s="17">
        <v>182796</v>
      </c>
      <c r="N72" s="129">
        <f t="shared" si="9"/>
        <v>182796</v>
      </c>
      <c r="P72" s="12">
        <f t="shared" si="10"/>
        <v>148</v>
      </c>
    </row>
    <row r="73" spans="1:16" ht="15" hidden="1" customHeight="1" x14ac:dyDescent="0.2">
      <c r="A73" s="12" t="s">
        <v>18</v>
      </c>
      <c r="B73" s="36">
        <v>46062</v>
      </c>
      <c r="C73" s="12">
        <f t="shared" si="7"/>
        <v>204</v>
      </c>
      <c r="D73" s="38">
        <f t="shared" si="8"/>
        <v>1</v>
      </c>
      <c r="G73" s="12" t="s">
        <v>1831</v>
      </c>
      <c r="H73" s="12" t="s">
        <v>1832</v>
      </c>
      <c r="I73" s="12">
        <v>131</v>
      </c>
      <c r="J73" s="12">
        <v>5113</v>
      </c>
      <c r="K73" s="20" t="s">
        <v>20</v>
      </c>
      <c r="L73" s="20">
        <v>1</v>
      </c>
      <c r="M73" s="17">
        <v>29032258</v>
      </c>
      <c r="N73" s="129">
        <f t="shared" si="9"/>
        <v>29032258</v>
      </c>
      <c r="P73" s="12">
        <f t="shared" si="10"/>
        <v>178</v>
      </c>
    </row>
    <row r="74" spans="1:16" ht="15" customHeight="1" x14ac:dyDescent="0.2">
      <c r="A74" s="12" t="s">
        <v>18</v>
      </c>
      <c r="B74" s="36">
        <v>46062</v>
      </c>
      <c r="C74" s="12">
        <f t="shared" si="7"/>
        <v>205</v>
      </c>
      <c r="D74" s="38">
        <f t="shared" si="8"/>
        <v>1</v>
      </c>
      <c r="F74" s="17"/>
      <c r="G74" s="12" t="s">
        <v>1831</v>
      </c>
      <c r="H74" s="12" t="s">
        <v>4085</v>
      </c>
      <c r="I74" s="12">
        <v>333821</v>
      </c>
      <c r="J74" s="12">
        <v>131</v>
      </c>
      <c r="K74" s="20" t="s">
        <v>20</v>
      </c>
      <c r="L74" s="20">
        <v>1</v>
      </c>
      <c r="M74" s="17">
        <v>290323</v>
      </c>
      <c r="N74" s="129">
        <f t="shared" si="9"/>
        <v>290323</v>
      </c>
      <c r="P74" s="12">
        <f t="shared" si="10"/>
        <v>194</v>
      </c>
    </row>
    <row r="75" spans="1:16" ht="15" hidden="1" customHeight="1" x14ac:dyDescent="0.2">
      <c r="A75" s="12" t="s">
        <v>18</v>
      </c>
      <c r="B75" s="36">
        <v>46063</v>
      </c>
      <c r="C75" s="12">
        <f t="shared" si="7"/>
        <v>206</v>
      </c>
      <c r="D75" s="38">
        <f t="shared" si="8"/>
        <v>1</v>
      </c>
      <c r="G75" s="12" t="s">
        <v>1538</v>
      </c>
      <c r="H75" s="12" t="s">
        <v>1810</v>
      </c>
      <c r="I75" s="12">
        <v>64277</v>
      </c>
      <c r="J75" s="12">
        <v>331</v>
      </c>
      <c r="K75" s="12" t="s">
        <v>20</v>
      </c>
      <c r="L75" s="12">
        <v>1</v>
      </c>
      <c r="M75" s="17">
        <v>8000000</v>
      </c>
      <c r="N75" s="17">
        <f t="shared" si="9"/>
        <v>8000000</v>
      </c>
      <c r="P75" s="12">
        <f t="shared" si="10"/>
        <v>41</v>
      </c>
    </row>
    <row r="76" spans="1:16" ht="15" hidden="1" customHeight="1" x14ac:dyDescent="0.2">
      <c r="A76" s="12" t="s">
        <v>18</v>
      </c>
      <c r="B76" s="36">
        <v>46063</v>
      </c>
      <c r="C76" s="12">
        <f t="shared" si="7"/>
        <v>206</v>
      </c>
      <c r="D76" s="38">
        <f t="shared" si="8"/>
        <v>0</v>
      </c>
      <c r="G76" s="12" t="s">
        <v>1538</v>
      </c>
      <c r="H76" s="12" t="s">
        <v>1810</v>
      </c>
      <c r="I76" s="12">
        <v>1331</v>
      </c>
      <c r="J76" s="12">
        <v>331</v>
      </c>
      <c r="K76" s="12" t="s">
        <v>20</v>
      </c>
      <c r="L76" s="12">
        <v>1</v>
      </c>
      <c r="M76" s="17">
        <v>640000</v>
      </c>
      <c r="N76" s="17">
        <f t="shared" si="9"/>
        <v>640000</v>
      </c>
      <c r="P76" s="12">
        <f t="shared" si="10"/>
        <v>41</v>
      </c>
    </row>
    <row r="77" spans="1:16" ht="15" hidden="1" customHeight="1" x14ac:dyDescent="0.2">
      <c r="A77" s="12" t="s">
        <v>18</v>
      </c>
      <c r="B77" s="36">
        <v>46066</v>
      </c>
      <c r="C77" s="12">
        <f t="shared" si="7"/>
        <v>207</v>
      </c>
      <c r="D77" s="38">
        <f t="shared" si="8"/>
        <v>1</v>
      </c>
      <c r="G77" s="12" t="s">
        <v>1825</v>
      </c>
      <c r="H77" s="12" t="s">
        <v>1833</v>
      </c>
      <c r="I77" s="12">
        <v>131</v>
      </c>
      <c r="J77" s="12">
        <v>5113</v>
      </c>
      <c r="K77" s="20" t="s">
        <v>20</v>
      </c>
      <c r="L77" s="20">
        <v>1</v>
      </c>
      <c r="M77" s="17">
        <v>18888889</v>
      </c>
      <c r="N77" s="129">
        <f t="shared" si="9"/>
        <v>18888889</v>
      </c>
      <c r="P77" s="12">
        <f t="shared" si="10"/>
        <v>146</v>
      </c>
    </row>
    <row r="78" spans="1:16" ht="15" customHeight="1" x14ac:dyDescent="0.2">
      <c r="A78" s="12" t="s">
        <v>18</v>
      </c>
      <c r="B78" s="36">
        <v>46066</v>
      </c>
      <c r="C78" s="12">
        <f t="shared" si="7"/>
        <v>208</v>
      </c>
      <c r="D78" s="38">
        <f t="shared" si="8"/>
        <v>1</v>
      </c>
      <c r="F78" s="17"/>
      <c r="G78" s="12" t="s">
        <v>1825</v>
      </c>
      <c r="H78" s="12" t="s">
        <v>4086</v>
      </c>
      <c r="I78" s="12">
        <v>333821</v>
      </c>
      <c r="J78" s="12">
        <v>131</v>
      </c>
      <c r="K78" s="20" t="s">
        <v>20</v>
      </c>
      <c r="L78" s="20">
        <v>1</v>
      </c>
      <c r="M78" s="17">
        <v>188889</v>
      </c>
      <c r="N78" s="129">
        <f t="shared" si="9"/>
        <v>188889</v>
      </c>
      <c r="P78" s="12">
        <f t="shared" si="10"/>
        <v>162</v>
      </c>
    </row>
    <row r="79" spans="1:16" ht="15" hidden="1" customHeight="1" x14ac:dyDescent="0.2">
      <c r="A79" s="12" t="s">
        <v>18</v>
      </c>
      <c r="B79" s="36">
        <v>46076</v>
      </c>
      <c r="C79" s="12">
        <f t="shared" si="7"/>
        <v>209</v>
      </c>
      <c r="D79" s="38">
        <f t="shared" si="8"/>
        <v>1</v>
      </c>
      <c r="G79" s="12" t="s">
        <v>1811</v>
      </c>
      <c r="H79" s="12" t="s">
        <v>1812</v>
      </c>
      <c r="I79" s="12">
        <v>64277</v>
      </c>
      <c r="J79" s="12">
        <v>331</v>
      </c>
      <c r="K79" s="12" t="s">
        <v>20</v>
      </c>
      <c r="L79" s="12">
        <v>1</v>
      </c>
      <c r="M79" s="17">
        <v>2314815</v>
      </c>
      <c r="N79" s="17">
        <f t="shared" si="9"/>
        <v>2314815</v>
      </c>
      <c r="P79" s="12">
        <f t="shared" si="10"/>
        <v>54</v>
      </c>
    </row>
    <row r="80" spans="1:16" ht="15" hidden="1" customHeight="1" x14ac:dyDescent="0.2">
      <c r="A80" s="12" t="s">
        <v>18</v>
      </c>
      <c r="B80" s="36">
        <v>46076</v>
      </c>
      <c r="C80" s="12">
        <f t="shared" si="7"/>
        <v>209</v>
      </c>
      <c r="D80" s="38">
        <f t="shared" si="8"/>
        <v>0</v>
      </c>
      <c r="G80" s="12" t="s">
        <v>1811</v>
      </c>
      <c r="H80" s="12" t="s">
        <v>1812</v>
      </c>
      <c r="I80" s="12">
        <v>1331</v>
      </c>
      <c r="J80" s="12">
        <v>331</v>
      </c>
      <c r="K80" s="12" t="s">
        <v>20</v>
      </c>
      <c r="L80" s="12">
        <v>1</v>
      </c>
      <c r="M80" s="17">
        <v>185185</v>
      </c>
      <c r="N80" s="17">
        <f t="shared" si="9"/>
        <v>185185</v>
      </c>
      <c r="P80" s="12">
        <f t="shared" si="10"/>
        <v>54</v>
      </c>
    </row>
    <row r="81" spans="1:28" ht="15" hidden="1" customHeight="1" x14ac:dyDescent="0.2">
      <c r="A81" s="12" t="s">
        <v>18</v>
      </c>
      <c r="B81" s="36">
        <v>46081</v>
      </c>
      <c r="C81" s="12">
        <f t="shared" si="7"/>
        <v>210</v>
      </c>
      <c r="D81" s="38">
        <f t="shared" si="8"/>
        <v>1</v>
      </c>
      <c r="G81" s="12" t="s">
        <v>71</v>
      </c>
      <c r="H81" s="12" t="s">
        <v>456</v>
      </c>
      <c r="I81" s="12">
        <v>64271</v>
      </c>
      <c r="J81" s="12">
        <v>3383</v>
      </c>
      <c r="K81" s="12" t="s">
        <v>20</v>
      </c>
      <c r="L81" s="12">
        <v>1</v>
      </c>
      <c r="M81" s="17">
        <v>690300</v>
      </c>
      <c r="N81" s="17">
        <f t="shared" si="9"/>
        <v>690300</v>
      </c>
      <c r="P81" s="12">
        <f t="shared" si="10"/>
        <v>30</v>
      </c>
    </row>
    <row r="82" spans="1:28" ht="15" hidden="1" customHeight="1" x14ac:dyDescent="0.2">
      <c r="A82" s="12" t="s">
        <v>18</v>
      </c>
      <c r="B82" s="36">
        <v>46081</v>
      </c>
      <c r="C82" s="12">
        <f t="shared" si="7"/>
        <v>211</v>
      </c>
      <c r="D82" s="38">
        <f t="shared" si="8"/>
        <v>1</v>
      </c>
      <c r="G82" s="12" t="s">
        <v>1813</v>
      </c>
      <c r="H82" s="12" t="s">
        <v>1814</v>
      </c>
      <c r="I82" s="12">
        <v>64277</v>
      </c>
      <c r="J82" s="12">
        <v>331</v>
      </c>
      <c r="K82" s="12" t="s">
        <v>20</v>
      </c>
      <c r="L82" s="12">
        <v>1</v>
      </c>
      <c r="M82" s="17">
        <v>20000</v>
      </c>
      <c r="N82" s="17">
        <f t="shared" si="9"/>
        <v>20000</v>
      </c>
      <c r="P82" s="12">
        <f t="shared" si="10"/>
        <v>35</v>
      </c>
    </row>
    <row r="83" spans="1:28" s="165" customFormat="1" ht="15" hidden="1" customHeight="1" x14ac:dyDescent="0.2">
      <c r="A83" s="12" t="s">
        <v>18</v>
      </c>
      <c r="B83" s="36">
        <v>46081</v>
      </c>
      <c r="C83" s="12">
        <f t="shared" si="7"/>
        <v>211</v>
      </c>
      <c r="D83" s="38">
        <f t="shared" si="8"/>
        <v>0</v>
      </c>
      <c r="E83" s="12"/>
      <c r="F83" s="12"/>
      <c r="G83" s="12" t="s">
        <v>1813</v>
      </c>
      <c r="H83" s="12" t="s">
        <v>1814</v>
      </c>
      <c r="I83" s="12">
        <v>1331</v>
      </c>
      <c r="J83" s="12">
        <v>331</v>
      </c>
      <c r="K83" s="12" t="s">
        <v>20</v>
      </c>
      <c r="L83" s="12">
        <v>1</v>
      </c>
      <c r="M83" s="17">
        <v>2000</v>
      </c>
      <c r="N83" s="17">
        <f t="shared" si="9"/>
        <v>2000</v>
      </c>
      <c r="O83" s="12"/>
      <c r="P83" s="12">
        <f t="shared" si="10"/>
        <v>35</v>
      </c>
      <c r="R83" s="169"/>
      <c r="S83" s="169"/>
      <c r="T83" s="169"/>
      <c r="U83" s="169"/>
      <c r="V83" s="169"/>
      <c r="W83" s="169"/>
      <c r="X83" s="169"/>
      <c r="Y83" s="169"/>
      <c r="Z83" s="169"/>
      <c r="AA83" s="169"/>
      <c r="AB83" s="169"/>
    </row>
    <row r="84" spans="1:28" s="165" customFormat="1" ht="15" hidden="1" customHeight="1" x14ac:dyDescent="0.2">
      <c r="A84" s="12" t="s">
        <v>18</v>
      </c>
      <c r="B84" s="36">
        <v>46083</v>
      </c>
      <c r="C84" s="12">
        <f t="shared" si="7"/>
        <v>212</v>
      </c>
      <c r="D84" s="38">
        <f t="shared" si="8"/>
        <v>1</v>
      </c>
      <c r="E84" s="12"/>
      <c r="F84" s="12"/>
      <c r="G84" s="12" t="s">
        <v>1582</v>
      </c>
      <c r="H84" s="12" t="s">
        <v>1834</v>
      </c>
      <c r="I84" s="12">
        <v>131</v>
      </c>
      <c r="J84" s="12">
        <v>5113</v>
      </c>
      <c r="K84" s="20" t="s">
        <v>20</v>
      </c>
      <c r="L84" s="20">
        <v>1</v>
      </c>
      <c r="M84" s="17">
        <v>18888889</v>
      </c>
      <c r="N84" s="129">
        <f t="shared" si="9"/>
        <v>18888889</v>
      </c>
      <c r="O84" s="12"/>
      <c r="P84" s="12">
        <f t="shared" si="10"/>
        <v>144</v>
      </c>
      <c r="R84" s="169"/>
      <c r="S84" s="169"/>
      <c r="T84" s="169"/>
      <c r="U84" s="169"/>
      <c r="V84" s="169"/>
      <c r="W84" s="169"/>
      <c r="X84" s="169"/>
      <c r="Y84" s="169"/>
      <c r="Z84" s="169"/>
      <c r="AA84" s="169"/>
      <c r="AB84" s="169"/>
    </row>
    <row r="85" spans="1:28" ht="15" customHeight="1" x14ac:dyDescent="0.2">
      <c r="A85" s="12" t="s">
        <v>18</v>
      </c>
      <c r="B85" s="36">
        <v>46083</v>
      </c>
      <c r="C85" s="12">
        <f t="shared" si="7"/>
        <v>213</v>
      </c>
      <c r="D85" s="38">
        <f t="shared" si="8"/>
        <v>1</v>
      </c>
      <c r="F85" s="17"/>
      <c r="G85" s="12" t="s">
        <v>1582</v>
      </c>
      <c r="H85" s="12" t="s">
        <v>4087</v>
      </c>
      <c r="I85" s="12">
        <v>333821</v>
      </c>
      <c r="J85" s="12">
        <v>131</v>
      </c>
      <c r="K85" s="20" t="s">
        <v>20</v>
      </c>
      <c r="L85" s="20">
        <v>1</v>
      </c>
      <c r="M85" s="17">
        <v>188889</v>
      </c>
      <c r="N85" s="129">
        <f t="shared" si="9"/>
        <v>188889</v>
      </c>
      <c r="P85" s="12">
        <f t="shared" si="10"/>
        <v>160</v>
      </c>
    </row>
    <row r="86" spans="1:28" ht="15" hidden="1" customHeight="1" x14ac:dyDescent="0.2">
      <c r="A86" s="12" t="s">
        <v>18</v>
      </c>
      <c r="B86" s="36">
        <v>46085</v>
      </c>
      <c r="C86" s="12">
        <f t="shared" si="7"/>
        <v>214</v>
      </c>
      <c r="D86" s="38">
        <f t="shared" si="8"/>
        <v>1</v>
      </c>
      <c r="F86" s="17"/>
      <c r="G86" s="12" t="s">
        <v>1538</v>
      </c>
      <c r="H86" s="12" t="s">
        <v>1815</v>
      </c>
      <c r="I86" s="12">
        <v>64277</v>
      </c>
      <c r="J86" s="12">
        <v>331</v>
      </c>
      <c r="K86" s="12" t="s">
        <v>20</v>
      </c>
      <c r="L86" s="12">
        <v>1</v>
      </c>
      <c r="M86" s="17">
        <v>8000000</v>
      </c>
      <c r="N86" s="17">
        <f t="shared" si="9"/>
        <v>8000000</v>
      </c>
      <c r="P86" s="12">
        <f t="shared" si="10"/>
        <v>41</v>
      </c>
    </row>
    <row r="87" spans="1:28" ht="15" hidden="1" customHeight="1" x14ac:dyDescent="0.2">
      <c r="A87" s="12" t="s">
        <v>18</v>
      </c>
      <c r="B87" s="36">
        <v>46085</v>
      </c>
      <c r="C87" s="12">
        <f t="shared" si="7"/>
        <v>214</v>
      </c>
      <c r="D87" s="38">
        <f t="shared" si="8"/>
        <v>0</v>
      </c>
      <c r="G87" s="12" t="s">
        <v>1538</v>
      </c>
      <c r="H87" s="12" t="s">
        <v>1815</v>
      </c>
      <c r="I87" s="12">
        <v>1331</v>
      </c>
      <c r="J87" s="12">
        <v>331</v>
      </c>
      <c r="K87" s="20" t="s">
        <v>20</v>
      </c>
      <c r="L87" s="20">
        <v>1</v>
      </c>
      <c r="M87" s="17">
        <v>640000</v>
      </c>
      <c r="N87" s="129">
        <f t="shared" si="9"/>
        <v>640000</v>
      </c>
      <c r="P87" s="12">
        <f t="shared" si="10"/>
        <v>41</v>
      </c>
    </row>
    <row r="88" spans="1:28" ht="15" customHeight="1" x14ac:dyDescent="0.2">
      <c r="A88" s="12" t="s">
        <v>18</v>
      </c>
      <c r="B88" s="36">
        <v>46097</v>
      </c>
      <c r="C88" s="12">
        <f t="shared" si="7"/>
        <v>215</v>
      </c>
      <c r="D88" s="38">
        <f t="shared" si="8"/>
        <v>1</v>
      </c>
      <c r="F88" s="17"/>
      <c r="G88" s="12" t="s">
        <v>1656</v>
      </c>
      <c r="H88" s="12" t="s">
        <v>4088</v>
      </c>
      <c r="I88" s="12">
        <v>333821</v>
      </c>
      <c r="J88" s="12">
        <v>131</v>
      </c>
      <c r="K88" s="20" t="s">
        <v>20</v>
      </c>
      <c r="L88" s="20">
        <v>1</v>
      </c>
      <c r="M88" s="17">
        <v>188889</v>
      </c>
      <c r="N88" s="129">
        <f t="shared" si="9"/>
        <v>188889</v>
      </c>
      <c r="P88" s="12">
        <f t="shared" si="10"/>
        <v>147</v>
      </c>
    </row>
    <row r="89" spans="1:28" s="165" customFormat="1" ht="15" hidden="1" customHeight="1" x14ac:dyDescent="0.2">
      <c r="A89" s="12" t="s">
        <v>18</v>
      </c>
      <c r="B89" s="36">
        <v>46097</v>
      </c>
      <c r="C89" s="12">
        <f t="shared" si="7"/>
        <v>216</v>
      </c>
      <c r="D89" s="38">
        <f t="shared" si="8"/>
        <v>1</v>
      </c>
      <c r="E89" s="12"/>
      <c r="F89" s="12"/>
      <c r="G89" s="12" t="s">
        <v>1656</v>
      </c>
      <c r="H89" s="12" t="s">
        <v>1835</v>
      </c>
      <c r="I89" s="12">
        <v>131</v>
      </c>
      <c r="J89" s="12">
        <v>5113</v>
      </c>
      <c r="K89" s="20" t="s">
        <v>20</v>
      </c>
      <c r="L89" s="20">
        <v>1</v>
      </c>
      <c r="M89" s="17">
        <v>18888889</v>
      </c>
      <c r="N89" s="129">
        <f t="shared" si="9"/>
        <v>18888889</v>
      </c>
      <c r="O89" s="12"/>
      <c r="P89" s="12">
        <f t="shared" si="10"/>
        <v>131</v>
      </c>
      <c r="R89" s="169"/>
      <c r="S89" s="169"/>
      <c r="T89" s="169"/>
      <c r="U89" s="169"/>
      <c r="V89" s="169"/>
      <c r="W89" s="169"/>
      <c r="X89" s="169"/>
      <c r="Y89" s="169"/>
      <c r="Z89" s="169"/>
      <c r="AA89" s="169"/>
      <c r="AB89" s="169"/>
    </row>
    <row r="90" spans="1:28" ht="15" hidden="1" customHeight="1" x14ac:dyDescent="0.2">
      <c r="A90" s="12" t="s">
        <v>18</v>
      </c>
      <c r="B90" s="36">
        <v>46098</v>
      </c>
      <c r="C90" s="12">
        <f t="shared" si="7"/>
        <v>217</v>
      </c>
      <c r="D90" s="38">
        <f t="shared" si="8"/>
        <v>1</v>
      </c>
      <c r="G90" s="12" t="s">
        <v>1836</v>
      </c>
      <c r="H90" s="12" t="s">
        <v>1837</v>
      </c>
      <c r="I90" s="12">
        <v>131</v>
      </c>
      <c r="J90" s="12">
        <v>5113</v>
      </c>
      <c r="K90" s="20" t="s">
        <v>20</v>
      </c>
      <c r="L90" s="20">
        <v>1</v>
      </c>
      <c r="M90" s="17">
        <v>27777778</v>
      </c>
      <c r="N90" s="129">
        <f t="shared" si="9"/>
        <v>27777778</v>
      </c>
      <c r="P90" s="12">
        <f t="shared" si="10"/>
        <v>117</v>
      </c>
    </row>
    <row r="91" spans="1:28" ht="15" customHeight="1" x14ac:dyDescent="0.2">
      <c r="A91" s="12" t="s">
        <v>18</v>
      </c>
      <c r="B91" s="36">
        <v>46098</v>
      </c>
      <c r="C91" s="12">
        <f t="shared" si="7"/>
        <v>218</v>
      </c>
      <c r="D91" s="38">
        <f t="shared" si="8"/>
        <v>1</v>
      </c>
      <c r="F91" s="17"/>
      <c r="G91" s="12" t="s">
        <v>1836</v>
      </c>
      <c r="H91" s="12" t="s">
        <v>4089</v>
      </c>
      <c r="I91" s="12">
        <v>333821</v>
      </c>
      <c r="J91" s="12">
        <v>131</v>
      </c>
      <c r="K91" s="20" t="s">
        <v>20</v>
      </c>
      <c r="L91" s="20">
        <v>1</v>
      </c>
      <c r="M91" s="17">
        <v>277778</v>
      </c>
      <c r="N91" s="129">
        <f t="shared" si="9"/>
        <v>277778</v>
      </c>
      <c r="P91" s="12">
        <f t="shared" si="10"/>
        <v>133</v>
      </c>
    </row>
    <row r="92" spans="1:28" ht="15" hidden="1" customHeight="1" x14ac:dyDescent="0.2">
      <c r="A92" s="12" t="s">
        <v>18</v>
      </c>
      <c r="B92" s="36">
        <v>46098</v>
      </c>
      <c r="C92" s="12">
        <f t="shared" si="7"/>
        <v>219</v>
      </c>
      <c r="D92" s="38">
        <f t="shared" si="8"/>
        <v>1</v>
      </c>
      <c r="G92" s="12" t="s">
        <v>1816</v>
      </c>
      <c r="H92" s="12" t="s">
        <v>4125</v>
      </c>
      <c r="I92" s="12">
        <v>64277</v>
      </c>
      <c r="J92" s="12">
        <v>331</v>
      </c>
      <c r="K92" s="20" t="s">
        <v>20</v>
      </c>
      <c r="L92" s="20">
        <v>1</v>
      </c>
      <c r="M92" s="17">
        <v>15370370</v>
      </c>
      <c r="N92" s="129">
        <f t="shared" si="9"/>
        <v>15370370</v>
      </c>
      <c r="P92" s="12">
        <f t="shared" si="10"/>
        <v>39</v>
      </c>
    </row>
    <row r="93" spans="1:28" ht="15" hidden="1" customHeight="1" x14ac:dyDescent="0.2">
      <c r="A93" s="12" t="s">
        <v>18</v>
      </c>
      <c r="B93" s="36">
        <v>46098</v>
      </c>
      <c r="C93" s="12">
        <f t="shared" si="7"/>
        <v>219</v>
      </c>
      <c r="D93" s="38">
        <f t="shared" si="8"/>
        <v>0</v>
      </c>
      <c r="F93" s="17"/>
      <c r="G93" s="12" t="s">
        <v>1816</v>
      </c>
      <c r="H93" s="12" t="s">
        <v>4125</v>
      </c>
      <c r="I93" s="12">
        <v>1331</v>
      </c>
      <c r="J93" s="12">
        <v>331</v>
      </c>
      <c r="K93" s="12" t="s">
        <v>20</v>
      </c>
      <c r="L93" s="12">
        <v>1</v>
      </c>
      <c r="M93" s="17">
        <v>1229630</v>
      </c>
      <c r="N93" s="17">
        <f t="shared" si="9"/>
        <v>1229630</v>
      </c>
      <c r="P93" s="12">
        <f t="shared" si="10"/>
        <v>39</v>
      </c>
    </row>
    <row r="94" spans="1:28" ht="15" hidden="1" customHeight="1" x14ac:dyDescent="0.2">
      <c r="A94" s="12" t="s">
        <v>18</v>
      </c>
      <c r="B94" s="36">
        <v>46099</v>
      </c>
      <c r="C94" s="12">
        <f t="shared" si="7"/>
        <v>220</v>
      </c>
      <c r="D94" s="38">
        <f t="shared" si="8"/>
        <v>1</v>
      </c>
      <c r="E94" s="20"/>
      <c r="F94" s="17"/>
      <c r="G94" s="12" t="s">
        <v>1816</v>
      </c>
      <c r="H94" s="20" t="s">
        <v>4126</v>
      </c>
      <c r="I94" s="12">
        <v>64277</v>
      </c>
      <c r="J94" s="12">
        <v>331</v>
      </c>
      <c r="K94" s="20" t="s">
        <v>20</v>
      </c>
      <c r="L94" s="20">
        <v>1</v>
      </c>
      <c r="M94" s="129">
        <v>11388889</v>
      </c>
      <c r="N94" s="129">
        <f t="shared" si="9"/>
        <v>11388889</v>
      </c>
      <c r="P94" s="12">
        <f t="shared" si="10"/>
        <v>39</v>
      </c>
    </row>
    <row r="95" spans="1:28" ht="15" hidden="1" customHeight="1" x14ac:dyDescent="0.2">
      <c r="A95" s="12" t="s">
        <v>18</v>
      </c>
      <c r="B95" s="36">
        <v>46099</v>
      </c>
      <c r="C95" s="12">
        <f t="shared" si="7"/>
        <v>220</v>
      </c>
      <c r="D95" s="38">
        <f t="shared" si="8"/>
        <v>0</v>
      </c>
      <c r="G95" s="12" t="s">
        <v>1816</v>
      </c>
      <c r="H95" s="20" t="s">
        <v>4126</v>
      </c>
      <c r="I95" s="12">
        <v>1331</v>
      </c>
      <c r="J95" s="12">
        <v>331</v>
      </c>
      <c r="K95" s="20" t="s">
        <v>20</v>
      </c>
      <c r="L95" s="20">
        <v>1</v>
      </c>
      <c r="M95" s="17">
        <v>911111</v>
      </c>
      <c r="N95" s="129">
        <f t="shared" si="9"/>
        <v>911111</v>
      </c>
      <c r="P95" s="12">
        <f t="shared" si="10"/>
        <v>39</v>
      </c>
    </row>
    <row r="96" spans="1:28" ht="15" hidden="1" customHeight="1" x14ac:dyDescent="0.2">
      <c r="A96" s="12" t="s">
        <v>18</v>
      </c>
      <c r="B96" s="36">
        <v>46099</v>
      </c>
      <c r="C96" s="12">
        <f t="shared" si="7"/>
        <v>221</v>
      </c>
      <c r="D96" s="38">
        <f t="shared" si="8"/>
        <v>1</v>
      </c>
      <c r="G96" s="12" t="s">
        <v>1816</v>
      </c>
      <c r="H96" s="12" t="s">
        <v>4127</v>
      </c>
      <c r="I96" s="12">
        <v>64277</v>
      </c>
      <c r="J96" s="12">
        <v>331</v>
      </c>
      <c r="K96" s="20" t="s">
        <v>20</v>
      </c>
      <c r="L96" s="20">
        <v>1</v>
      </c>
      <c r="M96" s="17">
        <v>-16600000</v>
      </c>
      <c r="N96" s="129">
        <f t="shared" si="9"/>
        <v>-16600000</v>
      </c>
      <c r="P96" s="12">
        <f t="shared" si="10"/>
        <v>39</v>
      </c>
    </row>
    <row r="97" spans="1:16" ht="15" hidden="1" customHeight="1" x14ac:dyDescent="0.2">
      <c r="A97" s="12" t="s">
        <v>18</v>
      </c>
      <c r="B97" s="36">
        <v>46099</v>
      </c>
      <c r="C97" s="12">
        <f t="shared" si="7"/>
        <v>221</v>
      </c>
      <c r="D97" s="38">
        <f t="shared" si="8"/>
        <v>0</v>
      </c>
      <c r="F97" s="17"/>
      <c r="G97" s="12" t="s">
        <v>1816</v>
      </c>
      <c r="H97" s="12" t="s">
        <v>4127</v>
      </c>
      <c r="I97" s="12">
        <v>1331</v>
      </c>
      <c r="J97" s="12">
        <v>331</v>
      </c>
      <c r="K97" s="20" t="s">
        <v>20</v>
      </c>
      <c r="L97" s="20">
        <v>1</v>
      </c>
      <c r="M97" s="17">
        <v>-1229630</v>
      </c>
      <c r="N97" s="129">
        <f t="shared" si="9"/>
        <v>-1229630</v>
      </c>
      <c r="P97" s="12">
        <f t="shared" si="10"/>
        <v>39</v>
      </c>
    </row>
    <row r="98" spans="1:16" ht="15" customHeight="1" x14ac:dyDescent="0.2">
      <c r="A98" s="12" t="s">
        <v>18</v>
      </c>
      <c r="B98" s="36">
        <v>46104</v>
      </c>
      <c r="C98" s="12">
        <f t="shared" si="7"/>
        <v>222</v>
      </c>
      <c r="D98" s="38">
        <f t="shared" si="8"/>
        <v>1</v>
      </c>
      <c r="F98" s="17"/>
      <c r="G98" s="12" t="s">
        <v>1838</v>
      </c>
      <c r="H98" s="12" t="s">
        <v>4090</v>
      </c>
      <c r="I98" s="12">
        <v>333821</v>
      </c>
      <c r="J98" s="12">
        <v>131</v>
      </c>
      <c r="K98" s="20" t="s">
        <v>20</v>
      </c>
      <c r="L98" s="20">
        <v>1</v>
      </c>
      <c r="M98" s="17">
        <v>333333</v>
      </c>
      <c r="N98" s="129">
        <f t="shared" si="9"/>
        <v>333333</v>
      </c>
      <c r="P98" s="12">
        <f t="shared" si="10"/>
        <v>156</v>
      </c>
    </row>
    <row r="99" spans="1:16" ht="15" hidden="1" customHeight="1" x14ac:dyDescent="0.2">
      <c r="A99" s="12" t="s">
        <v>18</v>
      </c>
      <c r="B99" s="36">
        <v>46104</v>
      </c>
      <c r="C99" s="12">
        <f t="shared" si="7"/>
        <v>223</v>
      </c>
      <c r="D99" s="38">
        <f t="shared" si="8"/>
        <v>1</v>
      </c>
      <c r="G99" s="12" t="s">
        <v>1838</v>
      </c>
      <c r="H99" s="12" t="s">
        <v>1839</v>
      </c>
      <c r="I99" s="12">
        <v>131</v>
      </c>
      <c r="J99" s="12">
        <v>5113</v>
      </c>
      <c r="K99" s="20" t="s">
        <v>20</v>
      </c>
      <c r="L99" s="20">
        <v>1</v>
      </c>
      <c r="M99" s="17">
        <v>33333333</v>
      </c>
      <c r="N99" s="129">
        <f t="shared" si="9"/>
        <v>33333333</v>
      </c>
      <c r="P99" s="12">
        <f t="shared" si="10"/>
        <v>140</v>
      </c>
    </row>
    <row r="100" spans="1:16" ht="15" hidden="1" customHeight="1" x14ac:dyDescent="0.2">
      <c r="A100" s="12" t="s">
        <v>18</v>
      </c>
      <c r="B100" s="36">
        <v>46107</v>
      </c>
      <c r="C100" s="12">
        <f t="shared" ref="C100:C110" si="11">C99+D100</f>
        <v>224</v>
      </c>
      <c r="D100" s="38">
        <f t="shared" ref="D100:D110" si="12">IF(H100=H99,0,1)</f>
        <v>1</v>
      </c>
      <c r="F100" s="17"/>
      <c r="G100" s="12" t="s">
        <v>1817</v>
      </c>
      <c r="H100" s="12" t="s">
        <v>4123</v>
      </c>
      <c r="I100" s="12">
        <v>64277</v>
      </c>
      <c r="J100" s="12">
        <v>331</v>
      </c>
      <c r="K100" s="20" t="s">
        <v>20</v>
      </c>
      <c r="L100" s="20">
        <v>1</v>
      </c>
      <c r="M100" s="17">
        <v>1645000</v>
      </c>
      <c r="N100" s="129">
        <f t="shared" ref="N100:N110" si="13">L100*M100</f>
        <v>1645000</v>
      </c>
      <c r="P100" s="12">
        <f t="shared" si="10"/>
        <v>42</v>
      </c>
    </row>
    <row r="101" spans="1:16" ht="15" hidden="1" customHeight="1" x14ac:dyDescent="0.2">
      <c r="A101" s="12" t="s">
        <v>18</v>
      </c>
      <c r="B101" s="36">
        <v>46107</v>
      </c>
      <c r="C101" s="12">
        <f t="shared" si="11"/>
        <v>224</v>
      </c>
      <c r="D101" s="38">
        <f t="shared" si="12"/>
        <v>0</v>
      </c>
      <c r="G101" s="12" t="s">
        <v>1817</v>
      </c>
      <c r="H101" s="12" t="s">
        <v>4123</v>
      </c>
      <c r="I101" s="12">
        <v>1331</v>
      </c>
      <c r="J101" s="12">
        <v>331</v>
      </c>
      <c r="K101" s="20" t="s">
        <v>20</v>
      </c>
      <c r="L101" s="20">
        <v>1</v>
      </c>
      <c r="M101" s="17">
        <v>131600</v>
      </c>
      <c r="N101" s="129">
        <f t="shared" si="13"/>
        <v>131600</v>
      </c>
      <c r="P101" s="12">
        <f t="shared" si="10"/>
        <v>42</v>
      </c>
    </row>
    <row r="102" spans="1:16" ht="15" customHeight="1" x14ac:dyDescent="0.2">
      <c r="A102" s="12" t="s">
        <v>18</v>
      </c>
      <c r="B102" s="36">
        <v>46108</v>
      </c>
      <c r="C102" s="12">
        <f t="shared" si="11"/>
        <v>225</v>
      </c>
      <c r="D102" s="38">
        <f t="shared" si="12"/>
        <v>1</v>
      </c>
      <c r="F102" s="17"/>
      <c r="G102" s="12" t="s">
        <v>1656</v>
      </c>
      <c r="H102" s="12" t="s">
        <v>4091</v>
      </c>
      <c r="I102" s="12">
        <v>333821</v>
      </c>
      <c r="J102" s="12">
        <v>131</v>
      </c>
      <c r="K102" s="12" t="s">
        <v>20</v>
      </c>
      <c r="L102" s="12">
        <v>1</v>
      </c>
      <c r="M102" s="17">
        <v>222222</v>
      </c>
      <c r="N102" s="129">
        <f t="shared" si="13"/>
        <v>222222</v>
      </c>
      <c r="P102" s="12">
        <f t="shared" si="10"/>
        <v>156</v>
      </c>
    </row>
    <row r="103" spans="1:16" ht="15" customHeight="1" x14ac:dyDescent="0.2">
      <c r="A103" s="12" t="s">
        <v>18</v>
      </c>
      <c r="B103" s="36">
        <v>46108</v>
      </c>
      <c r="C103" s="12">
        <f t="shared" si="11"/>
        <v>226</v>
      </c>
      <c r="D103" s="38">
        <f t="shared" si="12"/>
        <v>1</v>
      </c>
      <c r="F103" s="17"/>
      <c r="G103" s="12" t="s">
        <v>1656</v>
      </c>
      <c r="H103" s="12" t="s">
        <v>4092</v>
      </c>
      <c r="I103" s="12">
        <v>333821</v>
      </c>
      <c r="J103" s="12">
        <v>131</v>
      </c>
      <c r="K103" s="12" t="s">
        <v>20</v>
      </c>
      <c r="L103" s="12">
        <v>1</v>
      </c>
      <c r="M103" s="17">
        <v>55556</v>
      </c>
      <c r="N103" s="129">
        <f t="shared" si="13"/>
        <v>55556</v>
      </c>
      <c r="P103" s="12">
        <f t="shared" si="10"/>
        <v>144</v>
      </c>
    </row>
    <row r="104" spans="1:16" ht="15" hidden="1" customHeight="1" x14ac:dyDescent="0.2">
      <c r="A104" s="12" t="s">
        <v>18</v>
      </c>
      <c r="B104" s="36">
        <v>46108</v>
      </c>
      <c r="C104" s="12">
        <f t="shared" si="11"/>
        <v>227</v>
      </c>
      <c r="D104" s="38">
        <f t="shared" si="12"/>
        <v>1</v>
      </c>
      <c r="G104" s="12" t="s">
        <v>1656</v>
      </c>
      <c r="H104" s="12" t="s">
        <v>1840</v>
      </c>
      <c r="I104" s="12">
        <v>131</v>
      </c>
      <c r="J104" s="12">
        <v>5113</v>
      </c>
      <c r="K104" s="20" t="s">
        <v>20</v>
      </c>
      <c r="L104" s="20">
        <v>1</v>
      </c>
      <c r="M104" s="17">
        <v>22222222</v>
      </c>
      <c r="N104" s="129">
        <f t="shared" si="13"/>
        <v>22222222</v>
      </c>
      <c r="P104" s="12">
        <f t="shared" si="10"/>
        <v>140</v>
      </c>
    </row>
    <row r="105" spans="1:16" ht="15" hidden="1" customHeight="1" x14ac:dyDescent="0.2">
      <c r="A105" s="12" t="s">
        <v>18</v>
      </c>
      <c r="B105" s="36">
        <v>46108</v>
      </c>
      <c r="C105" s="12">
        <f t="shared" si="11"/>
        <v>228</v>
      </c>
      <c r="D105" s="38">
        <f t="shared" si="12"/>
        <v>1</v>
      </c>
      <c r="G105" s="12" t="s">
        <v>1656</v>
      </c>
      <c r="H105" s="12" t="s">
        <v>1841</v>
      </c>
      <c r="I105" s="12">
        <v>131</v>
      </c>
      <c r="J105" s="12">
        <v>5113</v>
      </c>
      <c r="K105" s="12" t="s">
        <v>20</v>
      </c>
      <c r="L105" s="12">
        <v>1</v>
      </c>
      <c r="M105" s="17">
        <v>5555556</v>
      </c>
      <c r="N105" s="129">
        <f t="shared" si="13"/>
        <v>5555556</v>
      </c>
      <c r="P105" s="12">
        <f t="shared" si="10"/>
        <v>128</v>
      </c>
    </row>
    <row r="106" spans="1:16" ht="15" hidden="1" customHeight="1" x14ac:dyDescent="0.2">
      <c r="A106" s="12" t="s">
        <v>18</v>
      </c>
      <c r="B106" s="36">
        <v>46112</v>
      </c>
      <c r="C106" s="12">
        <f t="shared" si="11"/>
        <v>229</v>
      </c>
      <c r="D106" s="38">
        <f t="shared" si="12"/>
        <v>1</v>
      </c>
      <c r="G106" s="12" t="s">
        <v>71</v>
      </c>
      <c r="H106" s="12" t="s">
        <v>457</v>
      </c>
      <c r="I106" s="12">
        <v>64271</v>
      </c>
      <c r="J106" s="12">
        <v>3383</v>
      </c>
      <c r="K106" s="12" t="s">
        <v>20</v>
      </c>
      <c r="L106" s="12">
        <v>1</v>
      </c>
      <c r="M106" s="17">
        <v>690300</v>
      </c>
      <c r="N106" s="17">
        <f t="shared" si="13"/>
        <v>690300</v>
      </c>
      <c r="P106" s="12">
        <f t="shared" si="10"/>
        <v>30</v>
      </c>
    </row>
    <row r="107" spans="1:16" ht="15" hidden="1" customHeight="1" x14ac:dyDescent="0.2">
      <c r="A107" s="12" t="s">
        <v>18</v>
      </c>
      <c r="B107" s="36">
        <v>46112</v>
      </c>
      <c r="C107" s="12">
        <f t="shared" si="11"/>
        <v>230</v>
      </c>
      <c r="D107" s="38">
        <f t="shared" si="12"/>
        <v>1</v>
      </c>
      <c r="F107" s="17"/>
      <c r="G107" s="12" t="s">
        <v>1842</v>
      </c>
      <c r="H107" s="12" t="s">
        <v>1843</v>
      </c>
      <c r="I107" s="12">
        <v>131</v>
      </c>
      <c r="J107" s="12">
        <v>5113</v>
      </c>
      <c r="K107" s="12" t="s">
        <v>20</v>
      </c>
      <c r="L107" s="12">
        <v>1</v>
      </c>
      <c r="M107" s="17">
        <v>18888889</v>
      </c>
      <c r="N107" s="129">
        <f t="shared" si="13"/>
        <v>18888889</v>
      </c>
      <c r="P107" s="12">
        <f t="shared" si="10"/>
        <v>158</v>
      </c>
    </row>
    <row r="108" spans="1:16" ht="15" hidden="1" customHeight="1" x14ac:dyDescent="0.2">
      <c r="A108" s="12" t="s">
        <v>18</v>
      </c>
      <c r="B108" s="36">
        <v>46112</v>
      </c>
      <c r="C108" s="12">
        <f t="shared" si="11"/>
        <v>231</v>
      </c>
      <c r="D108" s="38">
        <f t="shared" si="12"/>
        <v>1</v>
      </c>
      <c r="F108" s="17"/>
      <c r="G108" s="12" t="s">
        <v>1576</v>
      </c>
      <c r="H108" s="12" t="s">
        <v>1844</v>
      </c>
      <c r="I108" s="12">
        <v>131</v>
      </c>
      <c r="J108" s="12">
        <v>5113</v>
      </c>
      <c r="K108" s="12" t="s">
        <v>20</v>
      </c>
      <c r="L108" s="12">
        <v>1</v>
      </c>
      <c r="M108" s="17">
        <v>35252525</v>
      </c>
      <c r="N108" s="129">
        <f t="shared" si="13"/>
        <v>35252525</v>
      </c>
      <c r="P108" s="12">
        <f t="shared" si="10"/>
        <v>177</v>
      </c>
    </row>
    <row r="109" spans="1:16" ht="15" customHeight="1" x14ac:dyDescent="0.2">
      <c r="A109" s="12" t="s">
        <v>18</v>
      </c>
      <c r="B109" s="36">
        <v>46112</v>
      </c>
      <c r="C109" s="12">
        <f t="shared" si="11"/>
        <v>232</v>
      </c>
      <c r="D109" s="38">
        <f t="shared" si="12"/>
        <v>1</v>
      </c>
      <c r="F109" s="17"/>
      <c r="G109" s="12" t="s">
        <v>1842</v>
      </c>
      <c r="H109" s="12" t="s">
        <v>4093</v>
      </c>
      <c r="I109" s="12">
        <v>333821</v>
      </c>
      <c r="J109" s="12">
        <v>131</v>
      </c>
      <c r="K109" s="12" t="s">
        <v>20</v>
      </c>
      <c r="L109" s="12">
        <v>1</v>
      </c>
      <c r="M109" s="17">
        <v>188889</v>
      </c>
      <c r="N109" s="129">
        <f t="shared" si="13"/>
        <v>188889</v>
      </c>
      <c r="P109" s="12">
        <f t="shared" si="10"/>
        <v>174</v>
      </c>
    </row>
    <row r="110" spans="1:16" ht="15" customHeight="1" x14ac:dyDescent="0.2">
      <c r="A110" s="12" t="s">
        <v>18</v>
      </c>
      <c r="B110" s="36">
        <v>46112</v>
      </c>
      <c r="C110" s="12">
        <f t="shared" si="11"/>
        <v>233</v>
      </c>
      <c r="D110" s="38">
        <f t="shared" si="12"/>
        <v>1</v>
      </c>
      <c r="F110" s="17"/>
      <c r="G110" s="12" t="s">
        <v>1576</v>
      </c>
      <c r="H110" s="12" t="s">
        <v>4094</v>
      </c>
      <c r="I110" s="12">
        <v>333821</v>
      </c>
      <c r="J110" s="12">
        <v>131</v>
      </c>
      <c r="K110" s="12" t="s">
        <v>20</v>
      </c>
      <c r="L110" s="12">
        <v>1</v>
      </c>
      <c r="M110" s="17">
        <v>352525</v>
      </c>
      <c r="N110" s="129">
        <f t="shared" si="13"/>
        <v>352525</v>
      </c>
      <c r="P110" s="12">
        <f t="shared" si="10"/>
        <v>193</v>
      </c>
    </row>
  </sheetData>
  <autoFilter ref="A3:P110" xr:uid="{00000000-0009-0000-0000-000015000000}">
    <filterColumn colId="8">
      <filters>
        <filter val="333821"/>
      </filters>
    </filterColumn>
    <filterColumn colId="9">
      <filters>
        <filter val="131"/>
      </filters>
    </filterColumn>
    <sortState xmlns:xlrd2="http://schemas.microsoft.com/office/spreadsheetml/2017/richdata2" ref="A4:P110">
      <sortCondition ref="A4:A110"/>
      <sortCondition ref="B4:B110"/>
      <sortCondition ref="H4:H110"/>
    </sortState>
  </autoFilter>
  <sortState xmlns:xlrd2="http://schemas.microsoft.com/office/spreadsheetml/2017/richdata2" ref="T4:U50">
    <sortCondition ref="U4:U50"/>
  </sortState>
  <mergeCells count="13">
    <mergeCell ref="N1:N2"/>
    <mergeCell ref="G1:G2"/>
    <mergeCell ref="H1:H2"/>
    <mergeCell ref="I1:J1"/>
    <mergeCell ref="K1:K2"/>
    <mergeCell ref="L1:L2"/>
    <mergeCell ref="M1:M2"/>
    <mergeCell ref="F1:F2"/>
    <mergeCell ref="A1:A2"/>
    <mergeCell ref="B1:B2"/>
    <mergeCell ref="C1:C2"/>
    <mergeCell ref="D1:D2"/>
    <mergeCell ref="E1:E2"/>
  </mergeCells>
  <hyperlinks>
    <hyperlink ref="P1" location="Summary!A1" display="Back to summary" xr:uid="{00000000-0004-0000-1500-000000000000}"/>
  </hyperlink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filterMode="1">
    <tabColor rgb="FF92D050"/>
  </sheetPr>
  <dimension ref="A1:AB83"/>
  <sheetViews>
    <sheetView workbookViewId="0">
      <selection activeCell="M16" sqref="M16:M54"/>
    </sheetView>
  </sheetViews>
  <sheetFormatPr defaultRowHeight="15" customHeight="1" x14ac:dyDescent="0.2"/>
  <cols>
    <col min="1" max="1" width="9.140625" style="12"/>
    <col min="2" max="2" width="9.140625" style="36"/>
    <col min="3" max="6" width="9.140625" style="12"/>
    <col min="7" max="7" width="9.140625" style="14"/>
    <col min="8" max="8" width="28.28515625" style="12" customWidth="1"/>
    <col min="9" max="12" width="9.140625" style="12"/>
    <col min="13" max="13" width="12" style="17" bestFit="1" customWidth="1"/>
    <col min="14" max="14" width="10.7109375" style="17" bestFit="1" customWidth="1"/>
    <col min="15" max="17" width="9.140625" style="12"/>
    <col min="18" max="28" width="9.140625" style="14"/>
    <col min="29" max="16384" width="9.140625" style="12"/>
  </cols>
  <sheetData>
    <row r="1" spans="1:16" ht="15" customHeight="1" thickBot="1" x14ac:dyDescent="0.25">
      <c r="A1" s="247" t="s">
        <v>0</v>
      </c>
      <c r="B1" s="219" t="s">
        <v>1</v>
      </c>
      <c r="C1" s="247" t="s">
        <v>2</v>
      </c>
      <c r="D1" s="249" t="s">
        <v>3</v>
      </c>
      <c r="E1" s="249" t="s">
        <v>4</v>
      </c>
      <c r="F1" s="249" t="s">
        <v>5</v>
      </c>
      <c r="G1" s="241" t="s">
        <v>6</v>
      </c>
      <c r="H1" s="243" t="s">
        <v>7</v>
      </c>
      <c r="I1" s="245" t="s">
        <v>8</v>
      </c>
      <c r="J1" s="246"/>
      <c r="K1" s="247" t="s">
        <v>9</v>
      </c>
      <c r="L1" s="247" t="s">
        <v>10</v>
      </c>
      <c r="M1" s="254" t="s">
        <v>76</v>
      </c>
      <c r="N1" s="254" t="s">
        <v>77</v>
      </c>
      <c r="O1" s="45" t="s">
        <v>78</v>
      </c>
      <c r="P1" s="146" t="s">
        <v>356</v>
      </c>
    </row>
    <row r="2" spans="1:16" ht="15" customHeight="1" thickBot="1" x14ac:dyDescent="0.25">
      <c r="A2" s="248"/>
      <c r="B2" s="220"/>
      <c r="C2" s="248"/>
      <c r="D2" s="253"/>
      <c r="E2" s="253"/>
      <c r="F2" s="250"/>
      <c r="G2" s="242"/>
      <c r="H2" s="244"/>
      <c r="I2" s="46" t="s">
        <v>13</v>
      </c>
      <c r="J2" s="47" t="s">
        <v>14</v>
      </c>
      <c r="K2" s="248"/>
      <c r="L2" s="248"/>
      <c r="M2" s="255"/>
      <c r="N2" s="255"/>
      <c r="O2" s="38" t="s">
        <v>78</v>
      </c>
      <c r="P2" s="38"/>
    </row>
    <row r="3" spans="1:16" ht="15" customHeight="1" x14ac:dyDescent="0.2">
      <c r="A3" s="48"/>
      <c r="B3" s="81"/>
      <c r="C3" s="48">
        <v>123</v>
      </c>
      <c r="D3" s="49"/>
      <c r="E3" s="49"/>
      <c r="F3" s="49"/>
      <c r="G3" s="51" t="s">
        <v>15</v>
      </c>
      <c r="H3" s="52"/>
      <c r="I3" s="52"/>
      <c r="J3" s="52"/>
      <c r="K3" s="48"/>
      <c r="L3" s="48"/>
      <c r="M3" s="82"/>
      <c r="N3" s="82"/>
      <c r="O3" s="38" t="s">
        <v>16</v>
      </c>
      <c r="P3" s="38" t="s">
        <v>17</v>
      </c>
    </row>
    <row r="4" spans="1:16" ht="15" hidden="1" customHeight="1" x14ac:dyDescent="0.2">
      <c r="A4" s="12" t="s">
        <v>310</v>
      </c>
      <c r="B4" s="36">
        <v>46025</v>
      </c>
      <c r="C4" s="12">
        <f t="shared" ref="C4:C35" si="0">C3+D4</f>
        <v>124</v>
      </c>
      <c r="D4" s="38">
        <f t="shared" ref="D4:D35" si="1">IF(H4=H3,0,1)</f>
        <v>1</v>
      </c>
      <c r="G4" s="14" t="s">
        <v>44</v>
      </c>
      <c r="H4" s="12" t="s">
        <v>4134</v>
      </c>
      <c r="I4" s="12">
        <v>331</v>
      </c>
      <c r="J4" s="12">
        <v>1111</v>
      </c>
      <c r="K4" s="12" t="s">
        <v>20</v>
      </c>
      <c r="L4" s="12">
        <v>1</v>
      </c>
      <c r="M4" s="17">
        <v>87200</v>
      </c>
      <c r="N4" s="17">
        <f t="shared" ref="N4:N35" si="2">L4*M4</f>
        <v>87200</v>
      </c>
      <c r="P4" s="12">
        <f>LEN(H4)</f>
        <v>65</v>
      </c>
    </row>
    <row r="5" spans="1:16" ht="15" hidden="1" customHeight="1" x14ac:dyDescent="0.2">
      <c r="A5" s="12" t="s">
        <v>310</v>
      </c>
      <c r="B5" s="36">
        <v>46025</v>
      </c>
      <c r="C5" s="12">
        <f t="shared" si="0"/>
        <v>125</v>
      </c>
      <c r="D5" s="38">
        <f t="shared" si="1"/>
        <v>1</v>
      </c>
      <c r="G5" s="14" t="s">
        <v>1846</v>
      </c>
      <c r="H5" s="12" t="s">
        <v>4171</v>
      </c>
      <c r="I5" s="12">
        <v>331</v>
      </c>
      <c r="J5" s="12">
        <v>1111</v>
      </c>
      <c r="K5" s="12" t="s">
        <v>20</v>
      </c>
      <c r="L5" s="12">
        <v>1</v>
      </c>
      <c r="M5" s="17">
        <v>785160</v>
      </c>
      <c r="N5" s="17">
        <f t="shared" si="2"/>
        <v>785160</v>
      </c>
      <c r="P5" s="12">
        <f t="shared" ref="P5:P68" si="3">LEN(H5)</f>
        <v>52</v>
      </c>
    </row>
    <row r="6" spans="1:16" ht="15" hidden="1" customHeight="1" x14ac:dyDescent="0.2">
      <c r="A6" s="12" t="s">
        <v>310</v>
      </c>
      <c r="B6" s="36">
        <v>46028</v>
      </c>
      <c r="C6" s="12">
        <f t="shared" si="0"/>
        <v>126</v>
      </c>
      <c r="D6" s="38">
        <f t="shared" si="1"/>
        <v>1</v>
      </c>
      <c r="G6" s="14" t="s">
        <v>35</v>
      </c>
      <c r="H6" s="12" t="s">
        <v>4135</v>
      </c>
      <c r="I6" s="12">
        <v>331</v>
      </c>
      <c r="J6" s="12">
        <v>1111</v>
      </c>
      <c r="K6" s="12" t="s">
        <v>20</v>
      </c>
      <c r="L6" s="12">
        <v>1</v>
      </c>
      <c r="M6" s="17">
        <v>2160000</v>
      </c>
      <c r="N6" s="17">
        <f t="shared" si="2"/>
        <v>2160000</v>
      </c>
      <c r="P6" s="12">
        <f t="shared" si="3"/>
        <v>52</v>
      </c>
    </row>
    <row r="7" spans="1:16" ht="15" hidden="1" customHeight="1" x14ac:dyDescent="0.2">
      <c r="A7" s="12" t="s">
        <v>310</v>
      </c>
      <c r="B7" s="36">
        <v>46056</v>
      </c>
      <c r="C7" s="12">
        <f t="shared" si="0"/>
        <v>127</v>
      </c>
      <c r="D7" s="38">
        <f t="shared" si="1"/>
        <v>1</v>
      </c>
      <c r="G7" s="14" t="s">
        <v>35</v>
      </c>
      <c r="H7" s="12" t="s">
        <v>4136</v>
      </c>
      <c r="I7" s="12">
        <v>331</v>
      </c>
      <c r="J7" s="12">
        <v>1111</v>
      </c>
      <c r="K7" s="12" t="s">
        <v>20</v>
      </c>
      <c r="L7" s="12">
        <v>1</v>
      </c>
      <c r="M7" s="17">
        <v>2160000</v>
      </c>
      <c r="N7" s="17">
        <f t="shared" si="2"/>
        <v>2160000</v>
      </c>
      <c r="P7" s="12">
        <f t="shared" si="3"/>
        <v>52</v>
      </c>
    </row>
    <row r="8" spans="1:16" ht="15" hidden="1" customHeight="1" x14ac:dyDescent="0.2">
      <c r="A8" s="12" t="s">
        <v>310</v>
      </c>
      <c r="B8" s="36">
        <v>46058</v>
      </c>
      <c r="C8" s="12">
        <f t="shared" si="0"/>
        <v>128</v>
      </c>
      <c r="D8" s="38">
        <f t="shared" si="1"/>
        <v>1</v>
      </c>
      <c r="G8" s="14" t="s">
        <v>1849</v>
      </c>
      <c r="H8" s="12" t="s">
        <v>4137</v>
      </c>
      <c r="I8" s="12">
        <v>331</v>
      </c>
      <c r="J8" s="12">
        <v>1111</v>
      </c>
      <c r="K8" s="12" t="s">
        <v>20</v>
      </c>
      <c r="L8" s="12">
        <v>1</v>
      </c>
      <c r="M8" s="17">
        <v>900340</v>
      </c>
      <c r="N8" s="17">
        <f t="shared" si="2"/>
        <v>900340</v>
      </c>
      <c r="P8" s="12">
        <f t="shared" si="3"/>
        <v>76</v>
      </c>
    </row>
    <row r="9" spans="1:16" ht="15" hidden="1" customHeight="1" x14ac:dyDescent="0.2">
      <c r="A9" s="12" t="s">
        <v>310</v>
      </c>
      <c r="B9" s="36">
        <v>46087</v>
      </c>
      <c r="C9" s="12">
        <f t="shared" si="0"/>
        <v>129</v>
      </c>
      <c r="D9" s="38">
        <f t="shared" si="1"/>
        <v>1</v>
      </c>
      <c r="G9" s="14" t="s">
        <v>35</v>
      </c>
      <c r="H9" s="12" t="s">
        <v>4138</v>
      </c>
      <c r="I9" s="12">
        <v>331</v>
      </c>
      <c r="J9" s="12">
        <v>1111</v>
      </c>
      <c r="K9" s="12" t="s">
        <v>20</v>
      </c>
      <c r="L9" s="12">
        <v>1</v>
      </c>
      <c r="M9" s="17">
        <v>2160000</v>
      </c>
      <c r="N9" s="17">
        <f t="shared" si="2"/>
        <v>2160000</v>
      </c>
      <c r="P9" s="12">
        <f t="shared" si="3"/>
        <v>52</v>
      </c>
    </row>
    <row r="10" spans="1:16" ht="15" hidden="1" customHeight="1" x14ac:dyDescent="0.2">
      <c r="A10" s="12" t="s">
        <v>310</v>
      </c>
      <c r="B10" s="36">
        <v>46091</v>
      </c>
      <c r="C10" s="12">
        <f t="shared" si="0"/>
        <v>130</v>
      </c>
      <c r="D10" s="38">
        <f t="shared" si="1"/>
        <v>1</v>
      </c>
      <c r="G10" s="14" t="s">
        <v>30</v>
      </c>
      <c r="H10" s="12" t="s">
        <v>4139</v>
      </c>
      <c r="I10" s="12">
        <v>331</v>
      </c>
      <c r="J10" s="12">
        <v>1111</v>
      </c>
      <c r="K10" s="12" t="s">
        <v>20</v>
      </c>
      <c r="L10" s="12">
        <v>1</v>
      </c>
      <c r="M10" s="17">
        <v>899000</v>
      </c>
      <c r="N10" s="17">
        <f t="shared" si="2"/>
        <v>899000</v>
      </c>
      <c r="P10" s="12">
        <f t="shared" si="3"/>
        <v>34</v>
      </c>
    </row>
    <row r="11" spans="1:16" ht="15" hidden="1" customHeight="1" x14ac:dyDescent="0.2">
      <c r="A11" s="12" t="s">
        <v>18</v>
      </c>
      <c r="B11" s="36">
        <v>46025</v>
      </c>
      <c r="C11" s="12">
        <f t="shared" si="0"/>
        <v>131</v>
      </c>
      <c r="D11" s="38">
        <f t="shared" si="1"/>
        <v>1</v>
      </c>
      <c r="G11" s="14" t="s">
        <v>44</v>
      </c>
      <c r="H11" s="12" t="s">
        <v>1845</v>
      </c>
      <c r="I11" s="12">
        <v>64277</v>
      </c>
      <c r="J11" s="12">
        <v>331</v>
      </c>
      <c r="K11" s="12" t="s">
        <v>20</v>
      </c>
      <c r="L11" s="12">
        <v>1</v>
      </c>
      <c r="M11" s="17">
        <v>80741</v>
      </c>
      <c r="N11" s="17">
        <f t="shared" si="2"/>
        <v>80741</v>
      </c>
      <c r="P11" s="12">
        <f t="shared" si="3"/>
        <v>54</v>
      </c>
    </row>
    <row r="12" spans="1:16" ht="15" hidden="1" customHeight="1" x14ac:dyDescent="0.2">
      <c r="A12" s="12" t="s">
        <v>18</v>
      </c>
      <c r="B12" s="36">
        <v>46025</v>
      </c>
      <c r="C12" s="12">
        <f t="shared" si="0"/>
        <v>131</v>
      </c>
      <c r="D12" s="38">
        <f t="shared" si="1"/>
        <v>0</v>
      </c>
      <c r="G12" s="14" t="s">
        <v>44</v>
      </c>
      <c r="H12" s="12" t="s">
        <v>1845</v>
      </c>
      <c r="I12" s="12">
        <v>1331</v>
      </c>
      <c r="J12" s="12">
        <v>331</v>
      </c>
      <c r="K12" s="12" t="s">
        <v>20</v>
      </c>
      <c r="L12" s="12">
        <v>1</v>
      </c>
      <c r="M12" s="17">
        <v>6459</v>
      </c>
      <c r="N12" s="17">
        <f t="shared" si="2"/>
        <v>6459</v>
      </c>
      <c r="P12" s="12">
        <f t="shared" si="3"/>
        <v>54</v>
      </c>
    </row>
    <row r="13" spans="1:16" ht="15" hidden="1" customHeight="1" x14ac:dyDescent="0.2">
      <c r="A13" s="12" t="s">
        <v>18</v>
      </c>
      <c r="B13" s="36">
        <v>46025</v>
      </c>
      <c r="C13" s="12">
        <f t="shared" si="0"/>
        <v>132</v>
      </c>
      <c r="D13" s="38">
        <f t="shared" si="1"/>
        <v>1</v>
      </c>
      <c r="G13" s="14" t="s">
        <v>1846</v>
      </c>
      <c r="H13" s="12" t="s">
        <v>4172</v>
      </c>
      <c r="I13" s="12">
        <v>64277</v>
      </c>
      <c r="J13" s="12">
        <v>331</v>
      </c>
      <c r="K13" s="12" t="s">
        <v>20</v>
      </c>
      <c r="L13" s="12">
        <v>1</v>
      </c>
      <c r="M13" s="17">
        <v>727000</v>
      </c>
      <c r="N13" s="17">
        <f t="shared" si="2"/>
        <v>727000</v>
      </c>
      <c r="P13" s="12">
        <f t="shared" si="3"/>
        <v>41</v>
      </c>
    </row>
    <row r="14" spans="1:16" ht="15" hidden="1" customHeight="1" x14ac:dyDescent="0.2">
      <c r="A14" s="12" t="s">
        <v>18</v>
      </c>
      <c r="B14" s="36">
        <v>46025</v>
      </c>
      <c r="C14" s="12">
        <f t="shared" si="0"/>
        <v>132</v>
      </c>
      <c r="D14" s="38">
        <f t="shared" si="1"/>
        <v>0</v>
      </c>
      <c r="G14" s="14" t="s">
        <v>1846</v>
      </c>
      <c r="H14" s="12" t="s">
        <v>4172</v>
      </c>
      <c r="I14" s="12">
        <v>1331</v>
      </c>
      <c r="J14" s="12">
        <v>331</v>
      </c>
      <c r="K14" s="12" t="s">
        <v>20</v>
      </c>
      <c r="L14" s="12">
        <v>1</v>
      </c>
      <c r="M14" s="17">
        <v>58160</v>
      </c>
      <c r="N14" s="17">
        <f t="shared" si="2"/>
        <v>58160</v>
      </c>
      <c r="P14" s="12">
        <f t="shared" si="3"/>
        <v>41</v>
      </c>
    </row>
    <row r="15" spans="1:16" ht="15" hidden="1" customHeight="1" x14ac:dyDescent="0.2">
      <c r="A15" s="12" t="s">
        <v>18</v>
      </c>
      <c r="B15" s="36">
        <v>46027</v>
      </c>
      <c r="C15" s="12">
        <f t="shared" si="0"/>
        <v>133</v>
      </c>
      <c r="D15" s="38">
        <f t="shared" si="1"/>
        <v>1</v>
      </c>
      <c r="G15" s="14" t="s">
        <v>244</v>
      </c>
      <c r="H15" s="12" t="s">
        <v>1853</v>
      </c>
      <c r="I15" s="12">
        <v>131</v>
      </c>
      <c r="J15" s="12">
        <v>5113</v>
      </c>
      <c r="K15" s="12" t="s">
        <v>20</v>
      </c>
      <c r="L15" s="12">
        <v>1</v>
      </c>
      <c r="M15" s="17">
        <v>6989247</v>
      </c>
      <c r="N15" s="17">
        <f t="shared" si="2"/>
        <v>6989247</v>
      </c>
      <c r="P15" s="12">
        <f t="shared" si="3"/>
        <v>158</v>
      </c>
    </row>
    <row r="16" spans="1:16" ht="15" customHeight="1" x14ac:dyDescent="0.2">
      <c r="A16" s="12" t="s">
        <v>18</v>
      </c>
      <c r="B16" s="36">
        <v>46027</v>
      </c>
      <c r="C16" s="12">
        <f t="shared" si="0"/>
        <v>134</v>
      </c>
      <c r="D16" s="38">
        <f t="shared" si="1"/>
        <v>1</v>
      </c>
      <c r="G16" s="14" t="s">
        <v>244</v>
      </c>
      <c r="H16" s="12" t="s">
        <v>4140</v>
      </c>
      <c r="I16" s="12">
        <v>333821</v>
      </c>
      <c r="J16" s="12">
        <v>131</v>
      </c>
      <c r="K16" s="12" t="s">
        <v>20</v>
      </c>
      <c r="L16" s="12">
        <v>1</v>
      </c>
      <c r="M16" s="17">
        <v>69892</v>
      </c>
      <c r="N16" s="17">
        <f t="shared" si="2"/>
        <v>69892</v>
      </c>
      <c r="P16" s="12">
        <f t="shared" si="3"/>
        <v>174</v>
      </c>
    </row>
    <row r="17" spans="1:16" ht="15" hidden="1" customHeight="1" x14ac:dyDescent="0.2">
      <c r="A17" s="12" t="s">
        <v>18</v>
      </c>
      <c r="B17" s="36">
        <v>46028</v>
      </c>
      <c r="C17" s="12">
        <f t="shared" si="0"/>
        <v>135</v>
      </c>
      <c r="D17" s="38">
        <f t="shared" si="1"/>
        <v>1</v>
      </c>
      <c r="G17" s="14" t="s">
        <v>35</v>
      </c>
      <c r="H17" s="12" t="s">
        <v>1847</v>
      </c>
      <c r="I17" s="12">
        <v>64277</v>
      </c>
      <c r="J17" s="12">
        <v>331</v>
      </c>
      <c r="K17" s="12" t="s">
        <v>20</v>
      </c>
      <c r="L17" s="12">
        <v>1</v>
      </c>
      <c r="M17" s="17">
        <v>2000000</v>
      </c>
      <c r="N17" s="17">
        <f t="shared" si="2"/>
        <v>2000000</v>
      </c>
      <c r="P17" s="12">
        <f t="shared" si="3"/>
        <v>41</v>
      </c>
    </row>
    <row r="18" spans="1:16" ht="15" hidden="1" customHeight="1" x14ac:dyDescent="0.2">
      <c r="A18" s="12" t="s">
        <v>18</v>
      </c>
      <c r="B18" s="36">
        <v>46028</v>
      </c>
      <c r="C18" s="12">
        <f t="shared" si="0"/>
        <v>135</v>
      </c>
      <c r="D18" s="38">
        <f t="shared" si="1"/>
        <v>0</v>
      </c>
      <c r="G18" s="14" t="s">
        <v>35</v>
      </c>
      <c r="H18" s="12" t="s">
        <v>1847</v>
      </c>
      <c r="I18" s="12">
        <v>1331</v>
      </c>
      <c r="J18" s="12">
        <v>331</v>
      </c>
      <c r="K18" s="12" t="s">
        <v>20</v>
      </c>
      <c r="L18" s="12">
        <v>1</v>
      </c>
      <c r="M18" s="17">
        <v>160000</v>
      </c>
      <c r="N18" s="17">
        <f t="shared" si="2"/>
        <v>160000</v>
      </c>
      <c r="P18" s="12">
        <f t="shared" si="3"/>
        <v>41</v>
      </c>
    </row>
    <row r="19" spans="1:16" ht="15" hidden="1" customHeight="1" x14ac:dyDescent="0.2">
      <c r="A19" s="12" t="s">
        <v>18</v>
      </c>
      <c r="B19" s="36">
        <v>46035</v>
      </c>
      <c r="C19" s="12">
        <f t="shared" si="0"/>
        <v>136</v>
      </c>
      <c r="D19" s="38">
        <f t="shared" si="1"/>
        <v>1</v>
      </c>
      <c r="G19" s="14" t="s">
        <v>1854</v>
      </c>
      <c r="H19" s="12" t="s">
        <v>1855</v>
      </c>
      <c r="I19" s="12">
        <v>131</v>
      </c>
      <c r="J19" s="12">
        <v>5113</v>
      </c>
      <c r="K19" s="12" t="s">
        <v>20</v>
      </c>
      <c r="L19" s="12">
        <v>1</v>
      </c>
      <c r="M19" s="17">
        <v>16666667</v>
      </c>
      <c r="N19" s="17">
        <f t="shared" si="2"/>
        <v>16666667</v>
      </c>
      <c r="P19" s="12">
        <f t="shared" si="3"/>
        <v>144</v>
      </c>
    </row>
    <row r="20" spans="1:16" ht="15" customHeight="1" x14ac:dyDescent="0.2">
      <c r="A20" s="12" t="s">
        <v>18</v>
      </c>
      <c r="B20" s="36">
        <v>46035</v>
      </c>
      <c r="C20" s="12">
        <f t="shared" si="0"/>
        <v>137</v>
      </c>
      <c r="D20" s="38">
        <f t="shared" si="1"/>
        <v>1</v>
      </c>
      <c r="G20" s="14" t="s">
        <v>1854</v>
      </c>
      <c r="H20" s="12" t="s">
        <v>4141</v>
      </c>
      <c r="I20" s="12">
        <v>333821</v>
      </c>
      <c r="J20" s="12">
        <v>131</v>
      </c>
      <c r="K20" s="12" t="s">
        <v>20</v>
      </c>
      <c r="L20" s="12">
        <v>1</v>
      </c>
      <c r="M20" s="17">
        <v>166667</v>
      </c>
      <c r="N20" s="17">
        <f t="shared" si="2"/>
        <v>166667</v>
      </c>
      <c r="P20" s="12">
        <f t="shared" si="3"/>
        <v>160</v>
      </c>
    </row>
    <row r="21" spans="1:16" ht="15" hidden="1" customHeight="1" x14ac:dyDescent="0.2">
      <c r="A21" s="12" t="s">
        <v>18</v>
      </c>
      <c r="B21" s="36">
        <v>46038</v>
      </c>
      <c r="C21" s="12">
        <f t="shared" si="0"/>
        <v>138</v>
      </c>
      <c r="D21" s="38">
        <f t="shared" si="1"/>
        <v>1</v>
      </c>
      <c r="G21" s="14" t="s">
        <v>26</v>
      </c>
      <c r="H21" s="12" t="s">
        <v>1856</v>
      </c>
      <c r="I21" s="12">
        <v>131</v>
      </c>
      <c r="J21" s="12">
        <v>5113</v>
      </c>
      <c r="K21" s="12" t="s">
        <v>20</v>
      </c>
      <c r="L21" s="12">
        <v>1</v>
      </c>
      <c r="M21" s="17">
        <v>8333333</v>
      </c>
      <c r="N21" s="17">
        <f t="shared" si="2"/>
        <v>8333333</v>
      </c>
      <c r="P21" s="12">
        <f t="shared" si="3"/>
        <v>151</v>
      </c>
    </row>
    <row r="22" spans="1:16" ht="15" customHeight="1" x14ac:dyDescent="0.2">
      <c r="A22" s="12" t="s">
        <v>18</v>
      </c>
      <c r="B22" s="36">
        <v>46038</v>
      </c>
      <c r="C22" s="12">
        <f t="shared" si="0"/>
        <v>139</v>
      </c>
      <c r="D22" s="38">
        <f t="shared" si="1"/>
        <v>1</v>
      </c>
      <c r="G22" s="14" t="s">
        <v>26</v>
      </c>
      <c r="H22" s="12" t="s">
        <v>4142</v>
      </c>
      <c r="I22" s="12">
        <v>333821</v>
      </c>
      <c r="J22" s="12">
        <v>131</v>
      </c>
      <c r="K22" s="12" t="s">
        <v>20</v>
      </c>
      <c r="L22" s="12">
        <v>1</v>
      </c>
      <c r="M22" s="17">
        <v>83333</v>
      </c>
      <c r="N22" s="17">
        <f t="shared" si="2"/>
        <v>83333</v>
      </c>
      <c r="P22" s="12">
        <f t="shared" si="3"/>
        <v>167</v>
      </c>
    </row>
    <row r="23" spans="1:16" ht="15" hidden="1" customHeight="1" x14ac:dyDescent="0.2">
      <c r="A23" s="12" t="s">
        <v>18</v>
      </c>
      <c r="B23" s="36">
        <v>46048</v>
      </c>
      <c r="C23" s="12">
        <f t="shared" si="0"/>
        <v>140</v>
      </c>
      <c r="D23" s="38">
        <f t="shared" si="1"/>
        <v>1</v>
      </c>
      <c r="G23" s="14" t="s">
        <v>68</v>
      </c>
      <c r="H23" s="12" t="s">
        <v>1857</v>
      </c>
      <c r="I23" s="12">
        <v>131</v>
      </c>
      <c r="J23" s="12">
        <v>5113</v>
      </c>
      <c r="K23" s="12" t="s">
        <v>20</v>
      </c>
      <c r="L23" s="12">
        <v>1</v>
      </c>
      <c r="M23" s="17">
        <v>7222222</v>
      </c>
      <c r="N23" s="17">
        <f t="shared" si="2"/>
        <v>7222222</v>
      </c>
      <c r="P23" s="12">
        <f t="shared" si="3"/>
        <v>147</v>
      </c>
    </row>
    <row r="24" spans="1:16" ht="15" customHeight="1" x14ac:dyDescent="0.2">
      <c r="A24" s="12" t="s">
        <v>18</v>
      </c>
      <c r="B24" s="36">
        <v>46048</v>
      </c>
      <c r="C24" s="12">
        <f t="shared" si="0"/>
        <v>141</v>
      </c>
      <c r="D24" s="38">
        <f t="shared" si="1"/>
        <v>1</v>
      </c>
      <c r="G24" s="14" t="s">
        <v>68</v>
      </c>
      <c r="H24" s="12" t="s">
        <v>4143</v>
      </c>
      <c r="I24" s="12">
        <v>333821</v>
      </c>
      <c r="J24" s="12">
        <v>131</v>
      </c>
      <c r="K24" s="12" t="s">
        <v>20</v>
      </c>
      <c r="L24" s="12">
        <v>1</v>
      </c>
      <c r="M24" s="17">
        <v>72222</v>
      </c>
      <c r="N24" s="17">
        <f t="shared" si="2"/>
        <v>72222</v>
      </c>
      <c r="P24" s="12">
        <f t="shared" si="3"/>
        <v>163</v>
      </c>
    </row>
    <row r="25" spans="1:16" ht="15" hidden="1" customHeight="1" x14ac:dyDescent="0.2">
      <c r="A25" s="12" t="s">
        <v>18</v>
      </c>
      <c r="B25" s="36">
        <v>46052</v>
      </c>
      <c r="C25" s="12">
        <f t="shared" si="0"/>
        <v>142</v>
      </c>
      <c r="D25" s="38">
        <f t="shared" si="1"/>
        <v>1</v>
      </c>
      <c r="G25" s="14" t="s">
        <v>88</v>
      </c>
      <c r="H25" s="12" t="s">
        <v>1858</v>
      </c>
      <c r="I25" s="12">
        <v>131</v>
      </c>
      <c r="J25" s="12">
        <v>5113</v>
      </c>
      <c r="K25" s="12" t="s">
        <v>20</v>
      </c>
      <c r="L25" s="12">
        <v>1</v>
      </c>
      <c r="M25" s="17">
        <v>8333333</v>
      </c>
      <c r="N25" s="17">
        <f t="shared" si="2"/>
        <v>8333333</v>
      </c>
      <c r="P25" s="12">
        <f t="shared" si="3"/>
        <v>126</v>
      </c>
    </row>
    <row r="26" spans="1:16" ht="15" customHeight="1" x14ac:dyDescent="0.2">
      <c r="A26" s="12" t="s">
        <v>18</v>
      </c>
      <c r="B26" s="36">
        <v>46052</v>
      </c>
      <c r="C26" s="12">
        <f t="shared" si="0"/>
        <v>143</v>
      </c>
      <c r="D26" s="38">
        <f t="shared" si="1"/>
        <v>1</v>
      </c>
      <c r="G26" s="14" t="s">
        <v>88</v>
      </c>
      <c r="H26" s="12" t="s">
        <v>4144</v>
      </c>
      <c r="I26" s="12">
        <v>333821</v>
      </c>
      <c r="J26" s="12">
        <v>131</v>
      </c>
      <c r="K26" s="12" t="s">
        <v>20</v>
      </c>
      <c r="L26" s="12">
        <v>1</v>
      </c>
      <c r="M26" s="17">
        <v>83333</v>
      </c>
      <c r="N26" s="17">
        <f t="shared" si="2"/>
        <v>83333</v>
      </c>
      <c r="P26" s="12">
        <f t="shared" si="3"/>
        <v>142</v>
      </c>
    </row>
    <row r="27" spans="1:16" ht="15" hidden="1" customHeight="1" x14ac:dyDescent="0.2">
      <c r="A27" s="12" t="s">
        <v>18</v>
      </c>
      <c r="B27" s="36">
        <v>46053</v>
      </c>
      <c r="C27" s="12">
        <f t="shared" si="0"/>
        <v>144</v>
      </c>
      <c r="D27" s="38">
        <f t="shared" si="1"/>
        <v>1</v>
      </c>
      <c r="G27" s="14" t="s">
        <v>71</v>
      </c>
      <c r="H27" s="12" t="s">
        <v>455</v>
      </c>
      <c r="I27" s="12">
        <v>64271</v>
      </c>
      <c r="J27" s="12">
        <v>3383</v>
      </c>
      <c r="K27" s="12" t="s">
        <v>20</v>
      </c>
      <c r="L27" s="12">
        <v>1</v>
      </c>
      <c r="M27" s="17">
        <v>690300</v>
      </c>
      <c r="N27" s="17">
        <f t="shared" si="2"/>
        <v>690300</v>
      </c>
      <c r="P27" s="12">
        <f t="shared" si="3"/>
        <v>30</v>
      </c>
    </row>
    <row r="28" spans="1:16" ht="15" hidden="1" customHeight="1" x14ac:dyDescent="0.2">
      <c r="A28" s="12" t="s">
        <v>18</v>
      </c>
      <c r="B28" s="36">
        <v>46056</v>
      </c>
      <c r="C28" s="12">
        <f t="shared" si="0"/>
        <v>145</v>
      </c>
      <c r="D28" s="38">
        <f t="shared" si="1"/>
        <v>1</v>
      </c>
      <c r="G28" s="14" t="s">
        <v>35</v>
      </c>
      <c r="H28" s="12" t="s">
        <v>1848</v>
      </c>
      <c r="I28" s="12">
        <v>64277</v>
      </c>
      <c r="J28" s="12">
        <v>331</v>
      </c>
      <c r="K28" s="12" t="s">
        <v>20</v>
      </c>
      <c r="L28" s="12">
        <v>1</v>
      </c>
      <c r="M28" s="17">
        <v>2000000</v>
      </c>
      <c r="N28" s="17">
        <f t="shared" si="2"/>
        <v>2000000</v>
      </c>
      <c r="P28" s="12">
        <f t="shared" si="3"/>
        <v>41</v>
      </c>
    </row>
    <row r="29" spans="1:16" ht="15" hidden="1" customHeight="1" x14ac:dyDescent="0.2">
      <c r="A29" s="12" t="s">
        <v>18</v>
      </c>
      <c r="B29" s="36">
        <v>46056</v>
      </c>
      <c r="C29" s="12">
        <f t="shared" si="0"/>
        <v>145</v>
      </c>
      <c r="D29" s="38">
        <f t="shared" si="1"/>
        <v>0</v>
      </c>
      <c r="G29" s="14" t="s">
        <v>35</v>
      </c>
      <c r="H29" s="12" t="s">
        <v>1848</v>
      </c>
      <c r="I29" s="12">
        <v>1331</v>
      </c>
      <c r="J29" s="12">
        <v>331</v>
      </c>
      <c r="K29" s="12" t="s">
        <v>20</v>
      </c>
      <c r="L29" s="12">
        <v>1</v>
      </c>
      <c r="M29" s="17">
        <v>160000</v>
      </c>
      <c r="N29" s="17">
        <f t="shared" si="2"/>
        <v>160000</v>
      </c>
      <c r="P29" s="12">
        <f t="shared" si="3"/>
        <v>41</v>
      </c>
    </row>
    <row r="30" spans="1:16" ht="15" hidden="1" customHeight="1" x14ac:dyDescent="0.2">
      <c r="A30" s="12" t="s">
        <v>18</v>
      </c>
      <c r="B30" s="36">
        <v>46057</v>
      </c>
      <c r="C30" s="12">
        <f t="shared" si="0"/>
        <v>146</v>
      </c>
      <c r="D30" s="38">
        <f t="shared" si="1"/>
        <v>1</v>
      </c>
      <c r="G30" s="14" t="s">
        <v>56</v>
      </c>
      <c r="H30" s="12" t="s">
        <v>1859</v>
      </c>
      <c r="I30" s="12">
        <v>131</v>
      </c>
      <c r="J30" s="12">
        <v>5113</v>
      </c>
      <c r="K30" s="12" t="s">
        <v>20</v>
      </c>
      <c r="L30" s="12">
        <v>1</v>
      </c>
      <c r="M30" s="17">
        <v>7222222</v>
      </c>
      <c r="N30" s="17">
        <f t="shared" si="2"/>
        <v>7222222</v>
      </c>
      <c r="P30" s="12">
        <f t="shared" si="3"/>
        <v>176</v>
      </c>
    </row>
    <row r="31" spans="1:16" ht="15" customHeight="1" x14ac:dyDescent="0.2">
      <c r="A31" s="12" t="s">
        <v>18</v>
      </c>
      <c r="B31" s="36">
        <v>46057</v>
      </c>
      <c r="C31" s="12">
        <f t="shared" si="0"/>
        <v>147</v>
      </c>
      <c r="D31" s="38">
        <f t="shared" si="1"/>
        <v>1</v>
      </c>
      <c r="G31" s="14" t="s">
        <v>56</v>
      </c>
      <c r="H31" s="12" t="s">
        <v>4145</v>
      </c>
      <c r="I31" s="12">
        <v>333821</v>
      </c>
      <c r="J31" s="12">
        <v>131</v>
      </c>
      <c r="K31" s="12" t="s">
        <v>20</v>
      </c>
      <c r="L31" s="12">
        <v>1</v>
      </c>
      <c r="M31" s="17">
        <v>72222</v>
      </c>
      <c r="N31" s="17">
        <f t="shared" si="2"/>
        <v>72222</v>
      </c>
      <c r="P31" s="12">
        <f t="shared" si="3"/>
        <v>192</v>
      </c>
    </row>
    <row r="32" spans="1:16" ht="15" hidden="1" customHeight="1" x14ac:dyDescent="0.2">
      <c r="A32" s="12" t="s">
        <v>18</v>
      </c>
      <c r="B32" s="36">
        <v>46058</v>
      </c>
      <c r="C32" s="12">
        <f t="shared" si="0"/>
        <v>148</v>
      </c>
      <c r="D32" s="38">
        <f t="shared" si="1"/>
        <v>1</v>
      </c>
      <c r="G32" s="174" t="s">
        <v>1849</v>
      </c>
      <c r="H32" s="12" t="s">
        <v>1850</v>
      </c>
      <c r="I32" s="12">
        <v>64277</v>
      </c>
      <c r="J32" s="12">
        <v>331</v>
      </c>
      <c r="K32" s="12" t="s">
        <v>20</v>
      </c>
      <c r="L32" s="12">
        <v>1</v>
      </c>
      <c r="M32" s="17">
        <v>833000</v>
      </c>
      <c r="N32" s="17">
        <f t="shared" si="2"/>
        <v>833000</v>
      </c>
      <c r="P32" s="12">
        <f t="shared" si="3"/>
        <v>65</v>
      </c>
    </row>
    <row r="33" spans="1:16" ht="15" hidden="1" customHeight="1" x14ac:dyDescent="0.2">
      <c r="A33" s="12" t="s">
        <v>18</v>
      </c>
      <c r="B33" s="36">
        <v>46058</v>
      </c>
      <c r="C33" s="12">
        <f t="shared" si="0"/>
        <v>148</v>
      </c>
      <c r="D33" s="38">
        <f t="shared" si="1"/>
        <v>0</v>
      </c>
      <c r="G33" s="174" t="s">
        <v>1849</v>
      </c>
      <c r="H33" s="12" t="s">
        <v>1850</v>
      </c>
      <c r="I33" s="12">
        <v>1331</v>
      </c>
      <c r="J33" s="12">
        <v>331</v>
      </c>
      <c r="K33" s="12" t="s">
        <v>20</v>
      </c>
      <c r="L33" s="12">
        <v>1</v>
      </c>
      <c r="M33" s="17">
        <v>67340</v>
      </c>
      <c r="N33" s="17">
        <f t="shared" si="2"/>
        <v>67340</v>
      </c>
      <c r="P33" s="12">
        <f t="shared" si="3"/>
        <v>65</v>
      </c>
    </row>
    <row r="34" spans="1:16" ht="15" hidden="1" customHeight="1" x14ac:dyDescent="0.2">
      <c r="A34" s="12" t="s">
        <v>18</v>
      </c>
      <c r="B34" s="36">
        <v>46078</v>
      </c>
      <c r="C34" s="12">
        <f t="shared" si="0"/>
        <v>149</v>
      </c>
      <c r="D34" s="38">
        <f t="shared" si="1"/>
        <v>1</v>
      </c>
      <c r="G34" s="14" t="s">
        <v>82</v>
      </c>
      <c r="H34" s="12" t="s">
        <v>1860</v>
      </c>
      <c r="I34" s="12">
        <v>131</v>
      </c>
      <c r="J34" s="12">
        <v>5113</v>
      </c>
      <c r="K34" s="12" t="s">
        <v>20</v>
      </c>
      <c r="L34" s="12">
        <v>1</v>
      </c>
      <c r="M34" s="17">
        <v>7777778</v>
      </c>
      <c r="N34" s="17">
        <f t="shared" si="2"/>
        <v>7777778</v>
      </c>
      <c r="P34" s="12">
        <f t="shared" si="3"/>
        <v>189</v>
      </c>
    </row>
    <row r="35" spans="1:16" ht="15" customHeight="1" x14ac:dyDescent="0.2">
      <c r="A35" s="12" t="s">
        <v>18</v>
      </c>
      <c r="B35" s="36">
        <v>46078</v>
      </c>
      <c r="C35" s="12">
        <f t="shared" si="0"/>
        <v>150</v>
      </c>
      <c r="D35" s="38">
        <f t="shared" si="1"/>
        <v>1</v>
      </c>
      <c r="G35" s="14" t="s">
        <v>82</v>
      </c>
      <c r="H35" s="12" t="s">
        <v>4173</v>
      </c>
      <c r="I35" s="12">
        <v>333821</v>
      </c>
      <c r="J35" s="12">
        <v>131</v>
      </c>
      <c r="K35" s="12" t="s">
        <v>20</v>
      </c>
      <c r="L35" s="12">
        <v>1</v>
      </c>
      <c r="M35" s="17">
        <v>77778</v>
      </c>
      <c r="N35" s="17">
        <f t="shared" si="2"/>
        <v>77778</v>
      </c>
      <c r="P35" s="12">
        <f t="shared" si="3"/>
        <v>141</v>
      </c>
    </row>
    <row r="36" spans="1:16" ht="15" hidden="1" customHeight="1" x14ac:dyDescent="0.2">
      <c r="A36" s="12" t="s">
        <v>18</v>
      </c>
      <c r="B36" s="36">
        <v>46080</v>
      </c>
      <c r="C36" s="12">
        <f t="shared" ref="C36:C67" si="4">C35+D36</f>
        <v>151</v>
      </c>
      <c r="D36" s="38">
        <f t="shared" ref="D36:D67" si="5">IF(H36=H35,0,1)</f>
        <v>1</v>
      </c>
      <c r="G36" s="14" t="s">
        <v>56</v>
      </c>
      <c r="H36" s="12" t="s">
        <v>1861</v>
      </c>
      <c r="I36" s="12">
        <v>131</v>
      </c>
      <c r="J36" s="12">
        <v>5113</v>
      </c>
      <c r="K36" s="12" t="s">
        <v>20</v>
      </c>
      <c r="L36" s="12">
        <v>1</v>
      </c>
      <c r="M36" s="17">
        <v>7974482</v>
      </c>
      <c r="N36" s="17">
        <f t="shared" ref="N36:N67" si="6">L36*M36</f>
        <v>7974482</v>
      </c>
      <c r="P36" s="12">
        <f t="shared" si="3"/>
        <v>114</v>
      </c>
    </row>
    <row r="37" spans="1:16" ht="15" customHeight="1" x14ac:dyDescent="0.2">
      <c r="A37" s="12" t="s">
        <v>18</v>
      </c>
      <c r="B37" s="36">
        <v>46080</v>
      </c>
      <c r="C37" s="12">
        <f t="shared" si="4"/>
        <v>152</v>
      </c>
      <c r="D37" s="38">
        <f t="shared" si="5"/>
        <v>1</v>
      </c>
      <c r="G37" s="14" t="s">
        <v>56</v>
      </c>
      <c r="H37" s="12" t="s">
        <v>4146</v>
      </c>
      <c r="I37" s="12">
        <v>333821</v>
      </c>
      <c r="J37" s="12">
        <v>131</v>
      </c>
      <c r="K37" s="12" t="s">
        <v>20</v>
      </c>
      <c r="L37" s="12">
        <v>1</v>
      </c>
      <c r="M37" s="17">
        <v>79745</v>
      </c>
      <c r="N37" s="17">
        <f t="shared" si="6"/>
        <v>79745</v>
      </c>
      <c r="P37" s="12">
        <f t="shared" si="3"/>
        <v>130</v>
      </c>
    </row>
    <row r="38" spans="1:16" ht="15" hidden="1" customHeight="1" x14ac:dyDescent="0.2">
      <c r="A38" s="12" t="s">
        <v>18</v>
      </c>
      <c r="B38" s="36">
        <v>46081</v>
      </c>
      <c r="C38" s="12">
        <f t="shared" si="4"/>
        <v>153</v>
      </c>
      <c r="D38" s="38">
        <f t="shared" si="5"/>
        <v>1</v>
      </c>
      <c r="G38" s="14" t="s">
        <v>71</v>
      </c>
      <c r="H38" s="12" t="s">
        <v>456</v>
      </c>
      <c r="I38" s="12">
        <v>64271</v>
      </c>
      <c r="J38" s="12">
        <v>3383</v>
      </c>
      <c r="K38" s="12" t="s">
        <v>20</v>
      </c>
      <c r="L38" s="12">
        <v>1</v>
      </c>
      <c r="M38" s="17">
        <v>690300</v>
      </c>
      <c r="N38" s="17">
        <f t="shared" si="6"/>
        <v>690300</v>
      </c>
      <c r="P38" s="12">
        <f t="shared" si="3"/>
        <v>30</v>
      </c>
    </row>
    <row r="39" spans="1:16" ht="15" hidden="1" customHeight="1" x14ac:dyDescent="0.2">
      <c r="A39" s="12" t="s">
        <v>18</v>
      </c>
      <c r="B39" s="36">
        <v>46087</v>
      </c>
      <c r="C39" s="12">
        <f t="shared" si="4"/>
        <v>154</v>
      </c>
      <c r="D39" s="38">
        <f t="shared" si="5"/>
        <v>1</v>
      </c>
      <c r="G39" s="14" t="s">
        <v>35</v>
      </c>
      <c r="H39" s="12" t="s">
        <v>1851</v>
      </c>
      <c r="I39" s="12">
        <v>64277</v>
      </c>
      <c r="J39" s="12">
        <v>331</v>
      </c>
      <c r="K39" s="12" t="s">
        <v>20</v>
      </c>
      <c r="L39" s="12">
        <v>1</v>
      </c>
      <c r="M39" s="17">
        <v>2000000</v>
      </c>
      <c r="N39" s="17">
        <f t="shared" si="6"/>
        <v>2000000</v>
      </c>
      <c r="P39" s="12">
        <f t="shared" si="3"/>
        <v>41</v>
      </c>
    </row>
    <row r="40" spans="1:16" ht="15" hidden="1" customHeight="1" x14ac:dyDescent="0.2">
      <c r="A40" s="12" t="s">
        <v>18</v>
      </c>
      <c r="B40" s="36">
        <v>46087</v>
      </c>
      <c r="C40" s="12">
        <f t="shared" si="4"/>
        <v>154</v>
      </c>
      <c r="D40" s="38">
        <f t="shared" si="5"/>
        <v>0</v>
      </c>
      <c r="G40" s="14" t="s">
        <v>35</v>
      </c>
      <c r="H40" s="12" t="s">
        <v>1851</v>
      </c>
      <c r="I40" s="12">
        <v>1331</v>
      </c>
      <c r="J40" s="12">
        <v>331</v>
      </c>
      <c r="K40" s="12" t="s">
        <v>20</v>
      </c>
      <c r="L40" s="12">
        <v>1</v>
      </c>
      <c r="M40" s="17">
        <v>160000</v>
      </c>
      <c r="N40" s="17">
        <f t="shared" si="6"/>
        <v>160000</v>
      </c>
      <c r="P40" s="12">
        <f t="shared" si="3"/>
        <v>41</v>
      </c>
    </row>
    <row r="41" spans="1:16" ht="15" hidden="1" customHeight="1" x14ac:dyDescent="0.2">
      <c r="A41" s="12" t="s">
        <v>18</v>
      </c>
      <c r="B41" s="36">
        <v>46090</v>
      </c>
      <c r="C41" s="12">
        <f t="shared" si="4"/>
        <v>155</v>
      </c>
      <c r="D41" s="38">
        <f t="shared" si="5"/>
        <v>1</v>
      </c>
      <c r="G41" s="14" t="s">
        <v>67</v>
      </c>
      <c r="H41" s="12" t="s">
        <v>1864</v>
      </c>
      <c r="I41" s="12">
        <v>131</v>
      </c>
      <c r="J41" s="12">
        <v>5113</v>
      </c>
      <c r="K41" s="12" t="s">
        <v>20</v>
      </c>
      <c r="L41" s="12">
        <v>1</v>
      </c>
      <c r="M41" s="17">
        <v>8333333</v>
      </c>
      <c r="N41" s="17">
        <f t="shared" si="6"/>
        <v>8333333</v>
      </c>
      <c r="P41" s="12">
        <f t="shared" si="3"/>
        <v>118</v>
      </c>
    </row>
    <row r="42" spans="1:16" ht="15" hidden="1" customHeight="1" x14ac:dyDescent="0.2">
      <c r="A42" s="12" t="s">
        <v>18</v>
      </c>
      <c r="B42" s="36">
        <v>46090</v>
      </c>
      <c r="C42" s="12">
        <f t="shared" si="4"/>
        <v>156</v>
      </c>
      <c r="D42" s="38">
        <f t="shared" si="5"/>
        <v>1</v>
      </c>
      <c r="G42" s="14" t="s">
        <v>1862</v>
      </c>
      <c r="H42" s="12" t="s">
        <v>1863</v>
      </c>
      <c r="I42" s="12">
        <v>131</v>
      </c>
      <c r="J42" s="12">
        <v>5113</v>
      </c>
      <c r="K42" s="12" t="s">
        <v>20</v>
      </c>
      <c r="L42" s="12">
        <v>1</v>
      </c>
      <c r="M42" s="17">
        <v>9444444</v>
      </c>
      <c r="N42" s="17">
        <f t="shared" si="6"/>
        <v>9444444</v>
      </c>
      <c r="P42" s="12">
        <f t="shared" si="3"/>
        <v>114</v>
      </c>
    </row>
    <row r="43" spans="1:16" ht="15" customHeight="1" x14ac:dyDescent="0.2">
      <c r="A43" s="12" t="s">
        <v>18</v>
      </c>
      <c r="B43" s="36">
        <v>46090</v>
      </c>
      <c r="C43" s="12">
        <f t="shared" si="4"/>
        <v>157</v>
      </c>
      <c r="D43" s="38">
        <f t="shared" si="5"/>
        <v>1</v>
      </c>
      <c r="G43" s="14" t="s">
        <v>67</v>
      </c>
      <c r="H43" s="12" t="s">
        <v>4148</v>
      </c>
      <c r="I43" s="12">
        <v>333821</v>
      </c>
      <c r="J43" s="12">
        <v>131</v>
      </c>
      <c r="K43" s="12" t="s">
        <v>20</v>
      </c>
      <c r="L43" s="12">
        <v>1</v>
      </c>
      <c r="M43" s="17">
        <v>83333</v>
      </c>
      <c r="N43" s="17">
        <f t="shared" si="6"/>
        <v>83333</v>
      </c>
      <c r="P43" s="12">
        <f t="shared" si="3"/>
        <v>134</v>
      </c>
    </row>
    <row r="44" spans="1:16" ht="15" customHeight="1" x14ac:dyDescent="0.2">
      <c r="A44" s="12" t="s">
        <v>18</v>
      </c>
      <c r="B44" s="36">
        <v>46090</v>
      </c>
      <c r="C44" s="12">
        <f t="shared" si="4"/>
        <v>158</v>
      </c>
      <c r="D44" s="38">
        <f t="shared" si="5"/>
        <v>1</v>
      </c>
      <c r="G44" s="14" t="s">
        <v>1862</v>
      </c>
      <c r="H44" s="12" t="s">
        <v>4147</v>
      </c>
      <c r="I44" s="12">
        <v>333821</v>
      </c>
      <c r="J44" s="12">
        <v>131</v>
      </c>
      <c r="K44" s="12" t="s">
        <v>20</v>
      </c>
      <c r="L44" s="12">
        <v>1</v>
      </c>
      <c r="M44" s="17">
        <v>94444</v>
      </c>
      <c r="N44" s="17">
        <f t="shared" si="6"/>
        <v>94444</v>
      </c>
      <c r="P44" s="12">
        <f t="shared" si="3"/>
        <v>130</v>
      </c>
    </row>
    <row r="45" spans="1:16" ht="15" hidden="1" customHeight="1" x14ac:dyDescent="0.2">
      <c r="A45" s="12" t="s">
        <v>18</v>
      </c>
      <c r="B45" s="36">
        <v>46091</v>
      </c>
      <c r="C45" s="12">
        <f t="shared" si="4"/>
        <v>159</v>
      </c>
      <c r="D45" s="38">
        <f t="shared" si="5"/>
        <v>1</v>
      </c>
      <c r="G45" s="14" t="s">
        <v>30</v>
      </c>
      <c r="H45" s="12" t="s">
        <v>1852</v>
      </c>
      <c r="I45" s="12">
        <v>64277</v>
      </c>
      <c r="J45" s="12">
        <v>331</v>
      </c>
      <c r="K45" s="12" t="s">
        <v>20</v>
      </c>
      <c r="L45" s="12">
        <v>1</v>
      </c>
      <c r="M45" s="17">
        <v>832407</v>
      </c>
      <c r="N45" s="17">
        <f t="shared" si="6"/>
        <v>832407</v>
      </c>
      <c r="P45" s="12">
        <f t="shared" si="3"/>
        <v>23</v>
      </c>
    </row>
    <row r="46" spans="1:16" ht="15" hidden="1" customHeight="1" x14ac:dyDescent="0.2">
      <c r="A46" s="12" t="s">
        <v>18</v>
      </c>
      <c r="B46" s="36">
        <v>46091</v>
      </c>
      <c r="C46" s="12">
        <f t="shared" si="4"/>
        <v>159</v>
      </c>
      <c r="D46" s="38">
        <f t="shared" si="5"/>
        <v>0</v>
      </c>
      <c r="G46" s="14" t="s">
        <v>30</v>
      </c>
      <c r="H46" s="12" t="s">
        <v>1852</v>
      </c>
      <c r="I46" s="12">
        <v>1331</v>
      </c>
      <c r="J46" s="12">
        <v>331</v>
      </c>
      <c r="K46" s="12" t="s">
        <v>20</v>
      </c>
      <c r="L46" s="12">
        <v>1</v>
      </c>
      <c r="M46" s="17">
        <v>66593</v>
      </c>
      <c r="N46" s="17">
        <f t="shared" si="6"/>
        <v>66593</v>
      </c>
      <c r="P46" s="12">
        <f t="shared" si="3"/>
        <v>23</v>
      </c>
    </row>
    <row r="47" spans="1:16" ht="15" hidden="1" customHeight="1" x14ac:dyDescent="0.2">
      <c r="A47" s="12" t="s">
        <v>18</v>
      </c>
      <c r="B47" s="36">
        <v>46097</v>
      </c>
      <c r="C47" s="12">
        <f t="shared" si="4"/>
        <v>160</v>
      </c>
      <c r="D47" s="38">
        <f t="shared" si="5"/>
        <v>1</v>
      </c>
      <c r="G47" s="14" t="s">
        <v>300</v>
      </c>
      <c r="H47" s="12" t="s">
        <v>1866</v>
      </c>
      <c r="I47" s="12">
        <v>131</v>
      </c>
      <c r="J47" s="12">
        <v>5113</v>
      </c>
      <c r="K47" s="12" t="s">
        <v>20</v>
      </c>
      <c r="L47" s="12">
        <v>1</v>
      </c>
      <c r="M47" s="17">
        <v>7777778</v>
      </c>
      <c r="N47" s="17">
        <f t="shared" si="6"/>
        <v>7777778</v>
      </c>
      <c r="P47" s="12">
        <f t="shared" si="3"/>
        <v>159</v>
      </c>
    </row>
    <row r="48" spans="1:16" ht="15" hidden="1" customHeight="1" x14ac:dyDescent="0.2">
      <c r="A48" s="12" t="s">
        <v>18</v>
      </c>
      <c r="B48" s="36">
        <v>46097</v>
      </c>
      <c r="C48" s="12">
        <f t="shared" si="4"/>
        <v>161</v>
      </c>
      <c r="D48" s="38">
        <f t="shared" si="5"/>
        <v>1</v>
      </c>
      <c r="G48" s="14" t="s">
        <v>26</v>
      </c>
      <c r="H48" s="12" t="s">
        <v>1867</v>
      </c>
      <c r="I48" s="12">
        <v>131</v>
      </c>
      <c r="J48" s="12">
        <v>5113</v>
      </c>
      <c r="K48" s="12" t="s">
        <v>20</v>
      </c>
      <c r="L48" s="12">
        <v>1</v>
      </c>
      <c r="M48" s="17">
        <v>8333333</v>
      </c>
      <c r="N48" s="17">
        <f t="shared" si="6"/>
        <v>8333333</v>
      </c>
      <c r="P48" s="12">
        <f t="shared" si="3"/>
        <v>155</v>
      </c>
    </row>
    <row r="49" spans="1:16" ht="15" hidden="1" customHeight="1" x14ac:dyDescent="0.2">
      <c r="A49" s="12" t="s">
        <v>18</v>
      </c>
      <c r="B49" s="36">
        <v>46097</v>
      </c>
      <c r="C49" s="12">
        <f t="shared" si="4"/>
        <v>162</v>
      </c>
      <c r="D49" s="38">
        <f t="shared" si="5"/>
        <v>1</v>
      </c>
      <c r="G49" s="14" t="s">
        <v>26</v>
      </c>
      <c r="H49" s="12" t="s">
        <v>1865</v>
      </c>
      <c r="I49" s="12">
        <v>131</v>
      </c>
      <c r="J49" s="12">
        <v>5113</v>
      </c>
      <c r="K49" s="12" t="s">
        <v>20</v>
      </c>
      <c r="L49" s="12">
        <v>1</v>
      </c>
      <c r="M49" s="17">
        <v>8333333</v>
      </c>
      <c r="N49" s="17">
        <f t="shared" si="6"/>
        <v>8333333</v>
      </c>
      <c r="P49" s="12">
        <f t="shared" si="3"/>
        <v>152</v>
      </c>
    </row>
    <row r="50" spans="1:16" ht="15" customHeight="1" x14ac:dyDescent="0.2">
      <c r="A50" s="12" t="s">
        <v>18</v>
      </c>
      <c r="B50" s="36">
        <v>46097</v>
      </c>
      <c r="C50" s="12">
        <f t="shared" si="4"/>
        <v>163</v>
      </c>
      <c r="D50" s="38">
        <f t="shared" si="5"/>
        <v>1</v>
      </c>
      <c r="G50" s="14" t="s">
        <v>300</v>
      </c>
      <c r="H50" s="12" t="s">
        <v>4150</v>
      </c>
      <c r="I50" s="12">
        <v>333821</v>
      </c>
      <c r="J50" s="12">
        <v>131</v>
      </c>
      <c r="K50" s="12" t="s">
        <v>20</v>
      </c>
      <c r="L50" s="12">
        <v>1</v>
      </c>
      <c r="M50" s="17">
        <v>77778</v>
      </c>
      <c r="N50" s="17">
        <f t="shared" si="6"/>
        <v>77778</v>
      </c>
      <c r="P50" s="12">
        <f t="shared" si="3"/>
        <v>175</v>
      </c>
    </row>
    <row r="51" spans="1:16" ht="15" customHeight="1" x14ac:dyDescent="0.2">
      <c r="A51" s="12" t="s">
        <v>18</v>
      </c>
      <c r="B51" s="36">
        <v>46097</v>
      </c>
      <c r="C51" s="12">
        <f t="shared" si="4"/>
        <v>164</v>
      </c>
      <c r="D51" s="38">
        <f t="shared" si="5"/>
        <v>1</v>
      </c>
      <c r="G51" s="14" t="s">
        <v>26</v>
      </c>
      <c r="H51" s="12" t="s">
        <v>4151</v>
      </c>
      <c r="I51" s="12">
        <v>333821</v>
      </c>
      <c r="J51" s="12">
        <v>131</v>
      </c>
      <c r="K51" s="12" t="s">
        <v>20</v>
      </c>
      <c r="L51" s="12">
        <v>1</v>
      </c>
      <c r="M51" s="17">
        <v>83333</v>
      </c>
      <c r="N51" s="17">
        <f t="shared" si="6"/>
        <v>83333</v>
      </c>
      <c r="P51" s="12">
        <f t="shared" si="3"/>
        <v>171</v>
      </c>
    </row>
    <row r="52" spans="1:16" ht="15" customHeight="1" x14ac:dyDescent="0.2">
      <c r="A52" s="12" t="s">
        <v>18</v>
      </c>
      <c r="B52" s="36">
        <v>46097</v>
      </c>
      <c r="C52" s="12">
        <f t="shared" si="4"/>
        <v>165</v>
      </c>
      <c r="D52" s="38">
        <f t="shared" si="5"/>
        <v>1</v>
      </c>
      <c r="G52" s="14" t="s">
        <v>26</v>
      </c>
      <c r="H52" s="12" t="s">
        <v>4149</v>
      </c>
      <c r="I52" s="12">
        <v>333821</v>
      </c>
      <c r="J52" s="12">
        <v>131</v>
      </c>
      <c r="K52" s="12" t="s">
        <v>20</v>
      </c>
      <c r="L52" s="12">
        <v>1</v>
      </c>
      <c r="M52" s="17">
        <v>83333</v>
      </c>
      <c r="N52" s="17">
        <f t="shared" si="6"/>
        <v>83333</v>
      </c>
      <c r="P52" s="12">
        <f t="shared" si="3"/>
        <v>168</v>
      </c>
    </row>
    <row r="53" spans="1:16" ht="15" hidden="1" customHeight="1" x14ac:dyDescent="0.2">
      <c r="A53" s="12" t="s">
        <v>18</v>
      </c>
      <c r="B53" s="36">
        <v>46105</v>
      </c>
      <c r="C53" s="12">
        <f t="shared" si="4"/>
        <v>166</v>
      </c>
      <c r="D53" s="38">
        <f t="shared" si="5"/>
        <v>1</v>
      </c>
      <c r="G53" s="14" t="s">
        <v>68</v>
      </c>
      <c r="H53" s="12" t="s">
        <v>1868</v>
      </c>
      <c r="I53" s="12">
        <v>131</v>
      </c>
      <c r="J53" s="12">
        <v>5113</v>
      </c>
      <c r="K53" s="12" t="s">
        <v>20</v>
      </c>
      <c r="L53" s="12">
        <v>1</v>
      </c>
      <c r="M53" s="17">
        <v>7222222</v>
      </c>
      <c r="N53" s="17">
        <f t="shared" si="6"/>
        <v>7222222</v>
      </c>
      <c r="P53" s="12">
        <f t="shared" si="3"/>
        <v>150</v>
      </c>
    </row>
    <row r="54" spans="1:16" ht="15" customHeight="1" x14ac:dyDescent="0.2">
      <c r="A54" s="12" t="s">
        <v>18</v>
      </c>
      <c r="B54" s="36">
        <v>46105</v>
      </c>
      <c r="C54" s="12">
        <f t="shared" si="4"/>
        <v>167</v>
      </c>
      <c r="D54" s="38">
        <f t="shared" si="5"/>
        <v>1</v>
      </c>
      <c r="G54" s="14" t="s">
        <v>68</v>
      </c>
      <c r="H54" s="12" t="s">
        <v>4152</v>
      </c>
      <c r="I54" s="12">
        <v>333821</v>
      </c>
      <c r="J54" s="12">
        <v>131</v>
      </c>
      <c r="K54" s="12" t="s">
        <v>20</v>
      </c>
      <c r="L54" s="12">
        <v>1</v>
      </c>
      <c r="M54" s="17">
        <v>72222</v>
      </c>
      <c r="N54" s="17">
        <f t="shared" si="6"/>
        <v>72222</v>
      </c>
      <c r="P54" s="12">
        <f t="shared" si="3"/>
        <v>166</v>
      </c>
    </row>
    <row r="55" spans="1:16" ht="15" hidden="1" customHeight="1" x14ac:dyDescent="0.2">
      <c r="A55" s="12" t="s">
        <v>18</v>
      </c>
      <c r="B55" s="36">
        <v>46112</v>
      </c>
      <c r="C55" s="12">
        <f t="shared" si="4"/>
        <v>168</v>
      </c>
      <c r="D55" s="38">
        <f t="shared" si="5"/>
        <v>1</v>
      </c>
      <c r="G55" s="14" t="s">
        <v>71</v>
      </c>
      <c r="H55" s="12" t="s">
        <v>457</v>
      </c>
      <c r="I55" s="12">
        <v>64271</v>
      </c>
      <c r="J55" s="12">
        <v>3383</v>
      </c>
      <c r="K55" s="12" t="s">
        <v>20</v>
      </c>
      <c r="L55" s="12">
        <v>1</v>
      </c>
      <c r="M55" s="17">
        <v>690300</v>
      </c>
      <c r="N55" s="17">
        <f t="shared" si="6"/>
        <v>690300</v>
      </c>
      <c r="P55" s="12">
        <f t="shared" si="3"/>
        <v>30</v>
      </c>
    </row>
    <row r="56" spans="1:16" ht="15" hidden="1" customHeight="1" x14ac:dyDescent="0.2">
      <c r="A56" s="12" t="s">
        <v>309</v>
      </c>
      <c r="B56" s="36">
        <v>46028</v>
      </c>
      <c r="C56" s="12">
        <f t="shared" si="4"/>
        <v>169</v>
      </c>
      <c r="D56" s="38">
        <f t="shared" si="5"/>
        <v>1</v>
      </c>
      <c r="G56" s="14" t="s">
        <v>4153</v>
      </c>
      <c r="H56" s="12" t="s">
        <v>4154</v>
      </c>
      <c r="I56" s="12">
        <v>112111</v>
      </c>
      <c r="J56" s="12">
        <v>131</v>
      </c>
      <c r="K56" s="12" t="s">
        <v>20</v>
      </c>
      <c r="L56" s="12">
        <v>1</v>
      </c>
      <c r="M56" s="17">
        <v>6387097</v>
      </c>
      <c r="N56" s="17">
        <f t="shared" si="6"/>
        <v>6387097</v>
      </c>
      <c r="P56" s="12">
        <f t="shared" si="3"/>
        <v>170</v>
      </c>
    </row>
    <row r="57" spans="1:16" ht="15" hidden="1" customHeight="1" x14ac:dyDescent="0.2">
      <c r="A57" s="12" t="s">
        <v>308</v>
      </c>
      <c r="B57" s="36">
        <v>46030</v>
      </c>
      <c r="C57" s="12">
        <f t="shared" si="4"/>
        <v>170</v>
      </c>
      <c r="D57" s="38">
        <f t="shared" si="5"/>
        <v>1</v>
      </c>
      <c r="G57" s="14" t="s">
        <v>238</v>
      </c>
      <c r="H57" s="12" t="s">
        <v>3032</v>
      </c>
      <c r="I57" s="12">
        <v>1111</v>
      </c>
      <c r="J57" s="12">
        <v>112111</v>
      </c>
      <c r="K57" s="12" t="s">
        <v>20</v>
      </c>
      <c r="L57" s="12">
        <v>1</v>
      </c>
      <c r="M57" s="17">
        <v>70000000</v>
      </c>
      <c r="N57" s="17">
        <f t="shared" si="6"/>
        <v>70000000</v>
      </c>
      <c r="P57" s="12">
        <f t="shared" si="3"/>
        <v>40</v>
      </c>
    </row>
    <row r="58" spans="1:16" ht="15" hidden="1" customHeight="1" x14ac:dyDescent="0.2">
      <c r="A58" s="12" t="s">
        <v>309</v>
      </c>
      <c r="B58" s="36">
        <v>46035</v>
      </c>
      <c r="C58" s="12">
        <f t="shared" si="4"/>
        <v>171</v>
      </c>
      <c r="D58" s="38">
        <f t="shared" si="5"/>
        <v>1</v>
      </c>
      <c r="G58" s="14" t="s">
        <v>56</v>
      </c>
      <c r="H58" s="12" t="s">
        <v>4155</v>
      </c>
      <c r="I58" s="12">
        <v>112111</v>
      </c>
      <c r="J58" s="12">
        <v>131</v>
      </c>
      <c r="K58" s="12" t="s">
        <v>20</v>
      </c>
      <c r="L58" s="12">
        <v>1</v>
      </c>
      <c r="M58" s="17">
        <v>7983871</v>
      </c>
      <c r="N58" s="17">
        <f t="shared" si="6"/>
        <v>7983871</v>
      </c>
      <c r="P58" s="12">
        <f t="shared" si="3"/>
        <v>122</v>
      </c>
    </row>
    <row r="59" spans="1:16" ht="15" hidden="1" customHeight="1" x14ac:dyDescent="0.2">
      <c r="A59" s="12" t="s">
        <v>309</v>
      </c>
      <c r="B59" s="36">
        <v>46045</v>
      </c>
      <c r="C59" s="12">
        <f t="shared" si="4"/>
        <v>172</v>
      </c>
      <c r="D59" s="38">
        <f t="shared" si="5"/>
        <v>1</v>
      </c>
      <c r="G59" s="14" t="s">
        <v>301</v>
      </c>
      <c r="H59" s="12" t="s">
        <v>4156</v>
      </c>
      <c r="I59" s="12">
        <v>112111</v>
      </c>
      <c r="J59" s="12">
        <v>131</v>
      </c>
      <c r="K59" s="12" t="s">
        <v>20</v>
      </c>
      <c r="L59" s="12">
        <v>1</v>
      </c>
      <c r="M59" s="17">
        <v>7451613</v>
      </c>
      <c r="N59" s="17">
        <f t="shared" si="6"/>
        <v>7451613</v>
      </c>
      <c r="P59" s="12">
        <f t="shared" si="3"/>
        <v>167</v>
      </c>
    </row>
    <row r="60" spans="1:16" ht="15" hidden="1" customHeight="1" x14ac:dyDescent="0.2">
      <c r="A60" s="12" t="s">
        <v>309</v>
      </c>
      <c r="B60" s="36">
        <v>46045</v>
      </c>
      <c r="C60" s="12">
        <f t="shared" si="4"/>
        <v>173</v>
      </c>
      <c r="D60" s="38">
        <f t="shared" si="5"/>
        <v>1</v>
      </c>
      <c r="G60" s="14" t="s">
        <v>50</v>
      </c>
      <c r="H60" s="12" t="s">
        <v>4157</v>
      </c>
      <c r="I60" s="12">
        <v>112111</v>
      </c>
      <c r="J60" s="12">
        <v>131</v>
      </c>
      <c r="K60" s="12" t="s">
        <v>20</v>
      </c>
      <c r="L60" s="12">
        <v>1</v>
      </c>
      <c r="M60" s="17">
        <v>8516129</v>
      </c>
      <c r="N60" s="17">
        <f t="shared" si="6"/>
        <v>8516129</v>
      </c>
      <c r="P60" s="12">
        <f t="shared" si="3"/>
        <v>160</v>
      </c>
    </row>
    <row r="61" spans="1:16" ht="15" hidden="1" customHeight="1" x14ac:dyDescent="0.2">
      <c r="A61" s="12" t="s">
        <v>309</v>
      </c>
      <c r="B61" s="36">
        <v>46048</v>
      </c>
      <c r="C61" s="12">
        <f t="shared" si="4"/>
        <v>174</v>
      </c>
      <c r="D61" s="38">
        <f t="shared" si="5"/>
        <v>1</v>
      </c>
      <c r="G61" s="14" t="s">
        <v>238</v>
      </c>
      <c r="H61" s="12" t="s">
        <v>3561</v>
      </c>
      <c r="I61" s="12">
        <v>112111</v>
      </c>
      <c r="J61" s="12">
        <v>5154</v>
      </c>
      <c r="K61" s="12" t="s">
        <v>20</v>
      </c>
      <c r="L61" s="12">
        <v>1</v>
      </c>
      <c r="M61" s="17">
        <v>18529</v>
      </c>
      <c r="N61" s="17">
        <f t="shared" si="6"/>
        <v>18529</v>
      </c>
      <c r="P61" s="12">
        <f t="shared" si="3"/>
        <v>22</v>
      </c>
    </row>
    <row r="62" spans="1:16" ht="15" hidden="1" customHeight="1" x14ac:dyDescent="0.2">
      <c r="A62" s="12" t="s">
        <v>309</v>
      </c>
      <c r="B62" s="36">
        <v>46049</v>
      </c>
      <c r="C62" s="12">
        <f t="shared" si="4"/>
        <v>175</v>
      </c>
      <c r="D62" s="38">
        <f t="shared" si="5"/>
        <v>1</v>
      </c>
      <c r="G62" s="14" t="s">
        <v>68</v>
      </c>
      <c r="H62" s="12" t="s">
        <v>4158</v>
      </c>
      <c r="I62" s="12">
        <v>112111</v>
      </c>
      <c r="J62" s="12">
        <v>131</v>
      </c>
      <c r="K62" s="12" t="s">
        <v>20</v>
      </c>
      <c r="L62" s="12">
        <v>1</v>
      </c>
      <c r="M62" s="17">
        <v>7150000</v>
      </c>
      <c r="N62" s="17">
        <f t="shared" si="6"/>
        <v>7150000</v>
      </c>
      <c r="P62" s="12">
        <f t="shared" si="3"/>
        <v>152</v>
      </c>
    </row>
    <row r="63" spans="1:16" ht="15" hidden="1" customHeight="1" x14ac:dyDescent="0.2">
      <c r="A63" s="12" t="s">
        <v>309</v>
      </c>
      <c r="B63" s="36">
        <v>46051</v>
      </c>
      <c r="C63" s="12">
        <f t="shared" si="4"/>
        <v>176</v>
      </c>
      <c r="D63" s="38">
        <f t="shared" si="5"/>
        <v>1</v>
      </c>
      <c r="G63" s="14" t="s">
        <v>1854</v>
      </c>
      <c r="H63" s="12" t="s">
        <v>4159</v>
      </c>
      <c r="I63" s="12">
        <v>112111</v>
      </c>
      <c r="J63" s="12">
        <v>131</v>
      </c>
      <c r="K63" s="12" t="s">
        <v>20</v>
      </c>
      <c r="L63" s="12">
        <v>1</v>
      </c>
      <c r="M63" s="17">
        <v>16500000</v>
      </c>
      <c r="N63" s="17">
        <f t="shared" si="6"/>
        <v>16500000</v>
      </c>
      <c r="P63" s="12">
        <f t="shared" si="3"/>
        <v>149</v>
      </c>
    </row>
    <row r="64" spans="1:16" ht="15" hidden="1" customHeight="1" x14ac:dyDescent="0.2">
      <c r="A64" s="12" t="s">
        <v>309</v>
      </c>
      <c r="B64" s="36">
        <v>46051</v>
      </c>
      <c r="C64" s="12">
        <f t="shared" si="4"/>
        <v>177</v>
      </c>
      <c r="D64" s="38">
        <f t="shared" si="5"/>
        <v>1</v>
      </c>
      <c r="G64" s="14" t="s">
        <v>244</v>
      </c>
      <c r="H64" s="12" t="s">
        <v>4160</v>
      </c>
      <c r="I64" s="12">
        <v>112111</v>
      </c>
      <c r="J64" s="12">
        <v>131</v>
      </c>
      <c r="K64" s="12" t="s">
        <v>20</v>
      </c>
      <c r="L64" s="12">
        <v>1</v>
      </c>
      <c r="M64" s="17">
        <v>6919355</v>
      </c>
      <c r="N64" s="17">
        <f t="shared" si="6"/>
        <v>6919355</v>
      </c>
      <c r="P64" s="12">
        <f t="shared" si="3"/>
        <v>163</v>
      </c>
    </row>
    <row r="65" spans="1:16" ht="15" hidden="1" customHeight="1" x14ac:dyDescent="0.2">
      <c r="A65" s="12" t="s">
        <v>309</v>
      </c>
      <c r="B65" s="36">
        <v>46052</v>
      </c>
      <c r="C65" s="12">
        <f t="shared" si="4"/>
        <v>178</v>
      </c>
      <c r="D65" s="38">
        <f t="shared" si="5"/>
        <v>1</v>
      </c>
      <c r="G65" s="14" t="s">
        <v>4161</v>
      </c>
      <c r="H65" s="12" t="s">
        <v>4162</v>
      </c>
      <c r="I65" s="12">
        <v>112111</v>
      </c>
      <c r="J65" s="12">
        <v>131</v>
      </c>
      <c r="K65" s="12" t="s">
        <v>20</v>
      </c>
      <c r="L65" s="12">
        <v>1</v>
      </c>
      <c r="M65" s="17">
        <v>7451613</v>
      </c>
      <c r="N65" s="17">
        <f t="shared" si="6"/>
        <v>7451613</v>
      </c>
      <c r="P65" s="12">
        <f t="shared" si="3"/>
        <v>168</v>
      </c>
    </row>
    <row r="66" spans="1:16" ht="15" hidden="1" customHeight="1" x14ac:dyDescent="0.2">
      <c r="A66" s="12" t="s">
        <v>308</v>
      </c>
      <c r="B66" s="36">
        <v>46054</v>
      </c>
      <c r="C66" s="12">
        <f t="shared" si="4"/>
        <v>179</v>
      </c>
      <c r="D66" s="38">
        <f t="shared" si="5"/>
        <v>1</v>
      </c>
      <c r="G66" s="14" t="s">
        <v>71</v>
      </c>
      <c r="H66" s="12" t="s">
        <v>2612</v>
      </c>
      <c r="I66" s="12">
        <v>3383</v>
      </c>
      <c r="J66" s="12">
        <v>112111</v>
      </c>
      <c r="K66" s="12" t="s">
        <v>20</v>
      </c>
      <c r="L66" s="12">
        <v>1</v>
      </c>
      <c r="M66" s="17">
        <v>690300</v>
      </c>
      <c r="N66" s="17">
        <f t="shared" si="6"/>
        <v>690300</v>
      </c>
      <c r="P66" s="12">
        <f t="shared" si="3"/>
        <v>8</v>
      </c>
    </row>
    <row r="67" spans="1:16" ht="15" hidden="1" customHeight="1" x14ac:dyDescent="0.2">
      <c r="A67" s="12" t="s">
        <v>309</v>
      </c>
      <c r="B67" s="36">
        <v>46057</v>
      </c>
      <c r="C67" s="12">
        <f t="shared" si="4"/>
        <v>180</v>
      </c>
      <c r="D67" s="38">
        <f t="shared" si="5"/>
        <v>1</v>
      </c>
      <c r="G67" s="14" t="s">
        <v>300</v>
      </c>
      <c r="H67" s="12" t="s">
        <v>4163</v>
      </c>
      <c r="I67" s="12">
        <v>112111</v>
      </c>
      <c r="J67" s="12">
        <v>131</v>
      </c>
      <c r="K67" s="12" t="s">
        <v>20</v>
      </c>
      <c r="L67" s="12">
        <v>1</v>
      </c>
      <c r="M67" s="17">
        <v>7983871</v>
      </c>
      <c r="N67" s="17">
        <f t="shared" si="6"/>
        <v>7983871</v>
      </c>
      <c r="P67" s="12">
        <f t="shared" si="3"/>
        <v>119</v>
      </c>
    </row>
    <row r="68" spans="1:16" ht="15" hidden="1" customHeight="1" x14ac:dyDescent="0.2">
      <c r="A68" s="12" t="s">
        <v>308</v>
      </c>
      <c r="B68" s="36">
        <v>46060</v>
      </c>
      <c r="C68" s="12">
        <f t="shared" ref="C68:C83" si="7">C67+D68</f>
        <v>181</v>
      </c>
      <c r="D68" s="38">
        <f t="shared" ref="D68:D83" si="8">IF(H68=H67,0,1)</f>
        <v>1</v>
      </c>
      <c r="G68" s="14" t="s">
        <v>238</v>
      </c>
      <c r="H68" s="12" t="s">
        <v>3032</v>
      </c>
      <c r="I68" s="12">
        <v>1111</v>
      </c>
      <c r="J68" s="12">
        <v>112111</v>
      </c>
      <c r="K68" s="12" t="s">
        <v>20</v>
      </c>
      <c r="L68" s="12">
        <v>1</v>
      </c>
      <c r="M68" s="17">
        <v>80000000</v>
      </c>
      <c r="N68" s="17">
        <f t="shared" ref="N68:N83" si="9">L68*M68</f>
        <v>80000000</v>
      </c>
      <c r="P68" s="12">
        <f t="shared" si="3"/>
        <v>40</v>
      </c>
    </row>
    <row r="69" spans="1:16" ht="15" hidden="1" customHeight="1" x14ac:dyDescent="0.2">
      <c r="A69" s="12" t="s">
        <v>309</v>
      </c>
      <c r="B69" s="36">
        <v>46063</v>
      </c>
      <c r="C69" s="12">
        <f t="shared" si="7"/>
        <v>182</v>
      </c>
      <c r="D69" s="38">
        <f t="shared" si="8"/>
        <v>1</v>
      </c>
      <c r="G69" s="174" t="s">
        <v>39</v>
      </c>
      <c r="H69" s="12" t="s">
        <v>3980</v>
      </c>
      <c r="I69" s="12">
        <v>112111</v>
      </c>
      <c r="J69" s="12">
        <v>131</v>
      </c>
      <c r="K69" s="12" t="s">
        <v>20</v>
      </c>
      <c r="L69" s="12">
        <v>1</v>
      </c>
      <c r="M69" s="17">
        <v>7500000</v>
      </c>
      <c r="N69" s="17">
        <f t="shared" si="9"/>
        <v>7500000</v>
      </c>
      <c r="P69" s="12">
        <f t="shared" ref="P69:P83" si="10">LEN(H69)</f>
        <v>22</v>
      </c>
    </row>
    <row r="70" spans="1:16" ht="15" hidden="1" customHeight="1" x14ac:dyDescent="0.2">
      <c r="A70" s="12" t="s">
        <v>308</v>
      </c>
      <c r="B70" s="36">
        <v>46066</v>
      </c>
      <c r="C70" s="12">
        <f t="shared" si="7"/>
        <v>183</v>
      </c>
      <c r="D70" s="38">
        <f t="shared" si="8"/>
        <v>1</v>
      </c>
      <c r="G70" s="14" t="s">
        <v>238</v>
      </c>
      <c r="H70" s="12" t="s">
        <v>3032</v>
      </c>
      <c r="I70" s="12">
        <v>1111</v>
      </c>
      <c r="J70" s="12">
        <v>112111</v>
      </c>
      <c r="K70" s="12" t="s">
        <v>20</v>
      </c>
      <c r="L70" s="12">
        <v>1</v>
      </c>
      <c r="M70" s="17">
        <v>9000000</v>
      </c>
      <c r="N70" s="17">
        <f t="shared" si="9"/>
        <v>9000000</v>
      </c>
      <c r="P70" s="12">
        <f t="shared" si="10"/>
        <v>40</v>
      </c>
    </row>
    <row r="71" spans="1:16" ht="15" hidden="1" customHeight="1" x14ac:dyDescent="0.2">
      <c r="A71" s="12" t="s">
        <v>309</v>
      </c>
      <c r="B71" s="36">
        <v>46079</v>
      </c>
      <c r="C71" s="12">
        <f t="shared" si="7"/>
        <v>184</v>
      </c>
      <c r="D71" s="38">
        <f t="shared" si="8"/>
        <v>1</v>
      </c>
      <c r="G71" s="14" t="s">
        <v>238</v>
      </c>
      <c r="H71" s="12" t="s">
        <v>3561</v>
      </c>
      <c r="I71" s="12">
        <v>112111</v>
      </c>
      <c r="J71" s="12">
        <v>5154</v>
      </c>
      <c r="K71" s="12" t="s">
        <v>20</v>
      </c>
      <c r="L71" s="12">
        <v>1</v>
      </c>
      <c r="M71" s="17">
        <v>11704</v>
      </c>
      <c r="N71" s="17">
        <f t="shared" si="9"/>
        <v>11704</v>
      </c>
      <c r="P71" s="12">
        <f t="shared" si="10"/>
        <v>22</v>
      </c>
    </row>
    <row r="72" spans="1:16" ht="15" hidden="1" customHeight="1" x14ac:dyDescent="0.2">
      <c r="A72" s="12" t="s">
        <v>308</v>
      </c>
      <c r="B72" s="36">
        <v>46079</v>
      </c>
      <c r="C72" s="12">
        <f t="shared" si="7"/>
        <v>185</v>
      </c>
      <c r="D72" s="38">
        <f t="shared" si="8"/>
        <v>1</v>
      </c>
      <c r="G72" s="14" t="s">
        <v>71</v>
      </c>
      <c r="H72" s="12" t="s">
        <v>2612</v>
      </c>
      <c r="I72" s="12">
        <v>3383</v>
      </c>
      <c r="J72" s="12">
        <v>112111</v>
      </c>
      <c r="K72" s="12" t="s">
        <v>20</v>
      </c>
      <c r="L72" s="12">
        <v>1</v>
      </c>
      <c r="M72" s="17">
        <v>690300</v>
      </c>
      <c r="N72" s="17">
        <f t="shared" si="9"/>
        <v>690300</v>
      </c>
      <c r="P72" s="12">
        <f t="shared" si="10"/>
        <v>8</v>
      </c>
    </row>
    <row r="73" spans="1:16" ht="15" hidden="1" customHeight="1" x14ac:dyDescent="0.2">
      <c r="A73" s="12" t="s">
        <v>309</v>
      </c>
      <c r="B73" s="36">
        <v>46079</v>
      </c>
      <c r="C73" s="12">
        <f t="shared" si="7"/>
        <v>186</v>
      </c>
      <c r="D73" s="38">
        <f t="shared" si="8"/>
        <v>1</v>
      </c>
      <c r="G73" s="14" t="s">
        <v>26</v>
      </c>
      <c r="H73" s="12" t="s">
        <v>4164</v>
      </c>
      <c r="I73" s="12">
        <v>112111</v>
      </c>
      <c r="J73" s="12">
        <v>131</v>
      </c>
      <c r="K73" s="12" t="s">
        <v>20</v>
      </c>
      <c r="L73" s="12">
        <v>1</v>
      </c>
      <c r="M73" s="17">
        <v>8250000</v>
      </c>
      <c r="N73" s="17">
        <f t="shared" si="9"/>
        <v>8250000</v>
      </c>
      <c r="P73" s="12">
        <f t="shared" si="10"/>
        <v>156</v>
      </c>
    </row>
    <row r="74" spans="1:16" ht="15" hidden="1" customHeight="1" x14ac:dyDescent="0.2">
      <c r="A74" s="12" t="s">
        <v>309</v>
      </c>
      <c r="B74" s="36">
        <v>46091</v>
      </c>
      <c r="C74" s="12">
        <f t="shared" si="7"/>
        <v>187</v>
      </c>
      <c r="D74" s="38">
        <f t="shared" si="8"/>
        <v>1</v>
      </c>
      <c r="G74" s="14" t="s">
        <v>1862</v>
      </c>
      <c r="H74" s="12" t="s">
        <v>4165</v>
      </c>
      <c r="I74" s="12">
        <v>112111</v>
      </c>
      <c r="J74" s="12">
        <v>131</v>
      </c>
      <c r="K74" s="12" t="s">
        <v>20</v>
      </c>
      <c r="L74" s="12">
        <v>1</v>
      </c>
      <c r="M74" s="17">
        <v>9350000</v>
      </c>
      <c r="N74" s="17">
        <f t="shared" si="9"/>
        <v>9350000</v>
      </c>
      <c r="P74" s="12">
        <f t="shared" si="10"/>
        <v>119</v>
      </c>
    </row>
    <row r="75" spans="1:16" ht="15" hidden="1" customHeight="1" x14ac:dyDescent="0.2">
      <c r="A75" s="12" t="s">
        <v>309</v>
      </c>
      <c r="B75" s="36">
        <v>46100</v>
      </c>
      <c r="C75" s="12">
        <f t="shared" si="7"/>
        <v>188</v>
      </c>
      <c r="D75" s="38">
        <f t="shared" si="8"/>
        <v>1</v>
      </c>
      <c r="G75" s="14" t="s">
        <v>56</v>
      </c>
      <c r="H75" s="12" t="s">
        <v>4166</v>
      </c>
      <c r="I75" s="12">
        <v>112111</v>
      </c>
      <c r="J75" s="12">
        <v>131</v>
      </c>
      <c r="K75" s="12" t="s">
        <v>20</v>
      </c>
      <c r="L75" s="12">
        <v>1</v>
      </c>
      <c r="M75" s="17">
        <v>7150000</v>
      </c>
      <c r="N75" s="17">
        <f t="shared" si="9"/>
        <v>7150000</v>
      </c>
      <c r="P75" s="12">
        <f t="shared" si="10"/>
        <v>181</v>
      </c>
    </row>
    <row r="76" spans="1:16" ht="15" hidden="1" customHeight="1" x14ac:dyDescent="0.2">
      <c r="A76" s="12" t="s">
        <v>309</v>
      </c>
      <c r="B76" s="36">
        <v>46105</v>
      </c>
      <c r="C76" s="12">
        <f t="shared" si="7"/>
        <v>189</v>
      </c>
      <c r="D76" s="38">
        <f t="shared" si="8"/>
        <v>1</v>
      </c>
      <c r="G76" s="174" t="s">
        <v>39</v>
      </c>
      <c r="H76" s="12" t="s">
        <v>3980</v>
      </c>
      <c r="I76" s="12">
        <v>112111</v>
      </c>
      <c r="J76" s="12">
        <v>131</v>
      </c>
      <c r="K76" s="12" t="s">
        <v>20</v>
      </c>
      <c r="L76" s="12">
        <v>1</v>
      </c>
      <c r="M76" s="17">
        <v>7983871</v>
      </c>
      <c r="N76" s="17">
        <f t="shared" si="9"/>
        <v>7983871</v>
      </c>
      <c r="P76" s="12">
        <f t="shared" si="10"/>
        <v>22</v>
      </c>
    </row>
    <row r="77" spans="1:16" ht="15" hidden="1" customHeight="1" x14ac:dyDescent="0.2">
      <c r="A77" s="12" t="s">
        <v>309</v>
      </c>
      <c r="B77" s="36">
        <v>46105</v>
      </c>
      <c r="C77" s="12">
        <f t="shared" si="7"/>
        <v>190</v>
      </c>
      <c r="D77" s="38">
        <f t="shared" si="8"/>
        <v>1</v>
      </c>
      <c r="G77" s="14" t="s">
        <v>88</v>
      </c>
      <c r="H77" s="12" t="s">
        <v>4167</v>
      </c>
      <c r="I77" s="12">
        <v>112111</v>
      </c>
      <c r="J77" s="12">
        <v>131</v>
      </c>
      <c r="K77" s="12" t="s">
        <v>20</v>
      </c>
      <c r="L77" s="12">
        <v>1</v>
      </c>
      <c r="M77" s="17">
        <v>8250000</v>
      </c>
      <c r="N77" s="17">
        <f t="shared" si="9"/>
        <v>8250000</v>
      </c>
      <c r="P77" s="12">
        <f t="shared" si="10"/>
        <v>131</v>
      </c>
    </row>
    <row r="78" spans="1:16" ht="15" hidden="1" customHeight="1" x14ac:dyDescent="0.2">
      <c r="A78" s="12" t="s">
        <v>309</v>
      </c>
      <c r="B78" s="36">
        <v>46106</v>
      </c>
      <c r="C78" s="12">
        <f t="shared" si="7"/>
        <v>191</v>
      </c>
      <c r="D78" s="38">
        <f t="shared" si="8"/>
        <v>1</v>
      </c>
      <c r="G78" s="14" t="s">
        <v>68</v>
      </c>
      <c r="H78" s="12" t="s">
        <v>4168</v>
      </c>
      <c r="I78" s="12">
        <v>112111</v>
      </c>
      <c r="J78" s="12">
        <v>131</v>
      </c>
      <c r="K78" s="12" t="s">
        <v>20</v>
      </c>
      <c r="L78" s="12">
        <v>1</v>
      </c>
      <c r="M78" s="17">
        <v>7150000</v>
      </c>
      <c r="N78" s="17">
        <f t="shared" si="9"/>
        <v>7150000</v>
      </c>
      <c r="P78" s="12">
        <f t="shared" si="10"/>
        <v>155</v>
      </c>
    </row>
    <row r="79" spans="1:16" ht="15" hidden="1" customHeight="1" x14ac:dyDescent="0.2">
      <c r="A79" s="12" t="s">
        <v>309</v>
      </c>
      <c r="B79" s="36">
        <v>46106</v>
      </c>
      <c r="C79" s="12">
        <f t="shared" si="7"/>
        <v>192</v>
      </c>
      <c r="D79" s="38">
        <f t="shared" si="8"/>
        <v>1</v>
      </c>
      <c r="G79" s="14" t="s">
        <v>82</v>
      </c>
      <c r="H79" s="12" t="s">
        <v>4169</v>
      </c>
      <c r="I79" s="12">
        <v>112111</v>
      </c>
      <c r="J79" s="12">
        <v>131</v>
      </c>
      <c r="K79" s="12" t="s">
        <v>20</v>
      </c>
      <c r="L79" s="12">
        <v>1</v>
      </c>
      <c r="M79" s="17">
        <v>7700000</v>
      </c>
      <c r="N79" s="17">
        <f t="shared" si="9"/>
        <v>7700000</v>
      </c>
      <c r="P79" s="12">
        <f t="shared" si="10"/>
        <v>194</v>
      </c>
    </row>
    <row r="80" spans="1:16" ht="15" hidden="1" customHeight="1" x14ac:dyDescent="0.2">
      <c r="A80" s="12" t="s">
        <v>309</v>
      </c>
      <c r="B80" s="36">
        <v>46107</v>
      </c>
      <c r="C80" s="12">
        <f t="shared" si="7"/>
        <v>193</v>
      </c>
      <c r="D80" s="38">
        <f t="shared" si="8"/>
        <v>1</v>
      </c>
      <c r="G80" s="14" t="s">
        <v>238</v>
      </c>
      <c r="H80" s="12" t="s">
        <v>3561</v>
      </c>
      <c r="I80" s="12">
        <v>112111</v>
      </c>
      <c r="J80" s="12">
        <v>5154</v>
      </c>
      <c r="K80" s="12" t="s">
        <v>20</v>
      </c>
      <c r="L80" s="12">
        <v>1</v>
      </c>
      <c r="M80" s="17">
        <v>6541</v>
      </c>
      <c r="N80" s="17">
        <f t="shared" si="9"/>
        <v>6541</v>
      </c>
      <c r="P80" s="12">
        <f t="shared" si="10"/>
        <v>22</v>
      </c>
    </row>
    <row r="81" spans="1:16" ht="15" hidden="1" customHeight="1" x14ac:dyDescent="0.2">
      <c r="A81" s="12" t="s">
        <v>309</v>
      </c>
      <c r="B81" s="36">
        <v>46108</v>
      </c>
      <c r="C81" s="12">
        <f t="shared" si="7"/>
        <v>194</v>
      </c>
      <c r="D81" s="38">
        <f t="shared" si="8"/>
        <v>1</v>
      </c>
      <c r="G81" s="14" t="s">
        <v>300</v>
      </c>
      <c r="H81" s="12" t="s">
        <v>4170</v>
      </c>
      <c r="I81" s="12">
        <v>112111</v>
      </c>
      <c r="J81" s="12">
        <v>131</v>
      </c>
      <c r="K81" s="12" t="s">
        <v>20</v>
      </c>
      <c r="L81" s="12">
        <v>1</v>
      </c>
      <c r="M81" s="17">
        <v>7700000</v>
      </c>
      <c r="N81" s="17">
        <f t="shared" si="9"/>
        <v>7700000</v>
      </c>
      <c r="P81" s="12">
        <f t="shared" si="10"/>
        <v>164</v>
      </c>
    </row>
    <row r="82" spans="1:16" ht="15" hidden="1" customHeight="1" x14ac:dyDescent="0.2">
      <c r="A82" s="12" t="s">
        <v>308</v>
      </c>
      <c r="B82" s="36">
        <v>46115</v>
      </c>
      <c r="C82" s="12">
        <f t="shared" si="7"/>
        <v>195</v>
      </c>
      <c r="D82" s="38">
        <f t="shared" si="8"/>
        <v>1</v>
      </c>
      <c r="G82" s="14" t="s">
        <v>71</v>
      </c>
      <c r="H82" s="12" t="s">
        <v>2612</v>
      </c>
      <c r="I82" s="12">
        <v>3383</v>
      </c>
      <c r="J82" s="12">
        <v>112111</v>
      </c>
      <c r="K82" s="12" t="s">
        <v>20</v>
      </c>
      <c r="L82" s="12">
        <v>1</v>
      </c>
      <c r="M82" s="17">
        <v>690300</v>
      </c>
      <c r="N82" s="17">
        <f t="shared" si="9"/>
        <v>690300</v>
      </c>
      <c r="P82" s="12">
        <f t="shared" si="10"/>
        <v>8</v>
      </c>
    </row>
    <row r="83" spans="1:16" ht="15" hidden="1" customHeight="1" x14ac:dyDescent="0.2">
      <c r="A83" s="12" t="s">
        <v>308</v>
      </c>
      <c r="B83" s="36">
        <v>46117</v>
      </c>
      <c r="C83" s="12">
        <f t="shared" si="7"/>
        <v>196</v>
      </c>
      <c r="D83" s="38">
        <f t="shared" si="8"/>
        <v>1</v>
      </c>
      <c r="G83" s="14" t="s">
        <v>238</v>
      </c>
      <c r="H83" s="12" t="s">
        <v>3032</v>
      </c>
      <c r="I83" s="12">
        <v>1111</v>
      </c>
      <c r="J83" s="12">
        <v>112111</v>
      </c>
      <c r="K83" s="12" t="s">
        <v>20</v>
      </c>
      <c r="L83" s="12">
        <v>1</v>
      </c>
      <c r="M83" s="17">
        <v>55000000</v>
      </c>
      <c r="N83" s="17">
        <f t="shared" si="9"/>
        <v>55000000</v>
      </c>
      <c r="P83" s="12">
        <f t="shared" si="10"/>
        <v>40</v>
      </c>
    </row>
  </sheetData>
  <autoFilter ref="A3:P83" xr:uid="{00000000-0009-0000-0000-000016000000}">
    <filterColumn colId="8">
      <filters>
        <filter val="333821"/>
      </filters>
    </filterColumn>
    <filterColumn colId="9">
      <filters>
        <filter val="131"/>
      </filters>
    </filterColumn>
    <sortState xmlns:xlrd2="http://schemas.microsoft.com/office/spreadsheetml/2017/richdata2" ref="A4:P83">
      <sortCondition ref="A4:A83"/>
      <sortCondition ref="B4:B83"/>
      <sortCondition ref="H4:H83"/>
    </sortState>
  </autoFilter>
  <mergeCells count="13">
    <mergeCell ref="N1:N2"/>
    <mergeCell ref="G1:G2"/>
    <mergeCell ref="H1:H2"/>
    <mergeCell ref="I1:J1"/>
    <mergeCell ref="K1:K2"/>
    <mergeCell ref="L1:L2"/>
    <mergeCell ref="M1:M2"/>
    <mergeCell ref="F1:F2"/>
    <mergeCell ref="A1:A2"/>
    <mergeCell ref="B1:B2"/>
    <mergeCell ref="C1:C2"/>
    <mergeCell ref="D1:D2"/>
    <mergeCell ref="E1:E2"/>
  </mergeCells>
  <hyperlinks>
    <hyperlink ref="P1" location="Summary!A1" display="Back to summary" xr:uid="{00000000-0004-0000-1600-000000000000}"/>
  </hyperlink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filterMode="1">
    <tabColor rgb="FF92D050"/>
  </sheetPr>
  <dimension ref="A1:AB60"/>
  <sheetViews>
    <sheetView workbookViewId="0">
      <selection activeCell="M14" sqref="M14:M34"/>
    </sheetView>
  </sheetViews>
  <sheetFormatPr defaultRowHeight="15" customHeight="1" x14ac:dyDescent="0.2"/>
  <cols>
    <col min="1" max="1" width="9.140625" style="12"/>
    <col min="2" max="2" width="9.140625" style="13"/>
    <col min="3" max="6" width="9.140625" style="12"/>
    <col min="7" max="7" width="9.140625" style="14"/>
    <col min="8" max="8" width="28.28515625" style="12" customWidth="1"/>
    <col min="9" max="12" width="9.140625" style="12"/>
    <col min="13" max="13" width="12" style="17" bestFit="1" customWidth="1"/>
    <col min="14" max="14" width="11.28515625" style="17" bestFit="1" customWidth="1"/>
    <col min="15" max="17" width="9.140625" style="12"/>
    <col min="18" max="28" width="9.140625" style="14"/>
    <col min="29" max="16384" width="9.140625" style="12"/>
  </cols>
  <sheetData>
    <row r="1" spans="1:17" ht="15" customHeight="1" thickBot="1" x14ac:dyDescent="0.25">
      <c r="A1" s="247" t="s">
        <v>0</v>
      </c>
      <c r="B1" s="219" t="s">
        <v>1</v>
      </c>
      <c r="C1" s="247" t="s">
        <v>2</v>
      </c>
      <c r="D1" s="249" t="s">
        <v>3</v>
      </c>
      <c r="E1" s="249" t="s">
        <v>4</v>
      </c>
      <c r="F1" s="249" t="s">
        <v>5</v>
      </c>
      <c r="G1" s="241" t="s">
        <v>6</v>
      </c>
      <c r="H1" s="243" t="s">
        <v>7</v>
      </c>
      <c r="I1" s="245" t="s">
        <v>8</v>
      </c>
      <c r="J1" s="246"/>
      <c r="K1" s="247" t="s">
        <v>9</v>
      </c>
      <c r="L1" s="247" t="s">
        <v>10</v>
      </c>
      <c r="M1" s="254" t="s">
        <v>76</v>
      </c>
      <c r="N1" s="254" t="s">
        <v>77</v>
      </c>
      <c r="O1" s="45" t="s">
        <v>78</v>
      </c>
      <c r="P1" s="146" t="s">
        <v>356</v>
      </c>
    </row>
    <row r="2" spans="1:17" ht="15" customHeight="1" thickBot="1" x14ac:dyDescent="0.25">
      <c r="A2" s="248"/>
      <c r="B2" s="220"/>
      <c r="C2" s="248"/>
      <c r="D2" s="253"/>
      <c r="E2" s="253"/>
      <c r="F2" s="250"/>
      <c r="G2" s="242"/>
      <c r="H2" s="244"/>
      <c r="I2" s="46" t="s">
        <v>13</v>
      </c>
      <c r="J2" s="47" t="s">
        <v>14</v>
      </c>
      <c r="K2" s="248"/>
      <c r="L2" s="248"/>
      <c r="M2" s="255"/>
      <c r="N2" s="255"/>
      <c r="O2" s="38" t="s">
        <v>78</v>
      </c>
      <c r="P2" s="38"/>
    </row>
    <row r="3" spans="1:17" ht="15" customHeight="1" x14ac:dyDescent="0.2">
      <c r="A3" s="48"/>
      <c r="B3" s="81"/>
      <c r="C3" s="48">
        <v>54</v>
      </c>
      <c r="D3" s="49"/>
      <c r="E3" s="49"/>
      <c r="F3" s="49"/>
      <c r="G3" s="51" t="s">
        <v>15</v>
      </c>
      <c r="H3" s="52"/>
      <c r="I3" s="52"/>
      <c r="J3" s="52"/>
      <c r="K3" s="48"/>
      <c r="L3" s="48"/>
      <c r="M3" s="82"/>
      <c r="N3" s="82"/>
      <c r="O3" s="38" t="s">
        <v>16</v>
      </c>
      <c r="P3" s="38" t="s">
        <v>17</v>
      </c>
      <c r="Q3" s="12" t="s">
        <v>376</v>
      </c>
    </row>
    <row r="4" spans="1:17" ht="15" hidden="1" customHeight="1" x14ac:dyDescent="0.2">
      <c r="A4" s="12" t="s">
        <v>18</v>
      </c>
      <c r="B4" s="36">
        <v>46028</v>
      </c>
      <c r="C4" s="12">
        <f t="shared" ref="C4:C35" si="0">C3+D4</f>
        <v>55</v>
      </c>
      <c r="D4" s="38">
        <f t="shared" ref="D4:D40" si="1">IF(H4=H3,0,1)</f>
        <v>1</v>
      </c>
      <c r="E4" s="12" t="str">
        <f>TEXT(C4,"000")</f>
        <v>055</v>
      </c>
      <c r="G4" s="12" t="s">
        <v>35</v>
      </c>
      <c r="H4" s="12" t="s">
        <v>1869</v>
      </c>
      <c r="I4" s="12">
        <v>64277</v>
      </c>
      <c r="J4" s="12">
        <v>331</v>
      </c>
      <c r="K4" s="12" t="s">
        <v>20</v>
      </c>
      <c r="L4" s="12">
        <v>1</v>
      </c>
      <c r="M4" s="17">
        <v>3000000</v>
      </c>
      <c r="N4" s="17">
        <f t="shared" ref="N4:N35" si="2">L4*M4</f>
        <v>3000000</v>
      </c>
      <c r="Q4" s="12">
        <f>LEN(H4)</f>
        <v>41</v>
      </c>
    </row>
    <row r="5" spans="1:17" ht="15" hidden="1" customHeight="1" x14ac:dyDescent="0.2">
      <c r="A5" s="12" t="s">
        <v>18</v>
      </c>
      <c r="B5" s="36">
        <v>46028</v>
      </c>
      <c r="C5" s="12">
        <f t="shared" si="0"/>
        <v>55</v>
      </c>
      <c r="D5" s="38">
        <f t="shared" si="1"/>
        <v>0</v>
      </c>
      <c r="E5" s="12" t="str">
        <f t="shared" ref="E5:E40" si="3">TEXT(C5,"000")</f>
        <v>055</v>
      </c>
      <c r="G5" s="12" t="s">
        <v>35</v>
      </c>
      <c r="H5" s="12" t="s">
        <v>1869</v>
      </c>
      <c r="I5" s="12">
        <v>1331</v>
      </c>
      <c r="J5" s="12">
        <v>331</v>
      </c>
      <c r="K5" s="12" t="s">
        <v>20</v>
      </c>
      <c r="L5" s="12">
        <v>1</v>
      </c>
      <c r="M5" s="17">
        <v>240000</v>
      </c>
      <c r="N5" s="17">
        <f t="shared" si="2"/>
        <v>240000</v>
      </c>
      <c r="Q5" s="12">
        <f t="shared" ref="Q5:Q60" si="4">LEN(H5)</f>
        <v>41</v>
      </c>
    </row>
    <row r="6" spans="1:17" ht="15" hidden="1" customHeight="1" x14ac:dyDescent="0.2">
      <c r="A6" s="12" t="s">
        <v>310</v>
      </c>
      <c r="B6" s="36">
        <v>46028</v>
      </c>
      <c r="C6" s="12">
        <f t="shared" si="0"/>
        <v>56</v>
      </c>
      <c r="D6" s="38">
        <f t="shared" si="1"/>
        <v>1</v>
      </c>
      <c r="E6" s="12" t="str">
        <f t="shared" si="3"/>
        <v>056</v>
      </c>
      <c r="G6" s="12" t="s">
        <v>35</v>
      </c>
      <c r="H6" s="12" t="s">
        <v>3022</v>
      </c>
      <c r="I6" s="12">
        <v>331</v>
      </c>
      <c r="J6" s="12">
        <v>1111</v>
      </c>
      <c r="K6" s="12" t="s">
        <v>20</v>
      </c>
      <c r="L6" s="12">
        <v>1</v>
      </c>
      <c r="M6" s="17">
        <v>3240000</v>
      </c>
      <c r="N6" s="17">
        <f t="shared" si="2"/>
        <v>3240000</v>
      </c>
      <c r="Q6" s="12">
        <f t="shared" si="4"/>
        <v>52</v>
      </c>
    </row>
    <row r="7" spans="1:17" ht="15" hidden="1" customHeight="1" x14ac:dyDescent="0.2">
      <c r="A7" s="12" t="s">
        <v>18</v>
      </c>
      <c r="B7" s="36">
        <v>46058</v>
      </c>
      <c r="C7" s="12">
        <f t="shared" si="0"/>
        <v>57</v>
      </c>
      <c r="D7" s="38">
        <f t="shared" si="1"/>
        <v>1</v>
      </c>
      <c r="E7" s="12" t="str">
        <f t="shared" si="3"/>
        <v>057</v>
      </c>
      <c r="G7" s="12" t="s">
        <v>35</v>
      </c>
      <c r="H7" s="12" t="s">
        <v>1870</v>
      </c>
      <c r="I7" s="12">
        <v>64277</v>
      </c>
      <c r="J7" s="12">
        <v>331</v>
      </c>
      <c r="K7" s="20" t="s">
        <v>20</v>
      </c>
      <c r="L7" s="20">
        <v>1</v>
      </c>
      <c r="M7" s="17">
        <v>3000000</v>
      </c>
      <c r="N7" s="34">
        <f t="shared" si="2"/>
        <v>3000000</v>
      </c>
      <c r="Q7" s="12">
        <f t="shared" si="4"/>
        <v>41</v>
      </c>
    </row>
    <row r="8" spans="1:17" ht="15" hidden="1" customHeight="1" x14ac:dyDescent="0.2">
      <c r="A8" s="12" t="s">
        <v>18</v>
      </c>
      <c r="B8" s="36">
        <v>46058</v>
      </c>
      <c r="C8" s="12">
        <f t="shared" si="0"/>
        <v>57</v>
      </c>
      <c r="D8" s="38">
        <f t="shared" si="1"/>
        <v>0</v>
      </c>
      <c r="E8" s="12" t="str">
        <f t="shared" si="3"/>
        <v>057</v>
      </c>
      <c r="G8" s="12" t="s">
        <v>35</v>
      </c>
      <c r="H8" s="12" t="s">
        <v>1870</v>
      </c>
      <c r="I8" s="12">
        <v>1331</v>
      </c>
      <c r="J8" s="12">
        <v>331</v>
      </c>
      <c r="K8" s="12" t="s">
        <v>20</v>
      </c>
      <c r="L8" s="12">
        <v>1</v>
      </c>
      <c r="M8" s="17">
        <v>240000</v>
      </c>
      <c r="N8" s="17">
        <f t="shared" si="2"/>
        <v>240000</v>
      </c>
      <c r="Q8" s="12">
        <f t="shared" si="4"/>
        <v>41</v>
      </c>
    </row>
    <row r="9" spans="1:17" ht="15" hidden="1" customHeight="1" x14ac:dyDescent="0.2">
      <c r="A9" s="12" t="s">
        <v>310</v>
      </c>
      <c r="B9" s="36">
        <v>46058</v>
      </c>
      <c r="C9" s="12">
        <f t="shared" si="0"/>
        <v>58</v>
      </c>
      <c r="D9" s="38">
        <f t="shared" si="1"/>
        <v>1</v>
      </c>
      <c r="E9" s="12" t="str">
        <f t="shared" si="3"/>
        <v>058</v>
      </c>
      <c r="G9" s="12" t="s">
        <v>35</v>
      </c>
      <c r="H9" s="12" t="s">
        <v>3023</v>
      </c>
      <c r="I9" s="12">
        <v>331</v>
      </c>
      <c r="J9" s="12">
        <v>1111</v>
      </c>
      <c r="K9" s="20" t="s">
        <v>20</v>
      </c>
      <c r="L9" s="20">
        <v>1</v>
      </c>
      <c r="M9" s="17">
        <v>3240000</v>
      </c>
      <c r="N9" s="34">
        <f t="shared" si="2"/>
        <v>3240000</v>
      </c>
      <c r="Q9" s="12">
        <f t="shared" si="4"/>
        <v>52</v>
      </c>
    </row>
    <row r="10" spans="1:17" ht="15" hidden="1" customHeight="1" x14ac:dyDescent="0.2">
      <c r="A10" s="12" t="s">
        <v>18</v>
      </c>
      <c r="B10" s="36">
        <v>46093</v>
      </c>
      <c r="C10" s="12">
        <f t="shared" si="0"/>
        <v>59</v>
      </c>
      <c r="D10" s="38">
        <f t="shared" si="1"/>
        <v>1</v>
      </c>
      <c r="E10" s="12" t="str">
        <f t="shared" si="3"/>
        <v>059</v>
      </c>
      <c r="G10" s="12" t="s">
        <v>35</v>
      </c>
      <c r="H10" s="12" t="s">
        <v>1871</v>
      </c>
      <c r="I10" s="12">
        <v>64277</v>
      </c>
      <c r="J10" s="12">
        <v>331</v>
      </c>
      <c r="K10" s="12" t="s">
        <v>20</v>
      </c>
      <c r="L10" s="12">
        <v>1</v>
      </c>
      <c r="M10" s="17">
        <v>1000000</v>
      </c>
      <c r="N10" s="17">
        <f t="shared" si="2"/>
        <v>1000000</v>
      </c>
      <c r="Q10" s="12">
        <f t="shared" si="4"/>
        <v>41</v>
      </c>
    </row>
    <row r="11" spans="1:17" ht="15" hidden="1" customHeight="1" x14ac:dyDescent="0.2">
      <c r="A11" s="12" t="s">
        <v>18</v>
      </c>
      <c r="B11" s="36">
        <v>46093</v>
      </c>
      <c r="C11" s="12">
        <f t="shared" si="0"/>
        <v>59</v>
      </c>
      <c r="D11" s="38">
        <f t="shared" si="1"/>
        <v>0</v>
      </c>
      <c r="E11" s="12" t="str">
        <f t="shared" si="3"/>
        <v>059</v>
      </c>
      <c r="G11" s="12" t="s">
        <v>35</v>
      </c>
      <c r="H11" s="12" t="s">
        <v>1871</v>
      </c>
      <c r="I11" s="12">
        <v>1331</v>
      </c>
      <c r="J11" s="12">
        <v>331</v>
      </c>
      <c r="K11" s="20" t="s">
        <v>20</v>
      </c>
      <c r="L11" s="20">
        <v>1</v>
      </c>
      <c r="M11" s="17">
        <v>80000</v>
      </c>
      <c r="N11" s="34">
        <f t="shared" si="2"/>
        <v>80000</v>
      </c>
      <c r="Q11" s="12">
        <f t="shared" si="4"/>
        <v>41</v>
      </c>
    </row>
    <row r="12" spans="1:17" ht="15" hidden="1" customHeight="1" x14ac:dyDescent="0.2">
      <c r="A12" s="12" t="s">
        <v>310</v>
      </c>
      <c r="B12" s="36">
        <v>46093</v>
      </c>
      <c r="C12" s="12">
        <f t="shared" si="0"/>
        <v>60</v>
      </c>
      <c r="D12" s="38">
        <f t="shared" si="1"/>
        <v>1</v>
      </c>
      <c r="E12" s="12" t="str">
        <f t="shared" si="3"/>
        <v>060</v>
      </c>
      <c r="G12" s="12" t="s">
        <v>35</v>
      </c>
      <c r="H12" s="12" t="s">
        <v>3024</v>
      </c>
      <c r="I12" s="12">
        <v>331</v>
      </c>
      <c r="J12" s="12">
        <v>1111</v>
      </c>
      <c r="K12" s="12" t="s">
        <v>20</v>
      </c>
      <c r="L12" s="12">
        <v>1</v>
      </c>
      <c r="M12" s="17">
        <v>1080000</v>
      </c>
      <c r="N12" s="17">
        <f t="shared" si="2"/>
        <v>1080000</v>
      </c>
      <c r="Q12" s="12">
        <f t="shared" si="4"/>
        <v>52</v>
      </c>
    </row>
    <row r="13" spans="1:17" ht="15" hidden="1" customHeight="1" x14ac:dyDescent="0.2">
      <c r="A13" s="12" t="s">
        <v>18</v>
      </c>
      <c r="B13" s="36">
        <v>46036</v>
      </c>
      <c r="C13" s="12">
        <f t="shared" si="0"/>
        <v>61</v>
      </c>
      <c r="D13" s="38">
        <f t="shared" si="1"/>
        <v>1</v>
      </c>
      <c r="E13" s="12" t="str">
        <f t="shared" si="3"/>
        <v>061</v>
      </c>
      <c r="G13" s="12" t="s">
        <v>43</v>
      </c>
      <c r="H13" s="12" t="s">
        <v>3028</v>
      </c>
      <c r="I13" s="12">
        <v>131</v>
      </c>
      <c r="J13" s="12">
        <v>5113</v>
      </c>
      <c r="K13" s="20" t="s">
        <v>20</v>
      </c>
      <c r="L13" s="20">
        <v>1</v>
      </c>
      <c r="M13" s="17">
        <v>10752688</v>
      </c>
      <c r="N13" s="34">
        <f t="shared" si="2"/>
        <v>10752688</v>
      </c>
      <c r="Q13" s="12">
        <f t="shared" si="4"/>
        <v>178</v>
      </c>
    </row>
    <row r="14" spans="1:17" ht="15" customHeight="1" x14ac:dyDescent="0.2">
      <c r="A14" s="12" t="s">
        <v>18</v>
      </c>
      <c r="B14" s="61">
        <v>46036</v>
      </c>
      <c r="C14" s="12">
        <f t="shared" si="0"/>
        <v>62</v>
      </c>
      <c r="D14" s="38">
        <f t="shared" si="1"/>
        <v>1</v>
      </c>
      <c r="E14" s="12" t="str">
        <f t="shared" si="3"/>
        <v>062</v>
      </c>
      <c r="G14" s="20" t="s">
        <v>43</v>
      </c>
      <c r="H14" s="20" t="s">
        <v>3029</v>
      </c>
      <c r="I14" s="12">
        <v>333821</v>
      </c>
      <c r="J14" s="12">
        <v>131</v>
      </c>
      <c r="K14" s="20" t="s">
        <v>20</v>
      </c>
      <c r="L14" s="20">
        <v>1</v>
      </c>
      <c r="M14" s="34">
        <v>107527</v>
      </c>
      <c r="N14" s="34">
        <f t="shared" si="2"/>
        <v>107527</v>
      </c>
      <c r="Q14" s="12">
        <f t="shared" si="4"/>
        <v>194</v>
      </c>
    </row>
    <row r="15" spans="1:17" ht="15" hidden="1" customHeight="1" x14ac:dyDescent="0.2">
      <c r="A15" s="12" t="s">
        <v>18</v>
      </c>
      <c r="B15" s="61">
        <v>46037</v>
      </c>
      <c r="C15" s="12">
        <f t="shared" si="0"/>
        <v>63</v>
      </c>
      <c r="D15" s="38">
        <f t="shared" si="1"/>
        <v>1</v>
      </c>
      <c r="E15" s="12" t="str">
        <f t="shared" si="3"/>
        <v>063</v>
      </c>
      <c r="G15" s="20" t="s">
        <v>1679</v>
      </c>
      <c r="H15" s="12" t="s">
        <v>1872</v>
      </c>
      <c r="I15" s="12">
        <v>131</v>
      </c>
      <c r="J15" s="12">
        <v>5113</v>
      </c>
      <c r="K15" s="20" t="s">
        <v>20</v>
      </c>
      <c r="L15" s="20">
        <v>1</v>
      </c>
      <c r="M15" s="17">
        <v>7777778</v>
      </c>
      <c r="N15" s="34">
        <f t="shared" si="2"/>
        <v>7777778</v>
      </c>
      <c r="Q15" s="12">
        <f t="shared" si="4"/>
        <v>87</v>
      </c>
    </row>
    <row r="16" spans="1:17" ht="15" customHeight="1" x14ac:dyDescent="0.2">
      <c r="A16" s="12" t="s">
        <v>18</v>
      </c>
      <c r="B16" s="61">
        <v>46037</v>
      </c>
      <c r="C16" s="12">
        <f t="shared" si="0"/>
        <v>64</v>
      </c>
      <c r="D16" s="38">
        <f t="shared" si="1"/>
        <v>1</v>
      </c>
      <c r="E16" s="12" t="str">
        <f t="shared" si="3"/>
        <v>064</v>
      </c>
      <c r="G16" s="20" t="s">
        <v>1679</v>
      </c>
      <c r="H16" s="20" t="s">
        <v>3013</v>
      </c>
      <c r="I16" s="12">
        <v>333821</v>
      </c>
      <c r="J16" s="12">
        <v>131</v>
      </c>
      <c r="K16" s="20" t="s">
        <v>20</v>
      </c>
      <c r="L16" s="20">
        <v>1</v>
      </c>
      <c r="M16" s="34">
        <v>77778</v>
      </c>
      <c r="N16" s="34">
        <f t="shared" si="2"/>
        <v>77778</v>
      </c>
      <c r="Q16" s="12">
        <f t="shared" si="4"/>
        <v>103</v>
      </c>
    </row>
    <row r="17" spans="1:17" ht="15" hidden="1" customHeight="1" x14ac:dyDescent="0.2">
      <c r="A17" s="12" t="s">
        <v>18</v>
      </c>
      <c r="B17" s="61">
        <v>46048</v>
      </c>
      <c r="C17" s="12">
        <f t="shared" si="0"/>
        <v>65</v>
      </c>
      <c r="D17" s="38">
        <f t="shared" si="1"/>
        <v>1</v>
      </c>
      <c r="E17" s="12" t="str">
        <f t="shared" si="3"/>
        <v>065</v>
      </c>
      <c r="G17" s="20" t="s">
        <v>74</v>
      </c>
      <c r="H17" s="12" t="s">
        <v>1873</v>
      </c>
      <c r="I17" s="12">
        <v>131</v>
      </c>
      <c r="J17" s="12">
        <v>5113</v>
      </c>
      <c r="K17" s="20" t="s">
        <v>20</v>
      </c>
      <c r="L17" s="20">
        <v>1</v>
      </c>
      <c r="M17" s="17">
        <v>7777778</v>
      </c>
      <c r="N17" s="34">
        <f t="shared" si="2"/>
        <v>7777778</v>
      </c>
      <c r="Q17" s="12">
        <f t="shared" si="4"/>
        <v>180</v>
      </c>
    </row>
    <row r="18" spans="1:17" ht="15" customHeight="1" x14ac:dyDescent="0.2">
      <c r="A18" s="12" t="s">
        <v>18</v>
      </c>
      <c r="B18" s="61">
        <v>46048</v>
      </c>
      <c r="C18" s="12">
        <f t="shared" si="0"/>
        <v>66</v>
      </c>
      <c r="D18" s="38">
        <f t="shared" si="1"/>
        <v>1</v>
      </c>
      <c r="E18" s="12" t="str">
        <f t="shared" si="3"/>
        <v>066</v>
      </c>
      <c r="G18" s="20" t="s">
        <v>74</v>
      </c>
      <c r="H18" s="20" t="s">
        <v>3014</v>
      </c>
      <c r="I18" s="12">
        <v>333821</v>
      </c>
      <c r="J18" s="12">
        <v>131</v>
      </c>
      <c r="K18" s="20" t="s">
        <v>20</v>
      </c>
      <c r="L18" s="20">
        <v>1</v>
      </c>
      <c r="M18" s="34">
        <v>77778</v>
      </c>
      <c r="N18" s="34">
        <f t="shared" si="2"/>
        <v>77778</v>
      </c>
      <c r="Q18" s="12">
        <f t="shared" si="4"/>
        <v>196</v>
      </c>
    </row>
    <row r="19" spans="1:17" ht="15" hidden="1" customHeight="1" x14ac:dyDescent="0.2">
      <c r="A19" s="12" t="s">
        <v>18</v>
      </c>
      <c r="B19" s="61">
        <v>46051</v>
      </c>
      <c r="C19" s="12">
        <f t="shared" si="0"/>
        <v>67</v>
      </c>
      <c r="D19" s="38">
        <f t="shared" si="1"/>
        <v>1</v>
      </c>
      <c r="E19" s="12" t="str">
        <f t="shared" si="3"/>
        <v>067</v>
      </c>
      <c r="G19" s="20" t="s">
        <v>253</v>
      </c>
      <c r="H19" s="12" t="s">
        <v>3030</v>
      </c>
      <c r="I19" s="12">
        <v>131</v>
      </c>
      <c r="J19" s="12">
        <v>5113</v>
      </c>
      <c r="K19" s="20" t="s">
        <v>20</v>
      </c>
      <c r="L19" s="20">
        <v>1</v>
      </c>
      <c r="M19" s="17">
        <v>7777778</v>
      </c>
      <c r="N19" s="34">
        <f t="shared" si="2"/>
        <v>7777778</v>
      </c>
      <c r="Q19" s="12">
        <f t="shared" si="4"/>
        <v>120</v>
      </c>
    </row>
    <row r="20" spans="1:17" ht="15" customHeight="1" x14ac:dyDescent="0.2">
      <c r="A20" s="12" t="s">
        <v>18</v>
      </c>
      <c r="B20" s="36">
        <v>46051</v>
      </c>
      <c r="C20" s="12">
        <f t="shared" si="0"/>
        <v>68</v>
      </c>
      <c r="D20" s="38">
        <f t="shared" si="1"/>
        <v>1</v>
      </c>
      <c r="E20" s="12" t="str">
        <f t="shared" si="3"/>
        <v>068</v>
      </c>
      <c r="G20" s="12" t="s">
        <v>253</v>
      </c>
      <c r="H20" s="20" t="s">
        <v>3031</v>
      </c>
      <c r="I20" s="12">
        <v>333821</v>
      </c>
      <c r="J20" s="12">
        <v>131</v>
      </c>
      <c r="K20" s="20" t="s">
        <v>20</v>
      </c>
      <c r="L20" s="20">
        <v>1</v>
      </c>
      <c r="M20" s="17">
        <v>77778</v>
      </c>
      <c r="N20" s="34">
        <f t="shared" si="2"/>
        <v>77778</v>
      </c>
      <c r="Q20" s="12">
        <f t="shared" si="4"/>
        <v>136</v>
      </c>
    </row>
    <row r="21" spans="1:17" ht="15" hidden="1" customHeight="1" x14ac:dyDescent="0.2">
      <c r="A21" s="12" t="s">
        <v>18</v>
      </c>
      <c r="B21" s="36">
        <v>46051</v>
      </c>
      <c r="C21" s="12">
        <f t="shared" si="0"/>
        <v>69</v>
      </c>
      <c r="D21" s="38">
        <f t="shared" si="1"/>
        <v>1</v>
      </c>
      <c r="E21" s="12" t="str">
        <f t="shared" si="3"/>
        <v>069</v>
      </c>
      <c r="G21" s="12" t="s">
        <v>1874</v>
      </c>
      <c r="H21" s="12" t="s">
        <v>1875</v>
      </c>
      <c r="I21" s="12">
        <v>131</v>
      </c>
      <c r="J21" s="12">
        <v>5113</v>
      </c>
      <c r="K21" s="20" t="s">
        <v>20</v>
      </c>
      <c r="L21" s="20">
        <v>1</v>
      </c>
      <c r="M21" s="17">
        <v>7777778</v>
      </c>
      <c r="N21" s="34">
        <f t="shared" si="2"/>
        <v>7777778</v>
      </c>
      <c r="Q21" s="12">
        <f t="shared" si="4"/>
        <v>152</v>
      </c>
    </row>
    <row r="22" spans="1:17" ht="15" customHeight="1" x14ac:dyDescent="0.2">
      <c r="A22" s="12" t="s">
        <v>18</v>
      </c>
      <c r="B22" s="36">
        <v>46051</v>
      </c>
      <c r="C22" s="12">
        <f t="shared" si="0"/>
        <v>70</v>
      </c>
      <c r="D22" s="38">
        <f t="shared" si="1"/>
        <v>1</v>
      </c>
      <c r="E22" s="12" t="str">
        <f t="shared" si="3"/>
        <v>070</v>
      </c>
      <c r="G22" s="12" t="s">
        <v>1874</v>
      </c>
      <c r="H22" s="20" t="s">
        <v>3015</v>
      </c>
      <c r="I22" s="12">
        <v>333821</v>
      </c>
      <c r="J22" s="12">
        <v>131</v>
      </c>
      <c r="K22" s="20" t="s">
        <v>20</v>
      </c>
      <c r="L22" s="20">
        <v>1</v>
      </c>
      <c r="M22" s="17">
        <v>77778</v>
      </c>
      <c r="N22" s="34">
        <f t="shared" si="2"/>
        <v>77778</v>
      </c>
      <c r="Q22" s="12">
        <f t="shared" si="4"/>
        <v>168</v>
      </c>
    </row>
    <row r="23" spans="1:17" ht="15" hidden="1" customHeight="1" x14ac:dyDescent="0.2">
      <c r="A23" s="12" t="s">
        <v>18</v>
      </c>
      <c r="B23" s="36">
        <v>46053</v>
      </c>
      <c r="C23" s="12">
        <f t="shared" si="0"/>
        <v>71</v>
      </c>
      <c r="D23" s="38">
        <f t="shared" si="1"/>
        <v>1</v>
      </c>
      <c r="E23" s="12" t="str">
        <f t="shared" si="3"/>
        <v>071</v>
      </c>
      <c r="G23" s="12" t="s">
        <v>302</v>
      </c>
      <c r="H23" s="12" t="s">
        <v>1876</v>
      </c>
      <c r="I23" s="12">
        <v>131</v>
      </c>
      <c r="J23" s="12">
        <v>5113</v>
      </c>
      <c r="K23" s="20" t="s">
        <v>20</v>
      </c>
      <c r="L23" s="20">
        <v>1</v>
      </c>
      <c r="M23" s="17">
        <v>7777778</v>
      </c>
      <c r="N23" s="34">
        <f t="shared" si="2"/>
        <v>7777778</v>
      </c>
      <c r="Q23" s="12">
        <f t="shared" si="4"/>
        <v>97</v>
      </c>
    </row>
    <row r="24" spans="1:17" ht="15" customHeight="1" x14ac:dyDescent="0.2">
      <c r="A24" s="12" t="s">
        <v>18</v>
      </c>
      <c r="B24" s="36">
        <v>46053</v>
      </c>
      <c r="C24" s="12">
        <f t="shared" si="0"/>
        <v>72</v>
      </c>
      <c r="D24" s="38">
        <f t="shared" si="1"/>
        <v>1</v>
      </c>
      <c r="E24" s="12" t="str">
        <f t="shared" si="3"/>
        <v>072</v>
      </c>
      <c r="G24" s="12" t="s">
        <v>302</v>
      </c>
      <c r="H24" s="20" t="s">
        <v>3016</v>
      </c>
      <c r="I24" s="12">
        <v>333821</v>
      </c>
      <c r="J24" s="12">
        <v>131</v>
      </c>
      <c r="K24" s="20" t="s">
        <v>20</v>
      </c>
      <c r="L24" s="20">
        <v>1</v>
      </c>
      <c r="M24" s="17">
        <v>77778</v>
      </c>
      <c r="N24" s="34">
        <f t="shared" si="2"/>
        <v>77778</v>
      </c>
      <c r="Q24" s="12">
        <f t="shared" si="4"/>
        <v>113</v>
      </c>
    </row>
    <row r="25" spans="1:17" ht="15" hidden="1" customHeight="1" x14ac:dyDescent="0.2">
      <c r="A25" s="12" t="s">
        <v>18</v>
      </c>
      <c r="B25" s="36">
        <v>46059</v>
      </c>
      <c r="C25" s="12">
        <f t="shared" si="0"/>
        <v>73</v>
      </c>
      <c r="D25" s="38">
        <f t="shared" si="1"/>
        <v>1</v>
      </c>
      <c r="E25" s="12" t="str">
        <f t="shared" si="3"/>
        <v>073</v>
      </c>
      <c r="G25" s="12" t="s">
        <v>249</v>
      </c>
      <c r="H25" s="12" t="s">
        <v>1877</v>
      </c>
      <c r="I25" s="12">
        <v>131</v>
      </c>
      <c r="J25" s="12">
        <v>5113</v>
      </c>
      <c r="K25" s="20" t="s">
        <v>20</v>
      </c>
      <c r="L25" s="20">
        <v>1</v>
      </c>
      <c r="M25" s="17">
        <v>8888889</v>
      </c>
      <c r="N25" s="34">
        <f t="shared" si="2"/>
        <v>8888889</v>
      </c>
      <c r="Q25" s="12">
        <f t="shared" si="4"/>
        <v>136</v>
      </c>
    </row>
    <row r="26" spans="1:17" ht="15" customHeight="1" x14ac:dyDescent="0.2">
      <c r="A26" s="12" t="s">
        <v>18</v>
      </c>
      <c r="B26" s="36">
        <v>46059</v>
      </c>
      <c r="C26" s="12">
        <f t="shared" si="0"/>
        <v>74</v>
      </c>
      <c r="D26" s="38">
        <f t="shared" si="1"/>
        <v>1</v>
      </c>
      <c r="E26" s="12" t="str">
        <f t="shared" si="3"/>
        <v>074</v>
      </c>
      <c r="G26" s="12" t="s">
        <v>249</v>
      </c>
      <c r="H26" s="20" t="s">
        <v>3017</v>
      </c>
      <c r="I26" s="12">
        <v>333821</v>
      </c>
      <c r="J26" s="12">
        <v>131</v>
      </c>
      <c r="K26" s="20" t="s">
        <v>20</v>
      </c>
      <c r="L26" s="20">
        <v>1</v>
      </c>
      <c r="M26" s="17">
        <v>88889</v>
      </c>
      <c r="N26" s="34">
        <f t="shared" si="2"/>
        <v>88889</v>
      </c>
      <c r="Q26" s="12">
        <f t="shared" si="4"/>
        <v>152</v>
      </c>
    </row>
    <row r="27" spans="1:17" ht="15" hidden="1" customHeight="1" x14ac:dyDescent="0.2">
      <c r="A27" s="12" t="s">
        <v>18</v>
      </c>
      <c r="B27" s="36">
        <v>46091</v>
      </c>
      <c r="C27" s="12">
        <f t="shared" si="0"/>
        <v>75</v>
      </c>
      <c r="D27" s="38">
        <f t="shared" si="1"/>
        <v>1</v>
      </c>
      <c r="E27" s="12" t="str">
        <f t="shared" si="3"/>
        <v>075</v>
      </c>
      <c r="G27" s="12" t="s">
        <v>716</v>
      </c>
      <c r="H27" s="12" t="s">
        <v>1878</v>
      </c>
      <c r="I27" s="12">
        <v>131</v>
      </c>
      <c r="J27" s="12">
        <v>5113</v>
      </c>
      <c r="K27" s="20" t="s">
        <v>20</v>
      </c>
      <c r="L27" s="20">
        <v>1</v>
      </c>
      <c r="M27" s="17">
        <v>8888889</v>
      </c>
      <c r="N27" s="34">
        <f t="shared" si="2"/>
        <v>8888889</v>
      </c>
      <c r="Q27" s="12">
        <f t="shared" si="4"/>
        <v>113</v>
      </c>
    </row>
    <row r="28" spans="1:17" ht="15" customHeight="1" x14ac:dyDescent="0.2">
      <c r="A28" s="12" t="s">
        <v>18</v>
      </c>
      <c r="B28" s="36">
        <v>46091</v>
      </c>
      <c r="C28" s="12">
        <f t="shared" si="0"/>
        <v>76</v>
      </c>
      <c r="D28" s="38">
        <f t="shared" si="1"/>
        <v>1</v>
      </c>
      <c r="E28" s="12" t="str">
        <f t="shared" si="3"/>
        <v>076</v>
      </c>
      <c r="G28" s="12" t="s">
        <v>716</v>
      </c>
      <c r="H28" s="20" t="s">
        <v>3018</v>
      </c>
      <c r="I28" s="12">
        <v>333821</v>
      </c>
      <c r="J28" s="12">
        <v>131</v>
      </c>
      <c r="K28" s="20" t="s">
        <v>20</v>
      </c>
      <c r="L28" s="20">
        <v>1</v>
      </c>
      <c r="M28" s="17">
        <v>88889</v>
      </c>
      <c r="N28" s="34">
        <f t="shared" si="2"/>
        <v>88889</v>
      </c>
      <c r="Q28" s="12">
        <f t="shared" si="4"/>
        <v>129</v>
      </c>
    </row>
    <row r="29" spans="1:17" ht="15" hidden="1" customHeight="1" x14ac:dyDescent="0.2">
      <c r="A29" s="12" t="s">
        <v>18</v>
      </c>
      <c r="B29" s="36">
        <v>46099</v>
      </c>
      <c r="C29" s="12">
        <f t="shared" si="0"/>
        <v>77</v>
      </c>
      <c r="D29" s="38">
        <f t="shared" si="1"/>
        <v>1</v>
      </c>
      <c r="E29" s="12" t="str">
        <f t="shared" si="3"/>
        <v>077</v>
      </c>
      <c r="G29" s="12" t="s">
        <v>255</v>
      </c>
      <c r="H29" s="12" t="s">
        <v>1879</v>
      </c>
      <c r="I29" s="12">
        <v>131</v>
      </c>
      <c r="J29" s="12">
        <v>5113</v>
      </c>
      <c r="K29" s="20" t="s">
        <v>20</v>
      </c>
      <c r="L29" s="20">
        <v>1</v>
      </c>
      <c r="M29" s="17">
        <v>7777778</v>
      </c>
      <c r="N29" s="34">
        <f t="shared" si="2"/>
        <v>7777778</v>
      </c>
      <c r="Q29" s="12">
        <f t="shared" si="4"/>
        <v>110</v>
      </c>
    </row>
    <row r="30" spans="1:17" ht="15" customHeight="1" x14ac:dyDescent="0.2">
      <c r="A30" s="12" t="s">
        <v>18</v>
      </c>
      <c r="B30" s="36">
        <v>46099</v>
      </c>
      <c r="C30" s="12">
        <f t="shared" si="0"/>
        <v>78</v>
      </c>
      <c r="D30" s="38">
        <f t="shared" si="1"/>
        <v>1</v>
      </c>
      <c r="E30" s="12" t="str">
        <f t="shared" si="3"/>
        <v>078</v>
      </c>
      <c r="G30" s="12" t="s">
        <v>255</v>
      </c>
      <c r="H30" s="20" t="s">
        <v>3019</v>
      </c>
      <c r="I30" s="12">
        <v>333821</v>
      </c>
      <c r="J30" s="12">
        <v>131</v>
      </c>
      <c r="K30" s="20" t="s">
        <v>20</v>
      </c>
      <c r="L30" s="20">
        <v>1</v>
      </c>
      <c r="M30" s="17">
        <v>77778</v>
      </c>
      <c r="N30" s="34">
        <f t="shared" si="2"/>
        <v>77778</v>
      </c>
      <c r="Q30" s="12">
        <f t="shared" si="4"/>
        <v>126</v>
      </c>
    </row>
    <row r="31" spans="1:17" ht="15" hidden="1" customHeight="1" x14ac:dyDescent="0.2">
      <c r="A31" s="12" t="s">
        <v>18</v>
      </c>
      <c r="B31" s="36">
        <v>46099</v>
      </c>
      <c r="C31" s="12">
        <f t="shared" si="0"/>
        <v>79</v>
      </c>
      <c r="D31" s="38">
        <f t="shared" si="1"/>
        <v>1</v>
      </c>
      <c r="E31" s="12" t="str">
        <f t="shared" si="3"/>
        <v>079</v>
      </c>
      <c r="G31" s="12" t="s">
        <v>1880</v>
      </c>
      <c r="H31" s="12" t="s">
        <v>1881</v>
      </c>
      <c r="I31" s="12">
        <v>131</v>
      </c>
      <c r="J31" s="12">
        <v>5113</v>
      </c>
      <c r="K31" s="20" t="s">
        <v>20</v>
      </c>
      <c r="L31" s="20">
        <v>1</v>
      </c>
      <c r="M31" s="17">
        <v>7777778</v>
      </c>
      <c r="N31" s="34">
        <f t="shared" si="2"/>
        <v>7777778</v>
      </c>
      <c r="Q31" s="12">
        <f t="shared" si="4"/>
        <v>136</v>
      </c>
    </row>
    <row r="32" spans="1:17" ht="15" customHeight="1" x14ac:dyDescent="0.2">
      <c r="A32" s="12" t="s">
        <v>18</v>
      </c>
      <c r="B32" s="36">
        <v>46099</v>
      </c>
      <c r="C32" s="12">
        <f t="shared" si="0"/>
        <v>80</v>
      </c>
      <c r="D32" s="38">
        <f t="shared" si="1"/>
        <v>1</v>
      </c>
      <c r="E32" s="12" t="str">
        <f t="shared" si="3"/>
        <v>080</v>
      </c>
      <c r="G32" s="12" t="s">
        <v>1880</v>
      </c>
      <c r="H32" s="20" t="s">
        <v>3020</v>
      </c>
      <c r="I32" s="12">
        <v>333821</v>
      </c>
      <c r="J32" s="12">
        <v>131</v>
      </c>
      <c r="K32" s="20" t="s">
        <v>20</v>
      </c>
      <c r="L32" s="20">
        <v>1</v>
      </c>
      <c r="M32" s="17">
        <v>77778</v>
      </c>
      <c r="N32" s="34">
        <f t="shared" si="2"/>
        <v>77778</v>
      </c>
      <c r="Q32" s="12">
        <f t="shared" si="4"/>
        <v>152</v>
      </c>
    </row>
    <row r="33" spans="1:17" ht="15" hidden="1" customHeight="1" x14ac:dyDescent="0.2">
      <c r="A33" s="12" t="s">
        <v>18</v>
      </c>
      <c r="B33" s="36">
        <v>46112</v>
      </c>
      <c r="C33" s="12">
        <f t="shared" si="0"/>
        <v>81</v>
      </c>
      <c r="D33" s="38">
        <f t="shared" si="1"/>
        <v>1</v>
      </c>
      <c r="E33" s="12" t="str">
        <f t="shared" si="3"/>
        <v>081</v>
      </c>
      <c r="G33" s="12" t="s">
        <v>769</v>
      </c>
      <c r="H33" s="12" t="s">
        <v>1882</v>
      </c>
      <c r="I33" s="12">
        <v>131</v>
      </c>
      <c r="J33" s="12">
        <v>5113</v>
      </c>
      <c r="K33" s="20" t="s">
        <v>20</v>
      </c>
      <c r="L33" s="20">
        <v>1</v>
      </c>
      <c r="M33" s="17">
        <v>8888889</v>
      </c>
      <c r="N33" s="34">
        <f t="shared" si="2"/>
        <v>8888889</v>
      </c>
      <c r="Q33" s="12">
        <f t="shared" si="4"/>
        <v>137</v>
      </c>
    </row>
    <row r="34" spans="1:17" ht="15" customHeight="1" x14ac:dyDescent="0.2">
      <c r="A34" s="12" t="s">
        <v>18</v>
      </c>
      <c r="B34" s="36">
        <v>46112</v>
      </c>
      <c r="C34" s="12">
        <f t="shared" si="0"/>
        <v>82</v>
      </c>
      <c r="D34" s="38">
        <f t="shared" si="1"/>
        <v>1</v>
      </c>
      <c r="E34" s="12" t="str">
        <f t="shared" si="3"/>
        <v>082</v>
      </c>
      <c r="G34" s="12" t="s">
        <v>769</v>
      </c>
      <c r="H34" s="20" t="s">
        <v>3021</v>
      </c>
      <c r="I34" s="12">
        <v>333821</v>
      </c>
      <c r="J34" s="12">
        <v>131</v>
      </c>
      <c r="K34" s="20" t="s">
        <v>20</v>
      </c>
      <c r="L34" s="20">
        <v>1</v>
      </c>
      <c r="M34" s="17">
        <v>88889</v>
      </c>
      <c r="N34" s="34">
        <f t="shared" si="2"/>
        <v>88889</v>
      </c>
      <c r="Q34" s="12">
        <f t="shared" si="4"/>
        <v>153</v>
      </c>
    </row>
    <row r="35" spans="1:17" ht="15" hidden="1" customHeight="1" x14ac:dyDescent="0.2">
      <c r="A35" s="12" t="s">
        <v>18</v>
      </c>
      <c r="B35" s="36">
        <v>46053</v>
      </c>
      <c r="C35" s="12">
        <f t="shared" si="0"/>
        <v>83</v>
      </c>
      <c r="D35" s="38">
        <f t="shared" si="1"/>
        <v>1</v>
      </c>
      <c r="E35" s="12" t="str">
        <f t="shared" si="3"/>
        <v>083</v>
      </c>
      <c r="G35" s="12" t="s">
        <v>71</v>
      </c>
      <c r="H35" s="12" t="s">
        <v>455</v>
      </c>
      <c r="I35" s="12">
        <v>64271</v>
      </c>
      <c r="J35" s="12">
        <v>3383</v>
      </c>
      <c r="K35" s="12" t="s">
        <v>20</v>
      </c>
      <c r="L35" s="12">
        <v>1</v>
      </c>
      <c r="M35" s="17">
        <v>690300</v>
      </c>
      <c r="N35" s="34">
        <f t="shared" si="2"/>
        <v>690300</v>
      </c>
      <c r="Q35" s="12">
        <f t="shared" si="4"/>
        <v>30</v>
      </c>
    </row>
    <row r="36" spans="1:17" ht="15" hidden="1" customHeight="1" x14ac:dyDescent="0.2">
      <c r="A36" s="12" t="s">
        <v>18</v>
      </c>
      <c r="B36" s="36">
        <v>46081</v>
      </c>
      <c r="C36" s="12">
        <f t="shared" ref="C36:C38" si="5">C35+D36</f>
        <v>84</v>
      </c>
      <c r="D36" s="38">
        <f t="shared" si="1"/>
        <v>1</v>
      </c>
      <c r="E36" s="12" t="str">
        <f t="shared" si="3"/>
        <v>084</v>
      </c>
      <c r="G36" s="130" t="s">
        <v>71</v>
      </c>
      <c r="H36" s="12" t="s">
        <v>456</v>
      </c>
      <c r="I36" s="12">
        <v>64271</v>
      </c>
      <c r="J36" s="12">
        <v>3383</v>
      </c>
      <c r="K36" s="12" t="s">
        <v>20</v>
      </c>
      <c r="L36" s="12">
        <v>1</v>
      </c>
      <c r="M36" s="17">
        <v>690300</v>
      </c>
      <c r="N36" s="34">
        <f t="shared" ref="N36:N37" si="6">L36*M36</f>
        <v>690300</v>
      </c>
      <c r="Q36" s="12">
        <f t="shared" si="4"/>
        <v>30</v>
      </c>
    </row>
    <row r="37" spans="1:17" ht="15" hidden="1" customHeight="1" x14ac:dyDescent="0.2">
      <c r="A37" s="12" t="s">
        <v>18</v>
      </c>
      <c r="B37" s="36">
        <v>46112</v>
      </c>
      <c r="C37" s="12">
        <f t="shared" si="5"/>
        <v>85</v>
      </c>
      <c r="D37" s="38">
        <f t="shared" si="1"/>
        <v>1</v>
      </c>
      <c r="E37" s="12" t="str">
        <f t="shared" si="3"/>
        <v>085</v>
      </c>
      <c r="G37" s="130" t="s">
        <v>71</v>
      </c>
      <c r="H37" s="12" t="s">
        <v>457</v>
      </c>
      <c r="I37" s="12">
        <v>64271</v>
      </c>
      <c r="J37" s="12">
        <v>3383</v>
      </c>
      <c r="K37" s="12" t="s">
        <v>20</v>
      </c>
      <c r="L37" s="12">
        <v>1</v>
      </c>
      <c r="M37" s="17">
        <v>690300</v>
      </c>
      <c r="N37" s="34">
        <f t="shared" si="6"/>
        <v>690300</v>
      </c>
      <c r="Q37" s="12">
        <f t="shared" si="4"/>
        <v>30</v>
      </c>
    </row>
    <row r="38" spans="1:17" ht="15" hidden="1" customHeight="1" x14ac:dyDescent="0.2">
      <c r="A38" s="12" t="s">
        <v>310</v>
      </c>
      <c r="B38" s="36">
        <v>46053</v>
      </c>
      <c r="C38" s="12">
        <f t="shared" si="5"/>
        <v>86</v>
      </c>
      <c r="D38" s="38">
        <f t="shared" si="1"/>
        <v>1</v>
      </c>
      <c r="E38" s="12" t="str">
        <f t="shared" si="3"/>
        <v>086</v>
      </c>
      <c r="G38" s="130" t="s">
        <v>71</v>
      </c>
      <c r="H38" s="12" t="s">
        <v>3025</v>
      </c>
      <c r="I38" s="12">
        <v>3383</v>
      </c>
      <c r="J38" s="12">
        <v>1111</v>
      </c>
      <c r="K38" s="12" t="s">
        <v>20</v>
      </c>
      <c r="L38" s="12">
        <v>1</v>
      </c>
      <c r="M38" s="17">
        <v>690300</v>
      </c>
      <c r="N38" s="34">
        <f t="shared" ref="N38:N60" si="7">L38*M38</f>
        <v>690300</v>
      </c>
      <c r="Q38" s="12">
        <f t="shared" si="4"/>
        <v>34</v>
      </c>
    </row>
    <row r="39" spans="1:17" ht="15" hidden="1" customHeight="1" x14ac:dyDescent="0.2">
      <c r="A39" s="12" t="s">
        <v>310</v>
      </c>
      <c r="B39" s="36">
        <v>46081</v>
      </c>
      <c r="C39" s="12">
        <f t="shared" ref="C39:C40" si="8">C38+D39</f>
        <v>87</v>
      </c>
      <c r="D39" s="38">
        <f t="shared" si="1"/>
        <v>1</v>
      </c>
      <c r="E39" s="12" t="str">
        <f t="shared" si="3"/>
        <v>087</v>
      </c>
      <c r="G39" s="130" t="s">
        <v>71</v>
      </c>
      <c r="H39" s="12" t="s">
        <v>3026</v>
      </c>
      <c r="I39" s="12">
        <v>3383</v>
      </c>
      <c r="J39" s="12">
        <v>1111</v>
      </c>
      <c r="K39" s="12" t="s">
        <v>20</v>
      </c>
      <c r="L39" s="12">
        <v>1</v>
      </c>
      <c r="M39" s="17">
        <v>690300</v>
      </c>
      <c r="N39" s="34">
        <f t="shared" si="7"/>
        <v>690300</v>
      </c>
      <c r="Q39" s="12">
        <f t="shared" si="4"/>
        <v>34</v>
      </c>
    </row>
    <row r="40" spans="1:17" ht="15" hidden="1" customHeight="1" x14ac:dyDescent="0.2">
      <c r="A40" s="12" t="s">
        <v>310</v>
      </c>
      <c r="B40" s="36">
        <v>46112</v>
      </c>
      <c r="C40" s="12">
        <f t="shared" si="8"/>
        <v>88</v>
      </c>
      <c r="D40" s="38">
        <f t="shared" si="1"/>
        <v>1</v>
      </c>
      <c r="E40" s="12" t="str">
        <f t="shared" si="3"/>
        <v>088</v>
      </c>
      <c r="G40" s="130" t="s">
        <v>71</v>
      </c>
      <c r="H40" s="12" t="s">
        <v>3027</v>
      </c>
      <c r="I40" s="12">
        <v>3383</v>
      </c>
      <c r="J40" s="12">
        <v>1111</v>
      </c>
      <c r="K40" s="12" t="s">
        <v>20</v>
      </c>
      <c r="L40" s="12">
        <v>1</v>
      </c>
      <c r="M40" s="17">
        <v>690300</v>
      </c>
      <c r="N40" s="34">
        <f t="shared" si="7"/>
        <v>690300</v>
      </c>
      <c r="Q40" s="12">
        <f t="shared" si="4"/>
        <v>34</v>
      </c>
    </row>
    <row r="41" spans="1:17" ht="15" hidden="1" customHeight="1" x14ac:dyDescent="0.2">
      <c r="A41" s="12" t="s">
        <v>308</v>
      </c>
      <c r="B41" s="13">
        <v>46023</v>
      </c>
      <c r="C41" s="12">
        <f t="shared" ref="C41:C60" si="9">C40+D41</f>
        <v>89</v>
      </c>
      <c r="D41" s="38">
        <f t="shared" ref="D41:D60" si="10">IF(H41=H40,0,1)</f>
        <v>1</v>
      </c>
      <c r="E41" s="12" t="str">
        <f t="shared" ref="E41:E60" si="11">TEXT(C41,"000")</f>
        <v>089</v>
      </c>
      <c r="G41" s="14" t="s">
        <v>239</v>
      </c>
      <c r="H41" s="12" t="s">
        <v>3032</v>
      </c>
      <c r="I41" s="12">
        <v>1111</v>
      </c>
      <c r="J41" s="12">
        <v>112111</v>
      </c>
      <c r="K41" s="12" t="s">
        <v>20</v>
      </c>
      <c r="L41" s="12">
        <v>1</v>
      </c>
      <c r="M41" s="17">
        <v>23000000</v>
      </c>
      <c r="N41" s="34">
        <f t="shared" si="7"/>
        <v>23000000</v>
      </c>
      <c r="Q41" s="12">
        <f t="shared" si="4"/>
        <v>40</v>
      </c>
    </row>
    <row r="42" spans="1:17" ht="15" hidden="1" customHeight="1" x14ac:dyDescent="0.2">
      <c r="A42" s="12" t="s">
        <v>309</v>
      </c>
      <c r="B42" s="13">
        <v>46023</v>
      </c>
      <c r="C42" s="12">
        <f t="shared" si="9"/>
        <v>90</v>
      </c>
      <c r="D42" s="38">
        <f t="shared" si="10"/>
        <v>1</v>
      </c>
      <c r="E42" s="12" t="str">
        <f t="shared" si="11"/>
        <v>090</v>
      </c>
      <c r="G42" s="14" t="s">
        <v>311</v>
      </c>
      <c r="H42" s="12" t="s">
        <v>2658</v>
      </c>
      <c r="I42" s="12">
        <v>112111</v>
      </c>
      <c r="J42" s="12">
        <v>131</v>
      </c>
      <c r="K42" s="12" t="s">
        <v>20</v>
      </c>
      <c r="L42" s="12">
        <v>1</v>
      </c>
      <c r="M42" s="17">
        <v>9577421</v>
      </c>
      <c r="N42" s="34">
        <f t="shared" si="7"/>
        <v>9577421</v>
      </c>
      <c r="Q42" s="12">
        <f t="shared" si="4"/>
        <v>21</v>
      </c>
    </row>
    <row r="43" spans="1:17" ht="15" hidden="1" customHeight="1" x14ac:dyDescent="0.2">
      <c r="A43" s="12" t="s">
        <v>309</v>
      </c>
      <c r="B43" s="13">
        <v>46039</v>
      </c>
      <c r="C43" s="12">
        <f t="shared" si="9"/>
        <v>91</v>
      </c>
      <c r="D43" s="38">
        <f t="shared" si="10"/>
        <v>1</v>
      </c>
      <c r="E43" s="12" t="str">
        <f t="shared" si="11"/>
        <v>091</v>
      </c>
      <c r="G43" s="14" t="s">
        <v>43</v>
      </c>
      <c r="H43" s="12" t="s">
        <v>3033</v>
      </c>
      <c r="I43" s="12">
        <v>112111</v>
      </c>
      <c r="J43" s="12">
        <v>131</v>
      </c>
      <c r="K43" s="12" t="s">
        <v>20</v>
      </c>
      <c r="L43" s="12">
        <v>1</v>
      </c>
      <c r="M43" s="17">
        <v>10645161</v>
      </c>
      <c r="N43" s="34">
        <f t="shared" si="7"/>
        <v>10645161</v>
      </c>
      <c r="Q43" s="12">
        <f t="shared" si="4"/>
        <v>183</v>
      </c>
    </row>
    <row r="44" spans="1:17" ht="15" hidden="1" customHeight="1" x14ac:dyDescent="0.2">
      <c r="A44" s="12" t="s">
        <v>309</v>
      </c>
      <c r="B44" s="13">
        <v>46042</v>
      </c>
      <c r="C44" s="12">
        <f t="shared" si="9"/>
        <v>92</v>
      </c>
      <c r="D44" s="38">
        <f t="shared" si="10"/>
        <v>1</v>
      </c>
      <c r="E44" s="12" t="str">
        <f t="shared" si="11"/>
        <v>092</v>
      </c>
      <c r="G44" s="14" t="s">
        <v>72</v>
      </c>
      <c r="H44" s="12" t="s">
        <v>3034</v>
      </c>
      <c r="I44" s="12">
        <v>112111</v>
      </c>
      <c r="J44" s="12">
        <v>131</v>
      </c>
      <c r="K44" s="12" t="s">
        <v>20</v>
      </c>
      <c r="L44" s="12">
        <v>1</v>
      </c>
      <c r="M44" s="17">
        <v>7451613</v>
      </c>
      <c r="N44" s="34">
        <f t="shared" si="7"/>
        <v>7451613</v>
      </c>
      <c r="Q44" s="12">
        <f t="shared" si="4"/>
        <v>152</v>
      </c>
    </row>
    <row r="45" spans="1:17" ht="15" hidden="1" customHeight="1" x14ac:dyDescent="0.2">
      <c r="A45" s="12" t="s">
        <v>308</v>
      </c>
      <c r="B45" s="13">
        <v>46051</v>
      </c>
      <c r="C45" s="12">
        <f t="shared" si="9"/>
        <v>93</v>
      </c>
      <c r="D45" s="38">
        <f t="shared" si="10"/>
        <v>1</v>
      </c>
      <c r="E45" s="12" t="str">
        <f t="shared" si="11"/>
        <v>093</v>
      </c>
      <c r="G45" s="14" t="s">
        <v>239</v>
      </c>
      <c r="H45" s="12" t="s">
        <v>3032</v>
      </c>
      <c r="I45" s="12">
        <v>1111</v>
      </c>
      <c r="J45" s="12">
        <v>112111</v>
      </c>
      <c r="K45" s="12" t="s">
        <v>20</v>
      </c>
      <c r="L45" s="12">
        <v>1</v>
      </c>
      <c r="M45" s="17">
        <v>37000000</v>
      </c>
      <c r="N45" s="34">
        <f t="shared" si="7"/>
        <v>37000000</v>
      </c>
      <c r="Q45" s="12">
        <f t="shared" si="4"/>
        <v>40</v>
      </c>
    </row>
    <row r="46" spans="1:17" ht="15" hidden="1" customHeight="1" x14ac:dyDescent="0.2">
      <c r="A46" s="12" t="s">
        <v>309</v>
      </c>
      <c r="B46" s="13">
        <v>46054</v>
      </c>
      <c r="C46" s="12">
        <f t="shared" si="9"/>
        <v>94</v>
      </c>
      <c r="D46" s="38">
        <f t="shared" si="10"/>
        <v>1</v>
      </c>
      <c r="E46" s="12" t="str">
        <f t="shared" si="11"/>
        <v>094</v>
      </c>
      <c r="G46" s="14" t="s">
        <v>311</v>
      </c>
      <c r="H46" s="12" t="s">
        <v>2658</v>
      </c>
      <c r="I46" s="12">
        <v>112111</v>
      </c>
      <c r="J46" s="12">
        <v>131</v>
      </c>
      <c r="K46" s="12" t="s">
        <v>20</v>
      </c>
      <c r="L46" s="12">
        <v>1</v>
      </c>
      <c r="M46" s="17">
        <v>12902071</v>
      </c>
      <c r="N46" s="34">
        <f t="shared" si="7"/>
        <v>12902071</v>
      </c>
      <c r="Q46" s="12">
        <f t="shared" si="4"/>
        <v>21</v>
      </c>
    </row>
    <row r="47" spans="1:17" ht="15" hidden="1" customHeight="1" x14ac:dyDescent="0.2">
      <c r="A47" s="12" t="s">
        <v>309</v>
      </c>
      <c r="B47" s="13">
        <v>46056</v>
      </c>
      <c r="C47" s="12">
        <f t="shared" si="9"/>
        <v>95</v>
      </c>
      <c r="D47" s="38">
        <f t="shared" si="10"/>
        <v>1</v>
      </c>
      <c r="E47" s="12" t="str">
        <f t="shared" si="11"/>
        <v>095</v>
      </c>
      <c r="G47" s="14" t="s">
        <v>74</v>
      </c>
      <c r="H47" s="12" t="s">
        <v>3035</v>
      </c>
      <c r="I47" s="12">
        <v>112111</v>
      </c>
      <c r="J47" s="12">
        <v>131</v>
      </c>
      <c r="K47" s="12" t="s">
        <v>20</v>
      </c>
      <c r="L47" s="12">
        <v>1</v>
      </c>
      <c r="M47" s="17">
        <v>7700000</v>
      </c>
      <c r="N47" s="34">
        <f t="shared" si="7"/>
        <v>7700000</v>
      </c>
      <c r="Q47" s="12">
        <f t="shared" si="4"/>
        <v>113</v>
      </c>
    </row>
    <row r="48" spans="1:17" ht="15" hidden="1" customHeight="1" x14ac:dyDescent="0.2">
      <c r="A48" s="12" t="s">
        <v>308</v>
      </c>
      <c r="B48" s="13">
        <v>46056</v>
      </c>
      <c r="C48" s="12">
        <f t="shared" si="9"/>
        <v>96</v>
      </c>
      <c r="D48" s="38">
        <f t="shared" si="10"/>
        <v>1</v>
      </c>
      <c r="E48" s="12" t="str">
        <f t="shared" si="11"/>
        <v>096</v>
      </c>
      <c r="G48" s="14" t="s">
        <v>239</v>
      </c>
      <c r="H48" s="12" t="s">
        <v>3032</v>
      </c>
      <c r="I48" s="12">
        <v>1111</v>
      </c>
      <c r="J48" s="12">
        <v>112111</v>
      </c>
      <c r="K48" s="12" t="s">
        <v>20</v>
      </c>
      <c r="L48" s="12">
        <v>1</v>
      </c>
      <c r="M48" s="17">
        <v>13000000</v>
      </c>
      <c r="N48" s="34">
        <f t="shared" si="7"/>
        <v>13000000</v>
      </c>
      <c r="Q48" s="12">
        <f t="shared" si="4"/>
        <v>40</v>
      </c>
    </row>
    <row r="49" spans="1:17" ht="15" hidden="1" customHeight="1" x14ac:dyDescent="0.2">
      <c r="A49" s="12" t="s">
        <v>309</v>
      </c>
      <c r="B49" s="13">
        <v>46062</v>
      </c>
      <c r="C49" s="12">
        <f t="shared" si="9"/>
        <v>97</v>
      </c>
      <c r="D49" s="38">
        <f t="shared" si="10"/>
        <v>1</v>
      </c>
      <c r="E49" s="12" t="str">
        <f t="shared" si="11"/>
        <v>097</v>
      </c>
      <c r="G49" s="14" t="s">
        <v>249</v>
      </c>
      <c r="H49" s="12" t="s">
        <v>3036</v>
      </c>
      <c r="I49" s="12">
        <v>112111</v>
      </c>
      <c r="J49" s="12">
        <v>131</v>
      </c>
      <c r="K49" s="12" t="s">
        <v>20</v>
      </c>
      <c r="L49" s="12">
        <v>1</v>
      </c>
      <c r="M49" s="17">
        <v>8800000</v>
      </c>
      <c r="N49" s="34">
        <f t="shared" si="7"/>
        <v>8800000</v>
      </c>
      <c r="Q49" s="12">
        <f t="shared" si="4"/>
        <v>91</v>
      </c>
    </row>
    <row r="50" spans="1:17" ht="15" hidden="1" customHeight="1" x14ac:dyDescent="0.2">
      <c r="A50" s="12" t="s">
        <v>309</v>
      </c>
      <c r="B50" s="13">
        <v>46063</v>
      </c>
      <c r="C50" s="12">
        <f t="shared" si="9"/>
        <v>98</v>
      </c>
      <c r="D50" s="38">
        <f t="shared" si="10"/>
        <v>1</v>
      </c>
      <c r="E50" s="12" t="str">
        <f t="shared" si="11"/>
        <v>098</v>
      </c>
      <c r="G50" s="14" t="s">
        <v>1679</v>
      </c>
      <c r="H50" s="12" t="s">
        <v>3037</v>
      </c>
      <c r="I50" s="12">
        <v>112111</v>
      </c>
      <c r="J50" s="12">
        <v>131</v>
      </c>
      <c r="K50" s="12" t="s">
        <v>20</v>
      </c>
      <c r="L50" s="12">
        <v>1</v>
      </c>
      <c r="M50" s="17">
        <v>7700000</v>
      </c>
      <c r="N50" s="34">
        <f t="shared" si="7"/>
        <v>7700000</v>
      </c>
      <c r="Q50" s="12">
        <f t="shared" si="4"/>
        <v>92</v>
      </c>
    </row>
    <row r="51" spans="1:17" ht="15" hidden="1" customHeight="1" x14ac:dyDescent="0.2">
      <c r="A51" s="12" t="s">
        <v>309</v>
      </c>
      <c r="B51" s="13">
        <v>46067</v>
      </c>
      <c r="C51" s="12">
        <f t="shared" si="9"/>
        <v>99</v>
      </c>
      <c r="D51" s="38">
        <f t="shared" si="10"/>
        <v>1</v>
      </c>
      <c r="E51" s="12" t="str">
        <f t="shared" si="11"/>
        <v>099</v>
      </c>
      <c r="G51" s="14" t="s">
        <v>302</v>
      </c>
      <c r="H51" s="12" t="s">
        <v>3038</v>
      </c>
      <c r="I51" s="12">
        <v>112111</v>
      </c>
      <c r="J51" s="12">
        <v>131</v>
      </c>
      <c r="K51" s="12" t="s">
        <v>20</v>
      </c>
      <c r="L51" s="12">
        <v>1</v>
      </c>
      <c r="M51" s="17">
        <v>7700000</v>
      </c>
      <c r="N51" s="34">
        <f t="shared" si="7"/>
        <v>7700000</v>
      </c>
      <c r="Q51" s="12">
        <f t="shared" si="4"/>
        <v>102</v>
      </c>
    </row>
    <row r="52" spans="1:17" ht="15" hidden="1" customHeight="1" x14ac:dyDescent="0.2">
      <c r="A52" s="12" t="s">
        <v>308</v>
      </c>
      <c r="B52" s="13">
        <v>46080</v>
      </c>
      <c r="C52" s="12">
        <f t="shared" si="9"/>
        <v>100</v>
      </c>
      <c r="D52" s="38">
        <f t="shared" si="10"/>
        <v>1</v>
      </c>
      <c r="E52" s="12" t="str">
        <f t="shared" si="11"/>
        <v>100</v>
      </c>
      <c r="G52" s="14" t="s">
        <v>39</v>
      </c>
      <c r="H52" s="12" t="s">
        <v>3039</v>
      </c>
      <c r="I52" s="12">
        <v>3383</v>
      </c>
      <c r="J52" s="12">
        <v>112111</v>
      </c>
      <c r="K52" s="12" t="s">
        <v>20</v>
      </c>
      <c r="L52" s="12">
        <v>1</v>
      </c>
      <c r="M52" s="17">
        <v>1389491</v>
      </c>
      <c r="N52" s="34">
        <f t="shared" si="7"/>
        <v>1389491</v>
      </c>
      <c r="Q52" s="12">
        <f t="shared" si="4"/>
        <v>16</v>
      </c>
    </row>
    <row r="53" spans="1:17" ht="15" hidden="1" customHeight="1" x14ac:dyDescent="0.2">
      <c r="A53" s="12" t="s">
        <v>309</v>
      </c>
      <c r="B53" s="13">
        <v>46082</v>
      </c>
      <c r="C53" s="12">
        <f t="shared" si="9"/>
        <v>101</v>
      </c>
      <c r="D53" s="38">
        <f t="shared" si="10"/>
        <v>1</v>
      </c>
      <c r="E53" s="12" t="str">
        <f t="shared" si="11"/>
        <v>101</v>
      </c>
      <c r="G53" s="14" t="s">
        <v>311</v>
      </c>
      <c r="H53" s="12" t="s">
        <v>2658</v>
      </c>
      <c r="I53" s="12">
        <v>112111</v>
      </c>
      <c r="J53" s="12">
        <v>131</v>
      </c>
      <c r="K53" s="12" t="s">
        <v>20</v>
      </c>
      <c r="L53" s="12">
        <v>1</v>
      </c>
      <c r="M53" s="17">
        <v>8465851</v>
      </c>
      <c r="N53" s="34">
        <f t="shared" si="7"/>
        <v>8465851</v>
      </c>
      <c r="Q53" s="12">
        <f t="shared" si="4"/>
        <v>21</v>
      </c>
    </row>
    <row r="54" spans="1:17" ht="15" hidden="1" customHeight="1" x14ac:dyDescent="0.2">
      <c r="A54" s="12" t="s">
        <v>308</v>
      </c>
      <c r="B54" s="13">
        <v>46083</v>
      </c>
      <c r="C54" s="12">
        <f t="shared" si="9"/>
        <v>102</v>
      </c>
      <c r="D54" s="38">
        <f t="shared" si="10"/>
        <v>1</v>
      </c>
      <c r="E54" s="12" t="str">
        <f t="shared" si="11"/>
        <v>102</v>
      </c>
      <c r="G54" s="14" t="s">
        <v>239</v>
      </c>
      <c r="H54" s="12" t="s">
        <v>3032</v>
      </c>
      <c r="I54" s="12">
        <v>1111</v>
      </c>
      <c r="J54" s="12">
        <v>112111</v>
      </c>
      <c r="K54" s="12" t="s">
        <v>20</v>
      </c>
      <c r="L54" s="12">
        <v>1</v>
      </c>
      <c r="M54" s="17">
        <v>38686868</v>
      </c>
      <c r="N54" s="34">
        <f t="shared" si="7"/>
        <v>38686868</v>
      </c>
      <c r="Q54" s="12">
        <f t="shared" si="4"/>
        <v>40</v>
      </c>
    </row>
    <row r="55" spans="1:17" ht="15" hidden="1" customHeight="1" x14ac:dyDescent="0.2">
      <c r="A55" s="12" t="s">
        <v>309</v>
      </c>
      <c r="B55" s="13">
        <v>46091</v>
      </c>
      <c r="C55" s="12">
        <f t="shared" si="9"/>
        <v>103</v>
      </c>
      <c r="D55" s="38">
        <f t="shared" si="10"/>
        <v>1</v>
      </c>
      <c r="E55" s="12" t="str">
        <f t="shared" si="11"/>
        <v>103</v>
      </c>
      <c r="G55" s="14" t="s">
        <v>716</v>
      </c>
      <c r="H55" s="12" t="s">
        <v>3040</v>
      </c>
      <c r="I55" s="12">
        <v>112111</v>
      </c>
      <c r="J55" s="12">
        <v>131</v>
      </c>
      <c r="K55" s="12" t="s">
        <v>20</v>
      </c>
      <c r="L55" s="12">
        <v>1</v>
      </c>
      <c r="M55" s="17">
        <v>8800000</v>
      </c>
      <c r="N55" s="34">
        <f t="shared" si="7"/>
        <v>8800000</v>
      </c>
      <c r="Q55" s="12">
        <f t="shared" si="4"/>
        <v>118</v>
      </c>
    </row>
    <row r="56" spans="1:17" ht="15" hidden="1" customHeight="1" x14ac:dyDescent="0.2">
      <c r="A56" s="12" t="s">
        <v>309</v>
      </c>
      <c r="B56" s="13">
        <v>46097</v>
      </c>
      <c r="C56" s="12">
        <f t="shared" si="9"/>
        <v>104</v>
      </c>
      <c r="D56" s="38">
        <f t="shared" si="10"/>
        <v>1</v>
      </c>
      <c r="E56" s="12" t="str">
        <f t="shared" si="11"/>
        <v>104</v>
      </c>
      <c r="G56" s="14" t="s">
        <v>1874</v>
      </c>
      <c r="H56" s="12" t="s">
        <v>3041</v>
      </c>
      <c r="I56" s="12">
        <v>112111</v>
      </c>
      <c r="J56" s="12">
        <v>131</v>
      </c>
      <c r="K56" s="12" t="s">
        <v>20</v>
      </c>
      <c r="L56" s="12">
        <v>1</v>
      </c>
      <c r="M56" s="17">
        <v>7700000</v>
      </c>
      <c r="N56" s="34">
        <f t="shared" si="7"/>
        <v>7700000</v>
      </c>
      <c r="Q56" s="12">
        <f t="shared" si="4"/>
        <v>107</v>
      </c>
    </row>
    <row r="57" spans="1:17" ht="15" hidden="1" customHeight="1" x14ac:dyDescent="0.2">
      <c r="A57" s="12" t="s">
        <v>309</v>
      </c>
      <c r="B57" s="13">
        <v>46099</v>
      </c>
      <c r="C57" s="12">
        <f t="shared" si="9"/>
        <v>105</v>
      </c>
      <c r="D57" s="38">
        <f t="shared" si="10"/>
        <v>1</v>
      </c>
      <c r="E57" s="12" t="str">
        <f t="shared" si="11"/>
        <v>105</v>
      </c>
      <c r="G57" s="14" t="s">
        <v>253</v>
      </c>
      <c r="H57" s="12" t="s">
        <v>3042</v>
      </c>
      <c r="I57" s="12">
        <v>112111</v>
      </c>
      <c r="J57" s="12">
        <v>131</v>
      </c>
      <c r="K57" s="12" t="s">
        <v>20</v>
      </c>
      <c r="L57" s="12">
        <v>1</v>
      </c>
      <c r="M57" s="17">
        <v>7700000</v>
      </c>
      <c r="N57" s="34">
        <f t="shared" si="7"/>
        <v>7700000</v>
      </c>
      <c r="Q57" s="12">
        <f t="shared" si="4"/>
        <v>118</v>
      </c>
    </row>
    <row r="58" spans="1:17" ht="15" hidden="1" customHeight="1" x14ac:dyDescent="0.2">
      <c r="A58" s="12" t="s">
        <v>309</v>
      </c>
      <c r="B58" s="13">
        <v>46101</v>
      </c>
      <c r="C58" s="12">
        <f t="shared" si="9"/>
        <v>106</v>
      </c>
      <c r="D58" s="38">
        <f t="shared" si="10"/>
        <v>1</v>
      </c>
      <c r="E58" s="12" t="str">
        <f t="shared" si="11"/>
        <v>106</v>
      </c>
      <c r="G58" s="14" t="s">
        <v>1880</v>
      </c>
      <c r="H58" s="12" t="s">
        <v>3043</v>
      </c>
      <c r="I58" s="12">
        <v>112111</v>
      </c>
      <c r="J58" s="12">
        <v>131</v>
      </c>
      <c r="K58" s="12" t="s">
        <v>20</v>
      </c>
      <c r="L58" s="12">
        <v>1</v>
      </c>
      <c r="M58" s="17">
        <v>7700000</v>
      </c>
      <c r="N58" s="34">
        <f t="shared" si="7"/>
        <v>7700000</v>
      </c>
      <c r="Q58" s="12">
        <f t="shared" si="4"/>
        <v>91</v>
      </c>
    </row>
    <row r="59" spans="1:17" ht="15" hidden="1" customHeight="1" x14ac:dyDescent="0.2">
      <c r="A59" s="12" t="s">
        <v>308</v>
      </c>
      <c r="B59" s="13">
        <v>46113</v>
      </c>
      <c r="C59" s="12">
        <f t="shared" si="9"/>
        <v>107</v>
      </c>
      <c r="D59" s="38">
        <f t="shared" si="10"/>
        <v>1</v>
      </c>
      <c r="E59" s="12" t="str">
        <f t="shared" si="11"/>
        <v>107</v>
      </c>
      <c r="G59" s="14" t="s">
        <v>239</v>
      </c>
      <c r="H59" s="12" t="s">
        <v>3032</v>
      </c>
      <c r="I59" s="12">
        <v>1111</v>
      </c>
      <c r="J59" s="12">
        <v>112111</v>
      </c>
      <c r="K59" s="12" t="s">
        <v>20</v>
      </c>
      <c r="L59" s="12">
        <v>1</v>
      </c>
      <c r="M59" s="17">
        <v>40168686</v>
      </c>
      <c r="N59" s="34">
        <f t="shared" si="7"/>
        <v>40168686</v>
      </c>
      <c r="Q59" s="12">
        <f t="shared" si="4"/>
        <v>40</v>
      </c>
    </row>
    <row r="60" spans="1:17" ht="15" hidden="1" customHeight="1" x14ac:dyDescent="0.2">
      <c r="A60" s="12" t="s">
        <v>309</v>
      </c>
      <c r="B60" s="13">
        <v>46113</v>
      </c>
      <c r="C60" s="12">
        <f t="shared" si="9"/>
        <v>108</v>
      </c>
      <c r="D60" s="38">
        <f t="shared" si="10"/>
        <v>1</v>
      </c>
      <c r="E60" s="12" t="str">
        <f t="shared" si="11"/>
        <v>108</v>
      </c>
      <c r="G60" s="14" t="s">
        <v>311</v>
      </c>
      <c r="H60" s="12" t="s">
        <v>2658</v>
      </c>
      <c r="I60" s="12">
        <v>112111</v>
      </c>
      <c r="J60" s="12">
        <v>131</v>
      </c>
      <c r="K60" s="12" t="s">
        <v>20</v>
      </c>
      <c r="L60" s="12">
        <v>1</v>
      </c>
      <c r="M60" s="17">
        <v>7963285</v>
      </c>
      <c r="N60" s="34">
        <f t="shared" si="7"/>
        <v>7963285</v>
      </c>
      <c r="Q60" s="12">
        <f t="shared" si="4"/>
        <v>21</v>
      </c>
    </row>
  </sheetData>
  <autoFilter ref="A3:Q60" xr:uid="{00000000-0009-0000-0000-000017000000}">
    <filterColumn colId="8">
      <filters>
        <filter val="333821"/>
      </filters>
    </filterColumn>
    <filterColumn colId="9">
      <filters>
        <filter val="131"/>
      </filters>
    </filterColumn>
  </autoFilter>
  <mergeCells count="13">
    <mergeCell ref="N1:N2"/>
    <mergeCell ref="G1:G2"/>
    <mergeCell ref="H1:H2"/>
    <mergeCell ref="I1:J1"/>
    <mergeCell ref="K1:K2"/>
    <mergeCell ref="L1:L2"/>
    <mergeCell ref="M1:M2"/>
    <mergeCell ref="F1:F2"/>
    <mergeCell ref="A1:A2"/>
    <mergeCell ref="B1:B2"/>
    <mergeCell ref="C1:C2"/>
    <mergeCell ref="D1:D2"/>
    <mergeCell ref="E1:E2"/>
  </mergeCells>
  <hyperlinks>
    <hyperlink ref="P1" location="Summary!A1" display="Back to summary" xr:uid="{00000000-0004-0000-1700-000000000000}"/>
  </hyperlink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filterMode="1">
    <tabColor rgb="FF92D050"/>
  </sheetPr>
  <dimension ref="A1:AC305"/>
  <sheetViews>
    <sheetView workbookViewId="0">
      <selection activeCell="M156" sqref="M156:M304"/>
    </sheetView>
  </sheetViews>
  <sheetFormatPr defaultRowHeight="15" customHeight="1" x14ac:dyDescent="0.2"/>
  <cols>
    <col min="1" max="6" width="9.140625" style="12"/>
    <col min="7" max="7" width="9.140625" style="14"/>
    <col min="8" max="8" width="28.28515625" style="12" customWidth="1"/>
    <col min="9" max="12" width="9.140625" style="12"/>
    <col min="13" max="14" width="10.7109375" style="12" bestFit="1" customWidth="1"/>
    <col min="15" max="22" width="9.140625" style="12"/>
    <col min="23" max="24" width="9.140625" style="14"/>
    <col min="25" max="16384" width="9.140625" style="12"/>
  </cols>
  <sheetData>
    <row r="1" spans="1:24" ht="15" customHeight="1" thickBot="1" x14ac:dyDescent="0.25">
      <c r="A1" s="247" t="s">
        <v>0</v>
      </c>
      <c r="B1" s="219" t="s">
        <v>1</v>
      </c>
      <c r="C1" s="247" t="s">
        <v>2</v>
      </c>
      <c r="D1" s="249" t="s">
        <v>3</v>
      </c>
      <c r="E1" s="249" t="s">
        <v>4</v>
      </c>
      <c r="F1" s="249" t="s">
        <v>5</v>
      </c>
      <c r="G1" s="241" t="s">
        <v>6</v>
      </c>
      <c r="H1" s="243" t="s">
        <v>7</v>
      </c>
      <c r="I1" s="245" t="s">
        <v>8</v>
      </c>
      <c r="J1" s="246"/>
      <c r="K1" s="247" t="s">
        <v>9</v>
      </c>
      <c r="L1" s="247" t="s">
        <v>10</v>
      </c>
      <c r="M1" s="254" t="s">
        <v>76</v>
      </c>
      <c r="N1" s="254" t="s">
        <v>77</v>
      </c>
      <c r="O1" s="45" t="s">
        <v>78</v>
      </c>
      <c r="P1" s="146" t="s">
        <v>356</v>
      </c>
    </row>
    <row r="2" spans="1:24" ht="15" customHeight="1" thickBot="1" x14ac:dyDescent="0.25">
      <c r="A2" s="248"/>
      <c r="B2" s="220"/>
      <c r="C2" s="248"/>
      <c r="D2" s="253"/>
      <c r="E2" s="253"/>
      <c r="F2" s="250"/>
      <c r="G2" s="242"/>
      <c r="H2" s="244"/>
      <c r="I2" s="46" t="s">
        <v>13</v>
      </c>
      <c r="J2" s="47" t="s">
        <v>14</v>
      </c>
      <c r="K2" s="248"/>
      <c r="L2" s="248"/>
      <c r="M2" s="255"/>
      <c r="N2" s="255"/>
      <c r="O2" s="38" t="s">
        <v>78</v>
      </c>
      <c r="P2" s="38"/>
    </row>
    <row r="3" spans="1:24" ht="15" customHeight="1" x14ac:dyDescent="0.2">
      <c r="A3" s="48"/>
      <c r="B3" s="81"/>
      <c r="C3" s="48">
        <v>162</v>
      </c>
      <c r="D3" s="49"/>
      <c r="E3" s="49"/>
      <c r="F3" s="49"/>
      <c r="G3" s="51" t="s">
        <v>15</v>
      </c>
      <c r="H3" s="52"/>
      <c r="I3" s="52"/>
      <c r="J3" s="52"/>
      <c r="K3" s="48"/>
      <c r="L3" s="48"/>
      <c r="M3" s="82"/>
      <c r="N3" s="82"/>
      <c r="O3" s="38" t="s">
        <v>16</v>
      </c>
      <c r="P3" s="38" t="s">
        <v>17</v>
      </c>
      <c r="Q3" s="12" t="s">
        <v>376</v>
      </c>
      <c r="R3" s="12" t="s">
        <v>381</v>
      </c>
    </row>
    <row r="4" spans="1:24" ht="15" hidden="1" customHeight="1" x14ac:dyDescent="0.2">
      <c r="A4" s="12" t="s">
        <v>309</v>
      </c>
      <c r="B4" s="13" t="s">
        <v>470</v>
      </c>
      <c r="C4" s="12">
        <f t="shared" ref="C4:C67" si="0">C3+D4</f>
        <v>163</v>
      </c>
      <c r="D4" s="38">
        <f t="shared" ref="D4:D67" si="1">IF(H4=H3,0,1)</f>
        <v>1</v>
      </c>
      <c r="G4" s="14" t="s">
        <v>354</v>
      </c>
      <c r="H4" s="12" t="s">
        <v>4586</v>
      </c>
      <c r="I4" s="12">
        <v>112111</v>
      </c>
      <c r="J4" s="12">
        <v>131</v>
      </c>
      <c r="K4" s="12" t="s">
        <v>20</v>
      </c>
      <c r="L4" s="12">
        <v>1</v>
      </c>
      <c r="M4" s="17">
        <v>7983871</v>
      </c>
      <c r="N4" s="17">
        <f t="shared" ref="N4:N67" si="2">L4*M4</f>
        <v>7983871</v>
      </c>
      <c r="P4" s="12">
        <f>LEN(H4)</f>
        <v>159</v>
      </c>
      <c r="W4" s="14" t="s">
        <v>294</v>
      </c>
      <c r="X4" s="14" t="s">
        <v>382</v>
      </c>
    </row>
    <row r="5" spans="1:24" ht="15" hidden="1" customHeight="1" x14ac:dyDescent="0.2">
      <c r="A5" s="12" t="s">
        <v>309</v>
      </c>
      <c r="B5" s="13" t="s">
        <v>434</v>
      </c>
      <c r="C5" s="12">
        <f t="shared" si="0"/>
        <v>164</v>
      </c>
      <c r="D5" s="38">
        <f t="shared" si="1"/>
        <v>1</v>
      </c>
      <c r="G5" s="14" t="s">
        <v>42</v>
      </c>
      <c r="H5" s="12" t="s">
        <v>4587</v>
      </c>
      <c r="I5" s="12">
        <v>112111</v>
      </c>
      <c r="J5" s="12">
        <v>131</v>
      </c>
      <c r="K5" s="12" t="s">
        <v>20</v>
      </c>
      <c r="L5" s="12">
        <v>1</v>
      </c>
      <c r="M5" s="17">
        <v>21290323</v>
      </c>
      <c r="N5" s="17">
        <f t="shared" si="2"/>
        <v>21290323</v>
      </c>
      <c r="P5" s="12">
        <f t="shared" ref="P5:P68" si="3">LEN(H5)</f>
        <v>174</v>
      </c>
      <c r="W5" s="14" t="s">
        <v>91</v>
      </c>
      <c r="X5" s="14" t="s">
        <v>383</v>
      </c>
    </row>
    <row r="6" spans="1:24" ht="15" hidden="1" customHeight="1" x14ac:dyDescent="0.2">
      <c r="A6" s="12" t="s">
        <v>309</v>
      </c>
      <c r="B6" s="13" t="s">
        <v>536</v>
      </c>
      <c r="C6" s="12">
        <f t="shared" si="0"/>
        <v>165</v>
      </c>
      <c r="D6" s="38">
        <f t="shared" si="1"/>
        <v>1</v>
      </c>
      <c r="G6" s="14" t="s">
        <v>355</v>
      </c>
      <c r="H6" s="12" t="s">
        <v>4588</v>
      </c>
      <c r="I6" s="12">
        <v>112111</v>
      </c>
      <c r="J6" s="12">
        <v>131</v>
      </c>
      <c r="K6" s="12" t="s">
        <v>20</v>
      </c>
      <c r="L6" s="12">
        <v>1</v>
      </c>
      <c r="M6" s="17">
        <v>11111111</v>
      </c>
      <c r="N6" s="17">
        <f t="shared" si="2"/>
        <v>11111111</v>
      </c>
      <c r="P6" s="12">
        <f t="shared" si="3"/>
        <v>159</v>
      </c>
      <c r="W6" s="14" t="s">
        <v>38</v>
      </c>
      <c r="X6" s="14" t="s">
        <v>384</v>
      </c>
    </row>
    <row r="7" spans="1:24" ht="15" hidden="1" customHeight="1" x14ac:dyDescent="0.2">
      <c r="A7" s="12" t="s">
        <v>309</v>
      </c>
      <c r="B7" s="13" t="s">
        <v>494</v>
      </c>
      <c r="C7" s="12">
        <f t="shared" si="0"/>
        <v>166</v>
      </c>
      <c r="D7" s="38">
        <f t="shared" si="1"/>
        <v>1</v>
      </c>
      <c r="G7" s="14" t="s">
        <v>106</v>
      </c>
      <c r="H7" s="12" t="s">
        <v>4589</v>
      </c>
      <c r="I7" s="12">
        <v>112111</v>
      </c>
      <c r="J7" s="12">
        <v>131</v>
      </c>
      <c r="K7" s="12" t="s">
        <v>20</v>
      </c>
      <c r="L7" s="12">
        <v>1</v>
      </c>
      <c r="M7" s="17">
        <v>48387097</v>
      </c>
      <c r="N7" s="17">
        <f t="shared" si="2"/>
        <v>48387097</v>
      </c>
      <c r="P7" s="12">
        <f t="shared" si="3"/>
        <v>125</v>
      </c>
      <c r="W7" s="14" t="s">
        <v>97</v>
      </c>
      <c r="X7" s="14" t="s">
        <v>385</v>
      </c>
    </row>
    <row r="8" spans="1:24" ht="15" hidden="1" customHeight="1" x14ac:dyDescent="0.2">
      <c r="A8" s="12" t="s">
        <v>309</v>
      </c>
      <c r="B8" s="13" t="s">
        <v>494</v>
      </c>
      <c r="C8" s="12">
        <f t="shared" si="0"/>
        <v>167</v>
      </c>
      <c r="D8" s="38">
        <f t="shared" si="1"/>
        <v>1</v>
      </c>
      <c r="G8" s="14" t="s">
        <v>29</v>
      </c>
      <c r="H8" s="12" t="s">
        <v>4590</v>
      </c>
      <c r="I8" s="12">
        <v>112111</v>
      </c>
      <c r="J8" s="12">
        <v>131</v>
      </c>
      <c r="K8" s="12" t="s">
        <v>20</v>
      </c>
      <c r="L8" s="12">
        <v>1</v>
      </c>
      <c r="M8" s="17">
        <v>16129032</v>
      </c>
      <c r="N8" s="17">
        <f t="shared" si="2"/>
        <v>16129032</v>
      </c>
      <c r="P8" s="12">
        <f t="shared" si="3"/>
        <v>147</v>
      </c>
      <c r="W8" s="14" t="s">
        <v>295</v>
      </c>
      <c r="X8" s="14" t="s">
        <v>386</v>
      </c>
    </row>
    <row r="9" spans="1:24" ht="15" hidden="1" customHeight="1" x14ac:dyDescent="0.2">
      <c r="A9" s="12" t="s">
        <v>309</v>
      </c>
      <c r="B9" s="13" t="s">
        <v>658</v>
      </c>
      <c r="C9" s="12">
        <f t="shared" si="0"/>
        <v>168</v>
      </c>
      <c r="D9" s="38">
        <f t="shared" si="1"/>
        <v>1</v>
      </c>
      <c r="G9" s="14" t="s">
        <v>67</v>
      </c>
      <c r="H9" s="12" t="s">
        <v>4591</v>
      </c>
      <c r="I9" s="12">
        <v>112111</v>
      </c>
      <c r="J9" s="12">
        <v>131</v>
      </c>
      <c r="K9" s="12" t="s">
        <v>20</v>
      </c>
      <c r="L9" s="12">
        <v>1</v>
      </c>
      <c r="M9" s="17">
        <v>15967742</v>
      </c>
      <c r="N9" s="17">
        <f t="shared" si="2"/>
        <v>15967742</v>
      </c>
      <c r="P9" s="12">
        <f t="shared" si="3"/>
        <v>180</v>
      </c>
      <c r="W9" s="14" t="s">
        <v>106</v>
      </c>
      <c r="X9" s="14" t="s">
        <v>387</v>
      </c>
    </row>
    <row r="10" spans="1:24" ht="15" hidden="1" customHeight="1" x14ac:dyDescent="0.2">
      <c r="A10" s="12" t="s">
        <v>309</v>
      </c>
      <c r="B10" s="13" t="s">
        <v>537</v>
      </c>
      <c r="C10" s="12">
        <f t="shared" si="0"/>
        <v>169</v>
      </c>
      <c r="D10" s="38">
        <f t="shared" si="1"/>
        <v>1</v>
      </c>
      <c r="G10" s="14" t="s">
        <v>352</v>
      </c>
      <c r="H10" s="12" t="s">
        <v>4592</v>
      </c>
      <c r="I10" s="12">
        <v>112111</v>
      </c>
      <c r="J10" s="12">
        <v>131</v>
      </c>
      <c r="K10" s="12" t="s">
        <v>20</v>
      </c>
      <c r="L10" s="12">
        <v>1</v>
      </c>
      <c r="M10" s="17">
        <v>3193548</v>
      </c>
      <c r="N10" s="17">
        <f t="shared" si="2"/>
        <v>3193548</v>
      </c>
      <c r="P10" s="12">
        <f t="shared" si="3"/>
        <v>105</v>
      </c>
      <c r="W10" s="14" t="s">
        <v>29</v>
      </c>
      <c r="X10" s="14" t="s">
        <v>388</v>
      </c>
    </row>
    <row r="11" spans="1:24" ht="15" hidden="1" customHeight="1" x14ac:dyDescent="0.2">
      <c r="A11" s="12" t="s">
        <v>309</v>
      </c>
      <c r="B11" s="13" t="s">
        <v>645</v>
      </c>
      <c r="C11" s="12">
        <f t="shared" si="0"/>
        <v>170</v>
      </c>
      <c r="D11" s="38">
        <f t="shared" si="1"/>
        <v>1</v>
      </c>
      <c r="G11" s="14" t="s">
        <v>87</v>
      </c>
      <c r="H11" s="12" t="s">
        <v>4593</v>
      </c>
      <c r="I11" s="12">
        <v>112111</v>
      </c>
      <c r="J11" s="12">
        <v>131</v>
      </c>
      <c r="K11" s="12" t="s">
        <v>20</v>
      </c>
      <c r="L11" s="12">
        <v>1</v>
      </c>
      <c r="M11" s="17">
        <v>3193548</v>
      </c>
      <c r="N11" s="17">
        <f t="shared" si="2"/>
        <v>3193548</v>
      </c>
      <c r="P11" s="12">
        <f t="shared" si="3"/>
        <v>168</v>
      </c>
      <c r="W11" s="14" t="s">
        <v>43</v>
      </c>
      <c r="X11" s="14" t="s">
        <v>389</v>
      </c>
    </row>
    <row r="12" spans="1:24" ht="15" hidden="1" customHeight="1" x14ac:dyDescent="0.2">
      <c r="A12" s="12" t="s">
        <v>309</v>
      </c>
      <c r="B12" s="13" t="s">
        <v>711</v>
      </c>
      <c r="C12" s="12">
        <f t="shared" si="0"/>
        <v>171</v>
      </c>
      <c r="D12" s="38">
        <f t="shared" si="1"/>
        <v>1</v>
      </c>
      <c r="G12" s="14" t="s">
        <v>280</v>
      </c>
      <c r="H12" s="12" t="s">
        <v>4594</v>
      </c>
      <c r="I12" s="12">
        <v>112111</v>
      </c>
      <c r="J12" s="12">
        <v>131</v>
      </c>
      <c r="K12" s="12" t="s">
        <v>20</v>
      </c>
      <c r="L12" s="12">
        <v>1</v>
      </c>
      <c r="M12" s="17">
        <v>15967742</v>
      </c>
      <c r="N12" s="17">
        <f t="shared" si="2"/>
        <v>15967742</v>
      </c>
      <c r="P12" s="12">
        <f t="shared" si="3"/>
        <v>120</v>
      </c>
      <c r="W12" s="14" t="s">
        <v>350</v>
      </c>
      <c r="X12" s="14" t="s">
        <v>390</v>
      </c>
    </row>
    <row r="13" spans="1:24" ht="15" hidden="1" customHeight="1" x14ac:dyDescent="0.2">
      <c r="A13" s="12" t="s">
        <v>309</v>
      </c>
      <c r="B13" s="13" t="s">
        <v>942</v>
      </c>
      <c r="C13" s="12">
        <f t="shared" si="0"/>
        <v>172</v>
      </c>
      <c r="D13" s="38">
        <f t="shared" si="1"/>
        <v>1</v>
      </c>
      <c r="G13" s="14" t="s">
        <v>311</v>
      </c>
      <c r="H13" s="12" t="s">
        <v>4491</v>
      </c>
      <c r="I13" s="12">
        <v>112111</v>
      </c>
      <c r="J13" s="12">
        <v>131</v>
      </c>
      <c r="K13" s="12" t="s">
        <v>20</v>
      </c>
      <c r="L13" s="12">
        <v>1</v>
      </c>
      <c r="M13" s="17">
        <v>262081437</v>
      </c>
      <c r="N13" s="17">
        <f t="shared" si="2"/>
        <v>262081437</v>
      </c>
      <c r="P13" s="12">
        <f t="shared" si="3"/>
        <v>41</v>
      </c>
      <c r="W13" s="14" t="s">
        <v>245</v>
      </c>
      <c r="X13" s="14" t="s">
        <v>391</v>
      </c>
    </row>
    <row r="14" spans="1:24" ht="15" hidden="1" customHeight="1" x14ac:dyDescent="0.2">
      <c r="A14" s="12" t="s">
        <v>309</v>
      </c>
      <c r="B14" s="13" t="s">
        <v>435</v>
      </c>
      <c r="C14" s="12">
        <f t="shared" si="0"/>
        <v>173</v>
      </c>
      <c r="D14" s="38">
        <f t="shared" si="1"/>
        <v>1</v>
      </c>
      <c r="G14" s="14" t="s">
        <v>336</v>
      </c>
      <c r="H14" s="12" t="s">
        <v>3561</v>
      </c>
      <c r="I14" s="12">
        <v>112111</v>
      </c>
      <c r="J14" s="12">
        <v>5154</v>
      </c>
      <c r="K14" s="12" t="s">
        <v>20</v>
      </c>
      <c r="L14" s="12">
        <v>1</v>
      </c>
      <c r="M14" s="17">
        <v>121680</v>
      </c>
      <c r="N14" s="17">
        <f t="shared" si="2"/>
        <v>121680</v>
      </c>
      <c r="P14" s="12">
        <f t="shared" si="3"/>
        <v>22</v>
      </c>
      <c r="W14" s="14" t="s">
        <v>351</v>
      </c>
      <c r="X14" s="14" t="s">
        <v>392</v>
      </c>
    </row>
    <row r="15" spans="1:24" ht="15" hidden="1" customHeight="1" x14ac:dyDescent="0.2">
      <c r="A15" s="12" t="s">
        <v>309</v>
      </c>
      <c r="B15" s="13" t="s">
        <v>436</v>
      </c>
      <c r="C15" s="12">
        <f t="shared" si="0"/>
        <v>174</v>
      </c>
      <c r="D15" s="38">
        <f t="shared" si="1"/>
        <v>1</v>
      </c>
      <c r="G15" s="14" t="s">
        <v>29</v>
      </c>
      <c r="H15" s="12" t="s">
        <v>4595</v>
      </c>
      <c r="I15" s="12">
        <v>112111</v>
      </c>
      <c r="J15" s="12">
        <v>131</v>
      </c>
      <c r="K15" s="12" t="s">
        <v>20</v>
      </c>
      <c r="L15" s="12">
        <v>1</v>
      </c>
      <c r="M15" s="17">
        <v>22000000</v>
      </c>
      <c r="N15" s="17">
        <f t="shared" si="2"/>
        <v>22000000</v>
      </c>
      <c r="P15" s="12">
        <f t="shared" si="3"/>
        <v>138</v>
      </c>
      <c r="W15" s="14" t="s">
        <v>88</v>
      </c>
      <c r="X15" s="14" t="s">
        <v>393</v>
      </c>
    </row>
    <row r="16" spans="1:24" ht="15" hidden="1" customHeight="1" x14ac:dyDescent="0.2">
      <c r="A16" s="12" t="s">
        <v>309</v>
      </c>
      <c r="B16" s="13" t="s">
        <v>474</v>
      </c>
      <c r="C16" s="12">
        <f t="shared" si="0"/>
        <v>175</v>
      </c>
      <c r="D16" s="38">
        <f t="shared" si="1"/>
        <v>1</v>
      </c>
      <c r="G16" s="14" t="s">
        <v>240</v>
      </c>
      <c r="H16" s="12" t="s">
        <v>4598</v>
      </c>
      <c r="I16" s="12">
        <v>112111</v>
      </c>
      <c r="J16" s="12">
        <v>131</v>
      </c>
      <c r="K16" s="12" t="s">
        <v>20</v>
      </c>
      <c r="L16" s="12">
        <v>1</v>
      </c>
      <c r="M16" s="17">
        <v>16350000</v>
      </c>
      <c r="N16" s="17">
        <f t="shared" si="2"/>
        <v>16350000</v>
      </c>
      <c r="P16" s="12">
        <f t="shared" si="3"/>
        <v>147</v>
      </c>
      <c r="W16" s="14" t="s">
        <v>352</v>
      </c>
      <c r="X16" s="14" t="s">
        <v>394</v>
      </c>
    </row>
    <row r="17" spans="1:29" ht="15" hidden="1" customHeight="1" x14ac:dyDescent="0.2">
      <c r="A17" s="12" t="s">
        <v>309</v>
      </c>
      <c r="B17" s="13" t="s">
        <v>474</v>
      </c>
      <c r="C17" s="12">
        <f t="shared" si="0"/>
        <v>176</v>
      </c>
      <c r="D17" s="38">
        <f t="shared" si="1"/>
        <v>1</v>
      </c>
      <c r="G17" s="14" t="s">
        <v>1963</v>
      </c>
      <c r="H17" s="12" t="s">
        <v>4597</v>
      </c>
      <c r="I17" s="12">
        <v>112111</v>
      </c>
      <c r="J17" s="12">
        <v>131</v>
      </c>
      <c r="K17" s="12" t="s">
        <v>20</v>
      </c>
      <c r="L17" s="12">
        <v>1</v>
      </c>
      <c r="M17" s="17">
        <v>42924000</v>
      </c>
      <c r="N17" s="17">
        <f t="shared" si="2"/>
        <v>42924000</v>
      </c>
      <c r="P17" s="12">
        <f t="shared" si="3"/>
        <v>158</v>
      </c>
      <c r="W17" s="14" t="s">
        <v>87</v>
      </c>
      <c r="X17" s="14" t="s">
        <v>395</v>
      </c>
    </row>
    <row r="18" spans="1:29" ht="15" hidden="1" customHeight="1" x14ac:dyDescent="0.2">
      <c r="A18" s="12" t="s">
        <v>309</v>
      </c>
      <c r="B18" s="13" t="s">
        <v>437</v>
      </c>
      <c r="C18" s="12">
        <f t="shared" si="0"/>
        <v>177</v>
      </c>
      <c r="D18" s="38">
        <f t="shared" si="1"/>
        <v>1</v>
      </c>
      <c r="G18" s="14" t="s">
        <v>240</v>
      </c>
      <c r="H18" s="12" t="s">
        <v>4598</v>
      </c>
      <c r="I18" s="12">
        <v>112111</v>
      </c>
      <c r="J18" s="12">
        <v>131</v>
      </c>
      <c r="K18" s="12" t="s">
        <v>20</v>
      </c>
      <c r="L18" s="12">
        <v>1</v>
      </c>
      <c r="M18" s="17">
        <v>150000</v>
      </c>
      <c r="N18" s="17">
        <f t="shared" si="2"/>
        <v>150000</v>
      </c>
      <c r="P18" s="12">
        <f t="shared" si="3"/>
        <v>147</v>
      </c>
      <c r="W18" s="14" t="s">
        <v>353</v>
      </c>
      <c r="X18" s="14" t="s">
        <v>396</v>
      </c>
    </row>
    <row r="19" spans="1:29" ht="15" hidden="1" customHeight="1" x14ac:dyDescent="0.2">
      <c r="A19" s="12" t="s">
        <v>309</v>
      </c>
      <c r="B19" s="13" t="s">
        <v>545</v>
      </c>
      <c r="C19" s="12">
        <f t="shared" si="0"/>
        <v>178</v>
      </c>
      <c r="D19" s="38">
        <f t="shared" si="1"/>
        <v>1</v>
      </c>
      <c r="G19" s="14" t="s">
        <v>1785</v>
      </c>
      <c r="H19" s="12" t="s">
        <v>4599</v>
      </c>
      <c r="I19" s="12">
        <v>112111</v>
      </c>
      <c r="J19" s="12">
        <v>131</v>
      </c>
      <c r="K19" s="12" t="s">
        <v>20</v>
      </c>
      <c r="L19" s="12">
        <v>1</v>
      </c>
      <c r="M19" s="17">
        <v>24200000</v>
      </c>
      <c r="N19" s="17">
        <f t="shared" si="2"/>
        <v>24200000</v>
      </c>
      <c r="P19" s="12">
        <f t="shared" si="3"/>
        <v>113</v>
      </c>
      <c r="W19" s="14" t="s">
        <v>42</v>
      </c>
      <c r="X19" s="14" t="s">
        <v>397</v>
      </c>
    </row>
    <row r="20" spans="1:29" ht="15" hidden="1" customHeight="1" x14ac:dyDescent="0.2">
      <c r="A20" s="12" t="s">
        <v>309</v>
      </c>
      <c r="B20" s="13" t="s">
        <v>545</v>
      </c>
      <c r="C20" s="12">
        <f t="shared" si="0"/>
        <v>179</v>
      </c>
      <c r="D20" s="38">
        <f t="shared" si="1"/>
        <v>1</v>
      </c>
      <c r="G20" s="14" t="s">
        <v>311</v>
      </c>
      <c r="H20" s="12" t="s">
        <v>4491</v>
      </c>
      <c r="I20" s="12">
        <v>112111</v>
      </c>
      <c r="J20" s="12">
        <v>131</v>
      </c>
      <c r="K20" s="12" t="s">
        <v>20</v>
      </c>
      <c r="L20" s="12">
        <v>1</v>
      </c>
      <c r="M20" s="17">
        <v>151466805</v>
      </c>
      <c r="N20" s="17">
        <f t="shared" si="2"/>
        <v>151466805</v>
      </c>
      <c r="P20" s="12">
        <f t="shared" si="3"/>
        <v>41</v>
      </c>
      <c r="W20" s="14" t="s">
        <v>280</v>
      </c>
      <c r="X20" s="14" t="s">
        <v>398</v>
      </c>
    </row>
    <row r="21" spans="1:29" ht="15" hidden="1" customHeight="1" x14ac:dyDescent="0.2">
      <c r="A21" s="12" t="s">
        <v>309</v>
      </c>
      <c r="B21" s="13" t="s">
        <v>438</v>
      </c>
      <c r="C21" s="12">
        <f t="shared" si="0"/>
        <v>180</v>
      </c>
      <c r="D21" s="38">
        <f t="shared" si="1"/>
        <v>1</v>
      </c>
      <c r="G21" s="14" t="s">
        <v>91</v>
      </c>
      <c r="H21" s="12" t="s">
        <v>4601</v>
      </c>
      <c r="I21" s="12">
        <v>112111</v>
      </c>
      <c r="J21" s="12">
        <v>131</v>
      </c>
      <c r="K21" s="12" t="s">
        <v>20</v>
      </c>
      <c r="L21" s="12">
        <v>1</v>
      </c>
      <c r="M21" s="17">
        <v>16500000</v>
      </c>
      <c r="N21" s="17">
        <f t="shared" si="2"/>
        <v>16500000</v>
      </c>
      <c r="P21" s="12">
        <f t="shared" si="3"/>
        <v>171</v>
      </c>
      <c r="W21" s="14" t="s">
        <v>275</v>
      </c>
      <c r="X21" s="14" t="s">
        <v>399</v>
      </c>
    </row>
    <row r="22" spans="1:29" ht="15" hidden="1" customHeight="1" x14ac:dyDescent="0.2">
      <c r="A22" s="12" t="s">
        <v>309</v>
      </c>
      <c r="B22" s="13" t="s">
        <v>438</v>
      </c>
      <c r="C22" s="12">
        <f t="shared" si="0"/>
        <v>181</v>
      </c>
      <c r="D22" s="38">
        <f t="shared" si="1"/>
        <v>1</v>
      </c>
      <c r="G22" s="14" t="s">
        <v>57</v>
      </c>
      <c r="H22" s="12" t="s">
        <v>4600</v>
      </c>
      <c r="I22" s="12">
        <v>112111</v>
      </c>
      <c r="J22" s="12">
        <v>131</v>
      </c>
      <c r="K22" s="12" t="s">
        <v>20</v>
      </c>
      <c r="L22" s="12">
        <v>1</v>
      </c>
      <c r="M22" s="17">
        <v>16500000</v>
      </c>
      <c r="N22" s="17">
        <f t="shared" si="2"/>
        <v>16500000</v>
      </c>
      <c r="P22" s="12">
        <f t="shared" si="3"/>
        <v>169</v>
      </c>
      <c r="W22" s="14" t="s">
        <v>354</v>
      </c>
      <c r="X22" s="14" t="s">
        <v>400</v>
      </c>
    </row>
    <row r="23" spans="1:29" ht="15" hidden="1" customHeight="1" x14ac:dyDescent="0.2">
      <c r="A23" s="12" t="s">
        <v>309</v>
      </c>
      <c r="B23" s="13" t="s">
        <v>712</v>
      </c>
      <c r="C23" s="12">
        <f t="shared" si="0"/>
        <v>182</v>
      </c>
      <c r="D23" s="38">
        <f t="shared" si="1"/>
        <v>1</v>
      </c>
      <c r="G23" s="14" t="s">
        <v>91</v>
      </c>
      <c r="H23" s="12" t="s">
        <v>4602</v>
      </c>
      <c r="I23" s="12">
        <v>112111</v>
      </c>
      <c r="J23" s="12">
        <v>131</v>
      </c>
      <c r="K23" s="12" t="s">
        <v>20</v>
      </c>
      <c r="L23" s="12">
        <v>1</v>
      </c>
      <c r="M23" s="17">
        <v>19800000</v>
      </c>
      <c r="N23" s="17">
        <f t="shared" si="2"/>
        <v>19800000</v>
      </c>
      <c r="P23" s="12">
        <f t="shared" si="3"/>
        <v>167</v>
      </c>
      <c r="W23" s="14" t="s">
        <v>299</v>
      </c>
      <c r="X23" s="14" t="s">
        <v>401</v>
      </c>
    </row>
    <row r="24" spans="1:29" ht="15" hidden="1" customHeight="1" x14ac:dyDescent="0.2">
      <c r="A24" s="12" t="s">
        <v>309</v>
      </c>
      <c r="B24" s="13" t="s">
        <v>547</v>
      </c>
      <c r="C24" s="12">
        <f t="shared" si="0"/>
        <v>183</v>
      </c>
      <c r="D24" s="38">
        <f t="shared" si="1"/>
        <v>1</v>
      </c>
      <c r="G24" s="14" t="s">
        <v>91</v>
      </c>
      <c r="H24" s="12" t="s">
        <v>4601</v>
      </c>
      <c r="I24" s="12">
        <v>112111</v>
      </c>
      <c r="J24" s="12">
        <v>131</v>
      </c>
      <c r="K24" s="12" t="s">
        <v>20</v>
      </c>
      <c r="L24" s="12">
        <v>1</v>
      </c>
      <c r="M24" s="17">
        <v>16500000</v>
      </c>
      <c r="N24" s="17">
        <f t="shared" si="2"/>
        <v>16500000</v>
      </c>
      <c r="P24" s="12">
        <f t="shared" si="3"/>
        <v>171</v>
      </c>
      <c r="W24" s="14" t="s">
        <v>67</v>
      </c>
      <c r="X24" s="14" t="s">
        <v>402</v>
      </c>
    </row>
    <row r="25" spans="1:29" ht="15" hidden="1" customHeight="1" x14ac:dyDescent="0.2">
      <c r="A25" s="12" t="s">
        <v>309</v>
      </c>
      <c r="B25" s="13" t="s">
        <v>499</v>
      </c>
      <c r="C25" s="12">
        <f t="shared" si="0"/>
        <v>184</v>
      </c>
      <c r="D25" s="38">
        <f t="shared" si="1"/>
        <v>1</v>
      </c>
      <c r="G25" s="14" t="s">
        <v>336</v>
      </c>
      <c r="H25" s="12" t="s">
        <v>3561</v>
      </c>
      <c r="I25" s="12">
        <v>112111</v>
      </c>
      <c r="J25" s="12">
        <v>5154</v>
      </c>
      <c r="K25" s="12" t="s">
        <v>20</v>
      </c>
      <c r="L25" s="12">
        <v>1</v>
      </c>
      <c r="M25" s="17">
        <v>230273</v>
      </c>
      <c r="N25" s="17">
        <f t="shared" si="2"/>
        <v>230273</v>
      </c>
      <c r="P25" s="12">
        <f t="shared" si="3"/>
        <v>22</v>
      </c>
      <c r="W25" s="14" t="s">
        <v>355</v>
      </c>
      <c r="X25" s="14" t="s">
        <v>403</v>
      </c>
    </row>
    <row r="26" spans="1:29" ht="15" hidden="1" customHeight="1" x14ac:dyDescent="0.2">
      <c r="A26" s="12" t="s">
        <v>309</v>
      </c>
      <c r="B26" s="13" t="s">
        <v>549</v>
      </c>
      <c r="C26" s="12">
        <f t="shared" si="0"/>
        <v>185</v>
      </c>
      <c r="D26" s="38">
        <f t="shared" si="1"/>
        <v>1</v>
      </c>
      <c r="G26" s="14" t="s">
        <v>1971</v>
      </c>
      <c r="H26" s="12" t="s">
        <v>4603</v>
      </c>
      <c r="I26" s="12">
        <v>112111</v>
      </c>
      <c r="J26" s="12">
        <v>131</v>
      </c>
      <c r="K26" s="12" t="s">
        <v>20</v>
      </c>
      <c r="L26" s="12">
        <v>1</v>
      </c>
      <c r="M26" s="17">
        <v>19787900</v>
      </c>
      <c r="N26" s="17">
        <f t="shared" si="2"/>
        <v>19787900</v>
      </c>
      <c r="P26" s="12">
        <f t="shared" si="3"/>
        <v>157</v>
      </c>
      <c r="W26" s="14" t="s">
        <v>379</v>
      </c>
      <c r="X26" s="14" t="s">
        <v>380</v>
      </c>
    </row>
    <row r="27" spans="1:29" ht="15" hidden="1" customHeight="1" x14ac:dyDescent="0.25">
      <c r="A27" s="12" t="s">
        <v>309</v>
      </c>
      <c r="B27" s="13" t="s">
        <v>553</v>
      </c>
      <c r="C27" s="12">
        <f t="shared" si="0"/>
        <v>186</v>
      </c>
      <c r="D27" s="38">
        <f t="shared" si="1"/>
        <v>1</v>
      </c>
      <c r="G27" s="14" t="s">
        <v>259</v>
      </c>
      <c r="H27" s="12" t="s">
        <v>4605</v>
      </c>
      <c r="I27" s="12">
        <v>112111</v>
      </c>
      <c r="J27" s="12">
        <v>131</v>
      </c>
      <c r="K27" s="12" t="s">
        <v>20</v>
      </c>
      <c r="L27" s="12">
        <v>1</v>
      </c>
      <c r="M27" s="17">
        <v>15967742</v>
      </c>
      <c r="N27" s="17">
        <f t="shared" si="2"/>
        <v>15967742</v>
      </c>
      <c r="P27" s="12">
        <f t="shared" si="3"/>
        <v>155</v>
      </c>
      <c r="W27" s="14" t="s">
        <v>311</v>
      </c>
      <c r="X27" s="14" t="s">
        <v>404</v>
      </c>
      <c r="AB27"/>
      <c r="AC27"/>
    </row>
    <row r="28" spans="1:29" ht="15" hidden="1" customHeight="1" x14ac:dyDescent="0.25">
      <c r="A28" s="12" t="s">
        <v>309</v>
      </c>
      <c r="B28" s="13" t="s">
        <v>553</v>
      </c>
      <c r="C28" s="12">
        <f t="shared" si="0"/>
        <v>187</v>
      </c>
      <c r="D28" s="38">
        <f t="shared" si="1"/>
        <v>1</v>
      </c>
      <c r="G28" s="14" t="s">
        <v>67</v>
      </c>
      <c r="H28" s="12" t="s">
        <v>4604</v>
      </c>
      <c r="I28" s="12">
        <v>112111</v>
      </c>
      <c r="J28" s="12">
        <v>131</v>
      </c>
      <c r="K28" s="12" t="s">
        <v>20</v>
      </c>
      <c r="L28" s="12">
        <v>1</v>
      </c>
      <c r="M28" s="17">
        <v>3300000</v>
      </c>
      <c r="N28" s="17">
        <f t="shared" si="2"/>
        <v>3300000</v>
      </c>
      <c r="P28" s="12">
        <f t="shared" si="3"/>
        <v>114</v>
      </c>
      <c r="W28" s="14" t="s">
        <v>337</v>
      </c>
      <c r="X28" s="14" t="s">
        <v>405</v>
      </c>
      <c r="AB28"/>
      <c r="AC28"/>
    </row>
    <row r="29" spans="1:29" ht="15" hidden="1" customHeight="1" x14ac:dyDescent="0.25">
      <c r="A29" s="12" t="s">
        <v>309</v>
      </c>
      <c r="B29" s="13" t="s">
        <v>554</v>
      </c>
      <c r="C29" s="12">
        <f t="shared" si="0"/>
        <v>188</v>
      </c>
      <c r="D29" s="38">
        <f t="shared" si="1"/>
        <v>1</v>
      </c>
      <c r="G29" s="14" t="s">
        <v>29</v>
      </c>
      <c r="H29" s="12" t="s">
        <v>4595</v>
      </c>
      <c r="I29" s="12">
        <v>112111</v>
      </c>
      <c r="J29" s="12">
        <v>131</v>
      </c>
      <c r="K29" s="12" t="s">
        <v>20</v>
      </c>
      <c r="L29" s="12">
        <v>1</v>
      </c>
      <c r="M29" s="17">
        <v>22000000</v>
      </c>
      <c r="N29" s="17">
        <f t="shared" si="2"/>
        <v>22000000</v>
      </c>
      <c r="P29" s="12">
        <f t="shared" si="3"/>
        <v>138</v>
      </c>
      <c r="W29" s="14" t="s">
        <v>338</v>
      </c>
      <c r="X29" s="14" t="s">
        <v>406</v>
      </c>
      <c r="AB29"/>
      <c r="AC29"/>
    </row>
    <row r="30" spans="1:29" ht="15" hidden="1" customHeight="1" x14ac:dyDescent="0.25">
      <c r="A30" s="12" t="s">
        <v>309</v>
      </c>
      <c r="B30" s="13" t="s">
        <v>664</v>
      </c>
      <c r="C30" s="12">
        <f t="shared" si="0"/>
        <v>189</v>
      </c>
      <c r="D30" s="38">
        <f t="shared" si="1"/>
        <v>1</v>
      </c>
      <c r="G30" s="14" t="s">
        <v>336</v>
      </c>
      <c r="H30" s="12" t="s">
        <v>3561</v>
      </c>
      <c r="I30" s="12">
        <v>112111</v>
      </c>
      <c r="J30" s="12">
        <v>5154</v>
      </c>
      <c r="K30" s="12" t="s">
        <v>20</v>
      </c>
      <c r="L30" s="12">
        <v>1</v>
      </c>
      <c r="M30" s="17">
        <v>159706</v>
      </c>
      <c r="N30" s="17">
        <f t="shared" si="2"/>
        <v>159706</v>
      </c>
      <c r="P30" s="12">
        <f t="shared" si="3"/>
        <v>22</v>
      </c>
      <c r="W30" s="14" t="s">
        <v>54</v>
      </c>
      <c r="X30" s="14" t="s">
        <v>407</v>
      </c>
      <c r="AB30"/>
      <c r="AC30"/>
    </row>
    <row r="31" spans="1:29" ht="15" hidden="1" customHeight="1" x14ac:dyDescent="0.25">
      <c r="A31" s="12" t="s">
        <v>309</v>
      </c>
      <c r="B31" s="13" t="s">
        <v>664</v>
      </c>
      <c r="C31" s="12">
        <f t="shared" si="0"/>
        <v>190</v>
      </c>
      <c r="D31" s="38">
        <f t="shared" si="1"/>
        <v>1</v>
      </c>
      <c r="G31" s="14" t="s">
        <v>29</v>
      </c>
      <c r="H31" s="12" t="s">
        <v>4606</v>
      </c>
      <c r="I31" s="12">
        <v>112111</v>
      </c>
      <c r="J31" s="12">
        <v>131</v>
      </c>
      <c r="K31" s="12" t="s">
        <v>20</v>
      </c>
      <c r="L31" s="12">
        <v>1</v>
      </c>
      <c r="M31" s="17">
        <v>22000000</v>
      </c>
      <c r="N31" s="17">
        <f t="shared" si="2"/>
        <v>22000000</v>
      </c>
      <c r="P31" s="12">
        <f t="shared" si="3"/>
        <v>144</v>
      </c>
      <c r="W31" s="14" t="s">
        <v>339</v>
      </c>
      <c r="X31" s="14" t="s">
        <v>408</v>
      </c>
      <c r="AB31"/>
      <c r="AC31"/>
    </row>
    <row r="32" spans="1:29" ht="15" hidden="1" customHeight="1" x14ac:dyDescent="0.25">
      <c r="A32" s="12" t="s">
        <v>309</v>
      </c>
      <c r="B32" s="13" t="s">
        <v>506</v>
      </c>
      <c r="C32" s="12">
        <f t="shared" si="0"/>
        <v>191</v>
      </c>
      <c r="D32" s="38">
        <f t="shared" si="1"/>
        <v>1</v>
      </c>
      <c r="G32" s="14" t="s">
        <v>1785</v>
      </c>
      <c r="H32" s="12" t="s">
        <v>4599</v>
      </c>
      <c r="I32" s="12">
        <v>112111</v>
      </c>
      <c r="J32" s="12">
        <v>131</v>
      </c>
      <c r="K32" s="12" t="s">
        <v>20</v>
      </c>
      <c r="L32" s="12">
        <v>1</v>
      </c>
      <c r="M32" s="17">
        <v>69300000</v>
      </c>
      <c r="N32" s="17">
        <f t="shared" si="2"/>
        <v>69300000</v>
      </c>
      <c r="P32" s="12">
        <f t="shared" si="3"/>
        <v>113</v>
      </c>
      <c r="W32" s="14" t="s">
        <v>340</v>
      </c>
      <c r="X32" s="14" t="s">
        <v>409</v>
      </c>
      <c r="AB32"/>
      <c r="AC32"/>
    </row>
    <row r="33" spans="1:29" ht="15" hidden="1" customHeight="1" x14ac:dyDescent="0.25">
      <c r="A33" s="12" t="s">
        <v>309</v>
      </c>
      <c r="B33" s="13" t="s">
        <v>507</v>
      </c>
      <c r="C33" s="12">
        <f t="shared" si="0"/>
        <v>192</v>
      </c>
      <c r="D33" s="38">
        <f t="shared" si="1"/>
        <v>1</v>
      </c>
      <c r="G33" s="14" t="s">
        <v>44</v>
      </c>
      <c r="H33" s="12" t="s">
        <v>4607</v>
      </c>
      <c r="I33" s="12">
        <v>112111</v>
      </c>
      <c r="J33" s="12">
        <v>131</v>
      </c>
      <c r="K33" s="12" t="s">
        <v>20</v>
      </c>
      <c r="L33" s="12">
        <v>1</v>
      </c>
      <c r="M33" s="17">
        <v>22000000</v>
      </c>
      <c r="N33" s="17">
        <f t="shared" si="2"/>
        <v>22000000</v>
      </c>
      <c r="P33" s="12">
        <f t="shared" si="3"/>
        <v>163</v>
      </c>
      <c r="W33" s="14" t="s">
        <v>341</v>
      </c>
      <c r="X33" s="14" t="s">
        <v>410</v>
      </c>
      <c r="AB33"/>
      <c r="AC33"/>
    </row>
    <row r="34" spans="1:29" ht="15" hidden="1" customHeight="1" x14ac:dyDescent="0.25">
      <c r="A34" s="12" t="s">
        <v>308</v>
      </c>
      <c r="B34" s="13" t="s">
        <v>436</v>
      </c>
      <c r="C34" s="12">
        <f t="shared" si="0"/>
        <v>193</v>
      </c>
      <c r="D34" s="38">
        <f t="shared" si="1"/>
        <v>1</v>
      </c>
      <c r="G34" s="14" t="s">
        <v>29</v>
      </c>
      <c r="H34" s="12" t="s">
        <v>4590</v>
      </c>
      <c r="I34" s="12">
        <v>131</v>
      </c>
      <c r="J34" s="12">
        <v>112111</v>
      </c>
      <c r="K34" s="12" t="s">
        <v>20</v>
      </c>
      <c r="L34" s="12">
        <v>1</v>
      </c>
      <c r="M34" s="17">
        <v>161290</v>
      </c>
      <c r="N34" s="17">
        <f t="shared" si="2"/>
        <v>161290</v>
      </c>
      <c r="P34" s="12">
        <f t="shared" si="3"/>
        <v>147</v>
      </c>
      <c r="W34" s="14" t="s">
        <v>35</v>
      </c>
      <c r="X34" s="14" t="s">
        <v>411</v>
      </c>
      <c r="AB34"/>
      <c r="AC34"/>
    </row>
    <row r="35" spans="1:29" ht="15" hidden="1" customHeight="1" x14ac:dyDescent="0.25">
      <c r="A35" s="12" t="s">
        <v>308</v>
      </c>
      <c r="B35" s="13" t="s">
        <v>542</v>
      </c>
      <c r="C35" s="12">
        <f t="shared" si="0"/>
        <v>194</v>
      </c>
      <c r="D35" s="38">
        <f t="shared" si="1"/>
        <v>1</v>
      </c>
      <c r="G35" s="14" t="s">
        <v>2629</v>
      </c>
      <c r="H35" s="12" t="s">
        <v>4596</v>
      </c>
      <c r="I35" s="12">
        <v>333821</v>
      </c>
      <c r="J35" s="12">
        <v>112111</v>
      </c>
      <c r="K35" s="12" t="s">
        <v>20</v>
      </c>
      <c r="L35" s="12">
        <v>1</v>
      </c>
      <c r="M35" s="17">
        <v>36479852</v>
      </c>
      <c r="N35" s="17">
        <f t="shared" si="2"/>
        <v>36479852</v>
      </c>
      <c r="P35" s="12">
        <f t="shared" si="3"/>
        <v>27</v>
      </c>
      <c r="W35" s="14" t="s">
        <v>19</v>
      </c>
      <c r="X35" s="14" t="s">
        <v>412</v>
      </c>
      <c r="AB35"/>
      <c r="AC35"/>
    </row>
    <row r="36" spans="1:29" ht="15" hidden="1" customHeight="1" x14ac:dyDescent="0.25">
      <c r="A36" s="12" t="s">
        <v>308</v>
      </c>
      <c r="B36" s="13" t="s">
        <v>542</v>
      </c>
      <c r="C36" s="12">
        <f t="shared" si="0"/>
        <v>194</v>
      </c>
      <c r="D36" s="38">
        <f t="shared" si="1"/>
        <v>0</v>
      </c>
      <c r="G36" s="14" t="s">
        <v>2629</v>
      </c>
      <c r="H36" s="12" t="s">
        <v>4596</v>
      </c>
      <c r="I36" s="12">
        <v>8118</v>
      </c>
      <c r="J36" s="12">
        <v>112111</v>
      </c>
      <c r="K36" s="12" t="s">
        <v>20</v>
      </c>
      <c r="L36" s="12">
        <v>1</v>
      </c>
      <c r="M36" s="17">
        <v>85055</v>
      </c>
      <c r="N36" s="17">
        <f t="shared" si="2"/>
        <v>85055</v>
      </c>
      <c r="P36" s="12">
        <f t="shared" si="3"/>
        <v>27</v>
      </c>
      <c r="W36" s="14" t="s">
        <v>52</v>
      </c>
      <c r="X36" s="14" t="s">
        <v>413</v>
      </c>
      <c r="AB36"/>
      <c r="AC36"/>
    </row>
    <row r="37" spans="1:29" ht="15" hidden="1" customHeight="1" x14ac:dyDescent="0.25">
      <c r="A37" s="12" t="s">
        <v>308</v>
      </c>
      <c r="B37" s="13" t="s">
        <v>441</v>
      </c>
      <c r="C37" s="12">
        <f t="shared" si="0"/>
        <v>195</v>
      </c>
      <c r="D37" s="38">
        <f t="shared" si="1"/>
        <v>1</v>
      </c>
      <c r="G37" s="14" t="s">
        <v>2629</v>
      </c>
      <c r="H37" s="12" t="s">
        <v>2628</v>
      </c>
      <c r="I37" s="12">
        <v>333822</v>
      </c>
      <c r="J37" s="12">
        <v>112111</v>
      </c>
      <c r="K37" s="12" t="s">
        <v>20</v>
      </c>
      <c r="L37" s="12">
        <v>1</v>
      </c>
      <c r="M37" s="17">
        <v>13820000</v>
      </c>
      <c r="N37" s="17">
        <f t="shared" si="2"/>
        <v>13820000</v>
      </c>
      <c r="P37" s="12">
        <f t="shared" si="3"/>
        <v>28</v>
      </c>
      <c r="W37" s="14" t="s">
        <v>298</v>
      </c>
      <c r="X37" s="14" t="s">
        <v>414</v>
      </c>
      <c r="AB37"/>
      <c r="AC37"/>
    </row>
    <row r="38" spans="1:29" ht="15" hidden="1" customHeight="1" x14ac:dyDescent="0.25">
      <c r="A38" s="12" t="s">
        <v>308</v>
      </c>
      <c r="B38" s="13" t="s">
        <v>441</v>
      </c>
      <c r="C38" s="12">
        <f t="shared" si="0"/>
        <v>195</v>
      </c>
      <c r="D38" s="38">
        <f t="shared" si="1"/>
        <v>0</v>
      </c>
      <c r="G38" s="14" t="s">
        <v>2629</v>
      </c>
      <c r="H38" s="12" t="s">
        <v>2628</v>
      </c>
      <c r="I38" s="12">
        <v>8118</v>
      </c>
      <c r="J38" s="12">
        <v>112111</v>
      </c>
      <c r="K38" s="12" t="s">
        <v>20</v>
      </c>
      <c r="L38" s="12">
        <v>1</v>
      </c>
      <c r="M38" s="17">
        <v>3616</v>
      </c>
      <c r="N38" s="17">
        <f t="shared" si="2"/>
        <v>3616</v>
      </c>
      <c r="P38" s="12">
        <f t="shared" si="3"/>
        <v>28</v>
      </c>
      <c r="W38" s="14" t="s">
        <v>342</v>
      </c>
      <c r="X38" s="12" t="s">
        <v>415</v>
      </c>
      <c r="AB38"/>
      <c r="AC38"/>
    </row>
    <row r="39" spans="1:29" ht="15" hidden="1" customHeight="1" x14ac:dyDescent="0.2">
      <c r="A39" s="12" t="s">
        <v>308</v>
      </c>
      <c r="B39" s="13" t="s">
        <v>441</v>
      </c>
      <c r="C39" s="12">
        <f t="shared" si="0"/>
        <v>195</v>
      </c>
      <c r="D39" s="38">
        <f t="shared" si="1"/>
        <v>0</v>
      </c>
      <c r="G39" s="14" t="s">
        <v>2629</v>
      </c>
      <c r="H39" s="12" t="s">
        <v>2628</v>
      </c>
      <c r="I39" s="12">
        <v>8118</v>
      </c>
      <c r="J39" s="12">
        <v>112111</v>
      </c>
      <c r="K39" s="12" t="s">
        <v>20</v>
      </c>
      <c r="L39" s="12">
        <v>1</v>
      </c>
      <c r="M39" s="17">
        <v>7328</v>
      </c>
      <c r="N39" s="17">
        <f t="shared" si="2"/>
        <v>7328</v>
      </c>
      <c r="P39" s="12">
        <f t="shared" si="3"/>
        <v>28</v>
      </c>
      <c r="W39" s="14" t="s">
        <v>296</v>
      </c>
      <c r="X39" s="14" t="s">
        <v>416</v>
      </c>
    </row>
    <row r="40" spans="1:29" ht="15" hidden="1" customHeight="1" x14ac:dyDescent="0.2">
      <c r="A40" s="12" t="s">
        <v>308</v>
      </c>
      <c r="B40" s="13" t="s">
        <v>441</v>
      </c>
      <c r="C40" s="12">
        <f t="shared" si="0"/>
        <v>195</v>
      </c>
      <c r="D40" s="38">
        <f t="shared" si="1"/>
        <v>0</v>
      </c>
      <c r="G40" s="14" t="s">
        <v>2629</v>
      </c>
      <c r="H40" s="12" t="s">
        <v>2628</v>
      </c>
      <c r="I40" s="12">
        <v>333822</v>
      </c>
      <c r="J40" s="12">
        <v>112111</v>
      </c>
      <c r="K40" s="12" t="s">
        <v>20</v>
      </c>
      <c r="L40" s="12">
        <v>1</v>
      </c>
      <c r="M40" s="17">
        <v>15160000</v>
      </c>
      <c r="N40" s="17">
        <f t="shared" si="2"/>
        <v>15160000</v>
      </c>
      <c r="P40" s="12">
        <f t="shared" si="3"/>
        <v>28</v>
      </c>
      <c r="W40" s="14" t="s">
        <v>344</v>
      </c>
      <c r="X40" s="14" t="s">
        <v>417</v>
      </c>
    </row>
    <row r="41" spans="1:29" ht="15" hidden="1" customHeight="1" x14ac:dyDescent="0.2">
      <c r="A41" s="12" t="s">
        <v>308</v>
      </c>
      <c r="B41" s="13" t="s">
        <v>504</v>
      </c>
      <c r="C41" s="12">
        <f t="shared" si="0"/>
        <v>196</v>
      </c>
      <c r="D41" s="38">
        <f t="shared" si="1"/>
        <v>1</v>
      </c>
      <c r="G41" s="14" t="s">
        <v>336</v>
      </c>
      <c r="H41" s="12" t="s">
        <v>3032</v>
      </c>
      <c r="I41" s="12">
        <v>1111</v>
      </c>
      <c r="J41" s="12">
        <v>112111</v>
      </c>
      <c r="K41" s="12" t="s">
        <v>20</v>
      </c>
      <c r="L41" s="12">
        <v>1</v>
      </c>
      <c r="M41" s="17">
        <v>888150000</v>
      </c>
      <c r="N41" s="17">
        <f t="shared" si="2"/>
        <v>888150000</v>
      </c>
      <c r="P41" s="12">
        <f t="shared" si="3"/>
        <v>40</v>
      </c>
      <c r="W41" s="14" t="s">
        <v>343</v>
      </c>
      <c r="X41" s="14" t="s">
        <v>418</v>
      </c>
    </row>
    <row r="42" spans="1:29" ht="15" hidden="1" customHeight="1" x14ac:dyDescent="0.2">
      <c r="A42" s="12" t="s">
        <v>310</v>
      </c>
      <c r="B42" s="36">
        <v>46023</v>
      </c>
      <c r="C42" s="12">
        <f t="shared" si="0"/>
        <v>197</v>
      </c>
      <c r="D42" s="38">
        <f t="shared" si="1"/>
        <v>1</v>
      </c>
      <c r="G42" s="14" t="s">
        <v>344</v>
      </c>
      <c r="H42" s="12" t="s">
        <v>4617</v>
      </c>
      <c r="I42" s="12">
        <v>331</v>
      </c>
      <c r="J42" s="12">
        <v>1111</v>
      </c>
      <c r="K42" s="12" t="s">
        <v>20</v>
      </c>
      <c r="L42" s="12">
        <v>1</v>
      </c>
      <c r="M42" s="17">
        <v>23000</v>
      </c>
      <c r="N42" s="17">
        <f t="shared" si="2"/>
        <v>23000</v>
      </c>
      <c r="P42" s="12">
        <f t="shared" si="3"/>
        <v>93</v>
      </c>
      <c r="W42" s="14" t="s">
        <v>25</v>
      </c>
      <c r="X42" s="14" t="s">
        <v>419</v>
      </c>
    </row>
    <row r="43" spans="1:29" ht="15" hidden="1" customHeight="1" x14ac:dyDescent="0.2">
      <c r="A43" s="12" t="s">
        <v>310</v>
      </c>
      <c r="B43" s="36">
        <v>46023</v>
      </c>
      <c r="C43" s="12">
        <f t="shared" si="0"/>
        <v>198</v>
      </c>
      <c r="D43" s="38">
        <f t="shared" si="1"/>
        <v>1</v>
      </c>
      <c r="G43" s="14" t="s">
        <v>1883</v>
      </c>
      <c r="H43" s="12" t="s">
        <v>4618</v>
      </c>
      <c r="I43" s="12">
        <v>331</v>
      </c>
      <c r="J43" s="12">
        <v>1111</v>
      </c>
      <c r="K43" s="12" t="s">
        <v>20</v>
      </c>
      <c r="L43" s="12">
        <v>1</v>
      </c>
      <c r="M43" s="17">
        <v>153000</v>
      </c>
      <c r="N43" s="17">
        <f t="shared" si="2"/>
        <v>153000</v>
      </c>
      <c r="P43" s="12">
        <f t="shared" si="3"/>
        <v>48</v>
      </c>
      <c r="W43" s="14" t="s">
        <v>349</v>
      </c>
      <c r="X43" s="14" t="s">
        <v>420</v>
      </c>
    </row>
    <row r="44" spans="1:29" ht="15" hidden="1" customHeight="1" x14ac:dyDescent="0.2">
      <c r="A44" s="12" t="s">
        <v>310</v>
      </c>
      <c r="B44" s="36">
        <v>46023</v>
      </c>
      <c r="C44" s="12">
        <f t="shared" si="0"/>
        <v>199</v>
      </c>
      <c r="D44" s="38">
        <f t="shared" si="1"/>
        <v>1</v>
      </c>
      <c r="G44" s="14" t="s">
        <v>25</v>
      </c>
      <c r="H44" s="12" t="s">
        <v>4619</v>
      </c>
      <c r="I44" s="12">
        <v>331</v>
      </c>
      <c r="J44" s="12">
        <v>1111</v>
      </c>
      <c r="K44" s="12" t="s">
        <v>20</v>
      </c>
      <c r="L44" s="12">
        <v>1</v>
      </c>
      <c r="M44" s="17">
        <v>753408</v>
      </c>
      <c r="N44" s="17">
        <f t="shared" si="2"/>
        <v>753408</v>
      </c>
      <c r="P44" s="12">
        <f t="shared" si="3"/>
        <v>172</v>
      </c>
      <c r="W44" s="14" t="s">
        <v>95</v>
      </c>
      <c r="X44" s="14" t="s">
        <v>421</v>
      </c>
    </row>
    <row r="45" spans="1:29" ht="15" hidden="1" customHeight="1" x14ac:dyDescent="0.2">
      <c r="A45" s="12" t="s">
        <v>310</v>
      </c>
      <c r="B45" s="36">
        <v>46023</v>
      </c>
      <c r="C45" s="12">
        <f t="shared" si="0"/>
        <v>200</v>
      </c>
      <c r="D45" s="38">
        <f t="shared" si="1"/>
        <v>1</v>
      </c>
      <c r="G45" s="14" t="s">
        <v>25</v>
      </c>
      <c r="H45" s="12" t="s">
        <v>4620</v>
      </c>
      <c r="I45" s="12">
        <v>331</v>
      </c>
      <c r="J45" s="12">
        <v>1111</v>
      </c>
      <c r="K45" s="12" t="s">
        <v>20</v>
      </c>
      <c r="L45" s="12">
        <v>1</v>
      </c>
      <c r="M45" s="17">
        <v>1336056</v>
      </c>
      <c r="N45" s="17">
        <f t="shared" si="2"/>
        <v>1336056</v>
      </c>
      <c r="P45" s="12">
        <f t="shared" si="3"/>
        <v>53</v>
      </c>
      <c r="W45" s="14" t="s">
        <v>262</v>
      </c>
      <c r="X45" s="14" t="s">
        <v>422</v>
      </c>
    </row>
    <row r="46" spans="1:29" ht="15" hidden="1" customHeight="1" x14ac:dyDescent="0.2">
      <c r="A46" s="12" t="s">
        <v>310</v>
      </c>
      <c r="B46" s="36">
        <v>46024</v>
      </c>
      <c r="C46" s="12">
        <f t="shared" si="0"/>
        <v>201</v>
      </c>
      <c r="D46" s="38">
        <f t="shared" si="1"/>
        <v>1</v>
      </c>
      <c r="G46" s="14" t="s">
        <v>344</v>
      </c>
      <c r="H46" s="12" t="s">
        <v>4621</v>
      </c>
      <c r="I46" s="12">
        <v>331</v>
      </c>
      <c r="J46" s="12">
        <v>1111</v>
      </c>
      <c r="K46" s="12" t="s">
        <v>20</v>
      </c>
      <c r="L46" s="12">
        <v>1</v>
      </c>
      <c r="M46" s="17">
        <v>21000</v>
      </c>
      <c r="N46" s="17">
        <f t="shared" si="2"/>
        <v>21000</v>
      </c>
      <c r="P46" s="12">
        <f t="shared" si="3"/>
        <v>93</v>
      </c>
      <c r="W46" s="14" t="s">
        <v>345</v>
      </c>
      <c r="X46" s="14" t="s">
        <v>423</v>
      </c>
    </row>
    <row r="47" spans="1:29" ht="15" hidden="1" customHeight="1" x14ac:dyDescent="0.2">
      <c r="A47" s="12" t="s">
        <v>310</v>
      </c>
      <c r="B47" s="36">
        <v>46024</v>
      </c>
      <c r="C47" s="12">
        <f t="shared" si="0"/>
        <v>202</v>
      </c>
      <c r="D47" s="38">
        <f t="shared" si="1"/>
        <v>1</v>
      </c>
      <c r="G47" s="14" t="s">
        <v>344</v>
      </c>
      <c r="H47" s="12" t="s">
        <v>4622</v>
      </c>
      <c r="I47" s="12">
        <v>331</v>
      </c>
      <c r="J47" s="12">
        <v>1111</v>
      </c>
      <c r="K47" s="12" t="s">
        <v>20</v>
      </c>
      <c r="L47" s="12">
        <v>1</v>
      </c>
      <c r="M47" s="17">
        <v>37000</v>
      </c>
      <c r="N47" s="17">
        <f t="shared" si="2"/>
        <v>37000</v>
      </c>
      <c r="P47" s="12">
        <f t="shared" si="3"/>
        <v>93</v>
      </c>
      <c r="W47" s="14" t="s">
        <v>231</v>
      </c>
      <c r="X47" s="14" t="s">
        <v>424</v>
      </c>
    </row>
    <row r="48" spans="1:29" ht="15" hidden="1" customHeight="1" x14ac:dyDescent="0.2">
      <c r="A48" s="12" t="s">
        <v>310</v>
      </c>
      <c r="B48" s="36">
        <v>46025</v>
      </c>
      <c r="C48" s="12">
        <f t="shared" si="0"/>
        <v>203</v>
      </c>
      <c r="D48" s="38">
        <f t="shared" si="1"/>
        <v>1</v>
      </c>
      <c r="G48" s="14" t="s">
        <v>344</v>
      </c>
      <c r="H48" s="12" t="s">
        <v>4623</v>
      </c>
      <c r="I48" s="12">
        <v>331</v>
      </c>
      <c r="J48" s="12">
        <v>1111</v>
      </c>
      <c r="K48" s="12" t="s">
        <v>20</v>
      </c>
      <c r="L48" s="12">
        <v>1</v>
      </c>
      <c r="M48" s="17">
        <v>98000</v>
      </c>
      <c r="N48" s="17">
        <f t="shared" si="2"/>
        <v>98000</v>
      </c>
      <c r="P48" s="12">
        <f t="shared" si="3"/>
        <v>93</v>
      </c>
      <c r="W48" s="14" t="s">
        <v>346</v>
      </c>
      <c r="X48" s="14" t="s">
        <v>425</v>
      </c>
    </row>
    <row r="49" spans="1:24" ht="15" hidden="1" customHeight="1" x14ac:dyDescent="0.2">
      <c r="A49" s="12" t="s">
        <v>310</v>
      </c>
      <c r="B49" s="36">
        <v>46027</v>
      </c>
      <c r="C49" s="12">
        <f t="shared" si="0"/>
        <v>204</v>
      </c>
      <c r="D49" s="38">
        <f t="shared" si="1"/>
        <v>1</v>
      </c>
      <c r="G49" s="14" t="s">
        <v>344</v>
      </c>
      <c r="H49" s="12" t="s">
        <v>4624</v>
      </c>
      <c r="I49" s="12">
        <v>331</v>
      </c>
      <c r="J49" s="12">
        <v>1111</v>
      </c>
      <c r="K49" s="12" t="s">
        <v>20</v>
      </c>
      <c r="L49" s="12">
        <v>1</v>
      </c>
      <c r="M49" s="17">
        <v>21000</v>
      </c>
      <c r="N49" s="17">
        <f t="shared" si="2"/>
        <v>21000</v>
      </c>
      <c r="P49" s="12">
        <f t="shared" si="3"/>
        <v>93</v>
      </c>
      <c r="W49" s="14" t="s">
        <v>347</v>
      </c>
      <c r="X49" s="14" t="s">
        <v>426</v>
      </c>
    </row>
    <row r="50" spans="1:24" ht="15" hidden="1" customHeight="1" x14ac:dyDescent="0.2">
      <c r="A50" s="12" t="s">
        <v>310</v>
      </c>
      <c r="B50" s="36">
        <v>46027</v>
      </c>
      <c r="C50" s="12">
        <f t="shared" si="0"/>
        <v>205</v>
      </c>
      <c r="D50" s="38">
        <f t="shared" si="1"/>
        <v>1</v>
      </c>
      <c r="G50" s="14" t="s">
        <v>344</v>
      </c>
      <c r="H50" s="12" t="s">
        <v>4625</v>
      </c>
      <c r="I50" s="12">
        <v>331</v>
      </c>
      <c r="J50" s="12">
        <v>1111</v>
      </c>
      <c r="K50" s="12" t="s">
        <v>20</v>
      </c>
      <c r="L50" s="12">
        <v>1</v>
      </c>
      <c r="M50" s="17">
        <v>19000</v>
      </c>
      <c r="N50" s="17">
        <f t="shared" si="2"/>
        <v>19000</v>
      </c>
      <c r="P50" s="12">
        <f t="shared" si="3"/>
        <v>93</v>
      </c>
      <c r="W50" s="14" t="s">
        <v>348</v>
      </c>
      <c r="X50" s="14" t="s">
        <v>427</v>
      </c>
    </row>
    <row r="51" spans="1:24" ht="15" hidden="1" customHeight="1" x14ac:dyDescent="0.2">
      <c r="A51" s="12" t="s">
        <v>310</v>
      </c>
      <c r="B51" s="36">
        <v>46027</v>
      </c>
      <c r="C51" s="12">
        <f t="shared" si="0"/>
        <v>206</v>
      </c>
      <c r="D51" s="38">
        <f t="shared" si="1"/>
        <v>1</v>
      </c>
      <c r="G51" s="14" t="s">
        <v>344</v>
      </c>
      <c r="H51" s="12" t="s">
        <v>4626</v>
      </c>
      <c r="I51" s="12">
        <v>331</v>
      </c>
      <c r="J51" s="12">
        <v>1111</v>
      </c>
      <c r="K51" s="12" t="s">
        <v>20</v>
      </c>
      <c r="L51" s="12">
        <v>1</v>
      </c>
      <c r="M51" s="17">
        <v>20000</v>
      </c>
      <c r="N51" s="17">
        <f t="shared" si="2"/>
        <v>20000</v>
      </c>
      <c r="P51" s="12">
        <f t="shared" si="3"/>
        <v>94</v>
      </c>
      <c r="W51" s="14" t="s">
        <v>258</v>
      </c>
      <c r="X51" s="14" t="s">
        <v>428</v>
      </c>
    </row>
    <row r="52" spans="1:24" ht="15" hidden="1" customHeight="1" x14ac:dyDescent="0.2">
      <c r="A52" s="12" t="s">
        <v>310</v>
      </c>
      <c r="B52" s="36">
        <v>46027</v>
      </c>
      <c r="C52" s="12">
        <f t="shared" si="0"/>
        <v>207</v>
      </c>
      <c r="D52" s="38">
        <f t="shared" si="1"/>
        <v>1</v>
      </c>
      <c r="G52" s="14" t="s">
        <v>37</v>
      </c>
      <c r="H52" s="12" t="s">
        <v>4627</v>
      </c>
      <c r="I52" s="12">
        <v>331</v>
      </c>
      <c r="J52" s="12">
        <v>1111</v>
      </c>
      <c r="K52" s="12" t="s">
        <v>20</v>
      </c>
      <c r="L52" s="12">
        <v>1</v>
      </c>
      <c r="M52" s="17">
        <v>3072600</v>
      </c>
      <c r="N52" s="17">
        <f t="shared" si="2"/>
        <v>3072600</v>
      </c>
      <c r="P52" s="12">
        <f t="shared" si="3"/>
        <v>53</v>
      </c>
      <c r="W52" s="14" t="s">
        <v>46</v>
      </c>
      <c r="X52" s="14" t="s">
        <v>429</v>
      </c>
    </row>
    <row r="53" spans="1:24" ht="15" hidden="1" customHeight="1" x14ac:dyDescent="0.2">
      <c r="A53" s="12" t="s">
        <v>310</v>
      </c>
      <c r="B53" s="36">
        <v>46028</v>
      </c>
      <c r="C53" s="12">
        <f t="shared" si="0"/>
        <v>208</v>
      </c>
      <c r="D53" s="38">
        <f t="shared" si="1"/>
        <v>1</v>
      </c>
      <c r="G53" s="14" t="s">
        <v>344</v>
      </c>
      <c r="H53" s="12" t="s">
        <v>4628</v>
      </c>
      <c r="I53" s="12">
        <v>331</v>
      </c>
      <c r="J53" s="12">
        <v>1111</v>
      </c>
      <c r="K53" s="12" t="s">
        <v>20</v>
      </c>
      <c r="L53" s="12">
        <v>1</v>
      </c>
      <c r="M53" s="17">
        <v>23000</v>
      </c>
      <c r="N53" s="17">
        <f t="shared" si="2"/>
        <v>23000</v>
      </c>
      <c r="P53" s="12">
        <f t="shared" si="3"/>
        <v>94</v>
      </c>
      <c r="W53" s="14" t="s">
        <v>71</v>
      </c>
      <c r="X53" s="14" t="s">
        <v>430</v>
      </c>
    </row>
    <row r="54" spans="1:24" ht="15" hidden="1" customHeight="1" x14ac:dyDescent="0.2">
      <c r="A54" s="12" t="s">
        <v>310</v>
      </c>
      <c r="B54" s="36">
        <v>46028</v>
      </c>
      <c r="C54" s="12">
        <f t="shared" si="0"/>
        <v>209</v>
      </c>
      <c r="D54" s="38">
        <f t="shared" si="1"/>
        <v>1</v>
      </c>
      <c r="G54" s="14" t="s">
        <v>344</v>
      </c>
      <c r="H54" s="12" t="s">
        <v>4629</v>
      </c>
      <c r="I54" s="12">
        <v>331</v>
      </c>
      <c r="J54" s="12">
        <v>1111</v>
      </c>
      <c r="K54" s="12" t="s">
        <v>20</v>
      </c>
      <c r="L54" s="12">
        <v>1</v>
      </c>
      <c r="M54" s="17">
        <v>44000</v>
      </c>
      <c r="N54" s="17">
        <f t="shared" si="2"/>
        <v>44000</v>
      </c>
      <c r="P54" s="12">
        <f t="shared" si="3"/>
        <v>94</v>
      </c>
      <c r="W54" s="14" t="s">
        <v>39</v>
      </c>
      <c r="X54" s="14" t="s">
        <v>431</v>
      </c>
    </row>
    <row r="55" spans="1:24" ht="15" hidden="1" customHeight="1" x14ac:dyDescent="0.2">
      <c r="A55" s="12" t="s">
        <v>310</v>
      </c>
      <c r="B55" s="36">
        <v>46028</v>
      </c>
      <c r="C55" s="12">
        <f t="shared" si="0"/>
        <v>210</v>
      </c>
      <c r="D55" s="38">
        <f t="shared" si="1"/>
        <v>1</v>
      </c>
      <c r="G55" s="14" t="s">
        <v>35</v>
      </c>
      <c r="H55" s="12" t="s">
        <v>4630</v>
      </c>
      <c r="I55" s="12">
        <v>331</v>
      </c>
      <c r="J55" s="12">
        <v>1111</v>
      </c>
      <c r="K55" s="12" t="s">
        <v>20</v>
      </c>
      <c r="L55" s="12">
        <v>1</v>
      </c>
      <c r="M55" s="17">
        <v>3240000</v>
      </c>
      <c r="N55" s="17">
        <f t="shared" si="2"/>
        <v>3240000</v>
      </c>
      <c r="P55" s="12">
        <f t="shared" si="3"/>
        <v>52</v>
      </c>
    </row>
    <row r="56" spans="1:24" ht="15" hidden="1" customHeight="1" x14ac:dyDescent="0.2">
      <c r="A56" s="12" t="s">
        <v>310</v>
      </c>
      <c r="B56" s="36">
        <v>46029</v>
      </c>
      <c r="C56" s="12">
        <f t="shared" si="0"/>
        <v>211</v>
      </c>
      <c r="D56" s="38">
        <f t="shared" si="1"/>
        <v>1</v>
      </c>
      <c r="G56" s="14" t="s">
        <v>344</v>
      </c>
      <c r="H56" s="12" t="s">
        <v>4631</v>
      </c>
      <c r="I56" s="12">
        <v>331</v>
      </c>
      <c r="J56" s="12">
        <v>1111</v>
      </c>
      <c r="K56" s="12" t="s">
        <v>20</v>
      </c>
      <c r="L56" s="12">
        <v>1</v>
      </c>
      <c r="M56" s="17">
        <v>30000</v>
      </c>
      <c r="N56" s="17">
        <f t="shared" si="2"/>
        <v>30000</v>
      </c>
      <c r="P56" s="12">
        <f t="shared" si="3"/>
        <v>94</v>
      </c>
    </row>
    <row r="57" spans="1:24" ht="15" hidden="1" customHeight="1" x14ac:dyDescent="0.2">
      <c r="A57" s="12" t="s">
        <v>310</v>
      </c>
      <c r="B57" s="36">
        <v>46030</v>
      </c>
      <c r="C57" s="12">
        <f t="shared" si="0"/>
        <v>212</v>
      </c>
      <c r="D57" s="38">
        <f t="shared" si="1"/>
        <v>1</v>
      </c>
      <c r="G57" s="14" t="s">
        <v>344</v>
      </c>
      <c r="H57" s="12" t="s">
        <v>4632</v>
      </c>
      <c r="I57" s="12">
        <v>331</v>
      </c>
      <c r="J57" s="12">
        <v>1111</v>
      </c>
      <c r="K57" s="12" t="s">
        <v>20</v>
      </c>
      <c r="L57" s="12">
        <v>1</v>
      </c>
      <c r="M57" s="17">
        <v>36000</v>
      </c>
      <c r="N57" s="17">
        <f t="shared" si="2"/>
        <v>36000</v>
      </c>
      <c r="P57" s="12">
        <f t="shared" si="3"/>
        <v>94</v>
      </c>
    </row>
    <row r="58" spans="1:24" ht="15" hidden="1" customHeight="1" x14ac:dyDescent="0.2">
      <c r="A58" s="12" t="s">
        <v>310</v>
      </c>
      <c r="B58" s="36">
        <v>46030</v>
      </c>
      <c r="C58" s="12">
        <f t="shared" si="0"/>
        <v>213</v>
      </c>
      <c r="D58" s="38">
        <f t="shared" si="1"/>
        <v>1</v>
      </c>
      <c r="G58" s="14" t="s">
        <v>344</v>
      </c>
      <c r="H58" s="12" t="s">
        <v>4633</v>
      </c>
      <c r="I58" s="12">
        <v>331</v>
      </c>
      <c r="J58" s="12">
        <v>1111</v>
      </c>
      <c r="K58" s="12" t="s">
        <v>20</v>
      </c>
      <c r="L58" s="12">
        <v>1</v>
      </c>
      <c r="M58" s="17">
        <v>47000</v>
      </c>
      <c r="N58" s="17">
        <f t="shared" si="2"/>
        <v>47000</v>
      </c>
      <c r="P58" s="12">
        <f t="shared" si="3"/>
        <v>94</v>
      </c>
    </row>
    <row r="59" spans="1:24" ht="15" hidden="1" customHeight="1" x14ac:dyDescent="0.2">
      <c r="A59" s="12" t="s">
        <v>310</v>
      </c>
      <c r="B59" s="36">
        <v>46031</v>
      </c>
      <c r="C59" s="12">
        <f t="shared" si="0"/>
        <v>214</v>
      </c>
      <c r="D59" s="38">
        <f t="shared" si="1"/>
        <v>1</v>
      </c>
      <c r="G59" s="14" t="s">
        <v>341</v>
      </c>
      <c r="H59" s="12" t="s">
        <v>4634</v>
      </c>
      <c r="I59" s="12">
        <v>331</v>
      </c>
      <c r="J59" s="12">
        <v>1111</v>
      </c>
      <c r="K59" s="12" t="s">
        <v>20</v>
      </c>
      <c r="L59" s="12">
        <v>1</v>
      </c>
      <c r="M59" s="17">
        <v>588600</v>
      </c>
      <c r="N59" s="17">
        <f t="shared" si="2"/>
        <v>588600</v>
      </c>
      <c r="P59" s="12">
        <f t="shared" si="3"/>
        <v>120</v>
      </c>
    </row>
    <row r="60" spans="1:24" ht="15" hidden="1" customHeight="1" x14ac:dyDescent="0.2">
      <c r="A60" s="12" t="s">
        <v>310</v>
      </c>
      <c r="B60" s="36">
        <v>46031</v>
      </c>
      <c r="C60" s="12">
        <f t="shared" si="0"/>
        <v>215</v>
      </c>
      <c r="D60" s="38">
        <f t="shared" si="1"/>
        <v>1</v>
      </c>
      <c r="G60" s="14" t="s">
        <v>344</v>
      </c>
      <c r="H60" s="12" t="s">
        <v>4635</v>
      </c>
      <c r="I60" s="12">
        <v>331</v>
      </c>
      <c r="J60" s="12">
        <v>1111</v>
      </c>
      <c r="K60" s="12" t="s">
        <v>20</v>
      </c>
      <c r="L60" s="12">
        <v>1</v>
      </c>
      <c r="M60" s="17">
        <v>15000</v>
      </c>
      <c r="N60" s="17">
        <f t="shared" si="2"/>
        <v>15000</v>
      </c>
      <c r="P60" s="12">
        <f t="shared" si="3"/>
        <v>94</v>
      </c>
    </row>
    <row r="61" spans="1:24" ht="15" hidden="1" customHeight="1" x14ac:dyDescent="0.2">
      <c r="A61" s="12" t="s">
        <v>310</v>
      </c>
      <c r="B61" s="36">
        <v>46033</v>
      </c>
      <c r="C61" s="12">
        <f t="shared" si="0"/>
        <v>216</v>
      </c>
      <c r="D61" s="38">
        <f t="shared" si="1"/>
        <v>1</v>
      </c>
      <c r="G61" s="14" t="s">
        <v>1677</v>
      </c>
      <c r="H61" s="12" t="s">
        <v>4636</v>
      </c>
      <c r="I61" s="12">
        <v>331</v>
      </c>
      <c r="J61" s="12">
        <v>1111</v>
      </c>
      <c r="K61" s="12" t="s">
        <v>20</v>
      </c>
      <c r="L61" s="12">
        <v>1</v>
      </c>
      <c r="M61" s="17">
        <v>890420</v>
      </c>
      <c r="N61" s="17">
        <f t="shared" si="2"/>
        <v>890420</v>
      </c>
      <c r="P61" s="12">
        <f t="shared" si="3"/>
        <v>146</v>
      </c>
    </row>
    <row r="62" spans="1:24" ht="15" hidden="1" customHeight="1" x14ac:dyDescent="0.2">
      <c r="A62" s="12" t="s">
        <v>310</v>
      </c>
      <c r="B62" s="36">
        <v>46034</v>
      </c>
      <c r="C62" s="12">
        <f t="shared" si="0"/>
        <v>217</v>
      </c>
      <c r="D62" s="38">
        <f t="shared" si="1"/>
        <v>1</v>
      </c>
      <c r="G62" s="14" t="s">
        <v>344</v>
      </c>
      <c r="H62" s="12" t="s">
        <v>4637</v>
      </c>
      <c r="I62" s="12">
        <v>331</v>
      </c>
      <c r="J62" s="12">
        <v>1111</v>
      </c>
      <c r="K62" s="12" t="s">
        <v>20</v>
      </c>
      <c r="L62" s="12">
        <v>1</v>
      </c>
      <c r="M62" s="17">
        <v>49000</v>
      </c>
      <c r="N62" s="17">
        <f t="shared" si="2"/>
        <v>49000</v>
      </c>
      <c r="P62" s="12">
        <f t="shared" si="3"/>
        <v>94</v>
      </c>
    </row>
    <row r="63" spans="1:24" ht="15" hidden="1" customHeight="1" x14ac:dyDescent="0.2">
      <c r="A63" s="12" t="s">
        <v>310</v>
      </c>
      <c r="B63" s="36">
        <v>46034</v>
      </c>
      <c r="C63" s="12">
        <f t="shared" si="0"/>
        <v>218</v>
      </c>
      <c r="D63" s="38">
        <f t="shared" si="1"/>
        <v>1</v>
      </c>
      <c r="G63" s="14" t="s">
        <v>344</v>
      </c>
      <c r="H63" s="12" t="s">
        <v>4638</v>
      </c>
      <c r="I63" s="12">
        <v>331</v>
      </c>
      <c r="J63" s="12">
        <v>1111</v>
      </c>
      <c r="K63" s="12" t="s">
        <v>20</v>
      </c>
      <c r="L63" s="12">
        <v>1</v>
      </c>
      <c r="M63" s="17">
        <v>73000</v>
      </c>
      <c r="N63" s="17">
        <f t="shared" si="2"/>
        <v>73000</v>
      </c>
      <c r="P63" s="12">
        <f t="shared" si="3"/>
        <v>94</v>
      </c>
    </row>
    <row r="64" spans="1:24" ht="15" hidden="1" customHeight="1" x14ac:dyDescent="0.2">
      <c r="A64" s="12" t="s">
        <v>310</v>
      </c>
      <c r="B64" s="36">
        <v>46036</v>
      </c>
      <c r="C64" s="12">
        <f t="shared" si="0"/>
        <v>219</v>
      </c>
      <c r="D64" s="38">
        <f t="shared" si="1"/>
        <v>1</v>
      </c>
      <c r="G64" s="14" t="s">
        <v>25</v>
      </c>
      <c r="H64" s="12" t="s">
        <v>4639</v>
      </c>
      <c r="I64" s="12">
        <v>331</v>
      </c>
      <c r="J64" s="12">
        <v>1111</v>
      </c>
      <c r="K64" s="12" t="s">
        <v>20</v>
      </c>
      <c r="L64" s="12">
        <v>1</v>
      </c>
      <c r="M64" s="17">
        <v>268920</v>
      </c>
      <c r="N64" s="17">
        <f t="shared" si="2"/>
        <v>268920</v>
      </c>
      <c r="P64" s="12">
        <f t="shared" si="3"/>
        <v>73</v>
      </c>
    </row>
    <row r="65" spans="1:16" ht="15" hidden="1" customHeight="1" x14ac:dyDescent="0.2">
      <c r="A65" s="12" t="s">
        <v>310</v>
      </c>
      <c r="B65" s="36">
        <v>46037</v>
      </c>
      <c r="C65" s="12">
        <f t="shared" si="0"/>
        <v>220</v>
      </c>
      <c r="D65" s="38">
        <f t="shared" si="1"/>
        <v>1</v>
      </c>
      <c r="G65" s="14" t="s">
        <v>344</v>
      </c>
      <c r="H65" s="12" t="s">
        <v>4640</v>
      </c>
      <c r="I65" s="12">
        <v>331</v>
      </c>
      <c r="J65" s="12">
        <v>1111</v>
      </c>
      <c r="K65" s="12" t="s">
        <v>20</v>
      </c>
      <c r="L65" s="12">
        <v>1</v>
      </c>
      <c r="M65" s="17">
        <v>37000</v>
      </c>
      <c r="N65" s="17">
        <f t="shared" si="2"/>
        <v>37000</v>
      </c>
      <c r="P65" s="12">
        <f t="shared" si="3"/>
        <v>158</v>
      </c>
    </row>
    <row r="66" spans="1:16" ht="15" hidden="1" customHeight="1" x14ac:dyDescent="0.2">
      <c r="A66" s="12" t="s">
        <v>310</v>
      </c>
      <c r="B66" s="36">
        <v>46037</v>
      </c>
      <c r="C66" s="12">
        <f t="shared" si="0"/>
        <v>221</v>
      </c>
      <c r="D66" s="38">
        <f t="shared" si="1"/>
        <v>1</v>
      </c>
      <c r="G66" s="14" t="s">
        <v>344</v>
      </c>
      <c r="H66" s="12" t="s">
        <v>4641</v>
      </c>
      <c r="I66" s="12">
        <v>331</v>
      </c>
      <c r="J66" s="12">
        <v>1111</v>
      </c>
      <c r="K66" s="12" t="s">
        <v>20</v>
      </c>
      <c r="L66" s="12">
        <v>1</v>
      </c>
      <c r="M66" s="17">
        <v>42000</v>
      </c>
      <c r="N66" s="17">
        <f t="shared" si="2"/>
        <v>42000</v>
      </c>
      <c r="P66" s="12">
        <f t="shared" si="3"/>
        <v>94</v>
      </c>
    </row>
    <row r="67" spans="1:16" ht="15" hidden="1" customHeight="1" x14ac:dyDescent="0.2">
      <c r="A67" s="12" t="s">
        <v>310</v>
      </c>
      <c r="B67" s="36">
        <v>46039</v>
      </c>
      <c r="C67" s="12">
        <f t="shared" si="0"/>
        <v>222</v>
      </c>
      <c r="D67" s="38">
        <f t="shared" si="1"/>
        <v>1</v>
      </c>
      <c r="G67" s="14" t="s">
        <v>340</v>
      </c>
      <c r="H67" s="12" t="s">
        <v>4642</v>
      </c>
      <c r="I67" s="12">
        <v>331</v>
      </c>
      <c r="J67" s="12">
        <v>1111</v>
      </c>
      <c r="K67" s="12" t="s">
        <v>20</v>
      </c>
      <c r="L67" s="12">
        <v>1</v>
      </c>
      <c r="M67" s="17">
        <v>967000</v>
      </c>
      <c r="N67" s="17">
        <f t="shared" si="2"/>
        <v>967000</v>
      </c>
      <c r="P67" s="12">
        <f t="shared" si="3"/>
        <v>123</v>
      </c>
    </row>
    <row r="68" spans="1:16" ht="15" hidden="1" customHeight="1" x14ac:dyDescent="0.2">
      <c r="A68" s="12" t="s">
        <v>310</v>
      </c>
      <c r="B68" s="36">
        <v>46039</v>
      </c>
      <c r="C68" s="12">
        <f t="shared" ref="C68:C131" si="4">C67+D68</f>
        <v>223</v>
      </c>
      <c r="D68" s="38">
        <f t="shared" ref="D68:D131" si="5">IF(H68=H67,0,1)</f>
        <v>1</v>
      </c>
      <c r="G68" s="14" t="s">
        <v>89</v>
      </c>
      <c r="H68" s="12" t="s">
        <v>4643</v>
      </c>
      <c r="I68" s="12">
        <v>331</v>
      </c>
      <c r="J68" s="12">
        <v>1111</v>
      </c>
      <c r="K68" s="12" t="s">
        <v>20</v>
      </c>
      <c r="L68" s="12">
        <v>1</v>
      </c>
      <c r="M68" s="17">
        <v>27000</v>
      </c>
      <c r="N68" s="17">
        <f t="shared" ref="N68:N131" si="6">L68*M68</f>
        <v>27000</v>
      </c>
      <c r="P68" s="12">
        <f t="shared" si="3"/>
        <v>83</v>
      </c>
    </row>
    <row r="69" spans="1:16" ht="15" hidden="1" customHeight="1" x14ac:dyDescent="0.2">
      <c r="A69" s="12" t="s">
        <v>310</v>
      </c>
      <c r="B69" s="36">
        <v>46040</v>
      </c>
      <c r="C69" s="12">
        <f t="shared" si="4"/>
        <v>224</v>
      </c>
      <c r="D69" s="38">
        <f t="shared" si="5"/>
        <v>1</v>
      </c>
      <c r="G69" s="14" t="s">
        <v>1908</v>
      </c>
      <c r="H69" s="12" t="s">
        <v>4644</v>
      </c>
      <c r="I69" s="12">
        <v>331</v>
      </c>
      <c r="J69" s="12">
        <v>1111</v>
      </c>
      <c r="K69" s="12" t="s">
        <v>20</v>
      </c>
      <c r="L69" s="12">
        <v>1</v>
      </c>
      <c r="M69" s="17">
        <v>1688000</v>
      </c>
      <c r="N69" s="17">
        <f t="shared" si="6"/>
        <v>1688000</v>
      </c>
      <c r="P69" s="12">
        <f t="shared" ref="P69:P132" si="7">LEN(H69)</f>
        <v>50</v>
      </c>
    </row>
    <row r="70" spans="1:16" ht="15" hidden="1" customHeight="1" x14ac:dyDescent="0.2">
      <c r="A70" s="12" t="s">
        <v>310</v>
      </c>
      <c r="B70" s="36">
        <v>46041</v>
      </c>
      <c r="C70" s="12">
        <f t="shared" si="4"/>
        <v>225</v>
      </c>
      <c r="D70" s="38">
        <f t="shared" si="5"/>
        <v>1</v>
      </c>
      <c r="G70" s="14" t="s">
        <v>344</v>
      </c>
      <c r="H70" s="12" t="s">
        <v>4645</v>
      </c>
      <c r="I70" s="12">
        <v>331</v>
      </c>
      <c r="J70" s="12">
        <v>1111</v>
      </c>
      <c r="K70" s="12" t="s">
        <v>20</v>
      </c>
      <c r="L70" s="12">
        <v>1</v>
      </c>
      <c r="M70" s="17">
        <v>29000</v>
      </c>
      <c r="N70" s="17">
        <f t="shared" si="6"/>
        <v>29000</v>
      </c>
      <c r="P70" s="12">
        <f t="shared" si="7"/>
        <v>94</v>
      </c>
    </row>
    <row r="71" spans="1:16" ht="15" hidden="1" customHeight="1" x14ac:dyDescent="0.2">
      <c r="A71" s="12" t="s">
        <v>310</v>
      </c>
      <c r="B71" s="36">
        <v>46041</v>
      </c>
      <c r="C71" s="12">
        <f t="shared" si="4"/>
        <v>226</v>
      </c>
      <c r="D71" s="38">
        <f t="shared" si="5"/>
        <v>1</v>
      </c>
      <c r="G71" s="14" t="s">
        <v>1910</v>
      </c>
      <c r="H71" s="12" t="s">
        <v>4646</v>
      </c>
      <c r="I71" s="12">
        <v>331</v>
      </c>
      <c r="J71" s="12">
        <v>1111</v>
      </c>
      <c r="K71" s="12" t="s">
        <v>20</v>
      </c>
      <c r="L71" s="12">
        <v>1</v>
      </c>
      <c r="M71" s="17">
        <v>410400</v>
      </c>
      <c r="N71" s="17">
        <f t="shared" si="6"/>
        <v>410400</v>
      </c>
      <c r="P71" s="12">
        <f t="shared" si="7"/>
        <v>81</v>
      </c>
    </row>
    <row r="72" spans="1:16" ht="15" hidden="1" customHeight="1" x14ac:dyDescent="0.2">
      <c r="A72" s="12" t="s">
        <v>310</v>
      </c>
      <c r="B72" s="36">
        <v>46043</v>
      </c>
      <c r="C72" s="12">
        <f t="shared" si="4"/>
        <v>227</v>
      </c>
      <c r="D72" s="38">
        <f t="shared" si="5"/>
        <v>1</v>
      </c>
      <c r="G72" s="14" t="s">
        <v>344</v>
      </c>
      <c r="H72" s="12" t="s">
        <v>4647</v>
      </c>
      <c r="I72" s="12">
        <v>331</v>
      </c>
      <c r="J72" s="12">
        <v>1111</v>
      </c>
      <c r="K72" s="12" t="s">
        <v>20</v>
      </c>
      <c r="L72" s="12">
        <v>1</v>
      </c>
      <c r="M72" s="17">
        <v>25000</v>
      </c>
      <c r="N72" s="17">
        <f t="shared" si="6"/>
        <v>25000</v>
      </c>
      <c r="P72" s="12">
        <f t="shared" si="7"/>
        <v>94</v>
      </c>
    </row>
    <row r="73" spans="1:16" ht="15" hidden="1" customHeight="1" x14ac:dyDescent="0.2">
      <c r="A73" s="12" t="s">
        <v>310</v>
      </c>
      <c r="B73" s="36">
        <v>46044</v>
      </c>
      <c r="C73" s="12">
        <f t="shared" si="4"/>
        <v>228</v>
      </c>
      <c r="D73" s="38">
        <f t="shared" si="5"/>
        <v>1</v>
      </c>
      <c r="G73" s="14" t="s">
        <v>89</v>
      </c>
      <c r="H73" s="12" t="s">
        <v>4648</v>
      </c>
      <c r="I73" s="12">
        <v>331</v>
      </c>
      <c r="J73" s="12">
        <v>1111</v>
      </c>
      <c r="K73" s="12" t="s">
        <v>20</v>
      </c>
      <c r="L73" s="12">
        <v>1</v>
      </c>
      <c r="M73" s="17">
        <v>20000</v>
      </c>
      <c r="N73" s="17">
        <f t="shared" si="6"/>
        <v>20000</v>
      </c>
      <c r="P73" s="12">
        <f t="shared" si="7"/>
        <v>83</v>
      </c>
    </row>
    <row r="74" spans="1:16" ht="15" hidden="1" customHeight="1" x14ac:dyDescent="0.2">
      <c r="A74" s="12" t="s">
        <v>310</v>
      </c>
      <c r="B74" s="36">
        <v>46045</v>
      </c>
      <c r="C74" s="12">
        <f t="shared" si="4"/>
        <v>229</v>
      </c>
      <c r="D74" s="38">
        <f t="shared" si="5"/>
        <v>1</v>
      </c>
      <c r="G74" s="14" t="s">
        <v>25</v>
      </c>
      <c r="H74" s="12" t="s">
        <v>4649</v>
      </c>
      <c r="I74" s="12">
        <v>331</v>
      </c>
      <c r="J74" s="12">
        <v>1111</v>
      </c>
      <c r="K74" s="12" t="s">
        <v>20</v>
      </c>
      <c r="L74" s="12">
        <v>1</v>
      </c>
      <c r="M74" s="17">
        <v>729000</v>
      </c>
      <c r="N74" s="17">
        <f t="shared" si="6"/>
        <v>729000</v>
      </c>
      <c r="P74" s="12">
        <f t="shared" si="7"/>
        <v>118</v>
      </c>
    </row>
    <row r="75" spans="1:16" ht="15" hidden="1" customHeight="1" x14ac:dyDescent="0.2">
      <c r="A75" s="12" t="s">
        <v>310</v>
      </c>
      <c r="B75" s="36">
        <v>46050</v>
      </c>
      <c r="C75" s="12">
        <f t="shared" si="4"/>
        <v>230</v>
      </c>
      <c r="D75" s="38">
        <f t="shared" si="5"/>
        <v>1</v>
      </c>
      <c r="G75" s="14" t="s">
        <v>89</v>
      </c>
      <c r="H75" s="12" t="s">
        <v>4650</v>
      </c>
      <c r="I75" s="12">
        <v>331</v>
      </c>
      <c r="J75" s="12">
        <v>1111</v>
      </c>
      <c r="K75" s="12" t="s">
        <v>20</v>
      </c>
      <c r="L75" s="12">
        <v>1</v>
      </c>
      <c r="M75" s="17">
        <v>13000</v>
      </c>
      <c r="N75" s="17">
        <f t="shared" si="6"/>
        <v>13000</v>
      </c>
      <c r="P75" s="12">
        <f t="shared" si="7"/>
        <v>83</v>
      </c>
    </row>
    <row r="76" spans="1:16" ht="15" hidden="1" customHeight="1" x14ac:dyDescent="0.2">
      <c r="A76" s="12" t="s">
        <v>310</v>
      </c>
      <c r="B76" s="36">
        <v>46051</v>
      </c>
      <c r="C76" s="12">
        <f t="shared" si="4"/>
        <v>231</v>
      </c>
      <c r="D76" s="38">
        <f t="shared" si="5"/>
        <v>1</v>
      </c>
      <c r="G76" s="14" t="s">
        <v>344</v>
      </c>
      <c r="H76" s="12" t="s">
        <v>4651</v>
      </c>
      <c r="I76" s="12">
        <v>331</v>
      </c>
      <c r="J76" s="12">
        <v>1111</v>
      </c>
      <c r="K76" s="12" t="s">
        <v>20</v>
      </c>
      <c r="L76" s="12">
        <v>1</v>
      </c>
      <c r="M76" s="17">
        <v>198000</v>
      </c>
      <c r="N76" s="17">
        <f t="shared" si="6"/>
        <v>198000</v>
      </c>
      <c r="P76" s="12">
        <f t="shared" si="7"/>
        <v>94</v>
      </c>
    </row>
    <row r="77" spans="1:16" ht="15" hidden="1" customHeight="1" x14ac:dyDescent="0.2">
      <c r="A77" s="12" t="s">
        <v>310</v>
      </c>
      <c r="B77" s="36">
        <v>46052</v>
      </c>
      <c r="C77" s="12">
        <f t="shared" si="4"/>
        <v>232</v>
      </c>
      <c r="D77" s="38">
        <f t="shared" si="5"/>
        <v>1</v>
      </c>
      <c r="G77" s="14" t="s">
        <v>344</v>
      </c>
      <c r="H77" s="12" t="s">
        <v>4652</v>
      </c>
      <c r="I77" s="12">
        <v>331</v>
      </c>
      <c r="J77" s="12">
        <v>1111</v>
      </c>
      <c r="K77" s="12" t="s">
        <v>20</v>
      </c>
      <c r="L77" s="12">
        <v>1</v>
      </c>
      <c r="M77" s="17">
        <v>36000</v>
      </c>
      <c r="N77" s="17">
        <f t="shared" si="6"/>
        <v>36000</v>
      </c>
      <c r="P77" s="12">
        <f t="shared" si="7"/>
        <v>94</v>
      </c>
    </row>
    <row r="78" spans="1:16" ht="15" hidden="1" customHeight="1" x14ac:dyDescent="0.2">
      <c r="A78" s="12" t="s">
        <v>310</v>
      </c>
      <c r="B78" s="36">
        <v>46052</v>
      </c>
      <c r="C78" s="12">
        <f t="shared" si="4"/>
        <v>233</v>
      </c>
      <c r="D78" s="38">
        <f t="shared" si="5"/>
        <v>1</v>
      </c>
      <c r="G78" s="14" t="s">
        <v>89</v>
      </c>
      <c r="H78" s="12" t="s">
        <v>4653</v>
      </c>
      <c r="I78" s="12">
        <v>331</v>
      </c>
      <c r="J78" s="12">
        <v>1111</v>
      </c>
      <c r="K78" s="12" t="s">
        <v>20</v>
      </c>
      <c r="L78" s="12">
        <v>1</v>
      </c>
      <c r="M78" s="17">
        <v>125000</v>
      </c>
      <c r="N78" s="17">
        <f t="shared" si="6"/>
        <v>125000</v>
      </c>
      <c r="P78" s="12">
        <f t="shared" si="7"/>
        <v>83</v>
      </c>
    </row>
    <row r="79" spans="1:16" ht="15" hidden="1" customHeight="1" x14ac:dyDescent="0.2">
      <c r="A79" s="12" t="s">
        <v>310</v>
      </c>
      <c r="B79" s="36">
        <v>46053</v>
      </c>
      <c r="C79" s="12">
        <f t="shared" si="4"/>
        <v>234</v>
      </c>
      <c r="D79" s="38">
        <f t="shared" si="5"/>
        <v>1</v>
      </c>
      <c r="G79" s="14" t="s">
        <v>344</v>
      </c>
      <c r="H79" s="12" t="s">
        <v>4654</v>
      </c>
      <c r="I79" s="12">
        <v>331</v>
      </c>
      <c r="J79" s="12">
        <v>1111</v>
      </c>
      <c r="K79" s="12" t="s">
        <v>20</v>
      </c>
      <c r="L79" s="12">
        <v>1</v>
      </c>
      <c r="M79" s="17">
        <v>25000</v>
      </c>
      <c r="N79" s="17">
        <f t="shared" si="6"/>
        <v>25000</v>
      </c>
      <c r="P79" s="12">
        <f t="shared" si="7"/>
        <v>94</v>
      </c>
    </row>
    <row r="80" spans="1:16" ht="15" hidden="1" customHeight="1" x14ac:dyDescent="0.2">
      <c r="A80" s="12" t="s">
        <v>310</v>
      </c>
      <c r="B80" s="36">
        <v>46054</v>
      </c>
      <c r="C80" s="12">
        <f t="shared" si="4"/>
        <v>235</v>
      </c>
      <c r="D80" s="38">
        <f t="shared" si="5"/>
        <v>1</v>
      </c>
      <c r="G80" s="14" t="s">
        <v>25</v>
      </c>
      <c r="H80" s="12" t="s">
        <v>4655</v>
      </c>
      <c r="I80" s="12">
        <v>331</v>
      </c>
      <c r="J80" s="12">
        <v>1111</v>
      </c>
      <c r="K80" s="12" t="s">
        <v>20</v>
      </c>
      <c r="L80" s="12">
        <v>1</v>
      </c>
      <c r="M80" s="17">
        <v>576936</v>
      </c>
      <c r="N80" s="17">
        <f t="shared" si="6"/>
        <v>576936</v>
      </c>
      <c r="P80" s="12">
        <f t="shared" si="7"/>
        <v>157</v>
      </c>
    </row>
    <row r="81" spans="1:16" ht="15" hidden="1" customHeight="1" x14ac:dyDescent="0.2">
      <c r="A81" s="12" t="s">
        <v>310</v>
      </c>
      <c r="B81" s="36">
        <v>46054</v>
      </c>
      <c r="C81" s="12">
        <f t="shared" si="4"/>
        <v>236</v>
      </c>
      <c r="D81" s="38">
        <f t="shared" si="5"/>
        <v>1</v>
      </c>
      <c r="G81" s="14" t="s">
        <v>344</v>
      </c>
      <c r="H81" s="12" t="s">
        <v>4656</v>
      </c>
      <c r="I81" s="12">
        <v>331</v>
      </c>
      <c r="J81" s="12">
        <v>1111</v>
      </c>
      <c r="K81" s="12" t="s">
        <v>20</v>
      </c>
      <c r="L81" s="12">
        <v>1</v>
      </c>
      <c r="M81" s="17">
        <v>34000</v>
      </c>
      <c r="N81" s="17">
        <f t="shared" si="6"/>
        <v>34000</v>
      </c>
      <c r="P81" s="12">
        <f t="shared" si="7"/>
        <v>94</v>
      </c>
    </row>
    <row r="82" spans="1:16" ht="15" hidden="1" customHeight="1" x14ac:dyDescent="0.2">
      <c r="A82" s="12" t="s">
        <v>310</v>
      </c>
      <c r="B82" s="36">
        <v>46055</v>
      </c>
      <c r="C82" s="12">
        <f t="shared" si="4"/>
        <v>237</v>
      </c>
      <c r="D82" s="38">
        <f t="shared" si="5"/>
        <v>1</v>
      </c>
      <c r="G82" s="14" t="s">
        <v>344</v>
      </c>
      <c r="H82" s="12" t="s">
        <v>4657</v>
      </c>
      <c r="I82" s="12">
        <v>331</v>
      </c>
      <c r="J82" s="12">
        <v>1111</v>
      </c>
      <c r="K82" s="12" t="s">
        <v>20</v>
      </c>
      <c r="L82" s="12">
        <v>1</v>
      </c>
      <c r="M82" s="17">
        <v>38000</v>
      </c>
      <c r="N82" s="17">
        <f t="shared" si="6"/>
        <v>38000</v>
      </c>
      <c r="P82" s="12">
        <f t="shared" si="7"/>
        <v>95</v>
      </c>
    </row>
    <row r="83" spans="1:16" ht="15" hidden="1" customHeight="1" x14ac:dyDescent="0.2">
      <c r="A83" s="12" t="s">
        <v>310</v>
      </c>
      <c r="B83" s="36">
        <v>46056</v>
      </c>
      <c r="C83" s="12">
        <f t="shared" si="4"/>
        <v>238</v>
      </c>
      <c r="D83" s="38">
        <f t="shared" si="5"/>
        <v>1</v>
      </c>
      <c r="G83" s="14" t="s">
        <v>344</v>
      </c>
      <c r="H83" s="12" t="s">
        <v>4658</v>
      </c>
      <c r="I83" s="12">
        <v>331</v>
      </c>
      <c r="J83" s="12">
        <v>1111</v>
      </c>
      <c r="K83" s="12" t="s">
        <v>20</v>
      </c>
      <c r="L83" s="12">
        <v>1</v>
      </c>
      <c r="M83" s="17">
        <v>30000</v>
      </c>
      <c r="N83" s="17">
        <f t="shared" si="6"/>
        <v>30000</v>
      </c>
      <c r="P83" s="12">
        <f t="shared" si="7"/>
        <v>95</v>
      </c>
    </row>
    <row r="84" spans="1:16" ht="15" hidden="1" customHeight="1" x14ac:dyDescent="0.2">
      <c r="A84" s="12" t="s">
        <v>310</v>
      </c>
      <c r="B84" s="36">
        <v>46056</v>
      </c>
      <c r="C84" s="12">
        <f t="shared" si="4"/>
        <v>239</v>
      </c>
      <c r="D84" s="38">
        <f t="shared" si="5"/>
        <v>1</v>
      </c>
      <c r="G84" s="14" t="s">
        <v>35</v>
      </c>
      <c r="H84" s="12" t="s">
        <v>4659</v>
      </c>
      <c r="I84" s="12">
        <v>331</v>
      </c>
      <c r="J84" s="12">
        <v>1111</v>
      </c>
      <c r="K84" s="12" t="s">
        <v>20</v>
      </c>
      <c r="L84" s="12">
        <v>1</v>
      </c>
      <c r="M84" s="17">
        <v>3240000</v>
      </c>
      <c r="N84" s="17">
        <f t="shared" si="6"/>
        <v>3240000</v>
      </c>
      <c r="P84" s="12">
        <f t="shared" si="7"/>
        <v>52</v>
      </c>
    </row>
    <row r="85" spans="1:16" ht="15" hidden="1" customHeight="1" x14ac:dyDescent="0.2">
      <c r="A85" s="12" t="s">
        <v>310</v>
      </c>
      <c r="B85" s="36">
        <v>46060</v>
      </c>
      <c r="C85" s="12">
        <f t="shared" si="4"/>
        <v>240</v>
      </c>
      <c r="D85" s="38">
        <f t="shared" si="5"/>
        <v>1</v>
      </c>
      <c r="G85" s="14" t="s">
        <v>344</v>
      </c>
      <c r="H85" s="12" t="s">
        <v>4660</v>
      </c>
      <c r="I85" s="12">
        <v>331</v>
      </c>
      <c r="J85" s="12">
        <v>1111</v>
      </c>
      <c r="K85" s="12" t="s">
        <v>20</v>
      </c>
      <c r="L85" s="12">
        <v>1</v>
      </c>
      <c r="M85" s="17">
        <v>94000</v>
      </c>
      <c r="N85" s="17">
        <f t="shared" si="6"/>
        <v>94000</v>
      </c>
      <c r="P85" s="12">
        <f t="shared" si="7"/>
        <v>95</v>
      </c>
    </row>
    <row r="86" spans="1:16" ht="15" hidden="1" customHeight="1" x14ac:dyDescent="0.2">
      <c r="A86" s="12" t="s">
        <v>310</v>
      </c>
      <c r="B86" s="36">
        <v>46060</v>
      </c>
      <c r="C86" s="12">
        <f t="shared" si="4"/>
        <v>241</v>
      </c>
      <c r="D86" s="38">
        <f t="shared" si="5"/>
        <v>1</v>
      </c>
      <c r="G86" s="14" t="s">
        <v>344</v>
      </c>
      <c r="H86" s="12" t="s">
        <v>4661</v>
      </c>
      <c r="I86" s="12">
        <v>331</v>
      </c>
      <c r="J86" s="12">
        <v>1111</v>
      </c>
      <c r="K86" s="12" t="s">
        <v>20</v>
      </c>
      <c r="L86" s="12">
        <v>1</v>
      </c>
      <c r="M86" s="17">
        <v>43000</v>
      </c>
      <c r="N86" s="17">
        <f t="shared" si="6"/>
        <v>43000</v>
      </c>
      <c r="P86" s="12">
        <f t="shared" si="7"/>
        <v>95</v>
      </c>
    </row>
    <row r="87" spans="1:16" ht="15" hidden="1" customHeight="1" x14ac:dyDescent="0.2">
      <c r="A87" s="12" t="s">
        <v>310</v>
      </c>
      <c r="B87" s="36">
        <v>46061</v>
      </c>
      <c r="C87" s="12">
        <f t="shared" si="4"/>
        <v>242</v>
      </c>
      <c r="D87" s="38">
        <f t="shared" si="5"/>
        <v>1</v>
      </c>
      <c r="G87" s="14" t="s">
        <v>344</v>
      </c>
      <c r="H87" s="12" t="s">
        <v>4662</v>
      </c>
      <c r="I87" s="12">
        <v>331</v>
      </c>
      <c r="J87" s="12">
        <v>1111</v>
      </c>
      <c r="K87" s="12" t="s">
        <v>20</v>
      </c>
      <c r="L87" s="12">
        <v>1</v>
      </c>
      <c r="M87" s="17">
        <v>66000</v>
      </c>
      <c r="N87" s="17">
        <f t="shared" si="6"/>
        <v>66000</v>
      </c>
      <c r="P87" s="12">
        <f t="shared" si="7"/>
        <v>95</v>
      </c>
    </row>
    <row r="88" spans="1:16" ht="15" hidden="1" customHeight="1" x14ac:dyDescent="0.2">
      <c r="A88" s="12" t="s">
        <v>310</v>
      </c>
      <c r="B88" s="36">
        <v>46061</v>
      </c>
      <c r="C88" s="12">
        <f t="shared" si="4"/>
        <v>243</v>
      </c>
      <c r="D88" s="38">
        <f t="shared" si="5"/>
        <v>1</v>
      </c>
      <c r="G88" s="14" t="s">
        <v>89</v>
      </c>
      <c r="H88" s="12" t="s">
        <v>4663</v>
      </c>
      <c r="I88" s="12">
        <v>331</v>
      </c>
      <c r="J88" s="12">
        <v>1111</v>
      </c>
      <c r="K88" s="12" t="s">
        <v>20</v>
      </c>
      <c r="L88" s="12">
        <v>1</v>
      </c>
      <c r="M88" s="17">
        <v>125000</v>
      </c>
      <c r="N88" s="17">
        <f t="shared" si="6"/>
        <v>125000</v>
      </c>
      <c r="P88" s="12">
        <f t="shared" si="7"/>
        <v>83</v>
      </c>
    </row>
    <row r="89" spans="1:16" ht="15" hidden="1" customHeight="1" x14ac:dyDescent="0.2">
      <c r="A89" s="12" t="s">
        <v>310</v>
      </c>
      <c r="B89" s="36">
        <v>46061</v>
      </c>
      <c r="C89" s="12">
        <f t="shared" si="4"/>
        <v>244</v>
      </c>
      <c r="D89" s="38">
        <f t="shared" si="5"/>
        <v>1</v>
      </c>
      <c r="G89" s="14" t="s">
        <v>1929</v>
      </c>
      <c r="H89" s="12" t="s">
        <v>4664</v>
      </c>
      <c r="I89" s="12">
        <v>331</v>
      </c>
      <c r="J89" s="12">
        <v>1111</v>
      </c>
      <c r="K89" s="12" t="s">
        <v>20</v>
      </c>
      <c r="L89" s="12">
        <v>1</v>
      </c>
      <c r="M89" s="17">
        <v>700000</v>
      </c>
      <c r="N89" s="17">
        <f t="shared" si="6"/>
        <v>700000</v>
      </c>
      <c r="P89" s="12">
        <f t="shared" si="7"/>
        <v>60</v>
      </c>
    </row>
    <row r="90" spans="1:16" ht="15" hidden="1" customHeight="1" x14ac:dyDescent="0.2">
      <c r="A90" s="12" t="s">
        <v>310</v>
      </c>
      <c r="B90" s="36">
        <v>46061</v>
      </c>
      <c r="C90" s="12">
        <f t="shared" si="4"/>
        <v>245</v>
      </c>
      <c r="D90" s="38">
        <f t="shared" si="5"/>
        <v>1</v>
      </c>
      <c r="G90" s="14" t="s">
        <v>1929</v>
      </c>
      <c r="H90" s="12" t="s">
        <v>4665</v>
      </c>
      <c r="I90" s="12">
        <v>331</v>
      </c>
      <c r="J90" s="12">
        <v>1111</v>
      </c>
      <c r="K90" s="12" t="s">
        <v>20</v>
      </c>
      <c r="L90" s="12">
        <v>1</v>
      </c>
      <c r="M90" s="17">
        <v>550000</v>
      </c>
      <c r="N90" s="17">
        <f t="shared" si="6"/>
        <v>550000</v>
      </c>
      <c r="P90" s="12">
        <f t="shared" si="7"/>
        <v>162</v>
      </c>
    </row>
    <row r="91" spans="1:16" ht="15" hidden="1" customHeight="1" x14ac:dyDescent="0.2">
      <c r="A91" s="12" t="s">
        <v>310</v>
      </c>
      <c r="B91" s="36">
        <v>46063</v>
      </c>
      <c r="C91" s="12">
        <f t="shared" si="4"/>
        <v>246</v>
      </c>
      <c r="D91" s="38">
        <f t="shared" si="5"/>
        <v>1</v>
      </c>
      <c r="G91" s="14" t="s">
        <v>1932</v>
      </c>
      <c r="H91" s="12" t="s">
        <v>4666</v>
      </c>
      <c r="I91" s="12">
        <v>331</v>
      </c>
      <c r="J91" s="12">
        <v>1111</v>
      </c>
      <c r="K91" s="12" t="s">
        <v>20</v>
      </c>
      <c r="L91" s="12">
        <v>1</v>
      </c>
      <c r="M91" s="17">
        <v>3857000</v>
      </c>
      <c r="N91" s="17">
        <f t="shared" si="6"/>
        <v>3857000</v>
      </c>
      <c r="P91" s="12">
        <f t="shared" si="7"/>
        <v>176</v>
      </c>
    </row>
    <row r="92" spans="1:16" ht="15" hidden="1" customHeight="1" x14ac:dyDescent="0.2">
      <c r="A92" s="12" t="s">
        <v>310</v>
      </c>
      <c r="B92" s="36">
        <v>46064</v>
      </c>
      <c r="C92" s="12">
        <f t="shared" si="4"/>
        <v>247</v>
      </c>
      <c r="D92" s="38">
        <f t="shared" si="5"/>
        <v>1</v>
      </c>
      <c r="G92" s="14" t="s">
        <v>1934</v>
      </c>
      <c r="H92" s="12" t="s">
        <v>4667</v>
      </c>
      <c r="I92" s="12">
        <v>331</v>
      </c>
      <c r="J92" s="12">
        <v>1111</v>
      </c>
      <c r="K92" s="12" t="s">
        <v>20</v>
      </c>
      <c r="L92" s="12">
        <v>1</v>
      </c>
      <c r="M92" s="17">
        <v>920000</v>
      </c>
      <c r="N92" s="17">
        <f t="shared" si="6"/>
        <v>920000</v>
      </c>
      <c r="P92" s="12">
        <f t="shared" si="7"/>
        <v>79</v>
      </c>
    </row>
    <row r="93" spans="1:16" ht="15" hidden="1" customHeight="1" x14ac:dyDescent="0.2">
      <c r="A93" s="12" t="s">
        <v>310</v>
      </c>
      <c r="B93" s="36">
        <v>46066</v>
      </c>
      <c r="C93" s="12">
        <f t="shared" si="4"/>
        <v>248</v>
      </c>
      <c r="D93" s="38">
        <f t="shared" si="5"/>
        <v>1</v>
      </c>
      <c r="G93" s="14" t="s">
        <v>25</v>
      </c>
      <c r="H93" s="12" t="s">
        <v>4668</v>
      </c>
      <c r="I93" s="12">
        <v>331</v>
      </c>
      <c r="J93" s="12">
        <v>1111</v>
      </c>
      <c r="K93" s="12" t="s">
        <v>20</v>
      </c>
      <c r="L93" s="12">
        <v>1</v>
      </c>
      <c r="M93" s="17">
        <v>371520</v>
      </c>
      <c r="N93" s="17">
        <f t="shared" si="6"/>
        <v>371520</v>
      </c>
      <c r="P93" s="12">
        <f t="shared" si="7"/>
        <v>127</v>
      </c>
    </row>
    <row r="94" spans="1:16" ht="15" hidden="1" customHeight="1" x14ac:dyDescent="0.2">
      <c r="A94" s="12" t="s">
        <v>310</v>
      </c>
      <c r="B94" s="36">
        <v>46066</v>
      </c>
      <c r="C94" s="12">
        <f t="shared" si="4"/>
        <v>249</v>
      </c>
      <c r="D94" s="38">
        <f t="shared" si="5"/>
        <v>1</v>
      </c>
      <c r="G94" s="14" t="s">
        <v>344</v>
      </c>
      <c r="H94" s="12" t="s">
        <v>4669</v>
      </c>
      <c r="I94" s="12">
        <v>331</v>
      </c>
      <c r="J94" s="12">
        <v>1111</v>
      </c>
      <c r="K94" s="12" t="s">
        <v>20</v>
      </c>
      <c r="L94" s="12">
        <v>1</v>
      </c>
      <c r="M94" s="17">
        <v>27000</v>
      </c>
      <c r="N94" s="17">
        <f t="shared" si="6"/>
        <v>27000</v>
      </c>
      <c r="P94" s="12">
        <f t="shared" si="7"/>
        <v>95</v>
      </c>
    </row>
    <row r="95" spans="1:16" ht="15" hidden="1" customHeight="1" x14ac:dyDescent="0.2">
      <c r="A95" s="12" t="s">
        <v>310</v>
      </c>
      <c r="B95" s="36">
        <v>46066</v>
      </c>
      <c r="C95" s="12">
        <f t="shared" si="4"/>
        <v>250</v>
      </c>
      <c r="D95" s="38">
        <f t="shared" si="5"/>
        <v>1</v>
      </c>
      <c r="G95" s="14" t="s">
        <v>344</v>
      </c>
      <c r="H95" s="12" t="s">
        <v>4670</v>
      </c>
      <c r="I95" s="12">
        <v>331</v>
      </c>
      <c r="J95" s="12">
        <v>1111</v>
      </c>
      <c r="K95" s="12" t="s">
        <v>20</v>
      </c>
      <c r="L95" s="12">
        <v>1</v>
      </c>
      <c r="M95" s="17">
        <v>47000</v>
      </c>
      <c r="N95" s="17">
        <f t="shared" si="6"/>
        <v>47000</v>
      </c>
      <c r="P95" s="12">
        <f t="shared" si="7"/>
        <v>95</v>
      </c>
    </row>
    <row r="96" spans="1:16" ht="15" hidden="1" customHeight="1" x14ac:dyDescent="0.2">
      <c r="A96" s="12" t="s">
        <v>310</v>
      </c>
      <c r="B96" s="36">
        <v>46067</v>
      </c>
      <c r="C96" s="12">
        <f t="shared" si="4"/>
        <v>251</v>
      </c>
      <c r="D96" s="38">
        <f t="shared" si="5"/>
        <v>1</v>
      </c>
      <c r="G96" s="14" t="s">
        <v>344</v>
      </c>
      <c r="H96" s="12" t="s">
        <v>4671</v>
      </c>
      <c r="I96" s="12">
        <v>331</v>
      </c>
      <c r="J96" s="12">
        <v>1111</v>
      </c>
      <c r="K96" s="12" t="s">
        <v>20</v>
      </c>
      <c r="L96" s="12">
        <v>1</v>
      </c>
      <c r="M96" s="17">
        <v>31000</v>
      </c>
      <c r="N96" s="17">
        <f t="shared" si="6"/>
        <v>31000</v>
      </c>
      <c r="P96" s="12">
        <f t="shared" si="7"/>
        <v>95</v>
      </c>
    </row>
    <row r="97" spans="1:16" ht="15" hidden="1" customHeight="1" x14ac:dyDescent="0.2">
      <c r="A97" s="12" t="s">
        <v>310</v>
      </c>
      <c r="B97" s="36">
        <v>46068</v>
      </c>
      <c r="C97" s="12">
        <f t="shared" si="4"/>
        <v>252</v>
      </c>
      <c r="D97" s="38">
        <f t="shared" si="5"/>
        <v>1</v>
      </c>
      <c r="G97" s="14" t="s">
        <v>344</v>
      </c>
      <c r="H97" s="12" t="s">
        <v>4672</v>
      </c>
      <c r="I97" s="12">
        <v>331</v>
      </c>
      <c r="J97" s="12">
        <v>1111</v>
      </c>
      <c r="K97" s="12" t="s">
        <v>20</v>
      </c>
      <c r="L97" s="12">
        <v>1</v>
      </c>
      <c r="M97" s="17">
        <v>53000</v>
      </c>
      <c r="N97" s="17">
        <f t="shared" si="6"/>
        <v>53000</v>
      </c>
      <c r="P97" s="12">
        <f t="shared" si="7"/>
        <v>95</v>
      </c>
    </row>
    <row r="98" spans="1:16" ht="15" hidden="1" customHeight="1" x14ac:dyDescent="0.2">
      <c r="A98" s="12" t="s">
        <v>310</v>
      </c>
      <c r="B98" s="36">
        <v>46071</v>
      </c>
      <c r="C98" s="12">
        <f t="shared" si="4"/>
        <v>253</v>
      </c>
      <c r="D98" s="38">
        <f t="shared" si="5"/>
        <v>1</v>
      </c>
      <c r="G98" s="14" t="s">
        <v>1941</v>
      </c>
      <c r="H98" s="12" t="s">
        <v>4673</v>
      </c>
      <c r="I98" s="12">
        <v>331</v>
      </c>
      <c r="J98" s="12">
        <v>1111</v>
      </c>
      <c r="K98" s="12" t="s">
        <v>20</v>
      </c>
      <c r="L98" s="12">
        <v>1</v>
      </c>
      <c r="M98" s="17">
        <v>1775180</v>
      </c>
      <c r="N98" s="17">
        <f t="shared" si="6"/>
        <v>1775180</v>
      </c>
      <c r="P98" s="12">
        <f t="shared" si="7"/>
        <v>187</v>
      </c>
    </row>
    <row r="99" spans="1:16" ht="15" hidden="1" customHeight="1" x14ac:dyDescent="0.2">
      <c r="A99" s="12" t="s">
        <v>310</v>
      </c>
      <c r="B99" s="36">
        <v>46077</v>
      </c>
      <c r="C99" s="12">
        <f t="shared" si="4"/>
        <v>254</v>
      </c>
      <c r="D99" s="38">
        <f t="shared" si="5"/>
        <v>1</v>
      </c>
      <c r="G99" s="14" t="s">
        <v>89</v>
      </c>
      <c r="H99" s="12" t="s">
        <v>4674</v>
      </c>
      <c r="I99" s="12">
        <v>331</v>
      </c>
      <c r="J99" s="12">
        <v>1111</v>
      </c>
      <c r="K99" s="12" t="s">
        <v>20</v>
      </c>
      <c r="L99" s="12">
        <v>1</v>
      </c>
      <c r="M99" s="17">
        <v>36000</v>
      </c>
      <c r="N99" s="17">
        <f t="shared" si="6"/>
        <v>36000</v>
      </c>
      <c r="P99" s="12">
        <f t="shared" si="7"/>
        <v>84</v>
      </c>
    </row>
    <row r="100" spans="1:16" ht="15" hidden="1" customHeight="1" x14ac:dyDescent="0.2">
      <c r="A100" s="12" t="s">
        <v>310</v>
      </c>
      <c r="B100" s="36">
        <v>46077</v>
      </c>
      <c r="C100" s="12">
        <f t="shared" si="4"/>
        <v>255</v>
      </c>
      <c r="D100" s="38">
        <f t="shared" si="5"/>
        <v>1</v>
      </c>
      <c r="G100" s="14" t="s">
        <v>1944</v>
      </c>
      <c r="H100" s="12" t="s">
        <v>4675</v>
      </c>
      <c r="I100" s="12">
        <v>331</v>
      </c>
      <c r="J100" s="12">
        <v>1111</v>
      </c>
      <c r="K100" s="12" t="s">
        <v>20</v>
      </c>
      <c r="L100" s="12">
        <v>1</v>
      </c>
      <c r="M100" s="17">
        <v>16954000</v>
      </c>
      <c r="N100" s="17">
        <f t="shared" si="6"/>
        <v>16954000</v>
      </c>
      <c r="P100" s="12">
        <f t="shared" si="7"/>
        <v>103</v>
      </c>
    </row>
    <row r="101" spans="1:16" ht="15" hidden="1" customHeight="1" x14ac:dyDescent="0.2">
      <c r="A101" s="12" t="s">
        <v>310</v>
      </c>
      <c r="B101" s="36">
        <v>46078</v>
      </c>
      <c r="C101" s="12">
        <f t="shared" si="4"/>
        <v>256</v>
      </c>
      <c r="D101" s="38">
        <f t="shared" si="5"/>
        <v>1</v>
      </c>
      <c r="G101" s="14" t="s">
        <v>1908</v>
      </c>
      <c r="H101" s="12" t="s">
        <v>4676</v>
      </c>
      <c r="I101" s="12">
        <v>331</v>
      </c>
      <c r="J101" s="12">
        <v>1111</v>
      </c>
      <c r="K101" s="12" t="s">
        <v>20</v>
      </c>
      <c r="L101" s="12">
        <v>1</v>
      </c>
      <c r="M101" s="17">
        <v>3311000</v>
      </c>
      <c r="N101" s="17">
        <f t="shared" si="6"/>
        <v>3311000</v>
      </c>
      <c r="P101" s="12">
        <f t="shared" si="7"/>
        <v>51</v>
      </c>
    </row>
    <row r="102" spans="1:16" ht="15" hidden="1" customHeight="1" x14ac:dyDescent="0.2">
      <c r="A102" s="12" t="s">
        <v>310</v>
      </c>
      <c r="B102" s="36">
        <v>46080</v>
      </c>
      <c r="C102" s="12">
        <f t="shared" si="4"/>
        <v>257</v>
      </c>
      <c r="D102" s="38">
        <f t="shared" si="5"/>
        <v>1</v>
      </c>
      <c r="G102" s="14" t="s">
        <v>89</v>
      </c>
      <c r="H102" s="12" t="s">
        <v>4677</v>
      </c>
      <c r="I102" s="12">
        <v>331</v>
      </c>
      <c r="J102" s="12">
        <v>1111</v>
      </c>
      <c r="K102" s="12" t="s">
        <v>20</v>
      </c>
      <c r="L102" s="12">
        <v>1</v>
      </c>
      <c r="M102" s="17">
        <v>13000</v>
      </c>
      <c r="N102" s="17">
        <f t="shared" si="6"/>
        <v>13000</v>
      </c>
      <c r="P102" s="12">
        <f t="shared" si="7"/>
        <v>83</v>
      </c>
    </row>
    <row r="103" spans="1:16" ht="15" hidden="1" customHeight="1" x14ac:dyDescent="0.2">
      <c r="A103" s="12" t="s">
        <v>310</v>
      </c>
      <c r="B103" s="36">
        <v>46082</v>
      </c>
      <c r="C103" s="12">
        <f t="shared" si="4"/>
        <v>258</v>
      </c>
      <c r="D103" s="38">
        <f t="shared" si="5"/>
        <v>1</v>
      </c>
      <c r="G103" s="14" t="s">
        <v>347</v>
      </c>
      <c r="H103" s="12" t="s">
        <v>4678</v>
      </c>
      <c r="I103" s="12">
        <v>331</v>
      </c>
      <c r="J103" s="12">
        <v>1111</v>
      </c>
      <c r="K103" s="12" t="s">
        <v>20</v>
      </c>
      <c r="L103" s="12">
        <v>1</v>
      </c>
      <c r="M103" s="17">
        <v>1068120</v>
      </c>
      <c r="N103" s="17">
        <f t="shared" si="6"/>
        <v>1068120</v>
      </c>
      <c r="P103" s="12">
        <f t="shared" si="7"/>
        <v>178</v>
      </c>
    </row>
    <row r="104" spans="1:16" ht="15" hidden="1" customHeight="1" x14ac:dyDescent="0.2">
      <c r="A104" s="12" t="s">
        <v>310</v>
      </c>
      <c r="B104" s="13">
        <v>46086</v>
      </c>
      <c r="C104" s="12">
        <f t="shared" si="4"/>
        <v>259</v>
      </c>
      <c r="D104" s="38">
        <f t="shared" si="5"/>
        <v>1</v>
      </c>
      <c r="G104" s="14" t="s">
        <v>1908</v>
      </c>
      <c r="H104" s="12" t="s">
        <v>4679</v>
      </c>
      <c r="I104" s="12">
        <v>331</v>
      </c>
      <c r="J104" s="12">
        <v>1111</v>
      </c>
      <c r="K104" s="12" t="s">
        <v>20</v>
      </c>
      <c r="L104" s="12">
        <v>1</v>
      </c>
      <c r="M104" s="17">
        <v>1934000</v>
      </c>
      <c r="N104" s="17">
        <f t="shared" si="6"/>
        <v>1934000</v>
      </c>
      <c r="P104" s="12">
        <f t="shared" si="7"/>
        <v>51</v>
      </c>
    </row>
    <row r="105" spans="1:16" ht="15" hidden="1" customHeight="1" x14ac:dyDescent="0.2">
      <c r="A105" s="12" t="s">
        <v>310</v>
      </c>
      <c r="B105" s="13">
        <v>46086</v>
      </c>
      <c r="C105" s="12">
        <f t="shared" si="4"/>
        <v>260</v>
      </c>
      <c r="D105" s="38">
        <f t="shared" si="5"/>
        <v>1</v>
      </c>
      <c r="G105" s="14" t="s">
        <v>25</v>
      </c>
      <c r="H105" s="12" t="s">
        <v>4680</v>
      </c>
      <c r="I105" s="12">
        <v>331</v>
      </c>
      <c r="J105" s="12">
        <v>1111</v>
      </c>
      <c r="K105" s="12" t="s">
        <v>20</v>
      </c>
      <c r="L105" s="12">
        <v>1</v>
      </c>
      <c r="M105" s="17">
        <v>713880</v>
      </c>
      <c r="N105" s="17">
        <f t="shared" si="6"/>
        <v>713880</v>
      </c>
      <c r="P105" s="12">
        <f t="shared" si="7"/>
        <v>147</v>
      </c>
    </row>
    <row r="106" spans="1:16" ht="15" hidden="1" customHeight="1" x14ac:dyDescent="0.2">
      <c r="A106" s="12" t="s">
        <v>310</v>
      </c>
      <c r="B106" s="13">
        <v>46088</v>
      </c>
      <c r="C106" s="12">
        <f t="shared" si="4"/>
        <v>261</v>
      </c>
      <c r="D106" s="38">
        <f t="shared" si="5"/>
        <v>1</v>
      </c>
      <c r="G106" s="14" t="s">
        <v>30</v>
      </c>
      <c r="H106" s="12" t="s">
        <v>4681</v>
      </c>
      <c r="I106" s="12">
        <v>331</v>
      </c>
      <c r="J106" s="12">
        <v>1111</v>
      </c>
      <c r="K106" s="12" t="s">
        <v>20</v>
      </c>
      <c r="L106" s="12">
        <v>1</v>
      </c>
      <c r="M106" s="17">
        <v>2199000</v>
      </c>
      <c r="N106" s="17">
        <f t="shared" si="6"/>
        <v>2199000</v>
      </c>
      <c r="P106" s="12">
        <f t="shared" si="7"/>
        <v>41</v>
      </c>
    </row>
    <row r="107" spans="1:16" ht="15" hidden="1" customHeight="1" x14ac:dyDescent="0.2">
      <c r="A107" s="12" t="s">
        <v>310</v>
      </c>
      <c r="B107" s="13">
        <v>46088</v>
      </c>
      <c r="C107" s="12">
        <f t="shared" si="4"/>
        <v>262</v>
      </c>
      <c r="D107" s="38">
        <f t="shared" si="5"/>
        <v>1</v>
      </c>
      <c r="G107" s="14" t="s">
        <v>95</v>
      </c>
      <c r="H107" s="12" t="s">
        <v>4682</v>
      </c>
      <c r="I107" s="12">
        <v>331</v>
      </c>
      <c r="J107" s="12">
        <v>1111</v>
      </c>
      <c r="K107" s="12" t="s">
        <v>20</v>
      </c>
      <c r="L107" s="12">
        <v>1</v>
      </c>
      <c r="M107" s="17">
        <v>219240</v>
      </c>
      <c r="N107" s="17">
        <f t="shared" si="6"/>
        <v>219240</v>
      </c>
      <c r="P107" s="12">
        <f t="shared" si="7"/>
        <v>163</v>
      </c>
    </row>
    <row r="108" spans="1:16" ht="15" hidden="1" customHeight="1" x14ac:dyDescent="0.2">
      <c r="A108" s="12" t="s">
        <v>310</v>
      </c>
      <c r="B108" s="13">
        <v>46088</v>
      </c>
      <c r="C108" s="12">
        <f t="shared" si="4"/>
        <v>263</v>
      </c>
      <c r="D108" s="38">
        <f t="shared" si="5"/>
        <v>1</v>
      </c>
      <c r="G108" s="14" t="s">
        <v>1951</v>
      </c>
      <c r="H108" s="12" t="s">
        <v>4683</v>
      </c>
      <c r="I108" s="12">
        <v>331</v>
      </c>
      <c r="J108" s="12">
        <v>1111</v>
      </c>
      <c r="K108" s="12" t="s">
        <v>20</v>
      </c>
      <c r="L108" s="12">
        <v>1</v>
      </c>
      <c r="M108" s="17">
        <v>1347005</v>
      </c>
      <c r="N108" s="17">
        <f t="shared" si="6"/>
        <v>1347005</v>
      </c>
      <c r="P108" s="12">
        <f t="shared" si="7"/>
        <v>51</v>
      </c>
    </row>
    <row r="109" spans="1:16" ht="15" hidden="1" customHeight="1" x14ac:dyDescent="0.2">
      <c r="A109" s="12" t="s">
        <v>310</v>
      </c>
      <c r="B109" s="13">
        <v>46089</v>
      </c>
      <c r="C109" s="12">
        <f t="shared" si="4"/>
        <v>264</v>
      </c>
      <c r="D109" s="38">
        <f t="shared" si="5"/>
        <v>1</v>
      </c>
      <c r="G109" s="14" t="s">
        <v>35</v>
      </c>
      <c r="H109" s="12" t="s">
        <v>4684</v>
      </c>
      <c r="I109" s="12">
        <v>331</v>
      </c>
      <c r="J109" s="12">
        <v>1111</v>
      </c>
      <c r="K109" s="12" t="s">
        <v>20</v>
      </c>
      <c r="L109" s="12">
        <v>1</v>
      </c>
      <c r="M109" s="17">
        <v>3240000</v>
      </c>
      <c r="N109" s="17">
        <f t="shared" si="6"/>
        <v>3240000</v>
      </c>
      <c r="P109" s="12">
        <f t="shared" si="7"/>
        <v>52</v>
      </c>
    </row>
    <row r="110" spans="1:16" ht="15" hidden="1" customHeight="1" x14ac:dyDescent="0.2">
      <c r="A110" s="12" t="s">
        <v>310</v>
      </c>
      <c r="B110" s="13">
        <v>46092</v>
      </c>
      <c r="C110" s="12">
        <f t="shared" si="4"/>
        <v>265</v>
      </c>
      <c r="D110" s="38">
        <f t="shared" si="5"/>
        <v>1</v>
      </c>
      <c r="G110" s="14" t="s">
        <v>347</v>
      </c>
      <c r="H110" s="12" t="s">
        <v>4685</v>
      </c>
      <c r="I110" s="12">
        <v>331</v>
      </c>
      <c r="J110" s="12">
        <v>1111</v>
      </c>
      <c r="K110" s="12" t="s">
        <v>20</v>
      </c>
      <c r="L110" s="12">
        <v>1</v>
      </c>
      <c r="M110" s="17">
        <v>588600</v>
      </c>
      <c r="N110" s="17">
        <f t="shared" si="6"/>
        <v>588600</v>
      </c>
      <c r="P110" s="12">
        <f t="shared" si="7"/>
        <v>114</v>
      </c>
    </row>
    <row r="111" spans="1:16" ht="15" hidden="1" customHeight="1" x14ac:dyDescent="0.2">
      <c r="A111" s="12" t="s">
        <v>310</v>
      </c>
      <c r="B111" s="13">
        <v>46094</v>
      </c>
      <c r="C111" s="12">
        <f t="shared" si="4"/>
        <v>266</v>
      </c>
      <c r="D111" s="38">
        <f t="shared" si="5"/>
        <v>1</v>
      </c>
      <c r="G111" s="14" t="s">
        <v>25</v>
      </c>
      <c r="H111" s="12" t="s">
        <v>4686</v>
      </c>
      <c r="I111" s="12">
        <v>331</v>
      </c>
      <c r="J111" s="12">
        <v>1111</v>
      </c>
      <c r="K111" s="12" t="s">
        <v>20</v>
      </c>
      <c r="L111" s="12">
        <v>1</v>
      </c>
      <c r="M111" s="17">
        <v>1351083</v>
      </c>
      <c r="N111" s="17">
        <f t="shared" si="6"/>
        <v>1351083</v>
      </c>
      <c r="P111" s="12">
        <f t="shared" si="7"/>
        <v>111</v>
      </c>
    </row>
    <row r="112" spans="1:16" ht="15" hidden="1" customHeight="1" x14ac:dyDescent="0.2">
      <c r="A112" s="12" t="s">
        <v>310</v>
      </c>
      <c r="B112" s="13">
        <v>46103</v>
      </c>
      <c r="C112" s="12">
        <f t="shared" si="4"/>
        <v>267</v>
      </c>
      <c r="D112" s="38">
        <f t="shared" si="5"/>
        <v>1</v>
      </c>
      <c r="G112" s="14" t="s">
        <v>25</v>
      </c>
      <c r="H112" s="12" t="s">
        <v>4687</v>
      </c>
      <c r="I112" s="12">
        <v>331</v>
      </c>
      <c r="J112" s="12">
        <v>1111</v>
      </c>
      <c r="K112" s="12" t="s">
        <v>20</v>
      </c>
      <c r="L112" s="12">
        <v>1</v>
      </c>
      <c r="M112" s="17">
        <v>852120</v>
      </c>
      <c r="N112" s="17">
        <f t="shared" si="6"/>
        <v>852120</v>
      </c>
      <c r="P112" s="12">
        <f t="shared" si="7"/>
        <v>54</v>
      </c>
    </row>
    <row r="113" spans="1:16" ht="15" hidden="1" customHeight="1" x14ac:dyDescent="0.2">
      <c r="A113" s="12" t="s">
        <v>310</v>
      </c>
      <c r="B113" s="13">
        <v>46105</v>
      </c>
      <c r="C113" s="12">
        <f t="shared" si="4"/>
        <v>268</v>
      </c>
      <c r="D113" s="38">
        <f t="shared" si="5"/>
        <v>1</v>
      </c>
      <c r="G113" s="14" t="s">
        <v>89</v>
      </c>
      <c r="H113" s="12" t="s">
        <v>4688</v>
      </c>
      <c r="I113" s="12">
        <v>331</v>
      </c>
      <c r="J113" s="12">
        <v>1111</v>
      </c>
      <c r="K113" s="12" t="s">
        <v>20</v>
      </c>
      <c r="L113" s="12">
        <v>1</v>
      </c>
      <c r="M113" s="17">
        <v>13000</v>
      </c>
      <c r="N113" s="17">
        <f t="shared" si="6"/>
        <v>13000</v>
      </c>
      <c r="P113" s="12">
        <f t="shared" si="7"/>
        <v>83</v>
      </c>
    </row>
    <row r="114" spans="1:16" ht="15" hidden="1" customHeight="1" x14ac:dyDescent="0.2">
      <c r="A114" s="12" t="s">
        <v>310</v>
      </c>
      <c r="B114" s="13">
        <v>46106</v>
      </c>
      <c r="C114" s="12">
        <f t="shared" si="4"/>
        <v>269</v>
      </c>
      <c r="D114" s="38">
        <f t="shared" si="5"/>
        <v>1</v>
      </c>
      <c r="G114" s="14" t="s">
        <v>1956</v>
      </c>
      <c r="H114" s="12" t="s">
        <v>4689</v>
      </c>
      <c r="I114" s="12">
        <v>331</v>
      </c>
      <c r="J114" s="12">
        <v>1111</v>
      </c>
      <c r="K114" s="12" t="s">
        <v>20</v>
      </c>
      <c r="L114" s="12">
        <v>1</v>
      </c>
      <c r="M114" s="17">
        <v>1215810</v>
      </c>
      <c r="N114" s="17">
        <f t="shared" si="6"/>
        <v>1215810</v>
      </c>
      <c r="P114" s="12">
        <f t="shared" si="7"/>
        <v>53</v>
      </c>
    </row>
    <row r="115" spans="1:16" ht="15" hidden="1" customHeight="1" x14ac:dyDescent="0.2">
      <c r="A115" s="12" t="s">
        <v>310</v>
      </c>
      <c r="B115" s="13">
        <v>46106</v>
      </c>
      <c r="C115" s="12">
        <f t="shared" si="4"/>
        <v>270</v>
      </c>
      <c r="D115" s="38">
        <f t="shared" si="5"/>
        <v>1</v>
      </c>
      <c r="G115" s="14" t="s">
        <v>1956</v>
      </c>
      <c r="H115" s="12" t="s">
        <v>4690</v>
      </c>
      <c r="I115" s="12">
        <v>331</v>
      </c>
      <c r="J115" s="12">
        <v>1111</v>
      </c>
      <c r="K115" s="12" t="s">
        <v>20</v>
      </c>
      <c r="L115" s="12">
        <v>1</v>
      </c>
      <c r="M115" s="17">
        <v>61655</v>
      </c>
      <c r="N115" s="17">
        <f t="shared" si="6"/>
        <v>61655</v>
      </c>
      <c r="P115" s="12">
        <f t="shared" si="7"/>
        <v>74</v>
      </c>
    </row>
    <row r="116" spans="1:16" ht="15" hidden="1" customHeight="1" x14ac:dyDescent="0.2">
      <c r="A116" s="12" t="s">
        <v>310</v>
      </c>
      <c r="B116" s="13">
        <v>46108</v>
      </c>
      <c r="C116" s="12">
        <f t="shared" si="4"/>
        <v>271</v>
      </c>
      <c r="D116" s="38">
        <f t="shared" si="5"/>
        <v>1</v>
      </c>
      <c r="G116" s="14" t="s">
        <v>89</v>
      </c>
      <c r="H116" s="12" t="s">
        <v>4691</v>
      </c>
      <c r="I116" s="12">
        <v>331</v>
      </c>
      <c r="J116" s="12">
        <v>1111</v>
      </c>
      <c r="K116" s="12" t="s">
        <v>20</v>
      </c>
      <c r="L116" s="12">
        <v>1</v>
      </c>
      <c r="M116" s="17">
        <v>125000</v>
      </c>
      <c r="N116" s="17">
        <f t="shared" si="6"/>
        <v>125000</v>
      </c>
      <c r="P116" s="12">
        <f t="shared" si="7"/>
        <v>83</v>
      </c>
    </row>
    <row r="117" spans="1:16" ht="15" hidden="1" customHeight="1" x14ac:dyDescent="0.2">
      <c r="A117" s="12" t="s">
        <v>18</v>
      </c>
      <c r="B117" s="36">
        <v>46023</v>
      </c>
      <c r="C117" s="12">
        <f t="shared" si="4"/>
        <v>272</v>
      </c>
      <c r="D117" s="38">
        <f t="shared" si="5"/>
        <v>1</v>
      </c>
      <c r="G117" s="14" t="s">
        <v>344</v>
      </c>
      <c r="H117" s="12" t="s">
        <v>1885</v>
      </c>
      <c r="I117" s="12">
        <v>64277</v>
      </c>
      <c r="J117" s="12">
        <v>331</v>
      </c>
      <c r="K117" s="12" t="s">
        <v>20</v>
      </c>
      <c r="L117" s="12">
        <v>1</v>
      </c>
      <c r="M117" s="17">
        <v>21297</v>
      </c>
      <c r="N117" s="17">
        <f t="shared" si="6"/>
        <v>21297</v>
      </c>
      <c r="P117" s="12">
        <f t="shared" si="7"/>
        <v>82</v>
      </c>
    </row>
    <row r="118" spans="1:16" ht="15" hidden="1" customHeight="1" x14ac:dyDescent="0.2">
      <c r="A118" s="12" t="s">
        <v>18</v>
      </c>
      <c r="B118" s="36">
        <v>46023</v>
      </c>
      <c r="C118" s="12">
        <f t="shared" si="4"/>
        <v>272</v>
      </c>
      <c r="D118" s="38">
        <f t="shared" si="5"/>
        <v>0</v>
      </c>
      <c r="G118" s="14" t="s">
        <v>344</v>
      </c>
      <c r="H118" s="12" t="s">
        <v>1885</v>
      </c>
      <c r="I118" s="12">
        <v>1331</v>
      </c>
      <c r="J118" s="12">
        <v>331</v>
      </c>
      <c r="K118" s="12" t="s">
        <v>20</v>
      </c>
      <c r="L118" s="12">
        <v>1</v>
      </c>
      <c r="M118" s="17">
        <v>1703</v>
      </c>
      <c r="N118" s="17">
        <f t="shared" si="6"/>
        <v>1703</v>
      </c>
      <c r="P118" s="12">
        <f t="shared" si="7"/>
        <v>82</v>
      </c>
    </row>
    <row r="119" spans="1:16" ht="15" hidden="1" customHeight="1" x14ac:dyDescent="0.2">
      <c r="A119" s="12" t="s">
        <v>18</v>
      </c>
      <c r="B119" s="36">
        <v>46023</v>
      </c>
      <c r="C119" s="12">
        <f t="shared" si="4"/>
        <v>273</v>
      </c>
      <c r="D119" s="38">
        <f t="shared" si="5"/>
        <v>1</v>
      </c>
      <c r="G119" s="14" t="s">
        <v>1883</v>
      </c>
      <c r="H119" s="12" t="s">
        <v>4608</v>
      </c>
      <c r="I119" s="12">
        <v>64277</v>
      </c>
      <c r="J119" s="12">
        <v>331</v>
      </c>
      <c r="K119" s="12" t="s">
        <v>20</v>
      </c>
      <c r="L119" s="12">
        <v>1</v>
      </c>
      <c r="M119" s="17">
        <v>142831</v>
      </c>
      <c r="N119" s="17">
        <f t="shared" si="6"/>
        <v>142831</v>
      </c>
      <c r="P119" s="12">
        <f t="shared" si="7"/>
        <v>37</v>
      </c>
    </row>
    <row r="120" spans="1:16" ht="15" hidden="1" customHeight="1" x14ac:dyDescent="0.2">
      <c r="A120" s="12" t="s">
        <v>18</v>
      </c>
      <c r="B120" s="36">
        <v>46023</v>
      </c>
      <c r="C120" s="12">
        <f t="shared" si="4"/>
        <v>273</v>
      </c>
      <c r="D120" s="38">
        <f t="shared" si="5"/>
        <v>0</v>
      </c>
      <c r="G120" s="14" t="s">
        <v>1883</v>
      </c>
      <c r="H120" s="12" t="s">
        <v>4608</v>
      </c>
      <c r="I120" s="12">
        <v>1331</v>
      </c>
      <c r="J120" s="12">
        <v>331</v>
      </c>
      <c r="K120" s="12" t="s">
        <v>20</v>
      </c>
      <c r="L120" s="12">
        <v>1</v>
      </c>
      <c r="M120" s="17">
        <v>10169</v>
      </c>
      <c r="N120" s="17">
        <f t="shared" si="6"/>
        <v>10169</v>
      </c>
      <c r="P120" s="12">
        <f t="shared" si="7"/>
        <v>37</v>
      </c>
    </row>
    <row r="121" spans="1:16" ht="15" hidden="1" customHeight="1" x14ac:dyDescent="0.2">
      <c r="A121" s="12" t="s">
        <v>18</v>
      </c>
      <c r="B121" s="36">
        <v>46023</v>
      </c>
      <c r="C121" s="12">
        <f t="shared" si="4"/>
        <v>274</v>
      </c>
      <c r="D121" s="38">
        <f t="shared" si="5"/>
        <v>1</v>
      </c>
      <c r="G121" s="14" t="s">
        <v>25</v>
      </c>
      <c r="H121" s="12" t="s">
        <v>1884</v>
      </c>
      <c r="I121" s="12">
        <v>64277</v>
      </c>
      <c r="J121" s="12">
        <v>331</v>
      </c>
      <c r="K121" s="12" t="s">
        <v>20</v>
      </c>
      <c r="L121" s="12">
        <v>1</v>
      </c>
      <c r="M121" s="17">
        <v>697600</v>
      </c>
      <c r="N121" s="17">
        <f t="shared" si="6"/>
        <v>697600</v>
      </c>
      <c r="P121" s="12">
        <f t="shared" si="7"/>
        <v>161</v>
      </c>
    </row>
    <row r="122" spans="1:16" ht="15" hidden="1" customHeight="1" x14ac:dyDescent="0.2">
      <c r="A122" s="12" t="s">
        <v>18</v>
      </c>
      <c r="B122" s="36">
        <v>46023</v>
      </c>
      <c r="C122" s="12">
        <f t="shared" si="4"/>
        <v>274</v>
      </c>
      <c r="D122" s="38">
        <f t="shared" si="5"/>
        <v>0</v>
      </c>
      <c r="G122" s="14" t="s">
        <v>25</v>
      </c>
      <c r="H122" s="12" t="s">
        <v>1884</v>
      </c>
      <c r="I122" s="12">
        <v>1331</v>
      </c>
      <c r="J122" s="12">
        <v>331</v>
      </c>
      <c r="K122" s="12" t="s">
        <v>20</v>
      </c>
      <c r="L122" s="12">
        <v>1</v>
      </c>
      <c r="M122" s="17">
        <v>55808</v>
      </c>
      <c r="N122" s="17">
        <f t="shared" si="6"/>
        <v>55808</v>
      </c>
      <c r="P122" s="12">
        <f t="shared" si="7"/>
        <v>161</v>
      </c>
    </row>
    <row r="123" spans="1:16" ht="15" hidden="1" customHeight="1" x14ac:dyDescent="0.2">
      <c r="A123" s="12" t="s">
        <v>18</v>
      </c>
      <c r="B123" s="36">
        <v>46023</v>
      </c>
      <c r="C123" s="12">
        <f t="shared" si="4"/>
        <v>275</v>
      </c>
      <c r="D123" s="38">
        <f t="shared" si="5"/>
        <v>1</v>
      </c>
      <c r="G123" s="14" t="s">
        <v>25</v>
      </c>
      <c r="H123" s="12" t="s">
        <v>4609</v>
      </c>
      <c r="I123" s="12">
        <v>64277</v>
      </c>
      <c r="J123" s="12">
        <v>331</v>
      </c>
      <c r="K123" s="12" t="s">
        <v>20</v>
      </c>
      <c r="L123" s="12">
        <v>1</v>
      </c>
      <c r="M123" s="17">
        <v>1234200</v>
      </c>
      <c r="N123" s="17">
        <f t="shared" si="6"/>
        <v>1234200</v>
      </c>
      <c r="P123" s="12">
        <f t="shared" si="7"/>
        <v>42</v>
      </c>
    </row>
    <row r="124" spans="1:16" ht="15" hidden="1" customHeight="1" x14ac:dyDescent="0.2">
      <c r="A124" s="12" t="s">
        <v>18</v>
      </c>
      <c r="B124" s="36">
        <v>46023</v>
      </c>
      <c r="C124" s="12">
        <f t="shared" si="4"/>
        <v>275</v>
      </c>
      <c r="D124" s="38">
        <f t="shared" si="5"/>
        <v>0</v>
      </c>
      <c r="G124" s="14" t="s">
        <v>25</v>
      </c>
      <c r="H124" s="12" t="s">
        <v>4609</v>
      </c>
      <c r="I124" s="12">
        <v>1331</v>
      </c>
      <c r="J124" s="12">
        <v>331</v>
      </c>
      <c r="K124" s="12" t="s">
        <v>20</v>
      </c>
      <c r="L124" s="12">
        <v>1</v>
      </c>
      <c r="M124" s="17">
        <v>101856</v>
      </c>
      <c r="N124" s="17">
        <f t="shared" si="6"/>
        <v>101856</v>
      </c>
      <c r="P124" s="12">
        <f t="shared" si="7"/>
        <v>42</v>
      </c>
    </row>
    <row r="125" spans="1:16" ht="15" hidden="1" customHeight="1" x14ac:dyDescent="0.2">
      <c r="A125" s="12" t="s">
        <v>18</v>
      </c>
      <c r="B125" s="36">
        <v>46024</v>
      </c>
      <c r="C125" s="12">
        <f t="shared" si="4"/>
        <v>276</v>
      </c>
      <c r="D125" s="38">
        <f t="shared" si="5"/>
        <v>1</v>
      </c>
      <c r="G125" s="14" t="s">
        <v>344</v>
      </c>
      <c r="H125" s="12" t="s">
        <v>1887</v>
      </c>
      <c r="I125" s="12">
        <v>64277</v>
      </c>
      <c r="J125" s="12">
        <v>331</v>
      </c>
      <c r="K125" s="12" t="s">
        <v>20</v>
      </c>
      <c r="L125" s="12">
        <v>1</v>
      </c>
      <c r="M125" s="17">
        <v>19445</v>
      </c>
      <c r="N125" s="17">
        <f t="shared" si="6"/>
        <v>19445</v>
      </c>
      <c r="P125" s="12">
        <f t="shared" si="7"/>
        <v>82</v>
      </c>
    </row>
    <row r="126" spans="1:16" ht="15" hidden="1" customHeight="1" x14ac:dyDescent="0.2">
      <c r="A126" s="12" t="s">
        <v>18</v>
      </c>
      <c r="B126" s="36">
        <v>46024</v>
      </c>
      <c r="C126" s="12">
        <f t="shared" si="4"/>
        <v>276</v>
      </c>
      <c r="D126" s="38">
        <f t="shared" si="5"/>
        <v>0</v>
      </c>
      <c r="G126" s="14" t="s">
        <v>344</v>
      </c>
      <c r="H126" s="12" t="s">
        <v>1887</v>
      </c>
      <c r="I126" s="12">
        <v>1331</v>
      </c>
      <c r="J126" s="12">
        <v>331</v>
      </c>
      <c r="K126" s="12" t="s">
        <v>20</v>
      </c>
      <c r="L126" s="12">
        <v>1</v>
      </c>
      <c r="M126" s="17">
        <v>1555</v>
      </c>
      <c r="N126" s="17">
        <f t="shared" si="6"/>
        <v>1555</v>
      </c>
      <c r="P126" s="12">
        <f t="shared" si="7"/>
        <v>82</v>
      </c>
    </row>
    <row r="127" spans="1:16" ht="15" hidden="1" customHeight="1" x14ac:dyDescent="0.2">
      <c r="A127" s="12" t="s">
        <v>18</v>
      </c>
      <c r="B127" s="36">
        <v>46024</v>
      </c>
      <c r="C127" s="12">
        <f t="shared" si="4"/>
        <v>277</v>
      </c>
      <c r="D127" s="38">
        <f t="shared" si="5"/>
        <v>1</v>
      </c>
      <c r="G127" s="14" t="s">
        <v>344</v>
      </c>
      <c r="H127" s="12" t="s">
        <v>1886</v>
      </c>
      <c r="I127" s="12">
        <v>64277</v>
      </c>
      <c r="J127" s="12">
        <v>331</v>
      </c>
      <c r="K127" s="12" t="s">
        <v>20</v>
      </c>
      <c r="L127" s="12">
        <v>1</v>
      </c>
      <c r="M127" s="17">
        <v>34260</v>
      </c>
      <c r="N127" s="17">
        <f t="shared" si="6"/>
        <v>34260</v>
      </c>
      <c r="P127" s="12">
        <f t="shared" si="7"/>
        <v>82</v>
      </c>
    </row>
    <row r="128" spans="1:16" ht="15" hidden="1" customHeight="1" x14ac:dyDescent="0.2">
      <c r="A128" s="12" t="s">
        <v>18</v>
      </c>
      <c r="B128" s="36">
        <v>46024</v>
      </c>
      <c r="C128" s="12">
        <f t="shared" si="4"/>
        <v>277</v>
      </c>
      <c r="D128" s="38">
        <f t="shared" si="5"/>
        <v>0</v>
      </c>
      <c r="G128" s="14" t="s">
        <v>344</v>
      </c>
      <c r="H128" s="12" t="s">
        <v>1886</v>
      </c>
      <c r="I128" s="12">
        <v>1331</v>
      </c>
      <c r="J128" s="12">
        <v>331</v>
      </c>
      <c r="K128" s="12" t="s">
        <v>20</v>
      </c>
      <c r="L128" s="12">
        <v>1</v>
      </c>
      <c r="M128" s="17">
        <v>2740</v>
      </c>
      <c r="N128" s="17">
        <f t="shared" si="6"/>
        <v>2740</v>
      </c>
      <c r="P128" s="12">
        <f t="shared" si="7"/>
        <v>82</v>
      </c>
    </row>
    <row r="129" spans="1:16" ht="15" hidden="1" customHeight="1" x14ac:dyDescent="0.2">
      <c r="A129" s="12" t="s">
        <v>18</v>
      </c>
      <c r="B129" s="36">
        <v>46025</v>
      </c>
      <c r="C129" s="12">
        <f t="shared" si="4"/>
        <v>278</v>
      </c>
      <c r="D129" s="38">
        <f t="shared" si="5"/>
        <v>1</v>
      </c>
      <c r="G129" s="14" t="s">
        <v>344</v>
      </c>
      <c r="H129" s="12" t="s">
        <v>1888</v>
      </c>
      <c r="I129" s="12">
        <v>64277</v>
      </c>
      <c r="J129" s="12">
        <v>331</v>
      </c>
      <c r="K129" s="12" t="s">
        <v>20</v>
      </c>
      <c r="L129" s="12">
        <v>1</v>
      </c>
      <c r="M129" s="17">
        <v>90741</v>
      </c>
      <c r="N129" s="17">
        <f t="shared" si="6"/>
        <v>90741</v>
      </c>
      <c r="P129" s="12">
        <f t="shared" si="7"/>
        <v>82</v>
      </c>
    </row>
    <row r="130" spans="1:16" ht="15" hidden="1" customHeight="1" x14ac:dyDescent="0.2">
      <c r="A130" s="12" t="s">
        <v>18</v>
      </c>
      <c r="B130" s="36">
        <v>46025</v>
      </c>
      <c r="C130" s="12">
        <f t="shared" si="4"/>
        <v>278</v>
      </c>
      <c r="D130" s="38">
        <f t="shared" si="5"/>
        <v>0</v>
      </c>
      <c r="G130" s="14" t="s">
        <v>344</v>
      </c>
      <c r="H130" s="12" t="s">
        <v>1888</v>
      </c>
      <c r="I130" s="12">
        <v>1331</v>
      </c>
      <c r="J130" s="12">
        <v>331</v>
      </c>
      <c r="K130" s="12" t="s">
        <v>20</v>
      </c>
      <c r="L130" s="12">
        <v>1</v>
      </c>
      <c r="M130" s="17">
        <v>7259</v>
      </c>
      <c r="N130" s="17">
        <f t="shared" si="6"/>
        <v>7259</v>
      </c>
      <c r="P130" s="12">
        <f t="shared" si="7"/>
        <v>82</v>
      </c>
    </row>
    <row r="131" spans="1:16" ht="15" hidden="1" customHeight="1" x14ac:dyDescent="0.2">
      <c r="A131" s="12" t="s">
        <v>18</v>
      </c>
      <c r="B131" s="36">
        <v>46027</v>
      </c>
      <c r="C131" s="12">
        <f t="shared" si="4"/>
        <v>279</v>
      </c>
      <c r="D131" s="38">
        <f t="shared" si="5"/>
        <v>1</v>
      </c>
      <c r="G131" s="14" t="s">
        <v>344</v>
      </c>
      <c r="H131" s="12" t="s">
        <v>1890</v>
      </c>
      <c r="I131" s="12">
        <v>64277</v>
      </c>
      <c r="J131" s="12">
        <v>331</v>
      </c>
      <c r="K131" s="12" t="s">
        <v>20</v>
      </c>
      <c r="L131" s="12">
        <v>1</v>
      </c>
      <c r="M131" s="17">
        <v>19445</v>
      </c>
      <c r="N131" s="17">
        <f t="shared" si="6"/>
        <v>19445</v>
      </c>
      <c r="P131" s="12">
        <f t="shared" si="7"/>
        <v>82</v>
      </c>
    </row>
    <row r="132" spans="1:16" ht="15" hidden="1" customHeight="1" x14ac:dyDescent="0.2">
      <c r="A132" s="12" t="s">
        <v>18</v>
      </c>
      <c r="B132" s="36">
        <v>46027</v>
      </c>
      <c r="C132" s="12">
        <f t="shared" ref="C132:C195" si="8">C131+D132</f>
        <v>279</v>
      </c>
      <c r="D132" s="38">
        <f t="shared" ref="D132:D195" si="9">IF(H132=H131,0,1)</f>
        <v>0</v>
      </c>
      <c r="G132" s="14" t="s">
        <v>344</v>
      </c>
      <c r="H132" s="12" t="s">
        <v>1890</v>
      </c>
      <c r="I132" s="12">
        <v>1331</v>
      </c>
      <c r="J132" s="12">
        <v>331</v>
      </c>
      <c r="K132" s="12" t="s">
        <v>20</v>
      </c>
      <c r="L132" s="12">
        <v>1</v>
      </c>
      <c r="M132" s="17">
        <v>1555</v>
      </c>
      <c r="N132" s="17">
        <f t="shared" ref="N132:N195" si="10">L132*M132</f>
        <v>1555</v>
      </c>
      <c r="P132" s="12">
        <f t="shared" si="7"/>
        <v>82</v>
      </c>
    </row>
    <row r="133" spans="1:16" ht="15" hidden="1" customHeight="1" x14ac:dyDescent="0.2">
      <c r="A133" s="12" t="s">
        <v>18</v>
      </c>
      <c r="B133" s="36">
        <v>46027</v>
      </c>
      <c r="C133" s="12">
        <f t="shared" si="8"/>
        <v>280</v>
      </c>
      <c r="D133" s="38">
        <f t="shared" si="9"/>
        <v>1</v>
      </c>
      <c r="G133" s="14" t="s">
        <v>344</v>
      </c>
      <c r="H133" s="12" t="s">
        <v>1891</v>
      </c>
      <c r="I133" s="12">
        <v>64277</v>
      </c>
      <c r="J133" s="12">
        <v>331</v>
      </c>
      <c r="K133" s="12" t="s">
        <v>20</v>
      </c>
      <c r="L133" s="12">
        <v>1</v>
      </c>
      <c r="M133" s="17">
        <v>17593</v>
      </c>
      <c r="N133" s="17">
        <f t="shared" si="10"/>
        <v>17593</v>
      </c>
      <c r="P133" s="12">
        <f t="shared" ref="P133:P196" si="11">LEN(H133)</f>
        <v>82</v>
      </c>
    </row>
    <row r="134" spans="1:16" ht="15" hidden="1" customHeight="1" x14ac:dyDescent="0.2">
      <c r="A134" s="12" t="s">
        <v>18</v>
      </c>
      <c r="B134" s="36">
        <v>46027</v>
      </c>
      <c r="C134" s="12">
        <f t="shared" si="8"/>
        <v>280</v>
      </c>
      <c r="D134" s="38">
        <f t="shared" si="9"/>
        <v>0</v>
      </c>
      <c r="G134" s="14" t="s">
        <v>344</v>
      </c>
      <c r="H134" s="12" t="s">
        <v>1891</v>
      </c>
      <c r="I134" s="12">
        <v>1331</v>
      </c>
      <c r="J134" s="12">
        <v>331</v>
      </c>
      <c r="K134" s="12" t="s">
        <v>20</v>
      </c>
      <c r="L134" s="12">
        <v>1</v>
      </c>
      <c r="M134" s="17">
        <v>1407</v>
      </c>
      <c r="N134" s="17">
        <f t="shared" si="10"/>
        <v>1407</v>
      </c>
      <c r="P134" s="12">
        <f t="shared" si="11"/>
        <v>82</v>
      </c>
    </row>
    <row r="135" spans="1:16" ht="15" hidden="1" customHeight="1" x14ac:dyDescent="0.2">
      <c r="A135" s="12" t="s">
        <v>18</v>
      </c>
      <c r="B135" s="36">
        <v>46027</v>
      </c>
      <c r="C135" s="12">
        <f t="shared" si="8"/>
        <v>281</v>
      </c>
      <c r="D135" s="38">
        <f t="shared" si="9"/>
        <v>1</v>
      </c>
      <c r="G135" s="14" t="s">
        <v>344</v>
      </c>
      <c r="H135" s="12" t="s">
        <v>1889</v>
      </c>
      <c r="I135" s="12">
        <v>64277</v>
      </c>
      <c r="J135" s="12">
        <v>331</v>
      </c>
      <c r="K135" s="12" t="s">
        <v>20</v>
      </c>
      <c r="L135" s="12">
        <v>1</v>
      </c>
      <c r="M135" s="17">
        <v>18519</v>
      </c>
      <c r="N135" s="17">
        <f t="shared" si="10"/>
        <v>18519</v>
      </c>
      <c r="P135" s="12">
        <f t="shared" si="11"/>
        <v>83</v>
      </c>
    </row>
    <row r="136" spans="1:16" ht="15" hidden="1" customHeight="1" x14ac:dyDescent="0.2">
      <c r="A136" s="12" t="s">
        <v>18</v>
      </c>
      <c r="B136" s="36">
        <v>46027</v>
      </c>
      <c r="C136" s="12">
        <f t="shared" si="8"/>
        <v>281</v>
      </c>
      <c r="D136" s="38">
        <f t="shared" si="9"/>
        <v>0</v>
      </c>
      <c r="G136" s="14" t="s">
        <v>344</v>
      </c>
      <c r="H136" s="12" t="s">
        <v>1889</v>
      </c>
      <c r="I136" s="12">
        <v>1331</v>
      </c>
      <c r="J136" s="12">
        <v>331</v>
      </c>
      <c r="K136" s="12" t="s">
        <v>20</v>
      </c>
      <c r="L136" s="12">
        <v>1</v>
      </c>
      <c r="M136" s="17">
        <v>1481</v>
      </c>
      <c r="N136" s="17">
        <f t="shared" si="10"/>
        <v>1481</v>
      </c>
      <c r="P136" s="12">
        <f t="shared" si="11"/>
        <v>83</v>
      </c>
    </row>
    <row r="137" spans="1:16" ht="15" hidden="1" customHeight="1" x14ac:dyDescent="0.2">
      <c r="A137" s="12" t="s">
        <v>18</v>
      </c>
      <c r="B137" s="36">
        <v>46027</v>
      </c>
      <c r="C137" s="12">
        <f t="shared" si="8"/>
        <v>282</v>
      </c>
      <c r="D137" s="38">
        <f t="shared" si="9"/>
        <v>1</v>
      </c>
      <c r="G137" s="14" t="s">
        <v>37</v>
      </c>
      <c r="H137" s="12" t="s">
        <v>4610</v>
      </c>
      <c r="I137" s="12">
        <v>64277</v>
      </c>
      <c r="J137" s="12">
        <v>331</v>
      </c>
      <c r="K137" s="12" t="s">
        <v>20</v>
      </c>
      <c r="L137" s="12">
        <v>1</v>
      </c>
      <c r="M137" s="17">
        <v>2845000</v>
      </c>
      <c r="N137" s="17">
        <f t="shared" si="10"/>
        <v>2845000</v>
      </c>
      <c r="P137" s="12">
        <f t="shared" si="11"/>
        <v>42</v>
      </c>
    </row>
    <row r="138" spans="1:16" ht="15" hidden="1" customHeight="1" x14ac:dyDescent="0.2">
      <c r="A138" s="12" t="s">
        <v>18</v>
      </c>
      <c r="B138" s="36">
        <v>46027</v>
      </c>
      <c r="C138" s="12">
        <f t="shared" si="8"/>
        <v>282</v>
      </c>
      <c r="D138" s="38">
        <f t="shared" si="9"/>
        <v>0</v>
      </c>
      <c r="G138" s="14" t="s">
        <v>37</v>
      </c>
      <c r="H138" s="12" t="s">
        <v>4610</v>
      </c>
      <c r="I138" s="12">
        <v>1331</v>
      </c>
      <c r="J138" s="12">
        <v>331</v>
      </c>
      <c r="K138" s="12" t="s">
        <v>20</v>
      </c>
      <c r="L138" s="12">
        <v>1</v>
      </c>
      <c r="M138" s="17">
        <v>227600</v>
      </c>
      <c r="N138" s="17">
        <f t="shared" si="10"/>
        <v>227600</v>
      </c>
      <c r="P138" s="12">
        <f t="shared" si="11"/>
        <v>42</v>
      </c>
    </row>
    <row r="139" spans="1:16" ht="15" hidden="1" customHeight="1" x14ac:dyDescent="0.2">
      <c r="A139" s="12" t="s">
        <v>18</v>
      </c>
      <c r="B139" s="36">
        <v>46028</v>
      </c>
      <c r="C139" s="12">
        <f t="shared" si="8"/>
        <v>283</v>
      </c>
      <c r="D139" s="38">
        <f t="shared" si="9"/>
        <v>1</v>
      </c>
      <c r="G139" s="14" t="s">
        <v>344</v>
      </c>
      <c r="H139" s="12" t="s">
        <v>1894</v>
      </c>
      <c r="I139" s="12">
        <v>64277</v>
      </c>
      <c r="J139" s="12">
        <v>331</v>
      </c>
      <c r="K139" s="12" t="s">
        <v>20</v>
      </c>
      <c r="L139" s="12">
        <v>1</v>
      </c>
      <c r="M139" s="17">
        <v>21297</v>
      </c>
      <c r="N139" s="17">
        <f t="shared" si="10"/>
        <v>21297</v>
      </c>
      <c r="P139" s="12">
        <f t="shared" si="11"/>
        <v>83</v>
      </c>
    </row>
    <row r="140" spans="1:16" ht="15" hidden="1" customHeight="1" x14ac:dyDescent="0.2">
      <c r="A140" s="12" t="s">
        <v>18</v>
      </c>
      <c r="B140" s="36">
        <v>46028</v>
      </c>
      <c r="C140" s="12">
        <f t="shared" si="8"/>
        <v>283</v>
      </c>
      <c r="D140" s="38">
        <f t="shared" si="9"/>
        <v>0</v>
      </c>
      <c r="G140" s="14" t="s">
        <v>344</v>
      </c>
      <c r="H140" s="12" t="s">
        <v>1894</v>
      </c>
      <c r="I140" s="12">
        <v>1331</v>
      </c>
      <c r="J140" s="12">
        <v>331</v>
      </c>
      <c r="K140" s="12" t="s">
        <v>20</v>
      </c>
      <c r="L140" s="12">
        <v>1</v>
      </c>
      <c r="M140" s="17">
        <v>1703</v>
      </c>
      <c r="N140" s="17">
        <f t="shared" si="10"/>
        <v>1703</v>
      </c>
      <c r="P140" s="12">
        <f t="shared" si="11"/>
        <v>83</v>
      </c>
    </row>
    <row r="141" spans="1:16" ht="15" hidden="1" customHeight="1" x14ac:dyDescent="0.2">
      <c r="A141" s="12" t="s">
        <v>18</v>
      </c>
      <c r="B141" s="36">
        <v>46028</v>
      </c>
      <c r="C141" s="12">
        <f t="shared" si="8"/>
        <v>284</v>
      </c>
      <c r="D141" s="38">
        <f t="shared" si="9"/>
        <v>1</v>
      </c>
      <c r="G141" s="14" t="s">
        <v>344</v>
      </c>
      <c r="H141" s="12" t="s">
        <v>1893</v>
      </c>
      <c r="I141" s="12">
        <v>64277</v>
      </c>
      <c r="J141" s="12">
        <v>331</v>
      </c>
      <c r="K141" s="12" t="s">
        <v>20</v>
      </c>
      <c r="L141" s="12">
        <v>1</v>
      </c>
      <c r="M141" s="17">
        <v>40741</v>
      </c>
      <c r="N141" s="17">
        <f t="shared" si="10"/>
        <v>40741</v>
      </c>
      <c r="P141" s="12">
        <f t="shared" si="11"/>
        <v>83</v>
      </c>
    </row>
    <row r="142" spans="1:16" ht="15" hidden="1" customHeight="1" x14ac:dyDescent="0.2">
      <c r="A142" s="12" t="s">
        <v>18</v>
      </c>
      <c r="B142" s="36">
        <v>46028</v>
      </c>
      <c r="C142" s="12">
        <f t="shared" si="8"/>
        <v>284</v>
      </c>
      <c r="D142" s="38">
        <f t="shared" si="9"/>
        <v>0</v>
      </c>
      <c r="G142" s="14" t="s">
        <v>344</v>
      </c>
      <c r="H142" s="12" t="s">
        <v>1893</v>
      </c>
      <c r="I142" s="12">
        <v>1331</v>
      </c>
      <c r="J142" s="12">
        <v>331</v>
      </c>
      <c r="K142" s="12" t="s">
        <v>20</v>
      </c>
      <c r="L142" s="12">
        <v>1</v>
      </c>
      <c r="M142" s="17">
        <v>3259</v>
      </c>
      <c r="N142" s="17">
        <f t="shared" si="10"/>
        <v>3259</v>
      </c>
      <c r="P142" s="12">
        <f t="shared" si="11"/>
        <v>83</v>
      </c>
    </row>
    <row r="143" spans="1:16" ht="15" hidden="1" customHeight="1" x14ac:dyDescent="0.2">
      <c r="A143" s="12" t="s">
        <v>18</v>
      </c>
      <c r="B143" s="36">
        <v>46028</v>
      </c>
      <c r="C143" s="12">
        <f t="shared" si="8"/>
        <v>285</v>
      </c>
      <c r="D143" s="38">
        <f t="shared" si="9"/>
        <v>1</v>
      </c>
      <c r="G143" s="14" t="s">
        <v>35</v>
      </c>
      <c r="H143" s="12" t="s">
        <v>1892</v>
      </c>
      <c r="I143" s="12">
        <v>64277</v>
      </c>
      <c r="J143" s="12">
        <v>331</v>
      </c>
      <c r="K143" s="12" t="s">
        <v>20</v>
      </c>
      <c r="L143" s="12">
        <v>1</v>
      </c>
      <c r="M143" s="17">
        <v>3000000</v>
      </c>
      <c r="N143" s="17">
        <f t="shared" si="10"/>
        <v>3000000</v>
      </c>
      <c r="P143" s="12">
        <f t="shared" si="11"/>
        <v>41</v>
      </c>
    </row>
    <row r="144" spans="1:16" ht="15" hidden="1" customHeight="1" x14ac:dyDescent="0.2">
      <c r="A144" s="12" t="s">
        <v>18</v>
      </c>
      <c r="B144" s="36">
        <v>46028</v>
      </c>
      <c r="C144" s="12">
        <f t="shared" si="8"/>
        <v>285</v>
      </c>
      <c r="D144" s="38">
        <f t="shared" si="9"/>
        <v>0</v>
      </c>
      <c r="G144" s="14" t="s">
        <v>35</v>
      </c>
      <c r="H144" s="12" t="s">
        <v>1892</v>
      </c>
      <c r="I144" s="12">
        <v>1331</v>
      </c>
      <c r="J144" s="12">
        <v>331</v>
      </c>
      <c r="K144" s="12" t="s">
        <v>20</v>
      </c>
      <c r="L144" s="12">
        <v>1</v>
      </c>
      <c r="M144" s="17">
        <v>240000</v>
      </c>
      <c r="N144" s="17">
        <f t="shared" si="10"/>
        <v>240000</v>
      </c>
      <c r="P144" s="12">
        <f t="shared" si="11"/>
        <v>41</v>
      </c>
    </row>
    <row r="145" spans="1:16" ht="15" hidden="1" customHeight="1" x14ac:dyDescent="0.2">
      <c r="A145" s="12" t="s">
        <v>18</v>
      </c>
      <c r="B145" s="36">
        <v>46029</v>
      </c>
      <c r="C145" s="12">
        <f t="shared" si="8"/>
        <v>286</v>
      </c>
      <c r="D145" s="38">
        <f t="shared" si="9"/>
        <v>1</v>
      </c>
      <c r="G145" s="14" t="s">
        <v>344</v>
      </c>
      <c r="H145" s="12" t="s">
        <v>1895</v>
      </c>
      <c r="I145" s="12">
        <v>64277</v>
      </c>
      <c r="J145" s="12">
        <v>331</v>
      </c>
      <c r="K145" s="12" t="s">
        <v>20</v>
      </c>
      <c r="L145" s="12">
        <v>1</v>
      </c>
      <c r="M145" s="17">
        <v>27778</v>
      </c>
      <c r="N145" s="17">
        <f t="shared" si="10"/>
        <v>27778</v>
      </c>
      <c r="P145" s="12">
        <f t="shared" si="11"/>
        <v>83</v>
      </c>
    </row>
    <row r="146" spans="1:16" ht="15" hidden="1" customHeight="1" x14ac:dyDescent="0.2">
      <c r="A146" s="12" t="s">
        <v>18</v>
      </c>
      <c r="B146" s="36">
        <v>46029</v>
      </c>
      <c r="C146" s="12">
        <f t="shared" si="8"/>
        <v>286</v>
      </c>
      <c r="D146" s="38">
        <f t="shared" si="9"/>
        <v>0</v>
      </c>
      <c r="G146" s="14" t="s">
        <v>344</v>
      </c>
      <c r="H146" s="12" t="s">
        <v>1895</v>
      </c>
      <c r="I146" s="12">
        <v>1331</v>
      </c>
      <c r="J146" s="12">
        <v>331</v>
      </c>
      <c r="K146" s="12" t="s">
        <v>20</v>
      </c>
      <c r="L146" s="12">
        <v>1</v>
      </c>
      <c r="M146" s="17">
        <v>2222</v>
      </c>
      <c r="N146" s="17">
        <f t="shared" si="10"/>
        <v>2222</v>
      </c>
      <c r="P146" s="12">
        <f t="shared" si="11"/>
        <v>83</v>
      </c>
    </row>
    <row r="147" spans="1:16" ht="15" hidden="1" customHeight="1" x14ac:dyDescent="0.2">
      <c r="A147" s="12" t="s">
        <v>18</v>
      </c>
      <c r="B147" s="36">
        <v>46030</v>
      </c>
      <c r="C147" s="12">
        <f t="shared" si="8"/>
        <v>287</v>
      </c>
      <c r="D147" s="38">
        <f t="shared" si="9"/>
        <v>1</v>
      </c>
      <c r="G147" s="14" t="s">
        <v>344</v>
      </c>
      <c r="H147" s="12" t="s">
        <v>1897</v>
      </c>
      <c r="I147" s="12">
        <v>64277</v>
      </c>
      <c r="J147" s="12">
        <v>331</v>
      </c>
      <c r="K147" s="12" t="s">
        <v>20</v>
      </c>
      <c r="L147" s="12">
        <v>1</v>
      </c>
      <c r="M147" s="17">
        <v>33334</v>
      </c>
      <c r="N147" s="17">
        <f t="shared" si="10"/>
        <v>33334</v>
      </c>
      <c r="P147" s="12">
        <f t="shared" si="11"/>
        <v>83</v>
      </c>
    </row>
    <row r="148" spans="1:16" ht="15" hidden="1" customHeight="1" x14ac:dyDescent="0.2">
      <c r="A148" s="12" t="s">
        <v>18</v>
      </c>
      <c r="B148" s="36">
        <v>46030</v>
      </c>
      <c r="C148" s="12">
        <f t="shared" si="8"/>
        <v>287</v>
      </c>
      <c r="D148" s="38">
        <f t="shared" si="9"/>
        <v>0</v>
      </c>
      <c r="G148" s="14" t="s">
        <v>344</v>
      </c>
      <c r="H148" s="12" t="s">
        <v>1897</v>
      </c>
      <c r="I148" s="12">
        <v>1331</v>
      </c>
      <c r="J148" s="12">
        <v>331</v>
      </c>
      <c r="K148" s="12" t="s">
        <v>20</v>
      </c>
      <c r="L148" s="12">
        <v>1</v>
      </c>
      <c r="M148" s="17">
        <v>2666</v>
      </c>
      <c r="N148" s="17">
        <f t="shared" si="10"/>
        <v>2666</v>
      </c>
      <c r="P148" s="12">
        <f t="shared" si="11"/>
        <v>83</v>
      </c>
    </row>
    <row r="149" spans="1:16" ht="15" hidden="1" customHeight="1" x14ac:dyDescent="0.2">
      <c r="A149" s="12" t="s">
        <v>18</v>
      </c>
      <c r="B149" s="36">
        <v>46030</v>
      </c>
      <c r="C149" s="12">
        <f t="shared" si="8"/>
        <v>288</v>
      </c>
      <c r="D149" s="38">
        <f t="shared" si="9"/>
        <v>1</v>
      </c>
      <c r="G149" s="14" t="s">
        <v>344</v>
      </c>
      <c r="H149" s="12" t="s">
        <v>1896</v>
      </c>
      <c r="I149" s="12">
        <v>64277</v>
      </c>
      <c r="J149" s="12">
        <v>331</v>
      </c>
      <c r="K149" s="12" t="s">
        <v>20</v>
      </c>
      <c r="L149" s="12">
        <v>1</v>
      </c>
      <c r="M149" s="17">
        <v>43519</v>
      </c>
      <c r="N149" s="17">
        <f t="shared" si="10"/>
        <v>43519</v>
      </c>
      <c r="P149" s="12">
        <f t="shared" si="11"/>
        <v>83</v>
      </c>
    </row>
    <row r="150" spans="1:16" ht="15" hidden="1" customHeight="1" x14ac:dyDescent="0.2">
      <c r="A150" s="12" t="s">
        <v>18</v>
      </c>
      <c r="B150" s="36">
        <v>46030</v>
      </c>
      <c r="C150" s="12">
        <f t="shared" si="8"/>
        <v>288</v>
      </c>
      <c r="D150" s="38">
        <f t="shared" si="9"/>
        <v>0</v>
      </c>
      <c r="G150" s="14" t="s">
        <v>344</v>
      </c>
      <c r="H150" s="12" t="s">
        <v>1896</v>
      </c>
      <c r="I150" s="12">
        <v>1331</v>
      </c>
      <c r="J150" s="12">
        <v>331</v>
      </c>
      <c r="K150" s="12" t="s">
        <v>20</v>
      </c>
      <c r="L150" s="12">
        <v>1</v>
      </c>
      <c r="M150" s="17">
        <v>3481</v>
      </c>
      <c r="N150" s="17">
        <f t="shared" si="10"/>
        <v>3481</v>
      </c>
      <c r="P150" s="12">
        <f t="shared" si="11"/>
        <v>83</v>
      </c>
    </row>
    <row r="151" spans="1:16" ht="15" hidden="1" customHeight="1" x14ac:dyDescent="0.2">
      <c r="A151" s="12" t="s">
        <v>18</v>
      </c>
      <c r="B151" s="36">
        <v>46031</v>
      </c>
      <c r="C151" s="12">
        <f t="shared" si="8"/>
        <v>289</v>
      </c>
      <c r="D151" s="38">
        <f t="shared" si="9"/>
        <v>1</v>
      </c>
      <c r="G151" s="14" t="s">
        <v>341</v>
      </c>
      <c r="H151" s="12" t="s">
        <v>1899</v>
      </c>
      <c r="I151" s="12">
        <v>64277</v>
      </c>
      <c r="J151" s="12">
        <v>331</v>
      </c>
      <c r="K151" s="12" t="s">
        <v>20</v>
      </c>
      <c r="L151" s="12">
        <v>1</v>
      </c>
      <c r="M151" s="17">
        <v>545000</v>
      </c>
      <c r="N151" s="17">
        <f t="shared" si="10"/>
        <v>545000</v>
      </c>
      <c r="P151" s="12">
        <f t="shared" si="11"/>
        <v>109</v>
      </c>
    </row>
    <row r="152" spans="1:16" ht="15" hidden="1" customHeight="1" x14ac:dyDescent="0.2">
      <c r="A152" s="12" t="s">
        <v>18</v>
      </c>
      <c r="B152" s="36">
        <v>46031</v>
      </c>
      <c r="C152" s="12">
        <f t="shared" si="8"/>
        <v>289</v>
      </c>
      <c r="D152" s="38">
        <f t="shared" si="9"/>
        <v>0</v>
      </c>
      <c r="G152" s="14" t="s">
        <v>341</v>
      </c>
      <c r="H152" s="12" t="s">
        <v>1899</v>
      </c>
      <c r="I152" s="12">
        <v>1331</v>
      </c>
      <c r="J152" s="12">
        <v>331</v>
      </c>
      <c r="K152" s="12" t="s">
        <v>20</v>
      </c>
      <c r="L152" s="12">
        <v>1</v>
      </c>
      <c r="M152" s="17">
        <v>43600</v>
      </c>
      <c r="N152" s="17">
        <f t="shared" si="10"/>
        <v>43600</v>
      </c>
      <c r="P152" s="12">
        <f t="shared" si="11"/>
        <v>109</v>
      </c>
    </row>
    <row r="153" spans="1:16" ht="15" hidden="1" customHeight="1" x14ac:dyDescent="0.2">
      <c r="A153" s="12" t="s">
        <v>18</v>
      </c>
      <c r="B153" s="36">
        <v>46031</v>
      </c>
      <c r="C153" s="12">
        <f t="shared" si="8"/>
        <v>290</v>
      </c>
      <c r="D153" s="38">
        <f t="shared" si="9"/>
        <v>1</v>
      </c>
      <c r="G153" s="14" t="s">
        <v>344</v>
      </c>
      <c r="H153" s="12" t="s">
        <v>1898</v>
      </c>
      <c r="I153" s="12">
        <v>64277</v>
      </c>
      <c r="J153" s="12">
        <v>331</v>
      </c>
      <c r="K153" s="12" t="s">
        <v>20</v>
      </c>
      <c r="L153" s="12">
        <v>1</v>
      </c>
      <c r="M153" s="17">
        <v>13889</v>
      </c>
      <c r="N153" s="17">
        <f t="shared" si="10"/>
        <v>13889</v>
      </c>
      <c r="P153" s="12">
        <f t="shared" si="11"/>
        <v>83</v>
      </c>
    </row>
    <row r="154" spans="1:16" ht="15" hidden="1" customHeight="1" x14ac:dyDescent="0.2">
      <c r="A154" s="12" t="s">
        <v>18</v>
      </c>
      <c r="B154" s="36">
        <v>46031</v>
      </c>
      <c r="C154" s="12">
        <f t="shared" si="8"/>
        <v>290</v>
      </c>
      <c r="D154" s="38">
        <f t="shared" si="9"/>
        <v>0</v>
      </c>
      <c r="G154" s="14" t="s">
        <v>344</v>
      </c>
      <c r="H154" s="12" t="s">
        <v>1898</v>
      </c>
      <c r="I154" s="12">
        <v>1331</v>
      </c>
      <c r="J154" s="12">
        <v>331</v>
      </c>
      <c r="K154" s="12" t="s">
        <v>20</v>
      </c>
      <c r="L154" s="12">
        <v>1</v>
      </c>
      <c r="M154" s="17">
        <v>1111</v>
      </c>
      <c r="N154" s="17">
        <f t="shared" si="10"/>
        <v>1111</v>
      </c>
      <c r="P154" s="12">
        <f t="shared" si="11"/>
        <v>83</v>
      </c>
    </row>
    <row r="155" spans="1:16" ht="15" hidden="1" customHeight="1" x14ac:dyDescent="0.2">
      <c r="A155" s="12" t="s">
        <v>18</v>
      </c>
      <c r="B155" s="13">
        <v>46031</v>
      </c>
      <c r="C155" s="12">
        <f t="shared" si="8"/>
        <v>291</v>
      </c>
      <c r="D155" s="38">
        <f t="shared" si="9"/>
        <v>1</v>
      </c>
      <c r="G155" s="14" t="s">
        <v>259</v>
      </c>
      <c r="H155" s="12" t="s">
        <v>1959</v>
      </c>
      <c r="I155" s="12">
        <v>131</v>
      </c>
      <c r="J155" s="12">
        <v>5113</v>
      </c>
      <c r="K155" s="12" t="s">
        <v>20</v>
      </c>
      <c r="L155" s="12">
        <v>1</v>
      </c>
      <c r="M155" s="17">
        <v>16129032</v>
      </c>
      <c r="N155" s="17">
        <f t="shared" si="10"/>
        <v>16129032</v>
      </c>
      <c r="P155" s="12">
        <f t="shared" si="11"/>
        <v>150</v>
      </c>
    </row>
    <row r="156" spans="1:16" ht="15" customHeight="1" x14ac:dyDescent="0.2">
      <c r="A156" s="12" t="s">
        <v>18</v>
      </c>
      <c r="B156" s="13">
        <v>46031</v>
      </c>
      <c r="C156" s="12">
        <f t="shared" si="8"/>
        <v>292</v>
      </c>
      <c r="D156" s="38">
        <f t="shared" si="9"/>
        <v>1</v>
      </c>
      <c r="G156" s="14" t="s">
        <v>259</v>
      </c>
      <c r="H156" s="12" t="s">
        <v>4692</v>
      </c>
      <c r="I156" s="12">
        <v>333821</v>
      </c>
      <c r="J156" s="12">
        <v>131</v>
      </c>
      <c r="K156" s="12" t="s">
        <v>20</v>
      </c>
      <c r="L156" s="12">
        <v>1</v>
      </c>
      <c r="M156" s="17">
        <v>161290</v>
      </c>
      <c r="N156" s="17">
        <f t="shared" si="10"/>
        <v>161290</v>
      </c>
      <c r="P156" s="12">
        <f t="shared" si="11"/>
        <v>166</v>
      </c>
    </row>
    <row r="157" spans="1:16" ht="15" hidden="1" customHeight="1" x14ac:dyDescent="0.2">
      <c r="A157" s="12" t="s">
        <v>18</v>
      </c>
      <c r="B157" s="36">
        <v>46033</v>
      </c>
      <c r="C157" s="12">
        <f t="shared" si="8"/>
        <v>293</v>
      </c>
      <c r="D157" s="38">
        <f t="shared" si="9"/>
        <v>1</v>
      </c>
      <c r="G157" s="14" t="s">
        <v>1677</v>
      </c>
      <c r="H157" s="12" t="s">
        <v>1900</v>
      </c>
      <c r="I157" s="12">
        <v>64277</v>
      </c>
      <c r="J157" s="12">
        <v>331</v>
      </c>
      <c r="K157" s="12" t="s">
        <v>20</v>
      </c>
      <c r="L157" s="12">
        <v>1</v>
      </c>
      <c r="M157" s="17">
        <v>824000</v>
      </c>
      <c r="N157" s="17">
        <f t="shared" si="10"/>
        <v>824000</v>
      </c>
      <c r="P157" s="12">
        <f t="shared" si="11"/>
        <v>135</v>
      </c>
    </row>
    <row r="158" spans="1:16" ht="15" hidden="1" customHeight="1" x14ac:dyDescent="0.2">
      <c r="A158" s="12" t="s">
        <v>18</v>
      </c>
      <c r="B158" s="36">
        <v>46033</v>
      </c>
      <c r="C158" s="12">
        <f t="shared" si="8"/>
        <v>293</v>
      </c>
      <c r="D158" s="38">
        <f t="shared" si="9"/>
        <v>0</v>
      </c>
      <c r="G158" s="14" t="s">
        <v>1677</v>
      </c>
      <c r="H158" s="12" t="s">
        <v>1900</v>
      </c>
      <c r="I158" s="12">
        <v>1331</v>
      </c>
      <c r="J158" s="12">
        <v>331</v>
      </c>
      <c r="K158" s="12" t="s">
        <v>20</v>
      </c>
      <c r="L158" s="12">
        <v>1</v>
      </c>
      <c r="M158" s="17">
        <v>66420</v>
      </c>
      <c r="N158" s="17">
        <f t="shared" si="10"/>
        <v>66420</v>
      </c>
      <c r="P158" s="12">
        <f t="shared" si="11"/>
        <v>135</v>
      </c>
    </row>
    <row r="159" spans="1:16" ht="15" hidden="1" customHeight="1" x14ac:dyDescent="0.2">
      <c r="A159" s="12" t="s">
        <v>18</v>
      </c>
      <c r="B159" s="36">
        <v>46034</v>
      </c>
      <c r="C159" s="12">
        <f t="shared" si="8"/>
        <v>294</v>
      </c>
      <c r="D159" s="38">
        <f t="shared" si="9"/>
        <v>1</v>
      </c>
      <c r="G159" s="14" t="s">
        <v>344</v>
      </c>
      <c r="H159" s="12" t="s">
        <v>1902</v>
      </c>
      <c r="I159" s="12">
        <v>64277</v>
      </c>
      <c r="J159" s="12">
        <v>331</v>
      </c>
      <c r="K159" s="12" t="s">
        <v>20</v>
      </c>
      <c r="L159" s="12">
        <v>1</v>
      </c>
      <c r="M159" s="17">
        <v>45371</v>
      </c>
      <c r="N159" s="17">
        <f t="shared" si="10"/>
        <v>45371</v>
      </c>
      <c r="P159" s="12">
        <f t="shared" si="11"/>
        <v>83</v>
      </c>
    </row>
    <row r="160" spans="1:16" ht="15" hidden="1" customHeight="1" x14ac:dyDescent="0.2">
      <c r="A160" s="12" t="s">
        <v>18</v>
      </c>
      <c r="B160" s="36">
        <v>46034</v>
      </c>
      <c r="C160" s="12">
        <f t="shared" si="8"/>
        <v>294</v>
      </c>
      <c r="D160" s="38">
        <f t="shared" si="9"/>
        <v>0</v>
      </c>
      <c r="G160" s="14" t="s">
        <v>344</v>
      </c>
      <c r="H160" s="12" t="s">
        <v>1902</v>
      </c>
      <c r="I160" s="12">
        <v>1331</v>
      </c>
      <c r="J160" s="12">
        <v>331</v>
      </c>
      <c r="K160" s="12" t="s">
        <v>20</v>
      </c>
      <c r="L160" s="12">
        <v>1</v>
      </c>
      <c r="M160" s="17">
        <v>3629</v>
      </c>
      <c r="N160" s="17">
        <f t="shared" si="10"/>
        <v>3629</v>
      </c>
      <c r="P160" s="12">
        <f t="shared" si="11"/>
        <v>83</v>
      </c>
    </row>
    <row r="161" spans="1:16" ht="15" hidden="1" customHeight="1" x14ac:dyDescent="0.2">
      <c r="A161" s="12" t="s">
        <v>18</v>
      </c>
      <c r="B161" s="36">
        <v>46034</v>
      </c>
      <c r="C161" s="12">
        <f t="shared" si="8"/>
        <v>295</v>
      </c>
      <c r="D161" s="38">
        <f t="shared" si="9"/>
        <v>1</v>
      </c>
      <c r="G161" s="14" t="s">
        <v>344</v>
      </c>
      <c r="H161" s="12" t="s">
        <v>1901</v>
      </c>
      <c r="I161" s="12">
        <v>64277</v>
      </c>
      <c r="J161" s="12">
        <v>331</v>
      </c>
      <c r="K161" s="12" t="s">
        <v>20</v>
      </c>
      <c r="L161" s="12">
        <v>1</v>
      </c>
      <c r="M161" s="17">
        <v>67593</v>
      </c>
      <c r="N161" s="17">
        <f t="shared" si="10"/>
        <v>67593</v>
      </c>
      <c r="P161" s="12">
        <f t="shared" si="11"/>
        <v>83</v>
      </c>
    </row>
    <row r="162" spans="1:16" ht="15" hidden="1" customHeight="1" x14ac:dyDescent="0.2">
      <c r="A162" s="12" t="s">
        <v>18</v>
      </c>
      <c r="B162" s="36">
        <v>46034</v>
      </c>
      <c r="C162" s="12">
        <f t="shared" si="8"/>
        <v>295</v>
      </c>
      <c r="D162" s="38">
        <f t="shared" si="9"/>
        <v>0</v>
      </c>
      <c r="G162" s="14" t="s">
        <v>344</v>
      </c>
      <c r="H162" s="12" t="s">
        <v>1901</v>
      </c>
      <c r="I162" s="12">
        <v>1331</v>
      </c>
      <c r="J162" s="12">
        <v>331</v>
      </c>
      <c r="K162" s="12" t="s">
        <v>20</v>
      </c>
      <c r="L162" s="12">
        <v>1</v>
      </c>
      <c r="M162" s="17">
        <v>5407</v>
      </c>
      <c r="N162" s="17">
        <f t="shared" si="10"/>
        <v>5407</v>
      </c>
      <c r="P162" s="12">
        <f t="shared" si="11"/>
        <v>83</v>
      </c>
    </row>
    <row r="163" spans="1:16" ht="15" hidden="1" customHeight="1" x14ac:dyDescent="0.2">
      <c r="A163" s="12" t="s">
        <v>18</v>
      </c>
      <c r="B163" s="36">
        <v>46036</v>
      </c>
      <c r="C163" s="12">
        <f t="shared" si="8"/>
        <v>296</v>
      </c>
      <c r="D163" s="38">
        <f t="shared" si="9"/>
        <v>1</v>
      </c>
      <c r="G163" s="14" t="s">
        <v>25</v>
      </c>
      <c r="H163" s="12" t="s">
        <v>1903</v>
      </c>
      <c r="I163" s="12">
        <v>64277</v>
      </c>
      <c r="J163" s="12">
        <v>331</v>
      </c>
      <c r="K163" s="12" t="s">
        <v>20</v>
      </c>
      <c r="L163" s="12">
        <v>1</v>
      </c>
      <c r="M163" s="17">
        <v>249000</v>
      </c>
      <c r="N163" s="17">
        <f t="shared" si="10"/>
        <v>249000</v>
      </c>
      <c r="P163" s="12">
        <f t="shared" si="11"/>
        <v>62</v>
      </c>
    </row>
    <row r="164" spans="1:16" ht="15" hidden="1" customHeight="1" x14ac:dyDescent="0.2">
      <c r="A164" s="12" t="s">
        <v>18</v>
      </c>
      <c r="B164" s="36">
        <v>46036</v>
      </c>
      <c r="C164" s="12">
        <f t="shared" si="8"/>
        <v>296</v>
      </c>
      <c r="D164" s="38">
        <f t="shared" si="9"/>
        <v>0</v>
      </c>
      <c r="G164" s="14" t="s">
        <v>25</v>
      </c>
      <c r="H164" s="12" t="s">
        <v>1903</v>
      </c>
      <c r="I164" s="12">
        <v>1331</v>
      </c>
      <c r="J164" s="12">
        <v>331</v>
      </c>
      <c r="K164" s="12" t="s">
        <v>20</v>
      </c>
      <c r="L164" s="12">
        <v>1</v>
      </c>
      <c r="M164" s="17">
        <v>19920</v>
      </c>
      <c r="N164" s="17">
        <f t="shared" si="10"/>
        <v>19920</v>
      </c>
      <c r="P164" s="12">
        <f t="shared" si="11"/>
        <v>62</v>
      </c>
    </row>
    <row r="165" spans="1:16" ht="15" hidden="1" customHeight="1" x14ac:dyDescent="0.2">
      <c r="A165" s="12" t="s">
        <v>18</v>
      </c>
      <c r="B165" s="36">
        <v>46037</v>
      </c>
      <c r="C165" s="12">
        <f t="shared" si="8"/>
        <v>297</v>
      </c>
      <c r="D165" s="38">
        <f t="shared" si="9"/>
        <v>1</v>
      </c>
      <c r="G165" s="14" t="s">
        <v>344</v>
      </c>
      <c r="H165" s="12" t="s">
        <v>1904</v>
      </c>
      <c r="I165" s="12">
        <v>64277</v>
      </c>
      <c r="J165" s="12">
        <v>331</v>
      </c>
      <c r="K165" s="12" t="s">
        <v>20</v>
      </c>
      <c r="L165" s="12">
        <v>1</v>
      </c>
      <c r="M165" s="17">
        <v>34259</v>
      </c>
      <c r="N165" s="17">
        <f t="shared" si="10"/>
        <v>34259</v>
      </c>
      <c r="P165" s="12">
        <f t="shared" si="11"/>
        <v>147</v>
      </c>
    </row>
    <row r="166" spans="1:16" ht="15" hidden="1" customHeight="1" x14ac:dyDescent="0.2">
      <c r="A166" s="12" t="s">
        <v>18</v>
      </c>
      <c r="B166" s="36">
        <v>46037</v>
      </c>
      <c r="C166" s="12">
        <f t="shared" si="8"/>
        <v>297</v>
      </c>
      <c r="D166" s="38">
        <f t="shared" si="9"/>
        <v>0</v>
      </c>
      <c r="G166" s="14" t="s">
        <v>344</v>
      </c>
      <c r="H166" s="12" t="s">
        <v>1904</v>
      </c>
      <c r="I166" s="12">
        <v>1331</v>
      </c>
      <c r="J166" s="12">
        <v>331</v>
      </c>
      <c r="K166" s="12" t="s">
        <v>20</v>
      </c>
      <c r="L166" s="12">
        <v>1</v>
      </c>
      <c r="M166" s="17">
        <v>2741</v>
      </c>
      <c r="N166" s="17">
        <f t="shared" si="10"/>
        <v>2741</v>
      </c>
      <c r="P166" s="12">
        <f t="shared" si="11"/>
        <v>147</v>
      </c>
    </row>
    <row r="167" spans="1:16" ht="15" hidden="1" customHeight="1" x14ac:dyDescent="0.2">
      <c r="A167" s="12" t="s">
        <v>18</v>
      </c>
      <c r="B167" s="36">
        <v>46037</v>
      </c>
      <c r="C167" s="12">
        <f t="shared" si="8"/>
        <v>298</v>
      </c>
      <c r="D167" s="38">
        <f t="shared" si="9"/>
        <v>1</v>
      </c>
      <c r="G167" s="14" t="s">
        <v>344</v>
      </c>
      <c r="H167" s="12" t="s">
        <v>1905</v>
      </c>
      <c r="I167" s="12">
        <v>64277</v>
      </c>
      <c r="J167" s="12">
        <v>331</v>
      </c>
      <c r="K167" s="12" t="s">
        <v>20</v>
      </c>
      <c r="L167" s="12">
        <v>1</v>
      </c>
      <c r="M167" s="17">
        <v>38889</v>
      </c>
      <c r="N167" s="17">
        <f t="shared" si="10"/>
        <v>38889</v>
      </c>
      <c r="P167" s="12">
        <f t="shared" si="11"/>
        <v>83</v>
      </c>
    </row>
    <row r="168" spans="1:16" ht="15" hidden="1" customHeight="1" x14ac:dyDescent="0.2">
      <c r="A168" s="12" t="s">
        <v>18</v>
      </c>
      <c r="B168" s="36">
        <v>46037</v>
      </c>
      <c r="C168" s="12">
        <f t="shared" si="8"/>
        <v>298</v>
      </c>
      <c r="D168" s="38">
        <f t="shared" si="9"/>
        <v>0</v>
      </c>
      <c r="G168" s="14" t="s">
        <v>344</v>
      </c>
      <c r="H168" s="12" t="s">
        <v>1905</v>
      </c>
      <c r="I168" s="12">
        <v>1331</v>
      </c>
      <c r="J168" s="12">
        <v>331</v>
      </c>
      <c r="K168" s="12" t="s">
        <v>20</v>
      </c>
      <c r="L168" s="12">
        <v>1</v>
      </c>
      <c r="M168" s="17">
        <v>3111</v>
      </c>
      <c r="N168" s="17">
        <f t="shared" si="10"/>
        <v>3111</v>
      </c>
      <c r="P168" s="12">
        <f t="shared" si="11"/>
        <v>83</v>
      </c>
    </row>
    <row r="169" spans="1:16" ht="15" hidden="1" customHeight="1" x14ac:dyDescent="0.2">
      <c r="A169" s="12" t="s">
        <v>18</v>
      </c>
      <c r="B169" s="36">
        <v>46039</v>
      </c>
      <c r="C169" s="12">
        <f t="shared" si="8"/>
        <v>299</v>
      </c>
      <c r="D169" s="38">
        <f t="shared" si="9"/>
        <v>1</v>
      </c>
      <c r="G169" s="14" t="s">
        <v>340</v>
      </c>
      <c r="H169" s="12" t="s">
        <v>1907</v>
      </c>
      <c r="I169" s="12">
        <v>64277</v>
      </c>
      <c r="J169" s="12">
        <v>331</v>
      </c>
      <c r="K169" s="12" t="s">
        <v>20</v>
      </c>
      <c r="L169" s="12">
        <v>1</v>
      </c>
      <c r="M169" s="17">
        <v>895370</v>
      </c>
      <c r="N169" s="17">
        <f t="shared" si="10"/>
        <v>895370</v>
      </c>
      <c r="P169" s="12">
        <f t="shared" si="11"/>
        <v>112</v>
      </c>
    </row>
    <row r="170" spans="1:16" ht="15" hidden="1" customHeight="1" x14ac:dyDescent="0.2">
      <c r="A170" s="12" t="s">
        <v>18</v>
      </c>
      <c r="B170" s="36">
        <v>46039</v>
      </c>
      <c r="C170" s="12">
        <f t="shared" si="8"/>
        <v>299</v>
      </c>
      <c r="D170" s="38">
        <f t="shared" si="9"/>
        <v>0</v>
      </c>
      <c r="G170" s="14" t="s">
        <v>340</v>
      </c>
      <c r="H170" s="12" t="s">
        <v>1907</v>
      </c>
      <c r="I170" s="12">
        <v>1331</v>
      </c>
      <c r="J170" s="12">
        <v>331</v>
      </c>
      <c r="K170" s="12" t="s">
        <v>20</v>
      </c>
      <c r="L170" s="12">
        <v>1</v>
      </c>
      <c r="M170" s="17">
        <v>71630</v>
      </c>
      <c r="N170" s="17">
        <f t="shared" si="10"/>
        <v>71630</v>
      </c>
      <c r="P170" s="12">
        <f t="shared" si="11"/>
        <v>112</v>
      </c>
    </row>
    <row r="171" spans="1:16" ht="15" hidden="1" customHeight="1" x14ac:dyDescent="0.2">
      <c r="A171" s="12" t="s">
        <v>18</v>
      </c>
      <c r="B171" s="36">
        <v>46039</v>
      </c>
      <c r="C171" s="12">
        <f t="shared" si="8"/>
        <v>300</v>
      </c>
      <c r="D171" s="38">
        <f t="shared" si="9"/>
        <v>1</v>
      </c>
      <c r="G171" s="14" t="s">
        <v>89</v>
      </c>
      <c r="H171" s="12" t="s">
        <v>1906</v>
      </c>
      <c r="I171" s="12">
        <v>64277</v>
      </c>
      <c r="J171" s="12">
        <v>331</v>
      </c>
      <c r="K171" s="12" t="s">
        <v>20</v>
      </c>
      <c r="L171" s="12">
        <v>1</v>
      </c>
      <c r="M171" s="17">
        <v>25000</v>
      </c>
      <c r="N171" s="17">
        <f t="shared" si="10"/>
        <v>25000</v>
      </c>
      <c r="P171" s="12">
        <f t="shared" si="11"/>
        <v>72</v>
      </c>
    </row>
    <row r="172" spans="1:16" ht="15" hidden="1" customHeight="1" x14ac:dyDescent="0.2">
      <c r="A172" s="12" t="s">
        <v>18</v>
      </c>
      <c r="B172" s="36">
        <v>46039</v>
      </c>
      <c r="C172" s="12">
        <f t="shared" si="8"/>
        <v>300</v>
      </c>
      <c r="D172" s="38">
        <f t="shared" si="9"/>
        <v>0</v>
      </c>
      <c r="G172" s="14" t="s">
        <v>89</v>
      </c>
      <c r="H172" s="12" t="s">
        <v>1906</v>
      </c>
      <c r="I172" s="12">
        <v>1331</v>
      </c>
      <c r="J172" s="12">
        <v>331</v>
      </c>
      <c r="K172" s="12" t="s">
        <v>20</v>
      </c>
      <c r="L172" s="12">
        <v>1</v>
      </c>
      <c r="M172" s="17">
        <v>2000</v>
      </c>
      <c r="N172" s="17">
        <f t="shared" si="10"/>
        <v>2000</v>
      </c>
      <c r="P172" s="12">
        <f t="shared" si="11"/>
        <v>72</v>
      </c>
    </row>
    <row r="173" spans="1:16" ht="15" hidden="1" customHeight="1" x14ac:dyDescent="0.2">
      <c r="A173" s="12" t="s">
        <v>18</v>
      </c>
      <c r="B173" s="36">
        <v>46040</v>
      </c>
      <c r="C173" s="12">
        <f t="shared" si="8"/>
        <v>301</v>
      </c>
      <c r="D173" s="38">
        <f t="shared" si="9"/>
        <v>1</v>
      </c>
      <c r="G173" s="14" t="s">
        <v>1908</v>
      </c>
      <c r="H173" s="12" t="s">
        <v>4611</v>
      </c>
      <c r="I173" s="12">
        <v>64277</v>
      </c>
      <c r="J173" s="12">
        <v>331</v>
      </c>
      <c r="K173" s="12" t="s">
        <v>20</v>
      </c>
      <c r="L173" s="12">
        <v>1</v>
      </c>
      <c r="M173" s="17">
        <v>1688000</v>
      </c>
      <c r="N173" s="17">
        <f t="shared" si="10"/>
        <v>1688000</v>
      </c>
      <c r="P173" s="12">
        <f t="shared" si="11"/>
        <v>39</v>
      </c>
    </row>
    <row r="174" spans="1:16" ht="15" hidden="1" customHeight="1" x14ac:dyDescent="0.2">
      <c r="A174" s="12" t="s">
        <v>18</v>
      </c>
      <c r="B174" s="36">
        <v>46040</v>
      </c>
      <c r="C174" s="12">
        <f t="shared" si="8"/>
        <v>301</v>
      </c>
      <c r="D174" s="38">
        <f t="shared" si="9"/>
        <v>0</v>
      </c>
      <c r="G174" s="14" t="s">
        <v>1908</v>
      </c>
      <c r="H174" s="12" t="s">
        <v>4611</v>
      </c>
      <c r="I174" s="12">
        <v>1331</v>
      </c>
      <c r="J174" s="12">
        <v>331</v>
      </c>
      <c r="K174" s="12" t="s">
        <v>20</v>
      </c>
      <c r="L174" s="12">
        <v>1</v>
      </c>
      <c r="M174" s="17">
        <v>0</v>
      </c>
      <c r="N174" s="17">
        <f t="shared" si="10"/>
        <v>0</v>
      </c>
      <c r="P174" s="12">
        <f t="shared" si="11"/>
        <v>39</v>
      </c>
    </row>
    <row r="175" spans="1:16" ht="15" hidden="1" customHeight="1" x14ac:dyDescent="0.2">
      <c r="A175" s="12" t="s">
        <v>18</v>
      </c>
      <c r="B175" s="36">
        <v>46041</v>
      </c>
      <c r="C175" s="12">
        <f t="shared" si="8"/>
        <v>302</v>
      </c>
      <c r="D175" s="38">
        <f t="shared" si="9"/>
        <v>1</v>
      </c>
      <c r="G175" s="14" t="s">
        <v>344</v>
      </c>
      <c r="H175" s="12" t="s">
        <v>1909</v>
      </c>
      <c r="I175" s="12">
        <v>64277</v>
      </c>
      <c r="J175" s="12">
        <v>331</v>
      </c>
      <c r="K175" s="12" t="s">
        <v>20</v>
      </c>
      <c r="L175" s="12">
        <v>1</v>
      </c>
      <c r="M175" s="17">
        <v>26852</v>
      </c>
      <c r="N175" s="17">
        <f t="shared" si="10"/>
        <v>26852</v>
      </c>
      <c r="P175" s="12">
        <f t="shared" si="11"/>
        <v>83</v>
      </c>
    </row>
    <row r="176" spans="1:16" ht="15" hidden="1" customHeight="1" x14ac:dyDescent="0.2">
      <c r="A176" s="12" t="s">
        <v>18</v>
      </c>
      <c r="B176" s="36">
        <v>46041</v>
      </c>
      <c r="C176" s="12">
        <f t="shared" si="8"/>
        <v>302</v>
      </c>
      <c r="D176" s="38">
        <f t="shared" si="9"/>
        <v>0</v>
      </c>
      <c r="G176" s="14" t="s">
        <v>344</v>
      </c>
      <c r="H176" s="12" t="s">
        <v>1909</v>
      </c>
      <c r="I176" s="12">
        <v>1331</v>
      </c>
      <c r="J176" s="12">
        <v>331</v>
      </c>
      <c r="K176" s="12" t="s">
        <v>20</v>
      </c>
      <c r="L176" s="12">
        <v>1</v>
      </c>
      <c r="M176" s="17">
        <v>2148</v>
      </c>
      <c r="N176" s="17">
        <f t="shared" si="10"/>
        <v>2148</v>
      </c>
      <c r="P176" s="12">
        <f t="shared" si="11"/>
        <v>83</v>
      </c>
    </row>
    <row r="177" spans="1:16" ht="15" hidden="1" customHeight="1" x14ac:dyDescent="0.2">
      <c r="A177" s="12" t="s">
        <v>18</v>
      </c>
      <c r="B177" s="36">
        <v>46041</v>
      </c>
      <c r="C177" s="12">
        <f t="shared" si="8"/>
        <v>303</v>
      </c>
      <c r="D177" s="38">
        <f t="shared" si="9"/>
        <v>1</v>
      </c>
      <c r="G177" s="14" t="s">
        <v>1910</v>
      </c>
      <c r="H177" s="12" t="s">
        <v>1911</v>
      </c>
      <c r="I177" s="12">
        <v>64277</v>
      </c>
      <c r="J177" s="12">
        <v>331</v>
      </c>
      <c r="K177" s="12" t="s">
        <v>20</v>
      </c>
      <c r="L177" s="12">
        <v>1</v>
      </c>
      <c r="M177" s="17">
        <v>380000</v>
      </c>
      <c r="N177" s="17">
        <f t="shared" si="10"/>
        <v>380000</v>
      </c>
      <c r="P177" s="12">
        <f t="shared" si="11"/>
        <v>70</v>
      </c>
    </row>
    <row r="178" spans="1:16" ht="15" hidden="1" customHeight="1" x14ac:dyDescent="0.2">
      <c r="A178" s="12" t="s">
        <v>18</v>
      </c>
      <c r="B178" s="36">
        <v>46041</v>
      </c>
      <c r="C178" s="12">
        <f t="shared" si="8"/>
        <v>303</v>
      </c>
      <c r="D178" s="38">
        <f t="shared" si="9"/>
        <v>0</v>
      </c>
      <c r="G178" s="14" t="s">
        <v>1910</v>
      </c>
      <c r="H178" s="12" t="s">
        <v>1911</v>
      </c>
      <c r="I178" s="12">
        <v>1331</v>
      </c>
      <c r="J178" s="12">
        <v>331</v>
      </c>
      <c r="K178" s="12" t="s">
        <v>20</v>
      </c>
      <c r="L178" s="12">
        <v>1</v>
      </c>
      <c r="M178" s="17">
        <v>30400</v>
      </c>
      <c r="N178" s="17">
        <f t="shared" si="10"/>
        <v>30400</v>
      </c>
      <c r="P178" s="12">
        <f t="shared" si="11"/>
        <v>70</v>
      </c>
    </row>
    <row r="179" spans="1:16" ht="15" hidden="1" customHeight="1" x14ac:dyDescent="0.2">
      <c r="A179" s="12" t="s">
        <v>18</v>
      </c>
      <c r="B179" s="36">
        <v>46043</v>
      </c>
      <c r="C179" s="12">
        <f t="shared" si="8"/>
        <v>304</v>
      </c>
      <c r="D179" s="38">
        <f t="shared" si="9"/>
        <v>1</v>
      </c>
      <c r="G179" s="14" t="s">
        <v>344</v>
      </c>
      <c r="H179" s="12" t="s">
        <v>1912</v>
      </c>
      <c r="I179" s="12">
        <v>64277</v>
      </c>
      <c r="J179" s="12">
        <v>331</v>
      </c>
      <c r="K179" s="12" t="s">
        <v>20</v>
      </c>
      <c r="L179" s="12">
        <v>1</v>
      </c>
      <c r="M179" s="17">
        <v>23148</v>
      </c>
      <c r="N179" s="17">
        <f t="shared" si="10"/>
        <v>23148</v>
      </c>
      <c r="P179" s="12">
        <f t="shared" si="11"/>
        <v>83</v>
      </c>
    </row>
    <row r="180" spans="1:16" ht="15" hidden="1" customHeight="1" x14ac:dyDescent="0.2">
      <c r="A180" s="12" t="s">
        <v>18</v>
      </c>
      <c r="B180" s="36">
        <v>46043</v>
      </c>
      <c r="C180" s="12">
        <f t="shared" si="8"/>
        <v>304</v>
      </c>
      <c r="D180" s="38">
        <f t="shared" si="9"/>
        <v>0</v>
      </c>
      <c r="G180" s="14" t="s">
        <v>344</v>
      </c>
      <c r="H180" s="12" t="s">
        <v>1912</v>
      </c>
      <c r="I180" s="12">
        <v>1331</v>
      </c>
      <c r="J180" s="12">
        <v>331</v>
      </c>
      <c r="K180" s="12" t="s">
        <v>20</v>
      </c>
      <c r="L180" s="12">
        <v>1</v>
      </c>
      <c r="M180" s="17">
        <v>1852</v>
      </c>
      <c r="N180" s="17">
        <f t="shared" si="10"/>
        <v>1852</v>
      </c>
      <c r="P180" s="12">
        <f t="shared" si="11"/>
        <v>83</v>
      </c>
    </row>
    <row r="181" spans="1:16" ht="15" hidden="1" customHeight="1" x14ac:dyDescent="0.2">
      <c r="A181" s="12" t="s">
        <v>18</v>
      </c>
      <c r="B181" s="36">
        <v>46044</v>
      </c>
      <c r="C181" s="12">
        <f t="shared" si="8"/>
        <v>305</v>
      </c>
      <c r="D181" s="38">
        <f t="shared" si="9"/>
        <v>1</v>
      </c>
      <c r="G181" s="14" t="s">
        <v>89</v>
      </c>
      <c r="H181" s="12" t="s">
        <v>1913</v>
      </c>
      <c r="I181" s="12">
        <v>64277</v>
      </c>
      <c r="J181" s="12">
        <v>331</v>
      </c>
      <c r="K181" s="12" t="s">
        <v>20</v>
      </c>
      <c r="L181" s="12">
        <v>1</v>
      </c>
      <c r="M181" s="17">
        <v>18519</v>
      </c>
      <c r="N181" s="17">
        <f t="shared" si="10"/>
        <v>18519</v>
      </c>
      <c r="P181" s="12">
        <f t="shared" si="11"/>
        <v>72</v>
      </c>
    </row>
    <row r="182" spans="1:16" ht="15" hidden="1" customHeight="1" x14ac:dyDescent="0.2">
      <c r="A182" s="12" t="s">
        <v>18</v>
      </c>
      <c r="B182" s="36">
        <v>46044</v>
      </c>
      <c r="C182" s="12">
        <f t="shared" si="8"/>
        <v>305</v>
      </c>
      <c r="D182" s="38">
        <f t="shared" si="9"/>
        <v>0</v>
      </c>
      <c r="G182" s="14" t="s">
        <v>89</v>
      </c>
      <c r="H182" s="12" t="s">
        <v>1913</v>
      </c>
      <c r="I182" s="12">
        <v>1331</v>
      </c>
      <c r="J182" s="12">
        <v>331</v>
      </c>
      <c r="K182" s="12" t="s">
        <v>20</v>
      </c>
      <c r="L182" s="12">
        <v>1</v>
      </c>
      <c r="M182" s="17">
        <v>1481</v>
      </c>
      <c r="N182" s="17">
        <f t="shared" si="10"/>
        <v>1481</v>
      </c>
      <c r="P182" s="12">
        <f t="shared" si="11"/>
        <v>72</v>
      </c>
    </row>
    <row r="183" spans="1:16" ht="15" hidden="1" customHeight="1" x14ac:dyDescent="0.2">
      <c r="A183" s="12" t="s">
        <v>18</v>
      </c>
      <c r="B183" s="36">
        <v>46045</v>
      </c>
      <c r="C183" s="12">
        <f t="shared" si="8"/>
        <v>306</v>
      </c>
      <c r="D183" s="38">
        <f t="shared" si="9"/>
        <v>1</v>
      </c>
      <c r="G183" s="14" t="s">
        <v>25</v>
      </c>
      <c r="H183" s="12" t="s">
        <v>1914</v>
      </c>
      <c r="I183" s="12">
        <v>64277</v>
      </c>
      <c r="J183" s="12">
        <v>331</v>
      </c>
      <c r="K183" s="12" t="s">
        <v>20</v>
      </c>
      <c r="L183" s="12">
        <v>1</v>
      </c>
      <c r="M183" s="17">
        <v>675000</v>
      </c>
      <c r="N183" s="17">
        <f t="shared" si="10"/>
        <v>675000</v>
      </c>
      <c r="P183" s="12">
        <f t="shared" si="11"/>
        <v>107</v>
      </c>
    </row>
    <row r="184" spans="1:16" ht="15" hidden="1" customHeight="1" x14ac:dyDescent="0.2">
      <c r="A184" s="12" t="s">
        <v>18</v>
      </c>
      <c r="B184" s="36">
        <v>46045</v>
      </c>
      <c r="C184" s="12">
        <f t="shared" si="8"/>
        <v>306</v>
      </c>
      <c r="D184" s="38">
        <f t="shared" si="9"/>
        <v>0</v>
      </c>
      <c r="G184" s="14" t="s">
        <v>25</v>
      </c>
      <c r="H184" s="12" t="s">
        <v>1914</v>
      </c>
      <c r="I184" s="12">
        <v>1331</v>
      </c>
      <c r="J184" s="12">
        <v>331</v>
      </c>
      <c r="K184" s="12" t="s">
        <v>20</v>
      </c>
      <c r="L184" s="12">
        <v>1</v>
      </c>
      <c r="M184" s="17">
        <v>54000</v>
      </c>
      <c r="N184" s="17">
        <f t="shared" si="10"/>
        <v>54000</v>
      </c>
      <c r="P184" s="12">
        <f t="shared" si="11"/>
        <v>107</v>
      </c>
    </row>
    <row r="185" spans="1:16" ht="15" hidden="1" customHeight="1" x14ac:dyDescent="0.2">
      <c r="A185" s="12" t="s">
        <v>18</v>
      </c>
      <c r="B185" s="13">
        <v>46046</v>
      </c>
      <c r="C185" s="12">
        <f t="shared" si="8"/>
        <v>307</v>
      </c>
      <c r="D185" s="38">
        <f t="shared" si="9"/>
        <v>1</v>
      </c>
      <c r="G185" s="14" t="s">
        <v>29</v>
      </c>
      <c r="H185" s="12" t="s">
        <v>1960</v>
      </c>
      <c r="I185" s="12">
        <v>131</v>
      </c>
      <c r="J185" s="12">
        <v>5113</v>
      </c>
      <c r="K185" s="12" t="s">
        <v>20</v>
      </c>
      <c r="L185" s="12">
        <v>1</v>
      </c>
      <c r="M185" s="17">
        <v>22222222</v>
      </c>
      <c r="N185" s="17">
        <f t="shared" si="10"/>
        <v>22222222</v>
      </c>
      <c r="P185" s="12">
        <f t="shared" si="11"/>
        <v>133</v>
      </c>
    </row>
    <row r="186" spans="1:16" ht="15" customHeight="1" x14ac:dyDescent="0.2">
      <c r="A186" s="12" t="s">
        <v>18</v>
      </c>
      <c r="B186" s="13">
        <v>46046</v>
      </c>
      <c r="C186" s="12">
        <f t="shared" si="8"/>
        <v>308</v>
      </c>
      <c r="D186" s="38">
        <f t="shared" si="9"/>
        <v>1</v>
      </c>
      <c r="G186" s="14" t="s">
        <v>29</v>
      </c>
      <c r="H186" s="12" t="s">
        <v>4693</v>
      </c>
      <c r="I186" s="12">
        <v>333821</v>
      </c>
      <c r="J186" s="12">
        <v>131</v>
      </c>
      <c r="K186" s="12" t="s">
        <v>20</v>
      </c>
      <c r="L186" s="12">
        <v>1</v>
      </c>
      <c r="M186" s="17">
        <v>222222</v>
      </c>
      <c r="N186" s="17">
        <f t="shared" si="10"/>
        <v>222222</v>
      </c>
      <c r="P186" s="12">
        <f t="shared" si="11"/>
        <v>149</v>
      </c>
    </row>
    <row r="187" spans="1:16" ht="15" hidden="1" customHeight="1" x14ac:dyDescent="0.2">
      <c r="A187" s="12" t="s">
        <v>18</v>
      </c>
      <c r="B187" s="13">
        <v>46049</v>
      </c>
      <c r="C187" s="12">
        <f t="shared" si="8"/>
        <v>309</v>
      </c>
      <c r="D187" s="38">
        <f t="shared" si="9"/>
        <v>1</v>
      </c>
      <c r="G187" s="14" t="s">
        <v>67</v>
      </c>
      <c r="H187" s="12" t="s">
        <v>1961</v>
      </c>
      <c r="I187" s="12">
        <v>131</v>
      </c>
      <c r="J187" s="12">
        <v>5113</v>
      </c>
      <c r="K187" s="12" t="s">
        <v>20</v>
      </c>
      <c r="L187" s="12">
        <v>1</v>
      </c>
      <c r="M187" s="17">
        <v>3333333</v>
      </c>
      <c r="N187" s="17">
        <f t="shared" si="10"/>
        <v>3333333</v>
      </c>
      <c r="P187" s="12">
        <f t="shared" si="11"/>
        <v>109</v>
      </c>
    </row>
    <row r="188" spans="1:16" ht="15" customHeight="1" x14ac:dyDescent="0.2">
      <c r="A188" s="12" t="s">
        <v>18</v>
      </c>
      <c r="B188" s="13">
        <v>46049</v>
      </c>
      <c r="C188" s="12">
        <f t="shared" si="8"/>
        <v>310</v>
      </c>
      <c r="D188" s="38">
        <f t="shared" si="9"/>
        <v>1</v>
      </c>
      <c r="G188" s="14" t="s">
        <v>67</v>
      </c>
      <c r="H188" s="12" t="s">
        <v>4694</v>
      </c>
      <c r="I188" s="12">
        <v>333821</v>
      </c>
      <c r="J188" s="12">
        <v>131</v>
      </c>
      <c r="K188" s="12" t="s">
        <v>20</v>
      </c>
      <c r="L188" s="12">
        <v>1</v>
      </c>
      <c r="M188" s="17">
        <v>33333</v>
      </c>
      <c r="N188" s="17">
        <f t="shared" si="10"/>
        <v>33333</v>
      </c>
      <c r="P188" s="12">
        <f t="shared" si="11"/>
        <v>125</v>
      </c>
    </row>
    <row r="189" spans="1:16" ht="15" hidden="1" customHeight="1" x14ac:dyDescent="0.2">
      <c r="A189" s="12" t="s">
        <v>18</v>
      </c>
      <c r="B189" s="36">
        <v>46050</v>
      </c>
      <c r="C189" s="12">
        <f t="shared" si="8"/>
        <v>311</v>
      </c>
      <c r="D189" s="38">
        <f t="shared" si="9"/>
        <v>1</v>
      </c>
      <c r="G189" s="14" t="s">
        <v>89</v>
      </c>
      <c r="H189" s="12" t="s">
        <v>1915</v>
      </c>
      <c r="I189" s="12">
        <v>64277</v>
      </c>
      <c r="J189" s="12">
        <v>331</v>
      </c>
      <c r="K189" s="12" t="s">
        <v>20</v>
      </c>
      <c r="L189" s="12">
        <v>1</v>
      </c>
      <c r="M189" s="17">
        <v>12037</v>
      </c>
      <c r="N189" s="17">
        <f t="shared" si="10"/>
        <v>12037</v>
      </c>
      <c r="P189" s="12">
        <f t="shared" si="11"/>
        <v>72</v>
      </c>
    </row>
    <row r="190" spans="1:16" ht="15" hidden="1" customHeight="1" x14ac:dyDescent="0.2">
      <c r="A190" s="12" t="s">
        <v>18</v>
      </c>
      <c r="B190" s="36">
        <v>46050</v>
      </c>
      <c r="C190" s="12">
        <f t="shared" si="8"/>
        <v>311</v>
      </c>
      <c r="D190" s="38">
        <f t="shared" si="9"/>
        <v>0</v>
      </c>
      <c r="G190" s="14" t="s">
        <v>89</v>
      </c>
      <c r="H190" s="12" t="s">
        <v>1915</v>
      </c>
      <c r="I190" s="12">
        <v>1331</v>
      </c>
      <c r="J190" s="12">
        <v>331</v>
      </c>
      <c r="K190" s="12" t="s">
        <v>20</v>
      </c>
      <c r="L190" s="12">
        <v>1</v>
      </c>
      <c r="M190" s="17">
        <v>963</v>
      </c>
      <c r="N190" s="17">
        <f t="shared" si="10"/>
        <v>963</v>
      </c>
      <c r="P190" s="12">
        <f t="shared" si="11"/>
        <v>72</v>
      </c>
    </row>
    <row r="191" spans="1:16" ht="15" hidden="1" customHeight="1" x14ac:dyDescent="0.2">
      <c r="A191" s="12" t="s">
        <v>18</v>
      </c>
      <c r="B191" s="36">
        <v>46051</v>
      </c>
      <c r="C191" s="12">
        <f t="shared" si="8"/>
        <v>312</v>
      </c>
      <c r="D191" s="38">
        <f t="shared" si="9"/>
        <v>1</v>
      </c>
      <c r="G191" s="14" t="s">
        <v>344</v>
      </c>
      <c r="H191" s="12" t="s">
        <v>1916</v>
      </c>
      <c r="I191" s="12">
        <v>64277</v>
      </c>
      <c r="J191" s="12">
        <v>331</v>
      </c>
      <c r="K191" s="12" t="s">
        <v>20</v>
      </c>
      <c r="L191" s="12">
        <v>1</v>
      </c>
      <c r="M191" s="17">
        <v>183334</v>
      </c>
      <c r="N191" s="17">
        <f t="shared" si="10"/>
        <v>183334</v>
      </c>
      <c r="P191" s="12">
        <f t="shared" si="11"/>
        <v>83</v>
      </c>
    </row>
    <row r="192" spans="1:16" ht="15" hidden="1" customHeight="1" x14ac:dyDescent="0.2">
      <c r="A192" s="12" t="s">
        <v>18</v>
      </c>
      <c r="B192" s="36">
        <v>46051</v>
      </c>
      <c r="C192" s="12">
        <f t="shared" si="8"/>
        <v>312</v>
      </c>
      <c r="D192" s="38">
        <f t="shared" si="9"/>
        <v>0</v>
      </c>
      <c r="G192" s="14" t="s">
        <v>344</v>
      </c>
      <c r="H192" s="12" t="s">
        <v>1916</v>
      </c>
      <c r="I192" s="12">
        <v>1331</v>
      </c>
      <c r="J192" s="12">
        <v>331</v>
      </c>
      <c r="K192" s="12" t="s">
        <v>20</v>
      </c>
      <c r="L192" s="12">
        <v>1</v>
      </c>
      <c r="M192" s="17">
        <v>14666</v>
      </c>
      <c r="N192" s="17">
        <f t="shared" si="10"/>
        <v>14666</v>
      </c>
      <c r="P192" s="12">
        <f t="shared" si="11"/>
        <v>83</v>
      </c>
    </row>
    <row r="193" spans="1:16" ht="15" hidden="1" customHeight="1" x14ac:dyDescent="0.2">
      <c r="A193" s="12" t="s">
        <v>18</v>
      </c>
      <c r="B193" s="36">
        <v>46052</v>
      </c>
      <c r="C193" s="12">
        <f t="shared" si="8"/>
        <v>313</v>
      </c>
      <c r="D193" s="38">
        <f t="shared" si="9"/>
        <v>1</v>
      </c>
      <c r="G193" s="14" t="s">
        <v>344</v>
      </c>
      <c r="H193" s="12" t="s">
        <v>1918</v>
      </c>
      <c r="I193" s="12">
        <v>64277</v>
      </c>
      <c r="J193" s="12">
        <v>331</v>
      </c>
      <c r="K193" s="12" t="s">
        <v>20</v>
      </c>
      <c r="L193" s="12">
        <v>1</v>
      </c>
      <c r="M193" s="17">
        <v>33334</v>
      </c>
      <c r="N193" s="17">
        <f t="shared" si="10"/>
        <v>33334</v>
      </c>
      <c r="P193" s="12">
        <f t="shared" si="11"/>
        <v>83</v>
      </c>
    </row>
    <row r="194" spans="1:16" ht="15" hidden="1" customHeight="1" x14ac:dyDescent="0.2">
      <c r="A194" s="12" t="s">
        <v>18</v>
      </c>
      <c r="B194" s="36">
        <v>46052</v>
      </c>
      <c r="C194" s="12">
        <f t="shared" si="8"/>
        <v>313</v>
      </c>
      <c r="D194" s="38">
        <f t="shared" si="9"/>
        <v>0</v>
      </c>
      <c r="G194" s="14" t="s">
        <v>344</v>
      </c>
      <c r="H194" s="12" t="s">
        <v>1918</v>
      </c>
      <c r="I194" s="12">
        <v>1331</v>
      </c>
      <c r="J194" s="12">
        <v>331</v>
      </c>
      <c r="K194" s="12" t="s">
        <v>20</v>
      </c>
      <c r="L194" s="12">
        <v>1</v>
      </c>
      <c r="M194" s="17">
        <v>2666</v>
      </c>
      <c r="N194" s="17">
        <f t="shared" si="10"/>
        <v>2666</v>
      </c>
      <c r="P194" s="12">
        <f t="shared" si="11"/>
        <v>83</v>
      </c>
    </row>
    <row r="195" spans="1:16" ht="15" hidden="1" customHeight="1" x14ac:dyDescent="0.2">
      <c r="A195" s="12" t="s">
        <v>18</v>
      </c>
      <c r="B195" s="36">
        <v>46052</v>
      </c>
      <c r="C195" s="12">
        <f t="shared" si="8"/>
        <v>314</v>
      </c>
      <c r="D195" s="38">
        <f t="shared" si="9"/>
        <v>1</v>
      </c>
      <c r="G195" s="14" t="s">
        <v>89</v>
      </c>
      <c r="H195" s="12" t="s">
        <v>1917</v>
      </c>
      <c r="I195" s="12">
        <v>64277</v>
      </c>
      <c r="J195" s="12">
        <v>331</v>
      </c>
      <c r="K195" s="12" t="s">
        <v>20</v>
      </c>
      <c r="L195" s="12">
        <v>1</v>
      </c>
      <c r="M195" s="17">
        <v>115741</v>
      </c>
      <c r="N195" s="17">
        <f t="shared" si="10"/>
        <v>115741</v>
      </c>
      <c r="P195" s="12">
        <f t="shared" si="11"/>
        <v>72</v>
      </c>
    </row>
    <row r="196" spans="1:16" ht="15" hidden="1" customHeight="1" x14ac:dyDescent="0.2">
      <c r="A196" s="12" t="s">
        <v>18</v>
      </c>
      <c r="B196" s="36">
        <v>46052</v>
      </c>
      <c r="C196" s="12">
        <f t="shared" ref="C196:C259" si="12">C195+D196</f>
        <v>314</v>
      </c>
      <c r="D196" s="38">
        <f t="shared" ref="D196:D259" si="13">IF(H196=H195,0,1)</f>
        <v>0</v>
      </c>
      <c r="G196" s="14" t="s">
        <v>89</v>
      </c>
      <c r="H196" s="12" t="s">
        <v>1917</v>
      </c>
      <c r="I196" s="12">
        <v>1331</v>
      </c>
      <c r="J196" s="12">
        <v>331</v>
      </c>
      <c r="K196" s="12" t="s">
        <v>20</v>
      </c>
      <c r="L196" s="12">
        <v>1</v>
      </c>
      <c r="M196" s="17">
        <v>9259</v>
      </c>
      <c r="N196" s="17">
        <f t="shared" ref="N196:N259" si="14">L196*M196</f>
        <v>9259</v>
      </c>
      <c r="P196" s="12">
        <f t="shared" si="11"/>
        <v>72</v>
      </c>
    </row>
    <row r="197" spans="1:16" ht="15" hidden="1" customHeight="1" x14ac:dyDescent="0.2">
      <c r="A197" s="12" t="s">
        <v>18</v>
      </c>
      <c r="B197" s="13">
        <v>46052</v>
      </c>
      <c r="C197" s="12">
        <f t="shared" si="12"/>
        <v>315</v>
      </c>
      <c r="D197" s="38">
        <f t="shared" si="13"/>
        <v>1</v>
      </c>
      <c r="G197" s="14" t="s">
        <v>240</v>
      </c>
      <c r="H197" s="12" t="s">
        <v>1962</v>
      </c>
      <c r="I197" s="12">
        <v>131</v>
      </c>
      <c r="J197" s="12">
        <v>5113</v>
      </c>
      <c r="K197" s="12" t="s">
        <v>20</v>
      </c>
      <c r="L197" s="12">
        <v>1</v>
      </c>
      <c r="M197" s="17">
        <v>16666667</v>
      </c>
      <c r="N197" s="17">
        <f t="shared" si="14"/>
        <v>16666667</v>
      </c>
      <c r="P197" s="12">
        <f t="shared" ref="P197:P260" si="15">LEN(H197)</f>
        <v>142</v>
      </c>
    </row>
    <row r="198" spans="1:16" ht="15" customHeight="1" x14ac:dyDescent="0.2">
      <c r="A198" s="12" t="s">
        <v>18</v>
      </c>
      <c r="B198" s="13">
        <v>46052</v>
      </c>
      <c r="C198" s="12">
        <f t="shared" si="12"/>
        <v>316</v>
      </c>
      <c r="D198" s="38">
        <f t="shared" si="13"/>
        <v>1</v>
      </c>
      <c r="G198" s="14" t="s">
        <v>240</v>
      </c>
      <c r="H198" s="12" t="s">
        <v>4695</v>
      </c>
      <c r="I198" s="12">
        <v>333821</v>
      </c>
      <c r="J198" s="12">
        <v>131</v>
      </c>
      <c r="K198" s="12" t="s">
        <v>20</v>
      </c>
      <c r="L198" s="12">
        <v>1</v>
      </c>
      <c r="M198" s="17">
        <v>166667</v>
      </c>
      <c r="N198" s="17">
        <f t="shared" si="14"/>
        <v>166667</v>
      </c>
      <c r="P198" s="12">
        <f t="shared" si="15"/>
        <v>158</v>
      </c>
    </row>
    <row r="199" spans="1:16" ht="15" hidden="1" customHeight="1" x14ac:dyDescent="0.2">
      <c r="A199" s="12" t="s">
        <v>18</v>
      </c>
      <c r="B199" s="13">
        <v>46052</v>
      </c>
      <c r="C199" s="12">
        <f t="shared" si="12"/>
        <v>317</v>
      </c>
      <c r="D199" s="38">
        <f t="shared" si="13"/>
        <v>1</v>
      </c>
      <c r="G199" s="14" t="s">
        <v>1963</v>
      </c>
      <c r="H199" s="12" t="s">
        <v>1964</v>
      </c>
      <c r="I199" s="12">
        <v>131</v>
      </c>
      <c r="J199" s="12">
        <v>5113</v>
      </c>
      <c r="K199" s="12" t="s">
        <v>20</v>
      </c>
      <c r="L199" s="12">
        <v>1</v>
      </c>
      <c r="M199" s="17">
        <v>43357576</v>
      </c>
      <c r="N199" s="17">
        <f t="shared" si="14"/>
        <v>43357576</v>
      </c>
      <c r="P199" s="12">
        <f t="shared" si="15"/>
        <v>153</v>
      </c>
    </row>
    <row r="200" spans="1:16" ht="15" customHeight="1" x14ac:dyDescent="0.2">
      <c r="A200" s="12" t="s">
        <v>18</v>
      </c>
      <c r="B200" s="13">
        <v>46052</v>
      </c>
      <c r="C200" s="12">
        <f t="shared" si="12"/>
        <v>318</v>
      </c>
      <c r="D200" s="38">
        <f t="shared" si="13"/>
        <v>1</v>
      </c>
      <c r="G200" s="14" t="s">
        <v>1963</v>
      </c>
      <c r="H200" s="12" t="s">
        <v>4696</v>
      </c>
      <c r="I200" s="12">
        <v>333821</v>
      </c>
      <c r="J200" s="12">
        <v>131</v>
      </c>
      <c r="K200" s="12" t="s">
        <v>20</v>
      </c>
      <c r="L200" s="12">
        <v>1</v>
      </c>
      <c r="M200" s="17">
        <v>433576</v>
      </c>
      <c r="N200" s="17">
        <f t="shared" si="14"/>
        <v>433576</v>
      </c>
      <c r="P200" s="12">
        <f t="shared" si="15"/>
        <v>169</v>
      </c>
    </row>
    <row r="201" spans="1:16" ht="15" hidden="1" customHeight="1" x14ac:dyDescent="0.2">
      <c r="A201" s="12" t="s">
        <v>18</v>
      </c>
      <c r="B201" s="13">
        <v>46052</v>
      </c>
      <c r="C201" s="12">
        <f t="shared" si="12"/>
        <v>319</v>
      </c>
      <c r="D201" s="38">
        <f t="shared" si="13"/>
        <v>1</v>
      </c>
      <c r="G201" s="14" t="s">
        <v>57</v>
      </c>
      <c r="H201" s="12" t="s">
        <v>1965</v>
      </c>
      <c r="I201" s="12">
        <v>131</v>
      </c>
      <c r="J201" s="12">
        <v>5113</v>
      </c>
      <c r="K201" s="12" t="s">
        <v>20</v>
      </c>
      <c r="L201" s="12">
        <v>1</v>
      </c>
      <c r="M201" s="17">
        <v>16666667</v>
      </c>
      <c r="N201" s="17">
        <f t="shared" si="14"/>
        <v>16666667</v>
      </c>
      <c r="P201" s="12">
        <f t="shared" si="15"/>
        <v>164</v>
      </c>
    </row>
    <row r="202" spans="1:16" ht="15" customHeight="1" x14ac:dyDescent="0.2">
      <c r="A202" s="12" t="s">
        <v>18</v>
      </c>
      <c r="B202" s="13">
        <v>46052</v>
      </c>
      <c r="C202" s="12">
        <f t="shared" si="12"/>
        <v>320</v>
      </c>
      <c r="D202" s="38">
        <f t="shared" si="13"/>
        <v>1</v>
      </c>
      <c r="G202" s="14" t="s">
        <v>57</v>
      </c>
      <c r="H202" s="12" t="s">
        <v>4697</v>
      </c>
      <c r="I202" s="12">
        <v>333821</v>
      </c>
      <c r="J202" s="12">
        <v>131</v>
      </c>
      <c r="K202" s="12" t="s">
        <v>20</v>
      </c>
      <c r="L202" s="12">
        <v>1</v>
      </c>
      <c r="M202" s="17">
        <v>166667</v>
      </c>
      <c r="N202" s="17">
        <f t="shared" si="14"/>
        <v>166667</v>
      </c>
      <c r="P202" s="12">
        <f t="shared" si="15"/>
        <v>180</v>
      </c>
    </row>
    <row r="203" spans="1:16" ht="15" hidden="1" customHeight="1" x14ac:dyDescent="0.2">
      <c r="A203" s="12" t="s">
        <v>18</v>
      </c>
      <c r="B203" s="36">
        <v>46053</v>
      </c>
      <c r="C203" s="12">
        <f t="shared" si="12"/>
        <v>321</v>
      </c>
      <c r="D203" s="38">
        <f t="shared" si="13"/>
        <v>1</v>
      </c>
      <c r="G203" s="14" t="s">
        <v>39</v>
      </c>
      <c r="H203" s="12" t="s">
        <v>455</v>
      </c>
      <c r="I203" s="12">
        <v>64271</v>
      </c>
      <c r="J203" s="12">
        <v>3383</v>
      </c>
      <c r="K203" s="12" t="s">
        <v>20</v>
      </c>
      <c r="L203" s="12">
        <v>1</v>
      </c>
      <c r="M203" s="17">
        <v>690300</v>
      </c>
      <c r="N203" s="17">
        <f t="shared" si="14"/>
        <v>690300</v>
      </c>
      <c r="P203" s="12">
        <f t="shared" si="15"/>
        <v>30</v>
      </c>
    </row>
    <row r="204" spans="1:16" ht="15" hidden="1" customHeight="1" x14ac:dyDescent="0.2">
      <c r="A204" s="12" t="s">
        <v>18</v>
      </c>
      <c r="B204" s="36">
        <v>46053</v>
      </c>
      <c r="C204" s="12">
        <f t="shared" si="12"/>
        <v>322</v>
      </c>
      <c r="D204" s="38">
        <f t="shared" si="13"/>
        <v>1</v>
      </c>
      <c r="G204" s="14" t="s">
        <v>344</v>
      </c>
      <c r="H204" s="12" t="s">
        <v>1919</v>
      </c>
      <c r="I204" s="12">
        <v>64277</v>
      </c>
      <c r="J204" s="12">
        <v>331</v>
      </c>
      <c r="K204" s="12" t="s">
        <v>20</v>
      </c>
      <c r="L204" s="12">
        <v>1</v>
      </c>
      <c r="M204" s="17">
        <v>23148</v>
      </c>
      <c r="N204" s="17">
        <f t="shared" si="14"/>
        <v>23148</v>
      </c>
      <c r="P204" s="12">
        <f t="shared" si="15"/>
        <v>83</v>
      </c>
    </row>
    <row r="205" spans="1:16" ht="15" hidden="1" customHeight="1" x14ac:dyDescent="0.2">
      <c r="A205" s="12" t="s">
        <v>18</v>
      </c>
      <c r="B205" s="36">
        <v>46053</v>
      </c>
      <c r="C205" s="12">
        <f t="shared" si="12"/>
        <v>322</v>
      </c>
      <c r="D205" s="38">
        <f t="shared" si="13"/>
        <v>0</v>
      </c>
      <c r="G205" s="14" t="s">
        <v>344</v>
      </c>
      <c r="H205" s="12" t="s">
        <v>1919</v>
      </c>
      <c r="I205" s="12">
        <v>1331</v>
      </c>
      <c r="J205" s="12">
        <v>331</v>
      </c>
      <c r="K205" s="12" t="s">
        <v>20</v>
      </c>
      <c r="L205" s="12">
        <v>1</v>
      </c>
      <c r="M205" s="17">
        <v>1852</v>
      </c>
      <c r="N205" s="17">
        <f t="shared" si="14"/>
        <v>1852</v>
      </c>
      <c r="P205" s="12">
        <f t="shared" si="15"/>
        <v>83</v>
      </c>
    </row>
    <row r="206" spans="1:16" ht="15" hidden="1" customHeight="1" x14ac:dyDescent="0.2">
      <c r="A206" s="12" t="s">
        <v>18</v>
      </c>
      <c r="B206" s="36">
        <v>46054</v>
      </c>
      <c r="C206" s="12">
        <f t="shared" si="12"/>
        <v>323</v>
      </c>
      <c r="D206" s="38">
        <f t="shared" si="13"/>
        <v>1</v>
      </c>
      <c r="G206" s="14" t="s">
        <v>25</v>
      </c>
      <c r="H206" s="12" t="s">
        <v>1920</v>
      </c>
      <c r="I206" s="12">
        <v>64277</v>
      </c>
      <c r="J206" s="12">
        <v>331</v>
      </c>
      <c r="K206" s="12" t="s">
        <v>20</v>
      </c>
      <c r="L206" s="12">
        <v>1</v>
      </c>
      <c r="M206" s="17">
        <v>534200</v>
      </c>
      <c r="N206" s="17">
        <f t="shared" si="14"/>
        <v>534200</v>
      </c>
      <c r="P206" s="12">
        <f t="shared" si="15"/>
        <v>146</v>
      </c>
    </row>
    <row r="207" spans="1:16" ht="15" hidden="1" customHeight="1" x14ac:dyDescent="0.2">
      <c r="A207" s="12" t="s">
        <v>18</v>
      </c>
      <c r="B207" s="36">
        <v>46054</v>
      </c>
      <c r="C207" s="12">
        <f t="shared" si="12"/>
        <v>323</v>
      </c>
      <c r="D207" s="38">
        <f t="shared" si="13"/>
        <v>0</v>
      </c>
      <c r="G207" s="14" t="s">
        <v>25</v>
      </c>
      <c r="H207" s="12" t="s">
        <v>1920</v>
      </c>
      <c r="I207" s="12">
        <v>1331</v>
      </c>
      <c r="J207" s="12">
        <v>331</v>
      </c>
      <c r="K207" s="12" t="s">
        <v>20</v>
      </c>
      <c r="L207" s="12">
        <v>1</v>
      </c>
      <c r="M207" s="17">
        <v>42736</v>
      </c>
      <c r="N207" s="17">
        <f t="shared" si="14"/>
        <v>42736</v>
      </c>
      <c r="P207" s="12">
        <f t="shared" si="15"/>
        <v>146</v>
      </c>
    </row>
    <row r="208" spans="1:16" ht="15" hidden="1" customHeight="1" x14ac:dyDescent="0.2">
      <c r="A208" s="12" t="s">
        <v>18</v>
      </c>
      <c r="B208" s="36">
        <v>46054</v>
      </c>
      <c r="C208" s="12">
        <f t="shared" si="12"/>
        <v>324</v>
      </c>
      <c r="D208" s="38">
        <f t="shared" si="13"/>
        <v>1</v>
      </c>
      <c r="G208" s="14" t="s">
        <v>344</v>
      </c>
      <c r="H208" s="12" t="s">
        <v>1921</v>
      </c>
      <c r="I208" s="12">
        <v>64277</v>
      </c>
      <c r="J208" s="12">
        <v>331</v>
      </c>
      <c r="K208" s="12" t="s">
        <v>20</v>
      </c>
      <c r="L208" s="12">
        <v>1</v>
      </c>
      <c r="M208" s="17">
        <v>31482</v>
      </c>
      <c r="N208" s="17">
        <f t="shared" si="14"/>
        <v>31482</v>
      </c>
      <c r="P208" s="12">
        <f t="shared" si="15"/>
        <v>83</v>
      </c>
    </row>
    <row r="209" spans="1:16" ht="15" hidden="1" customHeight="1" x14ac:dyDescent="0.2">
      <c r="A209" s="12" t="s">
        <v>18</v>
      </c>
      <c r="B209" s="36">
        <v>46054</v>
      </c>
      <c r="C209" s="12">
        <f t="shared" si="12"/>
        <v>324</v>
      </c>
      <c r="D209" s="38">
        <f t="shared" si="13"/>
        <v>0</v>
      </c>
      <c r="G209" s="14" t="s">
        <v>344</v>
      </c>
      <c r="H209" s="12" t="s">
        <v>1921</v>
      </c>
      <c r="I209" s="12">
        <v>1331</v>
      </c>
      <c r="J209" s="12">
        <v>331</v>
      </c>
      <c r="K209" s="12" t="s">
        <v>20</v>
      </c>
      <c r="L209" s="12">
        <v>1</v>
      </c>
      <c r="M209" s="17">
        <v>2518</v>
      </c>
      <c r="N209" s="17">
        <f t="shared" si="14"/>
        <v>2518</v>
      </c>
      <c r="P209" s="12">
        <f t="shared" si="15"/>
        <v>83</v>
      </c>
    </row>
    <row r="210" spans="1:16" ht="15" hidden="1" customHeight="1" x14ac:dyDescent="0.2">
      <c r="A210" s="12" t="s">
        <v>18</v>
      </c>
      <c r="B210" s="36">
        <v>46055</v>
      </c>
      <c r="C210" s="12">
        <f t="shared" si="12"/>
        <v>325</v>
      </c>
      <c r="D210" s="38">
        <f t="shared" si="13"/>
        <v>1</v>
      </c>
      <c r="G210" s="14" t="s">
        <v>344</v>
      </c>
      <c r="H210" s="12" t="s">
        <v>1922</v>
      </c>
      <c r="I210" s="12">
        <v>64277</v>
      </c>
      <c r="J210" s="12">
        <v>331</v>
      </c>
      <c r="K210" s="12" t="s">
        <v>20</v>
      </c>
      <c r="L210" s="12">
        <v>1</v>
      </c>
      <c r="M210" s="17">
        <v>35185</v>
      </c>
      <c r="N210" s="17">
        <f t="shared" si="14"/>
        <v>35185</v>
      </c>
      <c r="P210" s="12">
        <f t="shared" si="15"/>
        <v>84</v>
      </c>
    </row>
    <row r="211" spans="1:16" ht="15" hidden="1" customHeight="1" x14ac:dyDescent="0.2">
      <c r="A211" s="12" t="s">
        <v>18</v>
      </c>
      <c r="B211" s="36">
        <v>46055</v>
      </c>
      <c r="C211" s="12">
        <f t="shared" si="12"/>
        <v>325</v>
      </c>
      <c r="D211" s="38">
        <f t="shared" si="13"/>
        <v>0</v>
      </c>
      <c r="G211" s="14" t="s">
        <v>344</v>
      </c>
      <c r="H211" s="12" t="s">
        <v>1922</v>
      </c>
      <c r="I211" s="12">
        <v>1331</v>
      </c>
      <c r="J211" s="12">
        <v>331</v>
      </c>
      <c r="K211" s="12" t="s">
        <v>20</v>
      </c>
      <c r="L211" s="12">
        <v>1</v>
      </c>
      <c r="M211" s="17">
        <v>2815</v>
      </c>
      <c r="N211" s="17">
        <f t="shared" si="14"/>
        <v>2815</v>
      </c>
      <c r="P211" s="12">
        <f t="shared" si="15"/>
        <v>84</v>
      </c>
    </row>
    <row r="212" spans="1:16" ht="15" hidden="1" customHeight="1" x14ac:dyDescent="0.2">
      <c r="A212" s="12" t="s">
        <v>18</v>
      </c>
      <c r="B212" s="13">
        <v>46055</v>
      </c>
      <c r="C212" s="12">
        <f t="shared" si="12"/>
        <v>326</v>
      </c>
      <c r="D212" s="38">
        <f t="shared" si="13"/>
        <v>1</v>
      </c>
      <c r="G212" s="14" t="s">
        <v>91</v>
      </c>
      <c r="H212" s="12" t="s">
        <v>1966</v>
      </c>
      <c r="I212" s="12">
        <v>131</v>
      </c>
      <c r="J212" s="12">
        <v>5113</v>
      </c>
      <c r="K212" s="12" t="s">
        <v>20</v>
      </c>
      <c r="L212" s="12">
        <v>1</v>
      </c>
      <c r="M212" s="17">
        <v>20000000</v>
      </c>
      <c r="N212" s="17">
        <f t="shared" si="14"/>
        <v>20000000</v>
      </c>
      <c r="P212" s="12">
        <f t="shared" si="15"/>
        <v>162</v>
      </c>
    </row>
    <row r="213" spans="1:16" ht="15" customHeight="1" x14ac:dyDescent="0.2">
      <c r="A213" s="12" t="s">
        <v>18</v>
      </c>
      <c r="B213" s="13">
        <v>46055</v>
      </c>
      <c r="C213" s="12">
        <f t="shared" si="12"/>
        <v>327</v>
      </c>
      <c r="D213" s="38">
        <f t="shared" si="13"/>
        <v>1</v>
      </c>
      <c r="G213" s="14" t="s">
        <v>91</v>
      </c>
      <c r="H213" s="12" t="s">
        <v>4698</v>
      </c>
      <c r="I213" s="12">
        <v>333821</v>
      </c>
      <c r="J213" s="12">
        <v>131</v>
      </c>
      <c r="K213" s="12" t="s">
        <v>20</v>
      </c>
      <c r="L213" s="12">
        <v>1</v>
      </c>
      <c r="M213" s="17">
        <v>200000</v>
      </c>
      <c r="N213" s="17">
        <f t="shared" si="14"/>
        <v>200000</v>
      </c>
      <c r="P213" s="12">
        <f t="shared" si="15"/>
        <v>178</v>
      </c>
    </row>
    <row r="214" spans="1:16" ht="15" hidden="1" customHeight="1" x14ac:dyDescent="0.2">
      <c r="A214" s="12" t="s">
        <v>18</v>
      </c>
      <c r="B214" s="36">
        <v>46056</v>
      </c>
      <c r="C214" s="12">
        <f t="shared" si="12"/>
        <v>328</v>
      </c>
      <c r="D214" s="38">
        <f t="shared" si="13"/>
        <v>1</v>
      </c>
      <c r="G214" s="14" t="s">
        <v>344</v>
      </c>
      <c r="H214" s="12" t="s">
        <v>1924</v>
      </c>
      <c r="I214" s="12">
        <v>64277</v>
      </c>
      <c r="J214" s="12">
        <v>331</v>
      </c>
      <c r="K214" s="12" t="s">
        <v>20</v>
      </c>
      <c r="L214" s="12">
        <v>1</v>
      </c>
      <c r="M214" s="17">
        <v>27778</v>
      </c>
      <c r="N214" s="17">
        <f t="shared" si="14"/>
        <v>27778</v>
      </c>
      <c r="P214" s="12">
        <f t="shared" si="15"/>
        <v>84</v>
      </c>
    </row>
    <row r="215" spans="1:16" ht="15" hidden="1" customHeight="1" x14ac:dyDescent="0.2">
      <c r="A215" s="12" t="s">
        <v>18</v>
      </c>
      <c r="B215" s="36">
        <v>46056</v>
      </c>
      <c r="C215" s="12">
        <f t="shared" si="12"/>
        <v>328</v>
      </c>
      <c r="D215" s="38">
        <f t="shared" si="13"/>
        <v>0</v>
      </c>
      <c r="G215" s="14" t="s">
        <v>344</v>
      </c>
      <c r="H215" s="12" t="s">
        <v>1924</v>
      </c>
      <c r="I215" s="12">
        <v>1331</v>
      </c>
      <c r="J215" s="12">
        <v>331</v>
      </c>
      <c r="K215" s="12" t="s">
        <v>20</v>
      </c>
      <c r="L215" s="12">
        <v>1</v>
      </c>
      <c r="M215" s="17">
        <v>2222</v>
      </c>
      <c r="N215" s="17">
        <f t="shared" si="14"/>
        <v>2222</v>
      </c>
      <c r="P215" s="12">
        <f t="shared" si="15"/>
        <v>84</v>
      </c>
    </row>
    <row r="216" spans="1:16" ht="15" hidden="1" customHeight="1" x14ac:dyDescent="0.2">
      <c r="A216" s="12" t="s">
        <v>18</v>
      </c>
      <c r="B216" s="13">
        <v>46056</v>
      </c>
      <c r="C216" s="12">
        <f t="shared" si="12"/>
        <v>329</v>
      </c>
      <c r="D216" s="38">
        <f t="shared" si="13"/>
        <v>1</v>
      </c>
      <c r="G216" s="14" t="s">
        <v>67</v>
      </c>
      <c r="H216" s="12" t="s">
        <v>1967</v>
      </c>
      <c r="I216" s="12">
        <v>131</v>
      </c>
      <c r="J216" s="12">
        <v>5113</v>
      </c>
      <c r="K216" s="12" t="s">
        <v>20</v>
      </c>
      <c r="L216" s="12">
        <v>1</v>
      </c>
      <c r="M216" s="17">
        <v>16666667</v>
      </c>
      <c r="N216" s="17">
        <f t="shared" si="14"/>
        <v>16666667</v>
      </c>
      <c r="P216" s="12">
        <f t="shared" si="15"/>
        <v>160</v>
      </c>
    </row>
    <row r="217" spans="1:16" ht="15" customHeight="1" x14ac:dyDescent="0.2">
      <c r="A217" s="12" t="s">
        <v>18</v>
      </c>
      <c r="B217" s="13">
        <v>46056</v>
      </c>
      <c r="C217" s="12">
        <f t="shared" si="12"/>
        <v>330</v>
      </c>
      <c r="D217" s="38">
        <f t="shared" si="13"/>
        <v>1</v>
      </c>
      <c r="G217" s="14" t="s">
        <v>67</v>
      </c>
      <c r="H217" s="12" t="s">
        <v>4699</v>
      </c>
      <c r="I217" s="12">
        <v>333821</v>
      </c>
      <c r="J217" s="12">
        <v>131</v>
      </c>
      <c r="K217" s="12" t="s">
        <v>20</v>
      </c>
      <c r="L217" s="12">
        <v>1</v>
      </c>
      <c r="M217" s="17">
        <v>166667</v>
      </c>
      <c r="N217" s="17">
        <f t="shared" si="14"/>
        <v>166667</v>
      </c>
      <c r="P217" s="12">
        <f t="shared" si="15"/>
        <v>176</v>
      </c>
    </row>
    <row r="218" spans="1:16" ht="15" hidden="1" customHeight="1" x14ac:dyDescent="0.2">
      <c r="A218" s="12" t="s">
        <v>18</v>
      </c>
      <c r="B218" s="36">
        <v>46056</v>
      </c>
      <c r="C218" s="12">
        <f t="shared" si="12"/>
        <v>331</v>
      </c>
      <c r="D218" s="38">
        <f t="shared" si="13"/>
        <v>1</v>
      </c>
      <c r="G218" s="14" t="s">
        <v>35</v>
      </c>
      <c r="H218" s="12" t="s">
        <v>1923</v>
      </c>
      <c r="I218" s="12">
        <v>64277</v>
      </c>
      <c r="J218" s="12">
        <v>331</v>
      </c>
      <c r="K218" s="12" t="s">
        <v>20</v>
      </c>
      <c r="L218" s="12">
        <v>1</v>
      </c>
      <c r="M218" s="17">
        <v>3000000</v>
      </c>
      <c r="N218" s="17">
        <f t="shared" si="14"/>
        <v>3000000</v>
      </c>
      <c r="P218" s="12">
        <f t="shared" si="15"/>
        <v>41</v>
      </c>
    </row>
    <row r="219" spans="1:16" ht="15" hidden="1" customHeight="1" x14ac:dyDescent="0.2">
      <c r="A219" s="12" t="s">
        <v>18</v>
      </c>
      <c r="B219" s="36">
        <v>46056</v>
      </c>
      <c r="C219" s="12">
        <f t="shared" si="12"/>
        <v>331</v>
      </c>
      <c r="D219" s="38">
        <f t="shared" si="13"/>
        <v>0</v>
      </c>
      <c r="G219" s="14" t="s">
        <v>35</v>
      </c>
      <c r="H219" s="12" t="s">
        <v>1923</v>
      </c>
      <c r="I219" s="12">
        <v>1331</v>
      </c>
      <c r="J219" s="12">
        <v>331</v>
      </c>
      <c r="K219" s="12" t="s">
        <v>20</v>
      </c>
      <c r="L219" s="12">
        <v>1</v>
      </c>
      <c r="M219" s="17">
        <v>240000</v>
      </c>
      <c r="N219" s="17">
        <f t="shared" si="14"/>
        <v>240000</v>
      </c>
      <c r="P219" s="12">
        <f t="shared" si="15"/>
        <v>41</v>
      </c>
    </row>
    <row r="220" spans="1:16" ht="15" hidden="1" customHeight="1" x14ac:dyDescent="0.2">
      <c r="A220" s="12" t="s">
        <v>18</v>
      </c>
      <c r="B220" s="36">
        <v>46060</v>
      </c>
      <c r="C220" s="12">
        <f t="shared" si="12"/>
        <v>332</v>
      </c>
      <c r="D220" s="38">
        <f t="shared" si="13"/>
        <v>1</v>
      </c>
      <c r="G220" s="14" t="s">
        <v>344</v>
      </c>
      <c r="H220" s="12" t="s">
        <v>1926</v>
      </c>
      <c r="I220" s="12">
        <v>64277</v>
      </c>
      <c r="J220" s="12">
        <v>331</v>
      </c>
      <c r="K220" s="12" t="s">
        <v>20</v>
      </c>
      <c r="L220" s="12">
        <v>1</v>
      </c>
      <c r="M220" s="17">
        <v>87037</v>
      </c>
      <c r="N220" s="17">
        <f t="shared" si="14"/>
        <v>87037</v>
      </c>
      <c r="P220" s="12">
        <f t="shared" si="15"/>
        <v>84</v>
      </c>
    </row>
    <row r="221" spans="1:16" ht="15" hidden="1" customHeight="1" x14ac:dyDescent="0.2">
      <c r="A221" s="12" t="s">
        <v>18</v>
      </c>
      <c r="B221" s="36">
        <v>46060</v>
      </c>
      <c r="C221" s="12">
        <f t="shared" si="12"/>
        <v>332</v>
      </c>
      <c r="D221" s="38">
        <f t="shared" si="13"/>
        <v>0</v>
      </c>
      <c r="G221" s="14" t="s">
        <v>344</v>
      </c>
      <c r="H221" s="12" t="s">
        <v>1926</v>
      </c>
      <c r="I221" s="12">
        <v>1331</v>
      </c>
      <c r="J221" s="12">
        <v>331</v>
      </c>
      <c r="K221" s="12" t="s">
        <v>20</v>
      </c>
      <c r="L221" s="12">
        <v>1</v>
      </c>
      <c r="M221" s="17">
        <v>6963</v>
      </c>
      <c r="N221" s="17">
        <f t="shared" si="14"/>
        <v>6963</v>
      </c>
      <c r="P221" s="12">
        <f t="shared" si="15"/>
        <v>84</v>
      </c>
    </row>
    <row r="222" spans="1:16" ht="15" hidden="1" customHeight="1" x14ac:dyDescent="0.2">
      <c r="A222" s="12" t="s">
        <v>18</v>
      </c>
      <c r="B222" s="36">
        <v>46060</v>
      </c>
      <c r="C222" s="12">
        <f t="shared" si="12"/>
        <v>333</v>
      </c>
      <c r="D222" s="38">
        <f t="shared" si="13"/>
        <v>1</v>
      </c>
      <c r="G222" s="14" t="s">
        <v>344</v>
      </c>
      <c r="H222" s="12" t="s">
        <v>1925</v>
      </c>
      <c r="I222" s="12">
        <v>64277</v>
      </c>
      <c r="J222" s="12">
        <v>331</v>
      </c>
      <c r="K222" s="12" t="s">
        <v>20</v>
      </c>
      <c r="L222" s="12">
        <v>1</v>
      </c>
      <c r="M222" s="17">
        <v>39815</v>
      </c>
      <c r="N222" s="17">
        <f t="shared" si="14"/>
        <v>39815</v>
      </c>
      <c r="P222" s="12">
        <f t="shared" si="15"/>
        <v>84</v>
      </c>
    </row>
    <row r="223" spans="1:16" ht="15" hidden="1" customHeight="1" x14ac:dyDescent="0.2">
      <c r="A223" s="12" t="s">
        <v>18</v>
      </c>
      <c r="B223" s="36">
        <v>46060</v>
      </c>
      <c r="C223" s="12">
        <f t="shared" si="12"/>
        <v>333</v>
      </c>
      <c r="D223" s="38">
        <f t="shared" si="13"/>
        <v>0</v>
      </c>
      <c r="G223" s="14" t="s">
        <v>344</v>
      </c>
      <c r="H223" s="12" t="s">
        <v>1925</v>
      </c>
      <c r="I223" s="12">
        <v>1331</v>
      </c>
      <c r="J223" s="12">
        <v>331</v>
      </c>
      <c r="K223" s="12" t="s">
        <v>20</v>
      </c>
      <c r="L223" s="12">
        <v>1</v>
      </c>
      <c r="M223" s="17">
        <v>3185</v>
      </c>
      <c r="N223" s="17">
        <f t="shared" si="14"/>
        <v>3185</v>
      </c>
      <c r="P223" s="12">
        <f t="shared" si="15"/>
        <v>84</v>
      </c>
    </row>
    <row r="224" spans="1:16" ht="15" hidden="1" customHeight="1" x14ac:dyDescent="0.2">
      <c r="A224" s="12" t="s">
        <v>18</v>
      </c>
      <c r="B224" s="36">
        <v>46061</v>
      </c>
      <c r="C224" s="12">
        <f t="shared" si="12"/>
        <v>334</v>
      </c>
      <c r="D224" s="38">
        <f t="shared" si="13"/>
        <v>1</v>
      </c>
      <c r="G224" s="14" t="s">
        <v>344</v>
      </c>
      <c r="H224" s="12" t="s">
        <v>1928</v>
      </c>
      <c r="I224" s="12">
        <v>64277</v>
      </c>
      <c r="J224" s="12">
        <v>331</v>
      </c>
      <c r="K224" s="12" t="s">
        <v>20</v>
      </c>
      <c r="L224" s="12">
        <v>1</v>
      </c>
      <c r="M224" s="17">
        <v>61111</v>
      </c>
      <c r="N224" s="17">
        <f t="shared" si="14"/>
        <v>61111</v>
      </c>
      <c r="P224" s="12">
        <f t="shared" si="15"/>
        <v>84</v>
      </c>
    </row>
    <row r="225" spans="1:16" ht="15" hidden="1" customHeight="1" x14ac:dyDescent="0.2">
      <c r="A225" s="12" t="s">
        <v>18</v>
      </c>
      <c r="B225" s="36">
        <v>46061</v>
      </c>
      <c r="C225" s="12">
        <f t="shared" si="12"/>
        <v>334</v>
      </c>
      <c r="D225" s="38">
        <f t="shared" si="13"/>
        <v>0</v>
      </c>
      <c r="G225" s="14" t="s">
        <v>344</v>
      </c>
      <c r="H225" s="12" t="s">
        <v>1928</v>
      </c>
      <c r="I225" s="12">
        <v>1331</v>
      </c>
      <c r="J225" s="12">
        <v>331</v>
      </c>
      <c r="K225" s="12" t="s">
        <v>20</v>
      </c>
      <c r="L225" s="12">
        <v>1</v>
      </c>
      <c r="M225" s="17">
        <v>4889</v>
      </c>
      <c r="N225" s="17">
        <f t="shared" si="14"/>
        <v>4889</v>
      </c>
      <c r="P225" s="12">
        <f t="shared" si="15"/>
        <v>84</v>
      </c>
    </row>
    <row r="226" spans="1:16" ht="15" hidden="1" customHeight="1" x14ac:dyDescent="0.2">
      <c r="A226" s="12" t="s">
        <v>18</v>
      </c>
      <c r="B226" s="36">
        <v>46061</v>
      </c>
      <c r="C226" s="12">
        <f t="shared" si="12"/>
        <v>335</v>
      </c>
      <c r="D226" s="38">
        <f t="shared" si="13"/>
        <v>1</v>
      </c>
      <c r="G226" s="14" t="s">
        <v>89</v>
      </c>
      <c r="H226" s="12" t="s">
        <v>1927</v>
      </c>
      <c r="I226" s="12">
        <v>64277</v>
      </c>
      <c r="J226" s="12">
        <v>331</v>
      </c>
      <c r="K226" s="12" t="s">
        <v>20</v>
      </c>
      <c r="L226" s="12">
        <v>1</v>
      </c>
      <c r="M226" s="17">
        <v>115741</v>
      </c>
      <c r="N226" s="17">
        <f t="shared" si="14"/>
        <v>115741</v>
      </c>
      <c r="P226" s="12">
        <f t="shared" si="15"/>
        <v>72</v>
      </c>
    </row>
    <row r="227" spans="1:16" ht="15" hidden="1" customHeight="1" x14ac:dyDescent="0.2">
      <c r="A227" s="12" t="s">
        <v>18</v>
      </c>
      <c r="B227" s="36">
        <v>46061</v>
      </c>
      <c r="C227" s="12">
        <f t="shared" si="12"/>
        <v>335</v>
      </c>
      <c r="D227" s="38">
        <f t="shared" si="13"/>
        <v>0</v>
      </c>
      <c r="G227" s="14" t="s">
        <v>89</v>
      </c>
      <c r="H227" s="12" t="s">
        <v>1927</v>
      </c>
      <c r="I227" s="12">
        <v>1331</v>
      </c>
      <c r="J227" s="12">
        <v>331</v>
      </c>
      <c r="K227" s="12" t="s">
        <v>20</v>
      </c>
      <c r="L227" s="12">
        <v>1</v>
      </c>
      <c r="M227" s="17">
        <v>9259</v>
      </c>
      <c r="N227" s="17">
        <f t="shared" si="14"/>
        <v>9259</v>
      </c>
      <c r="P227" s="12">
        <f t="shared" si="15"/>
        <v>72</v>
      </c>
    </row>
    <row r="228" spans="1:16" ht="15" hidden="1" customHeight="1" x14ac:dyDescent="0.2">
      <c r="A228" s="12" t="s">
        <v>18</v>
      </c>
      <c r="B228" s="36">
        <v>46061</v>
      </c>
      <c r="C228" s="12">
        <f t="shared" si="12"/>
        <v>336</v>
      </c>
      <c r="D228" s="38">
        <f t="shared" si="13"/>
        <v>1</v>
      </c>
      <c r="G228" s="14" t="s">
        <v>1929</v>
      </c>
      <c r="H228" s="12" t="s">
        <v>1930</v>
      </c>
      <c r="I228" s="12">
        <v>64277</v>
      </c>
      <c r="J228" s="12">
        <v>331</v>
      </c>
      <c r="K228" s="12" t="s">
        <v>20</v>
      </c>
      <c r="L228" s="12">
        <v>1</v>
      </c>
      <c r="M228" s="17">
        <v>636364</v>
      </c>
      <c r="N228" s="17">
        <f t="shared" si="14"/>
        <v>636364</v>
      </c>
      <c r="P228" s="12">
        <f t="shared" si="15"/>
        <v>49</v>
      </c>
    </row>
    <row r="229" spans="1:16" ht="15" hidden="1" customHeight="1" x14ac:dyDescent="0.2">
      <c r="A229" s="12" t="s">
        <v>18</v>
      </c>
      <c r="B229" s="36">
        <v>46061</v>
      </c>
      <c r="C229" s="12">
        <f t="shared" si="12"/>
        <v>336</v>
      </c>
      <c r="D229" s="38">
        <f t="shared" si="13"/>
        <v>0</v>
      </c>
      <c r="G229" s="14" t="s">
        <v>1929</v>
      </c>
      <c r="H229" s="12" t="s">
        <v>1930</v>
      </c>
      <c r="I229" s="12">
        <v>1331</v>
      </c>
      <c r="J229" s="12">
        <v>331</v>
      </c>
      <c r="K229" s="12" t="s">
        <v>20</v>
      </c>
      <c r="L229" s="12">
        <v>1</v>
      </c>
      <c r="M229" s="17">
        <v>63636</v>
      </c>
      <c r="N229" s="17">
        <f t="shared" si="14"/>
        <v>63636</v>
      </c>
      <c r="P229" s="12">
        <f t="shared" si="15"/>
        <v>49</v>
      </c>
    </row>
    <row r="230" spans="1:16" ht="15" hidden="1" customHeight="1" x14ac:dyDescent="0.2">
      <c r="A230" s="12" t="s">
        <v>18</v>
      </c>
      <c r="B230" s="36">
        <v>46061</v>
      </c>
      <c r="C230" s="12">
        <f t="shared" si="12"/>
        <v>337</v>
      </c>
      <c r="D230" s="38">
        <f t="shared" si="13"/>
        <v>1</v>
      </c>
      <c r="G230" s="14" t="s">
        <v>1929</v>
      </c>
      <c r="H230" s="12" t="s">
        <v>1931</v>
      </c>
      <c r="I230" s="12">
        <v>64277</v>
      </c>
      <c r="J230" s="12">
        <v>331</v>
      </c>
      <c r="K230" s="12" t="s">
        <v>20</v>
      </c>
      <c r="L230" s="12">
        <v>1</v>
      </c>
      <c r="M230" s="17">
        <v>509259</v>
      </c>
      <c r="N230" s="17">
        <f t="shared" si="14"/>
        <v>509259</v>
      </c>
      <c r="P230" s="12">
        <f t="shared" si="15"/>
        <v>151</v>
      </c>
    </row>
    <row r="231" spans="1:16" ht="15" hidden="1" customHeight="1" x14ac:dyDescent="0.2">
      <c r="A231" s="12" t="s">
        <v>18</v>
      </c>
      <c r="B231" s="36">
        <v>46061</v>
      </c>
      <c r="C231" s="12">
        <f t="shared" si="12"/>
        <v>337</v>
      </c>
      <c r="D231" s="38">
        <f t="shared" si="13"/>
        <v>0</v>
      </c>
      <c r="G231" s="14" t="s">
        <v>1929</v>
      </c>
      <c r="H231" s="12" t="s">
        <v>1931</v>
      </c>
      <c r="I231" s="12">
        <v>1331</v>
      </c>
      <c r="J231" s="12">
        <v>331</v>
      </c>
      <c r="K231" s="12" t="s">
        <v>20</v>
      </c>
      <c r="L231" s="12">
        <v>1</v>
      </c>
      <c r="M231" s="17">
        <v>40741</v>
      </c>
      <c r="N231" s="17">
        <f t="shared" si="14"/>
        <v>40741</v>
      </c>
      <c r="P231" s="12">
        <f t="shared" si="15"/>
        <v>151</v>
      </c>
    </row>
    <row r="232" spans="1:16" ht="15" hidden="1" customHeight="1" x14ac:dyDescent="0.2">
      <c r="A232" s="12" t="s">
        <v>18</v>
      </c>
      <c r="B232" s="13">
        <v>46062</v>
      </c>
      <c r="C232" s="12">
        <f t="shared" si="12"/>
        <v>338</v>
      </c>
      <c r="D232" s="38">
        <f t="shared" si="13"/>
        <v>1</v>
      </c>
      <c r="G232" s="14" t="s">
        <v>91</v>
      </c>
      <c r="H232" s="12" t="s">
        <v>1968</v>
      </c>
      <c r="I232" s="12">
        <v>131</v>
      </c>
      <c r="J232" s="12">
        <v>5113</v>
      </c>
      <c r="K232" s="12" t="s">
        <v>20</v>
      </c>
      <c r="L232" s="12">
        <v>1</v>
      </c>
      <c r="M232" s="17">
        <v>16666667</v>
      </c>
      <c r="N232" s="17">
        <f t="shared" si="14"/>
        <v>16666667</v>
      </c>
      <c r="P232" s="12">
        <f t="shared" si="15"/>
        <v>166</v>
      </c>
    </row>
    <row r="233" spans="1:16" ht="15" customHeight="1" x14ac:dyDescent="0.2">
      <c r="A233" s="12" t="s">
        <v>18</v>
      </c>
      <c r="B233" s="13">
        <v>46062</v>
      </c>
      <c r="C233" s="12">
        <f t="shared" si="12"/>
        <v>339</v>
      </c>
      <c r="D233" s="38">
        <f t="shared" si="13"/>
        <v>1</v>
      </c>
      <c r="G233" s="14" t="s">
        <v>91</v>
      </c>
      <c r="H233" s="12" t="s">
        <v>4700</v>
      </c>
      <c r="I233" s="12">
        <v>333821</v>
      </c>
      <c r="J233" s="12">
        <v>131</v>
      </c>
      <c r="K233" s="12" t="s">
        <v>20</v>
      </c>
      <c r="L233" s="12">
        <v>1</v>
      </c>
      <c r="M233" s="17">
        <v>166667</v>
      </c>
      <c r="N233" s="17">
        <f t="shared" si="14"/>
        <v>166667</v>
      </c>
      <c r="P233" s="12">
        <f t="shared" si="15"/>
        <v>182</v>
      </c>
    </row>
    <row r="234" spans="1:16" ht="15" hidden="1" customHeight="1" x14ac:dyDescent="0.2">
      <c r="A234" s="12" t="s">
        <v>18</v>
      </c>
      <c r="B234" s="13">
        <v>46062</v>
      </c>
      <c r="C234" s="12">
        <f t="shared" si="12"/>
        <v>340</v>
      </c>
      <c r="D234" s="38">
        <f t="shared" si="13"/>
        <v>1</v>
      </c>
      <c r="G234" s="14" t="s">
        <v>1785</v>
      </c>
      <c r="H234" s="12" t="s">
        <v>1969</v>
      </c>
      <c r="I234" s="12">
        <v>131</v>
      </c>
      <c r="J234" s="12">
        <v>5113</v>
      </c>
      <c r="K234" s="12" t="s">
        <v>20</v>
      </c>
      <c r="L234" s="12">
        <v>1</v>
      </c>
      <c r="M234" s="17">
        <v>24444444</v>
      </c>
      <c r="N234" s="17">
        <f t="shared" si="14"/>
        <v>24444444</v>
      </c>
      <c r="P234" s="12">
        <f t="shared" si="15"/>
        <v>108</v>
      </c>
    </row>
    <row r="235" spans="1:16" ht="15" customHeight="1" x14ac:dyDescent="0.2">
      <c r="A235" s="12" t="s">
        <v>18</v>
      </c>
      <c r="B235" s="13">
        <v>46062</v>
      </c>
      <c r="C235" s="12">
        <f t="shared" si="12"/>
        <v>341</v>
      </c>
      <c r="D235" s="38">
        <f t="shared" si="13"/>
        <v>1</v>
      </c>
      <c r="G235" s="14" t="s">
        <v>1785</v>
      </c>
      <c r="H235" s="12" t="s">
        <v>4701</v>
      </c>
      <c r="I235" s="12">
        <v>333821</v>
      </c>
      <c r="J235" s="12">
        <v>131</v>
      </c>
      <c r="K235" s="12" t="s">
        <v>20</v>
      </c>
      <c r="L235" s="12">
        <v>1</v>
      </c>
      <c r="M235" s="17">
        <v>244444</v>
      </c>
      <c r="N235" s="17">
        <f t="shared" si="14"/>
        <v>244444</v>
      </c>
      <c r="P235" s="12">
        <f t="shared" si="15"/>
        <v>124</v>
      </c>
    </row>
    <row r="236" spans="1:16" ht="15" hidden="1" customHeight="1" x14ac:dyDescent="0.2">
      <c r="A236" s="12" t="s">
        <v>18</v>
      </c>
      <c r="B236" s="13">
        <v>46063</v>
      </c>
      <c r="C236" s="12">
        <f t="shared" si="12"/>
        <v>342</v>
      </c>
      <c r="D236" s="38">
        <f t="shared" si="13"/>
        <v>1</v>
      </c>
      <c r="G236" s="14" t="s">
        <v>1971</v>
      </c>
      <c r="H236" s="12" t="s">
        <v>1972</v>
      </c>
      <c r="I236" s="12">
        <v>131</v>
      </c>
      <c r="J236" s="12">
        <v>5113</v>
      </c>
      <c r="K236" s="12" t="s">
        <v>20</v>
      </c>
      <c r="L236" s="12">
        <v>1</v>
      </c>
      <c r="M236" s="17">
        <v>19987778</v>
      </c>
      <c r="N236" s="17">
        <f t="shared" si="14"/>
        <v>19987778</v>
      </c>
      <c r="P236" s="12">
        <f t="shared" si="15"/>
        <v>152</v>
      </c>
    </row>
    <row r="237" spans="1:16" ht="15" customHeight="1" x14ac:dyDescent="0.2">
      <c r="A237" s="12" t="s">
        <v>18</v>
      </c>
      <c r="B237" s="13">
        <v>46063</v>
      </c>
      <c r="C237" s="12">
        <f t="shared" si="12"/>
        <v>343</v>
      </c>
      <c r="D237" s="38">
        <f t="shared" si="13"/>
        <v>1</v>
      </c>
      <c r="G237" s="14" t="s">
        <v>1971</v>
      </c>
      <c r="H237" s="12" t="s">
        <v>4702</v>
      </c>
      <c r="I237" s="12">
        <v>333821</v>
      </c>
      <c r="J237" s="12">
        <v>131</v>
      </c>
      <c r="K237" s="12" t="s">
        <v>20</v>
      </c>
      <c r="L237" s="12">
        <v>1</v>
      </c>
      <c r="M237" s="17">
        <v>199878</v>
      </c>
      <c r="N237" s="17">
        <f t="shared" si="14"/>
        <v>199878</v>
      </c>
      <c r="P237" s="12">
        <f t="shared" si="15"/>
        <v>168</v>
      </c>
    </row>
    <row r="238" spans="1:16" ht="15" hidden="1" customHeight="1" x14ac:dyDescent="0.2">
      <c r="A238" s="12" t="s">
        <v>18</v>
      </c>
      <c r="B238" s="13">
        <v>46063</v>
      </c>
      <c r="C238" s="12">
        <f t="shared" si="12"/>
        <v>344</v>
      </c>
      <c r="D238" s="38">
        <f t="shared" si="13"/>
        <v>1</v>
      </c>
      <c r="G238" s="14" t="s">
        <v>44</v>
      </c>
      <c r="H238" s="12" t="s">
        <v>1970</v>
      </c>
      <c r="I238" s="12">
        <v>131</v>
      </c>
      <c r="J238" s="12">
        <v>5113</v>
      </c>
      <c r="K238" s="12" t="s">
        <v>20</v>
      </c>
      <c r="L238" s="12">
        <v>1</v>
      </c>
      <c r="M238" s="17">
        <v>22222222</v>
      </c>
      <c r="N238" s="17">
        <f t="shared" si="14"/>
        <v>22222222</v>
      </c>
      <c r="P238" s="12">
        <f t="shared" si="15"/>
        <v>158</v>
      </c>
    </row>
    <row r="239" spans="1:16" ht="15" customHeight="1" x14ac:dyDescent="0.2">
      <c r="A239" s="12" t="s">
        <v>18</v>
      </c>
      <c r="B239" s="13">
        <v>46063</v>
      </c>
      <c r="C239" s="12">
        <f t="shared" si="12"/>
        <v>345</v>
      </c>
      <c r="D239" s="38">
        <f t="shared" si="13"/>
        <v>1</v>
      </c>
      <c r="G239" s="14" t="s">
        <v>44</v>
      </c>
      <c r="H239" s="12" t="s">
        <v>4703</v>
      </c>
      <c r="I239" s="12">
        <v>333821</v>
      </c>
      <c r="J239" s="12">
        <v>131</v>
      </c>
      <c r="K239" s="12" t="s">
        <v>20</v>
      </c>
      <c r="L239" s="12">
        <v>1</v>
      </c>
      <c r="M239" s="17">
        <v>222222</v>
      </c>
      <c r="N239" s="17">
        <f t="shared" si="14"/>
        <v>222222</v>
      </c>
      <c r="P239" s="12">
        <f t="shared" si="15"/>
        <v>174</v>
      </c>
    </row>
    <row r="240" spans="1:16" ht="15" hidden="1" customHeight="1" x14ac:dyDescent="0.2">
      <c r="A240" s="12" t="s">
        <v>18</v>
      </c>
      <c r="B240" s="36">
        <v>46063</v>
      </c>
      <c r="C240" s="12">
        <f t="shared" si="12"/>
        <v>346</v>
      </c>
      <c r="D240" s="38">
        <f t="shared" si="13"/>
        <v>1</v>
      </c>
      <c r="G240" s="14" t="s">
        <v>1932</v>
      </c>
      <c r="H240" s="12" t="s">
        <v>1933</v>
      </c>
      <c r="I240" s="12">
        <v>64277</v>
      </c>
      <c r="J240" s="12">
        <v>331</v>
      </c>
      <c r="K240" s="12" t="s">
        <v>20</v>
      </c>
      <c r="L240" s="12">
        <v>1</v>
      </c>
      <c r="M240" s="17">
        <v>3651216</v>
      </c>
      <c r="N240" s="17">
        <f t="shared" si="14"/>
        <v>3651216</v>
      </c>
      <c r="P240" s="12">
        <f t="shared" si="15"/>
        <v>165</v>
      </c>
    </row>
    <row r="241" spans="1:16" ht="15" hidden="1" customHeight="1" x14ac:dyDescent="0.2">
      <c r="A241" s="12" t="s">
        <v>18</v>
      </c>
      <c r="B241" s="36">
        <v>46063</v>
      </c>
      <c r="C241" s="12">
        <f t="shared" si="12"/>
        <v>346</v>
      </c>
      <c r="D241" s="38">
        <f t="shared" si="13"/>
        <v>0</v>
      </c>
      <c r="G241" s="14" t="s">
        <v>1932</v>
      </c>
      <c r="H241" s="12" t="s">
        <v>1933</v>
      </c>
      <c r="I241" s="12">
        <v>1331</v>
      </c>
      <c r="J241" s="12">
        <v>331</v>
      </c>
      <c r="K241" s="12" t="s">
        <v>20</v>
      </c>
      <c r="L241" s="12">
        <v>1</v>
      </c>
      <c r="M241" s="17">
        <v>205784</v>
      </c>
      <c r="N241" s="17">
        <f t="shared" si="14"/>
        <v>205784</v>
      </c>
      <c r="P241" s="12">
        <f t="shared" si="15"/>
        <v>165</v>
      </c>
    </row>
    <row r="242" spans="1:16" ht="15" hidden="1" customHeight="1" x14ac:dyDescent="0.2">
      <c r="A242" s="12" t="s">
        <v>18</v>
      </c>
      <c r="B242" s="36">
        <v>46064</v>
      </c>
      <c r="C242" s="12">
        <f t="shared" si="12"/>
        <v>347</v>
      </c>
      <c r="D242" s="38">
        <f t="shared" si="13"/>
        <v>1</v>
      </c>
      <c r="G242" s="14" t="s">
        <v>1934</v>
      </c>
      <c r="H242" s="12" t="s">
        <v>1935</v>
      </c>
      <c r="I242" s="12">
        <v>64277</v>
      </c>
      <c r="J242" s="12">
        <v>331</v>
      </c>
      <c r="K242" s="12" t="s">
        <v>20</v>
      </c>
      <c r="L242" s="12">
        <v>1</v>
      </c>
      <c r="M242" s="17">
        <v>851852</v>
      </c>
      <c r="N242" s="17">
        <f t="shared" si="14"/>
        <v>851852</v>
      </c>
      <c r="P242" s="12">
        <f t="shared" si="15"/>
        <v>68</v>
      </c>
    </row>
    <row r="243" spans="1:16" ht="15" hidden="1" customHeight="1" x14ac:dyDescent="0.2">
      <c r="A243" s="12" t="s">
        <v>18</v>
      </c>
      <c r="B243" s="36">
        <v>46064</v>
      </c>
      <c r="C243" s="12">
        <f t="shared" si="12"/>
        <v>347</v>
      </c>
      <c r="D243" s="38">
        <f t="shared" si="13"/>
        <v>0</v>
      </c>
      <c r="G243" s="14" t="s">
        <v>1934</v>
      </c>
      <c r="H243" s="12" t="s">
        <v>1935</v>
      </c>
      <c r="I243" s="12">
        <v>1331</v>
      </c>
      <c r="J243" s="12">
        <v>331</v>
      </c>
      <c r="K243" s="12" t="s">
        <v>20</v>
      </c>
      <c r="L243" s="12">
        <v>1</v>
      </c>
      <c r="M243" s="17">
        <v>68148</v>
      </c>
      <c r="N243" s="17">
        <f t="shared" si="14"/>
        <v>68148</v>
      </c>
      <c r="P243" s="12">
        <f t="shared" si="15"/>
        <v>68</v>
      </c>
    </row>
    <row r="244" spans="1:16" ht="15" hidden="1" customHeight="1" x14ac:dyDescent="0.2">
      <c r="A244" s="12" t="s">
        <v>18</v>
      </c>
      <c r="B244" s="36">
        <v>46066</v>
      </c>
      <c r="C244" s="12">
        <f t="shared" si="12"/>
        <v>348</v>
      </c>
      <c r="D244" s="38">
        <f t="shared" si="13"/>
        <v>1</v>
      </c>
      <c r="G244" s="14" t="s">
        <v>25</v>
      </c>
      <c r="H244" s="12" t="s">
        <v>1936</v>
      </c>
      <c r="I244" s="12">
        <v>64277</v>
      </c>
      <c r="J244" s="12">
        <v>331</v>
      </c>
      <c r="K244" s="12" t="s">
        <v>20</v>
      </c>
      <c r="L244" s="12">
        <v>1</v>
      </c>
      <c r="M244" s="17">
        <v>344000</v>
      </c>
      <c r="N244" s="17">
        <f t="shared" si="14"/>
        <v>344000</v>
      </c>
      <c r="P244" s="12">
        <f t="shared" si="15"/>
        <v>116</v>
      </c>
    </row>
    <row r="245" spans="1:16" ht="15" hidden="1" customHeight="1" x14ac:dyDescent="0.2">
      <c r="A245" s="12" t="s">
        <v>18</v>
      </c>
      <c r="B245" s="36">
        <v>46066</v>
      </c>
      <c r="C245" s="12">
        <f t="shared" si="12"/>
        <v>348</v>
      </c>
      <c r="D245" s="38">
        <f t="shared" si="13"/>
        <v>0</v>
      </c>
      <c r="G245" s="14" t="s">
        <v>25</v>
      </c>
      <c r="H245" s="12" t="s">
        <v>1936</v>
      </c>
      <c r="I245" s="12">
        <v>1331</v>
      </c>
      <c r="J245" s="12">
        <v>331</v>
      </c>
      <c r="K245" s="12" t="s">
        <v>20</v>
      </c>
      <c r="L245" s="12">
        <v>1</v>
      </c>
      <c r="M245" s="17">
        <v>27520</v>
      </c>
      <c r="N245" s="17">
        <f t="shared" si="14"/>
        <v>27520</v>
      </c>
      <c r="P245" s="12">
        <f t="shared" si="15"/>
        <v>116</v>
      </c>
    </row>
    <row r="246" spans="1:16" ht="15" hidden="1" customHeight="1" x14ac:dyDescent="0.2">
      <c r="A246" s="12" t="s">
        <v>18</v>
      </c>
      <c r="B246" s="36">
        <v>46066</v>
      </c>
      <c r="C246" s="12">
        <f t="shared" si="12"/>
        <v>349</v>
      </c>
      <c r="D246" s="38">
        <f t="shared" si="13"/>
        <v>1</v>
      </c>
      <c r="G246" s="14" t="s">
        <v>344</v>
      </c>
      <c r="H246" s="12" t="s">
        <v>1938</v>
      </c>
      <c r="I246" s="12">
        <v>64277</v>
      </c>
      <c r="J246" s="12">
        <v>331</v>
      </c>
      <c r="K246" s="12" t="s">
        <v>20</v>
      </c>
      <c r="L246" s="12">
        <v>1</v>
      </c>
      <c r="M246" s="17">
        <v>25000</v>
      </c>
      <c r="N246" s="17">
        <f t="shared" si="14"/>
        <v>25000</v>
      </c>
      <c r="P246" s="12">
        <f t="shared" si="15"/>
        <v>84</v>
      </c>
    </row>
    <row r="247" spans="1:16" ht="15" hidden="1" customHeight="1" x14ac:dyDescent="0.2">
      <c r="A247" s="12" t="s">
        <v>18</v>
      </c>
      <c r="B247" s="36">
        <v>46066</v>
      </c>
      <c r="C247" s="12">
        <f t="shared" si="12"/>
        <v>349</v>
      </c>
      <c r="D247" s="38">
        <f t="shared" si="13"/>
        <v>0</v>
      </c>
      <c r="G247" s="14" t="s">
        <v>344</v>
      </c>
      <c r="H247" s="12" t="s">
        <v>1938</v>
      </c>
      <c r="I247" s="12">
        <v>1331</v>
      </c>
      <c r="J247" s="12">
        <v>331</v>
      </c>
      <c r="K247" s="12" t="s">
        <v>20</v>
      </c>
      <c r="L247" s="12">
        <v>1</v>
      </c>
      <c r="M247" s="17">
        <v>2000</v>
      </c>
      <c r="N247" s="17">
        <f t="shared" si="14"/>
        <v>2000</v>
      </c>
      <c r="P247" s="12">
        <f t="shared" si="15"/>
        <v>84</v>
      </c>
    </row>
    <row r="248" spans="1:16" ht="15" hidden="1" customHeight="1" x14ac:dyDescent="0.2">
      <c r="A248" s="12" t="s">
        <v>18</v>
      </c>
      <c r="B248" s="36">
        <v>46066</v>
      </c>
      <c r="C248" s="12">
        <f t="shared" si="12"/>
        <v>350</v>
      </c>
      <c r="D248" s="38">
        <f t="shared" si="13"/>
        <v>1</v>
      </c>
      <c r="G248" s="14" t="s">
        <v>344</v>
      </c>
      <c r="H248" s="12" t="s">
        <v>1937</v>
      </c>
      <c r="I248" s="12">
        <v>64277</v>
      </c>
      <c r="J248" s="12">
        <v>331</v>
      </c>
      <c r="K248" s="12" t="s">
        <v>20</v>
      </c>
      <c r="L248" s="12">
        <v>1</v>
      </c>
      <c r="M248" s="17">
        <v>43519</v>
      </c>
      <c r="N248" s="17">
        <f t="shared" si="14"/>
        <v>43519</v>
      </c>
      <c r="P248" s="12">
        <f t="shared" si="15"/>
        <v>84</v>
      </c>
    </row>
    <row r="249" spans="1:16" ht="15" hidden="1" customHeight="1" x14ac:dyDescent="0.2">
      <c r="A249" s="12" t="s">
        <v>18</v>
      </c>
      <c r="B249" s="36">
        <v>46066</v>
      </c>
      <c r="C249" s="12">
        <f t="shared" si="12"/>
        <v>350</v>
      </c>
      <c r="D249" s="38">
        <f t="shared" si="13"/>
        <v>0</v>
      </c>
      <c r="G249" s="14" t="s">
        <v>344</v>
      </c>
      <c r="H249" s="12" t="s">
        <v>1937</v>
      </c>
      <c r="I249" s="12">
        <v>1331</v>
      </c>
      <c r="J249" s="12">
        <v>331</v>
      </c>
      <c r="K249" s="12" t="s">
        <v>20</v>
      </c>
      <c r="L249" s="12">
        <v>1</v>
      </c>
      <c r="M249" s="17">
        <v>3481</v>
      </c>
      <c r="N249" s="17">
        <f t="shared" si="14"/>
        <v>3481</v>
      </c>
      <c r="P249" s="12">
        <f t="shared" si="15"/>
        <v>84</v>
      </c>
    </row>
    <row r="250" spans="1:16" ht="15" hidden="1" customHeight="1" x14ac:dyDescent="0.2">
      <c r="A250" s="12" t="s">
        <v>18</v>
      </c>
      <c r="B250" s="36">
        <v>46067</v>
      </c>
      <c r="C250" s="12">
        <f t="shared" si="12"/>
        <v>351</v>
      </c>
      <c r="D250" s="38">
        <f t="shared" si="13"/>
        <v>1</v>
      </c>
      <c r="G250" s="14" t="s">
        <v>344</v>
      </c>
      <c r="H250" s="12" t="s">
        <v>1939</v>
      </c>
      <c r="I250" s="12">
        <v>64277</v>
      </c>
      <c r="J250" s="12">
        <v>331</v>
      </c>
      <c r="K250" s="12" t="s">
        <v>20</v>
      </c>
      <c r="L250" s="12">
        <v>1</v>
      </c>
      <c r="M250" s="17">
        <v>28704</v>
      </c>
      <c r="N250" s="17">
        <f t="shared" si="14"/>
        <v>28704</v>
      </c>
      <c r="P250" s="12">
        <f t="shared" si="15"/>
        <v>84</v>
      </c>
    </row>
    <row r="251" spans="1:16" ht="15" hidden="1" customHeight="1" x14ac:dyDescent="0.2">
      <c r="A251" s="12" t="s">
        <v>18</v>
      </c>
      <c r="B251" s="36">
        <v>46067</v>
      </c>
      <c r="C251" s="12">
        <f t="shared" si="12"/>
        <v>351</v>
      </c>
      <c r="D251" s="38">
        <f t="shared" si="13"/>
        <v>0</v>
      </c>
      <c r="G251" s="14" t="s">
        <v>344</v>
      </c>
      <c r="H251" s="12" t="s">
        <v>1939</v>
      </c>
      <c r="I251" s="12">
        <v>1331</v>
      </c>
      <c r="J251" s="12">
        <v>331</v>
      </c>
      <c r="K251" s="12" t="s">
        <v>20</v>
      </c>
      <c r="L251" s="12">
        <v>1</v>
      </c>
      <c r="M251" s="17">
        <v>2296</v>
      </c>
      <c r="N251" s="17">
        <f t="shared" si="14"/>
        <v>2296</v>
      </c>
      <c r="P251" s="12">
        <f t="shared" si="15"/>
        <v>84</v>
      </c>
    </row>
    <row r="252" spans="1:16" ht="15" hidden="1" customHeight="1" x14ac:dyDescent="0.2">
      <c r="A252" s="12" t="s">
        <v>18</v>
      </c>
      <c r="B252" s="36">
        <v>46068</v>
      </c>
      <c r="C252" s="12">
        <f t="shared" si="12"/>
        <v>352</v>
      </c>
      <c r="D252" s="38">
        <f t="shared" si="13"/>
        <v>1</v>
      </c>
      <c r="G252" s="14" t="s">
        <v>344</v>
      </c>
      <c r="H252" s="12" t="s">
        <v>1940</v>
      </c>
      <c r="I252" s="12">
        <v>64277</v>
      </c>
      <c r="J252" s="12">
        <v>331</v>
      </c>
      <c r="K252" s="12" t="s">
        <v>20</v>
      </c>
      <c r="L252" s="12">
        <v>1</v>
      </c>
      <c r="M252" s="17">
        <v>49074</v>
      </c>
      <c r="N252" s="17">
        <f t="shared" si="14"/>
        <v>49074</v>
      </c>
      <c r="P252" s="12">
        <f t="shared" si="15"/>
        <v>84</v>
      </c>
    </row>
    <row r="253" spans="1:16" ht="15" hidden="1" customHeight="1" x14ac:dyDescent="0.2">
      <c r="A253" s="12" t="s">
        <v>18</v>
      </c>
      <c r="B253" s="36">
        <v>46068</v>
      </c>
      <c r="C253" s="12">
        <f t="shared" si="12"/>
        <v>352</v>
      </c>
      <c r="D253" s="38">
        <f t="shared" si="13"/>
        <v>0</v>
      </c>
      <c r="G253" s="14" t="s">
        <v>344</v>
      </c>
      <c r="H253" s="12" t="s">
        <v>1940</v>
      </c>
      <c r="I253" s="12">
        <v>1331</v>
      </c>
      <c r="J253" s="12">
        <v>331</v>
      </c>
      <c r="K253" s="12" t="s">
        <v>20</v>
      </c>
      <c r="L253" s="12">
        <v>1</v>
      </c>
      <c r="M253" s="17">
        <v>3926</v>
      </c>
      <c r="N253" s="17">
        <f t="shared" si="14"/>
        <v>3926</v>
      </c>
      <c r="P253" s="12">
        <f t="shared" si="15"/>
        <v>84</v>
      </c>
    </row>
    <row r="254" spans="1:16" ht="15" hidden="1" customHeight="1" x14ac:dyDescent="0.2">
      <c r="A254" s="12" t="s">
        <v>18</v>
      </c>
      <c r="B254" s="36">
        <v>46071</v>
      </c>
      <c r="C254" s="12">
        <f t="shared" si="12"/>
        <v>353</v>
      </c>
      <c r="D254" s="38">
        <f t="shared" si="13"/>
        <v>1</v>
      </c>
      <c r="G254" s="14" t="s">
        <v>1941</v>
      </c>
      <c r="H254" s="12" t="s">
        <v>1942</v>
      </c>
      <c r="I254" s="12">
        <v>64277</v>
      </c>
      <c r="J254" s="12">
        <v>331</v>
      </c>
      <c r="K254" s="12" t="s">
        <v>20</v>
      </c>
      <c r="L254" s="12">
        <v>1</v>
      </c>
      <c r="M254" s="17">
        <v>1639000</v>
      </c>
      <c r="N254" s="17">
        <f t="shared" si="14"/>
        <v>1639000</v>
      </c>
      <c r="P254" s="12">
        <f t="shared" si="15"/>
        <v>176</v>
      </c>
    </row>
    <row r="255" spans="1:16" ht="15" hidden="1" customHeight="1" x14ac:dyDescent="0.2">
      <c r="A255" s="12" t="s">
        <v>18</v>
      </c>
      <c r="B255" s="36">
        <v>46071</v>
      </c>
      <c r="C255" s="12">
        <f t="shared" si="12"/>
        <v>353</v>
      </c>
      <c r="D255" s="38">
        <f t="shared" si="13"/>
        <v>0</v>
      </c>
      <c r="G255" s="14" t="s">
        <v>1941</v>
      </c>
      <c r="H255" s="12" t="s">
        <v>1942</v>
      </c>
      <c r="I255" s="12">
        <v>1331</v>
      </c>
      <c r="J255" s="12">
        <v>331</v>
      </c>
      <c r="K255" s="12" t="s">
        <v>20</v>
      </c>
      <c r="L255" s="12">
        <v>1</v>
      </c>
      <c r="M255" s="17">
        <v>136180</v>
      </c>
      <c r="N255" s="17">
        <f t="shared" si="14"/>
        <v>136180</v>
      </c>
      <c r="P255" s="12">
        <f t="shared" si="15"/>
        <v>176</v>
      </c>
    </row>
    <row r="256" spans="1:16" ht="15" hidden="1" customHeight="1" x14ac:dyDescent="0.2">
      <c r="A256" s="12" t="s">
        <v>18</v>
      </c>
      <c r="B256" s="13">
        <v>46076</v>
      </c>
      <c r="C256" s="12">
        <f t="shared" si="12"/>
        <v>354</v>
      </c>
      <c r="D256" s="38">
        <f t="shared" si="13"/>
        <v>1</v>
      </c>
      <c r="G256" s="14" t="s">
        <v>29</v>
      </c>
      <c r="H256" s="12" t="s">
        <v>1973</v>
      </c>
      <c r="I256" s="12">
        <v>131</v>
      </c>
      <c r="J256" s="12">
        <v>5113</v>
      </c>
      <c r="K256" s="12" t="s">
        <v>20</v>
      </c>
      <c r="L256" s="12">
        <v>1</v>
      </c>
      <c r="M256" s="17">
        <v>22222222</v>
      </c>
      <c r="N256" s="17">
        <f t="shared" si="14"/>
        <v>22222222</v>
      </c>
      <c r="P256" s="12">
        <f t="shared" si="15"/>
        <v>139</v>
      </c>
    </row>
    <row r="257" spans="1:16" ht="15" customHeight="1" x14ac:dyDescent="0.2">
      <c r="A257" s="12" t="s">
        <v>18</v>
      </c>
      <c r="B257" s="13">
        <v>46076</v>
      </c>
      <c r="C257" s="12">
        <f t="shared" si="12"/>
        <v>355</v>
      </c>
      <c r="D257" s="38">
        <f t="shared" si="13"/>
        <v>1</v>
      </c>
      <c r="G257" s="14" t="s">
        <v>29</v>
      </c>
      <c r="H257" s="12" t="s">
        <v>4704</v>
      </c>
      <c r="I257" s="12">
        <v>333821</v>
      </c>
      <c r="J257" s="12">
        <v>131</v>
      </c>
      <c r="K257" s="12" t="s">
        <v>20</v>
      </c>
      <c r="L257" s="12">
        <v>1</v>
      </c>
      <c r="M257" s="17">
        <v>222222</v>
      </c>
      <c r="N257" s="17">
        <f t="shared" si="14"/>
        <v>222222</v>
      </c>
      <c r="P257" s="12">
        <f t="shared" si="15"/>
        <v>155</v>
      </c>
    </row>
    <row r="258" spans="1:16" ht="15" hidden="1" customHeight="1" x14ac:dyDescent="0.2">
      <c r="A258" s="12" t="s">
        <v>18</v>
      </c>
      <c r="B258" s="36">
        <v>46077</v>
      </c>
      <c r="C258" s="12">
        <f t="shared" si="12"/>
        <v>356</v>
      </c>
      <c r="D258" s="38">
        <f t="shared" si="13"/>
        <v>1</v>
      </c>
      <c r="G258" s="14" t="s">
        <v>89</v>
      </c>
      <c r="H258" s="12" t="s">
        <v>1943</v>
      </c>
      <c r="I258" s="12">
        <v>64277</v>
      </c>
      <c r="J258" s="12">
        <v>331</v>
      </c>
      <c r="K258" s="12" t="s">
        <v>20</v>
      </c>
      <c r="L258" s="12">
        <v>1</v>
      </c>
      <c r="M258" s="17">
        <v>33333</v>
      </c>
      <c r="N258" s="17">
        <f t="shared" si="14"/>
        <v>33333</v>
      </c>
      <c r="P258" s="12">
        <f t="shared" si="15"/>
        <v>73</v>
      </c>
    </row>
    <row r="259" spans="1:16" ht="15" hidden="1" customHeight="1" x14ac:dyDescent="0.2">
      <c r="A259" s="12" t="s">
        <v>18</v>
      </c>
      <c r="B259" s="36">
        <v>46077</v>
      </c>
      <c r="C259" s="12">
        <f t="shared" si="12"/>
        <v>356</v>
      </c>
      <c r="D259" s="38">
        <f t="shared" si="13"/>
        <v>0</v>
      </c>
      <c r="G259" s="14" t="s">
        <v>89</v>
      </c>
      <c r="H259" s="12" t="s">
        <v>1943</v>
      </c>
      <c r="I259" s="12">
        <v>1331</v>
      </c>
      <c r="J259" s="12">
        <v>331</v>
      </c>
      <c r="K259" s="12" t="s">
        <v>20</v>
      </c>
      <c r="L259" s="12">
        <v>1</v>
      </c>
      <c r="M259" s="17">
        <v>2667</v>
      </c>
      <c r="N259" s="17">
        <f t="shared" si="14"/>
        <v>2667</v>
      </c>
      <c r="P259" s="12">
        <f t="shared" si="15"/>
        <v>73</v>
      </c>
    </row>
    <row r="260" spans="1:16" ht="15" hidden="1" customHeight="1" x14ac:dyDescent="0.2">
      <c r="A260" s="12" t="s">
        <v>18</v>
      </c>
      <c r="B260" s="36">
        <v>46077</v>
      </c>
      <c r="C260" s="12">
        <f t="shared" ref="C260:C305" si="16">C259+D260</f>
        <v>357</v>
      </c>
      <c r="D260" s="38">
        <f t="shared" ref="D260:D305" si="17">IF(H260=H259,0,1)</f>
        <v>1</v>
      </c>
      <c r="G260" s="14" t="s">
        <v>1944</v>
      </c>
      <c r="H260" s="12" t="s">
        <v>1945</v>
      </c>
      <c r="I260" s="12">
        <v>64277</v>
      </c>
      <c r="J260" s="12">
        <v>331</v>
      </c>
      <c r="K260" s="12" t="s">
        <v>20</v>
      </c>
      <c r="L260" s="12">
        <v>1</v>
      </c>
      <c r="M260" s="17">
        <v>16938000</v>
      </c>
      <c r="N260" s="17">
        <f t="shared" ref="N260:N305" si="18">L260*M260</f>
        <v>16938000</v>
      </c>
      <c r="P260" s="12">
        <f t="shared" si="15"/>
        <v>92</v>
      </c>
    </row>
    <row r="261" spans="1:16" ht="15" hidden="1" customHeight="1" x14ac:dyDescent="0.2">
      <c r="A261" s="12" t="s">
        <v>18</v>
      </c>
      <c r="B261" s="36">
        <v>46077</v>
      </c>
      <c r="C261" s="12">
        <f t="shared" si="16"/>
        <v>357</v>
      </c>
      <c r="D261" s="38">
        <f t="shared" si="17"/>
        <v>0</v>
      </c>
      <c r="G261" s="14" t="s">
        <v>1944</v>
      </c>
      <c r="H261" s="12" t="s">
        <v>1945</v>
      </c>
      <c r="I261" s="12">
        <v>1331</v>
      </c>
      <c r="J261" s="12">
        <v>331</v>
      </c>
      <c r="K261" s="12" t="s">
        <v>20</v>
      </c>
      <c r="L261" s="12">
        <v>1</v>
      </c>
      <c r="M261" s="17">
        <v>16000</v>
      </c>
      <c r="N261" s="17">
        <f t="shared" si="18"/>
        <v>16000</v>
      </c>
      <c r="P261" s="12">
        <f t="shared" ref="P261:P305" si="19">LEN(H261)</f>
        <v>92</v>
      </c>
    </row>
    <row r="262" spans="1:16" ht="15" hidden="1" customHeight="1" x14ac:dyDescent="0.2">
      <c r="A262" s="12" t="s">
        <v>18</v>
      </c>
      <c r="B262" s="36">
        <v>46078</v>
      </c>
      <c r="C262" s="12">
        <f t="shared" si="16"/>
        <v>358</v>
      </c>
      <c r="D262" s="38">
        <f t="shared" si="17"/>
        <v>1</v>
      </c>
      <c r="G262" s="14" t="s">
        <v>1908</v>
      </c>
      <c r="H262" s="12" t="s">
        <v>4612</v>
      </c>
      <c r="I262" s="12">
        <v>64277</v>
      </c>
      <c r="J262" s="12">
        <v>331</v>
      </c>
      <c r="K262" s="12" t="s">
        <v>20</v>
      </c>
      <c r="L262" s="12">
        <v>1</v>
      </c>
      <c r="M262" s="17">
        <v>3311000</v>
      </c>
      <c r="N262" s="17">
        <f t="shared" si="18"/>
        <v>3311000</v>
      </c>
      <c r="P262" s="12">
        <f t="shared" si="19"/>
        <v>40</v>
      </c>
    </row>
    <row r="263" spans="1:16" ht="15" hidden="1" customHeight="1" x14ac:dyDescent="0.2">
      <c r="A263" s="12" t="s">
        <v>18</v>
      </c>
      <c r="B263" s="36">
        <v>46078</v>
      </c>
      <c r="C263" s="12">
        <f t="shared" si="16"/>
        <v>358</v>
      </c>
      <c r="D263" s="38">
        <f t="shared" si="17"/>
        <v>0</v>
      </c>
      <c r="G263" s="14" t="s">
        <v>1908</v>
      </c>
      <c r="H263" s="12" t="s">
        <v>4612</v>
      </c>
      <c r="I263" s="12">
        <v>1331</v>
      </c>
      <c r="J263" s="12">
        <v>331</v>
      </c>
      <c r="K263" s="12" t="s">
        <v>20</v>
      </c>
      <c r="L263" s="12">
        <v>1</v>
      </c>
      <c r="M263" s="17">
        <v>0</v>
      </c>
      <c r="N263" s="17">
        <f t="shared" si="18"/>
        <v>0</v>
      </c>
      <c r="P263" s="12">
        <f t="shared" si="19"/>
        <v>40</v>
      </c>
    </row>
    <row r="264" spans="1:16" ht="15" hidden="1" customHeight="1" x14ac:dyDescent="0.2">
      <c r="A264" s="12" t="s">
        <v>18</v>
      </c>
      <c r="B264" s="36">
        <v>46080</v>
      </c>
      <c r="C264" s="12">
        <f t="shared" si="16"/>
        <v>359</v>
      </c>
      <c r="D264" s="38">
        <f t="shared" si="17"/>
        <v>1</v>
      </c>
      <c r="G264" s="14" t="s">
        <v>89</v>
      </c>
      <c r="H264" s="12" t="s">
        <v>1946</v>
      </c>
      <c r="I264" s="12">
        <v>64277</v>
      </c>
      <c r="J264" s="12">
        <v>331</v>
      </c>
      <c r="K264" s="12" t="s">
        <v>20</v>
      </c>
      <c r="L264" s="12">
        <v>1</v>
      </c>
      <c r="M264" s="17">
        <v>12037</v>
      </c>
      <c r="N264" s="17">
        <f t="shared" si="18"/>
        <v>12037</v>
      </c>
      <c r="P264" s="12">
        <f t="shared" si="19"/>
        <v>72</v>
      </c>
    </row>
    <row r="265" spans="1:16" ht="15" hidden="1" customHeight="1" x14ac:dyDescent="0.2">
      <c r="A265" s="12" t="s">
        <v>18</v>
      </c>
      <c r="B265" s="36">
        <v>46080</v>
      </c>
      <c r="C265" s="12">
        <f t="shared" si="16"/>
        <v>359</v>
      </c>
      <c r="D265" s="38">
        <f t="shared" si="17"/>
        <v>0</v>
      </c>
      <c r="G265" s="14" t="s">
        <v>89</v>
      </c>
      <c r="H265" s="12" t="s">
        <v>1946</v>
      </c>
      <c r="I265" s="12">
        <v>1331</v>
      </c>
      <c r="J265" s="12">
        <v>331</v>
      </c>
      <c r="K265" s="12" t="s">
        <v>20</v>
      </c>
      <c r="L265" s="12">
        <v>1</v>
      </c>
      <c r="M265" s="17">
        <v>963</v>
      </c>
      <c r="N265" s="17">
        <f t="shared" si="18"/>
        <v>963</v>
      </c>
      <c r="P265" s="12">
        <f t="shared" si="19"/>
        <v>72</v>
      </c>
    </row>
    <row r="266" spans="1:16" ht="15" hidden="1" customHeight="1" x14ac:dyDescent="0.2">
      <c r="A266" s="12" t="s">
        <v>18</v>
      </c>
      <c r="B266" s="36">
        <v>46081</v>
      </c>
      <c r="C266" s="12">
        <f t="shared" si="16"/>
        <v>360</v>
      </c>
      <c r="D266" s="38">
        <f t="shared" si="17"/>
        <v>1</v>
      </c>
      <c r="G266" s="14" t="s">
        <v>39</v>
      </c>
      <c r="H266" s="12" t="s">
        <v>456</v>
      </c>
      <c r="I266" s="12">
        <v>64271</v>
      </c>
      <c r="J266" s="12">
        <v>3383</v>
      </c>
      <c r="K266" s="12" t="s">
        <v>20</v>
      </c>
      <c r="L266" s="12">
        <v>1</v>
      </c>
      <c r="M266" s="17">
        <v>690300</v>
      </c>
      <c r="N266" s="17">
        <f t="shared" si="18"/>
        <v>690300</v>
      </c>
      <c r="P266" s="12">
        <f t="shared" si="19"/>
        <v>30</v>
      </c>
    </row>
    <row r="267" spans="1:16" ht="15" hidden="1" customHeight="1" x14ac:dyDescent="0.2">
      <c r="A267" s="12" t="s">
        <v>18</v>
      </c>
      <c r="B267" s="36">
        <v>46082</v>
      </c>
      <c r="C267" s="12">
        <f t="shared" si="16"/>
        <v>361</v>
      </c>
      <c r="D267" s="38">
        <f t="shared" si="17"/>
        <v>1</v>
      </c>
      <c r="G267" s="14" t="s">
        <v>347</v>
      </c>
      <c r="H267" s="12" t="s">
        <v>1947</v>
      </c>
      <c r="I267" s="12">
        <v>64277</v>
      </c>
      <c r="J267" s="12">
        <v>331</v>
      </c>
      <c r="K267" s="12" t="s">
        <v>20</v>
      </c>
      <c r="L267" s="12">
        <v>1</v>
      </c>
      <c r="M267" s="17">
        <v>989000</v>
      </c>
      <c r="N267" s="17">
        <f t="shared" si="18"/>
        <v>989000</v>
      </c>
      <c r="P267" s="12">
        <f t="shared" si="19"/>
        <v>167</v>
      </c>
    </row>
    <row r="268" spans="1:16" ht="15" hidden="1" customHeight="1" x14ac:dyDescent="0.2">
      <c r="A268" s="12" t="s">
        <v>18</v>
      </c>
      <c r="B268" s="36">
        <v>46082</v>
      </c>
      <c r="C268" s="12">
        <f t="shared" si="16"/>
        <v>361</v>
      </c>
      <c r="D268" s="38">
        <f t="shared" si="17"/>
        <v>0</v>
      </c>
      <c r="G268" s="14" t="s">
        <v>347</v>
      </c>
      <c r="H268" s="12" t="s">
        <v>1947</v>
      </c>
      <c r="I268" s="12">
        <v>1331</v>
      </c>
      <c r="J268" s="12">
        <v>331</v>
      </c>
      <c r="K268" s="12" t="s">
        <v>20</v>
      </c>
      <c r="L268" s="12">
        <v>1</v>
      </c>
      <c r="M268" s="17">
        <v>79120</v>
      </c>
      <c r="N268" s="17">
        <f t="shared" si="18"/>
        <v>79120</v>
      </c>
      <c r="P268" s="12">
        <f t="shared" si="19"/>
        <v>167</v>
      </c>
    </row>
    <row r="269" spans="1:16" ht="15" hidden="1" customHeight="1" x14ac:dyDescent="0.2">
      <c r="A269" s="12" t="s">
        <v>18</v>
      </c>
      <c r="B269" s="13">
        <v>46085</v>
      </c>
      <c r="C269" s="12">
        <f t="shared" si="16"/>
        <v>362</v>
      </c>
      <c r="D269" s="38">
        <f t="shared" si="17"/>
        <v>1</v>
      </c>
      <c r="G269" s="14" t="s">
        <v>29</v>
      </c>
      <c r="H269" s="12" t="s">
        <v>1974</v>
      </c>
      <c r="I269" s="12">
        <v>131</v>
      </c>
      <c r="J269" s="12">
        <v>5113</v>
      </c>
      <c r="K269" s="12" t="s">
        <v>20</v>
      </c>
      <c r="L269" s="12">
        <v>1</v>
      </c>
      <c r="M269" s="17">
        <v>22222222</v>
      </c>
      <c r="N269" s="17">
        <f t="shared" si="18"/>
        <v>22222222</v>
      </c>
      <c r="P269" s="12">
        <f t="shared" si="19"/>
        <v>138</v>
      </c>
    </row>
    <row r="270" spans="1:16" ht="15" customHeight="1" x14ac:dyDescent="0.2">
      <c r="A270" s="12" t="s">
        <v>18</v>
      </c>
      <c r="B270" s="13">
        <v>46085</v>
      </c>
      <c r="C270" s="12">
        <f t="shared" si="16"/>
        <v>363</v>
      </c>
      <c r="D270" s="38">
        <f t="shared" si="17"/>
        <v>1</v>
      </c>
      <c r="G270" s="14" t="s">
        <v>29</v>
      </c>
      <c r="H270" s="12" t="s">
        <v>4705</v>
      </c>
      <c r="I270" s="12">
        <v>333821</v>
      </c>
      <c r="J270" s="12">
        <v>131</v>
      </c>
      <c r="K270" s="12" t="s">
        <v>20</v>
      </c>
      <c r="L270" s="12">
        <v>1</v>
      </c>
      <c r="M270" s="17">
        <v>222222</v>
      </c>
      <c r="N270" s="17">
        <f t="shared" si="18"/>
        <v>222222</v>
      </c>
      <c r="P270" s="12">
        <f t="shared" si="19"/>
        <v>154</v>
      </c>
    </row>
    <row r="271" spans="1:16" ht="15" hidden="1" customHeight="1" x14ac:dyDescent="0.2">
      <c r="A271" s="12" t="s">
        <v>18</v>
      </c>
      <c r="B271" s="13">
        <v>46086</v>
      </c>
      <c r="C271" s="12">
        <f t="shared" si="16"/>
        <v>364</v>
      </c>
      <c r="D271" s="38">
        <f t="shared" si="17"/>
        <v>1</v>
      </c>
      <c r="G271" s="14" t="s">
        <v>1908</v>
      </c>
      <c r="H271" s="12" t="s">
        <v>4613</v>
      </c>
      <c r="I271" s="12">
        <v>64277</v>
      </c>
      <c r="J271" s="12">
        <v>331</v>
      </c>
      <c r="K271" s="12" t="s">
        <v>20</v>
      </c>
      <c r="L271" s="12">
        <v>1</v>
      </c>
      <c r="M271" s="17">
        <v>1934000</v>
      </c>
      <c r="N271" s="17">
        <f t="shared" si="18"/>
        <v>1934000</v>
      </c>
      <c r="P271" s="12">
        <f t="shared" si="19"/>
        <v>40</v>
      </c>
    </row>
    <row r="272" spans="1:16" ht="15" hidden="1" customHeight="1" x14ac:dyDescent="0.2">
      <c r="A272" s="12" t="s">
        <v>18</v>
      </c>
      <c r="B272" s="13">
        <v>46086</v>
      </c>
      <c r="C272" s="12">
        <f t="shared" si="16"/>
        <v>364</v>
      </c>
      <c r="D272" s="38">
        <f t="shared" si="17"/>
        <v>0</v>
      </c>
      <c r="G272" s="14" t="s">
        <v>1908</v>
      </c>
      <c r="H272" s="12" t="s">
        <v>4613</v>
      </c>
      <c r="I272" s="12">
        <v>1331</v>
      </c>
      <c r="J272" s="12">
        <v>331</v>
      </c>
      <c r="K272" s="12" t="s">
        <v>20</v>
      </c>
      <c r="L272" s="12">
        <v>1</v>
      </c>
      <c r="M272" s="17">
        <v>0</v>
      </c>
      <c r="N272" s="17">
        <f t="shared" si="18"/>
        <v>0</v>
      </c>
      <c r="P272" s="12">
        <f t="shared" si="19"/>
        <v>40</v>
      </c>
    </row>
    <row r="273" spans="1:16" ht="15" hidden="1" customHeight="1" x14ac:dyDescent="0.2">
      <c r="A273" s="12" t="s">
        <v>18</v>
      </c>
      <c r="B273" s="13">
        <v>46086</v>
      </c>
      <c r="C273" s="12">
        <f t="shared" si="16"/>
        <v>365</v>
      </c>
      <c r="D273" s="38">
        <f t="shared" si="17"/>
        <v>1</v>
      </c>
      <c r="G273" s="14" t="s">
        <v>25</v>
      </c>
      <c r="H273" s="12" t="s">
        <v>1948</v>
      </c>
      <c r="I273" s="12">
        <v>64277</v>
      </c>
      <c r="J273" s="12">
        <v>331</v>
      </c>
      <c r="K273" s="12" t="s">
        <v>20</v>
      </c>
      <c r="L273" s="12">
        <v>1</v>
      </c>
      <c r="M273" s="17">
        <v>661000</v>
      </c>
      <c r="N273" s="17">
        <f t="shared" si="18"/>
        <v>661000</v>
      </c>
      <c r="P273" s="12">
        <f t="shared" si="19"/>
        <v>136</v>
      </c>
    </row>
    <row r="274" spans="1:16" ht="15" hidden="1" customHeight="1" x14ac:dyDescent="0.2">
      <c r="A274" s="12" t="s">
        <v>18</v>
      </c>
      <c r="B274" s="13">
        <v>46086</v>
      </c>
      <c r="C274" s="12">
        <f t="shared" si="16"/>
        <v>365</v>
      </c>
      <c r="D274" s="38">
        <f t="shared" si="17"/>
        <v>0</v>
      </c>
      <c r="G274" s="14" t="s">
        <v>25</v>
      </c>
      <c r="H274" s="12" t="s">
        <v>1948</v>
      </c>
      <c r="I274" s="12">
        <v>1331</v>
      </c>
      <c r="J274" s="12">
        <v>331</v>
      </c>
      <c r="K274" s="12" t="s">
        <v>20</v>
      </c>
      <c r="L274" s="12">
        <v>1</v>
      </c>
      <c r="M274" s="17">
        <v>52880</v>
      </c>
      <c r="N274" s="17">
        <f t="shared" si="18"/>
        <v>52880</v>
      </c>
      <c r="P274" s="12">
        <f t="shared" si="19"/>
        <v>136</v>
      </c>
    </row>
    <row r="275" spans="1:16" ht="15" hidden="1" customHeight="1" x14ac:dyDescent="0.2">
      <c r="A275" s="12" t="s">
        <v>18</v>
      </c>
      <c r="B275" s="13">
        <v>46088</v>
      </c>
      <c r="C275" s="12">
        <f t="shared" si="16"/>
        <v>366</v>
      </c>
      <c r="D275" s="38">
        <f t="shared" si="17"/>
        <v>1</v>
      </c>
      <c r="G275" s="14" t="s">
        <v>30</v>
      </c>
      <c r="H275" s="12" t="s">
        <v>1949</v>
      </c>
      <c r="I275" s="12">
        <v>64277</v>
      </c>
      <c r="J275" s="12">
        <v>331</v>
      </c>
      <c r="K275" s="12" t="s">
        <v>20</v>
      </c>
      <c r="L275" s="12">
        <v>1</v>
      </c>
      <c r="M275" s="17">
        <v>2036112</v>
      </c>
      <c r="N275" s="17">
        <f t="shared" si="18"/>
        <v>2036112</v>
      </c>
      <c r="P275" s="12">
        <f t="shared" si="19"/>
        <v>30</v>
      </c>
    </row>
    <row r="276" spans="1:16" ht="15" hidden="1" customHeight="1" x14ac:dyDescent="0.2">
      <c r="A276" s="12" t="s">
        <v>18</v>
      </c>
      <c r="B276" s="13">
        <v>46088</v>
      </c>
      <c r="C276" s="12">
        <f t="shared" si="16"/>
        <v>366</v>
      </c>
      <c r="D276" s="38">
        <f t="shared" si="17"/>
        <v>0</v>
      </c>
      <c r="G276" s="14" t="s">
        <v>30</v>
      </c>
      <c r="H276" s="12" t="s">
        <v>1949</v>
      </c>
      <c r="I276" s="12">
        <v>1331</v>
      </c>
      <c r="J276" s="12">
        <v>331</v>
      </c>
      <c r="K276" s="12" t="s">
        <v>20</v>
      </c>
      <c r="L276" s="12">
        <v>1</v>
      </c>
      <c r="M276" s="17">
        <v>162888</v>
      </c>
      <c r="N276" s="17">
        <f t="shared" si="18"/>
        <v>162888</v>
      </c>
      <c r="P276" s="12">
        <f t="shared" si="19"/>
        <v>30</v>
      </c>
    </row>
    <row r="277" spans="1:16" ht="15" hidden="1" customHeight="1" x14ac:dyDescent="0.2">
      <c r="A277" s="12" t="s">
        <v>18</v>
      </c>
      <c r="B277" s="13">
        <v>46088</v>
      </c>
      <c r="C277" s="12">
        <f t="shared" si="16"/>
        <v>367</v>
      </c>
      <c r="D277" s="38">
        <f t="shared" si="17"/>
        <v>1</v>
      </c>
      <c r="G277" s="14" t="s">
        <v>95</v>
      </c>
      <c r="H277" s="12" t="s">
        <v>1950</v>
      </c>
      <c r="I277" s="12">
        <v>64277</v>
      </c>
      <c r="J277" s="12">
        <v>331</v>
      </c>
      <c r="K277" s="12" t="s">
        <v>20</v>
      </c>
      <c r="L277" s="12">
        <v>1</v>
      </c>
      <c r="M277" s="17">
        <v>203000</v>
      </c>
      <c r="N277" s="17">
        <f t="shared" si="18"/>
        <v>203000</v>
      </c>
      <c r="P277" s="12">
        <f t="shared" si="19"/>
        <v>152</v>
      </c>
    </row>
    <row r="278" spans="1:16" ht="15" hidden="1" customHeight="1" x14ac:dyDescent="0.2">
      <c r="A278" s="12" t="s">
        <v>18</v>
      </c>
      <c r="B278" s="13">
        <v>46088</v>
      </c>
      <c r="C278" s="12">
        <f t="shared" si="16"/>
        <v>367</v>
      </c>
      <c r="D278" s="38">
        <f t="shared" si="17"/>
        <v>0</v>
      </c>
      <c r="G278" s="14" t="s">
        <v>95</v>
      </c>
      <c r="H278" s="12" t="s">
        <v>1950</v>
      </c>
      <c r="I278" s="12">
        <v>1331</v>
      </c>
      <c r="J278" s="12">
        <v>331</v>
      </c>
      <c r="K278" s="12" t="s">
        <v>20</v>
      </c>
      <c r="L278" s="12">
        <v>1</v>
      </c>
      <c r="M278" s="17">
        <v>16240</v>
      </c>
      <c r="N278" s="17">
        <f t="shared" si="18"/>
        <v>16240</v>
      </c>
      <c r="P278" s="12">
        <f t="shared" si="19"/>
        <v>152</v>
      </c>
    </row>
    <row r="279" spans="1:16" ht="15" hidden="1" customHeight="1" x14ac:dyDescent="0.2">
      <c r="A279" s="12" t="s">
        <v>18</v>
      </c>
      <c r="B279" s="13">
        <v>46088</v>
      </c>
      <c r="C279" s="12">
        <f t="shared" si="16"/>
        <v>368</v>
      </c>
      <c r="D279" s="38">
        <f t="shared" si="17"/>
        <v>1</v>
      </c>
      <c r="G279" s="14" t="s">
        <v>1951</v>
      </c>
      <c r="H279" s="12" t="s">
        <v>4614</v>
      </c>
      <c r="I279" s="12">
        <v>64277</v>
      </c>
      <c r="J279" s="12">
        <v>331</v>
      </c>
      <c r="K279" s="12" t="s">
        <v>20</v>
      </c>
      <c r="L279" s="12">
        <v>1</v>
      </c>
      <c r="M279" s="17">
        <v>1247227</v>
      </c>
      <c r="N279" s="17">
        <f t="shared" si="18"/>
        <v>1247227</v>
      </c>
      <c r="P279" s="12">
        <f t="shared" si="19"/>
        <v>40</v>
      </c>
    </row>
    <row r="280" spans="1:16" ht="15" hidden="1" customHeight="1" x14ac:dyDescent="0.2">
      <c r="A280" s="12" t="s">
        <v>18</v>
      </c>
      <c r="B280" s="13">
        <v>46088</v>
      </c>
      <c r="C280" s="12">
        <f t="shared" si="16"/>
        <v>368</v>
      </c>
      <c r="D280" s="38">
        <f t="shared" si="17"/>
        <v>0</v>
      </c>
      <c r="G280" s="14" t="s">
        <v>1951</v>
      </c>
      <c r="H280" s="12" t="s">
        <v>4614</v>
      </c>
      <c r="I280" s="12">
        <v>1331</v>
      </c>
      <c r="J280" s="12">
        <v>331</v>
      </c>
      <c r="K280" s="12" t="s">
        <v>20</v>
      </c>
      <c r="L280" s="12">
        <v>1</v>
      </c>
      <c r="M280" s="17">
        <v>99778</v>
      </c>
      <c r="N280" s="17">
        <f t="shared" si="18"/>
        <v>99778</v>
      </c>
      <c r="P280" s="12">
        <f t="shared" si="19"/>
        <v>40</v>
      </c>
    </row>
    <row r="281" spans="1:16" ht="15" hidden="1" customHeight="1" x14ac:dyDescent="0.2">
      <c r="A281" s="12" t="s">
        <v>18</v>
      </c>
      <c r="B281" s="13">
        <v>46089</v>
      </c>
      <c r="C281" s="12">
        <f t="shared" si="16"/>
        <v>369</v>
      </c>
      <c r="D281" s="38">
        <f t="shared" si="17"/>
        <v>1</v>
      </c>
      <c r="G281" s="14" t="s">
        <v>35</v>
      </c>
      <c r="H281" s="12" t="s">
        <v>1952</v>
      </c>
      <c r="I281" s="12">
        <v>64277</v>
      </c>
      <c r="J281" s="12">
        <v>331</v>
      </c>
      <c r="K281" s="12" t="s">
        <v>20</v>
      </c>
      <c r="L281" s="12">
        <v>1</v>
      </c>
      <c r="M281" s="17">
        <v>3000000</v>
      </c>
      <c r="N281" s="17">
        <f t="shared" si="18"/>
        <v>3000000</v>
      </c>
      <c r="P281" s="12">
        <f t="shared" si="19"/>
        <v>41</v>
      </c>
    </row>
    <row r="282" spans="1:16" ht="15" hidden="1" customHeight="1" x14ac:dyDescent="0.2">
      <c r="A282" s="12" t="s">
        <v>18</v>
      </c>
      <c r="B282" s="13">
        <v>46089</v>
      </c>
      <c r="C282" s="12">
        <f t="shared" si="16"/>
        <v>369</v>
      </c>
      <c r="D282" s="38">
        <f t="shared" si="17"/>
        <v>0</v>
      </c>
      <c r="G282" s="14" t="s">
        <v>35</v>
      </c>
      <c r="H282" s="12" t="s">
        <v>1952</v>
      </c>
      <c r="I282" s="12">
        <v>1331</v>
      </c>
      <c r="J282" s="12">
        <v>331</v>
      </c>
      <c r="K282" s="12" t="s">
        <v>20</v>
      </c>
      <c r="L282" s="12">
        <v>1</v>
      </c>
      <c r="M282" s="17">
        <v>240000</v>
      </c>
      <c r="N282" s="17">
        <f t="shared" si="18"/>
        <v>240000</v>
      </c>
      <c r="P282" s="12">
        <f t="shared" si="19"/>
        <v>41</v>
      </c>
    </row>
    <row r="283" spans="1:16" ht="15" hidden="1" customHeight="1" x14ac:dyDescent="0.2">
      <c r="A283" s="12" t="s">
        <v>18</v>
      </c>
      <c r="B283" s="13">
        <v>46092</v>
      </c>
      <c r="C283" s="12">
        <f t="shared" si="16"/>
        <v>370</v>
      </c>
      <c r="D283" s="38">
        <f t="shared" si="17"/>
        <v>1</v>
      </c>
      <c r="G283" s="14" t="s">
        <v>347</v>
      </c>
      <c r="H283" s="12" t="s">
        <v>1953</v>
      </c>
      <c r="I283" s="12">
        <v>64277</v>
      </c>
      <c r="J283" s="12">
        <v>331</v>
      </c>
      <c r="K283" s="12" t="s">
        <v>20</v>
      </c>
      <c r="L283" s="12">
        <v>1</v>
      </c>
      <c r="M283" s="17">
        <v>545000</v>
      </c>
      <c r="N283" s="17">
        <f t="shared" si="18"/>
        <v>545000</v>
      </c>
      <c r="P283" s="12">
        <f t="shared" si="19"/>
        <v>103</v>
      </c>
    </row>
    <row r="284" spans="1:16" ht="15" hidden="1" customHeight="1" x14ac:dyDescent="0.2">
      <c r="A284" s="12" t="s">
        <v>18</v>
      </c>
      <c r="B284" s="13">
        <v>46092</v>
      </c>
      <c r="C284" s="12">
        <f t="shared" si="16"/>
        <v>370</v>
      </c>
      <c r="D284" s="38">
        <f t="shared" si="17"/>
        <v>0</v>
      </c>
      <c r="G284" s="14" t="s">
        <v>347</v>
      </c>
      <c r="H284" s="12" t="s">
        <v>1953</v>
      </c>
      <c r="I284" s="12">
        <v>1331</v>
      </c>
      <c r="J284" s="12">
        <v>331</v>
      </c>
      <c r="K284" s="12" t="s">
        <v>20</v>
      </c>
      <c r="L284" s="12">
        <v>1</v>
      </c>
      <c r="M284" s="17">
        <v>43600</v>
      </c>
      <c r="N284" s="17">
        <f t="shared" si="18"/>
        <v>43600</v>
      </c>
      <c r="P284" s="12">
        <f t="shared" si="19"/>
        <v>103</v>
      </c>
    </row>
    <row r="285" spans="1:16" ht="15" hidden="1" customHeight="1" x14ac:dyDescent="0.2">
      <c r="A285" s="12" t="s">
        <v>18</v>
      </c>
      <c r="B285" s="13">
        <v>46094</v>
      </c>
      <c r="C285" s="12">
        <f t="shared" si="16"/>
        <v>371</v>
      </c>
      <c r="D285" s="38">
        <f t="shared" si="17"/>
        <v>1</v>
      </c>
      <c r="G285" s="14" t="s">
        <v>25</v>
      </c>
      <c r="H285" s="12" t="s">
        <v>1954</v>
      </c>
      <c r="I285" s="12">
        <v>64277</v>
      </c>
      <c r="J285" s="12">
        <v>331</v>
      </c>
      <c r="K285" s="12" t="s">
        <v>20</v>
      </c>
      <c r="L285" s="12">
        <v>1</v>
      </c>
      <c r="M285" s="17">
        <v>1251003</v>
      </c>
      <c r="N285" s="17">
        <f t="shared" si="18"/>
        <v>1251003</v>
      </c>
      <c r="P285" s="12">
        <f t="shared" si="19"/>
        <v>100</v>
      </c>
    </row>
    <row r="286" spans="1:16" ht="15" hidden="1" customHeight="1" x14ac:dyDescent="0.2">
      <c r="A286" s="12" t="s">
        <v>18</v>
      </c>
      <c r="B286" s="13">
        <v>46094</v>
      </c>
      <c r="C286" s="12">
        <f t="shared" si="16"/>
        <v>371</v>
      </c>
      <c r="D286" s="38">
        <f t="shared" si="17"/>
        <v>0</v>
      </c>
      <c r="G286" s="14" t="s">
        <v>25</v>
      </c>
      <c r="H286" s="12" t="s">
        <v>1954</v>
      </c>
      <c r="I286" s="12">
        <v>1331</v>
      </c>
      <c r="J286" s="12">
        <v>331</v>
      </c>
      <c r="K286" s="12" t="s">
        <v>20</v>
      </c>
      <c r="L286" s="12">
        <v>1</v>
      </c>
      <c r="M286" s="17">
        <v>100080</v>
      </c>
      <c r="N286" s="17">
        <f t="shared" si="18"/>
        <v>100080</v>
      </c>
      <c r="P286" s="12">
        <f t="shared" si="19"/>
        <v>100</v>
      </c>
    </row>
    <row r="287" spans="1:16" ht="15" hidden="1" customHeight="1" x14ac:dyDescent="0.2">
      <c r="A287" s="12" t="s">
        <v>18</v>
      </c>
      <c r="B287" s="13">
        <v>46099</v>
      </c>
      <c r="C287" s="12">
        <f t="shared" si="16"/>
        <v>372</v>
      </c>
      <c r="D287" s="38">
        <f t="shared" si="17"/>
        <v>1</v>
      </c>
      <c r="G287" s="14" t="s">
        <v>1971</v>
      </c>
      <c r="H287" s="12" t="s">
        <v>1975</v>
      </c>
      <c r="I287" s="12">
        <v>131</v>
      </c>
      <c r="J287" s="12">
        <v>5113</v>
      </c>
      <c r="K287" s="12" t="s">
        <v>20</v>
      </c>
      <c r="L287" s="12">
        <v>1</v>
      </c>
      <c r="M287" s="17">
        <v>3333333</v>
      </c>
      <c r="N287" s="17">
        <f t="shared" si="18"/>
        <v>3333333</v>
      </c>
      <c r="P287" s="12">
        <f t="shared" si="19"/>
        <v>105</v>
      </c>
    </row>
    <row r="288" spans="1:16" ht="15" customHeight="1" x14ac:dyDescent="0.2">
      <c r="A288" s="12" t="s">
        <v>18</v>
      </c>
      <c r="B288" s="13">
        <v>46099</v>
      </c>
      <c r="C288" s="12">
        <f t="shared" si="16"/>
        <v>373</v>
      </c>
      <c r="D288" s="38">
        <f t="shared" si="17"/>
        <v>1</v>
      </c>
      <c r="G288" s="14" t="s">
        <v>1971</v>
      </c>
      <c r="H288" s="12" t="s">
        <v>4706</v>
      </c>
      <c r="I288" s="12">
        <v>333821</v>
      </c>
      <c r="J288" s="12">
        <v>131</v>
      </c>
      <c r="K288" s="12" t="s">
        <v>20</v>
      </c>
      <c r="L288" s="12">
        <v>1</v>
      </c>
      <c r="M288" s="17">
        <v>33333</v>
      </c>
      <c r="N288" s="17">
        <f t="shared" si="18"/>
        <v>33333</v>
      </c>
      <c r="P288" s="12">
        <f t="shared" si="19"/>
        <v>121</v>
      </c>
    </row>
    <row r="289" spans="1:16" ht="15" hidden="1" customHeight="1" x14ac:dyDescent="0.2">
      <c r="A289" s="12" t="s">
        <v>18</v>
      </c>
      <c r="B289" s="13">
        <v>46103</v>
      </c>
      <c r="C289" s="12">
        <f t="shared" si="16"/>
        <v>374</v>
      </c>
      <c r="D289" s="38">
        <f t="shared" si="17"/>
        <v>1</v>
      </c>
      <c r="G289" s="14" t="s">
        <v>25</v>
      </c>
      <c r="H289" s="12" t="s">
        <v>4615</v>
      </c>
      <c r="I289" s="12">
        <v>64277</v>
      </c>
      <c r="J289" s="12">
        <v>331</v>
      </c>
      <c r="K289" s="12" t="s">
        <v>20</v>
      </c>
      <c r="L289" s="12">
        <v>1</v>
      </c>
      <c r="M289" s="17">
        <v>789000</v>
      </c>
      <c r="N289" s="17">
        <f t="shared" si="18"/>
        <v>789000</v>
      </c>
      <c r="P289" s="12">
        <f t="shared" si="19"/>
        <v>43</v>
      </c>
    </row>
    <row r="290" spans="1:16" ht="15" hidden="1" customHeight="1" x14ac:dyDescent="0.2">
      <c r="A290" s="12" t="s">
        <v>18</v>
      </c>
      <c r="B290" s="13">
        <v>46103</v>
      </c>
      <c r="C290" s="12">
        <f t="shared" si="16"/>
        <v>374</v>
      </c>
      <c r="D290" s="38">
        <f t="shared" si="17"/>
        <v>0</v>
      </c>
      <c r="G290" s="14" t="s">
        <v>25</v>
      </c>
      <c r="H290" s="12" t="s">
        <v>4615</v>
      </c>
      <c r="I290" s="12">
        <v>1331</v>
      </c>
      <c r="J290" s="12">
        <v>331</v>
      </c>
      <c r="K290" s="12" t="s">
        <v>20</v>
      </c>
      <c r="L290" s="12">
        <v>1</v>
      </c>
      <c r="M290" s="17">
        <v>63120</v>
      </c>
      <c r="N290" s="17">
        <f t="shared" si="18"/>
        <v>63120</v>
      </c>
      <c r="P290" s="12">
        <f t="shared" si="19"/>
        <v>43</v>
      </c>
    </row>
    <row r="291" spans="1:16" ht="15" hidden="1" customHeight="1" x14ac:dyDescent="0.2">
      <c r="A291" s="12" t="s">
        <v>18</v>
      </c>
      <c r="B291" s="13">
        <v>46104</v>
      </c>
      <c r="C291" s="12">
        <f t="shared" si="16"/>
        <v>375</v>
      </c>
      <c r="D291" s="38">
        <f t="shared" si="17"/>
        <v>1</v>
      </c>
      <c r="G291" s="14" t="s">
        <v>1785</v>
      </c>
      <c r="H291" s="12" t="s">
        <v>1976</v>
      </c>
      <c r="I291" s="12">
        <v>131</v>
      </c>
      <c r="J291" s="12">
        <v>5113</v>
      </c>
      <c r="K291" s="12" t="s">
        <v>20</v>
      </c>
      <c r="L291" s="12">
        <v>1</v>
      </c>
      <c r="M291" s="17">
        <v>70000000</v>
      </c>
      <c r="N291" s="17">
        <f t="shared" si="18"/>
        <v>70000000</v>
      </c>
      <c r="P291" s="12">
        <f t="shared" si="19"/>
        <v>109</v>
      </c>
    </row>
    <row r="292" spans="1:16" ht="15" customHeight="1" x14ac:dyDescent="0.2">
      <c r="A292" s="12" t="s">
        <v>18</v>
      </c>
      <c r="B292" s="13">
        <v>46104</v>
      </c>
      <c r="C292" s="12">
        <f t="shared" si="16"/>
        <v>376</v>
      </c>
      <c r="D292" s="38">
        <f t="shared" si="17"/>
        <v>1</v>
      </c>
      <c r="G292" s="14" t="s">
        <v>1785</v>
      </c>
      <c r="H292" s="12" t="s">
        <v>4707</v>
      </c>
      <c r="I292" s="12">
        <v>333821</v>
      </c>
      <c r="J292" s="12">
        <v>131</v>
      </c>
      <c r="K292" s="12" t="s">
        <v>20</v>
      </c>
      <c r="L292" s="12">
        <v>1</v>
      </c>
      <c r="M292" s="17">
        <v>700000</v>
      </c>
      <c r="N292" s="17">
        <f t="shared" si="18"/>
        <v>700000</v>
      </c>
      <c r="P292" s="12">
        <f t="shared" si="19"/>
        <v>125</v>
      </c>
    </row>
    <row r="293" spans="1:16" ht="15" hidden="1" customHeight="1" x14ac:dyDescent="0.2">
      <c r="A293" s="12" t="s">
        <v>18</v>
      </c>
      <c r="B293" s="13">
        <v>46105</v>
      </c>
      <c r="C293" s="12">
        <f t="shared" si="16"/>
        <v>377</v>
      </c>
      <c r="D293" s="38">
        <f t="shared" si="17"/>
        <v>1</v>
      </c>
      <c r="G293" s="14" t="s">
        <v>89</v>
      </c>
      <c r="H293" s="12" t="s">
        <v>1955</v>
      </c>
      <c r="I293" s="12">
        <v>64277</v>
      </c>
      <c r="J293" s="12">
        <v>331</v>
      </c>
      <c r="K293" s="12" t="s">
        <v>20</v>
      </c>
      <c r="L293" s="12">
        <v>1</v>
      </c>
      <c r="M293" s="17">
        <v>12037</v>
      </c>
      <c r="N293" s="17">
        <f t="shared" si="18"/>
        <v>12037</v>
      </c>
      <c r="P293" s="12">
        <f t="shared" si="19"/>
        <v>72</v>
      </c>
    </row>
    <row r="294" spans="1:16" ht="15" hidden="1" customHeight="1" x14ac:dyDescent="0.2">
      <c r="A294" s="12" t="s">
        <v>18</v>
      </c>
      <c r="B294" s="13">
        <v>46105</v>
      </c>
      <c r="C294" s="12">
        <f t="shared" si="16"/>
        <v>377</v>
      </c>
      <c r="D294" s="38">
        <f t="shared" si="17"/>
        <v>0</v>
      </c>
      <c r="G294" s="14" t="s">
        <v>89</v>
      </c>
      <c r="H294" s="12" t="s">
        <v>1955</v>
      </c>
      <c r="I294" s="12">
        <v>1331</v>
      </c>
      <c r="J294" s="12">
        <v>331</v>
      </c>
      <c r="K294" s="12" t="s">
        <v>20</v>
      </c>
      <c r="L294" s="12">
        <v>1</v>
      </c>
      <c r="M294" s="17">
        <v>963</v>
      </c>
      <c r="N294" s="17">
        <f t="shared" si="18"/>
        <v>963</v>
      </c>
      <c r="P294" s="12">
        <f t="shared" si="19"/>
        <v>72</v>
      </c>
    </row>
    <row r="295" spans="1:16" ht="15" hidden="1" customHeight="1" x14ac:dyDescent="0.2">
      <c r="A295" s="12" t="s">
        <v>18</v>
      </c>
      <c r="B295" s="13">
        <v>46106</v>
      </c>
      <c r="C295" s="12">
        <f t="shared" si="16"/>
        <v>378</v>
      </c>
      <c r="D295" s="38">
        <f t="shared" si="17"/>
        <v>1</v>
      </c>
      <c r="G295" s="14" t="s">
        <v>1956</v>
      </c>
      <c r="H295" s="12" t="s">
        <v>4616</v>
      </c>
      <c r="I295" s="12">
        <v>64277</v>
      </c>
      <c r="J295" s="12">
        <v>331</v>
      </c>
      <c r="K295" s="12" t="s">
        <v>20</v>
      </c>
      <c r="L295" s="12">
        <v>1</v>
      </c>
      <c r="M295" s="17">
        <v>1125750</v>
      </c>
      <c r="N295" s="17">
        <f t="shared" si="18"/>
        <v>1125750</v>
      </c>
      <c r="P295" s="12">
        <f t="shared" si="19"/>
        <v>42</v>
      </c>
    </row>
    <row r="296" spans="1:16" ht="15" hidden="1" customHeight="1" x14ac:dyDescent="0.2">
      <c r="A296" s="12" t="s">
        <v>18</v>
      </c>
      <c r="B296" s="13">
        <v>46106</v>
      </c>
      <c r="C296" s="12">
        <f t="shared" si="16"/>
        <v>378</v>
      </c>
      <c r="D296" s="38">
        <f t="shared" si="17"/>
        <v>0</v>
      </c>
      <c r="G296" s="14" t="s">
        <v>1956</v>
      </c>
      <c r="H296" s="12" t="s">
        <v>4616</v>
      </c>
      <c r="I296" s="12">
        <v>1331</v>
      </c>
      <c r="J296" s="12">
        <v>331</v>
      </c>
      <c r="K296" s="12" t="s">
        <v>20</v>
      </c>
      <c r="L296" s="12">
        <v>1</v>
      </c>
      <c r="M296" s="17">
        <v>90060</v>
      </c>
      <c r="N296" s="17">
        <f t="shared" si="18"/>
        <v>90060</v>
      </c>
      <c r="P296" s="12">
        <f t="shared" si="19"/>
        <v>42</v>
      </c>
    </row>
    <row r="297" spans="1:16" ht="15" hidden="1" customHeight="1" x14ac:dyDescent="0.2">
      <c r="A297" s="12" t="s">
        <v>18</v>
      </c>
      <c r="B297" s="13">
        <v>46106</v>
      </c>
      <c r="C297" s="12">
        <f t="shared" si="16"/>
        <v>379</v>
      </c>
      <c r="D297" s="38">
        <f t="shared" si="17"/>
        <v>1</v>
      </c>
      <c r="G297" s="14" t="s">
        <v>1956</v>
      </c>
      <c r="H297" s="12" t="s">
        <v>1957</v>
      </c>
      <c r="I297" s="12">
        <v>64277</v>
      </c>
      <c r="J297" s="12">
        <v>331</v>
      </c>
      <c r="K297" s="12" t="s">
        <v>20</v>
      </c>
      <c r="L297" s="12">
        <v>1</v>
      </c>
      <c r="M297" s="17">
        <v>56050</v>
      </c>
      <c r="N297" s="17">
        <f t="shared" si="18"/>
        <v>56050</v>
      </c>
      <c r="P297" s="12">
        <f t="shared" si="19"/>
        <v>63</v>
      </c>
    </row>
    <row r="298" spans="1:16" ht="15" hidden="1" customHeight="1" x14ac:dyDescent="0.2">
      <c r="A298" s="12" t="s">
        <v>18</v>
      </c>
      <c r="B298" s="13">
        <v>46106</v>
      </c>
      <c r="C298" s="12">
        <f t="shared" si="16"/>
        <v>379</v>
      </c>
      <c r="D298" s="38">
        <f t="shared" si="17"/>
        <v>0</v>
      </c>
      <c r="G298" s="14" t="s">
        <v>1956</v>
      </c>
      <c r="H298" s="12" t="s">
        <v>1957</v>
      </c>
      <c r="I298" s="12">
        <v>1331</v>
      </c>
      <c r="J298" s="12">
        <v>331</v>
      </c>
      <c r="K298" s="12" t="s">
        <v>20</v>
      </c>
      <c r="L298" s="12">
        <v>1</v>
      </c>
      <c r="M298" s="17">
        <v>5605</v>
      </c>
      <c r="N298" s="17">
        <f t="shared" si="18"/>
        <v>5605</v>
      </c>
      <c r="P298" s="12">
        <f t="shared" si="19"/>
        <v>63</v>
      </c>
    </row>
    <row r="299" spans="1:16" ht="15" hidden="1" customHeight="1" x14ac:dyDescent="0.2">
      <c r="A299" s="12" t="s">
        <v>18</v>
      </c>
      <c r="B299" s="13">
        <v>46107</v>
      </c>
      <c r="C299" s="12">
        <f t="shared" si="16"/>
        <v>380</v>
      </c>
      <c r="D299" s="38">
        <f t="shared" si="17"/>
        <v>1</v>
      </c>
      <c r="G299" s="14" t="s">
        <v>29</v>
      </c>
      <c r="H299" s="12" t="s">
        <v>1977</v>
      </c>
      <c r="I299" s="12">
        <v>131</v>
      </c>
      <c r="J299" s="12">
        <v>5113</v>
      </c>
      <c r="K299" s="12" t="s">
        <v>20</v>
      </c>
      <c r="L299" s="12">
        <v>1</v>
      </c>
      <c r="M299" s="17">
        <v>22222222</v>
      </c>
      <c r="N299" s="17">
        <f t="shared" si="18"/>
        <v>22222222</v>
      </c>
      <c r="P299" s="12">
        <f t="shared" si="19"/>
        <v>134</v>
      </c>
    </row>
    <row r="300" spans="1:16" ht="15" customHeight="1" x14ac:dyDescent="0.2">
      <c r="A300" s="12" t="s">
        <v>18</v>
      </c>
      <c r="B300" s="13">
        <v>46107</v>
      </c>
      <c r="C300" s="12">
        <f t="shared" si="16"/>
        <v>381</v>
      </c>
      <c r="D300" s="38">
        <f t="shared" si="17"/>
        <v>1</v>
      </c>
      <c r="G300" s="14" t="s">
        <v>29</v>
      </c>
      <c r="H300" s="12" t="s">
        <v>4708</v>
      </c>
      <c r="I300" s="12">
        <v>333821</v>
      </c>
      <c r="J300" s="12">
        <v>131</v>
      </c>
      <c r="K300" s="12" t="s">
        <v>20</v>
      </c>
      <c r="L300" s="12">
        <v>1</v>
      </c>
      <c r="M300" s="17">
        <v>222222</v>
      </c>
      <c r="N300" s="17">
        <f t="shared" si="18"/>
        <v>222222</v>
      </c>
      <c r="P300" s="12">
        <f t="shared" si="19"/>
        <v>150</v>
      </c>
    </row>
    <row r="301" spans="1:16" ht="15" hidden="1" customHeight="1" x14ac:dyDescent="0.2">
      <c r="A301" s="12" t="s">
        <v>18</v>
      </c>
      <c r="B301" s="13">
        <v>46108</v>
      </c>
      <c r="C301" s="12">
        <f t="shared" si="16"/>
        <v>382</v>
      </c>
      <c r="D301" s="38">
        <f t="shared" si="17"/>
        <v>1</v>
      </c>
      <c r="G301" s="14" t="s">
        <v>89</v>
      </c>
      <c r="H301" s="12" t="s">
        <v>1958</v>
      </c>
      <c r="I301" s="12">
        <v>64277</v>
      </c>
      <c r="J301" s="12">
        <v>331</v>
      </c>
      <c r="K301" s="12" t="s">
        <v>20</v>
      </c>
      <c r="L301" s="12">
        <v>1</v>
      </c>
      <c r="M301" s="17">
        <v>115741</v>
      </c>
      <c r="N301" s="17">
        <f t="shared" si="18"/>
        <v>115741</v>
      </c>
      <c r="P301" s="12">
        <f t="shared" si="19"/>
        <v>72</v>
      </c>
    </row>
    <row r="302" spans="1:16" ht="15" hidden="1" customHeight="1" x14ac:dyDescent="0.2">
      <c r="A302" s="12" t="s">
        <v>18</v>
      </c>
      <c r="B302" s="13">
        <v>46108</v>
      </c>
      <c r="C302" s="12">
        <f t="shared" si="16"/>
        <v>382</v>
      </c>
      <c r="D302" s="38">
        <f t="shared" si="17"/>
        <v>0</v>
      </c>
      <c r="G302" s="14" t="s">
        <v>89</v>
      </c>
      <c r="H302" s="12" t="s">
        <v>1958</v>
      </c>
      <c r="I302" s="12">
        <v>1331</v>
      </c>
      <c r="J302" s="12">
        <v>331</v>
      </c>
      <c r="K302" s="12" t="s">
        <v>20</v>
      </c>
      <c r="L302" s="12">
        <v>1</v>
      </c>
      <c r="M302" s="17">
        <v>9259</v>
      </c>
      <c r="N302" s="17">
        <f t="shared" si="18"/>
        <v>9259</v>
      </c>
      <c r="P302" s="12">
        <f t="shared" si="19"/>
        <v>72</v>
      </c>
    </row>
    <row r="303" spans="1:16" ht="15" hidden="1" customHeight="1" x14ac:dyDescent="0.2">
      <c r="A303" s="12" t="s">
        <v>18</v>
      </c>
      <c r="B303" s="13">
        <v>46108</v>
      </c>
      <c r="C303" s="12">
        <f t="shared" si="16"/>
        <v>383</v>
      </c>
      <c r="D303" s="38">
        <f t="shared" si="17"/>
        <v>1</v>
      </c>
      <c r="G303" s="14" t="s">
        <v>1779</v>
      </c>
      <c r="H303" s="12" t="s">
        <v>1978</v>
      </c>
      <c r="I303" s="12">
        <v>131</v>
      </c>
      <c r="J303" s="12">
        <v>5113</v>
      </c>
      <c r="K303" s="12" t="s">
        <v>20</v>
      </c>
      <c r="L303" s="12">
        <v>1</v>
      </c>
      <c r="M303" s="17">
        <v>18888889</v>
      </c>
      <c r="N303" s="17">
        <f t="shared" si="18"/>
        <v>18888889</v>
      </c>
      <c r="P303" s="12">
        <f t="shared" si="19"/>
        <v>190</v>
      </c>
    </row>
    <row r="304" spans="1:16" ht="15" customHeight="1" x14ac:dyDescent="0.2">
      <c r="A304" s="12" t="s">
        <v>18</v>
      </c>
      <c r="B304" s="13">
        <v>46108</v>
      </c>
      <c r="C304" s="12">
        <f t="shared" si="16"/>
        <v>384</v>
      </c>
      <c r="D304" s="38">
        <f t="shared" si="17"/>
        <v>1</v>
      </c>
      <c r="G304" s="14" t="s">
        <v>1779</v>
      </c>
      <c r="H304" s="12" t="s">
        <v>4709</v>
      </c>
      <c r="I304" s="12">
        <v>333821</v>
      </c>
      <c r="J304" s="12">
        <v>131</v>
      </c>
      <c r="K304" s="12" t="s">
        <v>20</v>
      </c>
      <c r="L304" s="12">
        <v>1</v>
      </c>
      <c r="M304" s="17">
        <v>188889</v>
      </c>
      <c r="N304" s="17">
        <f t="shared" si="18"/>
        <v>188889</v>
      </c>
      <c r="P304" s="12">
        <f t="shared" si="19"/>
        <v>206</v>
      </c>
    </row>
    <row r="305" spans="1:16" ht="15" hidden="1" customHeight="1" x14ac:dyDescent="0.2">
      <c r="A305" s="12" t="s">
        <v>18</v>
      </c>
      <c r="B305" s="36">
        <v>46112</v>
      </c>
      <c r="C305" s="12">
        <f t="shared" si="16"/>
        <v>385</v>
      </c>
      <c r="D305" s="38">
        <f t="shared" si="17"/>
        <v>1</v>
      </c>
      <c r="G305" s="14" t="s">
        <v>39</v>
      </c>
      <c r="H305" s="12" t="s">
        <v>457</v>
      </c>
      <c r="I305" s="12">
        <v>64271</v>
      </c>
      <c r="J305" s="12">
        <v>3383</v>
      </c>
      <c r="K305" s="12" t="s">
        <v>20</v>
      </c>
      <c r="L305" s="12">
        <v>1</v>
      </c>
      <c r="M305" s="17">
        <v>690300</v>
      </c>
      <c r="N305" s="17">
        <f t="shared" si="18"/>
        <v>690300</v>
      </c>
      <c r="P305" s="12">
        <f t="shared" si="19"/>
        <v>30</v>
      </c>
    </row>
  </sheetData>
  <autoFilter ref="A3:R305" xr:uid="{00000000-0009-0000-0000-000018000000}">
    <filterColumn colId="8">
      <filters>
        <filter val="333821"/>
      </filters>
    </filterColumn>
    <filterColumn colId="9">
      <filters>
        <filter val="131"/>
      </filters>
    </filterColumn>
    <sortState xmlns:xlrd2="http://schemas.microsoft.com/office/spreadsheetml/2017/richdata2" ref="A4:R305">
      <sortCondition ref="A4:A305"/>
      <sortCondition ref="B4:B305"/>
      <sortCondition ref="H4:H305"/>
    </sortState>
  </autoFilter>
  <mergeCells count="13">
    <mergeCell ref="F1:F2"/>
    <mergeCell ref="A1:A2"/>
    <mergeCell ref="B1:B2"/>
    <mergeCell ref="C1:C2"/>
    <mergeCell ref="D1:D2"/>
    <mergeCell ref="E1:E2"/>
    <mergeCell ref="N1:N2"/>
    <mergeCell ref="G1:G2"/>
    <mergeCell ref="H1:H2"/>
    <mergeCell ref="I1:J1"/>
    <mergeCell ref="K1:K2"/>
    <mergeCell ref="L1:L2"/>
    <mergeCell ref="M1:M2"/>
  </mergeCells>
  <hyperlinks>
    <hyperlink ref="P1" location="Summary!A1" display="Back to summary" xr:uid="{00000000-0004-0000-1800-000000000000}"/>
  </hyperlink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P98"/>
  <sheetViews>
    <sheetView workbookViewId="0">
      <selection activeCell="P1" sqref="P1"/>
    </sheetView>
  </sheetViews>
  <sheetFormatPr defaultRowHeight="15" x14ac:dyDescent="0.25"/>
  <cols>
    <col min="8" max="8" width="27.7109375" customWidth="1"/>
    <col min="13" max="14" width="10.7109375" bestFit="1" customWidth="1"/>
  </cols>
  <sheetData>
    <row r="1" spans="1:16" ht="15.75" thickBot="1" x14ac:dyDescent="0.3">
      <c r="A1" s="247" t="s">
        <v>0</v>
      </c>
      <c r="B1" s="219" t="s">
        <v>1</v>
      </c>
      <c r="C1" s="247" t="s">
        <v>2</v>
      </c>
      <c r="D1" s="249" t="s">
        <v>3</v>
      </c>
      <c r="E1" s="249" t="s">
        <v>4</v>
      </c>
      <c r="F1" s="249" t="s">
        <v>5</v>
      </c>
      <c r="G1" s="241" t="s">
        <v>6</v>
      </c>
      <c r="H1" s="243" t="s">
        <v>7</v>
      </c>
      <c r="I1" s="245" t="s">
        <v>8</v>
      </c>
      <c r="J1" s="246"/>
      <c r="K1" s="247" t="s">
        <v>9</v>
      </c>
      <c r="L1" s="247" t="s">
        <v>10</v>
      </c>
      <c r="M1" s="254" t="s">
        <v>76</v>
      </c>
      <c r="N1" s="254" t="s">
        <v>77</v>
      </c>
      <c r="O1" s="45" t="s">
        <v>78</v>
      </c>
      <c r="P1" s="146" t="s">
        <v>356</v>
      </c>
    </row>
    <row r="2" spans="1:16" ht="15.75" thickBot="1" x14ac:dyDescent="0.3">
      <c r="A2" s="248"/>
      <c r="B2" s="220"/>
      <c r="C2" s="248"/>
      <c r="D2" s="253"/>
      <c r="E2" s="253"/>
      <c r="F2" s="250"/>
      <c r="G2" s="242"/>
      <c r="H2" s="244"/>
      <c r="I2" s="46" t="s">
        <v>13</v>
      </c>
      <c r="J2" s="47" t="s">
        <v>14</v>
      </c>
      <c r="K2" s="248"/>
      <c r="L2" s="248"/>
      <c r="M2" s="255"/>
      <c r="N2" s="255"/>
      <c r="O2" s="38" t="s">
        <v>78</v>
      </c>
      <c r="P2" s="38"/>
    </row>
    <row r="3" spans="1:16" x14ac:dyDescent="0.25">
      <c r="A3" s="48"/>
      <c r="B3" s="81"/>
      <c r="C3" s="48">
        <v>0</v>
      </c>
      <c r="D3" s="49"/>
      <c r="E3" s="49"/>
      <c r="F3" s="49"/>
      <c r="G3" s="51" t="s">
        <v>15</v>
      </c>
      <c r="H3" s="52"/>
      <c r="I3" s="52"/>
      <c r="J3" s="52"/>
      <c r="K3" s="48"/>
      <c r="L3" s="48"/>
      <c r="M3" s="82"/>
      <c r="N3" s="82"/>
      <c r="O3" s="38" t="s">
        <v>16</v>
      </c>
      <c r="P3" s="38" t="s">
        <v>17</v>
      </c>
    </row>
    <row r="4" spans="1:16" x14ac:dyDescent="0.25">
      <c r="A4" s="12" t="s">
        <v>18</v>
      </c>
      <c r="B4" s="36">
        <v>46027</v>
      </c>
      <c r="C4" s="12">
        <f t="shared" ref="C4:C35" si="0">C3+D4</f>
        <v>1</v>
      </c>
      <c r="D4" s="38">
        <f t="shared" ref="D4:D67" si="1">IF(H4=H3,0,1)</f>
        <v>1</v>
      </c>
      <c r="E4" s="12"/>
      <c r="F4" s="12"/>
      <c r="G4" s="12" t="s">
        <v>1979</v>
      </c>
      <c r="H4" s="12" t="s">
        <v>1980</v>
      </c>
      <c r="I4" s="12">
        <v>64277</v>
      </c>
      <c r="J4" s="12">
        <v>331</v>
      </c>
      <c r="K4" s="12" t="s">
        <v>20</v>
      </c>
      <c r="L4" s="12">
        <v>1</v>
      </c>
      <c r="M4" s="17">
        <v>5000</v>
      </c>
      <c r="N4" s="17">
        <f t="shared" ref="N4:N35" si="2">L4*M4</f>
        <v>5000</v>
      </c>
      <c r="O4" s="12"/>
      <c r="P4" s="12"/>
    </row>
    <row r="5" spans="1:16" x14ac:dyDescent="0.25">
      <c r="A5" s="12" t="s">
        <v>18</v>
      </c>
      <c r="B5" s="36">
        <v>46027</v>
      </c>
      <c r="C5" s="12">
        <f t="shared" si="0"/>
        <v>1</v>
      </c>
      <c r="D5" s="38">
        <f t="shared" si="1"/>
        <v>0</v>
      </c>
      <c r="E5" s="12"/>
      <c r="F5" s="12"/>
      <c r="G5" s="12" t="s">
        <v>1979</v>
      </c>
      <c r="H5" s="12" t="s">
        <v>1980</v>
      </c>
      <c r="I5" s="12">
        <v>1331</v>
      </c>
      <c r="J5" s="12">
        <v>331</v>
      </c>
      <c r="K5" s="12" t="s">
        <v>20</v>
      </c>
      <c r="L5" s="12">
        <v>1</v>
      </c>
      <c r="M5" s="17">
        <v>500</v>
      </c>
      <c r="N5" s="17">
        <f t="shared" si="2"/>
        <v>500</v>
      </c>
      <c r="O5" s="12"/>
      <c r="P5" s="12"/>
    </row>
    <row r="6" spans="1:16" x14ac:dyDescent="0.25">
      <c r="A6" s="12" t="s">
        <v>310</v>
      </c>
      <c r="B6" s="36">
        <v>46027</v>
      </c>
      <c r="C6" s="12">
        <f t="shared" si="0"/>
        <v>1</v>
      </c>
      <c r="D6" s="38">
        <f t="shared" si="1"/>
        <v>0</v>
      </c>
      <c r="E6" s="12"/>
      <c r="F6" s="12"/>
      <c r="G6" s="12" t="s">
        <v>1979</v>
      </c>
      <c r="H6" s="12" t="s">
        <v>1980</v>
      </c>
      <c r="I6" s="12">
        <v>331</v>
      </c>
      <c r="J6" s="12">
        <v>1111</v>
      </c>
      <c r="K6" s="12" t="s">
        <v>20</v>
      </c>
      <c r="L6" s="12">
        <v>1</v>
      </c>
      <c r="M6" s="17">
        <v>5500</v>
      </c>
      <c r="N6" s="17">
        <f t="shared" si="2"/>
        <v>5500</v>
      </c>
      <c r="O6" s="12"/>
      <c r="P6" s="12"/>
    </row>
    <row r="7" spans="1:16" x14ac:dyDescent="0.25">
      <c r="A7" s="12" t="s">
        <v>18</v>
      </c>
      <c r="B7" s="36">
        <v>46028</v>
      </c>
      <c r="C7" s="12">
        <f t="shared" si="0"/>
        <v>2</v>
      </c>
      <c r="D7" s="38">
        <f t="shared" si="1"/>
        <v>1</v>
      </c>
      <c r="E7" s="12"/>
      <c r="F7" s="12"/>
      <c r="G7" s="12" t="s">
        <v>1979</v>
      </c>
      <c r="H7" s="12" t="s">
        <v>1981</v>
      </c>
      <c r="I7" s="12">
        <v>64277</v>
      </c>
      <c r="J7" s="12">
        <v>331</v>
      </c>
      <c r="K7" s="12" t="s">
        <v>20</v>
      </c>
      <c r="L7" s="12">
        <v>1</v>
      </c>
      <c r="M7" s="17">
        <v>5000</v>
      </c>
      <c r="N7" s="17">
        <f t="shared" si="2"/>
        <v>5000</v>
      </c>
      <c r="O7" s="12"/>
      <c r="P7" s="12"/>
    </row>
    <row r="8" spans="1:16" x14ac:dyDescent="0.25">
      <c r="A8" s="12" t="s">
        <v>18</v>
      </c>
      <c r="B8" s="36">
        <v>46028</v>
      </c>
      <c r="C8" s="12">
        <f t="shared" si="0"/>
        <v>2</v>
      </c>
      <c r="D8" s="38">
        <f t="shared" si="1"/>
        <v>0</v>
      </c>
      <c r="E8" s="12"/>
      <c r="F8" s="12"/>
      <c r="G8" s="12" t="s">
        <v>1979</v>
      </c>
      <c r="H8" s="12" t="s">
        <v>1981</v>
      </c>
      <c r="I8" s="12">
        <v>1331</v>
      </c>
      <c r="J8" s="12">
        <v>331</v>
      </c>
      <c r="K8" s="12" t="s">
        <v>20</v>
      </c>
      <c r="L8" s="12">
        <v>1</v>
      </c>
      <c r="M8" s="17">
        <v>500</v>
      </c>
      <c r="N8" s="17">
        <f t="shared" si="2"/>
        <v>500</v>
      </c>
      <c r="O8" s="12"/>
      <c r="P8" s="12"/>
    </row>
    <row r="9" spans="1:16" x14ac:dyDescent="0.25">
      <c r="A9" s="12" t="s">
        <v>310</v>
      </c>
      <c r="B9" s="36">
        <v>46028</v>
      </c>
      <c r="C9" s="12">
        <f t="shared" si="0"/>
        <v>2</v>
      </c>
      <c r="D9" s="38">
        <f t="shared" si="1"/>
        <v>0</v>
      </c>
      <c r="E9" s="12"/>
      <c r="F9" s="12"/>
      <c r="G9" s="12" t="s">
        <v>1979</v>
      </c>
      <c r="H9" s="12" t="s">
        <v>1981</v>
      </c>
      <c r="I9" s="12">
        <v>331</v>
      </c>
      <c r="J9" s="12">
        <v>1111</v>
      </c>
      <c r="K9" s="12" t="s">
        <v>20</v>
      </c>
      <c r="L9" s="12">
        <v>1</v>
      </c>
      <c r="M9" s="17">
        <v>5500</v>
      </c>
      <c r="N9" s="17">
        <f t="shared" si="2"/>
        <v>5500</v>
      </c>
      <c r="O9" s="12"/>
      <c r="P9" s="12"/>
    </row>
    <row r="10" spans="1:16" x14ac:dyDescent="0.25">
      <c r="A10" s="12" t="s">
        <v>18</v>
      </c>
      <c r="B10" s="36">
        <v>46036</v>
      </c>
      <c r="C10" s="12">
        <f t="shared" si="0"/>
        <v>3</v>
      </c>
      <c r="D10" s="38">
        <f t="shared" si="1"/>
        <v>1</v>
      </c>
      <c r="E10" s="12"/>
      <c r="F10" s="12"/>
      <c r="G10" s="12" t="s">
        <v>1982</v>
      </c>
      <c r="H10" s="12" t="s">
        <v>1983</v>
      </c>
      <c r="I10" s="12">
        <v>64277</v>
      </c>
      <c r="J10" s="12">
        <v>331</v>
      </c>
      <c r="K10" s="12" t="s">
        <v>20</v>
      </c>
      <c r="L10" s="12">
        <v>1</v>
      </c>
      <c r="M10" s="17">
        <v>5000</v>
      </c>
      <c r="N10" s="17">
        <f t="shared" si="2"/>
        <v>5000</v>
      </c>
      <c r="O10" s="12"/>
      <c r="P10" s="12"/>
    </row>
    <row r="11" spans="1:16" x14ac:dyDescent="0.25">
      <c r="A11" s="12" t="s">
        <v>18</v>
      </c>
      <c r="B11" s="36">
        <v>46036</v>
      </c>
      <c r="C11" s="12">
        <f t="shared" si="0"/>
        <v>3</v>
      </c>
      <c r="D11" s="38">
        <f t="shared" si="1"/>
        <v>0</v>
      </c>
      <c r="E11" s="12"/>
      <c r="F11" s="12"/>
      <c r="G11" s="12" t="s">
        <v>1982</v>
      </c>
      <c r="H11" s="12" t="s">
        <v>1983</v>
      </c>
      <c r="I11" s="12">
        <v>1331</v>
      </c>
      <c r="J11" s="12">
        <v>331</v>
      </c>
      <c r="K11" s="12" t="s">
        <v>20</v>
      </c>
      <c r="L11" s="12">
        <v>1</v>
      </c>
      <c r="M11" s="17">
        <v>500</v>
      </c>
      <c r="N11" s="17">
        <f t="shared" si="2"/>
        <v>500</v>
      </c>
      <c r="O11" s="12"/>
      <c r="P11" s="12"/>
    </row>
    <row r="12" spans="1:16" x14ac:dyDescent="0.25">
      <c r="A12" s="12" t="s">
        <v>310</v>
      </c>
      <c r="B12" s="36">
        <v>46036</v>
      </c>
      <c r="C12" s="12">
        <f t="shared" si="0"/>
        <v>3</v>
      </c>
      <c r="D12" s="38">
        <f t="shared" si="1"/>
        <v>0</v>
      </c>
      <c r="E12" s="12"/>
      <c r="F12" s="12"/>
      <c r="G12" s="12" t="s">
        <v>1982</v>
      </c>
      <c r="H12" s="12" t="s">
        <v>1983</v>
      </c>
      <c r="I12" s="12">
        <v>331</v>
      </c>
      <c r="J12" s="12">
        <v>1111</v>
      </c>
      <c r="K12" s="12" t="s">
        <v>20</v>
      </c>
      <c r="L12" s="12">
        <v>1</v>
      </c>
      <c r="M12" s="17">
        <v>5500</v>
      </c>
      <c r="N12" s="17">
        <f t="shared" si="2"/>
        <v>5500</v>
      </c>
      <c r="O12" s="12"/>
      <c r="P12" s="12"/>
    </row>
    <row r="13" spans="1:16" x14ac:dyDescent="0.25">
      <c r="A13" s="12" t="s">
        <v>18</v>
      </c>
      <c r="B13" s="36">
        <v>46037</v>
      </c>
      <c r="C13" s="12">
        <f t="shared" si="0"/>
        <v>4</v>
      </c>
      <c r="D13" s="38">
        <f t="shared" si="1"/>
        <v>1</v>
      </c>
      <c r="E13" s="12"/>
      <c r="F13" s="12"/>
      <c r="G13" s="12" t="s">
        <v>1979</v>
      </c>
      <c r="H13" s="12" t="s">
        <v>1984</v>
      </c>
      <c r="I13" s="12">
        <v>64277</v>
      </c>
      <c r="J13" s="12">
        <v>331</v>
      </c>
      <c r="K13" s="12" t="s">
        <v>20</v>
      </c>
      <c r="L13" s="12">
        <v>1</v>
      </c>
      <c r="M13" s="17">
        <v>5000</v>
      </c>
      <c r="N13" s="17">
        <f t="shared" si="2"/>
        <v>5000</v>
      </c>
      <c r="O13" s="12"/>
      <c r="P13" s="12"/>
    </row>
    <row r="14" spans="1:16" x14ac:dyDescent="0.25">
      <c r="A14" s="12" t="s">
        <v>18</v>
      </c>
      <c r="B14" s="36">
        <v>46037</v>
      </c>
      <c r="C14" s="12">
        <f t="shared" si="0"/>
        <v>4</v>
      </c>
      <c r="D14" s="38">
        <f t="shared" si="1"/>
        <v>0</v>
      </c>
      <c r="E14" s="12"/>
      <c r="F14" s="12"/>
      <c r="G14" s="12" t="s">
        <v>1979</v>
      </c>
      <c r="H14" s="12" t="s">
        <v>1984</v>
      </c>
      <c r="I14" s="12">
        <v>1331</v>
      </c>
      <c r="J14" s="12">
        <v>331</v>
      </c>
      <c r="K14" s="12" t="s">
        <v>20</v>
      </c>
      <c r="L14" s="12">
        <v>1</v>
      </c>
      <c r="M14" s="17">
        <v>500</v>
      </c>
      <c r="N14" s="17">
        <f t="shared" si="2"/>
        <v>500</v>
      </c>
      <c r="O14" s="12"/>
      <c r="P14" s="12"/>
    </row>
    <row r="15" spans="1:16" x14ac:dyDescent="0.25">
      <c r="A15" s="12" t="s">
        <v>310</v>
      </c>
      <c r="B15" s="36">
        <v>46037</v>
      </c>
      <c r="C15" s="12">
        <f t="shared" si="0"/>
        <v>4</v>
      </c>
      <c r="D15" s="38">
        <f t="shared" si="1"/>
        <v>0</v>
      </c>
      <c r="E15" s="12"/>
      <c r="F15" s="12"/>
      <c r="G15" s="12" t="s">
        <v>1979</v>
      </c>
      <c r="H15" s="12" t="s">
        <v>1984</v>
      </c>
      <c r="I15" s="12">
        <v>331</v>
      </c>
      <c r="J15" s="12">
        <v>1111</v>
      </c>
      <c r="K15" s="12" t="s">
        <v>20</v>
      </c>
      <c r="L15" s="12">
        <v>1</v>
      </c>
      <c r="M15" s="17">
        <v>5500</v>
      </c>
      <c r="N15" s="17">
        <f t="shared" si="2"/>
        <v>5500</v>
      </c>
      <c r="O15" s="12"/>
      <c r="P15" s="12"/>
    </row>
    <row r="16" spans="1:16" x14ac:dyDescent="0.25">
      <c r="A16" s="12" t="s">
        <v>18</v>
      </c>
      <c r="B16" s="36">
        <v>46060</v>
      </c>
      <c r="C16" s="12">
        <f t="shared" si="0"/>
        <v>5</v>
      </c>
      <c r="D16" s="38">
        <f t="shared" si="1"/>
        <v>1</v>
      </c>
      <c r="E16" s="12"/>
      <c r="F16" s="12"/>
      <c r="G16" s="12" t="s">
        <v>1985</v>
      </c>
      <c r="H16" s="12" t="s">
        <v>1986</v>
      </c>
      <c r="I16" s="12">
        <v>64277</v>
      </c>
      <c r="J16" s="12">
        <v>331</v>
      </c>
      <c r="K16" s="12" t="s">
        <v>20</v>
      </c>
      <c r="L16" s="12">
        <v>1</v>
      </c>
      <c r="M16" s="17">
        <v>4083333</v>
      </c>
      <c r="N16" s="17">
        <f t="shared" si="2"/>
        <v>4083333</v>
      </c>
      <c r="O16" s="12"/>
      <c r="P16" s="12"/>
    </row>
    <row r="17" spans="1:16" x14ac:dyDescent="0.25">
      <c r="A17" s="12" t="s">
        <v>18</v>
      </c>
      <c r="B17" s="36">
        <v>46060</v>
      </c>
      <c r="C17" s="12">
        <f t="shared" si="0"/>
        <v>5</v>
      </c>
      <c r="D17" s="38">
        <f t="shared" si="1"/>
        <v>0</v>
      </c>
      <c r="E17" s="12"/>
      <c r="F17" s="12"/>
      <c r="G17" s="12" t="s">
        <v>1985</v>
      </c>
      <c r="H17" s="12" t="s">
        <v>1986</v>
      </c>
      <c r="I17" s="12">
        <v>1331</v>
      </c>
      <c r="J17" s="12">
        <v>331</v>
      </c>
      <c r="K17" s="12" t="s">
        <v>20</v>
      </c>
      <c r="L17" s="12">
        <v>1</v>
      </c>
      <c r="M17" s="17">
        <v>326667</v>
      </c>
      <c r="N17" s="17">
        <f t="shared" si="2"/>
        <v>326667</v>
      </c>
      <c r="O17" s="12"/>
      <c r="P17" s="12"/>
    </row>
    <row r="18" spans="1:16" x14ac:dyDescent="0.25">
      <c r="A18" s="12" t="s">
        <v>310</v>
      </c>
      <c r="B18" s="36">
        <v>46060</v>
      </c>
      <c r="C18" s="12">
        <f t="shared" si="0"/>
        <v>5</v>
      </c>
      <c r="D18" s="38">
        <f t="shared" si="1"/>
        <v>0</v>
      </c>
      <c r="E18" s="12"/>
      <c r="F18" s="12"/>
      <c r="G18" s="12" t="s">
        <v>1985</v>
      </c>
      <c r="H18" s="12" t="s">
        <v>1986</v>
      </c>
      <c r="I18" s="12">
        <v>331</v>
      </c>
      <c r="J18" s="12">
        <v>1111</v>
      </c>
      <c r="K18" s="12" t="s">
        <v>20</v>
      </c>
      <c r="L18" s="12">
        <v>1</v>
      </c>
      <c r="M18" s="17">
        <v>4410000</v>
      </c>
      <c r="N18" s="17">
        <f t="shared" si="2"/>
        <v>4410000</v>
      </c>
      <c r="O18" s="12"/>
      <c r="P18" s="12"/>
    </row>
    <row r="19" spans="1:16" x14ac:dyDescent="0.25">
      <c r="A19" s="12" t="s">
        <v>18</v>
      </c>
      <c r="B19" s="36">
        <v>46067</v>
      </c>
      <c r="C19" s="12">
        <f t="shared" si="0"/>
        <v>6</v>
      </c>
      <c r="D19" s="38">
        <f t="shared" si="1"/>
        <v>1</v>
      </c>
      <c r="E19" s="12"/>
      <c r="F19" s="12"/>
      <c r="G19" s="12" t="s">
        <v>1979</v>
      </c>
      <c r="H19" s="12" t="s">
        <v>1987</v>
      </c>
      <c r="I19" s="12">
        <v>64277</v>
      </c>
      <c r="J19" s="12">
        <v>331</v>
      </c>
      <c r="K19" s="12" t="s">
        <v>20</v>
      </c>
      <c r="L19" s="12">
        <v>1</v>
      </c>
      <c r="M19" s="17">
        <v>5000</v>
      </c>
      <c r="N19" s="17">
        <f t="shared" si="2"/>
        <v>5000</v>
      </c>
      <c r="O19" s="12"/>
      <c r="P19" s="12"/>
    </row>
    <row r="20" spans="1:16" x14ac:dyDescent="0.25">
      <c r="A20" s="12" t="s">
        <v>18</v>
      </c>
      <c r="B20" s="36">
        <v>46067</v>
      </c>
      <c r="C20" s="12">
        <f t="shared" si="0"/>
        <v>6</v>
      </c>
      <c r="D20" s="38">
        <f t="shared" si="1"/>
        <v>0</v>
      </c>
      <c r="E20" s="12"/>
      <c r="F20" s="12"/>
      <c r="G20" s="12" t="s">
        <v>1979</v>
      </c>
      <c r="H20" s="12" t="s">
        <v>1987</v>
      </c>
      <c r="I20" s="12">
        <v>1331</v>
      </c>
      <c r="J20" s="12">
        <v>331</v>
      </c>
      <c r="K20" s="12" t="s">
        <v>20</v>
      </c>
      <c r="L20" s="12">
        <v>1</v>
      </c>
      <c r="M20" s="17">
        <v>500</v>
      </c>
      <c r="N20" s="17">
        <f t="shared" si="2"/>
        <v>500</v>
      </c>
      <c r="O20" s="12"/>
      <c r="P20" s="12"/>
    </row>
    <row r="21" spans="1:16" x14ac:dyDescent="0.25">
      <c r="A21" s="12" t="s">
        <v>310</v>
      </c>
      <c r="B21" s="36">
        <v>46067</v>
      </c>
      <c r="C21" s="12">
        <f t="shared" si="0"/>
        <v>6</v>
      </c>
      <c r="D21" s="38">
        <f t="shared" si="1"/>
        <v>0</v>
      </c>
      <c r="E21" s="12"/>
      <c r="F21" s="12"/>
      <c r="G21" s="12" t="s">
        <v>1979</v>
      </c>
      <c r="H21" s="12" t="s">
        <v>1987</v>
      </c>
      <c r="I21" s="12">
        <v>331</v>
      </c>
      <c r="J21" s="12">
        <v>1111</v>
      </c>
      <c r="K21" s="12" t="s">
        <v>20</v>
      </c>
      <c r="L21" s="12">
        <v>1</v>
      </c>
      <c r="M21" s="17">
        <v>5500</v>
      </c>
      <c r="N21" s="17">
        <f t="shared" si="2"/>
        <v>5500</v>
      </c>
      <c r="O21" s="12"/>
      <c r="P21" s="12"/>
    </row>
    <row r="22" spans="1:16" x14ac:dyDescent="0.25">
      <c r="A22" s="12" t="s">
        <v>18</v>
      </c>
      <c r="B22" s="36">
        <v>46029</v>
      </c>
      <c r="C22" s="12">
        <f t="shared" si="0"/>
        <v>7</v>
      </c>
      <c r="D22" s="38">
        <f t="shared" si="1"/>
        <v>1</v>
      </c>
      <c r="E22" s="12"/>
      <c r="F22" s="12"/>
      <c r="G22" s="12" t="s">
        <v>84</v>
      </c>
      <c r="H22" s="12" t="s">
        <v>1988</v>
      </c>
      <c r="I22" s="12">
        <v>131</v>
      </c>
      <c r="J22" s="12">
        <v>5113</v>
      </c>
      <c r="K22" s="12" t="s">
        <v>20</v>
      </c>
      <c r="L22" s="12">
        <v>1</v>
      </c>
      <c r="M22" s="17">
        <v>26881720</v>
      </c>
      <c r="N22" s="17">
        <f t="shared" si="2"/>
        <v>26881720</v>
      </c>
      <c r="O22" s="12"/>
      <c r="P22" s="12"/>
    </row>
    <row r="23" spans="1:16" x14ac:dyDescent="0.25">
      <c r="A23" s="12" t="s">
        <v>18</v>
      </c>
      <c r="B23" s="36">
        <v>46029</v>
      </c>
      <c r="C23" s="12">
        <f t="shared" si="0"/>
        <v>7</v>
      </c>
      <c r="D23" s="38">
        <f t="shared" si="1"/>
        <v>0</v>
      </c>
      <c r="E23" s="12"/>
      <c r="F23" s="12"/>
      <c r="G23" s="12" t="s">
        <v>84</v>
      </c>
      <c r="H23" s="12" t="s">
        <v>1988</v>
      </c>
      <c r="I23" s="12">
        <v>333821</v>
      </c>
      <c r="J23" s="12">
        <v>131</v>
      </c>
      <c r="K23" s="12" t="s">
        <v>20</v>
      </c>
      <c r="L23" s="12">
        <v>1</v>
      </c>
      <c r="M23" s="17">
        <v>268817</v>
      </c>
      <c r="N23" s="17">
        <f t="shared" si="2"/>
        <v>268817</v>
      </c>
      <c r="O23" s="12"/>
      <c r="P23" s="12"/>
    </row>
    <row r="24" spans="1:16" x14ac:dyDescent="0.25">
      <c r="A24" s="12" t="s">
        <v>18</v>
      </c>
      <c r="B24" s="36">
        <v>46030</v>
      </c>
      <c r="C24" s="12">
        <f t="shared" si="0"/>
        <v>8</v>
      </c>
      <c r="D24" s="38">
        <f t="shared" si="1"/>
        <v>1</v>
      </c>
      <c r="E24" s="12"/>
      <c r="F24" s="12"/>
      <c r="G24" s="12" t="s">
        <v>1989</v>
      </c>
      <c r="H24" s="12" t="s">
        <v>1990</v>
      </c>
      <c r="I24" s="12">
        <v>131</v>
      </c>
      <c r="J24" s="12">
        <v>5113</v>
      </c>
      <c r="K24" s="12" t="s">
        <v>20</v>
      </c>
      <c r="L24" s="12">
        <v>1</v>
      </c>
      <c r="M24" s="17">
        <v>64516129</v>
      </c>
      <c r="N24" s="17">
        <f t="shared" si="2"/>
        <v>64516129</v>
      </c>
      <c r="O24" s="12"/>
      <c r="P24" s="12"/>
    </row>
    <row r="25" spans="1:16" x14ac:dyDescent="0.25">
      <c r="A25" s="12" t="s">
        <v>18</v>
      </c>
      <c r="B25" s="36">
        <v>46030</v>
      </c>
      <c r="C25" s="12">
        <f t="shared" si="0"/>
        <v>8</v>
      </c>
      <c r="D25" s="38">
        <f t="shared" si="1"/>
        <v>0</v>
      </c>
      <c r="E25" s="12"/>
      <c r="F25" s="12"/>
      <c r="G25" s="12" t="s">
        <v>1989</v>
      </c>
      <c r="H25" s="12" t="s">
        <v>1990</v>
      </c>
      <c r="I25" s="12">
        <v>333821</v>
      </c>
      <c r="J25" s="12">
        <v>131</v>
      </c>
      <c r="K25" s="12" t="s">
        <v>20</v>
      </c>
      <c r="L25" s="12">
        <v>1</v>
      </c>
      <c r="M25" s="17">
        <v>645161</v>
      </c>
      <c r="N25" s="17">
        <f t="shared" si="2"/>
        <v>645161</v>
      </c>
      <c r="O25" s="12"/>
      <c r="P25" s="12"/>
    </row>
    <row r="26" spans="1:16" x14ac:dyDescent="0.25">
      <c r="A26" s="12" t="s">
        <v>18</v>
      </c>
      <c r="B26" s="36">
        <v>46030</v>
      </c>
      <c r="C26" s="12">
        <f t="shared" si="0"/>
        <v>9</v>
      </c>
      <c r="D26" s="38">
        <f t="shared" si="1"/>
        <v>1</v>
      </c>
      <c r="E26" s="12"/>
      <c r="F26" s="12"/>
      <c r="G26" s="12" t="s">
        <v>1991</v>
      </c>
      <c r="H26" s="12" t="s">
        <v>1992</v>
      </c>
      <c r="I26" s="12">
        <v>131</v>
      </c>
      <c r="J26" s="12">
        <v>5113</v>
      </c>
      <c r="K26" s="12" t="s">
        <v>20</v>
      </c>
      <c r="L26" s="12">
        <v>1</v>
      </c>
      <c r="M26" s="17">
        <v>53763440</v>
      </c>
      <c r="N26" s="17">
        <f t="shared" si="2"/>
        <v>53763440</v>
      </c>
      <c r="O26" s="12"/>
      <c r="P26" s="12"/>
    </row>
    <row r="27" spans="1:16" x14ac:dyDescent="0.25">
      <c r="A27" s="12" t="s">
        <v>18</v>
      </c>
      <c r="B27" s="36">
        <v>46030</v>
      </c>
      <c r="C27" s="12">
        <f t="shared" si="0"/>
        <v>9</v>
      </c>
      <c r="D27" s="38">
        <f t="shared" si="1"/>
        <v>0</v>
      </c>
      <c r="E27" s="12"/>
      <c r="F27" s="12"/>
      <c r="G27" s="12" t="s">
        <v>1991</v>
      </c>
      <c r="H27" s="12" t="s">
        <v>1992</v>
      </c>
      <c r="I27" s="12">
        <v>333821</v>
      </c>
      <c r="J27" s="12">
        <v>131</v>
      </c>
      <c r="K27" s="12" t="s">
        <v>20</v>
      </c>
      <c r="L27" s="12">
        <v>1</v>
      </c>
      <c r="M27" s="17">
        <v>537634</v>
      </c>
      <c r="N27" s="17">
        <f t="shared" si="2"/>
        <v>537634</v>
      </c>
      <c r="O27" s="12"/>
      <c r="P27" s="12"/>
    </row>
    <row r="28" spans="1:16" x14ac:dyDescent="0.25">
      <c r="A28" s="12" t="s">
        <v>18</v>
      </c>
      <c r="B28" s="36">
        <v>46042</v>
      </c>
      <c r="C28" s="12">
        <f t="shared" si="0"/>
        <v>10</v>
      </c>
      <c r="D28" s="38">
        <f t="shared" si="1"/>
        <v>1</v>
      </c>
      <c r="E28" s="12"/>
      <c r="F28" s="12"/>
      <c r="G28" s="12" t="s">
        <v>277</v>
      </c>
      <c r="H28" s="12" t="s">
        <v>1993</v>
      </c>
      <c r="I28" s="12">
        <v>131</v>
      </c>
      <c r="J28" s="12">
        <v>5113</v>
      </c>
      <c r="K28" s="12" t="s">
        <v>20</v>
      </c>
      <c r="L28" s="12">
        <v>1</v>
      </c>
      <c r="M28" s="17">
        <v>235354838</v>
      </c>
      <c r="N28" s="17">
        <f t="shared" si="2"/>
        <v>235354838</v>
      </c>
      <c r="O28" s="12"/>
      <c r="P28" s="12"/>
    </row>
    <row r="29" spans="1:16" x14ac:dyDescent="0.25">
      <c r="A29" s="12" t="s">
        <v>18</v>
      </c>
      <c r="B29" s="36">
        <v>46042</v>
      </c>
      <c r="C29" s="12">
        <f t="shared" si="0"/>
        <v>10</v>
      </c>
      <c r="D29" s="38">
        <f t="shared" si="1"/>
        <v>0</v>
      </c>
      <c r="E29" s="12"/>
      <c r="F29" s="12"/>
      <c r="G29" s="12" t="s">
        <v>277</v>
      </c>
      <c r="H29" s="12" t="s">
        <v>1993</v>
      </c>
      <c r="I29" s="12">
        <v>333821</v>
      </c>
      <c r="J29" s="12">
        <v>131</v>
      </c>
      <c r="K29" s="12" t="s">
        <v>20</v>
      </c>
      <c r="L29" s="12">
        <v>1</v>
      </c>
      <c r="M29" s="17">
        <v>2353548</v>
      </c>
      <c r="N29" s="17">
        <f t="shared" si="2"/>
        <v>2353548</v>
      </c>
      <c r="O29" s="12"/>
      <c r="P29" s="12"/>
    </row>
    <row r="30" spans="1:16" x14ac:dyDescent="0.25">
      <c r="A30" s="12" t="s">
        <v>18</v>
      </c>
      <c r="B30" s="36">
        <v>46051</v>
      </c>
      <c r="C30" s="12">
        <f t="shared" si="0"/>
        <v>11</v>
      </c>
      <c r="D30" s="38">
        <f t="shared" si="1"/>
        <v>1</v>
      </c>
      <c r="E30" s="12"/>
      <c r="F30" s="12"/>
      <c r="G30" s="12" t="s">
        <v>50</v>
      </c>
      <c r="H30" s="12" t="s">
        <v>1994</v>
      </c>
      <c r="I30" s="12">
        <v>131</v>
      </c>
      <c r="J30" s="12">
        <v>5113</v>
      </c>
      <c r="K30" s="12" t="s">
        <v>20</v>
      </c>
      <c r="L30" s="12">
        <v>1</v>
      </c>
      <c r="M30" s="17">
        <v>495168</v>
      </c>
      <c r="N30" s="17">
        <f t="shared" si="2"/>
        <v>495168</v>
      </c>
      <c r="O30" s="12"/>
      <c r="P30" s="12"/>
    </row>
    <row r="31" spans="1:16" x14ac:dyDescent="0.25">
      <c r="A31" s="12" t="s">
        <v>18</v>
      </c>
      <c r="B31" s="36">
        <v>46051</v>
      </c>
      <c r="C31" s="12">
        <f t="shared" si="0"/>
        <v>11</v>
      </c>
      <c r="D31" s="38">
        <f t="shared" si="1"/>
        <v>0</v>
      </c>
      <c r="E31" s="12"/>
      <c r="F31" s="12"/>
      <c r="G31" s="12" t="s">
        <v>50</v>
      </c>
      <c r="H31" s="12" t="s">
        <v>1994</v>
      </c>
      <c r="I31" s="12">
        <v>333821</v>
      </c>
      <c r="J31" s="12">
        <v>131</v>
      </c>
      <c r="K31" s="12" t="s">
        <v>20</v>
      </c>
      <c r="L31" s="12">
        <v>1</v>
      </c>
      <c r="M31" s="17">
        <v>4952</v>
      </c>
      <c r="N31" s="17">
        <f t="shared" si="2"/>
        <v>4952</v>
      </c>
      <c r="O31" s="12"/>
      <c r="P31" s="12"/>
    </row>
    <row r="32" spans="1:16" x14ac:dyDescent="0.25">
      <c r="A32" s="12" t="s">
        <v>18</v>
      </c>
      <c r="B32" s="36">
        <v>46053</v>
      </c>
      <c r="C32" s="12">
        <f t="shared" si="0"/>
        <v>12</v>
      </c>
      <c r="D32" s="38">
        <f t="shared" si="1"/>
        <v>1</v>
      </c>
      <c r="E32" s="12"/>
      <c r="F32" s="12"/>
      <c r="G32" s="12" t="s">
        <v>361</v>
      </c>
      <c r="H32" s="12" t="s">
        <v>1995</v>
      </c>
      <c r="I32" s="12">
        <v>131</v>
      </c>
      <c r="J32" s="12">
        <v>5113</v>
      </c>
      <c r="K32" s="12" t="s">
        <v>20</v>
      </c>
      <c r="L32" s="12">
        <v>1</v>
      </c>
      <c r="M32" s="17">
        <v>14424242</v>
      </c>
      <c r="N32" s="17">
        <f t="shared" si="2"/>
        <v>14424242</v>
      </c>
      <c r="O32" s="12"/>
      <c r="P32" s="12"/>
    </row>
    <row r="33" spans="1:16" x14ac:dyDescent="0.25">
      <c r="A33" s="12" t="s">
        <v>18</v>
      </c>
      <c r="B33" s="36">
        <v>46053</v>
      </c>
      <c r="C33" s="12">
        <f t="shared" si="0"/>
        <v>12</v>
      </c>
      <c r="D33" s="38">
        <f t="shared" si="1"/>
        <v>0</v>
      </c>
      <c r="E33" s="12"/>
      <c r="F33" s="12"/>
      <c r="G33" s="12" t="s">
        <v>361</v>
      </c>
      <c r="H33" s="12" t="s">
        <v>1995</v>
      </c>
      <c r="I33" s="12">
        <v>333821</v>
      </c>
      <c r="J33" s="12">
        <v>131</v>
      </c>
      <c r="K33" s="12" t="s">
        <v>20</v>
      </c>
      <c r="L33" s="12">
        <v>1</v>
      </c>
      <c r="M33" s="17">
        <v>144242</v>
      </c>
      <c r="N33" s="17">
        <f t="shared" si="2"/>
        <v>144242</v>
      </c>
      <c r="O33" s="12"/>
      <c r="P33" s="12"/>
    </row>
    <row r="34" spans="1:16" x14ac:dyDescent="0.25">
      <c r="A34" s="12" t="s">
        <v>18</v>
      </c>
      <c r="B34" s="36">
        <v>46053</v>
      </c>
      <c r="C34" s="12">
        <f t="shared" si="0"/>
        <v>13</v>
      </c>
      <c r="D34" s="38">
        <f t="shared" si="1"/>
        <v>1</v>
      </c>
      <c r="E34" s="12"/>
      <c r="F34" s="12"/>
      <c r="G34" s="12" t="s">
        <v>361</v>
      </c>
      <c r="H34" s="12" t="s">
        <v>1996</v>
      </c>
      <c r="I34" s="12">
        <v>131</v>
      </c>
      <c r="J34" s="12">
        <v>5113</v>
      </c>
      <c r="K34" s="12" t="s">
        <v>20</v>
      </c>
      <c r="L34" s="12">
        <v>1</v>
      </c>
      <c r="M34" s="17">
        <v>25454545</v>
      </c>
      <c r="N34" s="17">
        <f t="shared" si="2"/>
        <v>25454545</v>
      </c>
      <c r="O34" s="12"/>
      <c r="P34" s="12"/>
    </row>
    <row r="35" spans="1:16" x14ac:dyDescent="0.25">
      <c r="A35" s="12" t="s">
        <v>18</v>
      </c>
      <c r="B35" s="36">
        <v>46053</v>
      </c>
      <c r="C35" s="12">
        <f t="shared" si="0"/>
        <v>13</v>
      </c>
      <c r="D35" s="38">
        <f t="shared" si="1"/>
        <v>0</v>
      </c>
      <c r="E35" s="12"/>
      <c r="F35" s="12"/>
      <c r="G35" s="12" t="s">
        <v>361</v>
      </c>
      <c r="H35" s="12" t="s">
        <v>1996</v>
      </c>
      <c r="I35" s="12">
        <v>333821</v>
      </c>
      <c r="J35" s="12">
        <v>131</v>
      </c>
      <c r="K35" s="12" t="s">
        <v>20</v>
      </c>
      <c r="L35" s="12">
        <v>1</v>
      </c>
      <c r="M35" s="17">
        <v>254545</v>
      </c>
      <c r="N35" s="17">
        <f t="shared" si="2"/>
        <v>254545</v>
      </c>
      <c r="O35" s="12"/>
      <c r="P35" s="12"/>
    </row>
    <row r="36" spans="1:16" x14ac:dyDescent="0.25">
      <c r="A36" s="12" t="s">
        <v>18</v>
      </c>
      <c r="B36" s="36">
        <v>46053</v>
      </c>
      <c r="C36" s="12">
        <f t="shared" ref="C36:C67" si="3">C35+D36</f>
        <v>14</v>
      </c>
      <c r="D36" s="38">
        <f t="shared" si="1"/>
        <v>1</v>
      </c>
      <c r="E36" s="12"/>
      <c r="F36" s="12"/>
      <c r="G36" s="12" t="s">
        <v>361</v>
      </c>
      <c r="H36" s="12" t="s">
        <v>1997</v>
      </c>
      <c r="I36" s="12">
        <v>131</v>
      </c>
      <c r="J36" s="12">
        <v>5113</v>
      </c>
      <c r="K36" s="12" t="s">
        <v>20</v>
      </c>
      <c r="L36" s="12">
        <v>1</v>
      </c>
      <c r="M36" s="17">
        <v>14424242</v>
      </c>
      <c r="N36" s="17">
        <f t="shared" ref="N36:N67" si="4">L36*M36</f>
        <v>14424242</v>
      </c>
      <c r="O36" s="12"/>
      <c r="P36" s="12"/>
    </row>
    <row r="37" spans="1:16" x14ac:dyDescent="0.25">
      <c r="A37" s="12" t="s">
        <v>18</v>
      </c>
      <c r="B37" s="36">
        <v>46053</v>
      </c>
      <c r="C37" s="12">
        <f t="shared" si="3"/>
        <v>14</v>
      </c>
      <c r="D37" s="38">
        <f t="shared" si="1"/>
        <v>0</v>
      </c>
      <c r="E37" s="12"/>
      <c r="F37" s="12"/>
      <c r="G37" s="12" t="s">
        <v>361</v>
      </c>
      <c r="H37" s="12" t="s">
        <v>1997</v>
      </c>
      <c r="I37" s="12">
        <v>333821</v>
      </c>
      <c r="J37" s="12">
        <v>131</v>
      </c>
      <c r="K37" s="12" t="s">
        <v>20</v>
      </c>
      <c r="L37" s="12">
        <v>1</v>
      </c>
      <c r="M37" s="17">
        <v>144242</v>
      </c>
      <c r="N37" s="17">
        <f t="shared" si="4"/>
        <v>144242</v>
      </c>
      <c r="O37" s="12"/>
      <c r="P37" s="12"/>
    </row>
    <row r="38" spans="1:16" x14ac:dyDescent="0.25">
      <c r="A38" s="12" t="s">
        <v>18</v>
      </c>
      <c r="B38" s="36">
        <v>46053</v>
      </c>
      <c r="C38" s="12">
        <f t="shared" si="3"/>
        <v>15</v>
      </c>
      <c r="D38" s="38">
        <f t="shared" si="1"/>
        <v>1</v>
      </c>
      <c r="E38" s="12"/>
      <c r="F38" s="12"/>
      <c r="G38" s="12" t="s">
        <v>361</v>
      </c>
      <c r="H38" s="12" t="s">
        <v>1998</v>
      </c>
      <c r="I38" s="12">
        <v>131</v>
      </c>
      <c r="J38" s="12">
        <v>5113</v>
      </c>
      <c r="K38" s="12" t="s">
        <v>20</v>
      </c>
      <c r="L38" s="12">
        <v>1</v>
      </c>
      <c r="M38" s="17">
        <v>50505050</v>
      </c>
      <c r="N38" s="17">
        <f t="shared" si="4"/>
        <v>50505050</v>
      </c>
      <c r="O38" s="12"/>
      <c r="P38" s="12"/>
    </row>
    <row r="39" spans="1:16" x14ac:dyDescent="0.25">
      <c r="A39" s="12" t="s">
        <v>18</v>
      </c>
      <c r="B39" s="36">
        <v>46053</v>
      </c>
      <c r="C39" s="12">
        <f t="shared" si="3"/>
        <v>15</v>
      </c>
      <c r="D39" s="38">
        <f t="shared" si="1"/>
        <v>0</v>
      </c>
      <c r="E39" s="12"/>
      <c r="F39" s="12"/>
      <c r="G39" s="12" t="s">
        <v>361</v>
      </c>
      <c r="H39" s="12" t="s">
        <v>1998</v>
      </c>
      <c r="I39" s="12">
        <v>333821</v>
      </c>
      <c r="J39" s="12">
        <v>131</v>
      </c>
      <c r="K39" s="12" t="s">
        <v>20</v>
      </c>
      <c r="L39" s="12">
        <v>1</v>
      </c>
      <c r="M39" s="17">
        <v>505050</v>
      </c>
      <c r="N39" s="17">
        <f t="shared" si="4"/>
        <v>505050</v>
      </c>
      <c r="O39" s="12"/>
      <c r="P39" s="12"/>
    </row>
    <row r="40" spans="1:16" x14ac:dyDescent="0.25">
      <c r="A40" s="12" t="s">
        <v>18</v>
      </c>
      <c r="B40" s="36">
        <v>46056</v>
      </c>
      <c r="C40" s="12">
        <f t="shared" si="3"/>
        <v>16</v>
      </c>
      <c r="D40" s="38">
        <f t="shared" si="1"/>
        <v>1</v>
      </c>
      <c r="E40" s="12"/>
      <c r="F40" s="12"/>
      <c r="G40" s="12" t="s">
        <v>1999</v>
      </c>
      <c r="H40" s="12" t="s">
        <v>2000</v>
      </c>
      <c r="I40" s="12">
        <v>131</v>
      </c>
      <c r="J40" s="12">
        <v>5113</v>
      </c>
      <c r="K40" s="12" t="s">
        <v>20</v>
      </c>
      <c r="L40" s="12">
        <v>1</v>
      </c>
      <c r="M40" s="17">
        <v>35416667</v>
      </c>
      <c r="N40" s="17">
        <f t="shared" si="4"/>
        <v>35416667</v>
      </c>
      <c r="O40" s="12"/>
      <c r="P40" s="12"/>
    </row>
    <row r="41" spans="1:16" x14ac:dyDescent="0.25">
      <c r="A41" s="12" t="s">
        <v>18</v>
      </c>
      <c r="B41" s="36">
        <v>46056</v>
      </c>
      <c r="C41" s="12">
        <f t="shared" si="3"/>
        <v>16</v>
      </c>
      <c r="D41" s="38">
        <f t="shared" si="1"/>
        <v>0</v>
      </c>
      <c r="E41" s="12"/>
      <c r="F41" s="12"/>
      <c r="G41" s="12" t="s">
        <v>1999</v>
      </c>
      <c r="H41" s="12" t="s">
        <v>2000</v>
      </c>
      <c r="I41" s="12">
        <v>333821</v>
      </c>
      <c r="J41" s="12">
        <v>131</v>
      </c>
      <c r="K41" s="12" t="s">
        <v>20</v>
      </c>
      <c r="L41" s="12">
        <v>1</v>
      </c>
      <c r="M41" s="17">
        <v>354167</v>
      </c>
      <c r="N41" s="17">
        <f t="shared" si="4"/>
        <v>354167</v>
      </c>
      <c r="O41" s="12"/>
      <c r="P41" s="12"/>
    </row>
    <row r="42" spans="1:16" x14ac:dyDescent="0.25">
      <c r="A42" s="12" t="s">
        <v>18</v>
      </c>
      <c r="B42" s="36">
        <v>46056</v>
      </c>
      <c r="C42" s="12">
        <f t="shared" si="3"/>
        <v>17</v>
      </c>
      <c r="D42" s="38">
        <f t="shared" si="1"/>
        <v>1</v>
      </c>
      <c r="E42" s="12"/>
      <c r="F42" s="12"/>
      <c r="G42" s="12" t="s">
        <v>2001</v>
      </c>
      <c r="H42" s="12" t="s">
        <v>2002</v>
      </c>
      <c r="I42" s="12">
        <v>131</v>
      </c>
      <c r="J42" s="12">
        <v>5113</v>
      </c>
      <c r="K42" s="12" t="s">
        <v>20</v>
      </c>
      <c r="L42" s="12">
        <v>1</v>
      </c>
      <c r="M42" s="17">
        <v>36111111</v>
      </c>
      <c r="N42" s="17">
        <f t="shared" si="4"/>
        <v>36111111</v>
      </c>
      <c r="O42" s="12"/>
      <c r="P42" s="12"/>
    </row>
    <row r="43" spans="1:16" x14ac:dyDescent="0.25">
      <c r="A43" s="12" t="s">
        <v>18</v>
      </c>
      <c r="B43" s="36">
        <v>46056</v>
      </c>
      <c r="C43" s="12">
        <f t="shared" si="3"/>
        <v>17</v>
      </c>
      <c r="D43" s="38">
        <f t="shared" si="1"/>
        <v>0</v>
      </c>
      <c r="E43" s="12"/>
      <c r="F43" s="12"/>
      <c r="G43" s="12" t="s">
        <v>2001</v>
      </c>
      <c r="H43" s="12" t="s">
        <v>2002</v>
      </c>
      <c r="I43" s="12">
        <v>333821</v>
      </c>
      <c r="J43" s="12">
        <v>131</v>
      </c>
      <c r="K43" s="12" t="s">
        <v>20</v>
      </c>
      <c r="L43" s="12">
        <v>1</v>
      </c>
      <c r="M43" s="17">
        <v>361111</v>
      </c>
      <c r="N43" s="17">
        <f t="shared" si="4"/>
        <v>361111</v>
      </c>
      <c r="O43" s="12"/>
      <c r="P43" s="12"/>
    </row>
    <row r="44" spans="1:16" x14ac:dyDescent="0.25">
      <c r="A44" s="12" t="s">
        <v>18</v>
      </c>
      <c r="B44" s="36">
        <v>46058</v>
      </c>
      <c r="C44" s="12">
        <f t="shared" si="3"/>
        <v>18</v>
      </c>
      <c r="D44" s="38">
        <f t="shared" si="1"/>
        <v>1</v>
      </c>
      <c r="E44" s="12"/>
      <c r="F44" s="12"/>
      <c r="G44" s="12" t="s">
        <v>2003</v>
      </c>
      <c r="H44" s="12" t="s">
        <v>2004</v>
      </c>
      <c r="I44" s="12">
        <v>131</v>
      </c>
      <c r="J44" s="12">
        <v>5113</v>
      </c>
      <c r="K44" s="12" t="s">
        <v>20</v>
      </c>
      <c r="L44" s="12">
        <v>1</v>
      </c>
      <c r="M44" s="17">
        <v>94453333</v>
      </c>
      <c r="N44" s="17">
        <f t="shared" si="4"/>
        <v>94453333</v>
      </c>
      <c r="O44" s="12"/>
      <c r="P44" s="12"/>
    </row>
    <row r="45" spans="1:16" x14ac:dyDescent="0.25">
      <c r="A45" s="12" t="s">
        <v>18</v>
      </c>
      <c r="B45" s="36">
        <v>46058</v>
      </c>
      <c r="C45" s="12">
        <f t="shared" si="3"/>
        <v>18</v>
      </c>
      <c r="D45" s="38">
        <f t="shared" si="1"/>
        <v>0</v>
      </c>
      <c r="E45" s="12"/>
      <c r="F45" s="12"/>
      <c r="G45" s="12" t="s">
        <v>2003</v>
      </c>
      <c r="H45" s="12" t="s">
        <v>2004</v>
      </c>
      <c r="I45" s="12">
        <v>333821</v>
      </c>
      <c r="J45" s="12">
        <v>131</v>
      </c>
      <c r="K45" s="12" t="s">
        <v>20</v>
      </c>
      <c r="L45" s="12">
        <v>1</v>
      </c>
      <c r="M45" s="17">
        <v>944533</v>
      </c>
      <c r="N45" s="17">
        <f t="shared" si="4"/>
        <v>944533</v>
      </c>
      <c r="O45" s="12"/>
      <c r="P45" s="12"/>
    </row>
    <row r="46" spans="1:16" x14ac:dyDescent="0.25">
      <c r="A46" s="12" t="s">
        <v>18</v>
      </c>
      <c r="B46" s="36">
        <v>46084</v>
      </c>
      <c r="C46" s="12">
        <f t="shared" si="3"/>
        <v>19</v>
      </c>
      <c r="D46" s="38">
        <f t="shared" si="1"/>
        <v>1</v>
      </c>
      <c r="E46" s="12"/>
      <c r="F46" s="12"/>
      <c r="G46" s="12" t="s">
        <v>50</v>
      </c>
      <c r="H46" s="12" t="s">
        <v>2005</v>
      </c>
      <c r="I46" s="12">
        <v>131</v>
      </c>
      <c r="J46" s="12">
        <v>5113</v>
      </c>
      <c r="K46" s="12" t="s">
        <v>20</v>
      </c>
      <c r="L46" s="12">
        <v>1</v>
      </c>
      <c r="M46" s="17">
        <v>5345186</v>
      </c>
      <c r="N46" s="17">
        <f t="shared" si="4"/>
        <v>5345186</v>
      </c>
      <c r="O46" s="12"/>
      <c r="P46" s="12"/>
    </row>
    <row r="47" spans="1:16" x14ac:dyDescent="0.25">
      <c r="A47" s="12" t="s">
        <v>18</v>
      </c>
      <c r="B47" s="36">
        <v>46084</v>
      </c>
      <c r="C47" s="12">
        <f t="shared" si="3"/>
        <v>19</v>
      </c>
      <c r="D47" s="38">
        <f t="shared" si="1"/>
        <v>0</v>
      </c>
      <c r="E47" s="12"/>
      <c r="F47" s="12"/>
      <c r="G47" s="12" t="s">
        <v>50</v>
      </c>
      <c r="H47" s="12" t="s">
        <v>2005</v>
      </c>
      <c r="I47" s="12">
        <v>333821</v>
      </c>
      <c r="J47" s="12">
        <v>131</v>
      </c>
      <c r="K47" s="12" t="s">
        <v>20</v>
      </c>
      <c r="L47" s="12">
        <v>1</v>
      </c>
      <c r="M47" s="17">
        <v>53452</v>
      </c>
      <c r="N47" s="17">
        <f t="shared" si="4"/>
        <v>53452</v>
      </c>
      <c r="O47" s="12"/>
      <c r="P47" s="12"/>
    </row>
    <row r="48" spans="1:16" x14ac:dyDescent="0.25">
      <c r="A48" s="12" t="s">
        <v>18</v>
      </c>
      <c r="B48" s="36">
        <v>46084</v>
      </c>
      <c r="C48" s="12">
        <f t="shared" si="3"/>
        <v>20</v>
      </c>
      <c r="D48" s="38">
        <f t="shared" si="1"/>
        <v>1</v>
      </c>
      <c r="E48" s="12"/>
      <c r="F48" s="12"/>
      <c r="G48" s="12" t="s">
        <v>2006</v>
      </c>
      <c r="H48" s="12" t="s">
        <v>2007</v>
      </c>
      <c r="I48" s="12">
        <v>131</v>
      </c>
      <c r="J48" s="12">
        <v>5113</v>
      </c>
      <c r="K48" s="12" t="s">
        <v>20</v>
      </c>
      <c r="L48" s="12">
        <v>1</v>
      </c>
      <c r="M48" s="17">
        <v>72222222</v>
      </c>
      <c r="N48" s="17">
        <f t="shared" si="4"/>
        <v>72222222</v>
      </c>
      <c r="O48" s="12"/>
      <c r="P48" s="12"/>
    </row>
    <row r="49" spans="1:16" x14ac:dyDescent="0.25">
      <c r="A49" s="12" t="s">
        <v>18</v>
      </c>
      <c r="B49" s="36">
        <v>46084</v>
      </c>
      <c r="C49" s="12">
        <f t="shared" si="3"/>
        <v>20</v>
      </c>
      <c r="D49" s="38">
        <f t="shared" si="1"/>
        <v>0</v>
      </c>
      <c r="E49" s="12"/>
      <c r="F49" s="12"/>
      <c r="G49" s="12" t="s">
        <v>2006</v>
      </c>
      <c r="H49" s="12" t="s">
        <v>2007</v>
      </c>
      <c r="I49" s="12">
        <v>333821</v>
      </c>
      <c r="J49" s="12">
        <v>131</v>
      </c>
      <c r="K49" s="12" t="s">
        <v>20</v>
      </c>
      <c r="L49" s="12">
        <v>1</v>
      </c>
      <c r="M49" s="17">
        <v>722222</v>
      </c>
      <c r="N49" s="17">
        <f t="shared" si="4"/>
        <v>722222</v>
      </c>
      <c r="O49" s="12"/>
      <c r="P49" s="12"/>
    </row>
    <row r="50" spans="1:16" x14ac:dyDescent="0.25">
      <c r="A50" s="12" t="s">
        <v>18</v>
      </c>
      <c r="B50" s="36">
        <v>46093</v>
      </c>
      <c r="C50" s="12">
        <f t="shared" si="3"/>
        <v>21</v>
      </c>
      <c r="D50" s="38">
        <f t="shared" si="1"/>
        <v>1</v>
      </c>
      <c r="E50" s="12"/>
      <c r="F50" s="12"/>
      <c r="G50" s="12" t="s">
        <v>98</v>
      </c>
      <c r="H50" s="12" t="s">
        <v>2008</v>
      </c>
      <c r="I50" s="12">
        <v>131</v>
      </c>
      <c r="J50" s="12">
        <v>5113</v>
      </c>
      <c r="K50" s="12" t="s">
        <v>20</v>
      </c>
      <c r="L50" s="12">
        <v>1</v>
      </c>
      <c r="M50" s="17">
        <v>83870968</v>
      </c>
      <c r="N50" s="17">
        <f t="shared" si="4"/>
        <v>83870968</v>
      </c>
      <c r="O50" s="12"/>
      <c r="P50" s="12"/>
    </row>
    <row r="51" spans="1:16" x14ac:dyDescent="0.25">
      <c r="A51" s="12" t="s">
        <v>18</v>
      </c>
      <c r="B51" s="36">
        <v>46093</v>
      </c>
      <c r="C51" s="12">
        <f t="shared" si="3"/>
        <v>21</v>
      </c>
      <c r="D51" s="38">
        <f t="shared" si="1"/>
        <v>0</v>
      </c>
      <c r="E51" s="12"/>
      <c r="F51" s="12"/>
      <c r="G51" s="12" t="s">
        <v>98</v>
      </c>
      <c r="H51" s="12" t="s">
        <v>2008</v>
      </c>
      <c r="I51" s="12">
        <v>333821</v>
      </c>
      <c r="J51" s="12">
        <v>131</v>
      </c>
      <c r="K51" s="12" t="s">
        <v>20</v>
      </c>
      <c r="L51" s="12">
        <v>1</v>
      </c>
      <c r="M51" s="17">
        <v>838710</v>
      </c>
      <c r="N51" s="17">
        <f t="shared" si="4"/>
        <v>838710</v>
      </c>
      <c r="O51" s="12"/>
      <c r="P51" s="12"/>
    </row>
    <row r="52" spans="1:16" x14ac:dyDescent="0.25">
      <c r="A52" s="12" t="s">
        <v>18</v>
      </c>
      <c r="B52" s="36">
        <v>46094</v>
      </c>
      <c r="C52" s="12">
        <f t="shared" si="3"/>
        <v>22</v>
      </c>
      <c r="D52" s="38">
        <f t="shared" si="1"/>
        <v>1</v>
      </c>
      <c r="E52" s="12"/>
      <c r="F52" s="12"/>
      <c r="G52" s="12" t="s">
        <v>2001</v>
      </c>
      <c r="H52" s="12" t="s">
        <v>2009</v>
      </c>
      <c r="I52" s="12">
        <v>131</v>
      </c>
      <c r="J52" s="12">
        <v>5113</v>
      </c>
      <c r="K52" s="12" t="s">
        <v>20</v>
      </c>
      <c r="L52" s="12">
        <v>1</v>
      </c>
      <c r="M52" s="17">
        <v>-36111111</v>
      </c>
      <c r="N52" s="17">
        <f t="shared" si="4"/>
        <v>-36111111</v>
      </c>
      <c r="O52" s="12"/>
      <c r="P52" s="12"/>
    </row>
    <row r="53" spans="1:16" x14ac:dyDescent="0.25">
      <c r="A53" s="12" t="s">
        <v>18</v>
      </c>
      <c r="B53" s="36">
        <v>46094</v>
      </c>
      <c r="C53" s="12">
        <f t="shared" si="3"/>
        <v>22</v>
      </c>
      <c r="D53" s="38">
        <f t="shared" si="1"/>
        <v>0</v>
      </c>
      <c r="E53" s="12"/>
      <c r="F53" s="12"/>
      <c r="G53" s="12" t="s">
        <v>2001</v>
      </c>
      <c r="H53" s="12" t="s">
        <v>2009</v>
      </c>
      <c r="I53" s="12">
        <v>333821</v>
      </c>
      <c r="J53" s="12">
        <v>131</v>
      </c>
      <c r="K53" s="12" t="s">
        <v>20</v>
      </c>
      <c r="L53" s="12">
        <v>1</v>
      </c>
      <c r="M53" s="17">
        <v>0</v>
      </c>
      <c r="N53" s="17">
        <f t="shared" si="4"/>
        <v>0</v>
      </c>
      <c r="O53" s="12"/>
      <c r="P53" s="12"/>
    </row>
    <row r="54" spans="1:16" x14ac:dyDescent="0.25">
      <c r="A54" s="12" t="s">
        <v>18</v>
      </c>
      <c r="B54" s="36">
        <v>46099</v>
      </c>
      <c r="C54" s="12">
        <f t="shared" si="3"/>
        <v>23</v>
      </c>
      <c r="D54" s="38">
        <f t="shared" si="1"/>
        <v>1</v>
      </c>
      <c r="E54" s="12"/>
      <c r="F54" s="12"/>
      <c r="G54" s="12" t="s">
        <v>1999</v>
      </c>
      <c r="H54" s="12" t="s">
        <v>2010</v>
      </c>
      <c r="I54" s="12">
        <v>131</v>
      </c>
      <c r="J54" s="12">
        <v>5113</v>
      </c>
      <c r="K54" s="12" t="s">
        <v>20</v>
      </c>
      <c r="L54" s="12">
        <v>1</v>
      </c>
      <c r="M54" s="17">
        <v>35416667</v>
      </c>
      <c r="N54" s="17">
        <f t="shared" si="4"/>
        <v>35416667</v>
      </c>
      <c r="O54" s="12"/>
      <c r="P54" s="12"/>
    </row>
    <row r="55" spans="1:16" x14ac:dyDescent="0.25">
      <c r="A55" s="12" t="s">
        <v>18</v>
      </c>
      <c r="B55" s="36">
        <v>46099</v>
      </c>
      <c r="C55" s="12">
        <f t="shared" si="3"/>
        <v>23</v>
      </c>
      <c r="D55" s="38">
        <f t="shared" si="1"/>
        <v>0</v>
      </c>
      <c r="E55" s="12"/>
      <c r="F55" s="12"/>
      <c r="G55" s="12" t="s">
        <v>1999</v>
      </c>
      <c r="H55" s="12" t="s">
        <v>2010</v>
      </c>
      <c r="I55" s="12">
        <v>333821</v>
      </c>
      <c r="J55" s="12">
        <v>131</v>
      </c>
      <c r="K55" s="12" t="s">
        <v>20</v>
      </c>
      <c r="L55" s="12">
        <v>1</v>
      </c>
      <c r="M55" s="17">
        <v>354167</v>
      </c>
      <c r="N55" s="17">
        <f t="shared" si="4"/>
        <v>354167</v>
      </c>
      <c r="O55" s="12"/>
      <c r="P55" s="12"/>
    </row>
    <row r="56" spans="1:16" x14ac:dyDescent="0.25">
      <c r="A56" s="12" t="s">
        <v>18</v>
      </c>
      <c r="B56" s="36">
        <v>46099</v>
      </c>
      <c r="C56" s="12">
        <f t="shared" si="3"/>
        <v>24</v>
      </c>
      <c r="D56" s="38">
        <f t="shared" si="1"/>
        <v>1</v>
      </c>
      <c r="E56" s="12"/>
      <c r="F56" s="12"/>
      <c r="G56" s="12" t="s">
        <v>50</v>
      </c>
      <c r="H56" s="12" t="s">
        <v>2011</v>
      </c>
      <c r="I56" s="12">
        <v>131</v>
      </c>
      <c r="J56" s="12">
        <v>5113</v>
      </c>
      <c r="K56" s="12" t="s">
        <v>20</v>
      </c>
      <c r="L56" s="12">
        <v>1</v>
      </c>
      <c r="M56" s="17">
        <v>1237205</v>
      </c>
      <c r="N56" s="17">
        <f t="shared" si="4"/>
        <v>1237205</v>
      </c>
      <c r="O56" s="12"/>
      <c r="P56" s="12"/>
    </row>
    <row r="57" spans="1:16" x14ac:dyDescent="0.25">
      <c r="A57" s="12" t="s">
        <v>18</v>
      </c>
      <c r="B57" s="36">
        <v>46099</v>
      </c>
      <c r="C57" s="12">
        <f t="shared" si="3"/>
        <v>24</v>
      </c>
      <c r="D57" s="38">
        <f t="shared" si="1"/>
        <v>0</v>
      </c>
      <c r="E57" s="12"/>
      <c r="F57" s="12"/>
      <c r="G57" s="12" t="s">
        <v>50</v>
      </c>
      <c r="H57" s="12" t="s">
        <v>2011</v>
      </c>
      <c r="I57" s="12">
        <v>333821</v>
      </c>
      <c r="J57" s="12">
        <v>131</v>
      </c>
      <c r="K57" s="12" t="s">
        <v>20</v>
      </c>
      <c r="L57" s="12">
        <v>1</v>
      </c>
      <c r="M57" s="17">
        <v>12372</v>
      </c>
      <c r="N57" s="17">
        <f t="shared" si="4"/>
        <v>12372</v>
      </c>
      <c r="O57" s="12"/>
      <c r="P57" s="12"/>
    </row>
    <row r="58" spans="1:16" x14ac:dyDescent="0.25">
      <c r="A58" s="12"/>
      <c r="B58" s="36"/>
      <c r="C58" s="12">
        <f t="shared" si="3"/>
        <v>25</v>
      </c>
      <c r="D58" s="38">
        <f t="shared" si="1"/>
        <v>1</v>
      </c>
      <c r="E58" s="12"/>
      <c r="F58" s="12"/>
      <c r="G58" s="12"/>
      <c r="H58" s="12"/>
      <c r="I58" s="12"/>
      <c r="J58" s="12"/>
      <c r="K58" s="12" t="s">
        <v>20</v>
      </c>
      <c r="L58" s="12">
        <v>1</v>
      </c>
      <c r="M58" s="17"/>
      <c r="N58" s="17">
        <f t="shared" si="4"/>
        <v>0</v>
      </c>
      <c r="O58" s="12"/>
      <c r="P58" s="12"/>
    </row>
    <row r="59" spans="1:16" x14ac:dyDescent="0.25">
      <c r="A59" s="12"/>
      <c r="B59" s="36"/>
      <c r="C59" s="12">
        <f t="shared" si="3"/>
        <v>25</v>
      </c>
      <c r="D59" s="38">
        <f t="shared" si="1"/>
        <v>0</v>
      </c>
      <c r="E59" s="12"/>
      <c r="F59" s="12"/>
      <c r="G59" s="12"/>
      <c r="H59" s="12"/>
      <c r="I59" s="12"/>
      <c r="J59" s="12"/>
      <c r="K59" s="12" t="s">
        <v>20</v>
      </c>
      <c r="L59" s="12">
        <v>1</v>
      </c>
      <c r="M59" s="17"/>
      <c r="N59" s="17">
        <f t="shared" si="4"/>
        <v>0</v>
      </c>
      <c r="O59" s="12"/>
      <c r="P59" s="12"/>
    </row>
    <row r="60" spans="1:16" x14ac:dyDescent="0.25">
      <c r="A60" s="12"/>
      <c r="B60" s="36"/>
      <c r="C60" s="12">
        <f t="shared" si="3"/>
        <v>25</v>
      </c>
      <c r="D60" s="38">
        <f t="shared" si="1"/>
        <v>0</v>
      </c>
      <c r="E60" s="12"/>
      <c r="F60" s="12"/>
      <c r="G60" s="12"/>
      <c r="H60" s="12"/>
      <c r="I60" s="12"/>
      <c r="J60" s="12"/>
      <c r="K60" s="12" t="s">
        <v>20</v>
      </c>
      <c r="L60" s="12">
        <v>1</v>
      </c>
      <c r="M60" s="17"/>
      <c r="N60" s="17">
        <f t="shared" si="4"/>
        <v>0</v>
      </c>
      <c r="O60" s="12"/>
      <c r="P60" s="12"/>
    </row>
    <row r="61" spans="1:16" x14ac:dyDescent="0.25">
      <c r="A61" s="12"/>
      <c r="B61" s="36"/>
      <c r="C61" s="12">
        <f t="shared" si="3"/>
        <v>25</v>
      </c>
      <c r="D61" s="38">
        <f t="shared" si="1"/>
        <v>0</v>
      </c>
      <c r="E61" s="12"/>
      <c r="F61" s="12"/>
      <c r="G61" s="12"/>
      <c r="H61" s="12"/>
      <c r="I61" s="12"/>
      <c r="J61" s="12"/>
      <c r="K61" s="12" t="s">
        <v>20</v>
      </c>
      <c r="L61" s="12">
        <v>1</v>
      </c>
      <c r="M61" s="17"/>
      <c r="N61" s="17">
        <f t="shared" si="4"/>
        <v>0</v>
      </c>
      <c r="O61" s="12"/>
      <c r="P61" s="12"/>
    </row>
    <row r="62" spans="1:16" x14ac:dyDescent="0.25">
      <c r="A62" s="12"/>
      <c r="B62" s="36"/>
      <c r="C62" s="12">
        <f t="shared" si="3"/>
        <v>25</v>
      </c>
      <c r="D62" s="38">
        <f t="shared" si="1"/>
        <v>0</v>
      </c>
      <c r="E62" s="12"/>
      <c r="F62" s="12"/>
      <c r="G62" s="12"/>
      <c r="H62" s="12"/>
      <c r="I62" s="12"/>
      <c r="J62" s="12"/>
      <c r="K62" s="12" t="s">
        <v>20</v>
      </c>
      <c r="L62" s="12">
        <v>1</v>
      </c>
      <c r="M62" s="17"/>
      <c r="N62" s="17">
        <f t="shared" si="4"/>
        <v>0</v>
      </c>
      <c r="O62" s="12"/>
      <c r="P62" s="12"/>
    </row>
    <row r="63" spans="1:16" x14ac:dyDescent="0.25">
      <c r="A63" s="12"/>
      <c r="B63" s="36"/>
      <c r="C63" s="12">
        <f t="shared" si="3"/>
        <v>25</v>
      </c>
      <c r="D63" s="38">
        <f t="shared" si="1"/>
        <v>0</v>
      </c>
      <c r="E63" s="12"/>
      <c r="F63" s="12"/>
      <c r="G63" s="12"/>
      <c r="H63" s="12"/>
      <c r="I63" s="12"/>
      <c r="J63" s="12"/>
      <c r="K63" s="12" t="s">
        <v>20</v>
      </c>
      <c r="L63" s="12">
        <v>1</v>
      </c>
      <c r="M63" s="17"/>
      <c r="N63" s="17">
        <f t="shared" si="4"/>
        <v>0</v>
      </c>
      <c r="O63" s="12"/>
      <c r="P63" s="12"/>
    </row>
    <row r="64" spans="1:16" x14ac:dyDescent="0.25">
      <c r="A64" s="12"/>
      <c r="B64" s="36"/>
      <c r="C64" s="12">
        <f t="shared" si="3"/>
        <v>25</v>
      </c>
      <c r="D64" s="38">
        <f t="shared" si="1"/>
        <v>0</v>
      </c>
      <c r="E64" s="12"/>
      <c r="F64" s="12"/>
      <c r="G64" s="12"/>
      <c r="H64" s="12"/>
      <c r="I64" s="12"/>
      <c r="J64" s="12"/>
      <c r="K64" s="12" t="s">
        <v>20</v>
      </c>
      <c r="L64" s="12">
        <v>1</v>
      </c>
      <c r="M64" s="17"/>
      <c r="N64" s="17">
        <f t="shared" si="4"/>
        <v>0</v>
      </c>
      <c r="O64" s="12"/>
      <c r="P64" s="12"/>
    </row>
    <row r="65" spans="1:16" x14ac:dyDescent="0.25">
      <c r="A65" s="12"/>
      <c r="B65" s="36"/>
      <c r="C65" s="12">
        <f t="shared" si="3"/>
        <v>25</v>
      </c>
      <c r="D65" s="38">
        <f t="shared" si="1"/>
        <v>0</v>
      </c>
      <c r="E65" s="12"/>
      <c r="F65" s="12"/>
      <c r="G65" s="12"/>
      <c r="H65" s="12"/>
      <c r="I65" s="12"/>
      <c r="J65" s="12"/>
      <c r="K65" s="12" t="s">
        <v>20</v>
      </c>
      <c r="L65" s="12">
        <v>1</v>
      </c>
      <c r="M65" s="17"/>
      <c r="N65" s="17">
        <f t="shared" si="4"/>
        <v>0</v>
      </c>
      <c r="O65" s="12"/>
      <c r="P65" s="12"/>
    </row>
    <row r="66" spans="1:16" x14ac:dyDescent="0.25">
      <c r="A66" s="12"/>
      <c r="B66" s="36"/>
      <c r="C66" s="12">
        <f t="shared" si="3"/>
        <v>25</v>
      </c>
      <c r="D66" s="38">
        <f t="shared" si="1"/>
        <v>0</v>
      </c>
      <c r="E66" s="12"/>
      <c r="F66" s="12"/>
      <c r="G66" s="12"/>
      <c r="H66" s="12"/>
      <c r="I66" s="12"/>
      <c r="J66" s="12"/>
      <c r="K66" s="12" t="s">
        <v>20</v>
      </c>
      <c r="L66" s="12">
        <v>1</v>
      </c>
      <c r="M66" s="17"/>
      <c r="N66" s="17">
        <f t="shared" si="4"/>
        <v>0</v>
      </c>
      <c r="O66" s="12"/>
      <c r="P66" s="12"/>
    </row>
    <row r="67" spans="1:16" x14ac:dyDescent="0.25">
      <c r="A67" s="12"/>
      <c r="B67" s="36"/>
      <c r="C67" s="12">
        <f t="shared" si="3"/>
        <v>25</v>
      </c>
      <c r="D67" s="38">
        <f t="shared" si="1"/>
        <v>0</v>
      </c>
      <c r="E67" s="12"/>
      <c r="F67" s="12"/>
      <c r="G67" s="12"/>
      <c r="H67" s="12"/>
      <c r="I67" s="12"/>
      <c r="J67" s="12"/>
      <c r="K67" s="12" t="s">
        <v>20</v>
      </c>
      <c r="L67" s="12">
        <v>1</v>
      </c>
      <c r="M67" s="17"/>
      <c r="N67" s="17">
        <f t="shared" si="4"/>
        <v>0</v>
      </c>
      <c r="O67" s="12"/>
      <c r="P67" s="12"/>
    </row>
    <row r="68" spans="1:16" x14ac:dyDescent="0.25">
      <c r="A68" s="12"/>
      <c r="B68" s="36"/>
      <c r="C68" s="12">
        <f t="shared" ref="C68:C98" si="5">C67+D68</f>
        <v>25</v>
      </c>
      <c r="D68" s="38">
        <f t="shared" ref="D68:D98" si="6">IF(H68=H67,0,1)</f>
        <v>0</v>
      </c>
      <c r="E68" s="12"/>
      <c r="F68" s="12"/>
      <c r="G68" s="12"/>
      <c r="H68" s="12"/>
      <c r="I68" s="12"/>
      <c r="J68" s="12"/>
      <c r="K68" s="12" t="s">
        <v>20</v>
      </c>
      <c r="L68" s="12">
        <v>1</v>
      </c>
      <c r="M68" s="17"/>
      <c r="N68" s="17">
        <f t="shared" ref="N68:N98" si="7">L68*M68</f>
        <v>0</v>
      </c>
      <c r="O68" s="12"/>
      <c r="P68" s="12"/>
    </row>
    <row r="69" spans="1:16" x14ac:dyDescent="0.25">
      <c r="A69" s="12"/>
      <c r="B69" s="36"/>
      <c r="C69" s="12">
        <f t="shared" si="5"/>
        <v>25</v>
      </c>
      <c r="D69" s="38">
        <f t="shared" si="6"/>
        <v>0</v>
      </c>
      <c r="E69" s="12"/>
      <c r="F69" s="12"/>
      <c r="G69" s="12"/>
      <c r="H69" s="12"/>
      <c r="I69" s="12"/>
      <c r="J69" s="12"/>
      <c r="K69" s="12" t="s">
        <v>20</v>
      </c>
      <c r="L69" s="12">
        <v>1</v>
      </c>
      <c r="M69" s="17"/>
      <c r="N69" s="17">
        <f t="shared" si="7"/>
        <v>0</v>
      </c>
      <c r="O69" s="12"/>
      <c r="P69" s="12"/>
    </row>
    <row r="70" spans="1:16" x14ac:dyDescent="0.25">
      <c r="A70" s="12"/>
      <c r="B70" s="36"/>
      <c r="C70" s="12">
        <f t="shared" si="5"/>
        <v>25</v>
      </c>
      <c r="D70" s="38">
        <f t="shared" si="6"/>
        <v>0</v>
      </c>
      <c r="E70" s="12"/>
      <c r="F70" s="12"/>
      <c r="G70" s="12"/>
      <c r="H70" s="12"/>
      <c r="I70" s="12"/>
      <c r="J70" s="12"/>
      <c r="K70" s="12" t="s">
        <v>20</v>
      </c>
      <c r="L70" s="12">
        <v>1</v>
      </c>
      <c r="M70" s="17"/>
      <c r="N70" s="17">
        <f t="shared" si="7"/>
        <v>0</v>
      </c>
      <c r="O70" s="12"/>
      <c r="P70" s="12"/>
    </row>
    <row r="71" spans="1:16" x14ac:dyDescent="0.25">
      <c r="A71" s="12"/>
      <c r="B71" s="36"/>
      <c r="C71" s="12">
        <f t="shared" si="5"/>
        <v>25</v>
      </c>
      <c r="D71" s="38">
        <f t="shared" si="6"/>
        <v>0</v>
      </c>
      <c r="E71" s="12"/>
      <c r="F71" s="12"/>
      <c r="G71" s="12"/>
      <c r="H71" s="12"/>
      <c r="I71" s="12"/>
      <c r="J71" s="12"/>
      <c r="K71" s="12" t="s">
        <v>20</v>
      </c>
      <c r="L71" s="12">
        <v>1</v>
      </c>
      <c r="M71" s="17"/>
      <c r="N71" s="17">
        <f t="shared" si="7"/>
        <v>0</v>
      </c>
      <c r="O71" s="12"/>
      <c r="P71" s="12"/>
    </row>
    <row r="72" spans="1:16" x14ac:dyDescent="0.25">
      <c r="A72" s="12"/>
      <c r="B72" s="36"/>
      <c r="C72" s="12">
        <f t="shared" si="5"/>
        <v>25</v>
      </c>
      <c r="D72" s="38">
        <f t="shared" si="6"/>
        <v>0</v>
      </c>
      <c r="E72" s="12"/>
      <c r="F72" s="12"/>
      <c r="G72" s="12"/>
      <c r="H72" s="12"/>
      <c r="I72" s="12"/>
      <c r="J72" s="12"/>
      <c r="K72" s="12" t="s">
        <v>20</v>
      </c>
      <c r="L72" s="12">
        <v>1</v>
      </c>
      <c r="M72" s="17"/>
      <c r="N72" s="17">
        <f t="shared" si="7"/>
        <v>0</v>
      </c>
      <c r="O72" s="12"/>
      <c r="P72" s="12"/>
    </row>
    <row r="73" spans="1:16" x14ac:dyDescent="0.25">
      <c r="A73" s="12"/>
      <c r="B73" s="36"/>
      <c r="C73" s="12">
        <f t="shared" si="5"/>
        <v>25</v>
      </c>
      <c r="D73" s="38">
        <f t="shared" si="6"/>
        <v>0</v>
      </c>
      <c r="E73" s="12"/>
      <c r="F73" s="12"/>
      <c r="G73" s="12"/>
      <c r="H73" s="12"/>
      <c r="I73" s="12"/>
      <c r="J73" s="12"/>
      <c r="K73" s="12" t="s">
        <v>20</v>
      </c>
      <c r="L73" s="12">
        <v>1</v>
      </c>
      <c r="M73" s="17"/>
      <c r="N73" s="17">
        <f t="shared" si="7"/>
        <v>0</v>
      </c>
      <c r="O73" s="12"/>
      <c r="P73" s="12"/>
    </row>
    <row r="74" spans="1:16" x14ac:dyDescent="0.25">
      <c r="A74" s="12"/>
      <c r="B74" s="36"/>
      <c r="C74" s="12">
        <f t="shared" si="5"/>
        <v>25</v>
      </c>
      <c r="D74" s="38">
        <f t="shared" si="6"/>
        <v>0</v>
      </c>
      <c r="E74" s="12"/>
      <c r="F74" s="12"/>
      <c r="G74" s="12"/>
      <c r="H74" s="12"/>
      <c r="I74" s="12"/>
      <c r="J74" s="12"/>
      <c r="K74" s="12" t="s">
        <v>20</v>
      </c>
      <c r="L74" s="12">
        <v>1</v>
      </c>
      <c r="M74" s="17"/>
      <c r="N74" s="17">
        <f t="shared" si="7"/>
        <v>0</v>
      </c>
      <c r="O74" s="12"/>
      <c r="P74" s="12"/>
    </row>
    <row r="75" spans="1:16" x14ac:dyDescent="0.25">
      <c r="A75" s="12"/>
      <c r="B75" s="36"/>
      <c r="C75" s="12">
        <f t="shared" si="5"/>
        <v>25</v>
      </c>
      <c r="D75" s="38">
        <f t="shared" si="6"/>
        <v>0</v>
      </c>
      <c r="E75" s="12"/>
      <c r="F75" s="12"/>
      <c r="G75" s="12"/>
      <c r="H75" s="12"/>
      <c r="I75" s="12"/>
      <c r="J75" s="12"/>
      <c r="K75" s="12" t="s">
        <v>20</v>
      </c>
      <c r="L75" s="12">
        <v>1</v>
      </c>
      <c r="M75" s="17"/>
      <c r="N75" s="17">
        <f t="shared" si="7"/>
        <v>0</v>
      </c>
      <c r="O75" s="12"/>
      <c r="P75" s="12"/>
    </row>
    <row r="76" spans="1:16" x14ac:dyDescent="0.25">
      <c r="A76" s="12"/>
      <c r="B76" s="36"/>
      <c r="C76" s="12">
        <f t="shared" si="5"/>
        <v>25</v>
      </c>
      <c r="D76" s="38">
        <f t="shared" si="6"/>
        <v>0</v>
      </c>
      <c r="E76" s="12"/>
      <c r="F76" s="12"/>
      <c r="G76" s="12"/>
      <c r="H76" s="12"/>
      <c r="I76" s="12"/>
      <c r="J76" s="12"/>
      <c r="K76" s="12" t="s">
        <v>20</v>
      </c>
      <c r="L76" s="12">
        <v>1</v>
      </c>
      <c r="M76" s="17"/>
      <c r="N76" s="17">
        <f t="shared" si="7"/>
        <v>0</v>
      </c>
      <c r="O76" s="12"/>
      <c r="P76" s="12"/>
    </row>
    <row r="77" spans="1:16" x14ac:dyDescent="0.25">
      <c r="A77" s="12"/>
      <c r="B77" s="36"/>
      <c r="C77" s="12">
        <f t="shared" si="5"/>
        <v>25</v>
      </c>
      <c r="D77" s="38">
        <f t="shared" si="6"/>
        <v>0</v>
      </c>
      <c r="E77" s="12"/>
      <c r="F77" s="12"/>
      <c r="G77" s="12"/>
      <c r="H77" s="12"/>
      <c r="I77" s="12"/>
      <c r="J77" s="12"/>
      <c r="K77" s="12" t="s">
        <v>20</v>
      </c>
      <c r="L77" s="12">
        <v>1</v>
      </c>
      <c r="M77" s="17"/>
      <c r="N77" s="17">
        <f t="shared" si="7"/>
        <v>0</v>
      </c>
      <c r="O77" s="12"/>
      <c r="P77" s="12"/>
    </row>
    <row r="78" spans="1:16" x14ac:dyDescent="0.25">
      <c r="A78" s="12"/>
      <c r="B78" s="36"/>
      <c r="C78" s="12">
        <f t="shared" si="5"/>
        <v>25</v>
      </c>
      <c r="D78" s="38">
        <f t="shared" si="6"/>
        <v>0</v>
      </c>
      <c r="E78" s="12"/>
      <c r="F78" s="12"/>
      <c r="G78" s="12"/>
      <c r="H78" s="12"/>
      <c r="I78" s="12"/>
      <c r="J78" s="12"/>
      <c r="K78" s="12" t="s">
        <v>20</v>
      </c>
      <c r="L78" s="12">
        <v>1</v>
      </c>
      <c r="M78" s="17"/>
      <c r="N78" s="17">
        <f t="shared" si="7"/>
        <v>0</v>
      </c>
      <c r="O78" s="12"/>
      <c r="P78" s="12"/>
    </row>
    <row r="79" spans="1:16" x14ac:dyDescent="0.25">
      <c r="A79" s="12"/>
      <c r="B79" s="36"/>
      <c r="C79" s="12">
        <f t="shared" si="5"/>
        <v>25</v>
      </c>
      <c r="D79" s="38">
        <f t="shared" si="6"/>
        <v>0</v>
      </c>
      <c r="E79" s="12"/>
      <c r="F79" s="12"/>
      <c r="G79" s="12"/>
      <c r="H79" s="12"/>
      <c r="I79" s="12"/>
      <c r="J79" s="12"/>
      <c r="K79" s="12" t="s">
        <v>20</v>
      </c>
      <c r="L79" s="12">
        <v>1</v>
      </c>
      <c r="M79" s="17"/>
      <c r="N79" s="17">
        <f t="shared" si="7"/>
        <v>0</v>
      </c>
      <c r="O79" s="12"/>
      <c r="P79" s="12"/>
    </row>
    <row r="80" spans="1:16" x14ac:dyDescent="0.25">
      <c r="A80" s="12"/>
      <c r="B80" s="36"/>
      <c r="C80" s="12">
        <f t="shared" si="5"/>
        <v>25</v>
      </c>
      <c r="D80" s="38">
        <f t="shared" si="6"/>
        <v>0</v>
      </c>
      <c r="E80" s="12"/>
      <c r="F80" s="12"/>
      <c r="G80" s="12"/>
      <c r="H80" s="12"/>
      <c r="I80" s="12"/>
      <c r="J80" s="12"/>
      <c r="K80" s="12" t="s">
        <v>20</v>
      </c>
      <c r="L80" s="12">
        <v>1</v>
      </c>
      <c r="M80" s="17"/>
      <c r="N80" s="17">
        <f t="shared" si="7"/>
        <v>0</v>
      </c>
      <c r="O80" s="12"/>
      <c r="P80" s="12"/>
    </row>
    <row r="81" spans="1:16" x14ac:dyDescent="0.25">
      <c r="A81" s="12"/>
      <c r="B81" s="36"/>
      <c r="C81" s="12">
        <f t="shared" si="5"/>
        <v>25</v>
      </c>
      <c r="D81" s="38">
        <f t="shared" si="6"/>
        <v>0</v>
      </c>
      <c r="E81" s="12"/>
      <c r="F81" s="12"/>
      <c r="G81" s="12"/>
      <c r="H81" s="12"/>
      <c r="I81" s="12"/>
      <c r="J81" s="12"/>
      <c r="K81" s="12" t="s">
        <v>20</v>
      </c>
      <c r="L81" s="12">
        <v>1</v>
      </c>
      <c r="M81" s="17"/>
      <c r="N81" s="17">
        <f t="shared" si="7"/>
        <v>0</v>
      </c>
      <c r="O81" s="12"/>
      <c r="P81" s="12"/>
    </row>
    <row r="82" spans="1:16" x14ac:dyDescent="0.25">
      <c r="A82" s="12"/>
      <c r="B82" s="36"/>
      <c r="C82" s="12">
        <f t="shared" si="5"/>
        <v>25</v>
      </c>
      <c r="D82" s="38">
        <f t="shared" si="6"/>
        <v>0</v>
      </c>
      <c r="E82" s="12"/>
      <c r="F82" s="12"/>
      <c r="G82" s="12"/>
      <c r="H82" s="12"/>
      <c r="I82" s="12"/>
      <c r="J82" s="12"/>
      <c r="K82" s="12" t="s">
        <v>20</v>
      </c>
      <c r="L82" s="12">
        <v>1</v>
      </c>
      <c r="M82" s="17"/>
      <c r="N82" s="17">
        <f t="shared" si="7"/>
        <v>0</v>
      </c>
      <c r="O82" s="12"/>
      <c r="P82" s="12"/>
    </row>
    <row r="83" spans="1:16" x14ac:dyDescent="0.25">
      <c r="A83" s="12"/>
      <c r="B83" s="36"/>
      <c r="C83" s="12">
        <f t="shared" si="5"/>
        <v>25</v>
      </c>
      <c r="D83" s="38">
        <f t="shared" si="6"/>
        <v>0</v>
      </c>
      <c r="E83" s="12"/>
      <c r="F83" s="12"/>
      <c r="G83" s="12"/>
      <c r="H83" s="12"/>
      <c r="I83" s="12"/>
      <c r="J83" s="12"/>
      <c r="K83" s="12" t="s">
        <v>20</v>
      </c>
      <c r="L83" s="12">
        <v>1</v>
      </c>
      <c r="M83" s="17"/>
      <c r="N83" s="17">
        <f t="shared" si="7"/>
        <v>0</v>
      </c>
      <c r="O83" s="12"/>
      <c r="P83" s="12"/>
    </row>
    <row r="84" spans="1:16" x14ac:dyDescent="0.25">
      <c r="A84" s="12"/>
      <c r="B84" s="36"/>
      <c r="C84" s="12">
        <f t="shared" si="5"/>
        <v>25</v>
      </c>
      <c r="D84" s="38">
        <f t="shared" si="6"/>
        <v>0</v>
      </c>
      <c r="E84" s="12"/>
      <c r="F84" s="12"/>
      <c r="G84" s="12"/>
      <c r="H84" s="12"/>
      <c r="I84" s="12"/>
      <c r="J84" s="12"/>
      <c r="K84" s="12" t="s">
        <v>20</v>
      </c>
      <c r="L84" s="12">
        <v>1</v>
      </c>
      <c r="M84" s="17"/>
      <c r="N84" s="17">
        <f t="shared" si="7"/>
        <v>0</v>
      </c>
      <c r="O84" s="12"/>
      <c r="P84" s="12"/>
    </row>
    <row r="85" spans="1:16" x14ac:dyDescent="0.25">
      <c r="A85" s="12"/>
      <c r="B85" s="36"/>
      <c r="C85" s="12">
        <f t="shared" si="5"/>
        <v>25</v>
      </c>
      <c r="D85" s="38">
        <f t="shared" si="6"/>
        <v>0</v>
      </c>
      <c r="E85" s="12"/>
      <c r="F85" s="12"/>
      <c r="G85" s="12"/>
      <c r="H85" s="12"/>
      <c r="I85" s="12"/>
      <c r="J85" s="12"/>
      <c r="K85" s="12" t="s">
        <v>20</v>
      </c>
      <c r="L85" s="12">
        <v>1</v>
      </c>
      <c r="M85" s="17"/>
      <c r="N85" s="17">
        <f t="shared" si="7"/>
        <v>0</v>
      </c>
      <c r="O85" s="12"/>
      <c r="P85" s="12"/>
    </row>
    <row r="86" spans="1:16" x14ac:dyDescent="0.25">
      <c r="A86" s="12"/>
      <c r="B86" s="36"/>
      <c r="C86" s="12">
        <f t="shared" si="5"/>
        <v>25</v>
      </c>
      <c r="D86" s="38">
        <f t="shared" si="6"/>
        <v>0</v>
      </c>
      <c r="E86" s="12"/>
      <c r="F86" s="12"/>
      <c r="G86" s="12"/>
      <c r="H86" s="12"/>
      <c r="I86" s="12"/>
      <c r="J86" s="12"/>
      <c r="K86" s="12" t="s">
        <v>20</v>
      </c>
      <c r="L86" s="12">
        <v>1</v>
      </c>
      <c r="M86" s="17"/>
      <c r="N86" s="17">
        <f t="shared" si="7"/>
        <v>0</v>
      </c>
      <c r="O86" s="12"/>
      <c r="P86" s="12"/>
    </row>
    <row r="87" spans="1:16" x14ac:dyDescent="0.25">
      <c r="A87" s="12"/>
      <c r="B87" s="36"/>
      <c r="C87" s="12">
        <f t="shared" si="5"/>
        <v>25</v>
      </c>
      <c r="D87" s="38">
        <f t="shared" si="6"/>
        <v>0</v>
      </c>
      <c r="E87" s="12"/>
      <c r="F87" s="12"/>
      <c r="G87" s="12"/>
      <c r="H87" s="12"/>
      <c r="I87" s="12"/>
      <c r="J87" s="12"/>
      <c r="K87" s="12" t="s">
        <v>20</v>
      </c>
      <c r="L87" s="12">
        <v>1</v>
      </c>
      <c r="M87" s="17"/>
      <c r="N87" s="17">
        <f t="shared" si="7"/>
        <v>0</v>
      </c>
      <c r="O87" s="12"/>
      <c r="P87" s="12"/>
    </row>
    <row r="88" spans="1:16" x14ac:dyDescent="0.25">
      <c r="A88" s="12"/>
      <c r="B88" s="36"/>
      <c r="C88" s="12">
        <f t="shared" si="5"/>
        <v>25</v>
      </c>
      <c r="D88" s="38">
        <f t="shared" si="6"/>
        <v>0</v>
      </c>
      <c r="E88" s="12"/>
      <c r="F88" s="12"/>
      <c r="G88" s="12"/>
      <c r="H88" s="12"/>
      <c r="I88" s="12"/>
      <c r="J88" s="12"/>
      <c r="K88" s="12" t="s">
        <v>20</v>
      </c>
      <c r="L88" s="12">
        <v>1</v>
      </c>
      <c r="M88" s="17"/>
      <c r="N88" s="17">
        <f t="shared" si="7"/>
        <v>0</v>
      </c>
      <c r="O88" s="12"/>
      <c r="P88" s="12"/>
    </row>
    <row r="89" spans="1:16" x14ac:dyDescent="0.25">
      <c r="A89" s="12"/>
      <c r="B89" s="36"/>
      <c r="C89" s="12">
        <f t="shared" si="5"/>
        <v>25</v>
      </c>
      <c r="D89" s="38">
        <f t="shared" si="6"/>
        <v>0</v>
      </c>
      <c r="E89" s="12"/>
      <c r="F89" s="12"/>
      <c r="G89" s="12"/>
      <c r="H89" s="12"/>
      <c r="I89" s="12"/>
      <c r="J89" s="12"/>
      <c r="K89" s="12" t="s">
        <v>20</v>
      </c>
      <c r="L89" s="12">
        <v>1</v>
      </c>
      <c r="M89" s="17"/>
      <c r="N89" s="17">
        <f t="shared" si="7"/>
        <v>0</v>
      </c>
      <c r="O89" s="12"/>
      <c r="P89" s="12"/>
    </row>
    <row r="90" spans="1:16" x14ac:dyDescent="0.25">
      <c r="A90" s="12"/>
      <c r="B90" s="36"/>
      <c r="C90" s="12">
        <f t="shared" si="5"/>
        <v>25</v>
      </c>
      <c r="D90" s="38">
        <f t="shared" si="6"/>
        <v>0</v>
      </c>
      <c r="E90" s="12"/>
      <c r="F90" s="12"/>
      <c r="G90" s="12"/>
      <c r="H90" s="12"/>
      <c r="I90" s="12"/>
      <c r="J90" s="12"/>
      <c r="K90" s="12" t="s">
        <v>20</v>
      </c>
      <c r="L90" s="12">
        <v>1</v>
      </c>
      <c r="M90" s="17"/>
      <c r="N90" s="17">
        <f t="shared" si="7"/>
        <v>0</v>
      </c>
      <c r="O90" s="12"/>
      <c r="P90" s="12"/>
    </row>
    <row r="91" spans="1:16" x14ac:dyDescent="0.25">
      <c r="A91" s="12"/>
      <c r="B91" s="36"/>
      <c r="C91" s="12">
        <f t="shared" si="5"/>
        <v>25</v>
      </c>
      <c r="D91" s="38">
        <f t="shared" si="6"/>
        <v>0</v>
      </c>
      <c r="E91" s="12"/>
      <c r="F91" s="12"/>
      <c r="G91" s="12"/>
      <c r="H91" s="12"/>
      <c r="I91" s="12"/>
      <c r="J91" s="12"/>
      <c r="K91" s="12" t="s">
        <v>20</v>
      </c>
      <c r="L91" s="12">
        <v>1</v>
      </c>
      <c r="M91" s="17"/>
      <c r="N91" s="17">
        <f t="shared" si="7"/>
        <v>0</v>
      </c>
      <c r="O91" s="12"/>
      <c r="P91" s="12"/>
    </row>
    <row r="92" spans="1:16" x14ac:dyDescent="0.25">
      <c r="A92" s="12"/>
      <c r="B92" s="36"/>
      <c r="C92" s="12">
        <f t="shared" si="5"/>
        <v>25</v>
      </c>
      <c r="D92" s="38">
        <f t="shared" si="6"/>
        <v>0</v>
      </c>
      <c r="E92" s="12"/>
      <c r="F92" s="12"/>
      <c r="G92" s="12"/>
      <c r="H92" s="12"/>
      <c r="I92" s="12"/>
      <c r="J92" s="12"/>
      <c r="K92" s="12" t="s">
        <v>20</v>
      </c>
      <c r="L92" s="12">
        <v>1</v>
      </c>
      <c r="M92" s="17"/>
      <c r="N92" s="17">
        <f t="shared" si="7"/>
        <v>0</v>
      </c>
      <c r="O92" s="12"/>
      <c r="P92" s="12"/>
    </row>
    <row r="93" spans="1:16" x14ac:dyDescent="0.25">
      <c r="A93" s="12"/>
      <c r="B93" s="36"/>
      <c r="C93" s="12">
        <f t="shared" si="5"/>
        <v>25</v>
      </c>
      <c r="D93" s="38">
        <f t="shared" si="6"/>
        <v>0</v>
      </c>
      <c r="E93" s="12"/>
      <c r="F93" s="12"/>
      <c r="G93" s="12"/>
      <c r="H93" s="12"/>
      <c r="I93" s="12"/>
      <c r="J93" s="12"/>
      <c r="K93" s="12" t="s">
        <v>20</v>
      </c>
      <c r="L93" s="12">
        <v>1</v>
      </c>
      <c r="M93" s="17"/>
      <c r="N93" s="17">
        <f t="shared" si="7"/>
        <v>0</v>
      </c>
      <c r="O93" s="12"/>
      <c r="P93" s="12"/>
    </row>
    <row r="94" spans="1:16" x14ac:dyDescent="0.25">
      <c r="A94" s="12"/>
      <c r="B94" s="36"/>
      <c r="C94" s="12">
        <f t="shared" si="5"/>
        <v>25</v>
      </c>
      <c r="D94" s="38">
        <f t="shared" si="6"/>
        <v>0</v>
      </c>
      <c r="E94" s="12"/>
      <c r="F94" s="12"/>
      <c r="G94" s="12"/>
      <c r="H94" s="12"/>
      <c r="I94" s="12"/>
      <c r="J94" s="12"/>
      <c r="K94" s="12" t="s">
        <v>20</v>
      </c>
      <c r="L94" s="12">
        <v>1</v>
      </c>
      <c r="M94" s="17"/>
      <c r="N94" s="17">
        <f t="shared" si="7"/>
        <v>0</v>
      </c>
      <c r="O94" s="12"/>
      <c r="P94" s="12"/>
    </row>
    <row r="95" spans="1:16" x14ac:dyDescent="0.25">
      <c r="A95" s="12"/>
      <c r="B95" s="36"/>
      <c r="C95" s="12">
        <f t="shared" si="5"/>
        <v>25</v>
      </c>
      <c r="D95" s="38">
        <f t="shared" si="6"/>
        <v>0</v>
      </c>
      <c r="E95" s="12"/>
      <c r="F95" s="12"/>
      <c r="G95" s="12"/>
      <c r="H95" s="12"/>
      <c r="I95" s="12"/>
      <c r="J95" s="12"/>
      <c r="K95" s="12" t="s">
        <v>20</v>
      </c>
      <c r="L95" s="12">
        <v>1</v>
      </c>
      <c r="M95" s="17"/>
      <c r="N95" s="17">
        <f t="shared" si="7"/>
        <v>0</v>
      </c>
      <c r="O95" s="12"/>
      <c r="P95" s="12"/>
    </row>
    <row r="96" spans="1:16" x14ac:dyDescent="0.25">
      <c r="A96" s="12"/>
      <c r="B96" s="36"/>
      <c r="C96" s="12">
        <f t="shared" si="5"/>
        <v>25</v>
      </c>
      <c r="D96" s="38">
        <f t="shared" si="6"/>
        <v>0</v>
      </c>
      <c r="E96" s="12"/>
      <c r="F96" s="12"/>
      <c r="G96" s="12"/>
      <c r="H96" s="12"/>
      <c r="I96" s="12"/>
      <c r="J96" s="12"/>
      <c r="K96" s="12" t="s">
        <v>20</v>
      </c>
      <c r="L96" s="12">
        <v>1</v>
      </c>
      <c r="M96" s="17"/>
      <c r="N96" s="17">
        <f t="shared" si="7"/>
        <v>0</v>
      </c>
      <c r="O96" s="12"/>
      <c r="P96" s="12"/>
    </row>
    <row r="97" spans="1:16" x14ac:dyDescent="0.25">
      <c r="A97" s="12"/>
      <c r="B97" s="36"/>
      <c r="C97" s="12">
        <f t="shared" si="5"/>
        <v>25</v>
      </c>
      <c r="D97" s="38">
        <f t="shared" si="6"/>
        <v>0</v>
      </c>
      <c r="E97" s="12"/>
      <c r="F97" s="12"/>
      <c r="G97" s="12"/>
      <c r="H97" s="12"/>
      <c r="I97" s="12"/>
      <c r="J97" s="12"/>
      <c r="K97" s="12" t="s">
        <v>20</v>
      </c>
      <c r="L97" s="12">
        <v>1</v>
      </c>
      <c r="M97" s="17"/>
      <c r="N97" s="17">
        <f t="shared" si="7"/>
        <v>0</v>
      </c>
      <c r="O97" s="12"/>
      <c r="P97" s="12"/>
    </row>
    <row r="98" spans="1:16" x14ac:dyDescent="0.25">
      <c r="A98" s="12"/>
      <c r="B98" s="36"/>
      <c r="C98" s="12">
        <f t="shared" si="5"/>
        <v>25</v>
      </c>
      <c r="D98" s="38">
        <f t="shared" si="6"/>
        <v>0</v>
      </c>
      <c r="E98" s="12"/>
      <c r="F98" s="12"/>
      <c r="G98" s="12"/>
      <c r="H98" s="12"/>
      <c r="I98" s="12"/>
      <c r="J98" s="12"/>
      <c r="K98" s="12" t="s">
        <v>20</v>
      </c>
      <c r="L98" s="12">
        <v>1</v>
      </c>
      <c r="M98" s="17"/>
      <c r="N98" s="17">
        <f t="shared" si="7"/>
        <v>0</v>
      </c>
      <c r="O98" s="12"/>
      <c r="P98" s="12"/>
    </row>
  </sheetData>
  <autoFilter ref="A3:P98" xr:uid="{00000000-0009-0000-0000-000019000000}">
    <sortState xmlns:xlrd2="http://schemas.microsoft.com/office/spreadsheetml/2017/richdata2" ref="A4:P98">
      <sortCondition ref="P3:P98"/>
    </sortState>
  </autoFilter>
  <mergeCells count="13">
    <mergeCell ref="F1:F2"/>
    <mergeCell ref="A1:A2"/>
    <mergeCell ref="B1:B2"/>
    <mergeCell ref="C1:C2"/>
    <mergeCell ref="D1:D2"/>
    <mergeCell ref="E1:E2"/>
    <mergeCell ref="N1:N2"/>
    <mergeCell ref="G1:G2"/>
    <mergeCell ref="H1:H2"/>
    <mergeCell ref="I1:J1"/>
    <mergeCell ref="K1:K2"/>
    <mergeCell ref="L1:L2"/>
    <mergeCell ref="M1:M2"/>
  </mergeCells>
  <hyperlinks>
    <hyperlink ref="P1" location="Summary!A1" display="Back to summary"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filterMode="1">
    <tabColor rgb="FF92D050"/>
  </sheetPr>
  <dimension ref="A1:P66"/>
  <sheetViews>
    <sheetView workbookViewId="0">
      <selection activeCell="M39" sqref="M39:M66"/>
    </sheetView>
  </sheetViews>
  <sheetFormatPr defaultRowHeight="15" x14ac:dyDescent="0.25"/>
  <cols>
    <col min="6" max="6" width="9.85546875" bestFit="1" customWidth="1"/>
    <col min="8" max="8" width="27.7109375" customWidth="1"/>
    <col min="13" max="14" width="10.7109375" bestFit="1" customWidth="1"/>
  </cols>
  <sheetData>
    <row r="1" spans="1:16" ht="15.75" thickBot="1" x14ac:dyDescent="0.3">
      <c r="A1" s="247" t="s">
        <v>0</v>
      </c>
      <c r="B1" s="219" t="s">
        <v>1</v>
      </c>
      <c r="C1" s="247" t="s">
        <v>2</v>
      </c>
      <c r="D1" s="249" t="s">
        <v>3</v>
      </c>
      <c r="E1" s="249" t="s">
        <v>4</v>
      </c>
      <c r="F1" s="249" t="s">
        <v>5</v>
      </c>
      <c r="G1" s="241" t="s">
        <v>6</v>
      </c>
      <c r="H1" s="243" t="s">
        <v>7</v>
      </c>
      <c r="I1" s="245" t="s">
        <v>8</v>
      </c>
      <c r="J1" s="246"/>
      <c r="K1" s="247" t="s">
        <v>9</v>
      </c>
      <c r="L1" s="247" t="s">
        <v>10</v>
      </c>
      <c r="M1" s="254" t="s">
        <v>76</v>
      </c>
      <c r="N1" s="254" t="s">
        <v>77</v>
      </c>
      <c r="O1" s="45" t="s">
        <v>78</v>
      </c>
      <c r="P1" s="146" t="s">
        <v>356</v>
      </c>
    </row>
    <row r="2" spans="1:16" ht="15.75" thickBot="1" x14ac:dyDescent="0.3">
      <c r="A2" s="248"/>
      <c r="B2" s="220"/>
      <c r="C2" s="248"/>
      <c r="D2" s="253"/>
      <c r="E2" s="253"/>
      <c r="F2" s="250"/>
      <c r="G2" s="242"/>
      <c r="H2" s="244"/>
      <c r="I2" s="46" t="s">
        <v>13</v>
      </c>
      <c r="J2" s="47" t="s">
        <v>14</v>
      </c>
      <c r="K2" s="248"/>
      <c r="L2" s="248"/>
      <c r="M2" s="255"/>
      <c r="N2" s="255"/>
      <c r="O2" s="38" t="s">
        <v>78</v>
      </c>
      <c r="P2" s="38"/>
    </row>
    <row r="3" spans="1:16" x14ac:dyDescent="0.25">
      <c r="A3" s="48"/>
      <c r="B3" s="81"/>
      <c r="C3" s="48">
        <v>39</v>
      </c>
      <c r="D3" s="49"/>
      <c r="E3" s="49"/>
      <c r="F3" s="49"/>
      <c r="G3" s="51" t="s">
        <v>15</v>
      </c>
      <c r="H3" s="52"/>
      <c r="I3" s="52"/>
      <c r="J3" s="52"/>
      <c r="K3" s="48"/>
      <c r="L3" s="48"/>
      <c r="M3" s="82"/>
      <c r="N3" s="82"/>
      <c r="O3" s="38" t="s">
        <v>16</v>
      </c>
      <c r="P3" s="38" t="s">
        <v>17</v>
      </c>
    </row>
    <row r="4" spans="1:16" hidden="1" x14ac:dyDescent="0.25">
      <c r="A4" s="12" t="s">
        <v>309</v>
      </c>
      <c r="B4" s="36">
        <v>46036</v>
      </c>
      <c r="C4" s="12">
        <f t="shared" ref="C4:C35" si="0">C3+D4</f>
        <v>40</v>
      </c>
      <c r="D4" s="38">
        <f t="shared" ref="D4:D35" si="1">IF(H4=H3,0,1)</f>
        <v>1</v>
      </c>
      <c r="E4" s="12" t="str">
        <f t="shared" ref="E4:E35" si="2">TEXT(C4,"000")</f>
        <v>040</v>
      </c>
      <c r="F4" s="12"/>
      <c r="G4" s="130" t="s">
        <v>4716</v>
      </c>
      <c r="H4" s="12" t="s">
        <v>4719</v>
      </c>
      <c r="I4" s="12">
        <v>1121111</v>
      </c>
      <c r="J4" s="12">
        <v>131</v>
      </c>
      <c r="K4" s="12" t="s">
        <v>20</v>
      </c>
      <c r="L4" s="12">
        <v>1</v>
      </c>
      <c r="M4" s="17">
        <v>7983871</v>
      </c>
      <c r="N4" s="17">
        <f t="shared" ref="N4:N35" si="3">L4*M4</f>
        <v>7983871</v>
      </c>
      <c r="O4" s="12"/>
      <c r="P4" s="12">
        <f t="shared" ref="P4:P35" si="4">LEN(H4)</f>
        <v>150</v>
      </c>
    </row>
    <row r="5" spans="1:16" hidden="1" x14ac:dyDescent="0.25">
      <c r="A5" s="12" t="s">
        <v>309</v>
      </c>
      <c r="B5" s="36">
        <v>46047</v>
      </c>
      <c r="C5" s="12">
        <f t="shared" si="0"/>
        <v>41</v>
      </c>
      <c r="D5" s="38">
        <f t="shared" si="1"/>
        <v>1</v>
      </c>
      <c r="E5" s="12" t="str">
        <f t="shared" si="2"/>
        <v>041</v>
      </c>
      <c r="F5" s="12"/>
      <c r="G5" s="130" t="s">
        <v>362</v>
      </c>
      <c r="H5" s="12" t="s">
        <v>3561</v>
      </c>
      <c r="I5" s="12">
        <v>1121111</v>
      </c>
      <c r="J5" s="12">
        <v>5154</v>
      </c>
      <c r="K5" s="12" t="s">
        <v>20</v>
      </c>
      <c r="L5" s="12">
        <v>1</v>
      </c>
      <c r="M5" s="17">
        <v>759</v>
      </c>
      <c r="N5" s="17">
        <f t="shared" si="3"/>
        <v>759</v>
      </c>
      <c r="O5" s="12"/>
      <c r="P5" s="12">
        <f t="shared" si="4"/>
        <v>22</v>
      </c>
    </row>
    <row r="6" spans="1:16" hidden="1" x14ac:dyDescent="0.25">
      <c r="A6" s="12" t="s">
        <v>309</v>
      </c>
      <c r="B6" s="36">
        <v>46056</v>
      </c>
      <c r="C6" s="12">
        <f t="shared" si="0"/>
        <v>42</v>
      </c>
      <c r="D6" s="38">
        <f t="shared" si="1"/>
        <v>1</v>
      </c>
      <c r="E6" s="12" t="str">
        <f t="shared" si="2"/>
        <v>042</v>
      </c>
      <c r="F6" s="12"/>
      <c r="G6" s="130" t="s">
        <v>4720</v>
      </c>
      <c r="H6" s="12" t="s">
        <v>4721</v>
      </c>
      <c r="I6" s="12">
        <v>1121111</v>
      </c>
      <c r="J6" s="12">
        <v>131</v>
      </c>
      <c r="K6" s="12" t="s">
        <v>20</v>
      </c>
      <c r="L6" s="12">
        <v>1</v>
      </c>
      <c r="M6" s="17">
        <v>21290323</v>
      </c>
      <c r="N6" s="17">
        <f t="shared" si="3"/>
        <v>21290323</v>
      </c>
      <c r="O6" s="12"/>
      <c r="P6" s="12">
        <f t="shared" si="4"/>
        <v>187</v>
      </c>
    </row>
    <row r="7" spans="1:16" hidden="1" x14ac:dyDescent="0.25">
      <c r="A7" s="12" t="s">
        <v>309</v>
      </c>
      <c r="B7" s="36">
        <v>46062</v>
      </c>
      <c r="C7" s="12">
        <f t="shared" si="0"/>
        <v>43</v>
      </c>
      <c r="D7" s="38">
        <f t="shared" si="1"/>
        <v>1</v>
      </c>
      <c r="E7" s="12" t="str">
        <f t="shared" si="2"/>
        <v>043</v>
      </c>
      <c r="F7" s="12"/>
      <c r="G7" s="130" t="s">
        <v>2016</v>
      </c>
      <c r="H7" s="12" t="s">
        <v>4723</v>
      </c>
      <c r="I7" s="12">
        <v>1121111</v>
      </c>
      <c r="J7" s="12">
        <v>131</v>
      </c>
      <c r="K7" s="12" t="s">
        <v>20</v>
      </c>
      <c r="L7" s="12">
        <v>1</v>
      </c>
      <c r="M7" s="17">
        <v>7700000</v>
      </c>
      <c r="N7" s="17">
        <f t="shared" si="3"/>
        <v>7700000</v>
      </c>
      <c r="O7" s="12"/>
      <c r="P7" s="12">
        <f t="shared" si="4"/>
        <v>104</v>
      </c>
    </row>
    <row r="8" spans="1:16" hidden="1" x14ac:dyDescent="0.25">
      <c r="A8" s="12" t="s">
        <v>309</v>
      </c>
      <c r="B8" s="36">
        <v>46065</v>
      </c>
      <c r="C8" s="12">
        <f t="shared" si="0"/>
        <v>44</v>
      </c>
      <c r="D8" s="38">
        <f t="shared" si="1"/>
        <v>1</v>
      </c>
      <c r="E8" s="12" t="str">
        <f t="shared" si="2"/>
        <v>044</v>
      </c>
      <c r="F8" s="12"/>
      <c r="G8" s="130" t="s">
        <v>2018</v>
      </c>
      <c r="H8" s="12" t="s">
        <v>4724</v>
      </c>
      <c r="I8" s="12">
        <v>1121111</v>
      </c>
      <c r="J8" s="12">
        <v>131</v>
      </c>
      <c r="K8" s="12" t="s">
        <v>20</v>
      </c>
      <c r="L8" s="12">
        <v>1</v>
      </c>
      <c r="M8" s="17">
        <v>6600000</v>
      </c>
      <c r="N8" s="17">
        <f t="shared" si="3"/>
        <v>6600000</v>
      </c>
      <c r="O8" s="12"/>
      <c r="P8" s="12">
        <f t="shared" si="4"/>
        <v>106</v>
      </c>
    </row>
    <row r="9" spans="1:16" hidden="1" x14ac:dyDescent="0.25">
      <c r="A9" s="12" t="s">
        <v>309</v>
      </c>
      <c r="B9" s="36">
        <v>46078</v>
      </c>
      <c r="C9" s="12">
        <f t="shared" si="0"/>
        <v>45</v>
      </c>
      <c r="D9" s="38">
        <f t="shared" si="1"/>
        <v>1</v>
      </c>
      <c r="E9" s="12" t="str">
        <f t="shared" si="2"/>
        <v>045</v>
      </c>
      <c r="F9" s="12"/>
      <c r="G9" s="130" t="s">
        <v>362</v>
      </c>
      <c r="H9" s="12" t="s">
        <v>3561</v>
      </c>
      <c r="I9" s="12">
        <v>1121111</v>
      </c>
      <c r="J9" s="12">
        <v>5154</v>
      </c>
      <c r="K9" s="12" t="s">
        <v>20</v>
      </c>
      <c r="L9" s="12">
        <v>1</v>
      </c>
      <c r="M9" s="17">
        <v>866</v>
      </c>
      <c r="N9" s="17">
        <f t="shared" si="3"/>
        <v>866</v>
      </c>
      <c r="O9" s="12"/>
      <c r="P9" s="12">
        <f t="shared" si="4"/>
        <v>22</v>
      </c>
    </row>
    <row r="10" spans="1:16" hidden="1" x14ac:dyDescent="0.25">
      <c r="A10" s="12" t="s">
        <v>309</v>
      </c>
      <c r="B10" s="36">
        <v>46087</v>
      </c>
      <c r="C10" s="12">
        <f t="shared" si="0"/>
        <v>46</v>
      </c>
      <c r="D10" s="38">
        <f t="shared" si="1"/>
        <v>1</v>
      </c>
      <c r="E10" s="12" t="str">
        <f t="shared" si="2"/>
        <v>046</v>
      </c>
      <c r="F10" s="12"/>
      <c r="G10" s="130" t="s">
        <v>2185</v>
      </c>
      <c r="H10" s="12" t="s">
        <v>4197</v>
      </c>
      <c r="I10" s="12">
        <v>1121111</v>
      </c>
      <c r="J10" s="12">
        <v>131</v>
      </c>
      <c r="K10" s="12" t="s">
        <v>20</v>
      </c>
      <c r="L10" s="12">
        <v>1</v>
      </c>
      <c r="M10" s="17">
        <v>12100000</v>
      </c>
      <c r="N10" s="17">
        <f t="shared" si="3"/>
        <v>12100000</v>
      </c>
      <c r="O10" s="12"/>
      <c r="P10" s="12">
        <f t="shared" si="4"/>
        <v>117</v>
      </c>
    </row>
    <row r="11" spans="1:16" hidden="1" x14ac:dyDescent="0.25">
      <c r="A11" s="12" t="s">
        <v>309</v>
      </c>
      <c r="B11" s="36">
        <v>46088</v>
      </c>
      <c r="C11" s="12">
        <f t="shared" si="0"/>
        <v>47</v>
      </c>
      <c r="D11" s="38">
        <f t="shared" si="1"/>
        <v>1</v>
      </c>
      <c r="E11" s="12" t="str">
        <f t="shared" si="2"/>
        <v>047</v>
      </c>
      <c r="F11" s="12"/>
      <c r="G11" s="130" t="s">
        <v>2016</v>
      </c>
      <c r="H11" s="12" t="s">
        <v>4723</v>
      </c>
      <c r="I11" s="12">
        <v>1121111</v>
      </c>
      <c r="J11" s="12">
        <v>131</v>
      </c>
      <c r="K11" s="12" t="s">
        <v>20</v>
      </c>
      <c r="L11" s="12">
        <v>1</v>
      </c>
      <c r="M11" s="17">
        <v>7700000</v>
      </c>
      <c r="N11" s="17">
        <f t="shared" si="3"/>
        <v>7700000</v>
      </c>
      <c r="O11" s="12"/>
      <c r="P11" s="12">
        <f t="shared" si="4"/>
        <v>104</v>
      </c>
    </row>
    <row r="12" spans="1:16" hidden="1" x14ac:dyDescent="0.25">
      <c r="A12" s="12" t="s">
        <v>309</v>
      </c>
      <c r="B12" s="36">
        <v>46090</v>
      </c>
      <c r="C12" s="12">
        <f t="shared" si="0"/>
        <v>48</v>
      </c>
      <c r="D12" s="38">
        <f t="shared" si="1"/>
        <v>1</v>
      </c>
      <c r="E12" s="12" t="str">
        <f t="shared" si="2"/>
        <v>048</v>
      </c>
      <c r="F12" s="12"/>
      <c r="G12" s="130" t="s">
        <v>4186</v>
      </c>
      <c r="H12" s="12" t="s">
        <v>4187</v>
      </c>
      <c r="I12" s="12">
        <v>1121111</v>
      </c>
      <c r="J12" s="12">
        <v>131</v>
      </c>
      <c r="K12" s="12" t="s">
        <v>20</v>
      </c>
      <c r="L12" s="12">
        <v>1</v>
      </c>
      <c r="M12" s="17">
        <v>9900000</v>
      </c>
      <c r="N12" s="17">
        <f t="shared" si="3"/>
        <v>9900000</v>
      </c>
      <c r="O12" s="12"/>
      <c r="P12" s="12">
        <f t="shared" si="4"/>
        <v>102</v>
      </c>
    </row>
    <row r="13" spans="1:16" hidden="1" x14ac:dyDescent="0.25">
      <c r="A13" s="12" t="s">
        <v>309</v>
      </c>
      <c r="B13" s="36">
        <v>46097</v>
      </c>
      <c r="C13" s="12">
        <f t="shared" si="0"/>
        <v>49</v>
      </c>
      <c r="D13" s="38">
        <f t="shared" si="1"/>
        <v>1</v>
      </c>
      <c r="E13" s="12" t="str">
        <f t="shared" si="2"/>
        <v>049</v>
      </c>
      <c r="F13" s="12"/>
      <c r="G13" s="130" t="s">
        <v>4188</v>
      </c>
      <c r="H13" s="12" t="s">
        <v>4189</v>
      </c>
      <c r="I13" s="12">
        <v>1121111</v>
      </c>
      <c r="J13" s="12">
        <v>131</v>
      </c>
      <c r="K13" s="12" t="s">
        <v>20</v>
      </c>
      <c r="L13" s="12">
        <v>1</v>
      </c>
      <c r="M13" s="17">
        <v>13200000</v>
      </c>
      <c r="N13" s="17">
        <f t="shared" si="3"/>
        <v>13200000</v>
      </c>
      <c r="O13" s="12"/>
      <c r="P13" s="12">
        <f t="shared" si="4"/>
        <v>102</v>
      </c>
    </row>
    <row r="14" spans="1:16" hidden="1" x14ac:dyDescent="0.25">
      <c r="A14" s="12" t="s">
        <v>309</v>
      </c>
      <c r="B14" s="36">
        <v>46097</v>
      </c>
      <c r="C14" s="12">
        <f t="shared" si="0"/>
        <v>50</v>
      </c>
      <c r="D14" s="38">
        <f t="shared" si="1"/>
        <v>1</v>
      </c>
      <c r="E14" s="12" t="str">
        <f t="shared" si="2"/>
        <v>050</v>
      </c>
      <c r="F14" s="12"/>
      <c r="G14" s="130" t="s">
        <v>2018</v>
      </c>
      <c r="H14" s="12" t="s">
        <v>4190</v>
      </c>
      <c r="I14" s="12">
        <v>1121111</v>
      </c>
      <c r="J14" s="12">
        <v>131</v>
      </c>
      <c r="K14" s="12" t="s">
        <v>20</v>
      </c>
      <c r="L14" s="12">
        <v>1</v>
      </c>
      <c r="M14" s="17">
        <v>6600000</v>
      </c>
      <c r="N14" s="17">
        <f t="shared" si="3"/>
        <v>6600000</v>
      </c>
      <c r="O14" s="12"/>
      <c r="P14" s="12">
        <f t="shared" si="4"/>
        <v>161</v>
      </c>
    </row>
    <row r="15" spans="1:16" hidden="1" x14ac:dyDescent="0.25">
      <c r="A15" s="12" t="s">
        <v>309</v>
      </c>
      <c r="B15" s="36">
        <v>46099</v>
      </c>
      <c r="C15" s="12">
        <f t="shared" si="0"/>
        <v>51</v>
      </c>
      <c r="D15" s="38">
        <f t="shared" si="1"/>
        <v>1</v>
      </c>
      <c r="E15" s="12" t="str">
        <f t="shared" si="2"/>
        <v>051</v>
      </c>
      <c r="F15" s="12"/>
      <c r="G15" s="130" t="s">
        <v>4191</v>
      </c>
      <c r="H15" s="12" t="s">
        <v>4192</v>
      </c>
      <c r="I15" s="12">
        <v>1121111</v>
      </c>
      <c r="J15" s="12">
        <v>131</v>
      </c>
      <c r="K15" s="12" t="s">
        <v>20</v>
      </c>
      <c r="L15" s="12">
        <v>1</v>
      </c>
      <c r="M15" s="17">
        <v>8800000</v>
      </c>
      <c r="N15" s="17">
        <f t="shared" si="3"/>
        <v>8800000</v>
      </c>
      <c r="O15" s="12"/>
      <c r="P15" s="12">
        <f t="shared" si="4"/>
        <v>149</v>
      </c>
    </row>
    <row r="16" spans="1:16" hidden="1" x14ac:dyDescent="0.25">
      <c r="A16" s="12" t="s">
        <v>309</v>
      </c>
      <c r="B16" s="36">
        <v>46106</v>
      </c>
      <c r="C16" s="12">
        <f t="shared" si="0"/>
        <v>52</v>
      </c>
      <c r="D16" s="38">
        <f t="shared" si="1"/>
        <v>1</v>
      </c>
      <c r="E16" s="12" t="str">
        <f t="shared" si="2"/>
        <v>052</v>
      </c>
      <c r="F16" s="12"/>
      <c r="G16" s="130" t="s">
        <v>362</v>
      </c>
      <c r="H16" s="12" t="s">
        <v>3561</v>
      </c>
      <c r="I16" s="12">
        <v>1121111</v>
      </c>
      <c r="J16" s="12">
        <v>5154</v>
      </c>
      <c r="K16" s="12" t="s">
        <v>20</v>
      </c>
      <c r="L16" s="12">
        <v>1</v>
      </c>
      <c r="M16" s="17">
        <v>396</v>
      </c>
      <c r="N16" s="17">
        <f t="shared" si="3"/>
        <v>396</v>
      </c>
      <c r="O16" s="12"/>
      <c r="P16" s="12">
        <f t="shared" si="4"/>
        <v>22</v>
      </c>
    </row>
    <row r="17" spans="1:16" hidden="1" x14ac:dyDescent="0.25">
      <c r="A17" s="12" t="s">
        <v>308</v>
      </c>
      <c r="B17" s="36">
        <v>46028</v>
      </c>
      <c r="C17" s="12">
        <f t="shared" si="0"/>
        <v>53</v>
      </c>
      <c r="D17" s="38">
        <f t="shared" si="1"/>
        <v>1</v>
      </c>
      <c r="E17" s="12" t="str">
        <f t="shared" si="2"/>
        <v>053</v>
      </c>
      <c r="F17" s="12"/>
      <c r="G17" s="130" t="s">
        <v>362</v>
      </c>
      <c r="H17" s="12" t="s">
        <v>3032</v>
      </c>
      <c r="I17" s="12">
        <v>1111</v>
      </c>
      <c r="J17" s="12">
        <v>112111</v>
      </c>
      <c r="K17" s="12" t="s">
        <v>20</v>
      </c>
      <c r="L17" s="12">
        <v>1</v>
      </c>
      <c r="M17" s="17">
        <v>1000000</v>
      </c>
      <c r="N17" s="17">
        <f t="shared" si="3"/>
        <v>1000000</v>
      </c>
      <c r="O17" s="12"/>
      <c r="P17" s="12">
        <f t="shared" si="4"/>
        <v>40</v>
      </c>
    </row>
    <row r="18" spans="1:16" hidden="1" x14ac:dyDescent="0.25">
      <c r="A18" s="12" t="s">
        <v>308</v>
      </c>
      <c r="B18" s="36">
        <v>46029</v>
      </c>
      <c r="C18" s="12">
        <f t="shared" si="0"/>
        <v>53</v>
      </c>
      <c r="D18" s="38">
        <f t="shared" si="1"/>
        <v>0</v>
      </c>
      <c r="E18" s="12" t="str">
        <f t="shared" si="2"/>
        <v>053</v>
      </c>
      <c r="F18" s="12"/>
      <c r="G18" s="130" t="s">
        <v>362</v>
      </c>
      <c r="H18" s="12" t="s">
        <v>3032</v>
      </c>
      <c r="I18" s="12">
        <v>1111</v>
      </c>
      <c r="J18" s="12">
        <v>112111</v>
      </c>
      <c r="K18" s="12" t="s">
        <v>20</v>
      </c>
      <c r="L18" s="12">
        <v>1</v>
      </c>
      <c r="M18" s="17">
        <v>3000000</v>
      </c>
      <c r="N18" s="17">
        <f t="shared" si="3"/>
        <v>3000000</v>
      </c>
      <c r="O18" s="12"/>
      <c r="P18" s="12">
        <f t="shared" si="4"/>
        <v>40</v>
      </c>
    </row>
    <row r="19" spans="1:16" hidden="1" x14ac:dyDescent="0.25">
      <c r="A19" s="12" t="s">
        <v>308</v>
      </c>
      <c r="B19" s="36">
        <v>46029</v>
      </c>
      <c r="C19" s="12">
        <f t="shared" si="0"/>
        <v>53</v>
      </c>
      <c r="D19" s="38">
        <f t="shared" si="1"/>
        <v>0</v>
      </c>
      <c r="E19" s="12" t="str">
        <f t="shared" si="2"/>
        <v>053</v>
      </c>
      <c r="F19" s="12"/>
      <c r="G19" s="130" t="s">
        <v>362</v>
      </c>
      <c r="H19" s="12" t="s">
        <v>3032</v>
      </c>
      <c r="I19" s="12">
        <v>1111</v>
      </c>
      <c r="J19" s="12">
        <v>112111</v>
      </c>
      <c r="K19" s="12" t="s">
        <v>20</v>
      </c>
      <c r="L19" s="12">
        <v>1</v>
      </c>
      <c r="M19" s="17">
        <v>3000000</v>
      </c>
      <c r="N19" s="17">
        <f t="shared" si="3"/>
        <v>3000000</v>
      </c>
      <c r="O19" s="12"/>
      <c r="P19" s="12">
        <f t="shared" si="4"/>
        <v>40</v>
      </c>
    </row>
    <row r="20" spans="1:16" hidden="1" x14ac:dyDescent="0.25">
      <c r="A20" s="12" t="s">
        <v>308</v>
      </c>
      <c r="B20" s="36">
        <v>46034</v>
      </c>
      <c r="C20" s="12">
        <f t="shared" si="0"/>
        <v>53</v>
      </c>
      <c r="D20" s="38">
        <f t="shared" si="1"/>
        <v>0</v>
      </c>
      <c r="E20" s="12" t="str">
        <f t="shared" si="2"/>
        <v>053</v>
      </c>
      <c r="F20" s="12"/>
      <c r="G20" s="130" t="s">
        <v>362</v>
      </c>
      <c r="H20" s="12" t="s">
        <v>3032</v>
      </c>
      <c r="I20" s="12">
        <v>1111</v>
      </c>
      <c r="J20" s="12">
        <v>112111</v>
      </c>
      <c r="K20" s="12" t="s">
        <v>20</v>
      </c>
      <c r="L20" s="12">
        <v>1</v>
      </c>
      <c r="M20" s="17">
        <v>10000000</v>
      </c>
      <c r="N20" s="17">
        <f t="shared" si="3"/>
        <v>10000000</v>
      </c>
      <c r="O20" s="12"/>
      <c r="P20" s="12">
        <f t="shared" si="4"/>
        <v>40</v>
      </c>
    </row>
    <row r="21" spans="1:16" hidden="1" x14ac:dyDescent="0.25">
      <c r="A21" s="12" t="s">
        <v>308</v>
      </c>
      <c r="B21" s="36">
        <v>46038</v>
      </c>
      <c r="C21" s="12">
        <f t="shared" si="0"/>
        <v>53</v>
      </c>
      <c r="D21" s="38">
        <f t="shared" si="1"/>
        <v>0</v>
      </c>
      <c r="E21" s="12" t="str">
        <f t="shared" si="2"/>
        <v>053</v>
      </c>
      <c r="F21" s="12"/>
      <c r="G21" s="130" t="s">
        <v>362</v>
      </c>
      <c r="H21" s="12" t="s">
        <v>3032</v>
      </c>
      <c r="I21" s="12">
        <v>1111</v>
      </c>
      <c r="J21" s="12">
        <v>112111</v>
      </c>
      <c r="K21" s="12" t="s">
        <v>20</v>
      </c>
      <c r="L21" s="12">
        <v>1</v>
      </c>
      <c r="M21" s="17">
        <v>3000000</v>
      </c>
      <c r="N21" s="17">
        <f t="shared" si="3"/>
        <v>3000000</v>
      </c>
      <c r="O21" s="12"/>
      <c r="P21" s="12">
        <f t="shared" si="4"/>
        <v>40</v>
      </c>
    </row>
    <row r="22" spans="1:16" hidden="1" x14ac:dyDescent="0.25">
      <c r="A22" s="12" t="s">
        <v>308</v>
      </c>
      <c r="B22" s="36">
        <v>46038</v>
      </c>
      <c r="C22" s="12">
        <f t="shared" si="0"/>
        <v>53</v>
      </c>
      <c r="D22" s="38">
        <f t="shared" si="1"/>
        <v>0</v>
      </c>
      <c r="E22" s="12" t="str">
        <f t="shared" si="2"/>
        <v>053</v>
      </c>
      <c r="F22" s="12"/>
      <c r="G22" s="130" t="s">
        <v>362</v>
      </c>
      <c r="H22" s="12" t="s">
        <v>3032</v>
      </c>
      <c r="I22" s="12">
        <v>1111</v>
      </c>
      <c r="J22" s="12">
        <v>112111</v>
      </c>
      <c r="K22" s="12" t="s">
        <v>20</v>
      </c>
      <c r="L22" s="12">
        <v>1</v>
      </c>
      <c r="M22" s="17">
        <v>5600000</v>
      </c>
      <c r="N22" s="17">
        <f t="shared" si="3"/>
        <v>5600000</v>
      </c>
      <c r="O22" s="12"/>
      <c r="P22" s="12">
        <f t="shared" si="4"/>
        <v>40</v>
      </c>
    </row>
    <row r="23" spans="1:16" hidden="1" x14ac:dyDescent="0.25">
      <c r="A23" s="12" t="s">
        <v>308</v>
      </c>
      <c r="B23" s="36">
        <v>46057</v>
      </c>
      <c r="C23" s="12">
        <f t="shared" si="0"/>
        <v>54</v>
      </c>
      <c r="D23" s="38">
        <f t="shared" si="1"/>
        <v>1</v>
      </c>
      <c r="E23" s="12" t="str">
        <f t="shared" si="2"/>
        <v>054</v>
      </c>
      <c r="F23" s="12"/>
      <c r="G23" s="130" t="s">
        <v>362</v>
      </c>
      <c r="H23" s="12" t="s">
        <v>2612</v>
      </c>
      <c r="I23" s="12">
        <v>3383</v>
      </c>
      <c r="J23" s="12">
        <v>112111</v>
      </c>
      <c r="K23" s="12" t="s">
        <v>20</v>
      </c>
      <c r="L23" s="12">
        <v>1</v>
      </c>
      <c r="M23" s="17">
        <v>690300</v>
      </c>
      <c r="N23" s="17">
        <f t="shared" si="3"/>
        <v>690300</v>
      </c>
      <c r="O23" s="12"/>
      <c r="P23" s="12">
        <f t="shared" si="4"/>
        <v>8</v>
      </c>
    </row>
    <row r="24" spans="1:16" hidden="1" x14ac:dyDescent="0.25">
      <c r="A24" s="12" t="s">
        <v>308</v>
      </c>
      <c r="B24" s="36">
        <v>46057</v>
      </c>
      <c r="C24" s="12">
        <f t="shared" si="0"/>
        <v>55</v>
      </c>
      <c r="D24" s="38">
        <f t="shared" si="1"/>
        <v>1</v>
      </c>
      <c r="E24" s="12" t="str">
        <f t="shared" si="2"/>
        <v>055</v>
      </c>
      <c r="F24" s="12"/>
      <c r="G24" s="130" t="s">
        <v>362</v>
      </c>
      <c r="H24" s="12" t="s">
        <v>4722</v>
      </c>
      <c r="I24" s="12">
        <v>333821</v>
      </c>
      <c r="J24" s="12">
        <v>112111</v>
      </c>
      <c r="K24" s="12" t="s">
        <v>20</v>
      </c>
      <c r="L24" s="12">
        <v>1</v>
      </c>
      <c r="M24" s="17">
        <v>7512552</v>
      </c>
      <c r="N24" s="17">
        <f t="shared" si="3"/>
        <v>7512552</v>
      </c>
      <c r="O24" s="12"/>
      <c r="P24" s="12">
        <f t="shared" si="4"/>
        <v>8</v>
      </c>
    </row>
    <row r="25" spans="1:16" hidden="1" x14ac:dyDescent="0.25">
      <c r="A25" s="12" t="s">
        <v>308</v>
      </c>
      <c r="B25" s="36">
        <v>46062</v>
      </c>
      <c r="C25" s="12">
        <f t="shared" si="0"/>
        <v>56</v>
      </c>
      <c r="D25" s="38">
        <f t="shared" si="1"/>
        <v>1</v>
      </c>
      <c r="E25" s="12" t="str">
        <f t="shared" si="2"/>
        <v>056</v>
      </c>
      <c r="F25" s="12"/>
      <c r="G25" s="130" t="s">
        <v>362</v>
      </c>
      <c r="H25" s="12" t="s">
        <v>3032</v>
      </c>
      <c r="I25" s="12">
        <v>1111</v>
      </c>
      <c r="J25" s="12">
        <v>112111</v>
      </c>
      <c r="K25" s="12" t="s">
        <v>20</v>
      </c>
      <c r="L25" s="12">
        <v>1</v>
      </c>
      <c r="M25" s="17">
        <v>13000000</v>
      </c>
      <c r="N25" s="17">
        <f t="shared" si="3"/>
        <v>13000000</v>
      </c>
      <c r="O25" s="12"/>
      <c r="P25" s="12">
        <f t="shared" si="4"/>
        <v>40</v>
      </c>
    </row>
    <row r="26" spans="1:16" hidden="1" x14ac:dyDescent="0.25">
      <c r="A26" s="12" t="s">
        <v>308</v>
      </c>
      <c r="B26" s="36">
        <v>46068</v>
      </c>
      <c r="C26" s="12">
        <f t="shared" si="0"/>
        <v>56</v>
      </c>
      <c r="D26" s="38">
        <f t="shared" si="1"/>
        <v>0</v>
      </c>
      <c r="E26" s="12" t="str">
        <f t="shared" si="2"/>
        <v>056</v>
      </c>
      <c r="F26" s="12"/>
      <c r="G26" s="130" t="s">
        <v>362</v>
      </c>
      <c r="H26" s="12" t="s">
        <v>3032</v>
      </c>
      <c r="I26" s="12">
        <v>1111</v>
      </c>
      <c r="J26" s="12">
        <v>112111</v>
      </c>
      <c r="K26" s="12" t="s">
        <v>20</v>
      </c>
      <c r="L26" s="12">
        <v>1</v>
      </c>
      <c r="M26" s="17">
        <v>14000000</v>
      </c>
      <c r="N26" s="17">
        <f t="shared" si="3"/>
        <v>14000000</v>
      </c>
      <c r="O26" s="12"/>
      <c r="P26" s="12">
        <f t="shared" si="4"/>
        <v>40</v>
      </c>
    </row>
    <row r="27" spans="1:16" hidden="1" x14ac:dyDescent="0.25">
      <c r="A27" s="12" t="s">
        <v>308</v>
      </c>
      <c r="B27" s="36">
        <v>46090</v>
      </c>
      <c r="C27" s="12">
        <f t="shared" si="0"/>
        <v>56</v>
      </c>
      <c r="D27" s="38">
        <f t="shared" si="1"/>
        <v>0</v>
      </c>
      <c r="E27" s="12" t="str">
        <f t="shared" si="2"/>
        <v>056</v>
      </c>
      <c r="F27" s="12"/>
      <c r="G27" s="130" t="s">
        <v>362</v>
      </c>
      <c r="H27" s="12" t="s">
        <v>3032</v>
      </c>
      <c r="I27" s="12">
        <v>1111</v>
      </c>
      <c r="J27" s="12">
        <v>112111</v>
      </c>
      <c r="K27" s="12" t="s">
        <v>20</v>
      </c>
      <c r="L27" s="12">
        <v>1</v>
      </c>
      <c r="M27" s="17">
        <v>20000000</v>
      </c>
      <c r="N27" s="17">
        <f t="shared" si="3"/>
        <v>20000000</v>
      </c>
      <c r="O27" s="12"/>
      <c r="P27" s="12">
        <f t="shared" si="4"/>
        <v>40</v>
      </c>
    </row>
    <row r="28" spans="1:16" hidden="1" x14ac:dyDescent="0.25">
      <c r="A28" s="12" t="s">
        <v>308</v>
      </c>
      <c r="B28" s="36">
        <v>46090</v>
      </c>
      <c r="C28" s="12">
        <f t="shared" si="0"/>
        <v>56</v>
      </c>
      <c r="D28" s="38">
        <f t="shared" si="1"/>
        <v>0</v>
      </c>
      <c r="E28" s="12" t="str">
        <f t="shared" si="2"/>
        <v>056</v>
      </c>
      <c r="F28" s="12"/>
      <c r="G28" s="130" t="s">
        <v>362</v>
      </c>
      <c r="H28" s="12" t="s">
        <v>3032</v>
      </c>
      <c r="I28" s="12">
        <v>1111</v>
      </c>
      <c r="J28" s="12">
        <v>112111</v>
      </c>
      <c r="K28" s="12" t="s">
        <v>20</v>
      </c>
      <c r="L28" s="12">
        <v>1</v>
      </c>
      <c r="M28" s="17">
        <v>1500000</v>
      </c>
      <c r="N28" s="17">
        <f t="shared" si="3"/>
        <v>1500000</v>
      </c>
      <c r="O28" s="12"/>
      <c r="P28" s="12">
        <f t="shared" si="4"/>
        <v>40</v>
      </c>
    </row>
    <row r="29" spans="1:16" hidden="1" x14ac:dyDescent="0.25">
      <c r="A29" s="12" t="s">
        <v>308</v>
      </c>
      <c r="B29" s="36">
        <v>46090</v>
      </c>
      <c r="C29" s="12">
        <f t="shared" si="0"/>
        <v>56</v>
      </c>
      <c r="D29" s="38">
        <f t="shared" si="1"/>
        <v>0</v>
      </c>
      <c r="E29" s="12" t="str">
        <f t="shared" si="2"/>
        <v>056</v>
      </c>
      <c r="F29" s="12"/>
      <c r="G29" s="130" t="s">
        <v>362</v>
      </c>
      <c r="H29" s="12" t="s">
        <v>3032</v>
      </c>
      <c r="I29" s="12">
        <v>1111</v>
      </c>
      <c r="J29" s="12">
        <v>112111</v>
      </c>
      <c r="K29" s="12" t="s">
        <v>20</v>
      </c>
      <c r="L29" s="12">
        <v>1</v>
      </c>
      <c r="M29" s="17">
        <v>8000000</v>
      </c>
      <c r="N29" s="17">
        <f t="shared" si="3"/>
        <v>8000000</v>
      </c>
      <c r="O29" s="12"/>
      <c r="P29" s="12">
        <f t="shared" si="4"/>
        <v>40</v>
      </c>
    </row>
    <row r="30" spans="1:16" hidden="1" x14ac:dyDescent="0.25">
      <c r="A30" s="12" t="s">
        <v>308</v>
      </c>
      <c r="B30" s="36">
        <v>46097</v>
      </c>
      <c r="C30" s="12">
        <f t="shared" si="0"/>
        <v>56</v>
      </c>
      <c r="D30" s="38">
        <f t="shared" si="1"/>
        <v>0</v>
      </c>
      <c r="E30" s="12" t="str">
        <f t="shared" si="2"/>
        <v>056</v>
      </c>
      <c r="F30" s="12"/>
      <c r="G30" s="130" t="s">
        <v>362</v>
      </c>
      <c r="H30" s="12" t="s">
        <v>3032</v>
      </c>
      <c r="I30" s="12">
        <v>1111</v>
      </c>
      <c r="J30" s="12">
        <v>112111</v>
      </c>
      <c r="K30" s="12" t="s">
        <v>20</v>
      </c>
      <c r="L30" s="12">
        <v>1</v>
      </c>
      <c r="M30" s="17">
        <v>20000000</v>
      </c>
      <c r="N30" s="17">
        <f t="shared" si="3"/>
        <v>20000000</v>
      </c>
      <c r="O30" s="12"/>
      <c r="P30" s="12">
        <f t="shared" si="4"/>
        <v>40</v>
      </c>
    </row>
    <row r="31" spans="1:16" hidden="1" x14ac:dyDescent="0.25">
      <c r="A31" s="12" t="s">
        <v>308</v>
      </c>
      <c r="B31" s="36">
        <v>46100</v>
      </c>
      <c r="C31" s="12">
        <f t="shared" si="0"/>
        <v>56</v>
      </c>
      <c r="D31" s="38">
        <f t="shared" si="1"/>
        <v>0</v>
      </c>
      <c r="E31" s="12" t="str">
        <f t="shared" si="2"/>
        <v>056</v>
      </c>
      <c r="F31" s="12"/>
      <c r="G31" s="130" t="s">
        <v>362</v>
      </c>
      <c r="H31" s="12" t="s">
        <v>3032</v>
      </c>
      <c r="I31" s="12">
        <v>1111</v>
      </c>
      <c r="J31" s="12">
        <v>112111</v>
      </c>
      <c r="K31" s="12" t="s">
        <v>20</v>
      </c>
      <c r="L31" s="12">
        <v>1</v>
      </c>
      <c r="M31" s="17">
        <v>9000000</v>
      </c>
      <c r="N31" s="17">
        <f t="shared" si="3"/>
        <v>9000000</v>
      </c>
      <c r="O31" s="12"/>
      <c r="P31" s="12">
        <f t="shared" si="4"/>
        <v>40</v>
      </c>
    </row>
    <row r="32" spans="1:16" hidden="1" x14ac:dyDescent="0.25">
      <c r="A32" s="12" t="s">
        <v>308</v>
      </c>
      <c r="B32" s="36">
        <v>46106</v>
      </c>
      <c r="C32" s="12">
        <f t="shared" si="0"/>
        <v>56</v>
      </c>
      <c r="D32" s="38">
        <f t="shared" si="1"/>
        <v>0</v>
      </c>
      <c r="E32" s="12" t="str">
        <f t="shared" si="2"/>
        <v>056</v>
      </c>
      <c r="F32" s="12"/>
      <c r="G32" s="130" t="s">
        <v>362</v>
      </c>
      <c r="H32" s="12" t="s">
        <v>3032</v>
      </c>
      <c r="I32" s="12">
        <v>1111</v>
      </c>
      <c r="J32" s="12">
        <v>112111</v>
      </c>
      <c r="K32" s="12" t="s">
        <v>20</v>
      </c>
      <c r="L32" s="12">
        <v>1</v>
      </c>
      <c r="M32" s="17">
        <v>200000</v>
      </c>
      <c r="N32" s="17">
        <f t="shared" si="3"/>
        <v>200000</v>
      </c>
      <c r="O32" s="12"/>
      <c r="P32" s="12">
        <f t="shared" si="4"/>
        <v>40</v>
      </c>
    </row>
    <row r="33" spans="1:16" hidden="1" x14ac:dyDescent="0.25">
      <c r="A33" s="12" t="s">
        <v>310</v>
      </c>
      <c r="B33" s="36">
        <v>46026</v>
      </c>
      <c r="C33" s="12">
        <f t="shared" si="0"/>
        <v>57</v>
      </c>
      <c r="D33" s="38">
        <f t="shared" si="1"/>
        <v>1</v>
      </c>
      <c r="E33" s="12" t="str">
        <f t="shared" si="2"/>
        <v>057</v>
      </c>
      <c r="G33" s="130" t="s">
        <v>35</v>
      </c>
      <c r="H33" s="12" t="s">
        <v>4174</v>
      </c>
      <c r="I33" s="12">
        <v>331</v>
      </c>
      <c r="J33" s="12">
        <v>1111</v>
      </c>
      <c r="K33" s="12" t="s">
        <v>20</v>
      </c>
      <c r="L33" s="12">
        <v>1</v>
      </c>
      <c r="M33" s="17">
        <v>3240000</v>
      </c>
      <c r="N33" s="17">
        <f t="shared" si="3"/>
        <v>3240000</v>
      </c>
      <c r="O33" s="12"/>
      <c r="P33" s="12">
        <f t="shared" si="4"/>
        <v>51</v>
      </c>
    </row>
    <row r="34" spans="1:16" hidden="1" x14ac:dyDescent="0.25">
      <c r="A34" s="12" t="s">
        <v>310</v>
      </c>
      <c r="B34" s="36">
        <v>46052</v>
      </c>
      <c r="C34" s="12">
        <f t="shared" si="0"/>
        <v>58</v>
      </c>
      <c r="D34" s="38">
        <f t="shared" si="1"/>
        <v>1</v>
      </c>
      <c r="E34" s="12" t="str">
        <f t="shared" si="2"/>
        <v>058</v>
      </c>
      <c r="G34" s="130" t="s">
        <v>35</v>
      </c>
      <c r="H34" s="12" t="s">
        <v>4175</v>
      </c>
      <c r="I34" s="12">
        <v>331</v>
      </c>
      <c r="J34" s="12">
        <v>1111</v>
      </c>
      <c r="K34" s="12" t="s">
        <v>20</v>
      </c>
      <c r="L34" s="12">
        <v>1</v>
      </c>
      <c r="M34" s="17">
        <v>3240000</v>
      </c>
      <c r="N34" s="17">
        <f t="shared" si="3"/>
        <v>3240000</v>
      </c>
      <c r="O34" s="12"/>
      <c r="P34" s="12">
        <f t="shared" si="4"/>
        <v>52</v>
      </c>
    </row>
    <row r="35" spans="1:16" hidden="1" x14ac:dyDescent="0.25">
      <c r="A35" s="12" t="s">
        <v>310</v>
      </c>
      <c r="B35" s="36">
        <v>46087</v>
      </c>
      <c r="C35" s="12">
        <f t="shared" si="0"/>
        <v>59</v>
      </c>
      <c r="D35" s="38">
        <f t="shared" si="1"/>
        <v>1</v>
      </c>
      <c r="E35" s="12" t="str">
        <f t="shared" si="2"/>
        <v>059</v>
      </c>
      <c r="G35" s="130" t="s">
        <v>35</v>
      </c>
      <c r="H35" s="12" t="s">
        <v>4176</v>
      </c>
      <c r="I35" s="12">
        <v>331</v>
      </c>
      <c r="J35" s="12">
        <v>1111</v>
      </c>
      <c r="K35" s="12" t="s">
        <v>20</v>
      </c>
      <c r="L35" s="12">
        <v>1</v>
      </c>
      <c r="M35" s="17">
        <v>3240000</v>
      </c>
      <c r="N35" s="17">
        <f t="shared" si="3"/>
        <v>3240000</v>
      </c>
      <c r="O35" s="12"/>
      <c r="P35" s="12">
        <f t="shared" si="4"/>
        <v>52</v>
      </c>
    </row>
    <row r="36" spans="1:16" hidden="1" x14ac:dyDescent="0.25">
      <c r="A36" s="12" t="s">
        <v>18</v>
      </c>
      <c r="B36" s="36">
        <v>46026</v>
      </c>
      <c r="C36" s="12">
        <f t="shared" ref="C36:C66" si="5">C35+D36</f>
        <v>60</v>
      </c>
      <c r="D36" s="38">
        <f t="shared" ref="D36:D66" si="6">IF(H36=H35,0,1)</f>
        <v>1</v>
      </c>
      <c r="E36" s="12" t="str">
        <f t="shared" ref="E36:E66" si="7">TEXT(C36,"000")</f>
        <v>060</v>
      </c>
      <c r="F36" s="12"/>
      <c r="G36" s="130" t="s">
        <v>35</v>
      </c>
      <c r="H36" s="12" t="s">
        <v>2012</v>
      </c>
      <c r="I36" s="12">
        <v>64277</v>
      </c>
      <c r="J36" s="12">
        <v>331</v>
      </c>
      <c r="K36" s="12" t="s">
        <v>20</v>
      </c>
      <c r="L36" s="12">
        <v>1</v>
      </c>
      <c r="M36" s="17">
        <v>3000000</v>
      </c>
      <c r="N36" s="17">
        <f t="shared" ref="N36:N66" si="8">L36*M36</f>
        <v>3000000</v>
      </c>
      <c r="O36" s="12"/>
      <c r="P36" s="12">
        <f t="shared" ref="P36:P66" si="9">LEN(H36)</f>
        <v>40</v>
      </c>
    </row>
    <row r="37" spans="1:16" hidden="1" x14ac:dyDescent="0.25">
      <c r="A37" s="12" t="s">
        <v>18</v>
      </c>
      <c r="B37" s="36">
        <v>46026</v>
      </c>
      <c r="C37" s="12">
        <f t="shared" si="5"/>
        <v>60</v>
      </c>
      <c r="D37" s="38">
        <f t="shared" si="6"/>
        <v>0</v>
      </c>
      <c r="E37" s="12" t="str">
        <f t="shared" si="7"/>
        <v>060</v>
      </c>
      <c r="F37" s="12"/>
      <c r="G37" s="130" t="s">
        <v>35</v>
      </c>
      <c r="H37" s="12" t="s">
        <v>2012</v>
      </c>
      <c r="I37" s="12">
        <v>1331</v>
      </c>
      <c r="J37" s="12">
        <v>331</v>
      </c>
      <c r="K37" s="12" t="s">
        <v>20</v>
      </c>
      <c r="L37" s="12">
        <v>1</v>
      </c>
      <c r="M37" s="17">
        <v>240000</v>
      </c>
      <c r="N37" s="17">
        <f t="shared" si="8"/>
        <v>240000</v>
      </c>
      <c r="O37" s="12"/>
      <c r="P37" s="12">
        <f t="shared" si="9"/>
        <v>40</v>
      </c>
    </row>
    <row r="38" spans="1:16" hidden="1" x14ac:dyDescent="0.25">
      <c r="A38" s="12" t="s">
        <v>18</v>
      </c>
      <c r="B38" s="36">
        <v>46035</v>
      </c>
      <c r="C38" s="12">
        <f t="shared" si="5"/>
        <v>61</v>
      </c>
      <c r="D38" s="38">
        <f t="shared" si="6"/>
        <v>1</v>
      </c>
      <c r="E38" s="12" t="str">
        <f t="shared" si="7"/>
        <v>061</v>
      </c>
      <c r="G38" s="130" t="s">
        <v>4716</v>
      </c>
      <c r="H38" s="12" t="s">
        <v>2015</v>
      </c>
      <c r="I38" s="12">
        <v>131</v>
      </c>
      <c r="J38" s="12">
        <v>5113</v>
      </c>
      <c r="K38" s="12" t="s">
        <v>20</v>
      </c>
      <c r="L38" s="12">
        <v>1</v>
      </c>
      <c r="M38" s="17">
        <v>8064516</v>
      </c>
      <c r="N38" s="17">
        <f t="shared" si="8"/>
        <v>8064516</v>
      </c>
      <c r="O38" s="12"/>
      <c r="P38" s="12">
        <f t="shared" si="9"/>
        <v>145</v>
      </c>
    </row>
    <row r="39" spans="1:16" x14ac:dyDescent="0.25">
      <c r="A39" s="12" t="s">
        <v>18</v>
      </c>
      <c r="B39" s="36">
        <v>46035</v>
      </c>
      <c r="C39" s="12">
        <f t="shared" si="5"/>
        <v>62</v>
      </c>
      <c r="D39" s="38">
        <f t="shared" si="6"/>
        <v>1</v>
      </c>
      <c r="E39" s="12" t="str">
        <f t="shared" si="7"/>
        <v>062</v>
      </c>
      <c r="G39" s="130" t="s">
        <v>4716</v>
      </c>
      <c r="H39" s="12" t="s">
        <v>4177</v>
      </c>
      <c r="I39" s="12">
        <v>333821</v>
      </c>
      <c r="J39" s="12">
        <v>131</v>
      </c>
      <c r="K39" s="12" t="s">
        <v>20</v>
      </c>
      <c r="L39" s="12">
        <v>1</v>
      </c>
      <c r="M39" s="17">
        <v>80645</v>
      </c>
      <c r="N39" s="17">
        <f t="shared" si="8"/>
        <v>80645</v>
      </c>
      <c r="O39" s="12"/>
      <c r="P39" s="12">
        <f t="shared" si="9"/>
        <v>161</v>
      </c>
    </row>
    <row r="40" spans="1:16" hidden="1" x14ac:dyDescent="0.25">
      <c r="A40" s="12" t="s">
        <v>18</v>
      </c>
      <c r="B40" s="36">
        <v>46052</v>
      </c>
      <c r="C40" s="12">
        <f t="shared" si="5"/>
        <v>63</v>
      </c>
      <c r="D40" s="38">
        <f t="shared" si="6"/>
        <v>1</v>
      </c>
      <c r="E40" s="12" t="str">
        <f t="shared" si="7"/>
        <v>063</v>
      </c>
      <c r="G40" s="130" t="s">
        <v>35</v>
      </c>
      <c r="H40" s="12" t="s">
        <v>2013</v>
      </c>
      <c r="I40" s="12">
        <v>64277</v>
      </c>
      <c r="J40" s="12">
        <v>331</v>
      </c>
      <c r="K40" s="12" t="s">
        <v>20</v>
      </c>
      <c r="L40" s="12">
        <v>1</v>
      </c>
      <c r="M40" s="17">
        <v>3000000</v>
      </c>
      <c r="N40" s="17">
        <f t="shared" si="8"/>
        <v>3000000</v>
      </c>
      <c r="O40" s="12"/>
      <c r="P40" s="12">
        <f t="shared" si="9"/>
        <v>41</v>
      </c>
    </row>
    <row r="41" spans="1:16" hidden="1" x14ac:dyDescent="0.25">
      <c r="A41" s="12" t="s">
        <v>18</v>
      </c>
      <c r="B41" s="36">
        <v>46052</v>
      </c>
      <c r="C41" s="12">
        <f t="shared" si="5"/>
        <v>63</v>
      </c>
      <c r="D41" s="38">
        <f t="shared" si="6"/>
        <v>0</v>
      </c>
      <c r="E41" s="12" t="str">
        <f t="shared" si="7"/>
        <v>063</v>
      </c>
      <c r="G41" s="130" t="s">
        <v>35</v>
      </c>
      <c r="H41" s="12" t="s">
        <v>2013</v>
      </c>
      <c r="I41" s="12">
        <v>1331</v>
      </c>
      <c r="J41" s="12">
        <v>331</v>
      </c>
      <c r="K41" s="12" t="s">
        <v>20</v>
      </c>
      <c r="L41" s="12">
        <v>1</v>
      </c>
      <c r="M41" s="17">
        <v>240000</v>
      </c>
      <c r="N41" s="17">
        <f t="shared" si="8"/>
        <v>240000</v>
      </c>
      <c r="O41" s="12"/>
      <c r="P41" s="12">
        <f t="shared" si="9"/>
        <v>41</v>
      </c>
    </row>
    <row r="42" spans="1:16" hidden="1" x14ac:dyDescent="0.25">
      <c r="A42" s="12" t="s">
        <v>18</v>
      </c>
      <c r="B42" s="36">
        <v>46053</v>
      </c>
      <c r="C42" s="12">
        <f t="shared" si="5"/>
        <v>64</v>
      </c>
      <c r="D42" s="38">
        <f t="shared" si="6"/>
        <v>1</v>
      </c>
      <c r="E42" s="12" t="str">
        <f t="shared" si="7"/>
        <v>064</v>
      </c>
      <c r="F42" s="12"/>
      <c r="G42" s="130" t="s">
        <v>71</v>
      </c>
      <c r="H42" s="12" t="s">
        <v>455</v>
      </c>
      <c r="I42" s="12">
        <v>64271</v>
      </c>
      <c r="J42" s="12">
        <v>3383</v>
      </c>
      <c r="K42" s="12" t="s">
        <v>20</v>
      </c>
      <c r="L42" s="12">
        <v>1</v>
      </c>
      <c r="M42" s="17">
        <v>690300</v>
      </c>
      <c r="N42" s="17">
        <f t="shared" si="8"/>
        <v>690300</v>
      </c>
      <c r="O42" s="12"/>
      <c r="P42" s="12">
        <f t="shared" si="9"/>
        <v>30</v>
      </c>
    </row>
    <row r="43" spans="1:16" hidden="1" x14ac:dyDescent="0.25">
      <c r="A43" s="12" t="s">
        <v>18</v>
      </c>
      <c r="B43" s="36">
        <v>46062</v>
      </c>
      <c r="C43" s="12">
        <f t="shared" si="5"/>
        <v>65</v>
      </c>
      <c r="D43" s="38">
        <f t="shared" si="6"/>
        <v>1</v>
      </c>
      <c r="E43" s="12" t="str">
        <f t="shared" si="7"/>
        <v>065</v>
      </c>
      <c r="G43" s="12" t="s">
        <v>2016</v>
      </c>
      <c r="H43" s="12" t="s">
        <v>2017</v>
      </c>
      <c r="I43" s="12">
        <v>131</v>
      </c>
      <c r="J43" s="12">
        <v>5113</v>
      </c>
      <c r="K43" s="12" t="s">
        <v>20</v>
      </c>
      <c r="L43" s="12">
        <v>1</v>
      </c>
      <c r="M43" s="17">
        <v>15555556</v>
      </c>
      <c r="N43" s="17">
        <f t="shared" si="8"/>
        <v>15555556</v>
      </c>
      <c r="O43" s="12"/>
      <c r="P43" s="12">
        <f t="shared" si="9"/>
        <v>99</v>
      </c>
    </row>
    <row r="44" spans="1:16" x14ac:dyDescent="0.25">
      <c r="A44" s="12" t="s">
        <v>18</v>
      </c>
      <c r="B44" s="36">
        <v>46062</v>
      </c>
      <c r="C44" s="12">
        <f t="shared" si="5"/>
        <v>66</v>
      </c>
      <c r="D44" s="38">
        <f t="shared" si="6"/>
        <v>1</v>
      </c>
      <c r="E44" s="12" t="str">
        <f t="shared" si="7"/>
        <v>066</v>
      </c>
      <c r="G44" s="12" t="s">
        <v>2016</v>
      </c>
      <c r="H44" s="12" t="s">
        <v>4178</v>
      </c>
      <c r="I44" s="12">
        <v>333821</v>
      </c>
      <c r="J44" s="12">
        <v>131</v>
      </c>
      <c r="K44" s="12" t="s">
        <v>20</v>
      </c>
      <c r="L44" s="12">
        <v>1</v>
      </c>
      <c r="M44" s="17">
        <v>155556</v>
      </c>
      <c r="N44" s="17">
        <f t="shared" si="8"/>
        <v>155556</v>
      </c>
      <c r="O44" s="12"/>
      <c r="P44" s="12">
        <f t="shared" si="9"/>
        <v>115</v>
      </c>
    </row>
    <row r="45" spans="1:16" hidden="1" x14ac:dyDescent="0.25">
      <c r="A45" s="12" t="s">
        <v>18</v>
      </c>
      <c r="B45" s="36">
        <v>46065</v>
      </c>
      <c r="C45" s="12">
        <f t="shared" si="5"/>
        <v>67</v>
      </c>
      <c r="D45" s="38">
        <f t="shared" si="6"/>
        <v>1</v>
      </c>
      <c r="E45" s="12" t="str">
        <f t="shared" si="7"/>
        <v>067</v>
      </c>
      <c r="G45" s="12" t="s">
        <v>2018</v>
      </c>
      <c r="H45" s="12" t="s">
        <v>2019</v>
      </c>
      <c r="I45" s="12">
        <v>131</v>
      </c>
      <c r="J45" s="12">
        <v>5113</v>
      </c>
      <c r="K45" s="12" t="s">
        <v>20</v>
      </c>
      <c r="L45" s="12">
        <v>1</v>
      </c>
      <c r="M45" s="17">
        <v>6666667</v>
      </c>
      <c r="N45" s="17">
        <f t="shared" si="8"/>
        <v>6666667</v>
      </c>
      <c r="O45" s="12"/>
      <c r="P45" s="12">
        <f t="shared" si="9"/>
        <v>101</v>
      </c>
    </row>
    <row r="46" spans="1:16" hidden="1" x14ac:dyDescent="0.25">
      <c r="A46" s="12" t="s">
        <v>18</v>
      </c>
      <c r="B46" s="36">
        <v>46065</v>
      </c>
      <c r="C46" s="12">
        <f t="shared" si="5"/>
        <v>68</v>
      </c>
      <c r="D46" s="38">
        <f t="shared" si="6"/>
        <v>1</v>
      </c>
      <c r="E46" s="12" t="str">
        <f t="shared" si="7"/>
        <v>068</v>
      </c>
      <c r="G46" s="130" t="s">
        <v>2185</v>
      </c>
      <c r="H46" s="12" t="s">
        <v>4193</v>
      </c>
      <c r="I46" s="12">
        <v>131</v>
      </c>
      <c r="J46" s="12">
        <v>5113</v>
      </c>
      <c r="K46" s="12" t="s">
        <v>20</v>
      </c>
      <c r="L46" s="12">
        <v>1</v>
      </c>
      <c r="M46" s="17">
        <v>12222222</v>
      </c>
      <c r="N46" s="17">
        <f t="shared" si="8"/>
        <v>12222222</v>
      </c>
      <c r="O46" s="12"/>
      <c r="P46" s="12">
        <f t="shared" si="9"/>
        <v>112</v>
      </c>
    </row>
    <row r="47" spans="1:16" x14ac:dyDescent="0.25">
      <c r="A47" s="12" t="s">
        <v>18</v>
      </c>
      <c r="B47" s="36">
        <v>46065</v>
      </c>
      <c r="C47" s="12">
        <f t="shared" si="5"/>
        <v>69</v>
      </c>
      <c r="D47" s="38">
        <f t="shared" si="6"/>
        <v>1</v>
      </c>
      <c r="E47" s="12" t="str">
        <f t="shared" si="7"/>
        <v>069</v>
      </c>
      <c r="G47" s="12" t="s">
        <v>2018</v>
      </c>
      <c r="H47" s="12" t="s">
        <v>4179</v>
      </c>
      <c r="I47" s="12">
        <v>333821</v>
      </c>
      <c r="J47" s="12">
        <v>131</v>
      </c>
      <c r="K47" s="12" t="s">
        <v>20</v>
      </c>
      <c r="L47" s="12">
        <v>1</v>
      </c>
      <c r="M47" s="17">
        <v>66667</v>
      </c>
      <c r="N47" s="17">
        <f t="shared" si="8"/>
        <v>66667</v>
      </c>
      <c r="O47" s="12"/>
      <c r="P47" s="12">
        <f t="shared" si="9"/>
        <v>117</v>
      </c>
    </row>
    <row r="48" spans="1:16" x14ac:dyDescent="0.25">
      <c r="A48" s="12" t="s">
        <v>18</v>
      </c>
      <c r="B48" s="36">
        <v>46065</v>
      </c>
      <c r="C48" s="12">
        <f t="shared" si="5"/>
        <v>70</v>
      </c>
      <c r="D48" s="38">
        <f t="shared" si="6"/>
        <v>1</v>
      </c>
      <c r="E48" s="12" t="str">
        <f t="shared" si="7"/>
        <v>070</v>
      </c>
      <c r="G48" s="130" t="s">
        <v>2185</v>
      </c>
      <c r="H48" s="12" t="s">
        <v>4194</v>
      </c>
      <c r="I48" s="12">
        <v>333821</v>
      </c>
      <c r="J48" s="12">
        <v>131</v>
      </c>
      <c r="K48" s="12" t="s">
        <v>20</v>
      </c>
      <c r="L48" s="12">
        <v>1</v>
      </c>
      <c r="M48" s="17">
        <v>122222</v>
      </c>
      <c r="N48" s="17">
        <f t="shared" si="8"/>
        <v>122222</v>
      </c>
      <c r="O48" s="12"/>
      <c r="P48" s="12">
        <f t="shared" si="9"/>
        <v>128</v>
      </c>
    </row>
    <row r="49" spans="1:16" hidden="1" x14ac:dyDescent="0.25">
      <c r="A49" s="12" t="s">
        <v>18</v>
      </c>
      <c r="B49" s="36">
        <v>46081</v>
      </c>
      <c r="C49" s="12">
        <f t="shared" si="5"/>
        <v>71</v>
      </c>
      <c r="D49" s="38">
        <f t="shared" si="6"/>
        <v>1</v>
      </c>
      <c r="E49" s="12" t="str">
        <f t="shared" si="7"/>
        <v>071</v>
      </c>
      <c r="F49" s="12"/>
      <c r="G49" s="130" t="s">
        <v>71</v>
      </c>
      <c r="H49" s="12" t="s">
        <v>456</v>
      </c>
      <c r="I49" s="12">
        <v>64271</v>
      </c>
      <c r="J49" s="12">
        <v>3383</v>
      </c>
      <c r="K49" s="12" t="s">
        <v>20</v>
      </c>
      <c r="L49" s="12">
        <v>1</v>
      </c>
      <c r="M49" s="17">
        <v>690300</v>
      </c>
      <c r="N49" s="17">
        <f t="shared" si="8"/>
        <v>690300</v>
      </c>
      <c r="O49" s="12"/>
      <c r="P49" s="12">
        <f t="shared" si="9"/>
        <v>30</v>
      </c>
    </row>
    <row r="50" spans="1:16" hidden="1" x14ac:dyDescent="0.25">
      <c r="A50" s="12" t="s">
        <v>18</v>
      </c>
      <c r="B50" s="36">
        <v>46087</v>
      </c>
      <c r="C50" s="12">
        <f t="shared" si="5"/>
        <v>72</v>
      </c>
      <c r="D50" s="38">
        <f t="shared" si="6"/>
        <v>1</v>
      </c>
      <c r="E50" s="12" t="str">
        <f t="shared" si="7"/>
        <v>072</v>
      </c>
      <c r="G50" s="130" t="s">
        <v>4186</v>
      </c>
      <c r="H50" s="12" t="s">
        <v>2020</v>
      </c>
      <c r="I50" s="12">
        <v>131</v>
      </c>
      <c r="J50" s="12">
        <v>5113</v>
      </c>
      <c r="K50" s="12" t="s">
        <v>20</v>
      </c>
      <c r="L50" s="12">
        <v>1</v>
      </c>
      <c r="M50" s="17">
        <v>10000000</v>
      </c>
      <c r="N50" s="17">
        <f t="shared" si="8"/>
        <v>10000000</v>
      </c>
      <c r="O50" s="12"/>
      <c r="P50" s="12">
        <f t="shared" si="9"/>
        <v>97</v>
      </c>
    </row>
    <row r="51" spans="1:16" x14ac:dyDescent="0.25">
      <c r="A51" s="12" t="s">
        <v>18</v>
      </c>
      <c r="B51" s="36">
        <v>46087</v>
      </c>
      <c r="C51" s="12">
        <f t="shared" si="5"/>
        <v>73</v>
      </c>
      <c r="D51" s="38">
        <f t="shared" si="6"/>
        <v>1</v>
      </c>
      <c r="E51" s="12" t="str">
        <f t="shared" si="7"/>
        <v>073</v>
      </c>
      <c r="G51" s="130" t="s">
        <v>4186</v>
      </c>
      <c r="H51" s="12" t="s">
        <v>4180</v>
      </c>
      <c r="I51" s="12">
        <v>333821</v>
      </c>
      <c r="J51" s="12">
        <v>131</v>
      </c>
      <c r="K51" s="12" t="s">
        <v>20</v>
      </c>
      <c r="L51" s="12">
        <v>1</v>
      </c>
      <c r="M51" s="17">
        <v>100000</v>
      </c>
      <c r="N51" s="17">
        <f t="shared" si="8"/>
        <v>100000</v>
      </c>
      <c r="O51" s="12"/>
      <c r="P51" s="12">
        <f t="shared" si="9"/>
        <v>113</v>
      </c>
    </row>
    <row r="52" spans="1:16" hidden="1" x14ac:dyDescent="0.25">
      <c r="A52" s="12" t="s">
        <v>18</v>
      </c>
      <c r="B52" s="36">
        <v>46087</v>
      </c>
      <c r="C52" s="12">
        <f t="shared" si="5"/>
        <v>74</v>
      </c>
      <c r="D52" s="38">
        <f t="shared" si="6"/>
        <v>1</v>
      </c>
      <c r="E52" s="12" t="str">
        <f t="shared" si="7"/>
        <v>074</v>
      </c>
      <c r="G52" s="130" t="s">
        <v>35</v>
      </c>
      <c r="H52" s="12" t="s">
        <v>2014</v>
      </c>
      <c r="I52" s="12">
        <v>64277</v>
      </c>
      <c r="J52" s="12">
        <v>331</v>
      </c>
      <c r="K52" s="12" t="s">
        <v>20</v>
      </c>
      <c r="L52" s="12">
        <v>1</v>
      </c>
      <c r="M52" s="17">
        <v>3000000</v>
      </c>
      <c r="N52" s="17">
        <f t="shared" si="8"/>
        <v>3000000</v>
      </c>
      <c r="O52" s="12"/>
      <c r="P52" s="12">
        <f t="shared" si="9"/>
        <v>41</v>
      </c>
    </row>
    <row r="53" spans="1:16" hidden="1" x14ac:dyDescent="0.25">
      <c r="A53" s="12" t="s">
        <v>18</v>
      </c>
      <c r="B53" s="36">
        <v>46087</v>
      </c>
      <c r="C53" s="12">
        <f t="shared" si="5"/>
        <v>74</v>
      </c>
      <c r="D53" s="38">
        <f t="shared" si="6"/>
        <v>0</v>
      </c>
      <c r="E53" s="12" t="str">
        <f t="shared" si="7"/>
        <v>074</v>
      </c>
      <c r="G53" s="130" t="s">
        <v>35</v>
      </c>
      <c r="H53" s="12" t="s">
        <v>2014</v>
      </c>
      <c r="I53" s="12">
        <v>1331</v>
      </c>
      <c r="J53" s="12">
        <v>331</v>
      </c>
      <c r="K53" s="12" t="s">
        <v>20</v>
      </c>
      <c r="L53" s="12">
        <v>1</v>
      </c>
      <c r="M53" s="17">
        <v>240000</v>
      </c>
      <c r="N53" s="17">
        <f t="shared" si="8"/>
        <v>240000</v>
      </c>
      <c r="O53" s="12"/>
      <c r="P53" s="12">
        <f t="shared" si="9"/>
        <v>41</v>
      </c>
    </row>
    <row r="54" spans="1:16" hidden="1" x14ac:dyDescent="0.25">
      <c r="A54" s="12" t="s">
        <v>18</v>
      </c>
      <c r="B54" s="36">
        <v>46090</v>
      </c>
      <c r="C54" s="12">
        <f t="shared" si="5"/>
        <v>75</v>
      </c>
      <c r="D54" s="38">
        <f t="shared" si="6"/>
        <v>1</v>
      </c>
      <c r="E54" s="12" t="str">
        <f t="shared" si="7"/>
        <v>075</v>
      </c>
      <c r="F54" s="12"/>
      <c r="G54" s="12" t="s">
        <v>2018</v>
      </c>
      <c r="H54" s="12" t="s">
        <v>2021</v>
      </c>
      <c r="I54" s="12">
        <v>131</v>
      </c>
      <c r="J54" s="12">
        <v>5113</v>
      </c>
      <c r="K54" s="12" t="s">
        <v>20</v>
      </c>
      <c r="L54" s="12">
        <v>1</v>
      </c>
      <c r="M54" s="17">
        <v>6666667</v>
      </c>
      <c r="N54" s="17">
        <f t="shared" si="8"/>
        <v>6666667</v>
      </c>
      <c r="O54" s="12"/>
      <c r="P54" s="12">
        <f t="shared" si="9"/>
        <v>156</v>
      </c>
    </row>
    <row r="55" spans="1:16" x14ac:dyDescent="0.25">
      <c r="A55" s="12" t="s">
        <v>18</v>
      </c>
      <c r="B55" s="36">
        <v>46090</v>
      </c>
      <c r="C55" s="12">
        <f t="shared" si="5"/>
        <v>76</v>
      </c>
      <c r="D55" s="38">
        <f t="shared" si="6"/>
        <v>1</v>
      </c>
      <c r="E55" s="12" t="str">
        <f t="shared" si="7"/>
        <v>076</v>
      </c>
      <c r="F55" s="12"/>
      <c r="G55" s="12" t="s">
        <v>2018</v>
      </c>
      <c r="H55" s="12" t="s">
        <v>4181</v>
      </c>
      <c r="I55" s="12">
        <v>333821</v>
      </c>
      <c r="J55" s="12">
        <v>131</v>
      </c>
      <c r="K55" s="12" t="s">
        <v>20</v>
      </c>
      <c r="L55" s="12">
        <v>1</v>
      </c>
      <c r="M55" s="17">
        <v>66667</v>
      </c>
      <c r="N55" s="17">
        <f t="shared" si="8"/>
        <v>66667</v>
      </c>
      <c r="O55" s="12"/>
      <c r="P55" s="12">
        <f t="shared" si="9"/>
        <v>172</v>
      </c>
    </row>
    <row r="56" spans="1:16" hidden="1" x14ac:dyDescent="0.25">
      <c r="A56" s="12" t="s">
        <v>18</v>
      </c>
      <c r="B56" s="36">
        <v>46093</v>
      </c>
      <c r="C56" s="12">
        <f t="shared" si="5"/>
        <v>77</v>
      </c>
      <c r="D56" s="38">
        <f t="shared" si="6"/>
        <v>1</v>
      </c>
      <c r="E56" s="12" t="str">
        <f t="shared" si="7"/>
        <v>077</v>
      </c>
      <c r="F56" s="12"/>
      <c r="G56" s="130" t="s">
        <v>4188</v>
      </c>
      <c r="H56" s="12" t="s">
        <v>2022</v>
      </c>
      <c r="I56" s="12">
        <v>131</v>
      </c>
      <c r="J56" s="12">
        <v>5113</v>
      </c>
      <c r="K56" s="12" t="s">
        <v>20</v>
      </c>
      <c r="L56" s="12">
        <v>1</v>
      </c>
      <c r="M56" s="17">
        <v>13333333</v>
      </c>
      <c r="N56" s="17">
        <f t="shared" si="8"/>
        <v>13333333</v>
      </c>
      <c r="O56" s="12"/>
      <c r="P56" s="12">
        <f t="shared" si="9"/>
        <v>97</v>
      </c>
    </row>
    <row r="57" spans="1:16" x14ac:dyDescent="0.25">
      <c r="A57" s="12" t="s">
        <v>18</v>
      </c>
      <c r="B57" s="36">
        <v>46093</v>
      </c>
      <c r="C57" s="12">
        <f t="shared" si="5"/>
        <v>78</v>
      </c>
      <c r="D57" s="38">
        <f t="shared" si="6"/>
        <v>1</v>
      </c>
      <c r="E57" s="12" t="str">
        <f t="shared" si="7"/>
        <v>078</v>
      </c>
      <c r="F57" s="12"/>
      <c r="G57" s="130" t="s">
        <v>4188</v>
      </c>
      <c r="H57" s="12" t="s">
        <v>4182</v>
      </c>
      <c r="I57" s="12">
        <v>333821</v>
      </c>
      <c r="J57" s="12">
        <v>131</v>
      </c>
      <c r="K57" s="12" t="s">
        <v>20</v>
      </c>
      <c r="L57" s="12">
        <v>1</v>
      </c>
      <c r="M57" s="17">
        <v>133333</v>
      </c>
      <c r="N57" s="17">
        <f t="shared" si="8"/>
        <v>133333</v>
      </c>
      <c r="O57" s="12"/>
      <c r="P57" s="12">
        <f t="shared" si="9"/>
        <v>113</v>
      </c>
    </row>
    <row r="58" spans="1:16" hidden="1" x14ac:dyDescent="0.25">
      <c r="A58" s="12" t="s">
        <v>18</v>
      </c>
      <c r="B58" s="36">
        <v>46099</v>
      </c>
      <c r="C58" s="12">
        <f t="shared" si="5"/>
        <v>79</v>
      </c>
      <c r="D58" s="38">
        <f t="shared" si="6"/>
        <v>1</v>
      </c>
      <c r="E58" s="12" t="str">
        <f t="shared" si="7"/>
        <v>079</v>
      </c>
      <c r="F58" s="12"/>
      <c r="G58" s="130" t="s">
        <v>4191</v>
      </c>
      <c r="H58" s="12" t="s">
        <v>2023</v>
      </c>
      <c r="I58" s="12">
        <v>131</v>
      </c>
      <c r="J58" s="12">
        <v>5113</v>
      </c>
      <c r="K58" s="12" t="s">
        <v>20</v>
      </c>
      <c r="L58" s="12">
        <v>1</v>
      </c>
      <c r="M58" s="17">
        <v>8888889</v>
      </c>
      <c r="N58" s="17">
        <f t="shared" si="8"/>
        <v>8888889</v>
      </c>
      <c r="O58" s="12"/>
      <c r="P58" s="12">
        <f t="shared" si="9"/>
        <v>144</v>
      </c>
    </row>
    <row r="59" spans="1:16" x14ac:dyDescent="0.25">
      <c r="A59" s="12" t="s">
        <v>18</v>
      </c>
      <c r="B59" s="36">
        <v>46099</v>
      </c>
      <c r="C59" s="12">
        <f t="shared" si="5"/>
        <v>80</v>
      </c>
      <c r="D59" s="38">
        <f t="shared" si="6"/>
        <v>1</v>
      </c>
      <c r="E59" s="12" t="str">
        <f t="shared" si="7"/>
        <v>080</v>
      </c>
      <c r="F59" s="12"/>
      <c r="G59" s="130" t="s">
        <v>4191</v>
      </c>
      <c r="H59" s="12" t="s">
        <v>4183</v>
      </c>
      <c r="I59" s="12">
        <v>333821</v>
      </c>
      <c r="J59" s="12">
        <v>131</v>
      </c>
      <c r="K59" s="12" t="s">
        <v>20</v>
      </c>
      <c r="L59" s="12">
        <v>1</v>
      </c>
      <c r="M59" s="17">
        <v>88889</v>
      </c>
      <c r="N59" s="17">
        <f t="shared" si="8"/>
        <v>88889</v>
      </c>
      <c r="O59" s="12"/>
      <c r="P59" s="12">
        <f t="shared" si="9"/>
        <v>160</v>
      </c>
    </row>
    <row r="60" spans="1:16" hidden="1" x14ac:dyDescent="0.25">
      <c r="A60" s="12" t="s">
        <v>18</v>
      </c>
      <c r="B60" s="36">
        <v>46104</v>
      </c>
      <c r="C60" s="12">
        <f t="shared" si="5"/>
        <v>81</v>
      </c>
      <c r="D60" s="38">
        <f t="shared" si="6"/>
        <v>1</v>
      </c>
      <c r="E60" s="12" t="str">
        <f t="shared" si="7"/>
        <v>081</v>
      </c>
      <c r="F60" s="12"/>
      <c r="G60" s="130" t="s">
        <v>42</v>
      </c>
      <c r="H60" s="12" t="s">
        <v>2024</v>
      </c>
      <c r="I60" s="12">
        <v>131</v>
      </c>
      <c r="J60" s="12">
        <v>5113</v>
      </c>
      <c r="K60" s="12" t="s">
        <v>20</v>
      </c>
      <c r="L60" s="12">
        <v>1</v>
      </c>
      <c r="M60" s="17">
        <v>10000000</v>
      </c>
      <c r="N60" s="17">
        <f t="shared" si="8"/>
        <v>10000000</v>
      </c>
      <c r="O60" s="12"/>
      <c r="P60" s="12">
        <f t="shared" si="9"/>
        <v>131</v>
      </c>
    </row>
    <row r="61" spans="1:16" x14ac:dyDescent="0.25">
      <c r="A61" s="12" t="s">
        <v>18</v>
      </c>
      <c r="B61" s="36">
        <v>46104</v>
      </c>
      <c r="C61" s="12">
        <f t="shared" si="5"/>
        <v>82</v>
      </c>
      <c r="D61" s="38">
        <f t="shared" si="6"/>
        <v>1</v>
      </c>
      <c r="E61" s="12" t="str">
        <f t="shared" si="7"/>
        <v>082</v>
      </c>
      <c r="F61" s="12"/>
      <c r="G61" s="130" t="s">
        <v>42</v>
      </c>
      <c r="H61" s="12" t="s">
        <v>4184</v>
      </c>
      <c r="I61" s="12">
        <v>333821</v>
      </c>
      <c r="J61" s="12">
        <v>131</v>
      </c>
      <c r="K61" s="12" t="s">
        <v>20</v>
      </c>
      <c r="L61" s="12">
        <v>1</v>
      </c>
      <c r="M61" s="17">
        <v>100000</v>
      </c>
      <c r="N61" s="17">
        <f t="shared" si="8"/>
        <v>100000</v>
      </c>
      <c r="O61" s="12"/>
      <c r="P61" s="12">
        <f t="shared" si="9"/>
        <v>147</v>
      </c>
    </row>
    <row r="62" spans="1:16" hidden="1" x14ac:dyDescent="0.25">
      <c r="A62" s="12" t="s">
        <v>18</v>
      </c>
      <c r="B62" s="36">
        <v>46105</v>
      </c>
      <c r="C62" s="12">
        <f t="shared" si="5"/>
        <v>83</v>
      </c>
      <c r="D62" s="38">
        <f t="shared" si="6"/>
        <v>1</v>
      </c>
      <c r="E62" s="12" t="str">
        <f t="shared" si="7"/>
        <v>083</v>
      </c>
      <c r="F62" s="12"/>
      <c r="G62" s="130" t="s">
        <v>4718</v>
      </c>
      <c r="H62" s="12" t="s">
        <v>2025</v>
      </c>
      <c r="I62" s="12">
        <v>131</v>
      </c>
      <c r="J62" s="12">
        <v>5113</v>
      </c>
      <c r="K62" s="12" t="s">
        <v>20</v>
      </c>
      <c r="L62" s="12">
        <v>1</v>
      </c>
      <c r="M62" s="17">
        <v>8888889</v>
      </c>
      <c r="N62" s="17">
        <f t="shared" si="8"/>
        <v>8888889</v>
      </c>
      <c r="O62" s="12"/>
      <c r="P62" s="12">
        <f t="shared" si="9"/>
        <v>149</v>
      </c>
    </row>
    <row r="63" spans="1:16" x14ac:dyDescent="0.25">
      <c r="A63" s="12" t="s">
        <v>18</v>
      </c>
      <c r="B63" s="36">
        <v>46105</v>
      </c>
      <c r="C63" s="12">
        <f t="shared" si="5"/>
        <v>84</v>
      </c>
      <c r="D63" s="38">
        <f t="shared" si="6"/>
        <v>1</v>
      </c>
      <c r="E63" s="12" t="str">
        <f t="shared" si="7"/>
        <v>084</v>
      </c>
      <c r="F63" s="12"/>
      <c r="G63" s="130" t="s">
        <v>4718</v>
      </c>
      <c r="H63" s="12" t="s">
        <v>4185</v>
      </c>
      <c r="I63" s="12">
        <v>333821</v>
      </c>
      <c r="J63" s="12">
        <v>131</v>
      </c>
      <c r="K63" s="12" t="s">
        <v>20</v>
      </c>
      <c r="L63" s="12">
        <v>1</v>
      </c>
      <c r="M63" s="17">
        <v>88889</v>
      </c>
      <c r="N63" s="17">
        <f t="shared" si="8"/>
        <v>88889</v>
      </c>
      <c r="O63" s="12"/>
      <c r="P63" s="12">
        <f t="shared" si="9"/>
        <v>165</v>
      </c>
    </row>
    <row r="64" spans="1:16" hidden="1" x14ac:dyDescent="0.25">
      <c r="A64" s="12" t="s">
        <v>18</v>
      </c>
      <c r="B64" s="36">
        <v>46112</v>
      </c>
      <c r="C64" s="12">
        <f t="shared" si="5"/>
        <v>85</v>
      </c>
      <c r="D64" s="38">
        <f t="shared" si="6"/>
        <v>1</v>
      </c>
      <c r="E64" s="12" t="str">
        <f t="shared" si="7"/>
        <v>085</v>
      </c>
      <c r="F64" s="12"/>
      <c r="G64" s="130" t="s">
        <v>71</v>
      </c>
      <c r="H64" s="12" t="s">
        <v>457</v>
      </c>
      <c r="I64" s="12">
        <v>64271</v>
      </c>
      <c r="J64" s="12">
        <v>3383</v>
      </c>
      <c r="K64" s="12" t="s">
        <v>20</v>
      </c>
      <c r="L64" s="12">
        <v>1</v>
      </c>
      <c r="M64" s="17">
        <v>690300</v>
      </c>
      <c r="N64" s="17">
        <f t="shared" si="8"/>
        <v>690300</v>
      </c>
      <c r="O64" s="12"/>
      <c r="P64" s="12">
        <f t="shared" si="9"/>
        <v>30</v>
      </c>
    </row>
    <row r="65" spans="1:16" hidden="1" x14ac:dyDescent="0.25">
      <c r="A65" s="12" t="s">
        <v>18</v>
      </c>
      <c r="B65" s="36">
        <v>46112</v>
      </c>
      <c r="C65" s="12">
        <f t="shared" si="5"/>
        <v>86</v>
      </c>
      <c r="D65" s="38">
        <f t="shared" si="6"/>
        <v>1</v>
      </c>
      <c r="E65" s="12" t="str">
        <f t="shared" si="7"/>
        <v>086</v>
      </c>
      <c r="F65" s="12"/>
      <c r="G65" s="130" t="s">
        <v>4717</v>
      </c>
      <c r="H65" s="12" t="s">
        <v>4195</v>
      </c>
      <c r="I65" s="12">
        <v>131</v>
      </c>
      <c r="J65" s="12">
        <v>5113</v>
      </c>
      <c r="K65" s="12" t="s">
        <v>20</v>
      </c>
      <c r="L65" s="12">
        <v>1</v>
      </c>
      <c r="M65" s="17">
        <v>16666667</v>
      </c>
      <c r="N65" s="17">
        <f t="shared" si="8"/>
        <v>16666667</v>
      </c>
      <c r="O65" s="12"/>
      <c r="P65" s="12">
        <f t="shared" si="9"/>
        <v>156</v>
      </c>
    </row>
    <row r="66" spans="1:16" x14ac:dyDescent="0.25">
      <c r="A66" s="12" t="s">
        <v>18</v>
      </c>
      <c r="B66" s="36">
        <v>46112</v>
      </c>
      <c r="C66" s="12">
        <f t="shared" si="5"/>
        <v>87</v>
      </c>
      <c r="D66" s="38">
        <f t="shared" si="6"/>
        <v>1</v>
      </c>
      <c r="E66" s="12" t="str">
        <f t="shared" si="7"/>
        <v>087</v>
      </c>
      <c r="F66" s="17"/>
      <c r="G66" s="130" t="s">
        <v>4717</v>
      </c>
      <c r="H66" s="12" t="s">
        <v>4196</v>
      </c>
      <c r="I66" s="12">
        <v>333821</v>
      </c>
      <c r="J66" s="12">
        <v>131</v>
      </c>
      <c r="K66" s="12" t="s">
        <v>20</v>
      </c>
      <c r="L66" s="12">
        <v>1</v>
      </c>
      <c r="M66" s="17">
        <v>166667</v>
      </c>
      <c r="N66" s="17">
        <f t="shared" si="8"/>
        <v>166667</v>
      </c>
      <c r="O66" s="12"/>
      <c r="P66" s="12">
        <f t="shared" si="9"/>
        <v>172</v>
      </c>
    </row>
  </sheetData>
  <autoFilter ref="A3:P66" xr:uid="{00000000-0009-0000-0000-00001A000000}">
    <filterColumn colId="8">
      <filters>
        <filter val="333821"/>
      </filters>
    </filterColumn>
    <filterColumn colId="9">
      <filters>
        <filter val="131"/>
      </filters>
    </filterColumn>
    <sortState xmlns:xlrd2="http://schemas.microsoft.com/office/spreadsheetml/2017/richdata2" ref="A4:P66">
      <sortCondition ref="A4:A66"/>
      <sortCondition ref="B4:B66"/>
      <sortCondition ref="H4:H66"/>
    </sortState>
  </autoFilter>
  <mergeCells count="13">
    <mergeCell ref="F1:F2"/>
    <mergeCell ref="A1:A2"/>
    <mergeCell ref="B1:B2"/>
    <mergeCell ref="C1:C2"/>
    <mergeCell ref="D1:D2"/>
    <mergeCell ref="E1:E2"/>
    <mergeCell ref="N1:N2"/>
    <mergeCell ref="G1:G2"/>
    <mergeCell ref="H1:H2"/>
    <mergeCell ref="I1:J1"/>
    <mergeCell ref="K1:K2"/>
    <mergeCell ref="L1:L2"/>
    <mergeCell ref="M1:M2"/>
  </mergeCells>
  <hyperlinks>
    <hyperlink ref="P1" location="Summary!A1" display="Back to summary"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filterMode="1">
    <tabColor rgb="FF92D050"/>
  </sheetPr>
  <dimension ref="A1:P233"/>
  <sheetViews>
    <sheetView topLeftCell="A71" workbookViewId="0">
      <selection activeCell="M71" sqref="M71:M145"/>
    </sheetView>
  </sheetViews>
  <sheetFormatPr defaultRowHeight="15" x14ac:dyDescent="0.25"/>
  <cols>
    <col min="2" max="2" width="10.7109375" bestFit="1" customWidth="1"/>
    <col min="6" max="6" width="9.85546875" bestFit="1" customWidth="1"/>
    <col min="7" max="7" width="14.7109375" bestFit="1" customWidth="1"/>
    <col min="8" max="8" width="27.7109375" customWidth="1"/>
    <col min="13" max="14" width="10.7109375" bestFit="1" customWidth="1"/>
  </cols>
  <sheetData>
    <row r="1" spans="1:16" ht="15.75" thickBot="1" x14ac:dyDescent="0.3">
      <c r="A1" s="247" t="s">
        <v>0</v>
      </c>
      <c r="B1" s="219" t="s">
        <v>1</v>
      </c>
      <c r="C1" s="247" t="s">
        <v>2</v>
      </c>
      <c r="D1" s="249" t="s">
        <v>3</v>
      </c>
      <c r="E1" s="249" t="s">
        <v>4</v>
      </c>
      <c r="F1" s="249" t="s">
        <v>5</v>
      </c>
      <c r="G1" s="241" t="s">
        <v>6</v>
      </c>
      <c r="H1" s="243" t="s">
        <v>7</v>
      </c>
      <c r="I1" s="245" t="s">
        <v>8</v>
      </c>
      <c r="J1" s="246"/>
      <c r="K1" s="247" t="s">
        <v>9</v>
      </c>
      <c r="L1" s="247" t="s">
        <v>10</v>
      </c>
      <c r="M1" s="254" t="s">
        <v>76</v>
      </c>
      <c r="N1" s="254" t="s">
        <v>77</v>
      </c>
      <c r="O1" s="45" t="s">
        <v>78</v>
      </c>
      <c r="P1" s="146" t="s">
        <v>356</v>
      </c>
    </row>
    <row r="2" spans="1:16" ht="15.75" thickBot="1" x14ac:dyDescent="0.3">
      <c r="A2" s="248"/>
      <c r="B2" s="220"/>
      <c r="C2" s="248"/>
      <c r="D2" s="253"/>
      <c r="E2" s="253"/>
      <c r="F2" s="250"/>
      <c r="G2" s="242"/>
      <c r="H2" s="244"/>
      <c r="I2" s="46" t="s">
        <v>13</v>
      </c>
      <c r="J2" s="47" t="s">
        <v>14</v>
      </c>
      <c r="K2" s="248"/>
      <c r="L2" s="248"/>
      <c r="M2" s="255"/>
      <c r="N2" s="255"/>
      <c r="O2" s="38" t="s">
        <v>78</v>
      </c>
      <c r="P2" s="38"/>
    </row>
    <row r="3" spans="1:16" x14ac:dyDescent="0.25">
      <c r="A3" s="48"/>
      <c r="B3" s="81"/>
      <c r="C3" s="48">
        <v>189</v>
      </c>
      <c r="D3" s="49"/>
      <c r="E3" s="49"/>
      <c r="F3" s="49"/>
      <c r="G3" s="51" t="s">
        <v>15</v>
      </c>
      <c r="H3" s="52"/>
      <c r="I3" s="52"/>
      <c r="J3" s="52"/>
      <c r="K3" s="48"/>
      <c r="L3" s="48"/>
      <c r="M3" s="82"/>
      <c r="N3" s="82"/>
      <c r="O3" s="38" t="s">
        <v>16</v>
      </c>
      <c r="P3" s="38" t="s">
        <v>17</v>
      </c>
    </row>
    <row r="4" spans="1:16" hidden="1" x14ac:dyDescent="0.25">
      <c r="A4" s="12" t="s">
        <v>18</v>
      </c>
      <c r="B4" s="36">
        <v>46053</v>
      </c>
      <c r="C4" s="12">
        <f t="shared" ref="C4:C35" si="0">C3+D4</f>
        <v>190</v>
      </c>
      <c r="D4" s="38">
        <f t="shared" ref="D4:D67" si="1">IF(H4=H3,0,1)</f>
        <v>1</v>
      </c>
      <c r="E4" s="12"/>
      <c r="F4" s="12"/>
      <c r="G4" s="12" t="s">
        <v>71</v>
      </c>
      <c r="H4" s="12" t="s">
        <v>455</v>
      </c>
      <c r="I4" s="12">
        <v>64271</v>
      </c>
      <c r="J4" s="12">
        <v>3383</v>
      </c>
      <c r="K4" s="12" t="s">
        <v>20</v>
      </c>
      <c r="L4" s="12">
        <v>1</v>
      </c>
      <c r="M4" s="17">
        <v>690300</v>
      </c>
      <c r="N4" s="17">
        <f t="shared" ref="N4:N35" si="2">L4*M4</f>
        <v>690300</v>
      </c>
      <c r="O4" s="12"/>
      <c r="P4" s="12">
        <f>LEN(H4)</f>
        <v>30</v>
      </c>
    </row>
    <row r="5" spans="1:16" hidden="1" x14ac:dyDescent="0.25">
      <c r="A5" s="12" t="s">
        <v>18</v>
      </c>
      <c r="B5" s="36">
        <v>46081</v>
      </c>
      <c r="C5" s="12">
        <f t="shared" si="0"/>
        <v>191</v>
      </c>
      <c r="D5" s="38">
        <f t="shared" si="1"/>
        <v>1</v>
      </c>
      <c r="E5" s="12"/>
      <c r="F5" s="12"/>
      <c r="G5" s="12" t="s">
        <v>71</v>
      </c>
      <c r="H5" s="12" t="s">
        <v>456</v>
      </c>
      <c r="I5" s="12">
        <v>64271</v>
      </c>
      <c r="J5" s="12">
        <v>3383</v>
      </c>
      <c r="K5" s="12" t="s">
        <v>20</v>
      </c>
      <c r="L5" s="12">
        <v>1</v>
      </c>
      <c r="M5" s="17">
        <v>690300</v>
      </c>
      <c r="N5" s="17">
        <f t="shared" si="2"/>
        <v>690300</v>
      </c>
      <c r="O5" s="12"/>
      <c r="P5" s="12">
        <f t="shared" ref="P5:P68" si="3">LEN(H5)</f>
        <v>30</v>
      </c>
    </row>
    <row r="6" spans="1:16" hidden="1" x14ac:dyDescent="0.25">
      <c r="A6" s="12" t="s">
        <v>18</v>
      </c>
      <c r="B6" s="36">
        <v>46112</v>
      </c>
      <c r="C6" s="12">
        <f t="shared" si="0"/>
        <v>192</v>
      </c>
      <c r="D6" s="38">
        <f t="shared" si="1"/>
        <v>1</v>
      </c>
      <c r="E6" s="12"/>
      <c r="F6" s="12"/>
      <c r="G6" s="12" t="s">
        <v>71</v>
      </c>
      <c r="H6" s="12" t="s">
        <v>457</v>
      </c>
      <c r="I6" s="12">
        <v>64271</v>
      </c>
      <c r="J6" s="12">
        <v>3383</v>
      </c>
      <c r="K6" s="12" t="s">
        <v>20</v>
      </c>
      <c r="L6" s="12">
        <v>1</v>
      </c>
      <c r="M6" s="17">
        <v>690300</v>
      </c>
      <c r="N6" s="17">
        <f t="shared" si="2"/>
        <v>690300</v>
      </c>
      <c r="O6" s="12"/>
      <c r="P6" s="12">
        <f t="shared" si="3"/>
        <v>30</v>
      </c>
    </row>
    <row r="7" spans="1:16" hidden="1" x14ac:dyDescent="0.25">
      <c r="A7" s="12" t="s">
        <v>18</v>
      </c>
      <c r="B7" s="36">
        <v>46025</v>
      </c>
      <c r="C7" s="12">
        <f t="shared" si="0"/>
        <v>193</v>
      </c>
      <c r="D7" s="38">
        <f t="shared" si="1"/>
        <v>1</v>
      </c>
      <c r="E7" s="12"/>
      <c r="F7" s="12"/>
      <c r="G7" s="12" t="s">
        <v>44</v>
      </c>
      <c r="H7" s="12" t="s">
        <v>2026</v>
      </c>
      <c r="I7" s="12">
        <v>64277</v>
      </c>
      <c r="J7" s="12">
        <v>331</v>
      </c>
      <c r="K7" s="12" t="s">
        <v>20</v>
      </c>
      <c r="L7" s="12">
        <v>1</v>
      </c>
      <c r="M7" s="17">
        <v>7621</v>
      </c>
      <c r="N7" s="17">
        <f t="shared" si="2"/>
        <v>7621</v>
      </c>
      <c r="O7" s="12"/>
      <c r="P7" s="12">
        <f t="shared" si="3"/>
        <v>53</v>
      </c>
    </row>
    <row r="8" spans="1:16" hidden="1" x14ac:dyDescent="0.25">
      <c r="A8" s="12" t="s">
        <v>18</v>
      </c>
      <c r="B8" s="36">
        <v>46025</v>
      </c>
      <c r="C8" s="12">
        <f t="shared" si="0"/>
        <v>193</v>
      </c>
      <c r="D8" s="38">
        <f t="shared" si="1"/>
        <v>0</v>
      </c>
      <c r="E8" s="12"/>
      <c r="F8" s="12"/>
      <c r="G8" s="12" t="s">
        <v>44</v>
      </c>
      <c r="H8" s="12" t="s">
        <v>2026</v>
      </c>
      <c r="I8" s="12">
        <v>1331</v>
      </c>
      <c r="J8" s="12">
        <v>331</v>
      </c>
      <c r="K8" s="12" t="s">
        <v>20</v>
      </c>
      <c r="L8" s="12">
        <v>1</v>
      </c>
      <c r="M8" s="17">
        <v>610</v>
      </c>
      <c r="N8" s="17">
        <f t="shared" si="2"/>
        <v>610</v>
      </c>
      <c r="O8" s="12"/>
      <c r="P8" s="12">
        <f t="shared" si="3"/>
        <v>53</v>
      </c>
    </row>
    <row r="9" spans="1:16" hidden="1" x14ac:dyDescent="0.25">
      <c r="A9" s="12" t="s">
        <v>310</v>
      </c>
      <c r="B9" s="36">
        <v>46025</v>
      </c>
      <c r="C9" s="12">
        <f t="shared" si="0"/>
        <v>193</v>
      </c>
      <c r="D9" s="38">
        <f t="shared" si="1"/>
        <v>0</v>
      </c>
      <c r="E9" s="12"/>
      <c r="F9" s="12"/>
      <c r="G9" s="12" t="s">
        <v>44</v>
      </c>
      <c r="H9" s="12" t="s">
        <v>2026</v>
      </c>
      <c r="I9" s="12">
        <v>331</v>
      </c>
      <c r="J9" s="12">
        <v>1111</v>
      </c>
      <c r="K9" s="12" t="s">
        <v>20</v>
      </c>
      <c r="L9" s="12">
        <v>1</v>
      </c>
      <c r="M9" s="17">
        <v>8231</v>
      </c>
      <c r="N9" s="17">
        <f t="shared" si="2"/>
        <v>8231</v>
      </c>
      <c r="O9" s="12"/>
      <c r="P9" s="12">
        <f t="shared" si="3"/>
        <v>53</v>
      </c>
    </row>
    <row r="10" spans="1:16" hidden="1" x14ac:dyDescent="0.25">
      <c r="A10" s="12" t="s">
        <v>18</v>
      </c>
      <c r="B10" s="36">
        <v>46033</v>
      </c>
      <c r="C10" s="12">
        <f t="shared" si="0"/>
        <v>194</v>
      </c>
      <c r="D10" s="38">
        <f t="shared" si="1"/>
        <v>1</v>
      </c>
      <c r="E10" s="12"/>
      <c r="F10" s="12"/>
      <c r="G10" s="12" t="s">
        <v>35</v>
      </c>
      <c r="H10" s="12" t="s">
        <v>2027</v>
      </c>
      <c r="I10" s="12">
        <v>64277</v>
      </c>
      <c r="J10" s="12">
        <v>331</v>
      </c>
      <c r="K10" s="12" t="s">
        <v>20</v>
      </c>
      <c r="L10" s="12">
        <v>1</v>
      </c>
      <c r="M10" s="17">
        <v>2000000</v>
      </c>
      <c r="N10" s="17">
        <f t="shared" si="2"/>
        <v>2000000</v>
      </c>
      <c r="O10" s="12"/>
      <c r="P10" s="12">
        <f t="shared" si="3"/>
        <v>41</v>
      </c>
    </row>
    <row r="11" spans="1:16" hidden="1" x14ac:dyDescent="0.25">
      <c r="A11" s="12" t="s">
        <v>18</v>
      </c>
      <c r="B11" s="36">
        <v>46033</v>
      </c>
      <c r="C11" s="12">
        <f t="shared" si="0"/>
        <v>194</v>
      </c>
      <c r="D11" s="38">
        <f t="shared" si="1"/>
        <v>0</v>
      </c>
      <c r="E11" s="12"/>
      <c r="F11" s="12"/>
      <c r="G11" s="12" t="s">
        <v>35</v>
      </c>
      <c r="H11" s="12" t="s">
        <v>2027</v>
      </c>
      <c r="I11" s="12">
        <v>1331</v>
      </c>
      <c r="J11" s="12">
        <v>331</v>
      </c>
      <c r="K11" s="12" t="s">
        <v>20</v>
      </c>
      <c r="L11" s="12">
        <v>1</v>
      </c>
      <c r="M11" s="17">
        <v>160000</v>
      </c>
      <c r="N11" s="17">
        <f t="shared" si="2"/>
        <v>160000</v>
      </c>
      <c r="O11" s="12"/>
      <c r="P11" s="12">
        <f t="shared" si="3"/>
        <v>41</v>
      </c>
    </row>
    <row r="12" spans="1:16" hidden="1" x14ac:dyDescent="0.25">
      <c r="A12" s="12" t="s">
        <v>310</v>
      </c>
      <c r="B12" s="36">
        <v>46033</v>
      </c>
      <c r="C12" s="12">
        <f t="shared" si="0"/>
        <v>194</v>
      </c>
      <c r="D12" s="38">
        <f t="shared" si="1"/>
        <v>0</v>
      </c>
      <c r="E12" s="12"/>
      <c r="F12" s="12"/>
      <c r="G12" s="12" t="s">
        <v>35</v>
      </c>
      <c r="H12" s="12" t="s">
        <v>2027</v>
      </c>
      <c r="I12" s="12">
        <v>331</v>
      </c>
      <c r="J12" s="12">
        <v>1111</v>
      </c>
      <c r="K12" s="12" t="s">
        <v>20</v>
      </c>
      <c r="L12" s="12">
        <v>1</v>
      </c>
      <c r="M12" s="17">
        <v>2160000</v>
      </c>
      <c r="N12" s="17">
        <f t="shared" si="2"/>
        <v>2160000</v>
      </c>
      <c r="O12" s="12"/>
      <c r="P12" s="12">
        <f t="shared" si="3"/>
        <v>41</v>
      </c>
    </row>
    <row r="13" spans="1:16" hidden="1" x14ac:dyDescent="0.25">
      <c r="A13" s="12" t="s">
        <v>18</v>
      </c>
      <c r="B13" s="36">
        <v>46033</v>
      </c>
      <c r="C13" s="12">
        <f t="shared" si="0"/>
        <v>195</v>
      </c>
      <c r="D13" s="38">
        <f t="shared" si="1"/>
        <v>1</v>
      </c>
      <c r="E13" s="12"/>
      <c r="F13" s="12"/>
      <c r="G13" s="12" t="s">
        <v>35</v>
      </c>
      <c r="H13" s="12" t="s">
        <v>2028</v>
      </c>
      <c r="I13" s="12">
        <v>64277</v>
      </c>
      <c r="J13" s="12">
        <v>331</v>
      </c>
      <c r="K13" s="12" t="s">
        <v>20</v>
      </c>
      <c r="L13" s="12">
        <v>1</v>
      </c>
      <c r="M13" s="17">
        <v>1000000</v>
      </c>
      <c r="N13" s="17">
        <f t="shared" si="2"/>
        <v>1000000</v>
      </c>
      <c r="O13" s="12"/>
      <c r="P13" s="12">
        <f t="shared" si="3"/>
        <v>41</v>
      </c>
    </row>
    <row r="14" spans="1:16" hidden="1" x14ac:dyDescent="0.25">
      <c r="A14" s="12" t="s">
        <v>18</v>
      </c>
      <c r="B14" s="36">
        <v>46033</v>
      </c>
      <c r="C14" s="12">
        <f t="shared" si="0"/>
        <v>195</v>
      </c>
      <c r="D14" s="38">
        <f t="shared" si="1"/>
        <v>0</v>
      </c>
      <c r="E14" s="12"/>
      <c r="F14" s="12"/>
      <c r="G14" s="12" t="s">
        <v>35</v>
      </c>
      <c r="H14" s="12" t="s">
        <v>2028</v>
      </c>
      <c r="I14" s="12">
        <v>1331</v>
      </c>
      <c r="J14" s="12">
        <v>331</v>
      </c>
      <c r="K14" s="12" t="s">
        <v>20</v>
      </c>
      <c r="L14" s="12">
        <v>1</v>
      </c>
      <c r="M14" s="17">
        <v>80000</v>
      </c>
      <c r="N14" s="17">
        <f t="shared" si="2"/>
        <v>80000</v>
      </c>
      <c r="O14" s="12"/>
      <c r="P14" s="12">
        <f t="shared" si="3"/>
        <v>41</v>
      </c>
    </row>
    <row r="15" spans="1:16" hidden="1" x14ac:dyDescent="0.25">
      <c r="A15" s="12" t="s">
        <v>310</v>
      </c>
      <c r="B15" s="36">
        <v>46033</v>
      </c>
      <c r="C15" s="12">
        <f t="shared" si="0"/>
        <v>195</v>
      </c>
      <c r="D15" s="38">
        <f t="shared" si="1"/>
        <v>0</v>
      </c>
      <c r="E15" s="12"/>
      <c r="F15" s="12"/>
      <c r="G15" s="12" t="s">
        <v>35</v>
      </c>
      <c r="H15" s="12" t="s">
        <v>2028</v>
      </c>
      <c r="I15" s="12">
        <v>331</v>
      </c>
      <c r="J15" s="12">
        <v>1111</v>
      </c>
      <c r="K15" s="12" t="s">
        <v>20</v>
      </c>
      <c r="L15" s="12">
        <v>1</v>
      </c>
      <c r="M15" s="17">
        <v>1080000</v>
      </c>
      <c r="N15" s="17">
        <f t="shared" si="2"/>
        <v>1080000</v>
      </c>
      <c r="O15" s="12"/>
      <c r="P15" s="12">
        <f t="shared" si="3"/>
        <v>41</v>
      </c>
    </row>
    <row r="16" spans="1:16" hidden="1" x14ac:dyDescent="0.25">
      <c r="A16" s="12" t="s">
        <v>18</v>
      </c>
      <c r="B16" s="36">
        <v>46037</v>
      </c>
      <c r="C16" s="12">
        <f t="shared" si="0"/>
        <v>196</v>
      </c>
      <c r="D16" s="38">
        <f t="shared" si="1"/>
        <v>1</v>
      </c>
      <c r="E16" s="12"/>
      <c r="F16" s="12"/>
      <c r="G16" s="12" t="s">
        <v>233</v>
      </c>
      <c r="H16" s="12" t="s">
        <v>2029</v>
      </c>
      <c r="I16" s="12">
        <v>64277</v>
      </c>
      <c r="J16" s="12">
        <v>331</v>
      </c>
      <c r="K16" s="12" t="s">
        <v>20</v>
      </c>
      <c r="L16" s="12">
        <v>1</v>
      </c>
      <c r="M16" s="17">
        <v>5871743</v>
      </c>
      <c r="N16" s="17">
        <f t="shared" si="2"/>
        <v>5871743</v>
      </c>
      <c r="O16" s="12"/>
      <c r="P16" s="12">
        <f t="shared" si="3"/>
        <v>28</v>
      </c>
    </row>
    <row r="17" spans="1:16" hidden="1" x14ac:dyDescent="0.25">
      <c r="A17" s="12" t="s">
        <v>18</v>
      </c>
      <c r="B17" s="36">
        <v>46037</v>
      </c>
      <c r="C17" s="12">
        <f t="shared" si="0"/>
        <v>196</v>
      </c>
      <c r="D17" s="38">
        <f t="shared" si="1"/>
        <v>0</v>
      </c>
      <c r="E17" s="12"/>
      <c r="F17" s="12"/>
      <c r="G17" s="12" t="s">
        <v>233</v>
      </c>
      <c r="H17" s="12" t="s">
        <v>2029</v>
      </c>
      <c r="I17" s="12">
        <v>1331</v>
      </c>
      <c r="J17" s="12">
        <v>331</v>
      </c>
      <c r="K17" s="12" t="s">
        <v>20</v>
      </c>
      <c r="L17" s="12">
        <v>1</v>
      </c>
      <c r="M17" s="17">
        <v>0</v>
      </c>
      <c r="N17" s="17">
        <f t="shared" si="2"/>
        <v>0</v>
      </c>
      <c r="O17" s="12"/>
      <c r="P17" s="12">
        <f t="shared" si="3"/>
        <v>28</v>
      </c>
    </row>
    <row r="18" spans="1:16" hidden="1" x14ac:dyDescent="0.25">
      <c r="A18" s="12" t="s">
        <v>310</v>
      </c>
      <c r="B18" s="36">
        <v>46037</v>
      </c>
      <c r="C18" s="12">
        <f t="shared" si="0"/>
        <v>196</v>
      </c>
      <c r="D18" s="38">
        <f t="shared" si="1"/>
        <v>0</v>
      </c>
      <c r="E18" s="12"/>
      <c r="F18" s="12"/>
      <c r="G18" s="12" t="s">
        <v>233</v>
      </c>
      <c r="H18" s="12" t="s">
        <v>2029</v>
      </c>
      <c r="I18" s="12">
        <v>331</v>
      </c>
      <c r="J18" s="12">
        <v>1111</v>
      </c>
      <c r="K18" s="12" t="s">
        <v>20</v>
      </c>
      <c r="L18" s="12">
        <v>1</v>
      </c>
      <c r="M18" s="17">
        <v>5871743</v>
      </c>
      <c r="N18" s="17">
        <f t="shared" si="2"/>
        <v>5871743</v>
      </c>
      <c r="O18" s="12"/>
      <c r="P18" s="12">
        <f t="shared" si="3"/>
        <v>28</v>
      </c>
    </row>
    <row r="19" spans="1:16" hidden="1" x14ac:dyDescent="0.25">
      <c r="A19" s="12" t="s">
        <v>18</v>
      </c>
      <c r="B19" s="36">
        <v>46038</v>
      </c>
      <c r="C19" s="12">
        <f t="shared" si="0"/>
        <v>197</v>
      </c>
      <c r="D19" s="38">
        <f t="shared" si="1"/>
        <v>1</v>
      </c>
      <c r="E19" s="12"/>
      <c r="F19" s="12"/>
      <c r="G19" s="12" t="s">
        <v>990</v>
      </c>
      <c r="H19" s="12" t="s">
        <v>2030</v>
      </c>
      <c r="I19" s="12">
        <v>64277</v>
      </c>
      <c r="J19" s="12">
        <v>331</v>
      </c>
      <c r="K19" s="12" t="s">
        <v>20</v>
      </c>
      <c r="L19" s="12">
        <v>1</v>
      </c>
      <c r="M19" s="17">
        <v>1450925</v>
      </c>
      <c r="N19" s="17">
        <f t="shared" si="2"/>
        <v>1450925</v>
      </c>
      <c r="O19" s="12"/>
      <c r="P19" s="12">
        <f t="shared" si="3"/>
        <v>48</v>
      </c>
    </row>
    <row r="20" spans="1:16" hidden="1" x14ac:dyDescent="0.25">
      <c r="A20" s="12" t="s">
        <v>18</v>
      </c>
      <c r="B20" s="36">
        <v>46038</v>
      </c>
      <c r="C20" s="12">
        <f t="shared" si="0"/>
        <v>197</v>
      </c>
      <c r="D20" s="38">
        <f t="shared" si="1"/>
        <v>0</v>
      </c>
      <c r="E20" s="12"/>
      <c r="F20" s="12"/>
      <c r="G20" s="12" t="s">
        <v>990</v>
      </c>
      <c r="H20" s="12" t="s">
        <v>2030</v>
      </c>
      <c r="I20" s="12">
        <v>1331</v>
      </c>
      <c r="J20" s="12">
        <v>331</v>
      </c>
      <c r="K20" s="12" t="s">
        <v>20</v>
      </c>
      <c r="L20" s="12">
        <v>1</v>
      </c>
      <c r="M20" s="17">
        <v>116075</v>
      </c>
      <c r="N20" s="17">
        <f t="shared" si="2"/>
        <v>116075</v>
      </c>
      <c r="O20" s="12"/>
      <c r="P20" s="12">
        <f t="shared" si="3"/>
        <v>48</v>
      </c>
    </row>
    <row r="21" spans="1:16" hidden="1" x14ac:dyDescent="0.25">
      <c r="A21" s="12" t="s">
        <v>310</v>
      </c>
      <c r="B21" s="36">
        <v>46038</v>
      </c>
      <c r="C21" s="12">
        <f t="shared" si="0"/>
        <v>197</v>
      </c>
      <c r="D21" s="38">
        <f t="shared" si="1"/>
        <v>0</v>
      </c>
      <c r="E21" s="12"/>
      <c r="F21" s="12"/>
      <c r="G21" s="12" t="s">
        <v>990</v>
      </c>
      <c r="H21" s="12" t="s">
        <v>2030</v>
      </c>
      <c r="I21" s="12">
        <v>331</v>
      </c>
      <c r="J21" s="12">
        <v>1111</v>
      </c>
      <c r="K21" s="12" t="s">
        <v>20</v>
      </c>
      <c r="L21" s="12">
        <v>1</v>
      </c>
      <c r="M21" s="17">
        <v>1567000</v>
      </c>
      <c r="N21" s="17">
        <f t="shared" si="2"/>
        <v>1567000</v>
      </c>
      <c r="O21" s="12"/>
      <c r="P21" s="12">
        <f t="shared" si="3"/>
        <v>48</v>
      </c>
    </row>
    <row r="22" spans="1:16" hidden="1" x14ac:dyDescent="0.25">
      <c r="A22" s="12" t="s">
        <v>18</v>
      </c>
      <c r="B22" s="36">
        <v>46052</v>
      </c>
      <c r="C22" s="12">
        <f t="shared" si="0"/>
        <v>198</v>
      </c>
      <c r="D22" s="38">
        <f t="shared" si="1"/>
        <v>1</v>
      </c>
      <c r="E22" s="12"/>
      <c r="F22" s="12"/>
      <c r="G22" s="12" t="s">
        <v>35</v>
      </c>
      <c r="H22" s="12" t="s">
        <v>2031</v>
      </c>
      <c r="I22" s="12">
        <v>64277</v>
      </c>
      <c r="J22" s="12">
        <v>331</v>
      </c>
      <c r="K22" s="12" t="s">
        <v>20</v>
      </c>
      <c r="L22" s="12">
        <v>1</v>
      </c>
      <c r="M22" s="17">
        <v>3000000</v>
      </c>
      <c r="N22" s="17">
        <f t="shared" si="2"/>
        <v>3000000</v>
      </c>
      <c r="O22" s="12"/>
      <c r="P22" s="12">
        <f t="shared" si="3"/>
        <v>41</v>
      </c>
    </row>
    <row r="23" spans="1:16" hidden="1" x14ac:dyDescent="0.25">
      <c r="A23" s="12" t="s">
        <v>18</v>
      </c>
      <c r="B23" s="36">
        <v>46052</v>
      </c>
      <c r="C23" s="12">
        <f t="shared" si="0"/>
        <v>198</v>
      </c>
      <c r="D23" s="38">
        <f t="shared" si="1"/>
        <v>0</v>
      </c>
      <c r="E23" s="12"/>
      <c r="F23" s="12"/>
      <c r="G23" s="12" t="s">
        <v>35</v>
      </c>
      <c r="H23" s="12" t="s">
        <v>2031</v>
      </c>
      <c r="I23" s="12">
        <v>1331</v>
      </c>
      <c r="J23" s="12">
        <v>331</v>
      </c>
      <c r="K23" s="12" t="s">
        <v>20</v>
      </c>
      <c r="L23" s="12">
        <v>1</v>
      </c>
      <c r="M23" s="17">
        <v>240000</v>
      </c>
      <c r="N23" s="17">
        <f t="shared" si="2"/>
        <v>240000</v>
      </c>
      <c r="O23" s="12"/>
      <c r="P23" s="12">
        <f t="shared" si="3"/>
        <v>41</v>
      </c>
    </row>
    <row r="24" spans="1:16" hidden="1" x14ac:dyDescent="0.25">
      <c r="A24" s="12" t="s">
        <v>310</v>
      </c>
      <c r="B24" s="36">
        <v>46052</v>
      </c>
      <c r="C24" s="12">
        <f t="shared" si="0"/>
        <v>198</v>
      </c>
      <c r="D24" s="38">
        <f t="shared" si="1"/>
        <v>0</v>
      </c>
      <c r="E24" s="12"/>
      <c r="F24" s="12"/>
      <c r="G24" s="12" t="s">
        <v>35</v>
      </c>
      <c r="H24" s="12" t="s">
        <v>2031</v>
      </c>
      <c r="I24" s="12">
        <v>331</v>
      </c>
      <c r="J24" s="12">
        <v>1111</v>
      </c>
      <c r="K24" s="12" t="s">
        <v>20</v>
      </c>
      <c r="L24" s="12">
        <v>1</v>
      </c>
      <c r="M24" s="17">
        <v>3240000</v>
      </c>
      <c r="N24" s="17">
        <f t="shared" si="2"/>
        <v>3240000</v>
      </c>
      <c r="O24" s="12"/>
      <c r="P24" s="12">
        <f t="shared" si="3"/>
        <v>41</v>
      </c>
    </row>
    <row r="25" spans="1:16" hidden="1" x14ac:dyDescent="0.25">
      <c r="A25" s="12" t="s">
        <v>18</v>
      </c>
      <c r="B25" s="36">
        <v>46055</v>
      </c>
      <c r="C25" s="12">
        <f t="shared" si="0"/>
        <v>199</v>
      </c>
      <c r="D25" s="38">
        <f t="shared" si="1"/>
        <v>1</v>
      </c>
      <c r="E25" s="12"/>
      <c r="F25" s="12"/>
      <c r="G25" s="12" t="s">
        <v>44</v>
      </c>
      <c r="H25" s="12" t="s">
        <v>2032</v>
      </c>
      <c r="I25" s="12">
        <v>64277</v>
      </c>
      <c r="J25" s="12">
        <v>331</v>
      </c>
      <c r="K25" s="12" t="s">
        <v>20</v>
      </c>
      <c r="L25" s="12">
        <v>1</v>
      </c>
      <c r="M25" s="17">
        <v>23503</v>
      </c>
      <c r="N25" s="17">
        <f t="shared" si="2"/>
        <v>23503</v>
      </c>
      <c r="O25" s="12"/>
      <c r="P25" s="12">
        <f t="shared" si="3"/>
        <v>98</v>
      </c>
    </row>
    <row r="26" spans="1:16" hidden="1" x14ac:dyDescent="0.25">
      <c r="A26" s="12" t="s">
        <v>18</v>
      </c>
      <c r="B26" s="36">
        <v>46055</v>
      </c>
      <c r="C26" s="12">
        <f t="shared" si="0"/>
        <v>199</v>
      </c>
      <c r="D26" s="38">
        <f t="shared" si="1"/>
        <v>0</v>
      </c>
      <c r="E26" s="12"/>
      <c r="F26" s="12"/>
      <c r="G26" s="12" t="s">
        <v>44</v>
      </c>
      <c r="H26" s="12" t="s">
        <v>2032</v>
      </c>
      <c r="I26" s="12">
        <v>1331</v>
      </c>
      <c r="J26" s="12">
        <v>331</v>
      </c>
      <c r="K26" s="12" t="s">
        <v>20</v>
      </c>
      <c r="L26" s="12">
        <v>1</v>
      </c>
      <c r="M26" s="17">
        <v>1878</v>
      </c>
      <c r="N26" s="17">
        <f t="shared" si="2"/>
        <v>1878</v>
      </c>
      <c r="O26" s="12"/>
      <c r="P26" s="12">
        <f t="shared" si="3"/>
        <v>98</v>
      </c>
    </row>
    <row r="27" spans="1:16" hidden="1" x14ac:dyDescent="0.25">
      <c r="A27" s="12" t="s">
        <v>310</v>
      </c>
      <c r="B27" s="36">
        <v>46055</v>
      </c>
      <c r="C27" s="12">
        <f t="shared" si="0"/>
        <v>199</v>
      </c>
      <c r="D27" s="38">
        <f t="shared" si="1"/>
        <v>0</v>
      </c>
      <c r="E27" s="12"/>
      <c r="F27" s="12"/>
      <c r="G27" s="12" t="s">
        <v>44</v>
      </c>
      <c r="H27" s="12" t="s">
        <v>2032</v>
      </c>
      <c r="I27" s="12">
        <v>331</v>
      </c>
      <c r="J27" s="12">
        <v>1111</v>
      </c>
      <c r="K27" s="12" t="s">
        <v>20</v>
      </c>
      <c r="L27" s="12">
        <v>1</v>
      </c>
      <c r="M27" s="17">
        <v>25381</v>
      </c>
      <c r="N27" s="17">
        <f t="shared" si="2"/>
        <v>25381</v>
      </c>
      <c r="O27" s="12"/>
      <c r="P27" s="12">
        <f t="shared" si="3"/>
        <v>98</v>
      </c>
    </row>
    <row r="28" spans="1:16" hidden="1" x14ac:dyDescent="0.25">
      <c r="A28" s="12" t="s">
        <v>18</v>
      </c>
      <c r="B28" s="36">
        <v>46061</v>
      </c>
      <c r="C28" s="12">
        <f t="shared" si="0"/>
        <v>200</v>
      </c>
      <c r="D28" s="38">
        <f t="shared" si="1"/>
        <v>1</v>
      </c>
      <c r="E28" s="12"/>
      <c r="F28" s="12"/>
      <c r="G28" s="12" t="s">
        <v>364</v>
      </c>
      <c r="H28" s="12" t="s">
        <v>2033</v>
      </c>
      <c r="I28" s="12">
        <v>64277</v>
      </c>
      <c r="J28" s="12">
        <v>331</v>
      </c>
      <c r="K28" s="12" t="s">
        <v>20</v>
      </c>
      <c r="L28" s="12">
        <v>1</v>
      </c>
      <c r="M28" s="17">
        <v>347222</v>
      </c>
      <c r="N28" s="17">
        <f t="shared" si="2"/>
        <v>347222</v>
      </c>
      <c r="O28" s="12"/>
      <c r="P28" s="12">
        <f t="shared" si="3"/>
        <v>176</v>
      </c>
    </row>
    <row r="29" spans="1:16" hidden="1" x14ac:dyDescent="0.25">
      <c r="A29" s="12" t="s">
        <v>18</v>
      </c>
      <c r="B29" s="36">
        <v>46061</v>
      </c>
      <c r="C29" s="12">
        <f t="shared" si="0"/>
        <v>200</v>
      </c>
      <c r="D29" s="38">
        <f t="shared" si="1"/>
        <v>0</v>
      </c>
      <c r="E29" s="12"/>
      <c r="F29" s="12"/>
      <c r="G29" s="12" t="s">
        <v>364</v>
      </c>
      <c r="H29" s="12" t="s">
        <v>2033</v>
      </c>
      <c r="I29" s="12">
        <v>1331</v>
      </c>
      <c r="J29" s="12">
        <v>331</v>
      </c>
      <c r="K29" s="12" t="s">
        <v>20</v>
      </c>
      <c r="L29" s="12">
        <v>1</v>
      </c>
      <c r="M29" s="17">
        <v>27778</v>
      </c>
      <c r="N29" s="17">
        <f t="shared" si="2"/>
        <v>27778</v>
      </c>
      <c r="O29" s="12"/>
      <c r="P29" s="12">
        <f t="shared" si="3"/>
        <v>176</v>
      </c>
    </row>
    <row r="30" spans="1:16" hidden="1" x14ac:dyDescent="0.25">
      <c r="A30" s="12" t="s">
        <v>310</v>
      </c>
      <c r="B30" s="36">
        <v>46061</v>
      </c>
      <c r="C30" s="12">
        <f t="shared" si="0"/>
        <v>200</v>
      </c>
      <c r="D30" s="38">
        <f t="shared" si="1"/>
        <v>0</v>
      </c>
      <c r="E30" s="12"/>
      <c r="F30" s="12"/>
      <c r="G30" s="12" t="s">
        <v>364</v>
      </c>
      <c r="H30" s="12" t="s">
        <v>2033</v>
      </c>
      <c r="I30" s="12">
        <v>331</v>
      </c>
      <c r="J30" s="12">
        <v>1111</v>
      </c>
      <c r="K30" s="12" t="s">
        <v>20</v>
      </c>
      <c r="L30" s="12">
        <v>1</v>
      </c>
      <c r="M30" s="17">
        <v>375000</v>
      </c>
      <c r="N30" s="17">
        <f t="shared" si="2"/>
        <v>375000</v>
      </c>
      <c r="O30" s="12"/>
      <c r="P30" s="12">
        <f t="shared" si="3"/>
        <v>176</v>
      </c>
    </row>
    <row r="31" spans="1:16" hidden="1" x14ac:dyDescent="0.25">
      <c r="A31" s="12" t="s">
        <v>18</v>
      </c>
      <c r="B31" s="36">
        <v>46062</v>
      </c>
      <c r="C31" s="12">
        <f t="shared" si="0"/>
        <v>201</v>
      </c>
      <c r="D31" s="38">
        <f t="shared" si="1"/>
        <v>1</v>
      </c>
      <c r="E31" s="12"/>
      <c r="F31" s="12"/>
      <c r="G31" s="12" t="s">
        <v>2034</v>
      </c>
      <c r="H31" s="12" t="s">
        <v>2035</v>
      </c>
      <c r="I31" s="12">
        <v>64277</v>
      </c>
      <c r="J31" s="12">
        <v>331</v>
      </c>
      <c r="K31" s="12" t="s">
        <v>20</v>
      </c>
      <c r="L31" s="12">
        <v>1</v>
      </c>
      <c r="M31" s="17">
        <v>72302</v>
      </c>
      <c r="N31" s="17">
        <f t="shared" si="2"/>
        <v>72302</v>
      </c>
      <c r="O31" s="12"/>
      <c r="P31" s="12">
        <f t="shared" si="3"/>
        <v>104</v>
      </c>
    </row>
    <row r="32" spans="1:16" hidden="1" x14ac:dyDescent="0.25">
      <c r="A32" s="12" t="s">
        <v>18</v>
      </c>
      <c r="B32" s="36">
        <v>46062</v>
      </c>
      <c r="C32" s="12">
        <f t="shared" si="0"/>
        <v>201</v>
      </c>
      <c r="D32" s="38">
        <f t="shared" si="1"/>
        <v>0</v>
      </c>
      <c r="E32" s="12"/>
      <c r="F32" s="12"/>
      <c r="G32" s="12" t="s">
        <v>2034</v>
      </c>
      <c r="H32" s="12" t="s">
        <v>2035</v>
      </c>
      <c r="I32" s="12">
        <v>1331</v>
      </c>
      <c r="J32" s="12">
        <v>331</v>
      </c>
      <c r="K32" s="12" t="s">
        <v>20</v>
      </c>
      <c r="L32" s="12">
        <v>1</v>
      </c>
      <c r="M32" s="17">
        <v>5784</v>
      </c>
      <c r="N32" s="17">
        <f t="shared" si="2"/>
        <v>5784</v>
      </c>
      <c r="O32" s="12"/>
      <c r="P32" s="12">
        <f t="shared" si="3"/>
        <v>104</v>
      </c>
    </row>
    <row r="33" spans="1:16" hidden="1" x14ac:dyDescent="0.25">
      <c r="A33" s="12" t="s">
        <v>310</v>
      </c>
      <c r="B33" s="36">
        <v>46062</v>
      </c>
      <c r="C33" s="12">
        <f t="shared" si="0"/>
        <v>201</v>
      </c>
      <c r="D33" s="38">
        <f t="shared" si="1"/>
        <v>0</v>
      </c>
      <c r="E33" s="12"/>
      <c r="F33" s="12"/>
      <c r="G33" s="12" t="s">
        <v>2034</v>
      </c>
      <c r="H33" s="12" t="s">
        <v>2035</v>
      </c>
      <c r="I33" s="12">
        <v>331</v>
      </c>
      <c r="J33" s="12">
        <v>1111</v>
      </c>
      <c r="K33" s="12" t="s">
        <v>20</v>
      </c>
      <c r="L33" s="12">
        <v>1</v>
      </c>
      <c r="M33" s="17">
        <v>78086</v>
      </c>
      <c r="N33" s="17">
        <f t="shared" si="2"/>
        <v>78086</v>
      </c>
      <c r="O33" s="12"/>
      <c r="P33" s="12">
        <f t="shared" si="3"/>
        <v>104</v>
      </c>
    </row>
    <row r="34" spans="1:16" hidden="1" x14ac:dyDescent="0.25">
      <c r="A34" s="12" t="s">
        <v>18</v>
      </c>
      <c r="B34" s="36">
        <v>46068</v>
      </c>
      <c r="C34" s="12">
        <f t="shared" si="0"/>
        <v>202</v>
      </c>
      <c r="D34" s="38">
        <f t="shared" si="1"/>
        <v>1</v>
      </c>
      <c r="E34" s="12"/>
      <c r="F34" s="12"/>
      <c r="G34" s="12" t="s">
        <v>2036</v>
      </c>
      <c r="H34" s="12" t="s">
        <v>2037</v>
      </c>
      <c r="I34" s="12">
        <v>64277</v>
      </c>
      <c r="J34" s="12">
        <v>331</v>
      </c>
      <c r="K34" s="12" t="s">
        <v>20</v>
      </c>
      <c r="L34" s="12">
        <v>1</v>
      </c>
      <c r="M34" s="17">
        <v>412036</v>
      </c>
      <c r="N34" s="17">
        <f t="shared" si="2"/>
        <v>412036</v>
      </c>
      <c r="O34" s="12"/>
      <c r="P34" s="12">
        <f t="shared" si="3"/>
        <v>95</v>
      </c>
    </row>
    <row r="35" spans="1:16" hidden="1" x14ac:dyDescent="0.25">
      <c r="A35" s="12" t="s">
        <v>18</v>
      </c>
      <c r="B35" s="36">
        <v>46068</v>
      </c>
      <c r="C35" s="12">
        <f t="shared" si="0"/>
        <v>202</v>
      </c>
      <c r="D35" s="38">
        <f t="shared" si="1"/>
        <v>0</v>
      </c>
      <c r="E35" s="12"/>
      <c r="F35" s="12"/>
      <c r="G35" s="12" t="s">
        <v>2036</v>
      </c>
      <c r="H35" s="12" t="s">
        <v>2037</v>
      </c>
      <c r="I35" s="12">
        <v>1331</v>
      </c>
      <c r="J35" s="12">
        <v>331</v>
      </c>
      <c r="K35" s="12" t="s">
        <v>20</v>
      </c>
      <c r="L35" s="12">
        <v>1</v>
      </c>
      <c r="M35" s="17">
        <v>32964</v>
      </c>
      <c r="N35" s="17">
        <f t="shared" si="2"/>
        <v>32964</v>
      </c>
      <c r="O35" s="12"/>
      <c r="P35" s="12">
        <f t="shared" si="3"/>
        <v>95</v>
      </c>
    </row>
    <row r="36" spans="1:16" hidden="1" x14ac:dyDescent="0.25">
      <c r="A36" s="12" t="s">
        <v>310</v>
      </c>
      <c r="B36" s="36">
        <v>46068</v>
      </c>
      <c r="C36" s="12">
        <f t="shared" ref="C36:C68" si="4">C35+D36</f>
        <v>202</v>
      </c>
      <c r="D36" s="38">
        <f t="shared" si="1"/>
        <v>0</v>
      </c>
      <c r="E36" s="12"/>
      <c r="F36" s="12"/>
      <c r="G36" s="12" t="s">
        <v>2036</v>
      </c>
      <c r="H36" s="12" t="s">
        <v>2037</v>
      </c>
      <c r="I36" s="12">
        <v>331</v>
      </c>
      <c r="J36" s="12">
        <v>1111</v>
      </c>
      <c r="K36" s="12" t="s">
        <v>20</v>
      </c>
      <c r="L36" s="12">
        <v>1</v>
      </c>
      <c r="M36" s="17">
        <v>445000</v>
      </c>
      <c r="N36" s="17">
        <f t="shared" ref="N36:N68" si="5">L36*M36</f>
        <v>445000</v>
      </c>
      <c r="O36" s="12"/>
      <c r="P36" s="12">
        <f t="shared" si="3"/>
        <v>95</v>
      </c>
    </row>
    <row r="37" spans="1:16" hidden="1" x14ac:dyDescent="0.25">
      <c r="A37" s="12" t="s">
        <v>18</v>
      </c>
      <c r="B37" s="36">
        <v>46071</v>
      </c>
      <c r="C37" s="12">
        <f t="shared" si="4"/>
        <v>203</v>
      </c>
      <c r="D37" s="38">
        <f t="shared" si="1"/>
        <v>1</v>
      </c>
      <c r="E37" s="12"/>
      <c r="F37" s="12"/>
      <c r="G37" s="12" t="s">
        <v>2038</v>
      </c>
      <c r="H37" s="12" t="s">
        <v>3080</v>
      </c>
      <c r="I37" s="12">
        <v>64277</v>
      </c>
      <c r="J37" s="12">
        <v>331</v>
      </c>
      <c r="K37" s="12" t="s">
        <v>20</v>
      </c>
      <c r="L37" s="12">
        <v>1</v>
      </c>
      <c r="M37" s="17">
        <v>2701650</v>
      </c>
      <c r="N37" s="17">
        <f t="shared" si="5"/>
        <v>2701650</v>
      </c>
      <c r="O37" s="12"/>
      <c r="P37" s="12">
        <f t="shared" si="3"/>
        <v>41</v>
      </c>
    </row>
    <row r="38" spans="1:16" hidden="1" x14ac:dyDescent="0.25">
      <c r="A38" s="12" t="s">
        <v>18</v>
      </c>
      <c r="B38" s="36">
        <v>46071</v>
      </c>
      <c r="C38" s="12">
        <f t="shared" si="4"/>
        <v>203</v>
      </c>
      <c r="D38" s="38">
        <f t="shared" si="1"/>
        <v>0</v>
      </c>
      <c r="E38" s="12"/>
      <c r="F38" s="12"/>
      <c r="G38" s="12" t="s">
        <v>2038</v>
      </c>
      <c r="H38" s="12" t="s">
        <v>3080</v>
      </c>
      <c r="I38" s="12">
        <v>1331</v>
      </c>
      <c r="J38" s="12">
        <v>331</v>
      </c>
      <c r="K38" s="12" t="s">
        <v>20</v>
      </c>
      <c r="L38" s="12">
        <v>1</v>
      </c>
      <c r="M38" s="17">
        <v>218568</v>
      </c>
      <c r="N38" s="17">
        <f t="shared" si="5"/>
        <v>218568</v>
      </c>
      <c r="O38" s="12"/>
      <c r="P38" s="12">
        <f t="shared" si="3"/>
        <v>41</v>
      </c>
    </row>
    <row r="39" spans="1:16" hidden="1" x14ac:dyDescent="0.25">
      <c r="A39" s="12" t="s">
        <v>310</v>
      </c>
      <c r="B39" s="36">
        <v>46071</v>
      </c>
      <c r="C39" s="12">
        <f t="shared" si="4"/>
        <v>204</v>
      </c>
      <c r="D39" s="38">
        <f t="shared" si="1"/>
        <v>1</v>
      </c>
      <c r="E39" s="12"/>
      <c r="F39" s="12"/>
      <c r="G39" s="12" t="s">
        <v>2038</v>
      </c>
      <c r="H39" s="12" t="s">
        <v>3081</v>
      </c>
      <c r="I39" s="12">
        <v>331</v>
      </c>
      <c r="J39" s="12">
        <v>1111</v>
      </c>
      <c r="K39" s="12" t="s">
        <v>20</v>
      </c>
      <c r="L39" s="12">
        <v>1</v>
      </c>
      <c r="M39" s="17">
        <v>2920218</v>
      </c>
      <c r="N39" s="17">
        <f t="shared" si="5"/>
        <v>2920218</v>
      </c>
      <c r="O39" s="12"/>
      <c r="P39" s="12">
        <f t="shared" si="3"/>
        <v>52</v>
      </c>
    </row>
    <row r="40" spans="1:16" hidden="1" x14ac:dyDescent="0.25">
      <c r="A40" s="12" t="s">
        <v>18</v>
      </c>
      <c r="B40" s="36">
        <v>46076</v>
      </c>
      <c r="C40" s="12">
        <f t="shared" si="4"/>
        <v>205</v>
      </c>
      <c r="D40" s="38">
        <f t="shared" si="1"/>
        <v>1</v>
      </c>
      <c r="E40" s="12"/>
      <c r="F40" s="12"/>
      <c r="G40" s="12" t="s">
        <v>37</v>
      </c>
      <c r="H40" s="12" t="s">
        <v>3082</v>
      </c>
      <c r="I40" s="12">
        <v>64277</v>
      </c>
      <c r="J40" s="12">
        <v>331</v>
      </c>
      <c r="K40" s="12" t="s">
        <v>20</v>
      </c>
      <c r="L40" s="12">
        <v>1</v>
      </c>
      <c r="M40" s="17">
        <v>3017407</v>
      </c>
      <c r="N40" s="17">
        <f t="shared" si="5"/>
        <v>3017407</v>
      </c>
      <c r="O40" s="12"/>
      <c r="P40" s="12">
        <f t="shared" si="3"/>
        <v>43</v>
      </c>
    </row>
    <row r="41" spans="1:16" hidden="1" x14ac:dyDescent="0.25">
      <c r="A41" s="12" t="s">
        <v>18</v>
      </c>
      <c r="B41" s="36">
        <v>46076</v>
      </c>
      <c r="C41" s="12">
        <f t="shared" si="4"/>
        <v>205</v>
      </c>
      <c r="D41" s="38">
        <f t="shared" si="1"/>
        <v>0</v>
      </c>
      <c r="E41" s="12"/>
      <c r="F41" s="12"/>
      <c r="G41" s="12" t="s">
        <v>37</v>
      </c>
      <c r="H41" s="12" t="s">
        <v>3082</v>
      </c>
      <c r="I41" s="12">
        <v>1331</v>
      </c>
      <c r="J41" s="12">
        <v>331</v>
      </c>
      <c r="K41" s="12" t="s">
        <v>20</v>
      </c>
      <c r="L41" s="12">
        <v>1</v>
      </c>
      <c r="M41" s="17">
        <v>241393</v>
      </c>
      <c r="N41" s="17">
        <f t="shared" si="5"/>
        <v>241393</v>
      </c>
      <c r="O41" s="12"/>
      <c r="P41" s="12">
        <f t="shared" si="3"/>
        <v>43</v>
      </c>
    </row>
    <row r="42" spans="1:16" hidden="1" x14ac:dyDescent="0.25">
      <c r="A42" s="12" t="s">
        <v>310</v>
      </c>
      <c r="B42" s="36">
        <v>46076</v>
      </c>
      <c r="C42" s="12">
        <f t="shared" si="4"/>
        <v>206</v>
      </c>
      <c r="D42" s="38">
        <f t="shared" si="1"/>
        <v>1</v>
      </c>
      <c r="E42" s="12"/>
      <c r="F42" s="12"/>
      <c r="G42" s="12" t="s">
        <v>37</v>
      </c>
      <c r="H42" s="12" t="s">
        <v>3083</v>
      </c>
      <c r="I42" s="12">
        <v>331</v>
      </c>
      <c r="J42" s="12">
        <v>1111</v>
      </c>
      <c r="K42" s="12" t="s">
        <v>20</v>
      </c>
      <c r="L42" s="12">
        <v>1</v>
      </c>
      <c r="M42" s="17">
        <v>3258800</v>
      </c>
      <c r="N42" s="17">
        <f t="shared" si="5"/>
        <v>3258800</v>
      </c>
      <c r="O42" s="12"/>
      <c r="P42" s="12">
        <f t="shared" si="3"/>
        <v>54</v>
      </c>
    </row>
    <row r="43" spans="1:16" hidden="1" x14ac:dyDescent="0.25">
      <c r="A43" s="12" t="s">
        <v>18</v>
      </c>
      <c r="B43" s="36">
        <v>46078</v>
      </c>
      <c r="C43" s="12">
        <f t="shared" si="4"/>
        <v>207</v>
      </c>
      <c r="D43" s="38">
        <f t="shared" si="1"/>
        <v>1</v>
      </c>
      <c r="E43" s="12"/>
      <c r="F43" s="12"/>
      <c r="G43" s="12" t="s">
        <v>364</v>
      </c>
      <c r="H43" s="12" t="s">
        <v>2039</v>
      </c>
      <c r="I43" s="12">
        <v>64277</v>
      </c>
      <c r="J43" s="12">
        <v>331</v>
      </c>
      <c r="K43" s="12" t="s">
        <v>20</v>
      </c>
      <c r="L43" s="12">
        <v>1</v>
      </c>
      <c r="M43" s="17">
        <v>356481</v>
      </c>
      <c r="N43" s="17">
        <f t="shared" si="5"/>
        <v>356481</v>
      </c>
      <c r="O43" s="12"/>
      <c r="P43" s="12">
        <f t="shared" si="3"/>
        <v>176</v>
      </c>
    </row>
    <row r="44" spans="1:16" hidden="1" x14ac:dyDescent="0.25">
      <c r="A44" s="12" t="s">
        <v>18</v>
      </c>
      <c r="B44" s="36">
        <v>46078</v>
      </c>
      <c r="C44" s="12">
        <f t="shared" si="4"/>
        <v>207</v>
      </c>
      <c r="D44" s="38">
        <f t="shared" si="1"/>
        <v>0</v>
      </c>
      <c r="E44" s="12"/>
      <c r="F44" s="12"/>
      <c r="G44" s="12" t="s">
        <v>364</v>
      </c>
      <c r="H44" s="12" t="s">
        <v>2039</v>
      </c>
      <c r="I44" s="12">
        <v>1331</v>
      </c>
      <c r="J44" s="12">
        <v>331</v>
      </c>
      <c r="K44" s="12" t="s">
        <v>20</v>
      </c>
      <c r="L44" s="12">
        <v>1</v>
      </c>
      <c r="M44" s="17">
        <v>28519</v>
      </c>
      <c r="N44" s="17">
        <f t="shared" si="5"/>
        <v>28519</v>
      </c>
      <c r="O44" s="12"/>
      <c r="P44" s="12">
        <f t="shared" si="3"/>
        <v>176</v>
      </c>
    </row>
    <row r="45" spans="1:16" hidden="1" x14ac:dyDescent="0.25">
      <c r="A45" s="12" t="s">
        <v>310</v>
      </c>
      <c r="B45" s="36">
        <v>46078</v>
      </c>
      <c r="C45" s="12">
        <f t="shared" si="4"/>
        <v>207</v>
      </c>
      <c r="D45" s="38">
        <f t="shared" si="1"/>
        <v>0</v>
      </c>
      <c r="E45" s="12"/>
      <c r="F45" s="12"/>
      <c r="G45" s="12" t="s">
        <v>364</v>
      </c>
      <c r="H45" s="12" t="s">
        <v>2039</v>
      </c>
      <c r="I45" s="12">
        <v>331</v>
      </c>
      <c r="J45" s="12">
        <v>1111</v>
      </c>
      <c r="K45" s="12" t="s">
        <v>20</v>
      </c>
      <c r="L45" s="12">
        <v>1</v>
      </c>
      <c r="M45" s="17">
        <v>385000</v>
      </c>
      <c r="N45" s="17">
        <f t="shared" si="5"/>
        <v>385000</v>
      </c>
      <c r="O45" s="12"/>
      <c r="P45" s="12">
        <f t="shared" si="3"/>
        <v>176</v>
      </c>
    </row>
    <row r="46" spans="1:16" hidden="1" x14ac:dyDescent="0.25">
      <c r="A46" s="12" t="s">
        <v>18</v>
      </c>
      <c r="B46" s="36">
        <v>46083</v>
      </c>
      <c r="C46" s="12">
        <f t="shared" si="4"/>
        <v>208</v>
      </c>
      <c r="D46" s="38">
        <f t="shared" si="1"/>
        <v>1</v>
      </c>
      <c r="E46" s="12"/>
      <c r="F46" s="12"/>
      <c r="G46" s="12" t="s">
        <v>44</v>
      </c>
      <c r="H46" s="12" t="s">
        <v>2040</v>
      </c>
      <c r="I46" s="12">
        <v>64277</v>
      </c>
      <c r="J46" s="12">
        <v>331</v>
      </c>
      <c r="K46" s="12" t="s">
        <v>20</v>
      </c>
      <c r="L46" s="12">
        <v>1</v>
      </c>
      <c r="M46" s="17">
        <v>54031</v>
      </c>
      <c r="N46" s="17">
        <f t="shared" si="5"/>
        <v>54031</v>
      </c>
      <c r="O46" s="12"/>
      <c r="P46" s="12">
        <f t="shared" si="3"/>
        <v>99</v>
      </c>
    </row>
    <row r="47" spans="1:16" hidden="1" x14ac:dyDescent="0.25">
      <c r="A47" s="12" t="s">
        <v>18</v>
      </c>
      <c r="B47" s="36">
        <v>46083</v>
      </c>
      <c r="C47" s="12">
        <f t="shared" si="4"/>
        <v>208</v>
      </c>
      <c r="D47" s="38">
        <f t="shared" si="1"/>
        <v>0</v>
      </c>
      <c r="E47" s="12"/>
      <c r="F47" s="12"/>
      <c r="G47" s="12" t="s">
        <v>44</v>
      </c>
      <c r="H47" s="12" t="s">
        <v>2040</v>
      </c>
      <c r="I47" s="12">
        <v>1331</v>
      </c>
      <c r="J47" s="12">
        <v>331</v>
      </c>
      <c r="K47" s="12" t="s">
        <v>20</v>
      </c>
      <c r="L47" s="12">
        <v>1</v>
      </c>
      <c r="M47" s="17">
        <v>4322</v>
      </c>
      <c r="N47" s="17">
        <f t="shared" si="5"/>
        <v>4322</v>
      </c>
      <c r="O47" s="12"/>
      <c r="P47" s="12">
        <f t="shared" si="3"/>
        <v>99</v>
      </c>
    </row>
    <row r="48" spans="1:16" hidden="1" x14ac:dyDescent="0.25">
      <c r="A48" s="12" t="s">
        <v>310</v>
      </c>
      <c r="B48" s="36">
        <v>46083</v>
      </c>
      <c r="C48" s="12">
        <f t="shared" si="4"/>
        <v>208</v>
      </c>
      <c r="D48" s="38">
        <f t="shared" si="1"/>
        <v>0</v>
      </c>
      <c r="E48" s="12"/>
      <c r="F48" s="12"/>
      <c r="G48" s="12" t="s">
        <v>44</v>
      </c>
      <c r="H48" s="12" t="s">
        <v>2040</v>
      </c>
      <c r="I48" s="12">
        <v>331</v>
      </c>
      <c r="J48" s="12">
        <v>1111</v>
      </c>
      <c r="K48" s="12" t="s">
        <v>20</v>
      </c>
      <c r="L48" s="12">
        <v>1</v>
      </c>
      <c r="M48" s="17">
        <v>58353</v>
      </c>
      <c r="N48" s="17">
        <f t="shared" si="5"/>
        <v>58353</v>
      </c>
      <c r="O48" s="12"/>
      <c r="P48" s="12">
        <f t="shared" si="3"/>
        <v>99</v>
      </c>
    </row>
    <row r="49" spans="1:16" hidden="1" x14ac:dyDescent="0.25">
      <c r="A49" s="12" t="s">
        <v>18</v>
      </c>
      <c r="B49" s="36">
        <v>46083</v>
      </c>
      <c r="C49" s="12">
        <f t="shared" si="4"/>
        <v>209</v>
      </c>
      <c r="D49" s="38">
        <f t="shared" si="1"/>
        <v>1</v>
      </c>
      <c r="E49" s="12"/>
      <c r="F49" s="12"/>
      <c r="G49" s="12" t="s">
        <v>2041</v>
      </c>
      <c r="H49" s="12" t="s">
        <v>2042</v>
      </c>
      <c r="I49" s="12">
        <v>64277</v>
      </c>
      <c r="J49" s="12">
        <v>331</v>
      </c>
      <c r="K49" s="12" t="s">
        <v>20</v>
      </c>
      <c r="L49" s="12">
        <v>1</v>
      </c>
      <c r="M49" s="17">
        <v>368519</v>
      </c>
      <c r="N49" s="17">
        <f t="shared" si="5"/>
        <v>368519</v>
      </c>
      <c r="O49" s="12"/>
      <c r="P49" s="12">
        <f t="shared" si="3"/>
        <v>31</v>
      </c>
    </row>
    <row r="50" spans="1:16" hidden="1" x14ac:dyDescent="0.25">
      <c r="A50" s="12" t="s">
        <v>18</v>
      </c>
      <c r="B50" s="36">
        <v>46083</v>
      </c>
      <c r="C50" s="12">
        <f t="shared" si="4"/>
        <v>209</v>
      </c>
      <c r="D50" s="38">
        <f t="shared" si="1"/>
        <v>0</v>
      </c>
      <c r="E50" s="12"/>
      <c r="F50" s="12"/>
      <c r="G50" s="12" t="s">
        <v>2041</v>
      </c>
      <c r="H50" s="12" t="s">
        <v>2042</v>
      </c>
      <c r="I50" s="12">
        <v>1331</v>
      </c>
      <c r="J50" s="12">
        <v>331</v>
      </c>
      <c r="K50" s="12" t="s">
        <v>20</v>
      </c>
      <c r="L50" s="12">
        <v>1</v>
      </c>
      <c r="M50" s="17">
        <v>29482</v>
      </c>
      <c r="N50" s="17">
        <f t="shared" si="5"/>
        <v>29482</v>
      </c>
      <c r="O50" s="12"/>
      <c r="P50" s="12">
        <f t="shared" si="3"/>
        <v>31</v>
      </c>
    </row>
    <row r="51" spans="1:16" hidden="1" x14ac:dyDescent="0.25">
      <c r="A51" s="12" t="s">
        <v>310</v>
      </c>
      <c r="B51" s="36">
        <v>46083</v>
      </c>
      <c r="C51" s="12">
        <f t="shared" si="4"/>
        <v>209</v>
      </c>
      <c r="D51" s="38">
        <f t="shared" si="1"/>
        <v>0</v>
      </c>
      <c r="E51" s="12"/>
      <c r="F51" s="12"/>
      <c r="G51" s="12" t="s">
        <v>2041</v>
      </c>
      <c r="H51" s="12" t="s">
        <v>2042</v>
      </c>
      <c r="I51" s="12">
        <v>331</v>
      </c>
      <c r="J51" s="12">
        <v>1111</v>
      </c>
      <c r="K51" s="12" t="s">
        <v>20</v>
      </c>
      <c r="L51" s="12">
        <v>1</v>
      </c>
      <c r="M51" s="17">
        <v>398001</v>
      </c>
      <c r="N51" s="17">
        <f t="shared" si="5"/>
        <v>398001</v>
      </c>
      <c r="O51" s="12"/>
      <c r="P51" s="12">
        <f t="shared" si="3"/>
        <v>31</v>
      </c>
    </row>
    <row r="52" spans="1:16" hidden="1" x14ac:dyDescent="0.25">
      <c r="A52" s="12" t="s">
        <v>18</v>
      </c>
      <c r="B52" s="36">
        <v>46084</v>
      </c>
      <c r="C52" s="12">
        <f t="shared" si="4"/>
        <v>210</v>
      </c>
      <c r="D52" s="38">
        <f t="shared" si="1"/>
        <v>1</v>
      </c>
      <c r="E52" s="12"/>
      <c r="F52" s="12"/>
      <c r="G52" s="12" t="s">
        <v>2043</v>
      </c>
      <c r="H52" s="12" t="s">
        <v>2044</v>
      </c>
      <c r="I52" s="12">
        <v>64277</v>
      </c>
      <c r="J52" s="12">
        <v>331</v>
      </c>
      <c r="K52" s="12" t="s">
        <v>20</v>
      </c>
      <c r="L52" s="12">
        <v>1</v>
      </c>
      <c r="M52" s="17">
        <v>1102000</v>
      </c>
      <c r="N52" s="17">
        <f t="shared" si="5"/>
        <v>1102000</v>
      </c>
      <c r="O52" s="12"/>
      <c r="P52" s="12">
        <f t="shared" si="3"/>
        <v>96</v>
      </c>
    </row>
    <row r="53" spans="1:16" hidden="1" x14ac:dyDescent="0.25">
      <c r="A53" s="12" t="s">
        <v>18</v>
      </c>
      <c r="B53" s="36">
        <v>46084</v>
      </c>
      <c r="C53" s="12">
        <f t="shared" si="4"/>
        <v>210</v>
      </c>
      <c r="D53" s="38">
        <f t="shared" si="1"/>
        <v>0</v>
      </c>
      <c r="E53" s="12"/>
      <c r="F53" s="12"/>
      <c r="G53" s="12" t="s">
        <v>2043</v>
      </c>
      <c r="H53" s="12" t="s">
        <v>2044</v>
      </c>
      <c r="I53" s="12">
        <v>1331</v>
      </c>
      <c r="J53" s="12">
        <v>331</v>
      </c>
      <c r="K53" s="12" t="s">
        <v>20</v>
      </c>
      <c r="L53" s="12">
        <v>1</v>
      </c>
      <c r="M53" s="17">
        <v>88160</v>
      </c>
      <c r="N53" s="17">
        <f t="shared" si="5"/>
        <v>88160</v>
      </c>
      <c r="O53" s="12"/>
      <c r="P53" s="12">
        <f t="shared" si="3"/>
        <v>96</v>
      </c>
    </row>
    <row r="54" spans="1:16" hidden="1" x14ac:dyDescent="0.25">
      <c r="A54" s="12" t="s">
        <v>310</v>
      </c>
      <c r="B54" s="36">
        <v>46084</v>
      </c>
      <c r="C54" s="12">
        <f t="shared" si="4"/>
        <v>210</v>
      </c>
      <c r="D54" s="38">
        <f t="shared" si="1"/>
        <v>0</v>
      </c>
      <c r="E54" s="12"/>
      <c r="F54" s="12"/>
      <c r="G54" s="12" t="s">
        <v>2043</v>
      </c>
      <c r="H54" s="12" t="s">
        <v>2044</v>
      </c>
      <c r="I54" s="12">
        <v>331</v>
      </c>
      <c r="J54" s="12">
        <v>1111</v>
      </c>
      <c r="K54" s="12" t="s">
        <v>20</v>
      </c>
      <c r="L54" s="12">
        <v>1</v>
      </c>
      <c r="M54" s="17">
        <v>1190160</v>
      </c>
      <c r="N54" s="17">
        <f t="shared" si="5"/>
        <v>1190160</v>
      </c>
      <c r="O54" s="12"/>
      <c r="P54" s="12">
        <f t="shared" si="3"/>
        <v>96</v>
      </c>
    </row>
    <row r="55" spans="1:16" hidden="1" x14ac:dyDescent="0.25">
      <c r="A55" s="12" t="s">
        <v>18</v>
      </c>
      <c r="B55" s="36">
        <v>46090</v>
      </c>
      <c r="C55" s="12">
        <f t="shared" si="4"/>
        <v>211</v>
      </c>
      <c r="D55" s="38">
        <f t="shared" si="1"/>
        <v>1</v>
      </c>
      <c r="E55" s="12"/>
      <c r="F55" s="12"/>
      <c r="G55" s="12" t="s">
        <v>35</v>
      </c>
      <c r="H55" s="12" t="s">
        <v>2045</v>
      </c>
      <c r="I55" s="12">
        <v>64277</v>
      </c>
      <c r="J55" s="12">
        <v>331</v>
      </c>
      <c r="K55" s="12" t="s">
        <v>20</v>
      </c>
      <c r="L55" s="12">
        <v>1</v>
      </c>
      <c r="M55" s="17">
        <v>3000000</v>
      </c>
      <c r="N55" s="17">
        <f t="shared" si="5"/>
        <v>3000000</v>
      </c>
      <c r="O55" s="12"/>
      <c r="P55" s="12">
        <f t="shared" si="3"/>
        <v>41</v>
      </c>
    </row>
    <row r="56" spans="1:16" hidden="1" x14ac:dyDescent="0.25">
      <c r="A56" s="12" t="s">
        <v>18</v>
      </c>
      <c r="B56" s="36">
        <v>46090</v>
      </c>
      <c r="C56" s="12">
        <f t="shared" si="4"/>
        <v>211</v>
      </c>
      <c r="D56" s="38">
        <f t="shared" si="1"/>
        <v>0</v>
      </c>
      <c r="E56" s="12"/>
      <c r="F56" s="12"/>
      <c r="G56" s="12" t="s">
        <v>35</v>
      </c>
      <c r="H56" s="12" t="s">
        <v>2045</v>
      </c>
      <c r="I56" s="12">
        <v>1331</v>
      </c>
      <c r="J56" s="12">
        <v>331</v>
      </c>
      <c r="K56" s="12" t="s">
        <v>20</v>
      </c>
      <c r="L56" s="12">
        <v>1</v>
      </c>
      <c r="M56" s="17">
        <v>240000</v>
      </c>
      <c r="N56" s="17">
        <f t="shared" si="5"/>
        <v>240000</v>
      </c>
      <c r="O56" s="12"/>
      <c r="P56" s="12">
        <f t="shared" si="3"/>
        <v>41</v>
      </c>
    </row>
    <row r="57" spans="1:16" hidden="1" x14ac:dyDescent="0.25">
      <c r="A57" s="12" t="s">
        <v>310</v>
      </c>
      <c r="B57" s="36">
        <v>46090</v>
      </c>
      <c r="C57" s="12">
        <f t="shared" si="4"/>
        <v>211</v>
      </c>
      <c r="D57" s="38">
        <f t="shared" si="1"/>
        <v>0</v>
      </c>
      <c r="E57" s="12"/>
      <c r="F57" s="12"/>
      <c r="G57" s="12" t="s">
        <v>35</v>
      </c>
      <c r="H57" s="12" t="s">
        <v>2045</v>
      </c>
      <c r="I57" s="12">
        <v>331</v>
      </c>
      <c r="J57" s="12">
        <v>1111</v>
      </c>
      <c r="K57" s="12" t="s">
        <v>20</v>
      </c>
      <c r="L57" s="12">
        <v>1</v>
      </c>
      <c r="M57" s="17">
        <v>3240000</v>
      </c>
      <c r="N57" s="17">
        <f t="shared" si="5"/>
        <v>3240000</v>
      </c>
      <c r="O57" s="12"/>
      <c r="P57" s="12">
        <f t="shared" si="3"/>
        <v>41</v>
      </c>
    </row>
    <row r="58" spans="1:16" hidden="1" x14ac:dyDescent="0.25">
      <c r="A58" s="12" t="s">
        <v>18</v>
      </c>
      <c r="B58" s="36">
        <v>46093</v>
      </c>
      <c r="C58" s="12">
        <f t="shared" si="4"/>
        <v>212</v>
      </c>
      <c r="D58" s="38">
        <f t="shared" si="1"/>
        <v>1</v>
      </c>
      <c r="E58" s="12"/>
      <c r="F58" s="12"/>
      <c r="G58" s="12" t="s">
        <v>1191</v>
      </c>
      <c r="H58" s="12" t="s">
        <v>2046</v>
      </c>
      <c r="I58" s="12">
        <v>64277</v>
      </c>
      <c r="J58" s="12">
        <v>331</v>
      </c>
      <c r="K58" s="12" t="s">
        <v>20</v>
      </c>
      <c r="L58" s="12">
        <v>1</v>
      </c>
      <c r="M58" s="17">
        <v>814816</v>
      </c>
      <c r="N58" s="17">
        <f t="shared" si="5"/>
        <v>814816</v>
      </c>
      <c r="O58" s="12"/>
      <c r="P58" s="12">
        <f t="shared" si="3"/>
        <v>105</v>
      </c>
    </row>
    <row r="59" spans="1:16" hidden="1" x14ac:dyDescent="0.25">
      <c r="A59" s="12" t="s">
        <v>18</v>
      </c>
      <c r="B59" s="36">
        <v>46093</v>
      </c>
      <c r="C59" s="12">
        <f t="shared" si="4"/>
        <v>212</v>
      </c>
      <c r="D59" s="38">
        <f t="shared" si="1"/>
        <v>0</v>
      </c>
      <c r="E59" s="12"/>
      <c r="F59" s="12"/>
      <c r="G59" s="12" t="s">
        <v>1191</v>
      </c>
      <c r="H59" s="12" t="s">
        <v>2046</v>
      </c>
      <c r="I59" s="12">
        <v>1331</v>
      </c>
      <c r="J59" s="12">
        <v>331</v>
      </c>
      <c r="K59" s="12" t="s">
        <v>20</v>
      </c>
      <c r="L59" s="12">
        <v>1</v>
      </c>
      <c r="M59" s="17">
        <v>65184</v>
      </c>
      <c r="N59" s="17">
        <f t="shared" si="5"/>
        <v>65184</v>
      </c>
      <c r="O59" s="12"/>
      <c r="P59" s="12">
        <f t="shared" si="3"/>
        <v>105</v>
      </c>
    </row>
    <row r="60" spans="1:16" hidden="1" x14ac:dyDescent="0.25">
      <c r="A60" s="12" t="s">
        <v>310</v>
      </c>
      <c r="B60" s="36">
        <v>46093</v>
      </c>
      <c r="C60" s="12">
        <f t="shared" si="4"/>
        <v>212</v>
      </c>
      <c r="D60" s="38">
        <f t="shared" si="1"/>
        <v>0</v>
      </c>
      <c r="E60" s="12"/>
      <c r="F60" s="12"/>
      <c r="G60" s="12" t="s">
        <v>1191</v>
      </c>
      <c r="H60" s="12" t="s">
        <v>2046</v>
      </c>
      <c r="I60" s="12">
        <v>331</v>
      </c>
      <c r="J60" s="12">
        <v>1111</v>
      </c>
      <c r="K60" s="12" t="s">
        <v>20</v>
      </c>
      <c r="L60" s="12">
        <v>1</v>
      </c>
      <c r="M60" s="17">
        <v>880000</v>
      </c>
      <c r="N60" s="17">
        <f t="shared" si="5"/>
        <v>880000</v>
      </c>
      <c r="O60" s="12"/>
      <c r="P60" s="12">
        <f t="shared" si="3"/>
        <v>105</v>
      </c>
    </row>
    <row r="61" spans="1:16" hidden="1" x14ac:dyDescent="0.25">
      <c r="A61" s="12" t="s">
        <v>18</v>
      </c>
      <c r="B61" s="36">
        <v>46103</v>
      </c>
      <c r="C61" s="12">
        <f t="shared" si="4"/>
        <v>213</v>
      </c>
      <c r="D61" s="38">
        <f t="shared" si="1"/>
        <v>1</v>
      </c>
      <c r="E61" s="12"/>
      <c r="F61" s="12"/>
      <c r="G61" s="12" t="s">
        <v>2047</v>
      </c>
      <c r="H61" s="12" t="s">
        <v>2048</v>
      </c>
      <c r="I61" s="12">
        <v>64277</v>
      </c>
      <c r="J61" s="12">
        <v>331</v>
      </c>
      <c r="K61" s="12" t="s">
        <v>20</v>
      </c>
      <c r="L61" s="12">
        <v>1</v>
      </c>
      <c r="M61" s="17">
        <v>483000</v>
      </c>
      <c r="N61" s="17">
        <f t="shared" si="5"/>
        <v>483000</v>
      </c>
      <c r="O61" s="12"/>
      <c r="P61" s="12">
        <f t="shared" si="3"/>
        <v>92</v>
      </c>
    </row>
    <row r="62" spans="1:16" hidden="1" x14ac:dyDescent="0.25">
      <c r="A62" s="12" t="s">
        <v>18</v>
      </c>
      <c r="B62" s="36">
        <v>46103</v>
      </c>
      <c r="C62" s="12">
        <f t="shared" si="4"/>
        <v>213</v>
      </c>
      <c r="D62" s="38">
        <f t="shared" si="1"/>
        <v>0</v>
      </c>
      <c r="E62" s="12"/>
      <c r="F62" s="12"/>
      <c r="G62" s="12" t="s">
        <v>2047</v>
      </c>
      <c r="H62" s="12" t="s">
        <v>2048</v>
      </c>
      <c r="I62" s="12">
        <v>1331</v>
      </c>
      <c r="J62" s="12">
        <v>331</v>
      </c>
      <c r="K62" s="12" t="s">
        <v>20</v>
      </c>
      <c r="L62" s="12">
        <v>1</v>
      </c>
      <c r="M62" s="17">
        <v>38640</v>
      </c>
      <c r="N62" s="17">
        <f t="shared" si="5"/>
        <v>38640</v>
      </c>
      <c r="O62" s="12"/>
      <c r="P62" s="12">
        <f t="shared" si="3"/>
        <v>92</v>
      </c>
    </row>
    <row r="63" spans="1:16" hidden="1" x14ac:dyDescent="0.25">
      <c r="A63" s="12" t="s">
        <v>310</v>
      </c>
      <c r="B63" s="36">
        <v>46103</v>
      </c>
      <c r="C63" s="12">
        <f t="shared" si="4"/>
        <v>213</v>
      </c>
      <c r="D63" s="38">
        <f t="shared" si="1"/>
        <v>0</v>
      </c>
      <c r="E63" s="12"/>
      <c r="F63" s="12"/>
      <c r="G63" s="12" t="s">
        <v>2047</v>
      </c>
      <c r="H63" s="12" t="s">
        <v>2048</v>
      </c>
      <c r="I63" s="12">
        <v>331</v>
      </c>
      <c r="J63" s="12">
        <v>1111</v>
      </c>
      <c r="K63" s="12" t="s">
        <v>20</v>
      </c>
      <c r="L63" s="12">
        <v>1</v>
      </c>
      <c r="M63" s="17">
        <v>521640</v>
      </c>
      <c r="N63" s="17">
        <f t="shared" si="5"/>
        <v>521640</v>
      </c>
      <c r="O63" s="12"/>
      <c r="P63" s="12">
        <f t="shared" si="3"/>
        <v>92</v>
      </c>
    </row>
    <row r="64" spans="1:16" hidden="1" x14ac:dyDescent="0.25">
      <c r="A64" s="12" t="s">
        <v>18</v>
      </c>
      <c r="B64" s="36">
        <v>46105</v>
      </c>
      <c r="C64" s="12">
        <f t="shared" si="4"/>
        <v>214</v>
      </c>
      <c r="D64" s="38">
        <f t="shared" si="1"/>
        <v>1</v>
      </c>
      <c r="E64" s="12"/>
      <c r="F64" s="12"/>
      <c r="G64" s="130" t="s">
        <v>2049</v>
      </c>
      <c r="H64" s="12" t="s">
        <v>2050</v>
      </c>
      <c r="I64" s="12">
        <v>64277</v>
      </c>
      <c r="J64" s="12">
        <v>331</v>
      </c>
      <c r="K64" s="12" t="s">
        <v>20</v>
      </c>
      <c r="L64" s="12">
        <v>1</v>
      </c>
      <c r="M64" s="17">
        <v>320741</v>
      </c>
      <c r="N64" s="17">
        <f t="shared" si="5"/>
        <v>320741</v>
      </c>
      <c r="O64" s="12"/>
      <c r="P64" s="12">
        <f t="shared" si="3"/>
        <v>31</v>
      </c>
    </row>
    <row r="65" spans="1:16" hidden="1" x14ac:dyDescent="0.25">
      <c r="A65" s="12" t="s">
        <v>18</v>
      </c>
      <c r="B65" s="36">
        <v>46105</v>
      </c>
      <c r="C65" s="12">
        <f t="shared" si="4"/>
        <v>214</v>
      </c>
      <c r="D65" s="38">
        <f t="shared" si="1"/>
        <v>0</v>
      </c>
      <c r="E65" s="12"/>
      <c r="G65" s="12" t="s">
        <v>2049</v>
      </c>
      <c r="H65" s="12" t="s">
        <v>2050</v>
      </c>
      <c r="I65" s="12">
        <v>1331</v>
      </c>
      <c r="J65" s="12">
        <v>331</v>
      </c>
      <c r="K65" s="12" t="s">
        <v>20</v>
      </c>
      <c r="L65" s="12">
        <v>1</v>
      </c>
      <c r="M65" s="17">
        <v>25659</v>
      </c>
      <c r="N65" s="17">
        <f t="shared" si="5"/>
        <v>25659</v>
      </c>
      <c r="O65" s="12"/>
      <c r="P65" s="12">
        <f t="shared" si="3"/>
        <v>31</v>
      </c>
    </row>
    <row r="66" spans="1:16" hidden="1" x14ac:dyDescent="0.25">
      <c r="A66" s="12" t="s">
        <v>310</v>
      </c>
      <c r="B66" s="36">
        <v>46105</v>
      </c>
      <c r="C66" s="12">
        <f t="shared" si="4"/>
        <v>214</v>
      </c>
      <c r="D66" s="38">
        <f t="shared" si="1"/>
        <v>0</v>
      </c>
      <c r="E66" s="12"/>
      <c r="G66" s="12" t="s">
        <v>2049</v>
      </c>
      <c r="H66" s="12" t="s">
        <v>2050</v>
      </c>
      <c r="I66" s="12">
        <v>331</v>
      </c>
      <c r="J66" s="12">
        <v>1111</v>
      </c>
      <c r="K66" s="12" t="s">
        <v>20</v>
      </c>
      <c r="L66" s="12">
        <v>1</v>
      </c>
      <c r="M66" s="17">
        <v>346400</v>
      </c>
      <c r="N66" s="17">
        <f t="shared" si="5"/>
        <v>346400</v>
      </c>
      <c r="O66" s="12"/>
      <c r="P66" s="12">
        <f t="shared" si="3"/>
        <v>31</v>
      </c>
    </row>
    <row r="67" spans="1:16" hidden="1" x14ac:dyDescent="0.25">
      <c r="A67" s="12" t="s">
        <v>18</v>
      </c>
      <c r="B67" s="36">
        <v>46107</v>
      </c>
      <c r="C67" s="12">
        <f t="shared" si="4"/>
        <v>215</v>
      </c>
      <c r="D67" s="38">
        <f t="shared" si="1"/>
        <v>1</v>
      </c>
      <c r="E67" s="12"/>
      <c r="G67" s="12" t="s">
        <v>2041</v>
      </c>
      <c r="H67" s="12" t="s">
        <v>2051</v>
      </c>
      <c r="I67" s="12">
        <v>64277</v>
      </c>
      <c r="J67" s="12">
        <v>331</v>
      </c>
      <c r="K67" s="12" t="s">
        <v>20</v>
      </c>
      <c r="L67" s="12">
        <v>1</v>
      </c>
      <c r="M67" s="17">
        <v>562038</v>
      </c>
      <c r="N67" s="17">
        <f t="shared" si="5"/>
        <v>562038</v>
      </c>
      <c r="O67" s="12"/>
      <c r="P67" s="12">
        <f t="shared" si="3"/>
        <v>48</v>
      </c>
    </row>
    <row r="68" spans="1:16" hidden="1" x14ac:dyDescent="0.25">
      <c r="A68" s="12" t="s">
        <v>18</v>
      </c>
      <c r="B68" s="36">
        <v>46107</v>
      </c>
      <c r="C68" s="12">
        <f t="shared" si="4"/>
        <v>215</v>
      </c>
      <c r="D68" s="38">
        <f t="shared" ref="D68:D131" si="6">IF(H68=H67,0,1)</f>
        <v>0</v>
      </c>
      <c r="E68" s="12"/>
      <c r="G68" s="12" t="s">
        <v>2041</v>
      </c>
      <c r="H68" s="12" t="s">
        <v>2051</v>
      </c>
      <c r="I68" s="12">
        <v>1331</v>
      </c>
      <c r="J68" s="12">
        <v>331</v>
      </c>
      <c r="K68" s="12" t="s">
        <v>20</v>
      </c>
      <c r="L68" s="12">
        <v>1</v>
      </c>
      <c r="M68" s="17">
        <v>44962</v>
      </c>
      <c r="N68" s="17">
        <f t="shared" si="5"/>
        <v>44962</v>
      </c>
      <c r="O68" s="12"/>
      <c r="P68" s="12">
        <f t="shared" si="3"/>
        <v>48</v>
      </c>
    </row>
    <row r="69" spans="1:16" hidden="1" x14ac:dyDescent="0.25">
      <c r="A69" s="12" t="s">
        <v>310</v>
      </c>
      <c r="B69" s="36">
        <v>46107</v>
      </c>
      <c r="C69" s="12">
        <f t="shared" ref="C69:C100" si="7">C68+D69</f>
        <v>215</v>
      </c>
      <c r="D69" s="38">
        <f t="shared" si="6"/>
        <v>0</v>
      </c>
      <c r="E69" s="12"/>
      <c r="G69" s="12" t="s">
        <v>2041</v>
      </c>
      <c r="H69" s="12" t="s">
        <v>2051</v>
      </c>
      <c r="I69" s="12">
        <v>331</v>
      </c>
      <c r="J69" s="12">
        <v>1111</v>
      </c>
      <c r="K69" s="12" t="s">
        <v>20</v>
      </c>
      <c r="L69" s="12">
        <v>1</v>
      </c>
      <c r="M69" s="17">
        <v>607000</v>
      </c>
      <c r="N69" s="17">
        <f t="shared" ref="N69:N100" si="8">L69*M69</f>
        <v>607000</v>
      </c>
      <c r="O69" s="12"/>
      <c r="P69" s="12">
        <f t="shared" ref="P69:P132" si="9">LEN(H69)</f>
        <v>48</v>
      </c>
    </row>
    <row r="70" spans="1:16" hidden="1" x14ac:dyDescent="0.25">
      <c r="A70" s="12" t="s">
        <v>18</v>
      </c>
      <c r="B70" s="36">
        <v>46027</v>
      </c>
      <c r="C70" s="12">
        <f t="shared" si="7"/>
        <v>216</v>
      </c>
      <c r="D70" s="38">
        <f t="shared" si="6"/>
        <v>1</v>
      </c>
      <c r="E70" s="12"/>
      <c r="G70" s="12" t="s">
        <v>713</v>
      </c>
      <c r="H70" s="12" t="s">
        <v>2052</v>
      </c>
      <c r="I70" s="12">
        <v>131</v>
      </c>
      <c r="J70" s="12">
        <v>5113</v>
      </c>
      <c r="K70" s="12" t="s">
        <v>20</v>
      </c>
      <c r="L70" s="12">
        <v>1</v>
      </c>
      <c r="M70" s="17">
        <v>17204301</v>
      </c>
      <c r="N70" s="17">
        <f t="shared" si="8"/>
        <v>17204301</v>
      </c>
      <c r="O70" s="12"/>
      <c r="P70" s="12">
        <f t="shared" si="9"/>
        <v>156</v>
      </c>
    </row>
    <row r="71" spans="1:16" x14ac:dyDescent="0.25">
      <c r="A71" s="12" t="s">
        <v>18</v>
      </c>
      <c r="B71" s="36">
        <v>46027</v>
      </c>
      <c r="C71" s="12">
        <f t="shared" si="7"/>
        <v>217</v>
      </c>
      <c r="D71" s="38">
        <f t="shared" si="6"/>
        <v>1</v>
      </c>
      <c r="E71" s="12"/>
      <c r="G71" s="12" t="s">
        <v>713</v>
      </c>
      <c r="H71" s="12" t="s">
        <v>3084</v>
      </c>
      <c r="I71" s="12">
        <v>333821</v>
      </c>
      <c r="J71" s="12">
        <v>131</v>
      </c>
      <c r="K71" s="12" t="s">
        <v>20</v>
      </c>
      <c r="L71" s="12">
        <v>1</v>
      </c>
      <c r="M71" s="17">
        <v>172043</v>
      </c>
      <c r="N71" s="17">
        <f t="shared" si="8"/>
        <v>172043</v>
      </c>
      <c r="O71" s="12"/>
      <c r="P71" s="12">
        <f t="shared" si="9"/>
        <v>172</v>
      </c>
    </row>
    <row r="72" spans="1:16" hidden="1" x14ac:dyDescent="0.25">
      <c r="A72" s="12" t="s">
        <v>18</v>
      </c>
      <c r="B72" s="36">
        <v>46035</v>
      </c>
      <c r="C72" s="12">
        <f t="shared" si="7"/>
        <v>218</v>
      </c>
      <c r="D72" s="38">
        <f t="shared" si="6"/>
        <v>1</v>
      </c>
      <c r="E72" s="12"/>
      <c r="G72" s="12" t="s">
        <v>38</v>
      </c>
      <c r="H72" s="12" t="s">
        <v>2053</v>
      </c>
      <c r="I72" s="12">
        <v>131</v>
      </c>
      <c r="J72" s="12">
        <v>5113</v>
      </c>
      <c r="K72" s="12" t="s">
        <v>20</v>
      </c>
      <c r="L72" s="12">
        <v>1</v>
      </c>
      <c r="M72" s="17">
        <v>18279570</v>
      </c>
      <c r="N72" s="17">
        <f t="shared" si="8"/>
        <v>18279570</v>
      </c>
      <c r="O72" s="12"/>
      <c r="P72" s="12">
        <f t="shared" si="9"/>
        <v>166</v>
      </c>
    </row>
    <row r="73" spans="1:16" x14ac:dyDescent="0.25">
      <c r="A73" s="12" t="s">
        <v>18</v>
      </c>
      <c r="B73" s="36">
        <v>46035</v>
      </c>
      <c r="C73" s="12">
        <f t="shared" si="7"/>
        <v>219</v>
      </c>
      <c r="D73" s="38">
        <f t="shared" si="6"/>
        <v>1</v>
      </c>
      <c r="E73" s="12"/>
      <c r="G73" s="12" t="s">
        <v>38</v>
      </c>
      <c r="H73" s="12" t="s">
        <v>3085</v>
      </c>
      <c r="I73" s="12">
        <v>333821</v>
      </c>
      <c r="J73" s="12">
        <v>131</v>
      </c>
      <c r="K73" s="12" t="s">
        <v>20</v>
      </c>
      <c r="L73" s="12">
        <v>1</v>
      </c>
      <c r="M73" s="17">
        <v>182796</v>
      </c>
      <c r="N73" s="17">
        <f t="shared" si="8"/>
        <v>182796</v>
      </c>
      <c r="O73" s="12"/>
      <c r="P73" s="12">
        <f t="shared" si="9"/>
        <v>182</v>
      </c>
    </row>
    <row r="74" spans="1:16" hidden="1" x14ac:dyDescent="0.25">
      <c r="A74" s="12" t="s">
        <v>18</v>
      </c>
      <c r="B74" s="36">
        <v>46041</v>
      </c>
      <c r="C74" s="12">
        <f t="shared" si="7"/>
        <v>220</v>
      </c>
      <c r="D74" s="38">
        <f t="shared" si="6"/>
        <v>1</v>
      </c>
      <c r="E74" s="12"/>
      <c r="G74" s="12" t="s">
        <v>880</v>
      </c>
      <c r="H74" s="12" t="s">
        <v>2054</v>
      </c>
      <c r="I74" s="12">
        <v>131</v>
      </c>
      <c r="J74" s="12">
        <v>5113</v>
      </c>
      <c r="K74" s="12" t="s">
        <v>20</v>
      </c>
      <c r="L74" s="12">
        <v>1</v>
      </c>
      <c r="M74" s="17">
        <v>18888889</v>
      </c>
      <c r="N74" s="17">
        <f t="shared" si="8"/>
        <v>18888889</v>
      </c>
      <c r="O74" s="12"/>
      <c r="P74" s="12">
        <f t="shared" si="9"/>
        <v>152</v>
      </c>
    </row>
    <row r="75" spans="1:16" x14ac:dyDescent="0.25">
      <c r="A75" s="12" t="s">
        <v>18</v>
      </c>
      <c r="B75" s="36">
        <v>46041</v>
      </c>
      <c r="C75" s="12">
        <f t="shared" si="7"/>
        <v>221</v>
      </c>
      <c r="D75" s="38">
        <f t="shared" si="6"/>
        <v>1</v>
      </c>
      <c r="E75" s="12"/>
      <c r="G75" s="12" t="s">
        <v>880</v>
      </c>
      <c r="H75" s="12" t="s">
        <v>3086</v>
      </c>
      <c r="I75" s="12">
        <v>333821</v>
      </c>
      <c r="J75" s="12">
        <v>131</v>
      </c>
      <c r="K75" s="12" t="s">
        <v>20</v>
      </c>
      <c r="L75" s="12">
        <v>1</v>
      </c>
      <c r="M75" s="17">
        <v>188889</v>
      </c>
      <c r="N75" s="17">
        <f t="shared" si="8"/>
        <v>188889</v>
      </c>
      <c r="O75" s="12"/>
      <c r="P75" s="12">
        <f t="shared" si="9"/>
        <v>168</v>
      </c>
    </row>
    <row r="76" spans="1:16" hidden="1" x14ac:dyDescent="0.25">
      <c r="A76" s="12" t="s">
        <v>18</v>
      </c>
      <c r="B76" s="36">
        <v>46041</v>
      </c>
      <c r="C76" s="12">
        <f t="shared" si="7"/>
        <v>222</v>
      </c>
      <c r="D76" s="38">
        <f t="shared" si="6"/>
        <v>1</v>
      </c>
      <c r="E76" s="12"/>
      <c r="G76" s="12" t="s">
        <v>713</v>
      </c>
      <c r="H76" s="12" t="s">
        <v>2055</v>
      </c>
      <c r="I76" s="12">
        <v>131</v>
      </c>
      <c r="J76" s="12">
        <v>5113</v>
      </c>
      <c r="K76" s="12" t="s">
        <v>20</v>
      </c>
      <c r="L76" s="12">
        <v>1</v>
      </c>
      <c r="M76" s="17">
        <v>13333333</v>
      </c>
      <c r="N76" s="17">
        <f t="shared" si="8"/>
        <v>13333333</v>
      </c>
      <c r="O76" s="12"/>
      <c r="P76" s="12">
        <f t="shared" si="9"/>
        <v>122</v>
      </c>
    </row>
    <row r="77" spans="1:16" x14ac:dyDescent="0.25">
      <c r="A77" s="12" t="s">
        <v>18</v>
      </c>
      <c r="B77" s="36">
        <v>46041</v>
      </c>
      <c r="C77" s="12">
        <f t="shared" si="7"/>
        <v>223</v>
      </c>
      <c r="D77" s="38">
        <f t="shared" si="6"/>
        <v>1</v>
      </c>
      <c r="E77" s="12"/>
      <c r="G77" s="12" t="s">
        <v>713</v>
      </c>
      <c r="H77" s="12" t="s">
        <v>3087</v>
      </c>
      <c r="I77" s="12">
        <v>333821</v>
      </c>
      <c r="J77" s="12">
        <v>131</v>
      </c>
      <c r="K77" s="12" t="s">
        <v>20</v>
      </c>
      <c r="L77" s="12">
        <v>1</v>
      </c>
      <c r="M77" s="17">
        <v>133333</v>
      </c>
      <c r="N77" s="17">
        <f t="shared" si="8"/>
        <v>133333</v>
      </c>
      <c r="O77" s="12"/>
      <c r="P77" s="12">
        <f t="shared" si="9"/>
        <v>138</v>
      </c>
    </row>
    <row r="78" spans="1:16" hidden="1" x14ac:dyDescent="0.25">
      <c r="A78" s="12" t="s">
        <v>18</v>
      </c>
      <c r="B78" s="36">
        <v>46041</v>
      </c>
      <c r="C78" s="12">
        <f t="shared" si="7"/>
        <v>224</v>
      </c>
      <c r="D78" s="38">
        <f t="shared" si="6"/>
        <v>1</v>
      </c>
      <c r="E78" s="12"/>
      <c r="G78" s="12" t="s">
        <v>304</v>
      </c>
      <c r="H78" s="12" t="s">
        <v>2056</v>
      </c>
      <c r="I78" s="12">
        <v>131</v>
      </c>
      <c r="J78" s="12">
        <v>5113</v>
      </c>
      <c r="K78" s="12" t="s">
        <v>20</v>
      </c>
      <c r="L78" s="12">
        <v>1</v>
      </c>
      <c r="M78" s="17">
        <v>12903226</v>
      </c>
      <c r="N78" s="17">
        <f t="shared" si="8"/>
        <v>12903226</v>
      </c>
      <c r="O78" s="12"/>
      <c r="P78" s="12">
        <f t="shared" si="9"/>
        <v>150</v>
      </c>
    </row>
    <row r="79" spans="1:16" x14ac:dyDescent="0.25">
      <c r="A79" s="12" t="s">
        <v>18</v>
      </c>
      <c r="B79" s="36">
        <v>46041</v>
      </c>
      <c r="C79" s="12">
        <f t="shared" si="7"/>
        <v>225</v>
      </c>
      <c r="D79" s="38">
        <f t="shared" si="6"/>
        <v>1</v>
      </c>
      <c r="E79" s="12"/>
      <c r="G79" s="12" t="s">
        <v>304</v>
      </c>
      <c r="H79" s="12" t="s">
        <v>3088</v>
      </c>
      <c r="I79" s="12">
        <v>333821</v>
      </c>
      <c r="J79" s="12">
        <v>131</v>
      </c>
      <c r="K79" s="12" t="s">
        <v>20</v>
      </c>
      <c r="L79" s="12">
        <v>1</v>
      </c>
      <c r="M79" s="17">
        <v>129032</v>
      </c>
      <c r="N79" s="17">
        <f t="shared" si="8"/>
        <v>129032</v>
      </c>
      <c r="O79" s="12"/>
      <c r="P79" s="12">
        <f t="shared" si="9"/>
        <v>166</v>
      </c>
    </row>
    <row r="80" spans="1:16" hidden="1" x14ac:dyDescent="0.25">
      <c r="A80" s="12" t="s">
        <v>18</v>
      </c>
      <c r="B80" s="36">
        <v>46042</v>
      </c>
      <c r="C80" s="12">
        <f t="shared" si="7"/>
        <v>226</v>
      </c>
      <c r="D80" s="38">
        <f t="shared" si="6"/>
        <v>1</v>
      </c>
      <c r="E80" s="12"/>
      <c r="G80" s="12" t="s">
        <v>50</v>
      </c>
      <c r="H80" s="12" t="s">
        <v>2057</v>
      </c>
      <c r="I80" s="12">
        <v>131</v>
      </c>
      <c r="J80" s="12">
        <v>5113</v>
      </c>
      <c r="K80" s="12" t="s">
        <v>20</v>
      </c>
      <c r="L80" s="12">
        <v>1</v>
      </c>
      <c r="M80" s="17">
        <v>37634409</v>
      </c>
      <c r="N80" s="17">
        <f t="shared" si="8"/>
        <v>37634409</v>
      </c>
      <c r="O80" s="12"/>
      <c r="P80" s="12">
        <f t="shared" si="9"/>
        <v>143</v>
      </c>
    </row>
    <row r="81" spans="1:16" x14ac:dyDescent="0.25">
      <c r="A81" s="12" t="s">
        <v>18</v>
      </c>
      <c r="B81" s="36">
        <v>46042</v>
      </c>
      <c r="C81" s="12">
        <f t="shared" si="7"/>
        <v>227</v>
      </c>
      <c r="D81" s="38">
        <f t="shared" si="6"/>
        <v>1</v>
      </c>
      <c r="E81" s="12"/>
      <c r="G81" s="12" t="s">
        <v>50</v>
      </c>
      <c r="H81" s="12" t="s">
        <v>3089</v>
      </c>
      <c r="I81" s="12">
        <v>333821</v>
      </c>
      <c r="J81" s="12">
        <v>131</v>
      </c>
      <c r="K81" s="12" t="s">
        <v>20</v>
      </c>
      <c r="L81" s="12">
        <v>1</v>
      </c>
      <c r="M81" s="17">
        <v>376344</v>
      </c>
      <c r="N81" s="17">
        <f t="shared" si="8"/>
        <v>376344</v>
      </c>
      <c r="O81" s="12"/>
      <c r="P81" s="12">
        <f t="shared" si="9"/>
        <v>159</v>
      </c>
    </row>
    <row r="82" spans="1:16" hidden="1" x14ac:dyDescent="0.25">
      <c r="A82" s="12" t="s">
        <v>18</v>
      </c>
      <c r="B82" s="36">
        <v>46042</v>
      </c>
      <c r="C82" s="12">
        <f t="shared" si="7"/>
        <v>228</v>
      </c>
      <c r="D82" s="38">
        <f t="shared" si="6"/>
        <v>1</v>
      </c>
      <c r="E82" s="12"/>
      <c r="G82" s="12" t="s">
        <v>29</v>
      </c>
      <c r="H82" s="12" t="s">
        <v>2058</v>
      </c>
      <c r="I82" s="12">
        <v>131</v>
      </c>
      <c r="J82" s="12">
        <v>5113</v>
      </c>
      <c r="K82" s="12" t="s">
        <v>20</v>
      </c>
      <c r="L82" s="12">
        <v>1</v>
      </c>
      <c r="M82" s="17">
        <v>22222222</v>
      </c>
      <c r="N82" s="17">
        <f t="shared" si="8"/>
        <v>22222222</v>
      </c>
      <c r="O82" s="12"/>
      <c r="P82" s="12">
        <f t="shared" si="9"/>
        <v>127</v>
      </c>
    </row>
    <row r="83" spans="1:16" x14ac:dyDescent="0.25">
      <c r="A83" s="12" t="s">
        <v>18</v>
      </c>
      <c r="B83" s="36">
        <v>46042</v>
      </c>
      <c r="C83" s="12">
        <f t="shared" si="7"/>
        <v>229</v>
      </c>
      <c r="D83" s="38">
        <f t="shared" si="6"/>
        <v>1</v>
      </c>
      <c r="E83" s="12"/>
      <c r="G83" s="12" t="s">
        <v>29</v>
      </c>
      <c r="H83" s="12" t="s">
        <v>3090</v>
      </c>
      <c r="I83" s="12">
        <v>333821</v>
      </c>
      <c r="J83" s="12">
        <v>131</v>
      </c>
      <c r="K83" s="12" t="s">
        <v>20</v>
      </c>
      <c r="L83" s="12">
        <v>1</v>
      </c>
      <c r="M83" s="17">
        <v>222222</v>
      </c>
      <c r="N83" s="17">
        <f t="shared" si="8"/>
        <v>222222</v>
      </c>
      <c r="O83" s="12"/>
      <c r="P83" s="12">
        <f t="shared" si="9"/>
        <v>143</v>
      </c>
    </row>
    <row r="84" spans="1:16" hidden="1" x14ac:dyDescent="0.25">
      <c r="A84" s="12" t="s">
        <v>18</v>
      </c>
      <c r="B84" s="36">
        <v>46043</v>
      </c>
      <c r="C84" s="12">
        <f t="shared" si="7"/>
        <v>230</v>
      </c>
      <c r="D84" s="38">
        <f t="shared" si="6"/>
        <v>1</v>
      </c>
      <c r="E84" s="12"/>
      <c r="G84" s="12" t="s">
        <v>2059</v>
      </c>
      <c r="H84" s="12" t="s">
        <v>2060</v>
      </c>
      <c r="I84" s="12">
        <v>131</v>
      </c>
      <c r="J84" s="12">
        <v>5113</v>
      </c>
      <c r="K84" s="12" t="s">
        <v>20</v>
      </c>
      <c r="L84" s="12">
        <v>1</v>
      </c>
      <c r="M84" s="17">
        <v>13333333</v>
      </c>
      <c r="N84" s="17">
        <f t="shared" si="8"/>
        <v>13333333</v>
      </c>
      <c r="O84" s="12"/>
      <c r="P84" s="12">
        <f t="shared" si="9"/>
        <v>149</v>
      </c>
    </row>
    <row r="85" spans="1:16" x14ac:dyDescent="0.25">
      <c r="A85" s="12" t="s">
        <v>18</v>
      </c>
      <c r="B85" s="36">
        <v>46043</v>
      </c>
      <c r="C85" s="12">
        <f t="shared" si="7"/>
        <v>231</v>
      </c>
      <c r="D85" s="38">
        <f t="shared" si="6"/>
        <v>1</v>
      </c>
      <c r="E85" s="12"/>
      <c r="G85" s="12" t="s">
        <v>2059</v>
      </c>
      <c r="H85" s="12" t="s">
        <v>3091</v>
      </c>
      <c r="I85" s="12">
        <v>333821</v>
      </c>
      <c r="J85" s="12">
        <v>131</v>
      </c>
      <c r="K85" s="12" t="s">
        <v>20</v>
      </c>
      <c r="L85" s="12">
        <v>1</v>
      </c>
      <c r="M85" s="17">
        <v>133333</v>
      </c>
      <c r="N85" s="17">
        <f t="shared" si="8"/>
        <v>133333</v>
      </c>
      <c r="O85" s="12"/>
      <c r="P85" s="12">
        <f t="shared" si="9"/>
        <v>165</v>
      </c>
    </row>
    <row r="86" spans="1:16" hidden="1" x14ac:dyDescent="0.25">
      <c r="A86" s="12" t="s">
        <v>18</v>
      </c>
      <c r="B86" s="36">
        <v>46043</v>
      </c>
      <c r="C86" s="12">
        <f t="shared" si="7"/>
        <v>232</v>
      </c>
      <c r="D86" s="38">
        <f t="shared" si="6"/>
        <v>1</v>
      </c>
      <c r="E86" s="12"/>
      <c r="G86" s="12" t="s">
        <v>29</v>
      </c>
      <c r="H86" s="12" t="s">
        <v>2061</v>
      </c>
      <c r="I86" s="12">
        <v>131</v>
      </c>
      <c r="J86" s="12">
        <v>5113</v>
      </c>
      <c r="K86" s="12" t="s">
        <v>20</v>
      </c>
      <c r="L86" s="12">
        <v>1</v>
      </c>
      <c r="M86" s="17">
        <v>22222222</v>
      </c>
      <c r="N86" s="17">
        <f t="shared" si="8"/>
        <v>22222222</v>
      </c>
      <c r="O86" s="12"/>
      <c r="P86" s="12">
        <f t="shared" si="9"/>
        <v>131</v>
      </c>
    </row>
    <row r="87" spans="1:16" x14ac:dyDescent="0.25">
      <c r="A87" s="12" t="s">
        <v>18</v>
      </c>
      <c r="B87" s="36">
        <v>46043</v>
      </c>
      <c r="C87" s="12">
        <f t="shared" si="7"/>
        <v>233</v>
      </c>
      <c r="D87" s="38">
        <f t="shared" si="6"/>
        <v>1</v>
      </c>
      <c r="E87" s="12"/>
      <c r="G87" s="12" t="s">
        <v>29</v>
      </c>
      <c r="H87" s="12" t="s">
        <v>3092</v>
      </c>
      <c r="I87" s="12">
        <v>333821</v>
      </c>
      <c r="J87" s="12">
        <v>131</v>
      </c>
      <c r="K87" s="12" t="s">
        <v>20</v>
      </c>
      <c r="L87" s="12">
        <v>1</v>
      </c>
      <c r="M87" s="17">
        <v>222222</v>
      </c>
      <c r="N87" s="17">
        <f t="shared" si="8"/>
        <v>222222</v>
      </c>
      <c r="O87" s="12"/>
      <c r="P87" s="12">
        <f t="shared" si="9"/>
        <v>147</v>
      </c>
    </row>
    <row r="88" spans="1:16" hidden="1" x14ac:dyDescent="0.25">
      <c r="A88" s="12" t="s">
        <v>18</v>
      </c>
      <c r="B88" s="36">
        <v>46054</v>
      </c>
      <c r="C88" s="12">
        <f t="shared" si="7"/>
        <v>234</v>
      </c>
      <c r="D88" s="38">
        <f t="shared" si="6"/>
        <v>1</v>
      </c>
      <c r="E88" s="12"/>
      <c r="G88" s="12" t="s">
        <v>29</v>
      </c>
      <c r="H88" s="12" t="s">
        <v>2062</v>
      </c>
      <c r="I88" s="12">
        <v>131</v>
      </c>
      <c r="J88" s="12">
        <v>5113</v>
      </c>
      <c r="K88" s="12" t="s">
        <v>20</v>
      </c>
      <c r="L88" s="12">
        <v>1</v>
      </c>
      <c r="M88" s="17">
        <v>22222222</v>
      </c>
      <c r="N88" s="17">
        <f t="shared" si="8"/>
        <v>22222222</v>
      </c>
      <c r="O88" s="12"/>
      <c r="P88" s="12">
        <f t="shared" si="9"/>
        <v>127</v>
      </c>
    </row>
    <row r="89" spans="1:16" x14ac:dyDescent="0.25">
      <c r="A89" s="12" t="s">
        <v>18</v>
      </c>
      <c r="B89" s="36">
        <v>46054</v>
      </c>
      <c r="C89" s="12">
        <f t="shared" si="7"/>
        <v>235</v>
      </c>
      <c r="D89" s="38">
        <f t="shared" si="6"/>
        <v>1</v>
      </c>
      <c r="E89" s="12"/>
      <c r="G89" s="12" t="s">
        <v>29</v>
      </c>
      <c r="H89" s="12" t="s">
        <v>3093</v>
      </c>
      <c r="I89" s="12">
        <v>333821</v>
      </c>
      <c r="J89" s="12">
        <v>131</v>
      </c>
      <c r="K89" s="12" t="s">
        <v>20</v>
      </c>
      <c r="L89" s="12">
        <v>1</v>
      </c>
      <c r="M89" s="17">
        <v>222222</v>
      </c>
      <c r="N89" s="17">
        <f t="shared" si="8"/>
        <v>222222</v>
      </c>
      <c r="O89" s="12"/>
      <c r="P89" s="12">
        <f t="shared" si="9"/>
        <v>143</v>
      </c>
    </row>
    <row r="90" spans="1:16" hidden="1" x14ac:dyDescent="0.25">
      <c r="A90" s="12" t="s">
        <v>18</v>
      </c>
      <c r="B90" s="36">
        <v>46055</v>
      </c>
      <c r="C90" s="12">
        <f t="shared" si="7"/>
        <v>236</v>
      </c>
      <c r="D90" s="38">
        <f t="shared" si="6"/>
        <v>1</v>
      </c>
      <c r="E90" s="12"/>
      <c r="G90" s="12" t="s">
        <v>29</v>
      </c>
      <c r="H90" s="12" t="s">
        <v>2063</v>
      </c>
      <c r="I90" s="12">
        <v>131</v>
      </c>
      <c r="J90" s="12">
        <v>5113</v>
      </c>
      <c r="K90" s="12" t="s">
        <v>20</v>
      </c>
      <c r="L90" s="12">
        <v>1</v>
      </c>
      <c r="M90" s="17">
        <v>15555556</v>
      </c>
      <c r="N90" s="17">
        <f t="shared" si="8"/>
        <v>15555556</v>
      </c>
      <c r="O90" s="12"/>
      <c r="P90" s="12">
        <f t="shared" si="9"/>
        <v>140</v>
      </c>
    </row>
    <row r="91" spans="1:16" x14ac:dyDescent="0.25">
      <c r="A91" s="12" t="s">
        <v>18</v>
      </c>
      <c r="B91" s="36">
        <v>46055</v>
      </c>
      <c r="C91" s="12">
        <f t="shared" si="7"/>
        <v>237</v>
      </c>
      <c r="D91" s="38">
        <f t="shared" si="6"/>
        <v>1</v>
      </c>
      <c r="E91" s="12"/>
      <c r="G91" s="12" t="s">
        <v>29</v>
      </c>
      <c r="H91" s="12" t="s">
        <v>3094</v>
      </c>
      <c r="I91" s="12">
        <v>333821</v>
      </c>
      <c r="J91" s="12">
        <v>131</v>
      </c>
      <c r="K91" s="12" t="s">
        <v>20</v>
      </c>
      <c r="L91" s="12">
        <v>1</v>
      </c>
      <c r="M91" s="17">
        <v>155556</v>
      </c>
      <c r="N91" s="17">
        <f t="shared" si="8"/>
        <v>155556</v>
      </c>
      <c r="O91" s="12"/>
      <c r="P91" s="12">
        <f t="shared" si="9"/>
        <v>156</v>
      </c>
    </row>
    <row r="92" spans="1:16" hidden="1" x14ac:dyDescent="0.25">
      <c r="A92" s="12" t="s">
        <v>18</v>
      </c>
      <c r="B92" s="36">
        <v>46059</v>
      </c>
      <c r="C92" s="12">
        <f t="shared" si="7"/>
        <v>238</v>
      </c>
      <c r="D92" s="38">
        <f t="shared" si="6"/>
        <v>1</v>
      </c>
      <c r="E92" s="12"/>
      <c r="G92" s="12" t="s">
        <v>881</v>
      </c>
      <c r="H92" s="12" t="s">
        <v>2064</v>
      </c>
      <c r="I92" s="12">
        <v>131</v>
      </c>
      <c r="J92" s="12">
        <v>5113</v>
      </c>
      <c r="K92" s="12" t="s">
        <v>20</v>
      </c>
      <c r="L92" s="12">
        <v>1</v>
      </c>
      <c r="M92" s="17">
        <v>19000000</v>
      </c>
      <c r="N92" s="17">
        <f t="shared" si="8"/>
        <v>19000000</v>
      </c>
      <c r="O92" s="12"/>
      <c r="P92" s="12">
        <f t="shared" si="9"/>
        <v>104</v>
      </c>
    </row>
    <row r="93" spans="1:16" x14ac:dyDescent="0.25">
      <c r="A93" s="12" t="s">
        <v>18</v>
      </c>
      <c r="B93" s="36">
        <v>46059</v>
      </c>
      <c r="C93" s="12">
        <f t="shared" si="7"/>
        <v>239</v>
      </c>
      <c r="D93" s="38">
        <f t="shared" si="6"/>
        <v>1</v>
      </c>
      <c r="E93" s="12"/>
      <c r="G93" s="12" t="s">
        <v>881</v>
      </c>
      <c r="H93" s="12" t="s">
        <v>3095</v>
      </c>
      <c r="I93" s="12">
        <v>333821</v>
      </c>
      <c r="J93" s="12">
        <v>131</v>
      </c>
      <c r="K93" s="12" t="s">
        <v>20</v>
      </c>
      <c r="L93" s="12">
        <v>1</v>
      </c>
      <c r="M93" s="17">
        <v>190000</v>
      </c>
      <c r="N93" s="17">
        <f t="shared" si="8"/>
        <v>190000</v>
      </c>
      <c r="O93" s="12"/>
      <c r="P93" s="12">
        <f t="shared" si="9"/>
        <v>120</v>
      </c>
    </row>
    <row r="94" spans="1:16" hidden="1" x14ac:dyDescent="0.25">
      <c r="A94" s="12" t="s">
        <v>18</v>
      </c>
      <c r="B94" s="36">
        <v>46059</v>
      </c>
      <c r="C94" s="12">
        <f t="shared" si="7"/>
        <v>240</v>
      </c>
      <c r="D94" s="38">
        <f t="shared" si="6"/>
        <v>1</v>
      </c>
      <c r="E94" s="12"/>
      <c r="G94" s="12" t="s">
        <v>2065</v>
      </c>
      <c r="H94" s="12" t="s">
        <v>2066</v>
      </c>
      <c r="I94" s="12">
        <v>131</v>
      </c>
      <c r="J94" s="12">
        <v>5113</v>
      </c>
      <c r="K94" s="12" t="s">
        <v>20</v>
      </c>
      <c r="L94" s="12">
        <v>1</v>
      </c>
      <c r="M94" s="17">
        <v>12222222</v>
      </c>
      <c r="N94" s="17">
        <f t="shared" si="8"/>
        <v>12222222</v>
      </c>
      <c r="O94" s="12"/>
      <c r="P94" s="12">
        <f t="shared" si="9"/>
        <v>157</v>
      </c>
    </row>
    <row r="95" spans="1:16" x14ac:dyDescent="0.25">
      <c r="A95" s="12" t="s">
        <v>18</v>
      </c>
      <c r="B95" s="36">
        <v>46059</v>
      </c>
      <c r="C95" s="12">
        <f t="shared" si="7"/>
        <v>241</v>
      </c>
      <c r="D95" s="38">
        <f t="shared" si="6"/>
        <v>1</v>
      </c>
      <c r="E95" s="12"/>
      <c r="G95" s="12" t="s">
        <v>2065</v>
      </c>
      <c r="H95" s="12" t="s">
        <v>3096</v>
      </c>
      <c r="I95" s="12">
        <v>333821</v>
      </c>
      <c r="J95" s="12">
        <v>131</v>
      </c>
      <c r="K95" s="12" t="s">
        <v>20</v>
      </c>
      <c r="L95" s="12">
        <v>1</v>
      </c>
      <c r="M95" s="17">
        <v>122222</v>
      </c>
      <c r="N95" s="17">
        <f t="shared" si="8"/>
        <v>122222</v>
      </c>
      <c r="O95" s="12"/>
      <c r="P95" s="12">
        <f t="shared" si="9"/>
        <v>173</v>
      </c>
    </row>
    <row r="96" spans="1:16" hidden="1" x14ac:dyDescent="0.25">
      <c r="A96" s="12" t="s">
        <v>18</v>
      </c>
      <c r="B96" s="36">
        <v>46062</v>
      </c>
      <c r="C96" s="12">
        <f t="shared" si="7"/>
        <v>242</v>
      </c>
      <c r="D96" s="38">
        <f t="shared" si="6"/>
        <v>1</v>
      </c>
      <c r="E96" s="12"/>
      <c r="G96" s="12" t="s">
        <v>2067</v>
      </c>
      <c r="H96" s="12" t="s">
        <v>2068</v>
      </c>
      <c r="I96" s="12">
        <v>131</v>
      </c>
      <c r="J96" s="12">
        <v>5113</v>
      </c>
      <c r="K96" s="12" t="s">
        <v>20</v>
      </c>
      <c r="L96" s="12">
        <v>1</v>
      </c>
      <c r="M96" s="17">
        <v>18888889</v>
      </c>
      <c r="N96" s="17">
        <f t="shared" si="8"/>
        <v>18888889</v>
      </c>
      <c r="O96" s="12"/>
      <c r="P96" s="12">
        <f t="shared" si="9"/>
        <v>120</v>
      </c>
    </row>
    <row r="97" spans="1:16" x14ac:dyDescent="0.25">
      <c r="A97" s="12" t="s">
        <v>18</v>
      </c>
      <c r="B97" s="36">
        <v>46062</v>
      </c>
      <c r="C97" s="12">
        <f t="shared" si="7"/>
        <v>243</v>
      </c>
      <c r="D97" s="38">
        <f t="shared" si="6"/>
        <v>1</v>
      </c>
      <c r="E97" s="12"/>
      <c r="G97" s="12" t="s">
        <v>2067</v>
      </c>
      <c r="H97" s="12" t="s">
        <v>3097</v>
      </c>
      <c r="I97" s="12">
        <v>333821</v>
      </c>
      <c r="J97" s="12">
        <v>131</v>
      </c>
      <c r="K97" s="12" t="s">
        <v>20</v>
      </c>
      <c r="L97" s="12">
        <v>1</v>
      </c>
      <c r="M97" s="17">
        <v>188889</v>
      </c>
      <c r="N97" s="17">
        <f t="shared" si="8"/>
        <v>188889</v>
      </c>
      <c r="O97" s="12"/>
      <c r="P97" s="12">
        <f t="shared" si="9"/>
        <v>136</v>
      </c>
    </row>
    <row r="98" spans="1:16" hidden="1" x14ac:dyDescent="0.25">
      <c r="A98" s="12" t="s">
        <v>18</v>
      </c>
      <c r="B98" s="36">
        <v>46065</v>
      </c>
      <c r="C98" s="12">
        <f t="shared" si="7"/>
        <v>244</v>
      </c>
      <c r="D98" s="38">
        <f t="shared" si="6"/>
        <v>1</v>
      </c>
      <c r="E98" s="12"/>
      <c r="G98" s="12" t="s">
        <v>366</v>
      </c>
      <c r="H98" s="12" t="s">
        <v>2069</v>
      </c>
      <c r="I98" s="12">
        <v>131</v>
      </c>
      <c r="J98" s="12">
        <v>5113</v>
      </c>
      <c r="K98" s="12" t="s">
        <v>20</v>
      </c>
      <c r="L98" s="12">
        <v>1</v>
      </c>
      <c r="M98" s="17">
        <v>10752689</v>
      </c>
      <c r="N98" s="17">
        <f t="shared" si="8"/>
        <v>10752689</v>
      </c>
      <c r="O98" s="12"/>
      <c r="P98" s="12">
        <f t="shared" si="9"/>
        <v>173</v>
      </c>
    </row>
    <row r="99" spans="1:16" x14ac:dyDescent="0.25">
      <c r="A99" s="12" t="s">
        <v>18</v>
      </c>
      <c r="B99" s="36">
        <v>46065</v>
      </c>
      <c r="C99" s="12">
        <f t="shared" si="7"/>
        <v>245</v>
      </c>
      <c r="D99" s="38">
        <f t="shared" si="6"/>
        <v>1</v>
      </c>
      <c r="E99" s="12"/>
      <c r="G99" s="12" t="s">
        <v>366</v>
      </c>
      <c r="H99" s="12" t="s">
        <v>3098</v>
      </c>
      <c r="I99" s="12">
        <v>333821</v>
      </c>
      <c r="J99" s="12">
        <v>131</v>
      </c>
      <c r="K99" s="12" t="s">
        <v>20</v>
      </c>
      <c r="L99" s="12">
        <v>1</v>
      </c>
      <c r="M99" s="17">
        <v>107527</v>
      </c>
      <c r="N99" s="17">
        <f t="shared" si="8"/>
        <v>107527</v>
      </c>
      <c r="O99" s="12"/>
      <c r="P99" s="12">
        <f t="shared" si="9"/>
        <v>189</v>
      </c>
    </row>
    <row r="100" spans="1:16" hidden="1" x14ac:dyDescent="0.25">
      <c r="A100" s="12" t="s">
        <v>18</v>
      </c>
      <c r="B100" s="36">
        <v>46078</v>
      </c>
      <c r="C100" s="12">
        <f t="shared" si="7"/>
        <v>246</v>
      </c>
      <c r="D100" s="38">
        <f t="shared" si="6"/>
        <v>1</v>
      </c>
      <c r="E100" s="12"/>
      <c r="G100" s="12" t="s">
        <v>98</v>
      </c>
      <c r="H100" s="12" t="s">
        <v>2070</v>
      </c>
      <c r="I100" s="12">
        <v>131</v>
      </c>
      <c r="J100" s="12">
        <v>5113</v>
      </c>
      <c r="K100" s="12" t="s">
        <v>20</v>
      </c>
      <c r="L100" s="12">
        <v>1</v>
      </c>
      <c r="M100" s="17">
        <v>15555556</v>
      </c>
      <c r="N100" s="17">
        <f t="shared" si="8"/>
        <v>15555556</v>
      </c>
      <c r="O100" s="12"/>
      <c r="P100" s="12">
        <f t="shared" si="9"/>
        <v>152</v>
      </c>
    </row>
    <row r="101" spans="1:16" x14ac:dyDescent="0.25">
      <c r="A101" s="12" t="s">
        <v>18</v>
      </c>
      <c r="B101" s="36">
        <v>46078</v>
      </c>
      <c r="C101" s="12">
        <f t="shared" ref="C101:C108" si="10">C100+D101</f>
        <v>247</v>
      </c>
      <c r="D101" s="38">
        <f t="shared" si="6"/>
        <v>1</v>
      </c>
      <c r="E101" s="12"/>
      <c r="G101" s="12" t="s">
        <v>98</v>
      </c>
      <c r="H101" s="12" t="s">
        <v>3099</v>
      </c>
      <c r="I101" s="12">
        <v>333821</v>
      </c>
      <c r="J101" s="12">
        <v>131</v>
      </c>
      <c r="K101" s="12" t="s">
        <v>20</v>
      </c>
      <c r="L101" s="12">
        <v>1</v>
      </c>
      <c r="M101" s="17">
        <v>155556</v>
      </c>
      <c r="N101" s="17">
        <f t="shared" ref="N101:N164" si="11">L101*M101</f>
        <v>155556</v>
      </c>
      <c r="O101" s="12"/>
      <c r="P101" s="12">
        <f t="shared" si="9"/>
        <v>168</v>
      </c>
    </row>
    <row r="102" spans="1:16" hidden="1" x14ac:dyDescent="0.25">
      <c r="A102" s="12" t="s">
        <v>18</v>
      </c>
      <c r="B102" s="36">
        <v>46079</v>
      </c>
      <c r="C102" s="12">
        <f t="shared" si="10"/>
        <v>248</v>
      </c>
      <c r="D102" s="38">
        <f t="shared" si="6"/>
        <v>1</v>
      </c>
      <c r="E102" s="12"/>
      <c r="G102" s="12" t="s">
        <v>2071</v>
      </c>
      <c r="H102" s="12" t="s">
        <v>2072</v>
      </c>
      <c r="I102" s="12">
        <v>131</v>
      </c>
      <c r="J102" s="12">
        <v>5113</v>
      </c>
      <c r="K102" s="12" t="s">
        <v>20</v>
      </c>
      <c r="L102" s="12">
        <v>1</v>
      </c>
      <c r="M102" s="17">
        <v>14313131</v>
      </c>
      <c r="N102" s="17">
        <f t="shared" si="11"/>
        <v>14313131</v>
      </c>
      <c r="O102" s="12"/>
      <c r="P102" s="12">
        <f t="shared" si="9"/>
        <v>102</v>
      </c>
    </row>
    <row r="103" spans="1:16" x14ac:dyDescent="0.25">
      <c r="A103" s="12" t="s">
        <v>18</v>
      </c>
      <c r="B103" s="36">
        <v>46079</v>
      </c>
      <c r="C103" s="12">
        <f t="shared" si="10"/>
        <v>249</v>
      </c>
      <c r="D103" s="38">
        <f t="shared" si="6"/>
        <v>1</v>
      </c>
      <c r="E103" s="12"/>
      <c r="G103" s="12" t="s">
        <v>2071</v>
      </c>
      <c r="H103" s="12" t="s">
        <v>3100</v>
      </c>
      <c r="I103" s="12">
        <v>333821</v>
      </c>
      <c r="J103" s="12">
        <v>131</v>
      </c>
      <c r="K103" s="12" t="s">
        <v>20</v>
      </c>
      <c r="L103" s="12">
        <v>1</v>
      </c>
      <c r="M103" s="17">
        <v>143131</v>
      </c>
      <c r="N103" s="17">
        <f t="shared" si="11"/>
        <v>143131</v>
      </c>
      <c r="O103" s="12"/>
      <c r="P103" s="12">
        <f t="shared" si="9"/>
        <v>118</v>
      </c>
    </row>
    <row r="104" spans="1:16" hidden="1" x14ac:dyDescent="0.25">
      <c r="A104" s="12" t="s">
        <v>18</v>
      </c>
      <c r="B104" s="36">
        <v>46086</v>
      </c>
      <c r="C104" s="12">
        <f t="shared" si="10"/>
        <v>250</v>
      </c>
      <c r="D104" s="38">
        <f t="shared" si="6"/>
        <v>1</v>
      </c>
      <c r="E104" s="12"/>
      <c r="G104" s="12" t="s">
        <v>29</v>
      </c>
      <c r="H104" s="12" t="s">
        <v>2073</v>
      </c>
      <c r="I104" s="12">
        <v>131</v>
      </c>
      <c r="J104" s="12">
        <v>5113</v>
      </c>
      <c r="K104" s="12" t="s">
        <v>20</v>
      </c>
      <c r="L104" s="12">
        <v>1</v>
      </c>
      <c r="M104" s="17">
        <v>1111111</v>
      </c>
      <c r="N104" s="17">
        <f t="shared" si="11"/>
        <v>1111111</v>
      </c>
      <c r="O104" s="12"/>
      <c r="P104" s="12">
        <f t="shared" si="9"/>
        <v>147</v>
      </c>
    </row>
    <row r="105" spans="1:16" x14ac:dyDescent="0.25">
      <c r="A105" s="12" t="s">
        <v>18</v>
      </c>
      <c r="B105" s="36">
        <v>46086</v>
      </c>
      <c r="C105" s="12">
        <f t="shared" si="10"/>
        <v>251</v>
      </c>
      <c r="D105" s="38">
        <f t="shared" si="6"/>
        <v>1</v>
      </c>
      <c r="E105" s="12"/>
      <c r="G105" s="12" t="s">
        <v>29</v>
      </c>
      <c r="H105" s="12" t="s">
        <v>3101</v>
      </c>
      <c r="I105" s="12">
        <v>333821</v>
      </c>
      <c r="J105" s="12">
        <v>131</v>
      </c>
      <c r="K105" s="12" t="s">
        <v>20</v>
      </c>
      <c r="L105" s="12">
        <v>1</v>
      </c>
      <c r="M105" s="17">
        <v>11111</v>
      </c>
      <c r="N105" s="17">
        <f t="shared" si="11"/>
        <v>11111</v>
      </c>
      <c r="O105" s="12"/>
      <c r="P105" s="12">
        <f t="shared" si="9"/>
        <v>163</v>
      </c>
    </row>
    <row r="106" spans="1:16" hidden="1" x14ac:dyDescent="0.25">
      <c r="A106" s="12" t="s">
        <v>18</v>
      </c>
      <c r="B106" s="36">
        <v>46090</v>
      </c>
      <c r="C106" s="12">
        <f t="shared" si="10"/>
        <v>252</v>
      </c>
      <c r="D106" s="38">
        <f t="shared" si="6"/>
        <v>1</v>
      </c>
      <c r="E106" s="12"/>
      <c r="G106" s="130" t="s">
        <v>39</v>
      </c>
      <c r="H106" s="12" t="s">
        <v>2074</v>
      </c>
      <c r="I106" s="12">
        <v>131</v>
      </c>
      <c r="J106" s="12">
        <v>5113</v>
      </c>
      <c r="K106" s="12" t="s">
        <v>20</v>
      </c>
      <c r="L106" s="12">
        <v>1</v>
      </c>
      <c r="M106" s="17">
        <v>14444444</v>
      </c>
      <c r="N106" s="17">
        <f t="shared" si="11"/>
        <v>14444444</v>
      </c>
      <c r="O106" s="12"/>
      <c r="P106" s="12">
        <f t="shared" si="9"/>
        <v>70</v>
      </c>
    </row>
    <row r="107" spans="1:16" x14ac:dyDescent="0.25">
      <c r="A107" s="12" t="s">
        <v>18</v>
      </c>
      <c r="B107" s="36">
        <v>46090</v>
      </c>
      <c r="C107" s="12">
        <f t="shared" si="10"/>
        <v>253</v>
      </c>
      <c r="D107" s="38">
        <f t="shared" si="6"/>
        <v>1</v>
      </c>
      <c r="E107" s="12"/>
      <c r="G107" s="130" t="s">
        <v>39</v>
      </c>
      <c r="H107" s="12" t="s">
        <v>3102</v>
      </c>
      <c r="I107" s="12">
        <v>333821</v>
      </c>
      <c r="J107" s="12">
        <v>131</v>
      </c>
      <c r="K107" s="12" t="s">
        <v>20</v>
      </c>
      <c r="L107" s="12">
        <v>1</v>
      </c>
      <c r="M107" s="17">
        <v>144444</v>
      </c>
      <c r="N107" s="17">
        <f t="shared" si="11"/>
        <v>144444</v>
      </c>
      <c r="O107" s="12"/>
      <c r="P107" s="12">
        <f t="shared" si="9"/>
        <v>86</v>
      </c>
    </row>
    <row r="108" spans="1:16" hidden="1" x14ac:dyDescent="0.25">
      <c r="A108" s="12" t="s">
        <v>18</v>
      </c>
      <c r="B108" s="36">
        <v>46091</v>
      </c>
      <c r="C108" s="12">
        <f t="shared" si="10"/>
        <v>254</v>
      </c>
      <c r="D108" s="38">
        <f t="shared" si="6"/>
        <v>1</v>
      </c>
      <c r="E108" s="12"/>
      <c r="F108" s="12"/>
      <c r="G108" s="12" t="s">
        <v>98</v>
      </c>
      <c r="H108" s="12" t="s">
        <v>2075</v>
      </c>
      <c r="I108" s="12">
        <v>131</v>
      </c>
      <c r="J108" s="12">
        <v>5113</v>
      </c>
      <c r="K108" s="12" t="s">
        <v>20</v>
      </c>
      <c r="L108" s="12">
        <v>1</v>
      </c>
      <c r="M108" s="17">
        <v>11111111</v>
      </c>
      <c r="N108" s="17">
        <f t="shared" si="11"/>
        <v>11111111</v>
      </c>
      <c r="O108" s="12"/>
      <c r="P108" s="12">
        <f t="shared" si="9"/>
        <v>152</v>
      </c>
    </row>
    <row r="109" spans="1:16" x14ac:dyDescent="0.25">
      <c r="A109" s="12" t="s">
        <v>18</v>
      </c>
      <c r="B109" s="36">
        <v>46091</v>
      </c>
      <c r="C109" s="12">
        <f t="shared" ref="C109:C172" si="12">C108+D109</f>
        <v>255</v>
      </c>
      <c r="D109" s="38">
        <f t="shared" si="6"/>
        <v>1</v>
      </c>
      <c r="E109" s="12"/>
      <c r="G109" s="130" t="s">
        <v>98</v>
      </c>
      <c r="H109" s="12" t="s">
        <v>3103</v>
      </c>
      <c r="I109" s="12">
        <v>333821</v>
      </c>
      <c r="J109" s="12">
        <v>131</v>
      </c>
      <c r="K109" s="12" t="s">
        <v>20</v>
      </c>
      <c r="L109" s="12">
        <v>1</v>
      </c>
      <c r="M109" s="17">
        <v>111111</v>
      </c>
      <c r="N109" s="17">
        <f t="shared" si="11"/>
        <v>111111</v>
      </c>
      <c r="O109" s="12"/>
      <c r="P109" s="12">
        <f t="shared" si="9"/>
        <v>168</v>
      </c>
    </row>
    <row r="110" spans="1:16" hidden="1" x14ac:dyDescent="0.25">
      <c r="A110" s="12" t="s">
        <v>18</v>
      </c>
      <c r="B110" s="36">
        <v>46092</v>
      </c>
      <c r="C110" s="12">
        <f t="shared" si="12"/>
        <v>256</v>
      </c>
      <c r="D110" s="38">
        <f t="shared" si="6"/>
        <v>1</v>
      </c>
      <c r="E110" s="12"/>
      <c r="F110" s="12"/>
      <c r="G110" s="130" t="s">
        <v>2076</v>
      </c>
      <c r="H110" s="12" t="s">
        <v>2077</v>
      </c>
      <c r="I110" s="12">
        <v>131</v>
      </c>
      <c r="J110" s="12">
        <v>5113</v>
      </c>
      <c r="K110" s="12" t="s">
        <v>20</v>
      </c>
      <c r="L110" s="12">
        <v>1</v>
      </c>
      <c r="M110" s="17">
        <v>22222222</v>
      </c>
      <c r="N110" s="17">
        <f t="shared" si="11"/>
        <v>22222222</v>
      </c>
      <c r="O110" s="12"/>
      <c r="P110" s="12">
        <f t="shared" si="9"/>
        <v>146</v>
      </c>
    </row>
    <row r="111" spans="1:16" x14ac:dyDescent="0.25">
      <c r="A111" s="12" t="s">
        <v>18</v>
      </c>
      <c r="B111" s="36">
        <v>46092</v>
      </c>
      <c r="C111" s="12">
        <f t="shared" si="12"/>
        <v>257</v>
      </c>
      <c r="D111" s="38">
        <f t="shared" si="6"/>
        <v>1</v>
      </c>
      <c r="E111" s="12"/>
      <c r="G111" s="130" t="s">
        <v>2076</v>
      </c>
      <c r="H111" s="12" t="s">
        <v>3104</v>
      </c>
      <c r="I111" s="12">
        <v>333821</v>
      </c>
      <c r="J111" s="12">
        <v>131</v>
      </c>
      <c r="K111" s="12" t="s">
        <v>20</v>
      </c>
      <c r="L111" s="12">
        <v>1</v>
      </c>
      <c r="M111" s="17">
        <v>222222</v>
      </c>
      <c r="N111" s="17">
        <f t="shared" si="11"/>
        <v>222222</v>
      </c>
      <c r="O111" s="12"/>
      <c r="P111" s="12">
        <f t="shared" si="9"/>
        <v>162</v>
      </c>
    </row>
    <row r="112" spans="1:16" hidden="1" x14ac:dyDescent="0.25">
      <c r="A112" s="12" t="s">
        <v>18</v>
      </c>
      <c r="B112" s="36">
        <v>46092</v>
      </c>
      <c r="C112" s="12">
        <f t="shared" si="12"/>
        <v>258</v>
      </c>
      <c r="D112" s="38">
        <f t="shared" si="6"/>
        <v>1</v>
      </c>
      <c r="E112" s="12"/>
      <c r="F112" s="12"/>
      <c r="G112" s="12" t="s">
        <v>84</v>
      </c>
      <c r="H112" s="12" t="s">
        <v>2078</v>
      </c>
      <c r="I112" s="12">
        <v>131</v>
      </c>
      <c r="J112" s="12">
        <v>5113</v>
      </c>
      <c r="K112" s="12" t="s">
        <v>20</v>
      </c>
      <c r="L112" s="12">
        <v>1</v>
      </c>
      <c r="M112" s="17">
        <v>17204301</v>
      </c>
      <c r="N112" s="17">
        <f t="shared" si="11"/>
        <v>17204301</v>
      </c>
      <c r="O112" s="12"/>
      <c r="P112" s="12">
        <f t="shared" si="9"/>
        <v>153</v>
      </c>
    </row>
    <row r="113" spans="1:16" x14ac:dyDescent="0.25">
      <c r="A113" s="12" t="s">
        <v>18</v>
      </c>
      <c r="B113" s="36">
        <v>46092</v>
      </c>
      <c r="C113" s="12">
        <f t="shared" si="12"/>
        <v>259</v>
      </c>
      <c r="D113" s="38">
        <f t="shared" si="6"/>
        <v>1</v>
      </c>
      <c r="E113" s="12"/>
      <c r="G113" s="130" t="s">
        <v>84</v>
      </c>
      <c r="H113" s="12" t="s">
        <v>3105</v>
      </c>
      <c r="I113" s="12">
        <v>333821</v>
      </c>
      <c r="J113" s="12">
        <v>131</v>
      </c>
      <c r="K113" s="12" t="s">
        <v>20</v>
      </c>
      <c r="L113" s="12">
        <v>1</v>
      </c>
      <c r="M113" s="17">
        <v>172043</v>
      </c>
      <c r="N113" s="17">
        <f t="shared" si="11"/>
        <v>172043</v>
      </c>
      <c r="O113" s="12"/>
      <c r="P113" s="12">
        <f t="shared" si="9"/>
        <v>169</v>
      </c>
    </row>
    <row r="114" spans="1:16" hidden="1" x14ac:dyDescent="0.25">
      <c r="A114" s="12" t="s">
        <v>18</v>
      </c>
      <c r="B114" s="36">
        <v>46092</v>
      </c>
      <c r="C114" s="12">
        <f t="shared" si="12"/>
        <v>260</v>
      </c>
      <c r="D114" s="38">
        <f t="shared" si="6"/>
        <v>1</v>
      </c>
      <c r="E114" s="12"/>
      <c r="F114" s="12"/>
      <c r="G114" s="130" t="s">
        <v>98</v>
      </c>
      <c r="H114" s="12" t="s">
        <v>2079</v>
      </c>
      <c r="I114" s="12">
        <v>131</v>
      </c>
      <c r="J114" s="12">
        <v>5113</v>
      </c>
      <c r="K114" s="12" t="s">
        <v>20</v>
      </c>
      <c r="L114" s="12">
        <v>1</v>
      </c>
      <c r="M114" s="17">
        <v>11111111</v>
      </c>
      <c r="N114" s="17">
        <f t="shared" si="11"/>
        <v>11111111</v>
      </c>
      <c r="O114" s="12"/>
      <c r="P114" s="12">
        <f t="shared" si="9"/>
        <v>152</v>
      </c>
    </row>
    <row r="115" spans="1:16" x14ac:dyDescent="0.25">
      <c r="A115" s="12" t="s">
        <v>18</v>
      </c>
      <c r="B115" s="36">
        <v>46092</v>
      </c>
      <c r="C115" s="12">
        <f t="shared" si="12"/>
        <v>261</v>
      </c>
      <c r="D115" s="38">
        <f t="shared" si="6"/>
        <v>1</v>
      </c>
      <c r="E115" s="12"/>
      <c r="G115" s="130" t="s">
        <v>98</v>
      </c>
      <c r="H115" s="12" t="s">
        <v>3106</v>
      </c>
      <c r="I115" s="12">
        <v>333821</v>
      </c>
      <c r="J115" s="12">
        <v>131</v>
      </c>
      <c r="K115" s="12" t="s">
        <v>20</v>
      </c>
      <c r="L115" s="12">
        <v>1</v>
      </c>
      <c r="M115" s="17">
        <v>111111</v>
      </c>
      <c r="N115" s="17">
        <f t="shared" si="11"/>
        <v>111111</v>
      </c>
      <c r="O115" s="12"/>
      <c r="P115" s="12">
        <f t="shared" si="9"/>
        <v>168</v>
      </c>
    </row>
    <row r="116" spans="1:16" hidden="1" x14ac:dyDescent="0.25">
      <c r="A116" s="12" t="s">
        <v>18</v>
      </c>
      <c r="B116" s="36">
        <v>46093</v>
      </c>
      <c r="C116" s="12">
        <f t="shared" ref="C116:C119" si="13">C115+D116</f>
        <v>262</v>
      </c>
      <c r="D116" s="38">
        <f t="shared" si="6"/>
        <v>1</v>
      </c>
      <c r="E116" s="12"/>
      <c r="F116" s="12"/>
      <c r="G116" s="91" t="s">
        <v>55</v>
      </c>
      <c r="H116" s="89" t="s">
        <v>2080</v>
      </c>
      <c r="I116" s="12">
        <v>131</v>
      </c>
      <c r="J116" s="12">
        <v>5113</v>
      </c>
      <c r="K116" s="12" t="s">
        <v>20</v>
      </c>
      <c r="L116" s="12">
        <v>1</v>
      </c>
      <c r="M116" s="17">
        <v>13333333</v>
      </c>
      <c r="N116" s="17">
        <f t="shared" si="11"/>
        <v>13333333</v>
      </c>
      <c r="O116" s="12"/>
      <c r="P116" s="12">
        <f t="shared" si="9"/>
        <v>122</v>
      </c>
    </row>
    <row r="117" spans="1:16" x14ac:dyDescent="0.25">
      <c r="A117" s="12" t="s">
        <v>18</v>
      </c>
      <c r="B117" s="36">
        <v>46093</v>
      </c>
      <c r="C117" s="12">
        <f t="shared" si="13"/>
        <v>263</v>
      </c>
      <c r="D117" s="38">
        <f t="shared" si="6"/>
        <v>1</v>
      </c>
      <c r="E117" s="12"/>
      <c r="G117" s="91" t="s">
        <v>55</v>
      </c>
      <c r="H117" s="12" t="s">
        <v>3107</v>
      </c>
      <c r="I117" s="12">
        <v>333821</v>
      </c>
      <c r="J117" s="12">
        <v>131</v>
      </c>
      <c r="K117" s="12" t="s">
        <v>20</v>
      </c>
      <c r="L117" s="12">
        <v>1</v>
      </c>
      <c r="M117" s="17">
        <v>133333</v>
      </c>
      <c r="N117" s="17">
        <f t="shared" si="11"/>
        <v>133333</v>
      </c>
      <c r="O117" s="12"/>
      <c r="P117" s="12">
        <f t="shared" si="9"/>
        <v>138</v>
      </c>
    </row>
    <row r="118" spans="1:16" hidden="1" x14ac:dyDescent="0.25">
      <c r="A118" s="12" t="s">
        <v>18</v>
      </c>
      <c r="B118" s="36">
        <v>46093</v>
      </c>
      <c r="C118" s="12">
        <f t="shared" si="13"/>
        <v>264</v>
      </c>
      <c r="D118" s="38">
        <f t="shared" si="6"/>
        <v>1</v>
      </c>
      <c r="E118" s="12"/>
      <c r="F118" s="12"/>
      <c r="G118" s="91" t="s">
        <v>72</v>
      </c>
      <c r="H118" s="89" t="s">
        <v>2081</v>
      </c>
      <c r="I118" s="12">
        <v>131</v>
      </c>
      <c r="J118" s="12">
        <v>5113</v>
      </c>
      <c r="K118" s="12" t="s">
        <v>20</v>
      </c>
      <c r="L118" s="12">
        <v>1</v>
      </c>
      <c r="M118" s="17">
        <v>13333333</v>
      </c>
      <c r="N118" s="17">
        <f t="shared" si="11"/>
        <v>13333333</v>
      </c>
      <c r="O118" s="12"/>
      <c r="P118" s="12">
        <f t="shared" si="9"/>
        <v>152</v>
      </c>
    </row>
    <row r="119" spans="1:16" x14ac:dyDescent="0.25">
      <c r="A119" s="12" t="s">
        <v>18</v>
      </c>
      <c r="B119" s="36">
        <v>46093</v>
      </c>
      <c r="C119" s="12">
        <f t="shared" si="13"/>
        <v>265</v>
      </c>
      <c r="D119" s="38">
        <f t="shared" si="6"/>
        <v>1</v>
      </c>
      <c r="E119" s="12"/>
      <c r="G119" s="91" t="s">
        <v>72</v>
      </c>
      <c r="H119" s="12" t="s">
        <v>3108</v>
      </c>
      <c r="I119" s="12">
        <v>333821</v>
      </c>
      <c r="J119" s="12">
        <v>131</v>
      </c>
      <c r="K119" s="12" t="s">
        <v>20</v>
      </c>
      <c r="L119" s="12">
        <v>1</v>
      </c>
      <c r="M119" s="17">
        <v>133333</v>
      </c>
      <c r="N119" s="17">
        <f t="shared" si="11"/>
        <v>133333</v>
      </c>
      <c r="O119" s="12"/>
      <c r="P119" s="12">
        <f t="shared" si="9"/>
        <v>168</v>
      </c>
    </row>
    <row r="120" spans="1:16" hidden="1" x14ac:dyDescent="0.25">
      <c r="A120" s="12" t="s">
        <v>18</v>
      </c>
      <c r="B120" s="36">
        <v>46098</v>
      </c>
      <c r="C120" s="12">
        <f t="shared" si="12"/>
        <v>266</v>
      </c>
      <c r="D120" s="38">
        <f t="shared" si="6"/>
        <v>1</v>
      </c>
      <c r="E120" s="12"/>
      <c r="F120" s="12"/>
      <c r="G120" s="130" t="s">
        <v>64</v>
      </c>
      <c r="H120" s="12" t="s">
        <v>2082</v>
      </c>
      <c r="I120" s="12">
        <v>131</v>
      </c>
      <c r="J120" s="12">
        <v>5113</v>
      </c>
      <c r="K120" s="12" t="s">
        <v>20</v>
      </c>
      <c r="L120" s="12">
        <v>1</v>
      </c>
      <c r="M120" s="17">
        <v>20000000</v>
      </c>
      <c r="N120" s="17">
        <f t="shared" si="11"/>
        <v>20000000</v>
      </c>
      <c r="O120" s="12"/>
      <c r="P120" s="12">
        <f t="shared" si="9"/>
        <v>157</v>
      </c>
    </row>
    <row r="121" spans="1:16" x14ac:dyDescent="0.25">
      <c r="A121" s="12" t="s">
        <v>18</v>
      </c>
      <c r="B121" s="36">
        <v>46098</v>
      </c>
      <c r="C121" s="12">
        <f t="shared" si="12"/>
        <v>267</v>
      </c>
      <c r="D121" s="38">
        <f t="shared" si="6"/>
        <v>1</v>
      </c>
      <c r="E121" s="12"/>
      <c r="G121" s="130" t="s">
        <v>64</v>
      </c>
      <c r="H121" s="12" t="s">
        <v>3109</v>
      </c>
      <c r="I121" s="12">
        <v>333821</v>
      </c>
      <c r="J121" s="12">
        <v>131</v>
      </c>
      <c r="K121" s="12" t="s">
        <v>20</v>
      </c>
      <c r="L121" s="12">
        <v>1</v>
      </c>
      <c r="M121" s="17">
        <v>200000</v>
      </c>
      <c r="N121" s="17">
        <f t="shared" si="11"/>
        <v>200000</v>
      </c>
      <c r="O121" s="12"/>
      <c r="P121" s="12">
        <f t="shared" si="9"/>
        <v>173</v>
      </c>
    </row>
    <row r="122" spans="1:16" hidden="1" x14ac:dyDescent="0.25">
      <c r="A122" s="12" t="s">
        <v>18</v>
      </c>
      <c r="B122" s="36">
        <v>46098</v>
      </c>
      <c r="C122" s="12">
        <f t="shared" si="12"/>
        <v>268</v>
      </c>
      <c r="D122" s="38">
        <f t="shared" si="6"/>
        <v>1</v>
      </c>
      <c r="E122" s="12"/>
      <c r="F122" s="12"/>
      <c r="G122" s="130" t="s">
        <v>64</v>
      </c>
      <c r="H122" s="12" t="s">
        <v>2083</v>
      </c>
      <c r="I122" s="12">
        <v>131</v>
      </c>
      <c r="J122" s="12">
        <v>5113</v>
      </c>
      <c r="K122" s="12" t="s">
        <v>20</v>
      </c>
      <c r="L122" s="12">
        <v>1</v>
      </c>
      <c r="M122" s="17">
        <v>20000000</v>
      </c>
      <c r="N122" s="17">
        <f t="shared" si="11"/>
        <v>20000000</v>
      </c>
      <c r="O122" s="12"/>
      <c r="P122" s="12">
        <f t="shared" si="9"/>
        <v>149</v>
      </c>
    </row>
    <row r="123" spans="1:16" x14ac:dyDescent="0.25">
      <c r="A123" s="12" t="s">
        <v>18</v>
      </c>
      <c r="B123" s="36">
        <v>46098</v>
      </c>
      <c r="C123" s="12">
        <f t="shared" si="12"/>
        <v>269</v>
      </c>
      <c r="D123" s="38">
        <f t="shared" si="6"/>
        <v>1</v>
      </c>
      <c r="E123" s="12"/>
      <c r="G123" s="130" t="s">
        <v>64</v>
      </c>
      <c r="H123" s="12" t="s">
        <v>3110</v>
      </c>
      <c r="I123" s="12">
        <v>333821</v>
      </c>
      <c r="J123" s="12">
        <v>131</v>
      </c>
      <c r="K123" s="12" t="s">
        <v>20</v>
      </c>
      <c r="L123" s="12">
        <v>1</v>
      </c>
      <c r="M123" s="17">
        <v>200000</v>
      </c>
      <c r="N123" s="17">
        <f t="shared" si="11"/>
        <v>200000</v>
      </c>
      <c r="O123" s="12"/>
      <c r="P123" s="12">
        <f t="shared" si="9"/>
        <v>165</v>
      </c>
    </row>
    <row r="124" spans="1:16" hidden="1" x14ac:dyDescent="0.25">
      <c r="A124" s="12" t="s">
        <v>18</v>
      </c>
      <c r="B124" s="36">
        <v>46099</v>
      </c>
      <c r="C124" s="12">
        <f t="shared" si="12"/>
        <v>270</v>
      </c>
      <c r="D124" s="38">
        <f t="shared" si="6"/>
        <v>1</v>
      </c>
      <c r="E124" s="12"/>
      <c r="F124" s="12"/>
      <c r="G124" s="130" t="s">
        <v>2084</v>
      </c>
      <c r="H124" s="12" t="s">
        <v>2085</v>
      </c>
      <c r="I124" s="12">
        <v>131</v>
      </c>
      <c r="J124" s="12">
        <v>5113</v>
      </c>
      <c r="K124" s="12" t="s">
        <v>20</v>
      </c>
      <c r="L124" s="12">
        <v>1</v>
      </c>
      <c r="M124" s="17">
        <v>11111111</v>
      </c>
      <c r="N124" s="17">
        <f t="shared" si="11"/>
        <v>11111111</v>
      </c>
      <c r="O124" s="12"/>
      <c r="P124" s="12">
        <f t="shared" si="9"/>
        <v>146</v>
      </c>
    </row>
    <row r="125" spans="1:16" x14ac:dyDescent="0.25">
      <c r="A125" s="12" t="s">
        <v>18</v>
      </c>
      <c r="B125" s="36">
        <v>46099</v>
      </c>
      <c r="C125" s="12">
        <f t="shared" si="12"/>
        <v>271</v>
      </c>
      <c r="D125" s="38">
        <f t="shared" si="6"/>
        <v>1</v>
      </c>
      <c r="E125" s="12"/>
      <c r="G125" s="130" t="s">
        <v>2084</v>
      </c>
      <c r="H125" s="12" t="s">
        <v>3111</v>
      </c>
      <c r="I125" s="12">
        <v>333821</v>
      </c>
      <c r="J125" s="12">
        <v>131</v>
      </c>
      <c r="K125" s="12" t="s">
        <v>20</v>
      </c>
      <c r="L125" s="12">
        <v>1</v>
      </c>
      <c r="M125" s="17">
        <v>111111</v>
      </c>
      <c r="N125" s="17">
        <f t="shared" si="11"/>
        <v>111111</v>
      </c>
      <c r="O125" s="12"/>
      <c r="P125" s="12">
        <f t="shared" si="9"/>
        <v>162</v>
      </c>
    </row>
    <row r="126" spans="1:16" hidden="1" x14ac:dyDescent="0.25">
      <c r="A126" s="12" t="s">
        <v>18</v>
      </c>
      <c r="B126" s="36">
        <v>46100</v>
      </c>
      <c r="C126" s="12">
        <f t="shared" si="12"/>
        <v>272</v>
      </c>
      <c r="D126" s="38">
        <f t="shared" si="6"/>
        <v>1</v>
      </c>
      <c r="E126" s="12"/>
      <c r="F126" s="12"/>
      <c r="G126" s="130" t="s">
        <v>29</v>
      </c>
      <c r="H126" s="12" t="s">
        <v>2086</v>
      </c>
      <c r="I126" s="12">
        <v>131</v>
      </c>
      <c r="J126" s="12">
        <v>5113</v>
      </c>
      <c r="K126" s="12" t="s">
        <v>20</v>
      </c>
      <c r="L126" s="12">
        <v>1</v>
      </c>
      <c r="M126" s="17">
        <v>11111111</v>
      </c>
      <c r="N126" s="17">
        <f t="shared" si="11"/>
        <v>11111111</v>
      </c>
      <c r="O126" s="12"/>
      <c r="P126" s="12">
        <f t="shared" si="9"/>
        <v>139</v>
      </c>
    </row>
    <row r="127" spans="1:16" x14ac:dyDescent="0.25">
      <c r="A127" s="12" t="s">
        <v>18</v>
      </c>
      <c r="B127" s="36">
        <v>46100</v>
      </c>
      <c r="C127" s="12">
        <f t="shared" si="12"/>
        <v>273</v>
      </c>
      <c r="D127" s="38">
        <f t="shared" si="6"/>
        <v>1</v>
      </c>
      <c r="E127" s="12"/>
      <c r="G127" s="12" t="s">
        <v>29</v>
      </c>
      <c r="H127" s="12" t="s">
        <v>3112</v>
      </c>
      <c r="I127" s="12">
        <v>333821</v>
      </c>
      <c r="J127" s="12">
        <v>131</v>
      </c>
      <c r="K127" s="12" t="s">
        <v>20</v>
      </c>
      <c r="L127" s="12">
        <v>1</v>
      </c>
      <c r="M127" s="17">
        <v>111111</v>
      </c>
      <c r="N127" s="17">
        <f t="shared" si="11"/>
        <v>111111</v>
      </c>
      <c r="O127" s="12"/>
      <c r="P127" s="12">
        <f t="shared" si="9"/>
        <v>155</v>
      </c>
    </row>
    <row r="128" spans="1:16" hidden="1" x14ac:dyDescent="0.25">
      <c r="A128" s="12" t="s">
        <v>18</v>
      </c>
      <c r="B128" s="36">
        <v>46101</v>
      </c>
      <c r="C128" s="12">
        <f t="shared" si="12"/>
        <v>274</v>
      </c>
      <c r="D128" s="38">
        <f t="shared" si="6"/>
        <v>1</v>
      </c>
      <c r="E128" s="12"/>
      <c r="F128" s="12"/>
      <c r="G128" s="130" t="s">
        <v>26</v>
      </c>
      <c r="H128" s="12" t="s">
        <v>2087</v>
      </c>
      <c r="I128" s="12">
        <v>131</v>
      </c>
      <c r="J128" s="12">
        <v>5113</v>
      </c>
      <c r="K128" s="12" t="s">
        <v>20</v>
      </c>
      <c r="L128" s="12">
        <v>1</v>
      </c>
      <c r="M128" s="17">
        <v>13333333</v>
      </c>
      <c r="N128" s="17">
        <f t="shared" si="11"/>
        <v>13333333</v>
      </c>
      <c r="O128" s="12"/>
      <c r="P128" s="12">
        <f t="shared" si="9"/>
        <v>155</v>
      </c>
    </row>
    <row r="129" spans="1:16" x14ac:dyDescent="0.25">
      <c r="A129" s="12" t="s">
        <v>18</v>
      </c>
      <c r="B129" s="36">
        <v>46101</v>
      </c>
      <c r="C129" s="12">
        <f t="shared" si="12"/>
        <v>275</v>
      </c>
      <c r="D129" s="38">
        <f t="shared" si="6"/>
        <v>1</v>
      </c>
      <c r="E129" s="12"/>
      <c r="G129" s="130" t="s">
        <v>26</v>
      </c>
      <c r="H129" s="12" t="s">
        <v>3113</v>
      </c>
      <c r="I129" s="12">
        <v>333821</v>
      </c>
      <c r="J129" s="12">
        <v>131</v>
      </c>
      <c r="K129" s="12" t="s">
        <v>20</v>
      </c>
      <c r="L129" s="12">
        <v>1</v>
      </c>
      <c r="M129" s="17">
        <v>133333</v>
      </c>
      <c r="N129" s="17">
        <f t="shared" si="11"/>
        <v>133333</v>
      </c>
      <c r="O129" s="12"/>
      <c r="P129" s="12">
        <f t="shared" si="9"/>
        <v>171</v>
      </c>
    </row>
    <row r="130" spans="1:16" hidden="1" x14ac:dyDescent="0.25">
      <c r="A130" s="12" t="s">
        <v>18</v>
      </c>
      <c r="B130" s="36">
        <v>46104</v>
      </c>
      <c r="C130" s="12">
        <f t="shared" si="12"/>
        <v>276</v>
      </c>
      <c r="D130" s="38">
        <f t="shared" si="6"/>
        <v>1</v>
      </c>
      <c r="E130" s="12"/>
      <c r="F130" s="12"/>
      <c r="G130" s="130" t="s">
        <v>2047</v>
      </c>
      <c r="H130" s="12" t="s">
        <v>2088</v>
      </c>
      <c r="I130" s="12">
        <v>131</v>
      </c>
      <c r="J130" s="12">
        <v>5113</v>
      </c>
      <c r="K130" s="12" t="s">
        <v>20</v>
      </c>
      <c r="L130" s="12">
        <v>1</v>
      </c>
      <c r="M130" s="17">
        <v>6111111</v>
      </c>
      <c r="N130" s="17">
        <f t="shared" si="11"/>
        <v>6111111</v>
      </c>
      <c r="O130" s="12"/>
      <c r="P130" s="12">
        <f t="shared" si="9"/>
        <v>120</v>
      </c>
    </row>
    <row r="131" spans="1:16" x14ac:dyDescent="0.25">
      <c r="A131" s="12" t="s">
        <v>18</v>
      </c>
      <c r="B131" s="36">
        <v>46104</v>
      </c>
      <c r="C131" s="12">
        <f t="shared" si="12"/>
        <v>277</v>
      </c>
      <c r="D131" s="38">
        <f t="shared" si="6"/>
        <v>1</v>
      </c>
      <c r="E131" s="12"/>
      <c r="G131" s="130" t="s">
        <v>2047</v>
      </c>
      <c r="H131" s="12" t="s">
        <v>3114</v>
      </c>
      <c r="I131" s="12">
        <v>333821</v>
      </c>
      <c r="J131" s="12">
        <v>131</v>
      </c>
      <c r="K131" s="12" t="s">
        <v>20</v>
      </c>
      <c r="L131" s="12">
        <v>1</v>
      </c>
      <c r="M131" s="17">
        <v>61111</v>
      </c>
      <c r="N131" s="17">
        <f t="shared" si="11"/>
        <v>61111</v>
      </c>
      <c r="O131" s="12"/>
      <c r="P131" s="12">
        <f t="shared" si="9"/>
        <v>136</v>
      </c>
    </row>
    <row r="132" spans="1:16" hidden="1" x14ac:dyDescent="0.25">
      <c r="A132" s="12" t="s">
        <v>18</v>
      </c>
      <c r="B132" s="36">
        <v>46105</v>
      </c>
      <c r="C132" s="12">
        <f t="shared" si="12"/>
        <v>278</v>
      </c>
      <c r="D132" s="38">
        <f t="shared" ref="D132:D195" si="14">IF(H132=H131,0,1)</f>
        <v>1</v>
      </c>
      <c r="E132" s="12"/>
      <c r="F132" s="12"/>
      <c r="G132" s="130" t="s">
        <v>51</v>
      </c>
      <c r="H132" s="12" t="s">
        <v>2089</v>
      </c>
      <c r="I132" s="12">
        <v>131</v>
      </c>
      <c r="J132" s="12">
        <v>5113</v>
      </c>
      <c r="K132" s="12" t="s">
        <v>20</v>
      </c>
      <c r="L132" s="12">
        <v>1</v>
      </c>
      <c r="M132" s="17">
        <v>11111111</v>
      </c>
      <c r="N132" s="17">
        <f t="shared" si="11"/>
        <v>11111111</v>
      </c>
      <c r="O132" s="12"/>
      <c r="P132" s="12">
        <f t="shared" si="9"/>
        <v>164</v>
      </c>
    </row>
    <row r="133" spans="1:16" x14ac:dyDescent="0.25">
      <c r="A133" s="12" t="s">
        <v>18</v>
      </c>
      <c r="B133" s="36">
        <v>46105</v>
      </c>
      <c r="C133" s="12">
        <f t="shared" si="12"/>
        <v>279</v>
      </c>
      <c r="D133" s="38">
        <f t="shared" si="14"/>
        <v>1</v>
      </c>
      <c r="E133" s="12"/>
      <c r="G133" s="130" t="s">
        <v>51</v>
      </c>
      <c r="H133" s="12" t="s">
        <v>3115</v>
      </c>
      <c r="I133" s="12">
        <v>333821</v>
      </c>
      <c r="J133" s="12">
        <v>131</v>
      </c>
      <c r="K133" s="12" t="s">
        <v>20</v>
      </c>
      <c r="L133" s="12">
        <v>1</v>
      </c>
      <c r="M133" s="17">
        <v>111111</v>
      </c>
      <c r="N133" s="17">
        <f t="shared" si="11"/>
        <v>111111</v>
      </c>
      <c r="O133" s="12"/>
      <c r="P133" s="12">
        <f t="shared" ref="P133:P150" si="15">LEN(H133)</f>
        <v>180</v>
      </c>
    </row>
    <row r="134" spans="1:16" hidden="1" x14ac:dyDescent="0.25">
      <c r="A134" s="12" t="s">
        <v>18</v>
      </c>
      <c r="B134" s="36">
        <v>46106</v>
      </c>
      <c r="C134" s="12">
        <f t="shared" si="12"/>
        <v>280</v>
      </c>
      <c r="D134" s="38">
        <f t="shared" si="14"/>
        <v>1</v>
      </c>
      <c r="E134" s="12"/>
      <c r="F134" s="12"/>
      <c r="G134" s="130" t="s">
        <v>29</v>
      </c>
      <c r="H134" s="12" t="s">
        <v>2090</v>
      </c>
      <c r="I134" s="12">
        <v>131</v>
      </c>
      <c r="J134" s="12">
        <v>5113</v>
      </c>
      <c r="K134" s="12" t="s">
        <v>20</v>
      </c>
      <c r="L134" s="12">
        <v>1</v>
      </c>
      <c r="M134" s="17">
        <v>16666667</v>
      </c>
      <c r="N134" s="17">
        <f t="shared" si="11"/>
        <v>16666667</v>
      </c>
      <c r="O134" s="12"/>
      <c r="P134" s="12">
        <f t="shared" si="15"/>
        <v>157</v>
      </c>
    </row>
    <row r="135" spans="1:16" x14ac:dyDescent="0.25">
      <c r="A135" s="12" t="s">
        <v>18</v>
      </c>
      <c r="B135" s="36">
        <v>46106</v>
      </c>
      <c r="C135" s="12">
        <f t="shared" si="12"/>
        <v>281</v>
      </c>
      <c r="D135" s="38">
        <f t="shared" si="14"/>
        <v>1</v>
      </c>
      <c r="E135" s="12"/>
      <c r="G135" s="130" t="s">
        <v>29</v>
      </c>
      <c r="H135" s="12" t="s">
        <v>3116</v>
      </c>
      <c r="I135" s="12">
        <v>333821</v>
      </c>
      <c r="J135" s="12">
        <v>131</v>
      </c>
      <c r="K135" s="12" t="s">
        <v>20</v>
      </c>
      <c r="L135" s="12">
        <v>1</v>
      </c>
      <c r="M135" s="17">
        <v>166667</v>
      </c>
      <c r="N135" s="17">
        <f t="shared" si="11"/>
        <v>166667</v>
      </c>
      <c r="O135" s="12"/>
      <c r="P135" s="12">
        <f t="shared" si="15"/>
        <v>173</v>
      </c>
    </row>
    <row r="136" spans="1:16" hidden="1" x14ac:dyDescent="0.25">
      <c r="A136" s="12" t="s">
        <v>18</v>
      </c>
      <c r="B136" s="36">
        <v>46107</v>
      </c>
      <c r="C136" s="12">
        <f t="shared" si="12"/>
        <v>282</v>
      </c>
      <c r="D136" s="38">
        <f t="shared" si="14"/>
        <v>1</v>
      </c>
      <c r="E136" s="12"/>
      <c r="F136" s="12"/>
      <c r="G136" s="130" t="s">
        <v>2047</v>
      </c>
      <c r="H136" s="12" t="s">
        <v>2091</v>
      </c>
      <c r="I136" s="12">
        <v>131</v>
      </c>
      <c r="J136" s="12">
        <v>5113</v>
      </c>
      <c r="K136" s="12" t="s">
        <v>20</v>
      </c>
      <c r="L136" s="12">
        <v>1</v>
      </c>
      <c r="M136" s="17">
        <v>6111111</v>
      </c>
      <c r="N136" s="17">
        <f t="shared" si="11"/>
        <v>6111111</v>
      </c>
      <c r="O136" s="12"/>
      <c r="P136" s="12">
        <f t="shared" si="15"/>
        <v>162</v>
      </c>
    </row>
    <row r="137" spans="1:16" x14ac:dyDescent="0.25">
      <c r="A137" s="12" t="s">
        <v>18</v>
      </c>
      <c r="B137" s="36">
        <v>46107</v>
      </c>
      <c r="C137" s="12">
        <f t="shared" si="12"/>
        <v>283</v>
      </c>
      <c r="D137" s="38">
        <f t="shared" si="14"/>
        <v>1</v>
      </c>
      <c r="E137" s="12"/>
      <c r="G137" s="130" t="s">
        <v>2047</v>
      </c>
      <c r="H137" s="12" t="s">
        <v>3117</v>
      </c>
      <c r="I137" s="12">
        <v>333821</v>
      </c>
      <c r="J137" s="12">
        <v>131</v>
      </c>
      <c r="K137" s="12" t="s">
        <v>20</v>
      </c>
      <c r="L137" s="12">
        <v>1</v>
      </c>
      <c r="M137" s="17">
        <v>61111</v>
      </c>
      <c r="N137" s="17">
        <f t="shared" si="11"/>
        <v>61111</v>
      </c>
      <c r="O137" s="12"/>
      <c r="P137" s="12">
        <f t="shared" si="15"/>
        <v>178</v>
      </c>
    </row>
    <row r="138" spans="1:16" hidden="1" x14ac:dyDescent="0.25">
      <c r="A138" s="12" t="s">
        <v>18</v>
      </c>
      <c r="B138" s="36">
        <v>46111</v>
      </c>
      <c r="C138" s="12">
        <f t="shared" si="12"/>
        <v>284</v>
      </c>
      <c r="D138" s="38">
        <f t="shared" si="14"/>
        <v>1</v>
      </c>
      <c r="E138" s="12"/>
      <c r="F138" s="12"/>
      <c r="G138" s="130" t="s">
        <v>26</v>
      </c>
      <c r="H138" s="12" t="s">
        <v>2092</v>
      </c>
      <c r="I138" s="12">
        <v>131</v>
      </c>
      <c r="J138" s="12">
        <v>5113</v>
      </c>
      <c r="K138" s="12" t="s">
        <v>20</v>
      </c>
      <c r="L138" s="12">
        <v>1</v>
      </c>
      <c r="M138" s="17">
        <v>13333333</v>
      </c>
      <c r="N138" s="17">
        <f t="shared" si="11"/>
        <v>13333333</v>
      </c>
      <c r="O138" s="12"/>
      <c r="P138" s="12">
        <f t="shared" si="15"/>
        <v>152</v>
      </c>
    </row>
    <row r="139" spans="1:16" x14ac:dyDescent="0.25">
      <c r="A139" s="12" t="s">
        <v>18</v>
      </c>
      <c r="B139" s="36">
        <v>46111</v>
      </c>
      <c r="C139" s="12">
        <f t="shared" si="12"/>
        <v>285</v>
      </c>
      <c r="D139" s="38">
        <f t="shared" si="14"/>
        <v>1</v>
      </c>
      <c r="E139" s="12"/>
      <c r="G139" s="130" t="s">
        <v>26</v>
      </c>
      <c r="H139" s="12" t="s">
        <v>3118</v>
      </c>
      <c r="I139" s="12">
        <v>333821</v>
      </c>
      <c r="J139" s="12">
        <v>131</v>
      </c>
      <c r="K139" s="12" t="s">
        <v>20</v>
      </c>
      <c r="L139" s="12">
        <v>1</v>
      </c>
      <c r="M139" s="17">
        <v>133333</v>
      </c>
      <c r="N139" s="17">
        <f t="shared" si="11"/>
        <v>133333</v>
      </c>
      <c r="O139" s="12"/>
      <c r="P139" s="12">
        <f t="shared" si="15"/>
        <v>168</v>
      </c>
    </row>
    <row r="140" spans="1:16" hidden="1" x14ac:dyDescent="0.25">
      <c r="A140" s="12" t="s">
        <v>18</v>
      </c>
      <c r="B140" s="36">
        <v>46111</v>
      </c>
      <c r="C140" s="12">
        <f t="shared" si="12"/>
        <v>286</v>
      </c>
      <c r="D140" s="38">
        <f t="shared" si="14"/>
        <v>1</v>
      </c>
      <c r="E140" s="12"/>
      <c r="F140" s="12"/>
      <c r="G140" s="130" t="s">
        <v>29</v>
      </c>
      <c r="H140" s="12" t="s">
        <v>2093</v>
      </c>
      <c r="I140" s="12">
        <v>131</v>
      </c>
      <c r="J140" s="12">
        <v>5113</v>
      </c>
      <c r="K140" s="12" t="s">
        <v>20</v>
      </c>
      <c r="L140" s="12">
        <v>1</v>
      </c>
      <c r="M140" s="17">
        <v>12222222</v>
      </c>
      <c r="N140" s="17">
        <f t="shared" si="11"/>
        <v>12222222</v>
      </c>
      <c r="O140" s="12"/>
      <c r="P140" s="12">
        <f t="shared" si="15"/>
        <v>130</v>
      </c>
    </row>
    <row r="141" spans="1:16" x14ac:dyDescent="0.25">
      <c r="A141" s="12" t="s">
        <v>18</v>
      </c>
      <c r="B141" s="36">
        <v>46111</v>
      </c>
      <c r="C141" s="12">
        <f t="shared" si="12"/>
        <v>287</v>
      </c>
      <c r="D141" s="38">
        <f t="shared" si="14"/>
        <v>1</v>
      </c>
      <c r="E141" s="12"/>
      <c r="G141" s="130" t="s">
        <v>29</v>
      </c>
      <c r="H141" s="12" t="s">
        <v>3119</v>
      </c>
      <c r="I141" s="12">
        <v>333821</v>
      </c>
      <c r="J141" s="12">
        <v>131</v>
      </c>
      <c r="K141" s="12" t="s">
        <v>20</v>
      </c>
      <c r="L141" s="12">
        <v>1</v>
      </c>
      <c r="M141" s="17">
        <v>122222</v>
      </c>
      <c r="N141" s="17">
        <f t="shared" si="11"/>
        <v>122222</v>
      </c>
      <c r="O141" s="12"/>
      <c r="P141" s="12">
        <f t="shared" si="15"/>
        <v>146</v>
      </c>
    </row>
    <row r="142" spans="1:16" hidden="1" x14ac:dyDescent="0.25">
      <c r="A142" s="12" t="s">
        <v>18</v>
      </c>
      <c r="B142" s="36">
        <v>46112</v>
      </c>
      <c r="C142" s="12">
        <f t="shared" si="12"/>
        <v>288</v>
      </c>
      <c r="D142" s="38">
        <f t="shared" si="14"/>
        <v>1</v>
      </c>
      <c r="E142" s="12"/>
      <c r="F142" s="12"/>
      <c r="G142" s="130" t="s">
        <v>98</v>
      </c>
      <c r="H142" s="12" t="s">
        <v>2094</v>
      </c>
      <c r="I142" s="12">
        <v>131</v>
      </c>
      <c r="J142" s="12">
        <v>5113</v>
      </c>
      <c r="K142" s="12" t="s">
        <v>20</v>
      </c>
      <c r="L142" s="12">
        <v>1</v>
      </c>
      <c r="M142" s="17">
        <v>11111111</v>
      </c>
      <c r="N142" s="17">
        <f t="shared" si="11"/>
        <v>11111111</v>
      </c>
      <c r="O142" s="12"/>
      <c r="P142" s="12">
        <f t="shared" si="15"/>
        <v>152</v>
      </c>
    </row>
    <row r="143" spans="1:16" x14ac:dyDescent="0.25">
      <c r="A143" s="12" t="s">
        <v>18</v>
      </c>
      <c r="B143" s="36">
        <v>46112</v>
      </c>
      <c r="C143" s="12">
        <f t="shared" si="12"/>
        <v>289</v>
      </c>
      <c r="D143" s="38">
        <f t="shared" si="14"/>
        <v>1</v>
      </c>
      <c r="E143" s="12"/>
      <c r="G143" s="12" t="s">
        <v>98</v>
      </c>
      <c r="H143" s="12" t="s">
        <v>3120</v>
      </c>
      <c r="I143" s="12">
        <v>333821</v>
      </c>
      <c r="J143" s="12">
        <v>131</v>
      </c>
      <c r="K143" s="12" t="s">
        <v>20</v>
      </c>
      <c r="L143" s="12">
        <v>1</v>
      </c>
      <c r="M143" s="17">
        <v>111111</v>
      </c>
      <c r="N143" s="17">
        <f t="shared" si="11"/>
        <v>111111</v>
      </c>
      <c r="O143" s="12"/>
      <c r="P143" s="12">
        <f t="shared" si="15"/>
        <v>168</v>
      </c>
    </row>
    <row r="144" spans="1:16" hidden="1" x14ac:dyDescent="0.25">
      <c r="A144" s="12" t="s">
        <v>18</v>
      </c>
      <c r="B144" s="36">
        <v>46112</v>
      </c>
      <c r="C144" s="12">
        <f t="shared" si="12"/>
        <v>290</v>
      </c>
      <c r="D144" s="38">
        <f t="shared" si="14"/>
        <v>1</v>
      </c>
      <c r="E144" s="12"/>
      <c r="F144" s="12"/>
      <c r="G144" s="130" t="s">
        <v>2084</v>
      </c>
      <c r="H144" s="12" t="s">
        <v>2095</v>
      </c>
      <c r="I144" s="12">
        <v>131</v>
      </c>
      <c r="J144" s="12">
        <v>5113</v>
      </c>
      <c r="K144" s="12" t="s">
        <v>20</v>
      </c>
      <c r="L144" s="12">
        <v>1</v>
      </c>
      <c r="M144" s="17">
        <v>16129032</v>
      </c>
      <c r="N144" s="17">
        <f t="shared" si="11"/>
        <v>16129032</v>
      </c>
      <c r="O144" s="12"/>
      <c r="P144" s="12">
        <f t="shared" si="15"/>
        <v>148</v>
      </c>
    </row>
    <row r="145" spans="1:16" x14ac:dyDescent="0.25">
      <c r="A145" s="12" t="s">
        <v>18</v>
      </c>
      <c r="B145" s="36">
        <v>46112</v>
      </c>
      <c r="C145" s="12">
        <f t="shared" si="12"/>
        <v>291</v>
      </c>
      <c r="D145" s="38">
        <f t="shared" si="14"/>
        <v>1</v>
      </c>
      <c r="E145" s="12"/>
      <c r="G145" s="12" t="s">
        <v>2084</v>
      </c>
      <c r="H145" s="12" t="s">
        <v>3121</v>
      </c>
      <c r="I145" s="12">
        <v>333821</v>
      </c>
      <c r="J145" s="12">
        <v>131</v>
      </c>
      <c r="K145" s="12" t="s">
        <v>20</v>
      </c>
      <c r="L145" s="12">
        <v>1</v>
      </c>
      <c r="M145" s="17">
        <v>161290</v>
      </c>
      <c r="N145" s="17">
        <f t="shared" si="11"/>
        <v>161290</v>
      </c>
      <c r="O145" s="12"/>
      <c r="P145" s="12">
        <f t="shared" si="15"/>
        <v>164</v>
      </c>
    </row>
    <row r="146" spans="1:16" hidden="1" x14ac:dyDescent="0.25">
      <c r="A146" s="12" t="s">
        <v>308</v>
      </c>
      <c r="B146" s="36">
        <v>46024</v>
      </c>
      <c r="C146" s="12">
        <f t="shared" si="12"/>
        <v>292</v>
      </c>
      <c r="D146" s="38">
        <f t="shared" si="14"/>
        <v>1</v>
      </c>
      <c r="E146" s="12"/>
      <c r="F146" s="12"/>
      <c r="G146" s="130" t="s">
        <v>363</v>
      </c>
      <c r="H146" s="12" t="s">
        <v>3032</v>
      </c>
      <c r="I146" s="12">
        <v>1111</v>
      </c>
      <c r="J146" s="12">
        <v>112111</v>
      </c>
      <c r="K146" s="12" t="s">
        <v>20</v>
      </c>
      <c r="L146" s="12">
        <v>1</v>
      </c>
      <c r="M146" s="17">
        <v>23000000</v>
      </c>
      <c r="N146" s="17">
        <f t="shared" si="11"/>
        <v>23000000</v>
      </c>
      <c r="O146" s="12"/>
      <c r="P146" s="12">
        <f t="shared" si="15"/>
        <v>40</v>
      </c>
    </row>
    <row r="147" spans="1:16" hidden="1" x14ac:dyDescent="0.25">
      <c r="A147" s="12" t="s">
        <v>309</v>
      </c>
      <c r="B147" s="36">
        <v>46032</v>
      </c>
      <c r="C147" s="12">
        <f t="shared" si="12"/>
        <v>293</v>
      </c>
      <c r="D147" s="38">
        <f t="shared" si="14"/>
        <v>1</v>
      </c>
      <c r="E147" s="12"/>
      <c r="F147" s="12"/>
      <c r="G147" s="130" t="s">
        <v>3122</v>
      </c>
      <c r="H147" s="12" t="s">
        <v>3123</v>
      </c>
      <c r="I147" s="12">
        <v>112111</v>
      </c>
      <c r="J147" s="12">
        <v>131</v>
      </c>
      <c r="K147" s="12" t="s">
        <v>20</v>
      </c>
      <c r="L147" s="12">
        <v>1</v>
      </c>
      <c r="M147" s="17">
        <v>12774194</v>
      </c>
      <c r="N147" s="17">
        <f t="shared" si="11"/>
        <v>12774194</v>
      </c>
      <c r="O147" s="12"/>
      <c r="P147" s="12">
        <f t="shared" si="15"/>
        <v>193</v>
      </c>
    </row>
    <row r="148" spans="1:16" hidden="1" x14ac:dyDescent="0.25">
      <c r="A148" s="12" t="s">
        <v>308</v>
      </c>
      <c r="B148" s="36">
        <v>46032</v>
      </c>
      <c r="C148" s="12">
        <f t="shared" si="12"/>
        <v>294</v>
      </c>
      <c r="D148" s="38">
        <f t="shared" si="14"/>
        <v>1</v>
      </c>
      <c r="E148" s="12"/>
      <c r="F148" s="12"/>
      <c r="G148" s="12" t="s">
        <v>363</v>
      </c>
      <c r="H148" s="12" t="s">
        <v>3032</v>
      </c>
      <c r="I148" s="12">
        <v>1111</v>
      </c>
      <c r="J148" s="12">
        <v>112111</v>
      </c>
      <c r="K148" s="12" t="s">
        <v>20</v>
      </c>
      <c r="L148" s="12">
        <v>1</v>
      </c>
      <c r="M148" s="17">
        <v>12000000</v>
      </c>
      <c r="N148" s="17">
        <f t="shared" si="11"/>
        <v>12000000</v>
      </c>
      <c r="O148" s="12"/>
      <c r="P148" s="12">
        <f t="shared" si="15"/>
        <v>40</v>
      </c>
    </row>
    <row r="149" spans="1:16" hidden="1" x14ac:dyDescent="0.25">
      <c r="A149" s="12" t="s">
        <v>309</v>
      </c>
      <c r="B149" s="36">
        <v>46035</v>
      </c>
      <c r="C149" s="12">
        <f t="shared" si="12"/>
        <v>295</v>
      </c>
      <c r="D149" s="38">
        <f t="shared" si="14"/>
        <v>1</v>
      </c>
      <c r="E149" s="12"/>
      <c r="F149" s="12"/>
      <c r="G149" s="12" t="s">
        <v>713</v>
      </c>
      <c r="H149" s="12" t="s">
        <v>3045</v>
      </c>
      <c r="I149" s="12">
        <v>112111</v>
      </c>
      <c r="J149" s="12">
        <v>131</v>
      </c>
      <c r="K149" s="12" t="s">
        <v>20</v>
      </c>
      <c r="L149" s="12">
        <v>1</v>
      </c>
      <c r="M149" s="17">
        <v>17032258</v>
      </c>
      <c r="N149" s="17">
        <f t="shared" si="11"/>
        <v>17032258</v>
      </c>
      <c r="O149" s="12"/>
      <c r="P149" s="12">
        <f t="shared" si="15"/>
        <v>98</v>
      </c>
    </row>
    <row r="150" spans="1:16" hidden="1" x14ac:dyDescent="0.25">
      <c r="A150" s="12" t="s">
        <v>308</v>
      </c>
      <c r="B150" s="36">
        <v>46035</v>
      </c>
      <c r="C150" s="12">
        <f t="shared" si="12"/>
        <v>296</v>
      </c>
      <c r="D150" s="38">
        <f t="shared" si="14"/>
        <v>1</v>
      </c>
      <c r="E150" s="12"/>
      <c r="F150" s="12"/>
      <c r="G150" s="12" t="s">
        <v>363</v>
      </c>
      <c r="H150" s="12" t="s">
        <v>3032</v>
      </c>
      <c r="I150" s="12">
        <v>1111</v>
      </c>
      <c r="J150" s="12">
        <v>112111</v>
      </c>
      <c r="K150" s="12" t="s">
        <v>20</v>
      </c>
      <c r="L150" s="12">
        <v>1</v>
      </c>
      <c r="M150" s="17">
        <v>16000000</v>
      </c>
      <c r="N150" s="17">
        <f t="shared" si="11"/>
        <v>16000000</v>
      </c>
      <c r="O150" s="12"/>
      <c r="P150" s="12">
        <f t="shared" si="15"/>
        <v>40</v>
      </c>
    </row>
    <row r="151" spans="1:16" hidden="1" x14ac:dyDescent="0.25">
      <c r="A151" s="12" t="s">
        <v>309</v>
      </c>
      <c r="B151" s="36">
        <v>46036</v>
      </c>
      <c r="C151" s="12">
        <f t="shared" si="12"/>
        <v>297</v>
      </c>
      <c r="D151" s="38">
        <f t="shared" si="14"/>
        <v>1</v>
      </c>
      <c r="E151" s="12"/>
      <c r="F151" s="12"/>
      <c r="G151" s="130" t="s">
        <v>29</v>
      </c>
      <c r="H151" s="12" t="s">
        <v>3126</v>
      </c>
      <c r="I151" s="12">
        <v>112111</v>
      </c>
      <c r="J151" s="12">
        <v>131</v>
      </c>
      <c r="K151" s="12" t="s">
        <v>20</v>
      </c>
      <c r="L151" s="12">
        <v>1</v>
      </c>
      <c r="M151" s="17">
        <v>16129032</v>
      </c>
      <c r="N151" s="17">
        <f t="shared" si="11"/>
        <v>16129032</v>
      </c>
      <c r="O151" s="12"/>
      <c r="P151" s="12">
        <f>LEN(H151)</f>
        <v>152</v>
      </c>
    </row>
    <row r="152" spans="1:16" hidden="1" x14ac:dyDescent="0.25">
      <c r="A152" s="12" t="s">
        <v>309</v>
      </c>
      <c r="B152" s="36">
        <v>46037</v>
      </c>
      <c r="C152" s="12">
        <f t="shared" si="12"/>
        <v>298</v>
      </c>
      <c r="D152" s="38">
        <f t="shared" si="14"/>
        <v>1</v>
      </c>
      <c r="E152" s="12"/>
      <c r="F152" s="12"/>
      <c r="G152" s="12" t="s">
        <v>306</v>
      </c>
      <c r="H152" s="12" t="s">
        <v>3046</v>
      </c>
      <c r="I152" s="12">
        <v>112111</v>
      </c>
      <c r="J152" s="12">
        <v>131</v>
      </c>
      <c r="K152" s="12" t="s">
        <v>20</v>
      </c>
      <c r="L152" s="12">
        <v>1</v>
      </c>
      <c r="M152" s="17">
        <v>15967742</v>
      </c>
      <c r="N152" s="17">
        <f t="shared" si="11"/>
        <v>15967742</v>
      </c>
      <c r="O152" s="12"/>
      <c r="P152" s="12">
        <f t="shared" ref="P152:P161" si="16">LEN(H152)</f>
        <v>156</v>
      </c>
    </row>
    <row r="153" spans="1:16" hidden="1" x14ac:dyDescent="0.25">
      <c r="A153" s="12" t="s">
        <v>308</v>
      </c>
      <c r="B153" s="36">
        <v>46037</v>
      </c>
      <c r="C153" s="12">
        <f t="shared" si="12"/>
        <v>299</v>
      </c>
      <c r="D153" s="38">
        <f t="shared" si="14"/>
        <v>1</v>
      </c>
      <c r="E153" s="12"/>
      <c r="F153" s="12"/>
      <c r="G153" s="12" t="s">
        <v>363</v>
      </c>
      <c r="H153" s="12" t="s">
        <v>3032</v>
      </c>
      <c r="I153" s="12">
        <v>1111</v>
      </c>
      <c r="J153" s="12">
        <v>112111</v>
      </c>
      <c r="K153" s="12" t="s">
        <v>20</v>
      </c>
      <c r="L153" s="12">
        <v>1</v>
      </c>
      <c r="M153" s="17">
        <v>30000000</v>
      </c>
      <c r="N153" s="17">
        <f t="shared" si="11"/>
        <v>30000000</v>
      </c>
      <c r="O153" s="12"/>
      <c r="P153" s="12">
        <f t="shared" si="16"/>
        <v>40</v>
      </c>
    </row>
    <row r="154" spans="1:16" hidden="1" x14ac:dyDescent="0.25">
      <c r="A154" s="12" t="s">
        <v>309</v>
      </c>
      <c r="B154" s="36">
        <v>46038</v>
      </c>
      <c r="C154" s="12">
        <f t="shared" si="12"/>
        <v>300</v>
      </c>
      <c r="D154" s="38">
        <f t="shared" si="14"/>
        <v>1</v>
      </c>
      <c r="E154" s="12"/>
      <c r="F154" s="12"/>
      <c r="G154" s="12" t="s">
        <v>3047</v>
      </c>
      <c r="H154" s="12" t="s">
        <v>3048</v>
      </c>
      <c r="I154" s="12">
        <v>112111</v>
      </c>
      <c r="J154" s="12">
        <v>131</v>
      </c>
      <c r="K154" s="12" t="s">
        <v>20</v>
      </c>
      <c r="L154" s="12">
        <v>1</v>
      </c>
      <c r="M154" s="17">
        <v>12774194</v>
      </c>
      <c r="N154" s="17">
        <f t="shared" si="11"/>
        <v>12774194</v>
      </c>
      <c r="O154" s="12"/>
      <c r="P154" s="12">
        <f t="shared" si="16"/>
        <v>164</v>
      </c>
    </row>
    <row r="155" spans="1:16" hidden="1" x14ac:dyDescent="0.25">
      <c r="A155" s="12" t="s">
        <v>308</v>
      </c>
      <c r="B155" s="36">
        <v>46039</v>
      </c>
      <c r="C155" s="12">
        <f t="shared" si="12"/>
        <v>301</v>
      </c>
      <c r="D155" s="38">
        <f t="shared" si="14"/>
        <v>1</v>
      </c>
      <c r="E155" s="12"/>
      <c r="F155" s="12"/>
      <c r="G155" s="12" t="s">
        <v>363</v>
      </c>
      <c r="H155" s="12" t="s">
        <v>3032</v>
      </c>
      <c r="I155" s="12">
        <v>1111</v>
      </c>
      <c r="J155" s="12">
        <v>112111</v>
      </c>
      <c r="K155" s="12" t="s">
        <v>20</v>
      </c>
      <c r="L155" s="12">
        <v>1</v>
      </c>
      <c r="M155" s="17">
        <v>12000000</v>
      </c>
      <c r="N155" s="17">
        <f t="shared" si="11"/>
        <v>12000000</v>
      </c>
      <c r="O155" s="12"/>
      <c r="P155" s="12">
        <f t="shared" si="16"/>
        <v>40</v>
      </c>
    </row>
    <row r="156" spans="1:16" hidden="1" x14ac:dyDescent="0.25">
      <c r="A156" s="12" t="s">
        <v>308</v>
      </c>
      <c r="B156" s="36">
        <v>46041</v>
      </c>
      <c r="C156" s="12">
        <f t="shared" si="12"/>
        <v>302</v>
      </c>
      <c r="D156" s="38">
        <f t="shared" si="14"/>
        <v>1</v>
      </c>
      <c r="E156" s="12"/>
      <c r="F156" s="12"/>
      <c r="G156" s="12" t="s">
        <v>363</v>
      </c>
      <c r="H156" s="12" t="s">
        <v>2613</v>
      </c>
      <c r="I156" s="12">
        <v>64275</v>
      </c>
      <c r="J156" s="12">
        <v>112111</v>
      </c>
      <c r="K156" s="12" t="s">
        <v>20</v>
      </c>
      <c r="L156" s="12">
        <v>1</v>
      </c>
      <c r="M156" s="17">
        <v>55000</v>
      </c>
      <c r="N156" s="17">
        <f t="shared" si="11"/>
        <v>55000</v>
      </c>
      <c r="O156" s="12"/>
      <c r="P156" s="12">
        <f t="shared" si="16"/>
        <v>13</v>
      </c>
    </row>
    <row r="157" spans="1:16" hidden="1" x14ac:dyDescent="0.25">
      <c r="A157" s="12" t="s">
        <v>309</v>
      </c>
      <c r="B157" s="36">
        <v>46042</v>
      </c>
      <c r="C157" s="12">
        <f t="shared" si="12"/>
        <v>303</v>
      </c>
      <c r="D157" s="38">
        <f t="shared" si="14"/>
        <v>1</v>
      </c>
      <c r="E157" s="12"/>
      <c r="F157" s="12"/>
      <c r="G157" s="12" t="s">
        <v>880</v>
      </c>
      <c r="H157" s="12" t="s">
        <v>3049</v>
      </c>
      <c r="I157" s="12">
        <v>112111</v>
      </c>
      <c r="J157" s="12">
        <v>131</v>
      </c>
      <c r="K157" s="12" t="s">
        <v>20</v>
      </c>
      <c r="L157" s="12">
        <v>1</v>
      </c>
      <c r="M157" s="17">
        <v>18700000</v>
      </c>
      <c r="N157" s="17">
        <f t="shared" si="11"/>
        <v>18700000</v>
      </c>
      <c r="O157" s="12"/>
      <c r="P157" s="12">
        <f t="shared" si="16"/>
        <v>107</v>
      </c>
    </row>
    <row r="158" spans="1:16" hidden="1" x14ac:dyDescent="0.25">
      <c r="A158" s="12" t="s">
        <v>308</v>
      </c>
      <c r="B158" s="36">
        <v>46042</v>
      </c>
      <c r="C158" s="12">
        <f t="shared" si="12"/>
        <v>304</v>
      </c>
      <c r="D158" s="38">
        <f t="shared" si="14"/>
        <v>1</v>
      </c>
      <c r="E158" s="12"/>
      <c r="F158" s="12"/>
      <c r="G158" s="12" t="s">
        <v>363</v>
      </c>
      <c r="H158" s="12" t="s">
        <v>3032</v>
      </c>
      <c r="I158" s="12">
        <v>1111</v>
      </c>
      <c r="J158" s="12">
        <v>112111</v>
      </c>
      <c r="K158" s="12" t="s">
        <v>20</v>
      </c>
      <c r="L158" s="12">
        <v>1</v>
      </c>
      <c r="M158" s="17">
        <v>17000000</v>
      </c>
      <c r="N158" s="17">
        <f t="shared" si="11"/>
        <v>17000000</v>
      </c>
      <c r="O158" s="12"/>
      <c r="P158" s="12">
        <f t="shared" si="16"/>
        <v>40</v>
      </c>
    </row>
    <row r="159" spans="1:16" hidden="1" x14ac:dyDescent="0.25">
      <c r="A159" s="12" t="s">
        <v>309</v>
      </c>
      <c r="B159" s="36">
        <v>46043</v>
      </c>
      <c r="C159" s="12">
        <f t="shared" si="12"/>
        <v>305</v>
      </c>
      <c r="D159" s="38">
        <f t="shared" si="14"/>
        <v>1</v>
      </c>
      <c r="E159" s="12"/>
      <c r="F159" s="12"/>
      <c r="G159" s="12" t="s">
        <v>304</v>
      </c>
      <c r="H159" s="12" t="s">
        <v>3044</v>
      </c>
      <c r="I159" s="12">
        <v>112111</v>
      </c>
      <c r="J159" s="12">
        <v>131</v>
      </c>
      <c r="K159" s="12" t="s">
        <v>20</v>
      </c>
      <c r="L159" s="12">
        <v>1</v>
      </c>
      <c r="M159" s="17">
        <v>12774194</v>
      </c>
      <c r="N159" s="17">
        <f t="shared" si="11"/>
        <v>12774194</v>
      </c>
      <c r="O159" s="12"/>
      <c r="P159" s="12">
        <f t="shared" si="16"/>
        <v>105</v>
      </c>
    </row>
    <row r="160" spans="1:16" hidden="1" x14ac:dyDescent="0.25">
      <c r="A160" s="12" t="s">
        <v>309</v>
      </c>
      <c r="B160" s="36">
        <v>46043</v>
      </c>
      <c r="C160" s="12">
        <f t="shared" si="12"/>
        <v>306</v>
      </c>
      <c r="D160" s="38">
        <f t="shared" si="14"/>
        <v>1</v>
      </c>
      <c r="E160" s="12"/>
      <c r="F160" s="12"/>
      <c r="G160" s="12" t="s">
        <v>713</v>
      </c>
      <c r="H160" s="12" t="s">
        <v>3050</v>
      </c>
      <c r="I160" s="12">
        <v>112111</v>
      </c>
      <c r="J160" s="12">
        <v>131</v>
      </c>
      <c r="K160" s="12" t="s">
        <v>20</v>
      </c>
      <c r="L160" s="12">
        <v>1</v>
      </c>
      <c r="M160" s="17">
        <v>12000000</v>
      </c>
      <c r="N160" s="17">
        <f t="shared" si="11"/>
        <v>12000000</v>
      </c>
      <c r="O160" s="12"/>
      <c r="P160" s="12">
        <f t="shared" si="16"/>
        <v>127</v>
      </c>
    </row>
    <row r="161" spans="1:16" hidden="1" x14ac:dyDescent="0.25">
      <c r="A161" s="12" t="s">
        <v>309</v>
      </c>
      <c r="B161" s="36">
        <v>46045</v>
      </c>
      <c r="C161" s="12">
        <f t="shared" si="12"/>
        <v>306</v>
      </c>
      <c r="D161" s="38">
        <f t="shared" si="14"/>
        <v>0</v>
      </c>
      <c r="E161" s="12"/>
      <c r="F161" s="12"/>
      <c r="G161" s="12" t="s">
        <v>713</v>
      </c>
      <c r="H161" s="12" t="s">
        <v>3050</v>
      </c>
      <c r="I161" s="12">
        <v>112111</v>
      </c>
      <c r="J161" s="12">
        <v>131</v>
      </c>
      <c r="K161" s="12" t="s">
        <v>20</v>
      </c>
      <c r="L161" s="12">
        <v>1</v>
      </c>
      <c r="M161" s="17">
        <v>1200000</v>
      </c>
      <c r="N161" s="17">
        <f t="shared" si="11"/>
        <v>1200000</v>
      </c>
      <c r="O161" s="12"/>
      <c r="P161" s="12">
        <f t="shared" si="16"/>
        <v>127</v>
      </c>
    </row>
    <row r="162" spans="1:16" hidden="1" x14ac:dyDescent="0.25">
      <c r="A162" s="12" t="s">
        <v>309</v>
      </c>
      <c r="B162" s="36">
        <v>46045</v>
      </c>
      <c r="C162" s="12">
        <f t="shared" si="12"/>
        <v>307</v>
      </c>
      <c r="D162" s="38">
        <f t="shared" si="14"/>
        <v>1</v>
      </c>
      <c r="E162" s="12"/>
      <c r="F162" s="12"/>
      <c r="G162" s="130" t="s">
        <v>38</v>
      </c>
      <c r="H162" s="12" t="s">
        <v>3125</v>
      </c>
      <c r="I162" s="12">
        <v>112111</v>
      </c>
      <c r="J162" s="12">
        <v>131</v>
      </c>
      <c r="K162" s="12" t="s">
        <v>20</v>
      </c>
      <c r="L162" s="12">
        <v>1</v>
      </c>
      <c r="M162" s="17">
        <v>18096774</v>
      </c>
      <c r="N162" s="17">
        <f t="shared" si="11"/>
        <v>18096774</v>
      </c>
      <c r="O162" s="12"/>
      <c r="P162" s="12">
        <f>LEN(H162)</f>
        <v>171</v>
      </c>
    </row>
    <row r="163" spans="1:16" hidden="1" x14ac:dyDescent="0.25">
      <c r="A163" s="12" t="s">
        <v>309</v>
      </c>
      <c r="B163" s="36">
        <v>46045</v>
      </c>
      <c r="C163" s="12">
        <f t="shared" si="12"/>
        <v>308</v>
      </c>
      <c r="D163" s="38">
        <f t="shared" si="14"/>
        <v>1</v>
      </c>
      <c r="E163" s="12"/>
      <c r="F163" s="12"/>
      <c r="G163" s="12" t="s">
        <v>50</v>
      </c>
      <c r="H163" s="12" t="s">
        <v>3051</v>
      </c>
      <c r="I163" s="12">
        <v>112111</v>
      </c>
      <c r="J163" s="12">
        <v>131</v>
      </c>
      <c r="K163" s="12" t="s">
        <v>20</v>
      </c>
      <c r="L163" s="12">
        <v>1</v>
      </c>
      <c r="M163" s="17">
        <v>37258065</v>
      </c>
      <c r="N163" s="17">
        <f t="shared" si="11"/>
        <v>37258065</v>
      </c>
      <c r="O163" s="12"/>
      <c r="P163" s="12">
        <f t="shared" ref="P163:P195" si="17">LEN(H163)</f>
        <v>159</v>
      </c>
    </row>
    <row r="164" spans="1:16" hidden="1" x14ac:dyDescent="0.25">
      <c r="A164" s="12" t="s">
        <v>308</v>
      </c>
      <c r="B164" s="36">
        <v>46045</v>
      </c>
      <c r="C164" s="12">
        <f t="shared" si="12"/>
        <v>309</v>
      </c>
      <c r="D164" s="38">
        <f t="shared" si="14"/>
        <v>1</v>
      </c>
      <c r="E164" s="12"/>
      <c r="F164" s="12"/>
      <c r="G164" s="12" t="s">
        <v>363</v>
      </c>
      <c r="H164" s="12" t="s">
        <v>3032</v>
      </c>
      <c r="I164" s="12">
        <v>1111</v>
      </c>
      <c r="J164" s="12">
        <v>112111</v>
      </c>
      <c r="K164" s="12" t="s">
        <v>20</v>
      </c>
      <c r="L164" s="12">
        <v>1</v>
      </c>
      <c r="M164" s="17">
        <v>76000000</v>
      </c>
      <c r="N164" s="17">
        <f t="shared" si="11"/>
        <v>76000000</v>
      </c>
      <c r="O164" s="12"/>
      <c r="P164" s="12">
        <f t="shared" si="17"/>
        <v>40</v>
      </c>
    </row>
    <row r="165" spans="1:16" hidden="1" x14ac:dyDescent="0.25">
      <c r="A165" s="12" t="s">
        <v>309</v>
      </c>
      <c r="B165" s="36">
        <v>46047</v>
      </c>
      <c r="C165" s="12">
        <f t="shared" si="12"/>
        <v>310</v>
      </c>
      <c r="D165" s="38">
        <f t="shared" si="14"/>
        <v>1</v>
      </c>
      <c r="E165" s="12"/>
      <c r="F165" s="12"/>
      <c r="G165" s="12" t="s">
        <v>363</v>
      </c>
      <c r="H165" s="12" t="s">
        <v>2543</v>
      </c>
      <c r="I165" s="12">
        <v>112111</v>
      </c>
      <c r="J165" s="12">
        <v>5154</v>
      </c>
      <c r="K165" s="12" t="s">
        <v>20</v>
      </c>
      <c r="L165" s="12">
        <v>1</v>
      </c>
      <c r="M165" s="17">
        <v>2281</v>
      </c>
      <c r="N165" s="17">
        <f t="shared" ref="N165:N228" si="18">L165*M165</f>
        <v>2281</v>
      </c>
      <c r="O165" s="12"/>
      <c r="P165" s="12">
        <f t="shared" si="17"/>
        <v>12</v>
      </c>
    </row>
    <row r="166" spans="1:16" hidden="1" x14ac:dyDescent="0.25">
      <c r="A166" s="12" t="s">
        <v>309</v>
      </c>
      <c r="B166" s="36">
        <v>46049</v>
      </c>
      <c r="C166" s="12">
        <f t="shared" si="12"/>
        <v>311</v>
      </c>
      <c r="D166" s="38">
        <f t="shared" si="14"/>
        <v>1</v>
      </c>
      <c r="E166" s="12"/>
      <c r="F166" s="12"/>
      <c r="G166" s="12" t="s">
        <v>3052</v>
      </c>
      <c r="H166" s="12" t="s">
        <v>3053</v>
      </c>
      <c r="I166" s="12">
        <v>112111</v>
      </c>
      <c r="J166" s="12">
        <v>131</v>
      </c>
      <c r="K166" s="12" t="s">
        <v>20</v>
      </c>
      <c r="L166" s="12">
        <v>1</v>
      </c>
      <c r="M166" s="17">
        <v>709677</v>
      </c>
      <c r="N166" s="17">
        <f t="shared" si="18"/>
        <v>709677</v>
      </c>
      <c r="O166" s="12"/>
      <c r="P166" s="12">
        <f t="shared" si="17"/>
        <v>157</v>
      </c>
    </row>
    <row r="167" spans="1:16" hidden="1" x14ac:dyDescent="0.25">
      <c r="A167" s="12" t="s">
        <v>308</v>
      </c>
      <c r="B167" s="36">
        <v>46051</v>
      </c>
      <c r="C167" s="12">
        <f t="shared" si="12"/>
        <v>312</v>
      </c>
      <c r="D167" s="38">
        <f t="shared" si="14"/>
        <v>1</v>
      </c>
      <c r="E167" s="12"/>
      <c r="F167" s="12"/>
      <c r="G167" s="12" t="s">
        <v>363</v>
      </c>
      <c r="H167" s="12" t="s">
        <v>3032</v>
      </c>
      <c r="I167" s="12">
        <v>1111</v>
      </c>
      <c r="J167" s="12">
        <v>112111</v>
      </c>
      <c r="K167" s="12" t="s">
        <v>20</v>
      </c>
      <c r="L167" s="12">
        <v>1</v>
      </c>
      <c r="M167" s="17">
        <v>21000000</v>
      </c>
      <c r="N167" s="17">
        <f t="shared" si="18"/>
        <v>21000000</v>
      </c>
      <c r="O167" s="12"/>
      <c r="P167" s="12">
        <f t="shared" si="17"/>
        <v>40</v>
      </c>
    </row>
    <row r="168" spans="1:16" hidden="1" x14ac:dyDescent="0.25">
      <c r="A168" s="12" t="s">
        <v>309</v>
      </c>
      <c r="B168" s="36">
        <v>46052</v>
      </c>
      <c r="C168" s="12">
        <f t="shared" si="12"/>
        <v>313</v>
      </c>
      <c r="D168" s="38">
        <f t="shared" si="14"/>
        <v>1</v>
      </c>
      <c r="E168" s="12"/>
      <c r="F168" s="12"/>
      <c r="G168" s="12" t="s">
        <v>39</v>
      </c>
      <c r="H168" s="12" t="s">
        <v>3054</v>
      </c>
      <c r="I168" s="12">
        <v>112111</v>
      </c>
      <c r="J168" s="12">
        <v>131</v>
      </c>
      <c r="K168" s="12" t="s">
        <v>20</v>
      </c>
      <c r="L168" s="12">
        <v>1</v>
      </c>
      <c r="M168" s="17">
        <v>14300000</v>
      </c>
      <c r="N168" s="17">
        <f t="shared" si="18"/>
        <v>14300000</v>
      </c>
      <c r="O168" s="12"/>
      <c r="P168" s="12">
        <f t="shared" si="17"/>
        <v>75</v>
      </c>
    </row>
    <row r="169" spans="1:16" hidden="1" x14ac:dyDescent="0.25">
      <c r="A169" s="12" t="s">
        <v>308</v>
      </c>
      <c r="B169" s="36">
        <v>46052</v>
      </c>
      <c r="C169" s="12">
        <f t="shared" si="12"/>
        <v>314</v>
      </c>
      <c r="D169" s="38">
        <f t="shared" si="14"/>
        <v>1</v>
      </c>
      <c r="E169" s="12"/>
      <c r="F169" s="12"/>
      <c r="G169" s="12" t="s">
        <v>363</v>
      </c>
      <c r="H169" s="12" t="s">
        <v>3032</v>
      </c>
      <c r="I169" s="12">
        <v>1111</v>
      </c>
      <c r="J169" s="12">
        <v>112111</v>
      </c>
      <c r="K169" s="12" t="s">
        <v>20</v>
      </c>
      <c r="L169" s="12">
        <v>1</v>
      </c>
      <c r="M169" s="17">
        <v>690300</v>
      </c>
      <c r="N169" s="17">
        <f t="shared" si="18"/>
        <v>690300</v>
      </c>
      <c r="O169" s="12"/>
      <c r="P169" s="12">
        <f t="shared" si="17"/>
        <v>40</v>
      </c>
    </row>
    <row r="170" spans="1:16" hidden="1" x14ac:dyDescent="0.25">
      <c r="A170" s="12" t="s">
        <v>309</v>
      </c>
      <c r="B170" s="36">
        <v>46052</v>
      </c>
      <c r="C170" s="12">
        <f t="shared" si="12"/>
        <v>315</v>
      </c>
      <c r="D170" s="38">
        <f t="shared" si="14"/>
        <v>1</v>
      </c>
      <c r="E170" s="12"/>
      <c r="F170" s="12"/>
      <c r="G170" s="130" t="s">
        <v>64</v>
      </c>
      <c r="H170" s="12" t="s">
        <v>3055</v>
      </c>
      <c r="I170" s="12">
        <v>112111</v>
      </c>
      <c r="J170" s="12">
        <v>131</v>
      </c>
      <c r="K170" s="12" t="s">
        <v>20</v>
      </c>
      <c r="L170" s="12">
        <v>1</v>
      </c>
      <c r="M170" s="17">
        <v>15967742</v>
      </c>
      <c r="N170" s="17">
        <f t="shared" si="18"/>
        <v>15967742</v>
      </c>
      <c r="O170" s="12"/>
      <c r="P170" s="12">
        <f t="shared" si="17"/>
        <v>153</v>
      </c>
    </row>
    <row r="171" spans="1:16" hidden="1" x14ac:dyDescent="0.25">
      <c r="A171" s="12" t="s">
        <v>309</v>
      </c>
      <c r="B171" s="36">
        <v>46052</v>
      </c>
      <c r="C171" s="12">
        <f t="shared" si="12"/>
        <v>316</v>
      </c>
      <c r="D171" s="38">
        <f t="shared" si="14"/>
        <v>1</v>
      </c>
      <c r="E171" s="12"/>
      <c r="F171" s="12"/>
      <c r="G171" s="12" t="s">
        <v>29</v>
      </c>
      <c r="H171" s="12" t="s">
        <v>3056</v>
      </c>
      <c r="I171" s="12">
        <v>112111</v>
      </c>
      <c r="J171" s="12">
        <v>131</v>
      </c>
      <c r="K171" s="12" t="s">
        <v>20</v>
      </c>
      <c r="L171" s="12">
        <v>1</v>
      </c>
      <c r="M171" s="17">
        <v>12903226</v>
      </c>
      <c r="N171" s="17">
        <f t="shared" si="18"/>
        <v>12903226</v>
      </c>
      <c r="O171" s="12"/>
      <c r="P171" s="12">
        <f t="shared" si="17"/>
        <v>143</v>
      </c>
    </row>
    <row r="172" spans="1:16" hidden="1" x14ac:dyDescent="0.25">
      <c r="A172" s="12" t="s">
        <v>308</v>
      </c>
      <c r="B172" s="36">
        <v>46053</v>
      </c>
      <c r="C172" s="12">
        <f t="shared" si="12"/>
        <v>317</v>
      </c>
      <c r="D172" s="38">
        <f t="shared" si="14"/>
        <v>1</v>
      </c>
      <c r="E172" s="12"/>
      <c r="F172" s="12"/>
      <c r="G172" s="12" t="s">
        <v>363</v>
      </c>
      <c r="H172" s="12" t="s">
        <v>3032</v>
      </c>
      <c r="I172" s="12">
        <v>1111</v>
      </c>
      <c r="J172" s="12">
        <v>112111</v>
      </c>
      <c r="K172" s="12" t="s">
        <v>20</v>
      </c>
      <c r="L172" s="12">
        <v>1</v>
      </c>
      <c r="M172" s="17">
        <v>39300000</v>
      </c>
      <c r="N172" s="17">
        <f t="shared" si="18"/>
        <v>39300000</v>
      </c>
      <c r="O172" s="12"/>
      <c r="P172" s="12">
        <f t="shared" si="17"/>
        <v>40</v>
      </c>
    </row>
    <row r="173" spans="1:16" hidden="1" x14ac:dyDescent="0.25">
      <c r="A173" s="12" t="s">
        <v>309</v>
      </c>
      <c r="B173" s="36">
        <v>46053</v>
      </c>
      <c r="C173" s="12">
        <f t="shared" ref="C173:C208" si="19">C172+D173</f>
        <v>318</v>
      </c>
      <c r="D173" s="38">
        <f t="shared" si="14"/>
        <v>1</v>
      </c>
      <c r="E173" s="12"/>
      <c r="F173" s="12"/>
      <c r="G173" s="12" t="s">
        <v>311</v>
      </c>
      <c r="H173" s="12" t="s">
        <v>3057</v>
      </c>
      <c r="I173" s="12">
        <v>112111</v>
      </c>
      <c r="J173" s="12">
        <v>131</v>
      </c>
      <c r="K173" s="12" t="s">
        <v>20</v>
      </c>
      <c r="L173" s="12">
        <v>1</v>
      </c>
      <c r="M173" s="17">
        <v>89238495</v>
      </c>
      <c r="N173" s="17">
        <f t="shared" si="18"/>
        <v>89238495</v>
      </c>
      <c r="O173" s="12"/>
      <c r="P173" s="12">
        <f t="shared" si="17"/>
        <v>16</v>
      </c>
    </row>
    <row r="174" spans="1:16" hidden="1" x14ac:dyDescent="0.25">
      <c r="A174" s="12" t="s">
        <v>309</v>
      </c>
      <c r="B174" s="36">
        <v>46053</v>
      </c>
      <c r="C174" s="12">
        <f t="shared" si="19"/>
        <v>318</v>
      </c>
      <c r="D174" s="38">
        <f t="shared" si="14"/>
        <v>0</v>
      </c>
      <c r="E174" s="12"/>
      <c r="F174" s="12"/>
      <c r="G174" s="12" t="s">
        <v>311</v>
      </c>
      <c r="H174" s="12" t="s">
        <v>3057</v>
      </c>
      <c r="I174" s="12">
        <v>112111</v>
      </c>
      <c r="J174" s="12">
        <v>131</v>
      </c>
      <c r="K174" s="12" t="s">
        <v>20</v>
      </c>
      <c r="L174" s="12">
        <v>1</v>
      </c>
      <c r="M174" s="17">
        <v>10267690</v>
      </c>
      <c r="N174" s="17">
        <f t="shared" si="18"/>
        <v>10267690</v>
      </c>
      <c r="O174" s="12"/>
      <c r="P174" s="12">
        <f t="shared" si="17"/>
        <v>16</v>
      </c>
    </row>
    <row r="175" spans="1:16" hidden="1" x14ac:dyDescent="0.25">
      <c r="A175" s="12" t="s">
        <v>308</v>
      </c>
      <c r="B175" s="36">
        <v>46054</v>
      </c>
      <c r="C175" s="12">
        <f t="shared" si="19"/>
        <v>319</v>
      </c>
      <c r="D175" s="38">
        <f t="shared" si="14"/>
        <v>1</v>
      </c>
      <c r="E175" s="12"/>
      <c r="F175" s="12"/>
      <c r="G175" s="12" t="s">
        <v>363</v>
      </c>
      <c r="H175" s="12" t="s">
        <v>3032</v>
      </c>
      <c r="I175" s="12">
        <v>1111</v>
      </c>
      <c r="J175" s="12">
        <v>112111</v>
      </c>
      <c r="K175" s="12" t="s">
        <v>20</v>
      </c>
      <c r="L175" s="12">
        <v>1</v>
      </c>
      <c r="M175" s="17">
        <v>100000000</v>
      </c>
      <c r="N175" s="17">
        <f t="shared" si="18"/>
        <v>100000000</v>
      </c>
      <c r="O175" s="12"/>
      <c r="P175" s="12">
        <f t="shared" si="17"/>
        <v>40</v>
      </c>
    </row>
    <row r="176" spans="1:16" hidden="1" x14ac:dyDescent="0.25">
      <c r="A176" s="12" t="s">
        <v>309</v>
      </c>
      <c r="B176" s="36">
        <v>46059</v>
      </c>
      <c r="C176" s="12">
        <f t="shared" si="19"/>
        <v>320</v>
      </c>
      <c r="D176" s="38">
        <f t="shared" si="14"/>
        <v>1</v>
      </c>
      <c r="E176" s="12"/>
      <c r="F176" s="12"/>
      <c r="G176" s="12" t="s">
        <v>881</v>
      </c>
      <c r="H176" s="12" t="s">
        <v>3058</v>
      </c>
      <c r="I176" s="12">
        <v>112111</v>
      </c>
      <c r="J176" s="12">
        <v>131</v>
      </c>
      <c r="K176" s="12" t="s">
        <v>20</v>
      </c>
      <c r="L176" s="12">
        <v>1</v>
      </c>
      <c r="M176" s="17">
        <v>18810000</v>
      </c>
      <c r="N176" s="17">
        <f t="shared" si="18"/>
        <v>18810000</v>
      </c>
      <c r="O176" s="12"/>
      <c r="P176" s="12">
        <f t="shared" si="17"/>
        <v>109</v>
      </c>
    </row>
    <row r="177" spans="1:16" hidden="1" x14ac:dyDescent="0.25">
      <c r="A177" s="12" t="s">
        <v>308</v>
      </c>
      <c r="B177" s="36">
        <v>46059</v>
      </c>
      <c r="C177" s="12">
        <f t="shared" si="19"/>
        <v>321</v>
      </c>
      <c r="D177" s="38">
        <f t="shared" si="14"/>
        <v>1</v>
      </c>
      <c r="E177" s="12"/>
      <c r="F177" s="12"/>
      <c r="G177" s="12" t="s">
        <v>363</v>
      </c>
      <c r="H177" s="12" t="s">
        <v>3032</v>
      </c>
      <c r="I177" s="12">
        <v>1111</v>
      </c>
      <c r="J177" s="12">
        <v>112111</v>
      </c>
      <c r="K177" s="12" t="s">
        <v>20</v>
      </c>
      <c r="L177" s="12">
        <v>1</v>
      </c>
      <c r="M177" s="17">
        <v>17000000</v>
      </c>
      <c r="N177" s="17">
        <f t="shared" si="18"/>
        <v>17000000</v>
      </c>
      <c r="O177" s="12"/>
      <c r="P177" s="12">
        <f t="shared" si="17"/>
        <v>40</v>
      </c>
    </row>
    <row r="178" spans="1:16" hidden="1" x14ac:dyDescent="0.25">
      <c r="A178" s="12" t="s">
        <v>309</v>
      </c>
      <c r="B178" s="36">
        <v>46064</v>
      </c>
      <c r="C178" s="12">
        <f t="shared" si="19"/>
        <v>322</v>
      </c>
      <c r="D178" s="38">
        <f t="shared" si="14"/>
        <v>1</v>
      </c>
      <c r="E178" s="12"/>
      <c r="F178" s="12"/>
      <c r="G178" s="12" t="s">
        <v>2067</v>
      </c>
      <c r="H178" s="12" t="s">
        <v>3059</v>
      </c>
      <c r="I178" s="12">
        <v>112111</v>
      </c>
      <c r="J178" s="12">
        <v>131</v>
      </c>
      <c r="K178" s="12" t="s">
        <v>20</v>
      </c>
      <c r="L178" s="12">
        <v>1</v>
      </c>
      <c r="M178" s="17">
        <v>18700000</v>
      </c>
      <c r="N178" s="17">
        <f t="shared" si="18"/>
        <v>18700000</v>
      </c>
      <c r="O178" s="12"/>
      <c r="P178" s="12">
        <f t="shared" si="17"/>
        <v>70</v>
      </c>
    </row>
    <row r="179" spans="1:16" hidden="1" x14ac:dyDescent="0.25">
      <c r="A179" s="12" t="s">
        <v>308</v>
      </c>
      <c r="B179" s="36">
        <v>46064</v>
      </c>
      <c r="C179" s="12">
        <f t="shared" si="19"/>
        <v>323</v>
      </c>
      <c r="D179" s="38">
        <f t="shared" si="14"/>
        <v>1</v>
      </c>
      <c r="E179" s="12"/>
      <c r="F179" s="12"/>
      <c r="G179" s="12" t="s">
        <v>363</v>
      </c>
      <c r="H179" s="12" t="s">
        <v>3032</v>
      </c>
      <c r="I179" s="12">
        <v>1111</v>
      </c>
      <c r="J179" s="12">
        <v>112111</v>
      </c>
      <c r="K179" s="12" t="s">
        <v>20</v>
      </c>
      <c r="L179" s="12">
        <v>1</v>
      </c>
      <c r="M179" s="17">
        <v>17000000</v>
      </c>
      <c r="N179" s="17">
        <f t="shared" si="18"/>
        <v>17000000</v>
      </c>
      <c r="O179" s="12"/>
      <c r="P179" s="12">
        <f t="shared" si="17"/>
        <v>40</v>
      </c>
    </row>
    <row r="180" spans="1:16" hidden="1" x14ac:dyDescent="0.25">
      <c r="A180" s="12" t="s">
        <v>309</v>
      </c>
      <c r="B180" s="36">
        <v>46065</v>
      </c>
      <c r="C180" s="12">
        <f t="shared" si="19"/>
        <v>324</v>
      </c>
      <c r="D180" s="38">
        <f t="shared" si="14"/>
        <v>1</v>
      </c>
      <c r="E180" s="12"/>
      <c r="F180" s="12"/>
      <c r="G180" s="12" t="s">
        <v>2065</v>
      </c>
      <c r="H180" s="12" t="s">
        <v>3060</v>
      </c>
      <c r="I180" s="12">
        <v>112111</v>
      </c>
      <c r="J180" s="12">
        <v>131</v>
      </c>
      <c r="K180" s="12" t="s">
        <v>20</v>
      </c>
      <c r="L180" s="12">
        <v>1</v>
      </c>
      <c r="M180" s="17">
        <v>12100000</v>
      </c>
      <c r="N180" s="17">
        <f t="shared" si="18"/>
        <v>12100000</v>
      </c>
      <c r="O180" s="12"/>
      <c r="P180" s="12">
        <f t="shared" si="17"/>
        <v>98</v>
      </c>
    </row>
    <row r="181" spans="1:16" hidden="1" x14ac:dyDescent="0.25">
      <c r="A181" s="12" t="s">
        <v>309</v>
      </c>
      <c r="B181" s="36">
        <v>46065</v>
      </c>
      <c r="C181" s="12">
        <f t="shared" si="19"/>
        <v>325</v>
      </c>
      <c r="D181" s="38">
        <f t="shared" si="14"/>
        <v>1</v>
      </c>
      <c r="E181" s="12"/>
      <c r="F181" s="12"/>
      <c r="G181" s="12" t="s">
        <v>29</v>
      </c>
      <c r="H181" s="12" t="s">
        <v>3061</v>
      </c>
      <c r="I181" s="12">
        <v>112111</v>
      </c>
      <c r="J181" s="12">
        <v>131</v>
      </c>
      <c r="K181" s="12" t="s">
        <v>20</v>
      </c>
      <c r="L181" s="12">
        <v>1</v>
      </c>
      <c r="M181" s="17">
        <v>22000000</v>
      </c>
      <c r="N181" s="17">
        <f t="shared" si="18"/>
        <v>22000000</v>
      </c>
      <c r="O181" s="12"/>
      <c r="P181" s="12">
        <f t="shared" si="17"/>
        <v>132</v>
      </c>
    </row>
    <row r="182" spans="1:16" hidden="1" x14ac:dyDescent="0.25">
      <c r="A182" s="12" t="s">
        <v>308</v>
      </c>
      <c r="B182" s="36">
        <v>46065</v>
      </c>
      <c r="C182" s="12">
        <f t="shared" si="19"/>
        <v>326</v>
      </c>
      <c r="D182" s="38">
        <f t="shared" si="14"/>
        <v>1</v>
      </c>
      <c r="E182" s="12"/>
      <c r="F182" s="12"/>
      <c r="G182" s="12" t="s">
        <v>363</v>
      </c>
      <c r="H182" s="12" t="s">
        <v>3032</v>
      </c>
      <c r="I182" s="12">
        <v>1111</v>
      </c>
      <c r="J182" s="12">
        <v>112111</v>
      </c>
      <c r="K182" s="12" t="s">
        <v>20</v>
      </c>
      <c r="L182" s="12">
        <v>1</v>
      </c>
      <c r="M182" s="17">
        <v>33000000</v>
      </c>
      <c r="N182" s="17">
        <f t="shared" si="18"/>
        <v>33000000</v>
      </c>
      <c r="O182" s="12"/>
      <c r="P182" s="12">
        <f t="shared" si="17"/>
        <v>40</v>
      </c>
    </row>
    <row r="183" spans="1:16" hidden="1" x14ac:dyDescent="0.25">
      <c r="A183" s="12" t="s">
        <v>309</v>
      </c>
      <c r="B183" s="36">
        <v>46065</v>
      </c>
      <c r="C183" s="12">
        <f t="shared" si="19"/>
        <v>327</v>
      </c>
      <c r="D183" s="38">
        <f t="shared" si="14"/>
        <v>1</v>
      </c>
      <c r="E183" s="12"/>
      <c r="F183" s="12"/>
      <c r="G183" s="12" t="s">
        <v>366</v>
      </c>
      <c r="H183" s="12" t="s">
        <v>3062</v>
      </c>
      <c r="I183" s="12">
        <v>112111</v>
      </c>
      <c r="J183" s="12">
        <v>131</v>
      </c>
      <c r="K183" s="12" t="s">
        <v>20</v>
      </c>
      <c r="L183" s="12">
        <v>1</v>
      </c>
      <c r="M183" s="17">
        <v>10645162</v>
      </c>
      <c r="N183" s="17">
        <f t="shared" si="18"/>
        <v>10645162</v>
      </c>
      <c r="O183" s="12"/>
      <c r="P183" s="12">
        <f t="shared" si="17"/>
        <v>106</v>
      </c>
    </row>
    <row r="184" spans="1:16" hidden="1" x14ac:dyDescent="0.25">
      <c r="A184" s="12" t="s">
        <v>308</v>
      </c>
      <c r="B184" s="36">
        <v>46065</v>
      </c>
      <c r="C184" s="12">
        <f t="shared" si="19"/>
        <v>328</v>
      </c>
      <c r="D184" s="38">
        <f t="shared" si="14"/>
        <v>1</v>
      </c>
      <c r="E184" s="12"/>
      <c r="F184" s="12"/>
      <c r="G184" s="12" t="s">
        <v>363</v>
      </c>
      <c r="H184" s="12" t="s">
        <v>3032</v>
      </c>
      <c r="I184" s="12">
        <v>1111</v>
      </c>
      <c r="J184" s="12">
        <v>112111</v>
      </c>
      <c r="K184" s="12" t="s">
        <v>20</v>
      </c>
      <c r="L184" s="12">
        <v>1</v>
      </c>
      <c r="M184" s="17">
        <v>10000000</v>
      </c>
      <c r="N184" s="17">
        <f t="shared" si="18"/>
        <v>10000000</v>
      </c>
      <c r="O184" s="12"/>
      <c r="P184" s="12">
        <f t="shared" si="17"/>
        <v>40</v>
      </c>
    </row>
    <row r="185" spans="1:16" hidden="1" x14ac:dyDescent="0.25">
      <c r="A185" s="12" t="s">
        <v>309</v>
      </c>
      <c r="B185" s="36">
        <v>46066</v>
      </c>
      <c r="C185" s="12">
        <f t="shared" si="19"/>
        <v>329</v>
      </c>
      <c r="D185" s="38">
        <f t="shared" si="14"/>
        <v>1</v>
      </c>
      <c r="E185" s="12"/>
      <c r="F185" s="12"/>
      <c r="G185" s="12" t="s">
        <v>2059</v>
      </c>
      <c r="H185" s="12" t="s">
        <v>3063</v>
      </c>
      <c r="I185" s="12">
        <v>112111</v>
      </c>
      <c r="J185" s="12">
        <v>131</v>
      </c>
      <c r="K185" s="12" t="s">
        <v>20</v>
      </c>
      <c r="L185" s="12">
        <v>1</v>
      </c>
      <c r="M185" s="17">
        <v>13200000</v>
      </c>
      <c r="N185" s="17">
        <f t="shared" si="18"/>
        <v>13200000</v>
      </c>
      <c r="O185" s="12"/>
      <c r="P185" s="12">
        <f t="shared" si="17"/>
        <v>104</v>
      </c>
    </row>
    <row r="186" spans="1:16" hidden="1" x14ac:dyDescent="0.25">
      <c r="A186" s="12" t="s">
        <v>308</v>
      </c>
      <c r="B186" s="36">
        <v>46066</v>
      </c>
      <c r="C186" s="12">
        <f t="shared" si="19"/>
        <v>330</v>
      </c>
      <c r="D186" s="38">
        <f t="shared" si="14"/>
        <v>1</v>
      </c>
      <c r="E186" s="12"/>
      <c r="F186" s="12"/>
      <c r="G186" s="12" t="s">
        <v>363</v>
      </c>
      <c r="H186" s="12" t="s">
        <v>3032</v>
      </c>
      <c r="I186" s="12">
        <v>1111</v>
      </c>
      <c r="J186" s="12">
        <v>112111</v>
      </c>
      <c r="K186" s="12" t="s">
        <v>20</v>
      </c>
      <c r="L186" s="12">
        <v>1</v>
      </c>
      <c r="M186" s="17">
        <v>12000000</v>
      </c>
      <c r="N186" s="17">
        <f t="shared" si="18"/>
        <v>12000000</v>
      </c>
      <c r="O186" s="12"/>
      <c r="P186" s="12">
        <f t="shared" si="17"/>
        <v>40</v>
      </c>
    </row>
    <row r="187" spans="1:16" hidden="1" x14ac:dyDescent="0.25">
      <c r="A187" s="12" t="s">
        <v>309</v>
      </c>
      <c r="B187" s="36">
        <v>46078</v>
      </c>
      <c r="C187" s="12">
        <f t="shared" si="19"/>
        <v>331</v>
      </c>
      <c r="D187" s="38">
        <f t="shared" si="14"/>
        <v>1</v>
      </c>
      <c r="E187" s="12"/>
      <c r="F187" s="12"/>
      <c r="G187" s="12" t="s">
        <v>363</v>
      </c>
      <c r="H187" s="12" t="s">
        <v>2543</v>
      </c>
      <c r="I187" s="12">
        <v>112111</v>
      </c>
      <c r="J187" s="12">
        <v>5154</v>
      </c>
      <c r="K187" s="12" t="s">
        <v>20</v>
      </c>
      <c r="L187" s="12">
        <v>1</v>
      </c>
      <c r="M187" s="17">
        <v>2164</v>
      </c>
      <c r="N187" s="17">
        <f t="shared" si="18"/>
        <v>2164</v>
      </c>
      <c r="O187" s="12"/>
      <c r="P187" s="12">
        <f t="shared" si="17"/>
        <v>12</v>
      </c>
    </row>
    <row r="188" spans="1:16" hidden="1" x14ac:dyDescent="0.25">
      <c r="A188" s="12" t="s">
        <v>308</v>
      </c>
      <c r="B188" s="36">
        <v>46079</v>
      </c>
      <c r="C188" s="12">
        <f t="shared" si="19"/>
        <v>332</v>
      </c>
      <c r="D188" s="38">
        <f t="shared" si="14"/>
        <v>1</v>
      </c>
      <c r="E188" s="12"/>
      <c r="F188" s="12"/>
      <c r="G188" s="12" t="s">
        <v>363</v>
      </c>
      <c r="H188" s="12" t="s">
        <v>3032</v>
      </c>
      <c r="I188" s="12">
        <v>1111</v>
      </c>
      <c r="J188" s="12">
        <v>112111</v>
      </c>
      <c r="K188" s="12" t="s">
        <v>20</v>
      </c>
      <c r="L188" s="12">
        <v>1</v>
      </c>
      <c r="M188" s="17">
        <v>9000000</v>
      </c>
      <c r="N188" s="17">
        <f t="shared" si="18"/>
        <v>9000000</v>
      </c>
      <c r="O188" s="12"/>
      <c r="P188" s="12">
        <f t="shared" si="17"/>
        <v>40</v>
      </c>
    </row>
    <row r="189" spans="1:16" hidden="1" x14ac:dyDescent="0.25">
      <c r="A189" s="12" t="s">
        <v>309</v>
      </c>
      <c r="B189" s="36">
        <v>46080</v>
      </c>
      <c r="C189" s="12">
        <f t="shared" si="19"/>
        <v>333</v>
      </c>
      <c r="D189" s="38">
        <f t="shared" si="14"/>
        <v>1</v>
      </c>
      <c r="E189" s="12"/>
      <c r="F189" s="12"/>
      <c r="G189" s="12" t="s">
        <v>2071</v>
      </c>
      <c r="H189" s="12" t="s">
        <v>3064</v>
      </c>
      <c r="I189" s="12">
        <v>112111</v>
      </c>
      <c r="J189" s="12">
        <v>131</v>
      </c>
      <c r="K189" s="12" t="s">
        <v>20</v>
      </c>
      <c r="L189" s="12">
        <v>1</v>
      </c>
      <c r="M189" s="17">
        <v>14170000</v>
      </c>
      <c r="N189" s="17">
        <f t="shared" si="18"/>
        <v>14170000</v>
      </c>
      <c r="O189" s="12"/>
      <c r="P189" s="12">
        <f t="shared" si="17"/>
        <v>107</v>
      </c>
    </row>
    <row r="190" spans="1:16" hidden="1" x14ac:dyDescent="0.25">
      <c r="A190" s="12" t="s">
        <v>308</v>
      </c>
      <c r="B190" s="36">
        <v>46080</v>
      </c>
      <c r="C190" s="12">
        <f t="shared" si="19"/>
        <v>334</v>
      </c>
      <c r="D190" s="38">
        <f t="shared" si="14"/>
        <v>1</v>
      </c>
      <c r="E190" s="12"/>
      <c r="F190" s="12"/>
      <c r="G190" s="12" t="s">
        <v>363</v>
      </c>
      <c r="H190" s="12" t="s">
        <v>3032</v>
      </c>
      <c r="I190" s="12">
        <v>1111</v>
      </c>
      <c r="J190" s="12">
        <v>112111</v>
      </c>
      <c r="K190" s="12" t="s">
        <v>20</v>
      </c>
      <c r="L190" s="12">
        <v>1</v>
      </c>
      <c r="M190" s="17">
        <v>4000000</v>
      </c>
      <c r="N190" s="17">
        <f t="shared" si="18"/>
        <v>4000000</v>
      </c>
      <c r="O190" s="12"/>
      <c r="P190" s="12">
        <f t="shared" si="17"/>
        <v>40</v>
      </c>
    </row>
    <row r="191" spans="1:16" hidden="1" x14ac:dyDescent="0.25">
      <c r="A191" s="12" t="s">
        <v>309</v>
      </c>
      <c r="B191" s="36">
        <v>46080</v>
      </c>
      <c r="C191" s="12">
        <f t="shared" si="19"/>
        <v>335</v>
      </c>
      <c r="D191" s="38">
        <f t="shared" si="14"/>
        <v>1</v>
      </c>
      <c r="E191" s="12"/>
      <c r="F191" s="12"/>
      <c r="G191" s="12" t="s">
        <v>29</v>
      </c>
      <c r="H191" s="12" t="s">
        <v>3065</v>
      </c>
      <c r="I191" s="12">
        <v>112111</v>
      </c>
      <c r="J191" s="12">
        <v>131</v>
      </c>
      <c r="K191" s="12" t="s">
        <v>20</v>
      </c>
      <c r="L191" s="12">
        <v>1</v>
      </c>
      <c r="M191" s="17">
        <v>22000000</v>
      </c>
      <c r="N191" s="17">
        <f t="shared" si="18"/>
        <v>22000000</v>
      </c>
      <c r="O191" s="12"/>
      <c r="P191" s="12">
        <f t="shared" si="17"/>
        <v>132</v>
      </c>
    </row>
    <row r="192" spans="1:16" hidden="1" x14ac:dyDescent="0.25">
      <c r="A192" s="12" t="s">
        <v>308</v>
      </c>
      <c r="B192" s="36">
        <v>46081</v>
      </c>
      <c r="C192" s="12">
        <f t="shared" si="19"/>
        <v>336</v>
      </c>
      <c r="D192" s="38">
        <f t="shared" si="14"/>
        <v>1</v>
      </c>
      <c r="E192" s="12"/>
      <c r="F192" s="12"/>
      <c r="G192" s="12" t="s">
        <v>363</v>
      </c>
      <c r="H192" s="12" t="s">
        <v>3032</v>
      </c>
      <c r="I192" s="12">
        <v>1111</v>
      </c>
      <c r="J192" s="12">
        <v>112111</v>
      </c>
      <c r="K192" s="12" t="s">
        <v>20</v>
      </c>
      <c r="L192" s="12">
        <v>1</v>
      </c>
      <c r="M192" s="17">
        <v>1380600</v>
      </c>
      <c r="N192" s="17">
        <f t="shared" si="18"/>
        <v>1380600</v>
      </c>
      <c r="O192" s="12"/>
      <c r="P192" s="12">
        <f t="shared" si="17"/>
        <v>40</v>
      </c>
    </row>
    <row r="193" spans="1:16" hidden="1" x14ac:dyDescent="0.25">
      <c r="A193" s="12" t="s">
        <v>308</v>
      </c>
      <c r="B193" s="36">
        <v>46081</v>
      </c>
      <c r="C193" s="12">
        <f t="shared" si="19"/>
        <v>336</v>
      </c>
      <c r="D193" s="38">
        <f t="shared" si="14"/>
        <v>0</v>
      </c>
      <c r="E193" s="12"/>
      <c r="F193" s="12"/>
      <c r="G193" s="12" t="s">
        <v>363</v>
      </c>
      <c r="H193" s="12" t="s">
        <v>3032</v>
      </c>
      <c r="I193" s="12">
        <v>1111</v>
      </c>
      <c r="J193" s="12">
        <v>112111</v>
      </c>
      <c r="K193" s="12" t="s">
        <v>20</v>
      </c>
      <c r="L193" s="12">
        <v>1</v>
      </c>
      <c r="M193" s="17">
        <v>20000000</v>
      </c>
      <c r="N193" s="17">
        <f t="shared" si="18"/>
        <v>20000000</v>
      </c>
      <c r="O193" s="12"/>
      <c r="P193" s="12">
        <f t="shared" si="17"/>
        <v>40</v>
      </c>
    </row>
    <row r="194" spans="1:16" hidden="1" x14ac:dyDescent="0.25">
      <c r="A194" s="12" t="s">
        <v>309</v>
      </c>
      <c r="B194" s="36">
        <v>46081</v>
      </c>
      <c r="C194" s="12">
        <f t="shared" si="19"/>
        <v>337</v>
      </c>
      <c r="D194" s="38">
        <f t="shared" si="14"/>
        <v>1</v>
      </c>
      <c r="E194" s="12"/>
      <c r="F194" s="12"/>
      <c r="G194" s="12" t="s">
        <v>311</v>
      </c>
      <c r="H194" s="12" t="s">
        <v>3057</v>
      </c>
      <c r="I194" s="12">
        <v>112111</v>
      </c>
      <c r="J194" s="12">
        <v>131</v>
      </c>
      <c r="K194" s="12" t="s">
        <v>20</v>
      </c>
      <c r="L194" s="12">
        <v>1</v>
      </c>
      <c r="M194" s="17">
        <v>65992054</v>
      </c>
      <c r="N194" s="17">
        <f t="shared" si="18"/>
        <v>65992054</v>
      </c>
      <c r="O194" s="12"/>
      <c r="P194" s="12">
        <f t="shared" si="17"/>
        <v>16</v>
      </c>
    </row>
    <row r="195" spans="1:16" hidden="1" x14ac:dyDescent="0.25">
      <c r="A195" s="12" t="s">
        <v>309</v>
      </c>
      <c r="B195" s="36">
        <v>46081</v>
      </c>
      <c r="C195" s="12">
        <f t="shared" si="19"/>
        <v>338</v>
      </c>
      <c r="D195" s="38">
        <f t="shared" si="14"/>
        <v>1</v>
      </c>
      <c r="E195" s="12"/>
      <c r="F195" s="12"/>
      <c r="G195" s="130" t="s">
        <v>38</v>
      </c>
      <c r="H195" s="12" t="s">
        <v>3125</v>
      </c>
      <c r="I195" s="12">
        <v>112111</v>
      </c>
      <c r="J195" s="12">
        <v>131</v>
      </c>
      <c r="K195" s="12" t="s">
        <v>20</v>
      </c>
      <c r="L195" s="12">
        <v>1</v>
      </c>
      <c r="M195" s="17">
        <v>9139893</v>
      </c>
      <c r="N195" s="17">
        <f t="shared" si="18"/>
        <v>9139893</v>
      </c>
      <c r="O195" s="12"/>
      <c r="P195" s="12">
        <f t="shared" si="17"/>
        <v>171</v>
      </c>
    </row>
    <row r="196" spans="1:16" hidden="1" x14ac:dyDescent="0.25">
      <c r="A196" s="12" t="s">
        <v>308</v>
      </c>
      <c r="B196" s="36">
        <v>46081</v>
      </c>
      <c r="C196" s="12">
        <f t="shared" si="19"/>
        <v>339</v>
      </c>
      <c r="D196" s="38">
        <f t="shared" ref="D196:D209" si="20">IF(H196=H195,0,1)</f>
        <v>1</v>
      </c>
      <c r="E196" s="12"/>
      <c r="F196" s="12"/>
      <c r="G196" s="12" t="s">
        <v>363</v>
      </c>
      <c r="H196" s="12" t="s">
        <v>3032</v>
      </c>
      <c r="I196" s="12">
        <v>1111</v>
      </c>
      <c r="J196" s="12">
        <v>112111</v>
      </c>
      <c r="K196" s="12" t="s">
        <v>20</v>
      </c>
      <c r="L196" s="12">
        <v>1</v>
      </c>
      <c r="M196" s="17">
        <v>75000000</v>
      </c>
      <c r="N196" s="17">
        <f t="shared" si="18"/>
        <v>75000000</v>
      </c>
      <c r="O196" s="12"/>
      <c r="P196" s="12">
        <f t="shared" ref="P196:P219" si="21">LEN(H196)</f>
        <v>40</v>
      </c>
    </row>
    <row r="197" spans="1:16" hidden="1" x14ac:dyDescent="0.25">
      <c r="A197" s="12" t="s">
        <v>308</v>
      </c>
      <c r="B197" s="36">
        <v>46093</v>
      </c>
      <c r="C197" s="12">
        <f t="shared" si="19"/>
        <v>339</v>
      </c>
      <c r="D197" s="38">
        <f t="shared" si="20"/>
        <v>0</v>
      </c>
      <c r="E197" s="12"/>
      <c r="F197" s="12"/>
      <c r="G197" s="12" t="s">
        <v>363</v>
      </c>
      <c r="H197" s="12" t="s">
        <v>3032</v>
      </c>
      <c r="I197" s="12">
        <v>1111</v>
      </c>
      <c r="J197" s="12">
        <v>112111</v>
      </c>
      <c r="K197" s="12" t="s">
        <v>20</v>
      </c>
      <c r="L197" s="12">
        <v>1</v>
      </c>
      <c r="M197" s="17">
        <v>12000000</v>
      </c>
      <c r="N197" s="17">
        <f t="shared" si="18"/>
        <v>12000000</v>
      </c>
      <c r="O197" s="12"/>
      <c r="P197" s="12">
        <f t="shared" si="21"/>
        <v>40</v>
      </c>
    </row>
    <row r="198" spans="1:16" hidden="1" x14ac:dyDescent="0.25">
      <c r="A198" s="12" t="s">
        <v>309</v>
      </c>
      <c r="B198" s="36">
        <v>46093</v>
      </c>
      <c r="C198" s="12">
        <f t="shared" si="19"/>
        <v>340</v>
      </c>
      <c r="D198" s="38">
        <f t="shared" si="20"/>
        <v>1</v>
      </c>
      <c r="E198" s="12"/>
      <c r="F198" s="12"/>
      <c r="G198" s="12" t="s">
        <v>55</v>
      </c>
      <c r="H198" s="12" t="s">
        <v>3066</v>
      </c>
      <c r="I198" s="12">
        <v>112111</v>
      </c>
      <c r="J198" s="12">
        <v>131</v>
      </c>
      <c r="K198" s="12" t="s">
        <v>20</v>
      </c>
      <c r="L198" s="12">
        <v>1</v>
      </c>
      <c r="M198" s="17">
        <v>13200000</v>
      </c>
      <c r="N198" s="17">
        <f t="shared" si="18"/>
        <v>13200000</v>
      </c>
      <c r="O198" s="12"/>
      <c r="P198" s="12">
        <f t="shared" si="21"/>
        <v>127</v>
      </c>
    </row>
    <row r="199" spans="1:16" hidden="1" x14ac:dyDescent="0.25">
      <c r="A199" s="12" t="s">
        <v>308</v>
      </c>
      <c r="B199" s="36">
        <v>46094</v>
      </c>
      <c r="C199" s="12">
        <f t="shared" si="19"/>
        <v>341</v>
      </c>
      <c r="D199" s="38">
        <f t="shared" si="20"/>
        <v>1</v>
      </c>
      <c r="E199" s="12"/>
      <c r="F199" s="12"/>
      <c r="G199" s="12" t="s">
        <v>363</v>
      </c>
      <c r="H199" s="12" t="s">
        <v>3032</v>
      </c>
      <c r="I199" s="12">
        <v>1111</v>
      </c>
      <c r="J199" s="12">
        <v>112111</v>
      </c>
      <c r="K199" s="12" t="s">
        <v>20</v>
      </c>
      <c r="L199" s="12">
        <v>1</v>
      </c>
      <c r="M199" s="17">
        <v>20000000</v>
      </c>
      <c r="N199" s="17">
        <f t="shared" si="18"/>
        <v>20000000</v>
      </c>
      <c r="O199" s="12"/>
      <c r="P199" s="12">
        <f t="shared" si="21"/>
        <v>40</v>
      </c>
    </row>
    <row r="200" spans="1:16" hidden="1" x14ac:dyDescent="0.25">
      <c r="A200" s="12" t="s">
        <v>309</v>
      </c>
      <c r="B200" s="36">
        <v>46094</v>
      </c>
      <c r="C200" s="12">
        <f t="shared" si="19"/>
        <v>342</v>
      </c>
      <c r="D200" s="38">
        <f t="shared" si="20"/>
        <v>1</v>
      </c>
      <c r="E200" s="12"/>
      <c r="F200" s="12"/>
      <c r="G200" s="12" t="s">
        <v>29</v>
      </c>
      <c r="H200" s="12" t="s">
        <v>3067</v>
      </c>
      <c r="I200" s="12">
        <v>112111</v>
      </c>
      <c r="J200" s="12">
        <v>131</v>
      </c>
      <c r="K200" s="12" t="s">
        <v>20</v>
      </c>
      <c r="L200" s="12">
        <v>1</v>
      </c>
      <c r="M200" s="17">
        <v>22000000</v>
      </c>
      <c r="N200" s="17">
        <f t="shared" si="18"/>
        <v>22000000</v>
      </c>
      <c r="O200" s="12"/>
      <c r="P200" s="12">
        <f t="shared" si="21"/>
        <v>136</v>
      </c>
    </row>
    <row r="201" spans="1:16" hidden="1" x14ac:dyDescent="0.25">
      <c r="A201" s="12" t="s">
        <v>308</v>
      </c>
      <c r="B201" s="36">
        <v>46094</v>
      </c>
      <c r="C201" s="12">
        <f t="shared" si="19"/>
        <v>343</v>
      </c>
      <c r="D201" s="38">
        <f t="shared" si="20"/>
        <v>1</v>
      </c>
      <c r="E201" s="12"/>
      <c r="F201" s="12"/>
      <c r="G201" s="12" t="s">
        <v>363</v>
      </c>
      <c r="H201" s="12" t="s">
        <v>3032</v>
      </c>
      <c r="I201" s="12">
        <v>1111</v>
      </c>
      <c r="J201" s="12">
        <v>112111</v>
      </c>
      <c r="K201" s="12" t="s">
        <v>20</v>
      </c>
      <c r="L201" s="12">
        <v>1</v>
      </c>
      <c r="M201" s="17">
        <v>35000000</v>
      </c>
      <c r="N201" s="17">
        <f t="shared" si="18"/>
        <v>35000000</v>
      </c>
      <c r="O201" s="12"/>
      <c r="P201" s="12">
        <f t="shared" si="21"/>
        <v>40</v>
      </c>
    </row>
    <row r="202" spans="1:16" hidden="1" x14ac:dyDescent="0.25">
      <c r="A202" s="12" t="s">
        <v>309</v>
      </c>
      <c r="B202" s="36">
        <v>46094</v>
      </c>
      <c r="C202" s="12">
        <f t="shared" si="19"/>
        <v>344</v>
      </c>
      <c r="D202" s="38">
        <f t="shared" si="20"/>
        <v>1</v>
      </c>
      <c r="E202" s="12"/>
      <c r="F202" s="12"/>
      <c r="G202" s="12" t="s">
        <v>29</v>
      </c>
      <c r="H202" s="12" t="s">
        <v>3068</v>
      </c>
      <c r="I202" s="12">
        <v>112111</v>
      </c>
      <c r="J202" s="12">
        <v>131</v>
      </c>
      <c r="K202" s="12" t="s">
        <v>20</v>
      </c>
      <c r="L202" s="12">
        <v>1</v>
      </c>
      <c r="M202" s="17">
        <v>21505376</v>
      </c>
      <c r="N202" s="17">
        <f t="shared" si="18"/>
        <v>21505376</v>
      </c>
      <c r="O202" s="12"/>
      <c r="P202" s="12">
        <f t="shared" si="21"/>
        <v>161</v>
      </c>
    </row>
    <row r="203" spans="1:16" hidden="1" x14ac:dyDescent="0.25">
      <c r="A203" s="12" t="s">
        <v>309</v>
      </c>
      <c r="B203" s="36">
        <v>46094</v>
      </c>
      <c r="C203" s="12">
        <f t="shared" si="19"/>
        <v>345</v>
      </c>
      <c r="D203" s="38">
        <f t="shared" si="20"/>
        <v>1</v>
      </c>
      <c r="E203" s="12"/>
      <c r="F203" s="12"/>
      <c r="G203" s="12" t="s">
        <v>29</v>
      </c>
      <c r="H203" s="12" t="s">
        <v>3069</v>
      </c>
      <c r="I203" s="12">
        <v>112111</v>
      </c>
      <c r="J203" s="12">
        <v>131</v>
      </c>
      <c r="K203" s="12" t="s">
        <v>20</v>
      </c>
      <c r="L203" s="12">
        <v>1</v>
      </c>
      <c r="M203" s="17">
        <v>15400000</v>
      </c>
      <c r="N203" s="17">
        <f t="shared" si="18"/>
        <v>15400000</v>
      </c>
      <c r="O203" s="12"/>
      <c r="P203" s="12">
        <f t="shared" si="21"/>
        <v>145</v>
      </c>
    </row>
    <row r="204" spans="1:16" hidden="1" x14ac:dyDescent="0.25">
      <c r="A204" s="12" t="s">
        <v>308</v>
      </c>
      <c r="B204" s="36">
        <v>46099</v>
      </c>
      <c r="C204" s="12">
        <f t="shared" si="19"/>
        <v>346</v>
      </c>
      <c r="D204" s="38">
        <f t="shared" si="20"/>
        <v>1</v>
      </c>
      <c r="E204" s="12"/>
      <c r="F204" s="12"/>
      <c r="G204" s="12" t="s">
        <v>363</v>
      </c>
      <c r="H204" s="12" t="s">
        <v>3032</v>
      </c>
      <c r="I204" s="12">
        <v>1111</v>
      </c>
      <c r="J204" s="12">
        <v>112111</v>
      </c>
      <c r="K204" s="12" t="s">
        <v>20</v>
      </c>
      <c r="L204" s="12">
        <v>1</v>
      </c>
      <c r="M204" s="17">
        <v>20000000</v>
      </c>
      <c r="N204" s="17">
        <f t="shared" si="18"/>
        <v>20000000</v>
      </c>
      <c r="O204" s="12"/>
      <c r="P204" s="12">
        <f t="shared" si="21"/>
        <v>40</v>
      </c>
    </row>
    <row r="205" spans="1:16" hidden="1" x14ac:dyDescent="0.25">
      <c r="A205" s="12" t="s">
        <v>309</v>
      </c>
      <c r="B205" s="36">
        <v>46099</v>
      </c>
      <c r="C205" s="12">
        <f t="shared" si="19"/>
        <v>347</v>
      </c>
      <c r="D205" s="38">
        <f t="shared" si="20"/>
        <v>1</v>
      </c>
      <c r="E205" s="12"/>
      <c r="F205" s="12"/>
      <c r="G205" s="12" t="s">
        <v>72</v>
      </c>
      <c r="H205" s="12" t="s">
        <v>3070</v>
      </c>
      <c r="I205" s="12">
        <v>112111</v>
      </c>
      <c r="J205" s="12">
        <v>131</v>
      </c>
      <c r="K205" s="12" t="s">
        <v>20</v>
      </c>
      <c r="L205" s="12">
        <v>1</v>
      </c>
      <c r="M205" s="17">
        <v>13200000</v>
      </c>
      <c r="N205" s="17">
        <f t="shared" si="18"/>
        <v>13200000</v>
      </c>
      <c r="O205" s="12"/>
      <c r="P205" s="12">
        <f t="shared" si="21"/>
        <v>106</v>
      </c>
    </row>
    <row r="206" spans="1:16" hidden="1" x14ac:dyDescent="0.25">
      <c r="A206" s="12" t="s">
        <v>308</v>
      </c>
      <c r="B206" s="36">
        <v>46099</v>
      </c>
      <c r="C206" s="12">
        <f t="shared" si="19"/>
        <v>348</v>
      </c>
      <c r="D206" s="38">
        <f t="shared" si="20"/>
        <v>1</v>
      </c>
      <c r="E206" s="12"/>
      <c r="F206" s="12"/>
      <c r="G206" s="12" t="s">
        <v>363</v>
      </c>
      <c r="H206" s="12" t="s">
        <v>3032</v>
      </c>
      <c r="I206" s="12">
        <v>1111</v>
      </c>
      <c r="J206" s="12">
        <v>112111</v>
      </c>
      <c r="K206" s="12" t="s">
        <v>20</v>
      </c>
      <c r="L206" s="12">
        <v>1</v>
      </c>
      <c r="M206" s="17">
        <v>10000000</v>
      </c>
      <c r="N206" s="17">
        <f t="shared" si="18"/>
        <v>10000000</v>
      </c>
      <c r="O206" s="12"/>
      <c r="P206" s="12">
        <f t="shared" si="21"/>
        <v>40</v>
      </c>
    </row>
    <row r="207" spans="1:16" hidden="1" x14ac:dyDescent="0.25">
      <c r="A207" s="12" t="s">
        <v>309</v>
      </c>
      <c r="B207" s="36">
        <v>46099</v>
      </c>
      <c r="C207" s="12">
        <f t="shared" si="19"/>
        <v>349</v>
      </c>
      <c r="D207" s="38">
        <f t="shared" si="20"/>
        <v>1</v>
      </c>
      <c r="E207" s="12"/>
      <c r="F207" s="12"/>
      <c r="G207" s="12" t="s">
        <v>2084</v>
      </c>
      <c r="H207" s="12" t="s">
        <v>3071</v>
      </c>
      <c r="I207" s="12">
        <v>112111</v>
      </c>
      <c r="J207" s="12">
        <v>131</v>
      </c>
      <c r="K207" s="12" t="s">
        <v>20</v>
      </c>
      <c r="L207" s="12">
        <v>1</v>
      </c>
      <c r="M207" s="17">
        <v>10645161</v>
      </c>
      <c r="N207" s="17">
        <f t="shared" si="18"/>
        <v>10645161</v>
      </c>
      <c r="O207" s="12"/>
      <c r="P207" s="12">
        <f t="shared" si="21"/>
        <v>151</v>
      </c>
    </row>
    <row r="208" spans="1:16" hidden="1" x14ac:dyDescent="0.25">
      <c r="A208" s="12" t="s">
        <v>308</v>
      </c>
      <c r="B208" s="36">
        <v>46099</v>
      </c>
      <c r="C208" s="12">
        <f t="shared" si="19"/>
        <v>350</v>
      </c>
      <c r="D208" s="38">
        <f t="shared" si="20"/>
        <v>1</v>
      </c>
      <c r="E208" s="12"/>
      <c r="F208" s="12"/>
      <c r="G208" s="130" t="s">
        <v>363</v>
      </c>
      <c r="H208" s="12" t="s">
        <v>3032</v>
      </c>
      <c r="I208" s="12">
        <v>1111</v>
      </c>
      <c r="J208" s="12">
        <v>112111</v>
      </c>
      <c r="K208" s="12" t="s">
        <v>20</v>
      </c>
      <c r="L208" s="12">
        <v>1</v>
      </c>
      <c r="M208" s="17">
        <v>20000000</v>
      </c>
      <c r="N208" s="17">
        <f t="shared" si="18"/>
        <v>20000000</v>
      </c>
      <c r="O208" s="12"/>
      <c r="P208" s="12">
        <f t="shared" si="21"/>
        <v>40</v>
      </c>
    </row>
    <row r="209" spans="1:16" hidden="1" x14ac:dyDescent="0.25">
      <c r="A209" s="12" t="s">
        <v>309</v>
      </c>
      <c r="B209" s="36">
        <v>46099</v>
      </c>
      <c r="C209" s="12">
        <f t="shared" ref="C209" si="22">C208+D209</f>
        <v>351</v>
      </c>
      <c r="D209" s="38">
        <f t="shared" si="20"/>
        <v>1</v>
      </c>
      <c r="E209" s="12"/>
      <c r="F209" s="12"/>
      <c r="G209" s="130" t="s">
        <v>98</v>
      </c>
      <c r="H209" s="12" t="s">
        <v>3072</v>
      </c>
      <c r="I209" s="12">
        <v>112111</v>
      </c>
      <c r="J209" s="12">
        <v>131</v>
      </c>
      <c r="K209" s="12" t="s">
        <v>20</v>
      </c>
      <c r="L209" s="12">
        <v>1</v>
      </c>
      <c r="M209" s="17">
        <v>11000000</v>
      </c>
      <c r="N209" s="17">
        <f t="shared" si="18"/>
        <v>11000000</v>
      </c>
      <c r="O209" s="12"/>
      <c r="P209" s="12">
        <f t="shared" si="21"/>
        <v>106</v>
      </c>
    </row>
    <row r="210" spans="1:16" hidden="1" x14ac:dyDescent="0.25">
      <c r="A210" s="12" t="s">
        <v>309</v>
      </c>
      <c r="B210" s="36">
        <v>46099</v>
      </c>
      <c r="C210" s="12">
        <f t="shared" ref="C210:C233" si="23">C209+D210</f>
        <v>352</v>
      </c>
      <c r="D210" s="38">
        <f t="shared" ref="D210:D233" si="24">IF(H210=H209,0,1)</f>
        <v>1</v>
      </c>
      <c r="E210" s="12"/>
      <c r="F210" s="12"/>
      <c r="G210" s="130" t="s">
        <v>98</v>
      </c>
      <c r="H210" s="12" t="s">
        <v>3073</v>
      </c>
      <c r="I210" s="12">
        <v>112111</v>
      </c>
      <c r="J210" s="12">
        <v>131</v>
      </c>
      <c r="K210" s="12" t="s">
        <v>20</v>
      </c>
      <c r="L210" s="12">
        <v>1</v>
      </c>
      <c r="M210" s="17">
        <v>11000000</v>
      </c>
      <c r="N210" s="17">
        <f t="shared" si="18"/>
        <v>11000000</v>
      </c>
      <c r="O210" s="12"/>
      <c r="P210" s="12">
        <f t="shared" si="21"/>
        <v>106</v>
      </c>
    </row>
    <row r="211" spans="1:16" hidden="1" x14ac:dyDescent="0.25">
      <c r="A211" s="12" t="s">
        <v>309</v>
      </c>
      <c r="B211" s="36">
        <v>46100</v>
      </c>
      <c r="C211" s="12">
        <f t="shared" si="23"/>
        <v>353</v>
      </c>
      <c r="D211" s="38">
        <f t="shared" si="24"/>
        <v>1</v>
      </c>
      <c r="E211" s="12"/>
      <c r="F211" s="12"/>
      <c r="G211" s="130" t="s">
        <v>26</v>
      </c>
      <c r="H211" s="12" t="s">
        <v>3074</v>
      </c>
      <c r="I211" s="12">
        <v>112111</v>
      </c>
      <c r="J211" s="12">
        <v>131</v>
      </c>
      <c r="K211" s="12" t="s">
        <v>20</v>
      </c>
      <c r="L211" s="12">
        <v>1</v>
      </c>
      <c r="M211" s="17">
        <v>13200000</v>
      </c>
      <c r="N211" s="17">
        <f t="shared" si="18"/>
        <v>13200000</v>
      </c>
      <c r="O211" s="12"/>
      <c r="P211" s="12">
        <f t="shared" si="21"/>
        <v>119</v>
      </c>
    </row>
    <row r="212" spans="1:16" hidden="1" x14ac:dyDescent="0.25">
      <c r="A212" s="12" t="s">
        <v>308</v>
      </c>
      <c r="B212" s="36">
        <v>46100</v>
      </c>
      <c r="C212" s="12">
        <f t="shared" si="23"/>
        <v>354</v>
      </c>
      <c r="D212" s="38">
        <f t="shared" si="24"/>
        <v>1</v>
      </c>
      <c r="E212" s="12"/>
      <c r="F212" s="12"/>
      <c r="G212" s="130" t="s">
        <v>363</v>
      </c>
      <c r="H212" s="12" t="s">
        <v>3032</v>
      </c>
      <c r="I212" s="12">
        <v>1111</v>
      </c>
      <c r="J212" s="12">
        <v>112111</v>
      </c>
      <c r="K212" s="12" t="s">
        <v>20</v>
      </c>
      <c r="L212" s="12">
        <v>1</v>
      </c>
      <c r="M212" s="17">
        <v>12000000</v>
      </c>
      <c r="N212" s="17">
        <f t="shared" si="18"/>
        <v>12000000</v>
      </c>
      <c r="O212" s="12"/>
      <c r="P212" s="12">
        <f t="shared" si="21"/>
        <v>40</v>
      </c>
    </row>
    <row r="213" spans="1:16" hidden="1" x14ac:dyDescent="0.25">
      <c r="A213" s="12" t="s">
        <v>309</v>
      </c>
      <c r="B213" s="36">
        <v>46103</v>
      </c>
      <c r="C213" s="12">
        <f t="shared" si="23"/>
        <v>355</v>
      </c>
      <c r="D213" s="38">
        <f t="shared" si="24"/>
        <v>1</v>
      </c>
      <c r="E213" s="12"/>
      <c r="F213" s="12"/>
      <c r="G213" s="130" t="s">
        <v>2047</v>
      </c>
      <c r="H213" s="12" t="s">
        <v>3075</v>
      </c>
      <c r="I213" s="12">
        <v>112111</v>
      </c>
      <c r="J213" s="12">
        <v>131</v>
      </c>
      <c r="K213" s="12" t="s">
        <v>20</v>
      </c>
      <c r="L213" s="12">
        <v>1</v>
      </c>
      <c r="M213" s="17">
        <v>6050000</v>
      </c>
      <c r="N213" s="17">
        <f t="shared" si="18"/>
        <v>6050000</v>
      </c>
      <c r="O213" s="12"/>
      <c r="P213" s="12">
        <f t="shared" si="21"/>
        <v>125</v>
      </c>
    </row>
    <row r="214" spans="1:16" hidden="1" x14ac:dyDescent="0.25">
      <c r="A214" s="12" t="s">
        <v>308</v>
      </c>
      <c r="B214" s="36">
        <v>46104</v>
      </c>
      <c r="C214" s="12">
        <f t="shared" si="23"/>
        <v>356</v>
      </c>
      <c r="D214" s="38">
        <f t="shared" si="24"/>
        <v>1</v>
      </c>
      <c r="E214" s="12"/>
      <c r="F214" s="12"/>
      <c r="G214" s="130" t="s">
        <v>363</v>
      </c>
      <c r="H214" s="12" t="s">
        <v>3032</v>
      </c>
      <c r="I214" s="12">
        <v>1111</v>
      </c>
      <c r="J214" s="12">
        <v>112111</v>
      </c>
      <c r="K214" s="12" t="s">
        <v>20</v>
      </c>
      <c r="L214" s="12">
        <v>1</v>
      </c>
      <c r="M214" s="17">
        <v>6000000</v>
      </c>
      <c r="N214" s="17">
        <f t="shared" si="18"/>
        <v>6000000</v>
      </c>
      <c r="O214" s="12"/>
      <c r="P214" s="12">
        <f t="shared" si="21"/>
        <v>40</v>
      </c>
    </row>
    <row r="215" spans="1:16" hidden="1" x14ac:dyDescent="0.25">
      <c r="A215" s="12" t="s">
        <v>309</v>
      </c>
      <c r="B215" s="36">
        <v>46105</v>
      </c>
      <c r="C215" s="12">
        <f t="shared" si="23"/>
        <v>357</v>
      </c>
      <c r="D215" s="38">
        <f t="shared" si="24"/>
        <v>1</v>
      </c>
      <c r="E215" s="12"/>
      <c r="F215" s="12"/>
      <c r="G215" s="130" t="s">
        <v>2076</v>
      </c>
      <c r="H215" s="12" t="s">
        <v>3076</v>
      </c>
      <c r="I215" s="12">
        <v>112111</v>
      </c>
      <c r="J215" s="12">
        <v>131</v>
      </c>
      <c r="K215" s="12" t="s">
        <v>20</v>
      </c>
      <c r="L215" s="12">
        <v>1</v>
      </c>
      <c r="M215" s="17">
        <v>22000000</v>
      </c>
      <c r="N215" s="17">
        <f t="shared" si="18"/>
        <v>22000000</v>
      </c>
      <c r="O215" s="12"/>
      <c r="P215" s="12">
        <f t="shared" si="21"/>
        <v>151</v>
      </c>
    </row>
    <row r="216" spans="1:16" hidden="1" x14ac:dyDescent="0.25">
      <c r="A216" s="12" t="s">
        <v>308</v>
      </c>
      <c r="B216" s="36">
        <v>46105</v>
      </c>
      <c r="C216" s="12">
        <f t="shared" si="23"/>
        <v>358</v>
      </c>
      <c r="D216" s="38">
        <f t="shared" si="24"/>
        <v>1</v>
      </c>
      <c r="E216" s="12"/>
      <c r="F216" s="12"/>
      <c r="G216" s="130" t="s">
        <v>363</v>
      </c>
      <c r="H216" s="12" t="s">
        <v>3032</v>
      </c>
      <c r="I216" s="12">
        <v>1111</v>
      </c>
      <c r="J216" s="12">
        <v>112111</v>
      </c>
      <c r="K216" s="12" t="s">
        <v>20</v>
      </c>
      <c r="L216" s="12">
        <v>1</v>
      </c>
      <c r="M216" s="17">
        <v>20000000</v>
      </c>
      <c r="N216" s="17">
        <f t="shared" si="18"/>
        <v>20000000</v>
      </c>
      <c r="O216" s="12"/>
      <c r="P216" s="12">
        <f t="shared" si="21"/>
        <v>40</v>
      </c>
    </row>
    <row r="217" spans="1:16" hidden="1" x14ac:dyDescent="0.25">
      <c r="A217" s="12" t="s">
        <v>309</v>
      </c>
      <c r="B217" s="36">
        <v>46105</v>
      </c>
      <c r="C217" s="12">
        <f t="shared" si="23"/>
        <v>359</v>
      </c>
      <c r="D217" s="38">
        <f t="shared" si="24"/>
        <v>1</v>
      </c>
      <c r="E217" s="12"/>
      <c r="F217" s="12"/>
      <c r="G217" s="130" t="s">
        <v>2084</v>
      </c>
      <c r="H217" s="12" t="s">
        <v>3071</v>
      </c>
      <c r="I217" s="12">
        <v>112111</v>
      </c>
      <c r="J217" s="12">
        <v>131</v>
      </c>
      <c r="K217" s="12" t="s">
        <v>20</v>
      </c>
      <c r="L217" s="12">
        <v>1</v>
      </c>
      <c r="M217" s="17">
        <v>15967742</v>
      </c>
      <c r="N217" s="17">
        <f t="shared" si="18"/>
        <v>15967742</v>
      </c>
      <c r="O217" s="12"/>
      <c r="P217" s="12">
        <f t="shared" si="21"/>
        <v>151</v>
      </c>
    </row>
    <row r="218" spans="1:16" hidden="1" x14ac:dyDescent="0.25">
      <c r="A218" s="12" t="s">
        <v>308</v>
      </c>
      <c r="B218" s="36">
        <v>46105</v>
      </c>
      <c r="C218" s="12">
        <f t="shared" si="23"/>
        <v>360</v>
      </c>
      <c r="D218" s="38">
        <f t="shared" si="24"/>
        <v>1</v>
      </c>
      <c r="E218" s="12"/>
      <c r="F218" s="12"/>
      <c r="G218" s="130" t="s">
        <v>363</v>
      </c>
      <c r="H218" s="12" t="s">
        <v>3032</v>
      </c>
      <c r="I218" s="12">
        <v>1111</v>
      </c>
      <c r="J218" s="12">
        <v>112111</v>
      </c>
      <c r="K218" s="12" t="s">
        <v>20</v>
      </c>
      <c r="L218" s="12">
        <v>1</v>
      </c>
      <c r="M218" s="17">
        <v>14000000</v>
      </c>
      <c r="N218" s="17">
        <f t="shared" si="18"/>
        <v>14000000</v>
      </c>
      <c r="O218" s="12"/>
      <c r="P218" s="12">
        <f t="shared" si="21"/>
        <v>40</v>
      </c>
    </row>
    <row r="219" spans="1:16" hidden="1" x14ac:dyDescent="0.25">
      <c r="A219" s="12" t="s">
        <v>309</v>
      </c>
      <c r="B219" s="36">
        <v>46106</v>
      </c>
      <c r="C219" s="12">
        <f t="shared" si="23"/>
        <v>361</v>
      </c>
      <c r="D219" s="38">
        <f t="shared" si="24"/>
        <v>1</v>
      </c>
      <c r="E219" s="12"/>
      <c r="F219" s="12"/>
      <c r="G219" s="130" t="s">
        <v>363</v>
      </c>
      <c r="H219" s="12" t="s">
        <v>2543</v>
      </c>
      <c r="I219" s="12">
        <v>112111</v>
      </c>
      <c r="J219" s="12">
        <v>5154</v>
      </c>
      <c r="K219" s="12" t="s">
        <v>20</v>
      </c>
      <c r="L219" s="12">
        <v>1</v>
      </c>
      <c r="M219" s="17">
        <v>2319</v>
      </c>
      <c r="N219" s="17">
        <f t="shared" si="18"/>
        <v>2319</v>
      </c>
      <c r="O219" s="12"/>
      <c r="P219" s="12">
        <f t="shared" si="21"/>
        <v>12</v>
      </c>
    </row>
    <row r="220" spans="1:16" hidden="1" x14ac:dyDescent="0.25">
      <c r="A220" s="12" t="s">
        <v>309</v>
      </c>
      <c r="B220" s="36">
        <v>46107</v>
      </c>
      <c r="C220" s="12">
        <f t="shared" si="23"/>
        <v>362</v>
      </c>
      <c r="D220" s="38">
        <f t="shared" si="24"/>
        <v>1</v>
      </c>
      <c r="E220" s="12"/>
      <c r="F220" s="12"/>
      <c r="G220" s="130" t="s">
        <v>64</v>
      </c>
      <c r="H220" s="12" t="s">
        <v>3124</v>
      </c>
      <c r="I220" s="12">
        <v>112111</v>
      </c>
      <c r="J220" s="12">
        <v>131</v>
      </c>
      <c r="K220" s="12" t="s">
        <v>20</v>
      </c>
      <c r="L220" s="12">
        <v>1</v>
      </c>
      <c r="M220" s="17">
        <v>15967742</v>
      </c>
      <c r="N220" s="17">
        <f t="shared" si="18"/>
        <v>15967742</v>
      </c>
      <c r="O220" s="12"/>
      <c r="P220" s="12">
        <f>LEN(H220)</f>
        <v>108</v>
      </c>
    </row>
    <row r="221" spans="1:16" hidden="1" x14ac:dyDescent="0.25">
      <c r="A221" s="12" t="s">
        <v>308</v>
      </c>
      <c r="B221" s="36">
        <v>46107</v>
      </c>
      <c r="C221" s="12">
        <f t="shared" si="23"/>
        <v>363</v>
      </c>
      <c r="D221" s="38">
        <f t="shared" si="24"/>
        <v>1</v>
      </c>
      <c r="E221" s="12"/>
      <c r="F221" s="12"/>
      <c r="G221" s="130" t="s">
        <v>363</v>
      </c>
      <c r="H221" s="12" t="s">
        <v>3032</v>
      </c>
      <c r="I221" s="12">
        <v>1111</v>
      </c>
      <c r="J221" s="12">
        <v>112111</v>
      </c>
      <c r="K221" s="12" t="s">
        <v>20</v>
      </c>
      <c r="L221" s="12">
        <v>1</v>
      </c>
      <c r="M221" s="17">
        <v>15000000</v>
      </c>
      <c r="N221" s="17">
        <f t="shared" si="18"/>
        <v>15000000</v>
      </c>
      <c r="O221" s="12"/>
      <c r="P221" s="12">
        <f t="shared" ref="P221:P233" si="25">LEN(H221)</f>
        <v>40</v>
      </c>
    </row>
    <row r="222" spans="1:16" hidden="1" x14ac:dyDescent="0.25">
      <c r="A222" s="12" t="s">
        <v>308</v>
      </c>
      <c r="B222" s="36">
        <v>46107</v>
      </c>
      <c r="C222" s="12">
        <f t="shared" si="23"/>
        <v>363</v>
      </c>
      <c r="D222" s="38">
        <f t="shared" si="24"/>
        <v>0</v>
      </c>
      <c r="E222" s="12"/>
      <c r="F222" s="12"/>
      <c r="G222" s="130" t="s">
        <v>363</v>
      </c>
      <c r="H222" s="12" t="s">
        <v>3032</v>
      </c>
      <c r="I222" s="12">
        <v>1111</v>
      </c>
      <c r="J222" s="12">
        <v>112111</v>
      </c>
      <c r="K222" s="12" t="s">
        <v>20</v>
      </c>
      <c r="L222" s="12">
        <v>1</v>
      </c>
      <c r="M222" s="17">
        <v>10000000</v>
      </c>
      <c r="N222" s="17">
        <f t="shared" si="18"/>
        <v>10000000</v>
      </c>
      <c r="O222" s="12"/>
      <c r="P222" s="12">
        <f t="shared" si="25"/>
        <v>40</v>
      </c>
    </row>
    <row r="223" spans="1:16" hidden="1" x14ac:dyDescent="0.25">
      <c r="A223" s="12" t="s">
        <v>309</v>
      </c>
      <c r="B223" s="36">
        <v>46112</v>
      </c>
      <c r="C223" s="12">
        <f t="shared" si="23"/>
        <v>364</v>
      </c>
      <c r="D223" s="38">
        <f t="shared" si="24"/>
        <v>1</v>
      </c>
      <c r="E223" s="12"/>
      <c r="F223" s="12"/>
      <c r="G223" s="130" t="s">
        <v>98</v>
      </c>
      <c r="H223" s="12" t="s">
        <v>3077</v>
      </c>
      <c r="I223" s="12">
        <v>112111</v>
      </c>
      <c r="J223" s="12">
        <v>131</v>
      </c>
      <c r="K223" s="12" t="s">
        <v>20</v>
      </c>
      <c r="L223" s="12">
        <v>1</v>
      </c>
      <c r="M223" s="17">
        <v>15400000</v>
      </c>
      <c r="N223" s="17">
        <f t="shared" si="18"/>
        <v>15400000</v>
      </c>
      <c r="O223" s="12"/>
      <c r="P223" s="12">
        <f t="shared" si="25"/>
        <v>157</v>
      </c>
    </row>
    <row r="224" spans="1:16" hidden="1" x14ac:dyDescent="0.25">
      <c r="A224" s="12" t="s">
        <v>308</v>
      </c>
      <c r="B224" s="36">
        <v>46112</v>
      </c>
      <c r="C224" s="12">
        <f t="shared" si="23"/>
        <v>365</v>
      </c>
      <c r="D224" s="38">
        <f t="shared" si="24"/>
        <v>1</v>
      </c>
      <c r="E224" s="12"/>
      <c r="F224" s="12"/>
      <c r="G224" s="130" t="s">
        <v>363</v>
      </c>
      <c r="H224" s="12" t="s">
        <v>3032</v>
      </c>
      <c r="I224" s="12">
        <v>1111</v>
      </c>
      <c r="J224" s="12">
        <v>112111</v>
      </c>
      <c r="K224" s="12" t="s">
        <v>20</v>
      </c>
      <c r="L224" s="12">
        <v>1</v>
      </c>
      <c r="M224" s="17">
        <v>4000000</v>
      </c>
      <c r="N224" s="17">
        <f t="shared" si="18"/>
        <v>4000000</v>
      </c>
      <c r="O224" s="12"/>
      <c r="P224" s="12">
        <f t="shared" si="25"/>
        <v>40</v>
      </c>
    </row>
    <row r="225" spans="1:16" hidden="1" x14ac:dyDescent="0.25">
      <c r="A225" s="12" t="s">
        <v>309</v>
      </c>
      <c r="B225" s="36">
        <v>46112</v>
      </c>
      <c r="C225" s="12">
        <f t="shared" si="23"/>
        <v>366</v>
      </c>
      <c r="D225" s="38">
        <f t="shared" si="24"/>
        <v>1</v>
      </c>
      <c r="E225" s="12"/>
      <c r="F225" s="12"/>
      <c r="G225" s="130" t="s">
        <v>29</v>
      </c>
      <c r="H225" s="12" t="s">
        <v>3078</v>
      </c>
      <c r="I225" s="12">
        <v>112111</v>
      </c>
      <c r="J225" s="12">
        <v>131</v>
      </c>
      <c r="K225" s="12" t="s">
        <v>20</v>
      </c>
      <c r="L225" s="12">
        <v>1</v>
      </c>
      <c r="M225" s="17">
        <v>11000000</v>
      </c>
      <c r="N225" s="17">
        <f t="shared" si="18"/>
        <v>11000000</v>
      </c>
      <c r="O225" s="12"/>
      <c r="P225" s="12">
        <f t="shared" si="25"/>
        <v>144</v>
      </c>
    </row>
    <row r="226" spans="1:16" hidden="1" x14ac:dyDescent="0.25">
      <c r="A226" s="12" t="s">
        <v>308</v>
      </c>
      <c r="B226" s="36">
        <v>46112</v>
      </c>
      <c r="C226" s="12">
        <f t="shared" si="23"/>
        <v>367</v>
      </c>
      <c r="D226" s="38">
        <f t="shared" si="24"/>
        <v>1</v>
      </c>
      <c r="E226" s="12"/>
      <c r="F226" s="12"/>
      <c r="G226" s="130" t="s">
        <v>363</v>
      </c>
      <c r="H226" s="12" t="s">
        <v>3032</v>
      </c>
      <c r="I226" s="12">
        <v>1111</v>
      </c>
      <c r="J226" s="12">
        <v>112111</v>
      </c>
      <c r="K226" s="12" t="s">
        <v>20</v>
      </c>
      <c r="L226" s="12">
        <v>1</v>
      </c>
      <c r="M226" s="17">
        <v>10000000</v>
      </c>
      <c r="N226" s="17">
        <f t="shared" si="18"/>
        <v>10000000</v>
      </c>
      <c r="O226" s="12"/>
      <c r="P226" s="12">
        <f t="shared" si="25"/>
        <v>40</v>
      </c>
    </row>
    <row r="227" spans="1:16" hidden="1" x14ac:dyDescent="0.25">
      <c r="A227" s="12" t="s">
        <v>309</v>
      </c>
      <c r="B227" s="36">
        <v>46112</v>
      </c>
      <c r="C227" s="12">
        <f t="shared" si="23"/>
        <v>368</v>
      </c>
      <c r="D227" s="38">
        <f t="shared" si="24"/>
        <v>1</v>
      </c>
      <c r="E227" s="12"/>
      <c r="F227" s="12"/>
      <c r="G227" s="130" t="s">
        <v>311</v>
      </c>
      <c r="H227" s="12" t="s">
        <v>3057</v>
      </c>
      <c r="I227" s="12">
        <v>112111</v>
      </c>
      <c r="J227" s="12">
        <v>131</v>
      </c>
      <c r="K227" s="12" t="s">
        <v>20</v>
      </c>
      <c r="L227" s="12">
        <v>1</v>
      </c>
      <c r="M227" s="17">
        <v>75634506</v>
      </c>
      <c r="N227" s="17">
        <f t="shared" si="18"/>
        <v>75634506</v>
      </c>
      <c r="O227" s="12"/>
      <c r="P227" s="12">
        <f t="shared" si="25"/>
        <v>16</v>
      </c>
    </row>
    <row r="228" spans="1:16" hidden="1" x14ac:dyDescent="0.25">
      <c r="A228" s="12" t="s">
        <v>309</v>
      </c>
      <c r="B228" s="36">
        <v>46112</v>
      </c>
      <c r="C228" s="12">
        <f t="shared" si="23"/>
        <v>368</v>
      </c>
      <c r="D228" s="38">
        <f t="shared" si="24"/>
        <v>0</v>
      </c>
      <c r="E228" s="12"/>
      <c r="F228" s="12"/>
      <c r="G228" s="130" t="s">
        <v>311</v>
      </c>
      <c r="H228" s="12" t="s">
        <v>3057</v>
      </c>
      <c r="I228" s="12">
        <v>112111</v>
      </c>
      <c r="J228" s="12">
        <v>131</v>
      </c>
      <c r="K228" s="12" t="s">
        <v>20</v>
      </c>
      <c r="L228" s="12">
        <v>1</v>
      </c>
      <c r="M228" s="17">
        <v>9498758</v>
      </c>
      <c r="N228" s="17">
        <f t="shared" si="18"/>
        <v>9498758</v>
      </c>
      <c r="O228" s="12"/>
      <c r="P228" s="12">
        <f t="shared" si="25"/>
        <v>16</v>
      </c>
    </row>
    <row r="229" spans="1:16" hidden="1" x14ac:dyDescent="0.25">
      <c r="A229" s="12" t="s">
        <v>308</v>
      </c>
      <c r="B229" s="36">
        <v>46112</v>
      </c>
      <c r="C229" s="12">
        <f t="shared" si="23"/>
        <v>369</v>
      </c>
      <c r="D229" s="38">
        <f t="shared" si="24"/>
        <v>1</v>
      </c>
      <c r="E229" s="12"/>
      <c r="F229" s="12"/>
      <c r="G229" s="130" t="s">
        <v>363</v>
      </c>
      <c r="H229" s="12" t="s">
        <v>3032</v>
      </c>
      <c r="I229" s="12">
        <v>1111</v>
      </c>
      <c r="J229" s="12">
        <v>112111</v>
      </c>
      <c r="K229" s="12" t="s">
        <v>20</v>
      </c>
      <c r="L229" s="12">
        <v>1</v>
      </c>
      <c r="M229" s="17">
        <v>86000000</v>
      </c>
      <c r="N229" s="17">
        <f t="shared" ref="N229:N233" si="26">L229*M229</f>
        <v>86000000</v>
      </c>
      <c r="O229" s="12"/>
      <c r="P229" s="12">
        <f t="shared" si="25"/>
        <v>40</v>
      </c>
    </row>
    <row r="230" spans="1:16" hidden="1" x14ac:dyDescent="0.25">
      <c r="A230" s="12" t="s">
        <v>309</v>
      </c>
      <c r="B230" s="36">
        <v>46112</v>
      </c>
      <c r="C230" s="12">
        <f t="shared" si="23"/>
        <v>370</v>
      </c>
      <c r="D230" s="38">
        <f t="shared" si="24"/>
        <v>1</v>
      </c>
      <c r="E230" s="12"/>
      <c r="F230" s="12"/>
      <c r="G230" s="130" t="s">
        <v>29</v>
      </c>
      <c r="H230" s="12" t="s">
        <v>3079</v>
      </c>
      <c r="I230" s="12">
        <v>112111</v>
      </c>
      <c r="J230" s="12">
        <v>131</v>
      </c>
      <c r="K230" s="12" t="s">
        <v>20</v>
      </c>
      <c r="L230" s="12">
        <v>1</v>
      </c>
      <c r="M230" s="17">
        <v>1100000</v>
      </c>
      <c r="N230" s="17">
        <f t="shared" si="26"/>
        <v>1100000</v>
      </c>
      <c r="O230" s="12"/>
      <c r="P230" s="12">
        <f t="shared" si="25"/>
        <v>152</v>
      </c>
    </row>
    <row r="231" spans="1:16" hidden="1" x14ac:dyDescent="0.25">
      <c r="A231" s="12" t="s">
        <v>310</v>
      </c>
      <c r="B231" s="36">
        <v>46053</v>
      </c>
      <c r="C231" s="12">
        <f t="shared" si="23"/>
        <v>371</v>
      </c>
      <c r="D231" s="38">
        <f t="shared" si="24"/>
        <v>1</v>
      </c>
      <c r="E231" s="12"/>
      <c r="F231" s="12"/>
      <c r="G231" s="12" t="s">
        <v>71</v>
      </c>
      <c r="H231" s="12" t="s">
        <v>3025</v>
      </c>
      <c r="I231" s="12">
        <v>3383</v>
      </c>
      <c r="J231" s="12">
        <v>1111</v>
      </c>
      <c r="K231" s="12" t="s">
        <v>20</v>
      </c>
      <c r="L231" s="12">
        <v>1</v>
      </c>
      <c r="M231" s="17">
        <v>690300</v>
      </c>
      <c r="N231" s="17">
        <f t="shared" si="26"/>
        <v>690300</v>
      </c>
      <c r="P231" s="12">
        <f t="shared" si="25"/>
        <v>34</v>
      </c>
    </row>
    <row r="232" spans="1:16" hidden="1" x14ac:dyDescent="0.25">
      <c r="A232" s="12" t="s">
        <v>310</v>
      </c>
      <c r="B232" s="36">
        <v>46081</v>
      </c>
      <c r="C232" s="12">
        <f t="shared" si="23"/>
        <v>372</v>
      </c>
      <c r="D232" s="38">
        <f t="shared" si="24"/>
        <v>1</v>
      </c>
      <c r="E232" s="12"/>
      <c r="F232" s="12"/>
      <c r="G232" s="12" t="s">
        <v>71</v>
      </c>
      <c r="H232" s="12" t="s">
        <v>3026</v>
      </c>
      <c r="I232" s="12">
        <v>3383</v>
      </c>
      <c r="J232" s="12">
        <v>1111</v>
      </c>
      <c r="K232" s="12" t="s">
        <v>20</v>
      </c>
      <c r="L232" s="12">
        <v>1</v>
      </c>
      <c r="M232" s="17">
        <v>690300</v>
      </c>
      <c r="N232" s="17">
        <f t="shared" si="26"/>
        <v>690300</v>
      </c>
      <c r="P232" s="12">
        <f t="shared" si="25"/>
        <v>34</v>
      </c>
    </row>
    <row r="233" spans="1:16" hidden="1" x14ac:dyDescent="0.25">
      <c r="A233" s="12" t="s">
        <v>310</v>
      </c>
      <c r="B233" s="36">
        <v>46112</v>
      </c>
      <c r="C233" s="12">
        <f t="shared" si="23"/>
        <v>373</v>
      </c>
      <c r="D233" s="38">
        <f t="shared" si="24"/>
        <v>1</v>
      </c>
      <c r="E233" s="12"/>
      <c r="F233" s="12"/>
      <c r="G233" s="12" t="s">
        <v>71</v>
      </c>
      <c r="H233" s="12" t="s">
        <v>3027</v>
      </c>
      <c r="I233" s="12">
        <v>3383</v>
      </c>
      <c r="J233" s="12">
        <v>1111</v>
      </c>
      <c r="K233" s="12" t="s">
        <v>20</v>
      </c>
      <c r="L233" s="12">
        <v>1</v>
      </c>
      <c r="M233" s="17">
        <v>690300</v>
      </c>
      <c r="N233" s="17">
        <f t="shared" si="26"/>
        <v>690300</v>
      </c>
      <c r="P233" s="12">
        <f t="shared" si="25"/>
        <v>34</v>
      </c>
    </row>
  </sheetData>
  <autoFilter ref="A3:P233" xr:uid="{00000000-0009-0000-0000-00001B000000}">
    <filterColumn colId="8">
      <filters>
        <filter val="333821"/>
      </filters>
    </filterColumn>
    <filterColumn colId="9">
      <filters>
        <filter val="131"/>
      </filters>
    </filterColumn>
    <sortState xmlns:xlrd2="http://schemas.microsoft.com/office/spreadsheetml/2017/richdata2" ref="A4:P108">
      <sortCondition ref="P3:P108"/>
    </sortState>
  </autoFilter>
  <mergeCells count="13">
    <mergeCell ref="F1:F2"/>
    <mergeCell ref="A1:A2"/>
    <mergeCell ref="B1:B2"/>
    <mergeCell ref="C1:C2"/>
    <mergeCell ref="D1:D2"/>
    <mergeCell ref="E1:E2"/>
    <mergeCell ref="N1:N2"/>
    <mergeCell ref="G1:G2"/>
    <mergeCell ref="H1:H2"/>
    <mergeCell ref="I1:J1"/>
    <mergeCell ref="K1:K2"/>
    <mergeCell ref="L1:L2"/>
    <mergeCell ref="M1:M2"/>
  </mergeCells>
  <hyperlinks>
    <hyperlink ref="P1" location="Summary!A1" display="Back to summary"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filterMode="1">
    <tabColor rgb="FF92D050"/>
  </sheetPr>
  <dimension ref="A1:P186"/>
  <sheetViews>
    <sheetView workbookViewId="0">
      <selection activeCell="M72" sqref="M72:M186"/>
    </sheetView>
  </sheetViews>
  <sheetFormatPr defaultRowHeight="15" customHeight="1" x14ac:dyDescent="0.2"/>
  <cols>
    <col min="1" max="1" width="9.140625" style="12"/>
    <col min="2" max="2" width="10.7109375" style="12" bestFit="1" customWidth="1"/>
    <col min="3" max="6" width="9.140625" style="12"/>
    <col min="7" max="7" width="10.42578125" style="12" bestFit="1" customWidth="1"/>
    <col min="8" max="8" width="30.7109375" style="12" customWidth="1"/>
    <col min="9" max="12" width="9.140625" style="12"/>
    <col min="13" max="14" width="10.7109375" style="12" bestFit="1" customWidth="1"/>
    <col min="15" max="16384" width="9.140625" style="12"/>
  </cols>
  <sheetData>
    <row r="1" spans="1:16" ht="15" customHeight="1" thickBot="1" x14ac:dyDescent="0.25">
      <c r="A1" s="247" t="s">
        <v>0</v>
      </c>
      <c r="B1" s="219" t="s">
        <v>1</v>
      </c>
      <c r="C1" s="247" t="s">
        <v>2</v>
      </c>
      <c r="D1" s="249" t="s">
        <v>3</v>
      </c>
      <c r="E1" s="249" t="s">
        <v>4</v>
      </c>
      <c r="F1" s="249" t="s">
        <v>5</v>
      </c>
      <c r="G1" s="241" t="s">
        <v>6</v>
      </c>
      <c r="H1" s="243" t="s">
        <v>7</v>
      </c>
      <c r="I1" s="245" t="s">
        <v>8</v>
      </c>
      <c r="J1" s="246"/>
      <c r="K1" s="247" t="s">
        <v>9</v>
      </c>
      <c r="L1" s="247" t="s">
        <v>10</v>
      </c>
      <c r="M1" s="254" t="s">
        <v>76</v>
      </c>
      <c r="N1" s="254" t="s">
        <v>77</v>
      </c>
      <c r="O1" s="45" t="s">
        <v>78</v>
      </c>
      <c r="P1" s="146" t="s">
        <v>356</v>
      </c>
    </row>
    <row r="2" spans="1:16" ht="15" customHeight="1" thickBot="1" x14ac:dyDescent="0.25">
      <c r="A2" s="248"/>
      <c r="B2" s="220"/>
      <c r="C2" s="248"/>
      <c r="D2" s="253"/>
      <c r="E2" s="253"/>
      <c r="F2" s="250"/>
      <c r="G2" s="242"/>
      <c r="H2" s="244"/>
      <c r="I2" s="46" t="s">
        <v>13</v>
      </c>
      <c r="J2" s="47" t="s">
        <v>14</v>
      </c>
      <c r="K2" s="248"/>
      <c r="L2" s="248"/>
      <c r="M2" s="255"/>
      <c r="N2" s="255"/>
      <c r="O2" s="38" t="s">
        <v>78</v>
      </c>
      <c r="P2" s="38"/>
    </row>
    <row r="3" spans="1:16" ht="15" customHeight="1" x14ac:dyDescent="0.2">
      <c r="A3" s="48"/>
      <c r="B3" s="81"/>
      <c r="C3" s="48">
        <v>89</v>
      </c>
      <c r="D3" s="49"/>
      <c r="E3" s="49"/>
      <c r="F3" s="49"/>
      <c r="G3" s="51" t="s">
        <v>15</v>
      </c>
      <c r="H3" s="52"/>
      <c r="I3" s="52"/>
      <c r="J3" s="52"/>
      <c r="K3" s="48"/>
      <c r="L3" s="48"/>
      <c r="M3" s="82"/>
      <c r="N3" s="82"/>
      <c r="O3" s="38" t="s">
        <v>16</v>
      </c>
      <c r="P3" s="38" t="s">
        <v>17</v>
      </c>
    </row>
    <row r="4" spans="1:16" ht="15" hidden="1" customHeight="1" x14ac:dyDescent="0.2">
      <c r="A4" s="12" t="s">
        <v>309</v>
      </c>
      <c r="B4" s="36">
        <v>46035</v>
      </c>
      <c r="C4" s="12">
        <f t="shared" ref="C4:C35" si="0">C3+D4</f>
        <v>90</v>
      </c>
      <c r="D4" s="38">
        <f t="shared" ref="D4:D35" si="1">IF(H4=H3,0,1)</f>
        <v>1</v>
      </c>
      <c r="E4" s="12" t="str">
        <f t="shared" ref="E4:E35" si="2">TEXT(C4,"000")</f>
        <v>090</v>
      </c>
      <c r="G4" s="12" t="s">
        <v>106</v>
      </c>
      <c r="H4" s="12" t="s">
        <v>4322</v>
      </c>
      <c r="I4" s="12">
        <v>112111</v>
      </c>
      <c r="J4" s="12">
        <v>131</v>
      </c>
      <c r="K4" s="12" t="s">
        <v>20</v>
      </c>
      <c r="L4" s="12">
        <v>1</v>
      </c>
      <c r="M4" s="17">
        <v>12903226</v>
      </c>
      <c r="N4" s="17">
        <f t="shared" ref="N4:N35" si="3">L4*M4</f>
        <v>12903226</v>
      </c>
      <c r="P4" s="12">
        <f>LEN(H4)</f>
        <v>160</v>
      </c>
    </row>
    <row r="5" spans="1:16" ht="15" hidden="1" customHeight="1" x14ac:dyDescent="0.2">
      <c r="A5" s="12" t="s">
        <v>309</v>
      </c>
      <c r="B5" s="36">
        <v>46044</v>
      </c>
      <c r="C5" s="12">
        <f t="shared" si="0"/>
        <v>91</v>
      </c>
      <c r="D5" s="38">
        <f t="shared" si="1"/>
        <v>1</v>
      </c>
      <c r="E5" s="12" t="str">
        <f t="shared" si="2"/>
        <v>091</v>
      </c>
      <c r="G5" s="12" t="s">
        <v>252</v>
      </c>
      <c r="H5" s="12" t="s">
        <v>4336</v>
      </c>
      <c r="I5" s="12">
        <v>112111</v>
      </c>
      <c r="J5" s="12">
        <v>131</v>
      </c>
      <c r="K5" s="12" t="s">
        <v>20</v>
      </c>
      <c r="L5" s="12">
        <v>1</v>
      </c>
      <c r="M5" s="17">
        <v>11000000</v>
      </c>
      <c r="N5" s="17">
        <f t="shared" si="3"/>
        <v>11000000</v>
      </c>
      <c r="P5" s="12">
        <f t="shared" ref="P5:P68" si="4">LEN(H5)</f>
        <v>126</v>
      </c>
    </row>
    <row r="6" spans="1:16" ht="15" hidden="1" customHeight="1" x14ac:dyDescent="0.2">
      <c r="A6" s="12" t="s">
        <v>309</v>
      </c>
      <c r="B6" s="36">
        <v>46044</v>
      </c>
      <c r="C6" s="12">
        <f t="shared" si="0"/>
        <v>92</v>
      </c>
      <c r="D6" s="38">
        <f t="shared" si="1"/>
        <v>1</v>
      </c>
      <c r="E6" s="12" t="str">
        <f t="shared" si="2"/>
        <v>092</v>
      </c>
      <c r="G6" s="12" t="s">
        <v>2076</v>
      </c>
      <c r="H6" s="12" t="s">
        <v>4323</v>
      </c>
      <c r="I6" s="12">
        <v>112111</v>
      </c>
      <c r="J6" s="12">
        <v>131</v>
      </c>
      <c r="K6" s="12" t="s">
        <v>20</v>
      </c>
      <c r="L6" s="12">
        <v>1</v>
      </c>
      <c r="M6" s="17">
        <v>16500000</v>
      </c>
      <c r="N6" s="17">
        <f t="shared" si="3"/>
        <v>16500000</v>
      </c>
      <c r="P6" s="12">
        <f t="shared" si="4"/>
        <v>152</v>
      </c>
    </row>
    <row r="7" spans="1:16" ht="15" hidden="1" customHeight="1" x14ac:dyDescent="0.2">
      <c r="A7" s="12" t="s">
        <v>309</v>
      </c>
      <c r="B7" s="36">
        <v>46048</v>
      </c>
      <c r="C7" s="12">
        <f t="shared" si="0"/>
        <v>93</v>
      </c>
      <c r="D7" s="38">
        <f t="shared" si="1"/>
        <v>1</v>
      </c>
      <c r="E7" s="12" t="str">
        <f t="shared" si="2"/>
        <v>093</v>
      </c>
      <c r="G7" s="12" t="s">
        <v>377</v>
      </c>
      <c r="H7" s="12" t="s">
        <v>3561</v>
      </c>
      <c r="I7" s="12">
        <v>112111</v>
      </c>
      <c r="J7" s="12">
        <v>5154</v>
      </c>
      <c r="K7" s="12" t="s">
        <v>20</v>
      </c>
      <c r="L7" s="12">
        <v>1</v>
      </c>
      <c r="M7" s="17">
        <v>2.641</v>
      </c>
      <c r="N7" s="17">
        <f t="shared" si="3"/>
        <v>2.641</v>
      </c>
      <c r="P7" s="12">
        <f t="shared" si="4"/>
        <v>22</v>
      </c>
    </row>
    <row r="8" spans="1:16" ht="15" hidden="1" customHeight="1" x14ac:dyDescent="0.2">
      <c r="A8" s="12" t="s">
        <v>309</v>
      </c>
      <c r="B8" s="36">
        <v>46049</v>
      </c>
      <c r="C8" s="12">
        <f t="shared" si="0"/>
        <v>94</v>
      </c>
      <c r="D8" s="38">
        <f t="shared" si="1"/>
        <v>1</v>
      </c>
      <c r="E8" s="12" t="str">
        <f t="shared" si="2"/>
        <v>094</v>
      </c>
      <c r="G8" s="12" t="s">
        <v>2133</v>
      </c>
      <c r="H8" s="12" t="s">
        <v>4324</v>
      </c>
      <c r="I8" s="12">
        <v>112111</v>
      </c>
      <c r="J8" s="12">
        <v>131</v>
      </c>
      <c r="K8" s="12" t="s">
        <v>20</v>
      </c>
      <c r="L8" s="12">
        <v>1</v>
      </c>
      <c r="M8" s="17">
        <v>13200000</v>
      </c>
      <c r="N8" s="17">
        <f t="shared" si="3"/>
        <v>13200000</v>
      </c>
      <c r="P8" s="12">
        <f t="shared" si="4"/>
        <v>171</v>
      </c>
    </row>
    <row r="9" spans="1:16" ht="15" hidden="1" customHeight="1" x14ac:dyDescent="0.2">
      <c r="A9" s="12" t="s">
        <v>309</v>
      </c>
      <c r="B9" s="36">
        <v>46053</v>
      </c>
      <c r="C9" s="12">
        <f t="shared" si="0"/>
        <v>95</v>
      </c>
      <c r="D9" s="38">
        <f t="shared" si="1"/>
        <v>1</v>
      </c>
      <c r="E9" s="12" t="str">
        <f t="shared" si="2"/>
        <v>095</v>
      </c>
      <c r="G9" s="12" t="s">
        <v>928</v>
      </c>
      <c r="H9" s="12" t="s">
        <v>4325</v>
      </c>
      <c r="I9" s="12">
        <v>112111</v>
      </c>
      <c r="J9" s="12">
        <v>131</v>
      </c>
      <c r="K9" s="12" t="s">
        <v>20</v>
      </c>
      <c r="L9" s="12">
        <v>1</v>
      </c>
      <c r="M9" s="17">
        <v>13200000</v>
      </c>
      <c r="N9" s="17">
        <f t="shared" si="3"/>
        <v>13200000</v>
      </c>
      <c r="P9" s="12">
        <f t="shared" si="4"/>
        <v>147</v>
      </c>
    </row>
    <row r="10" spans="1:16" ht="15" hidden="1" customHeight="1" x14ac:dyDescent="0.2">
      <c r="A10" s="12" t="s">
        <v>309</v>
      </c>
      <c r="B10" s="36">
        <v>46055</v>
      </c>
      <c r="C10" s="12">
        <f t="shared" si="0"/>
        <v>96</v>
      </c>
      <c r="D10" s="38">
        <f t="shared" si="1"/>
        <v>1</v>
      </c>
      <c r="E10" s="12" t="str">
        <f t="shared" si="2"/>
        <v>096</v>
      </c>
      <c r="G10" s="12" t="s">
        <v>311</v>
      </c>
      <c r="H10" s="12" t="s">
        <v>3343</v>
      </c>
      <c r="I10" s="12">
        <v>112111</v>
      </c>
      <c r="J10" s="12">
        <v>131</v>
      </c>
      <c r="K10" s="12" t="s">
        <v>20</v>
      </c>
      <c r="L10" s="12">
        <v>1</v>
      </c>
      <c r="M10" s="17">
        <v>266998975</v>
      </c>
      <c r="N10" s="17">
        <f t="shared" si="3"/>
        <v>266998975</v>
      </c>
      <c r="P10" s="12">
        <f t="shared" si="4"/>
        <v>21</v>
      </c>
    </row>
    <row r="11" spans="1:16" ht="15" hidden="1" customHeight="1" x14ac:dyDescent="0.2">
      <c r="A11" s="12" t="s">
        <v>309</v>
      </c>
      <c r="B11" s="36">
        <v>46056</v>
      </c>
      <c r="C11" s="12">
        <f t="shared" si="0"/>
        <v>97</v>
      </c>
      <c r="D11" s="38">
        <f t="shared" si="1"/>
        <v>1</v>
      </c>
      <c r="E11" s="12" t="str">
        <f t="shared" si="2"/>
        <v>097</v>
      </c>
      <c r="G11" s="12" t="s">
        <v>2129</v>
      </c>
      <c r="H11" s="12" t="s">
        <v>4326</v>
      </c>
      <c r="I11" s="12">
        <v>112111</v>
      </c>
      <c r="J11" s="12">
        <v>131</v>
      </c>
      <c r="K11" s="12" t="s">
        <v>20</v>
      </c>
      <c r="L11" s="12">
        <v>1</v>
      </c>
      <c r="M11" s="17">
        <v>16500000</v>
      </c>
      <c r="N11" s="17">
        <f t="shared" si="3"/>
        <v>16500000</v>
      </c>
      <c r="P11" s="12">
        <f t="shared" si="4"/>
        <v>108</v>
      </c>
    </row>
    <row r="12" spans="1:16" ht="15" hidden="1" customHeight="1" x14ac:dyDescent="0.2">
      <c r="A12" s="12" t="s">
        <v>309</v>
      </c>
      <c r="B12" s="36">
        <v>46062</v>
      </c>
      <c r="C12" s="12">
        <f t="shared" si="0"/>
        <v>98</v>
      </c>
      <c r="D12" s="38">
        <f t="shared" si="1"/>
        <v>1</v>
      </c>
      <c r="E12" s="12" t="str">
        <f t="shared" si="2"/>
        <v>098</v>
      </c>
      <c r="G12" s="12" t="s">
        <v>59</v>
      </c>
      <c r="H12" s="12" t="s">
        <v>4327</v>
      </c>
      <c r="I12" s="12">
        <v>112111</v>
      </c>
      <c r="J12" s="12">
        <v>131</v>
      </c>
      <c r="K12" s="12" t="s">
        <v>20</v>
      </c>
      <c r="L12" s="12">
        <v>1</v>
      </c>
      <c r="M12" s="17">
        <v>28600000</v>
      </c>
      <c r="N12" s="17">
        <f t="shared" si="3"/>
        <v>28600000</v>
      </c>
      <c r="P12" s="12">
        <f t="shared" si="4"/>
        <v>154</v>
      </c>
    </row>
    <row r="13" spans="1:16" ht="15" hidden="1" customHeight="1" x14ac:dyDescent="0.2">
      <c r="A13" s="12" t="s">
        <v>309</v>
      </c>
      <c r="B13" s="36">
        <v>46063</v>
      </c>
      <c r="C13" s="12">
        <f t="shared" si="0"/>
        <v>99</v>
      </c>
      <c r="D13" s="38">
        <f t="shared" si="1"/>
        <v>1</v>
      </c>
      <c r="E13" s="12" t="str">
        <f t="shared" si="2"/>
        <v>099</v>
      </c>
      <c r="G13" s="12" t="s">
        <v>107</v>
      </c>
      <c r="H13" s="12" t="s">
        <v>4337</v>
      </c>
      <c r="I13" s="12">
        <v>112111</v>
      </c>
      <c r="J13" s="12">
        <v>131</v>
      </c>
      <c r="K13" s="12" t="s">
        <v>20</v>
      </c>
      <c r="L13" s="12">
        <v>1</v>
      </c>
      <c r="M13" s="17">
        <v>17600000</v>
      </c>
      <c r="N13" s="17">
        <f t="shared" si="3"/>
        <v>17600000</v>
      </c>
      <c r="P13" s="12">
        <f t="shared" si="4"/>
        <v>155</v>
      </c>
    </row>
    <row r="14" spans="1:16" ht="15" hidden="1" customHeight="1" x14ac:dyDescent="0.2">
      <c r="A14" s="12" t="s">
        <v>309</v>
      </c>
      <c r="B14" s="36">
        <v>46063</v>
      </c>
      <c r="C14" s="12">
        <f t="shared" si="0"/>
        <v>100</v>
      </c>
      <c r="D14" s="38">
        <f t="shared" si="1"/>
        <v>1</v>
      </c>
      <c r="E14" s="12" t="str">
        <f t="shared" si="2"/>
        <v>100</v>
      </c>
      <c r="G14" s="12" t="s">
        <v>107</v>
      </c>
      <c r="H14" s="12" t="s">
        <v>4338</v>
      </c>
      <c r="I14" s="12">
        <v>112111</v>
      </c>
      <c r="J14" s="12">
        <v>131</v>
      </c>
      <c r="K14" s="12" t="s">
        <v>20</v>
      </c>
      <c r="L14" s="12">
        <v>1</v>
      </c>
      <c r="M14" s="17">
        <v>33000000</v>
      </c>
      <c r="N14" s="17">
        <f t="shared" si="3"/>
        <v>33000000</v>
      </c>
      <c r="P14" s="12">
        <f t="shared" si="4"/>
        <v>155</v>
      </c>
    </row>
    <row r="15" spans="1:16" ht="15" hidden="1" customHeight="1" x14ac:dyDescent="0.2">
      <c r="A15" s="12" t="s">
        <v>309</v>
      </c>
      <c r="B15" s="36">
        <v>46063</v>
      </c>
      <c r="C15" s="12">
        <f t="shared" si="0"/>
        <v>101</v>
      </c>
      <c r="D15" s="38">
        <f t="shared" si="1"/>
        <v>1</v>
      </c>
      <c r="E15" s="12" t="str">
        <f t="shared" si="2"/>
        <v>101</v>
      </c>
      <c r="G15" s="12" t="s">
        <v>43</v>
      </c>
      <c r="H15" s="12" t="s">
        <v>4339</v>
      </c>
      <c r="I15" s="12">
        <v>112111</v>
      </c>
      <c r="J15" s="12">
        <v>131</v>
      </c>
      <c r="K15" s="12" t="s">
        <v>20</v>
      </c>
      <c r="L15" s="12">
        <v>1</v>
      </c>
      <c r="M15" s="17">
        <v>13200000</v>
      </c>
      <c r="N15" s="17">
        <f t="shared" si="3"/>
        <v>13200000</v>
      </c>
      <c r="P15" s="12">
        <f t="shared" si="4"/>
        <v>142</v>
      </c>
    </row>
    <row r="16" spans="1:16" ht="15" hidden="1" customHeight="1" x14ac:dyDescent="0.2">
      <c r="A16" s="12" t="s">
        <v>309</v>
      </c>
      <c r="B16" s="36">
        <v>46077</v>
      </c>
      <c r="C16" s="12">
        <f t="shared" si="0"/>
        <v>102</v>
      </c>
      <c r="D16" s="38">
        <f t="shared" si="1"/>
        <v>1</v>
      </c>
      <c r="E16" s="12" t="str">
        <f t="shared" si="2"/>
        <v>102</v>
      </c>
      <c r="G16" s="12" t="s">
        <v>1785</v>
      </c>
      <c r="H16" s="12" t="s">
        <v>4328</v>
      </c>
      <c r="I16" s="12">
        <v>112111</v>
      </c>
      <c r="J16" s="12">
        <v>131</v>
      </c>
      <c r="K16" s="12" t="s">
        <v>20</v>
      </c>
      <c r="L16" s="12">
        <v>1</v>
      </c>
      <c r="M16" s="17">
        <v>13200000</v>
      </c>
      <c r="N16" s="17">
        <f t="shared" si="3"/>
        <v>13200000</v>
      </c>
      <c r="P16" s="12">
        <f t="shared" si="4"/>
        <v>112</v>
      </c>
    </row>
    <row r="17" spans="1:16" ht="15" hidden="1" customHeight="1" x14ac:dyDescent="0.2">
      <c r="A17" s="12" t="s">
        <v>309</v>
      </c>
      <c r="B17" s="36">
        <v>46078</v>
      </c>
      <c r="C17" s="12">
        <f t="shared" si="0"/>
        <v>103</v>
      </c>
      <c r="D17" s="38">
        <f t="shared" si="1"/>
        <v>1</v>
      </c>
      <c r="E17" s="12" t="str">
        <f t="shared" si="2"/>
        <v>103</v>
      </c>
      <c r="G17" s="12" t="s">
        <v>377</v>
      </c>
      <c r="H17" s="12" t="s">
        <v>3561</v>
      </c>
      <c r="I17" s="12">
        <v>112111</v>
      </c>
      <c r="J17" s="12">
        <v>5154</v>
      </c>
      <c r="K17" s="12" t="s">
        <v>20</v>
      </c>
      <c r="L17" s="12">
        <v>1</v>
      </c>
      <c r="M17" s="17">
        <v>5.617</v>
      </c>
      <c r="N17" s="17">
        <f t="shared" si="3"/>
        <v>5.617</v>
      </c>
      <c r="P17" s="12">
        <f t="shared" si="4"/>
        <v>22</v>
      </c>
    </row>
    <row r="18" spans="1:16" ht="15" hidden="1" customHeight="1" x14ac:dyDescent="0.2">
      <c r="A18" s="12" t="s">
        <v>309</v>
      </c>
      <c r="B18" s="36">
        <v>46082</v>
      </c>
      <c r="C18" s="12">
        <f t="shared" si="0"/>
        <v>104</v>
      </c>
      <c r="D18" s="38">
        <f t="shared" si="1"/>
        <v>1</v>
      </c>
      <c r="E18" s="12" t="str">
        <f t="shared" si="2"/>
        <v>104</v>
      </c>
      <c r="G18" s="12" t="s">
        <v>311</v>
      </c>
      <c r="H18" s="12" t="s">
        <v>3343</v>
      </c>
      <c r="I18" s="12">
        <v>112111</v>
      </c>
      <c r="J18" s="12">
        <v>131</v>
      </c>
      <c r="K18" s="12" t="s">
        <v>20</v>
      </c>
      <c r="L18" s="12">
        <v>1</v>
      </c>
      <c r="M18" s="17">
        <v>157031035</v>
      </c>
      <c r="N18" s="17">
        <f t="shared" si="3"/>
        <v>157031035</v>
      </c>
      <c r="P18" s="12">
        <f t="shared" si="4"/>
        <v>21</v>
      </c>
    </row>
    <row r="19" spans="1:16" ht="15" hidden="1" customHeight="1" x14ac:dyDescent="0.2">
      <c r="A19" s="12" t="s">
        <v>309</v>
      </c>
      <c r="B19" s="36">
        <v>46091</v>
      </c>
      <c r="C19" s="12">
        <f t="shared" si="0"/>
        <v>105</v>
      </c>
      <c r="D19" s="38">
        <f t="shared" si="1"/>
        <v>1</v>
      </c>
      <c r="E19" s="12" t="str">
        <f t="shared" si="2"/>
        <v>105</v>
      </c>
      <c r="G19" s="12" t="s">
        <v>2076</v>
      </c>
      <c r="H19" s="12" t="s">
        <v>4329</v>
      </c>
      <c r="I19" s="12">
        <v>112111</v>
      </c>
      <c r="J19" s="12">
        <v>131</v>
      </c>
      <c r="K19" s="12" t="s">
        <v>20</v>
      </c>
      <c r="L19" s="12">
        <v>1</v>
      </c>
      <c r="M19" s="17">
        <v>3300000</v>
      </c>
      <c r="N19" s="17">
        <f t="shared" si="3"/>
        <v>3300000</v>
      </c>
      <c r="P19" s="12">
        <f t="shared" si="4"/>
        <v>148</v>
      </c>
    </row>
    <row r="20" spans="1:16" ht="15" hidden="1" customHeight="1" x14ac:dyDescent="0.2">
      <c r="A20" s="12" t="s">
        <v>309</v>
      </c>
      <c r="B20" s="36">
        <v>46093</v>
      </c>
      <c r="C20" s="12">
        <f t="shared" si="0"/>
        <v>106</v>
      </c>
      <c r="D20" s="38">
        <f t="shared" si="1"/>
        <v>1</v>
      </c>
      <c r="E20" s="12" t="str">
        <f t="shared" si="2"/>
        <v>106</v>
      </c>
      <c r="G20" s="12" t="s">
        <v>91</v>
      </c>
      <c r="H20" s="12" t="s">
        <v>4330</v>
      </c>
      <c r="I20" s="12">
        <v>112111</v>
      </c>
      <c r="J20" s="12">
        <v>131</v>
      </c>
      <c r="K20" s="12" t="s">
        <v>20</v>
      </c>
      <c r="L20" s="12">
        <v>1</v>
      </c>
      <c r="M20" s="17">
        <v>13200000</v>
      </c>
      <c r="N20" s="17">
        <f t="shared" si="3"/>
        <v>13200000</v>
      </c>
      <c r="P20" s="12">
        <f t="shared" si="4"/>
        <v>159</v>
      </c>
    </row>
    <row r="21" spans="1:16" ht="15" hidden="1" customHeight="1" x14ac:dyDescent="0.2">
      <c r="A21" s="12" t="s">
        <v>309</v>
      </c>
      <c r="B21" s="36">
        <v>46094</v>
      </c>
      <c r="C21" s="12">
        <f t="shared" si="0"/>
        <v>107</v>
      </c>
      <c r="D21" s="38">
        <f t="shared" si="1"/>
        <v>1</v>
      </c>
      <c r="E21" s="12" t="str">
        <f t="shared" si="2"/>
        <v>107</v>
      </c>
      <c r="G21" s="12" t="s">
        <v>106</v>
      </c>
      <c r="H21" s="12" t="s">
        <v>4331</v>
      </c>
      <c r="I21" s="12">
        <v>112111</v>
      </c>
      <c r="J21" s="12">
        <v>131</v>
      </c>
      <c r="K21" s="12" t="s">
        <v>20</v>
      </c>
      <c r="L21" s="12">
        <v>1</v>
      </c>
      <c r="M21" s="17">
        <v>12903226</v>
      </c>
      <c r="N21" s="17">
        <f t="shared" si="3"/>
        <v>12903226</v>
      </c>
      <c r="P21" s="12">
        <f t="shared" si="4"/>
        <v>109</v>
      </c>
    </row>
    <row r="22" spans="1:16" ht="15" hidden="1" customHeight="1" x14ac:dyDescent="0.2">
      <c r="A22" s="12" t="s">
        <v>309</v>
      </c>
      <c r="B22" s="36">
        <v>46100</v>
      </c>
      <c r="C22" s="12">
        <f t="shared" si="0"/>
        <v>108</v>
      </c>
      <c r="D22" s="38">
        <f t="shared" si="1"/>
        <v>1</v>
      </c>
      <c r="E22" s="12" t="str">
        <f t="shared" si="2"/>
        <v>108</v>
      </c>
      <c r="G22" s="12" t="s">
        <v>1779</v>
      </c>
      <c r="H22" s="12" t="s">
        <v>4332</v>
      </c>
      <c r="I22" s="12">
        <v>112111</v>
      </c>
      <c r="J22" s="12">
        <v>131</v>
      </c>
      <c r="K22" s="12" t="s">
        <v>20</v>
      </c>
      <c r="L22" s="12">
        <v>1</v>
      </c>
      <c r="M22" s="17">
        <v>13200000</v>
      </c>
      <c r="N22" s="17">
        <f t="shared" si="3"/>
        <v>13200000</v>
      </c>
      <c r="P22" s="12">
        <f t="shared" si="4"/>
        <v>198</v>
      </c>
    </row>
    <row r="23" spans="1:16" ht="15" hidden="1" customHeight="1" x14ac:dyDescent="0.2">
      <c r="A23" s="12" t="s">
        <v>309</v>
      </c>
      <c r="B23" s="36">
        <v>46104</v>
      </c>
      <c r="C23" s="12">
        <f t="shared" si="0"/>
        <v>109</v>
      </c>
      <c r="D23" s="38">
        <f t="shared" si="1"/>
        <v>1</v>
      </c>
      <c r="E23" s="12" t="str">
        <f t="shared" si="2"/>
        <v>109</v>
      </c>
      <c r="G23" s="12" t="s">
        <v>57</v>
      </c>
      <c r="H23" s="12" t="s">
        <v>4333</v>
      </c>
      <c r="I23" s="12">
        <v>112111</v>
      </c>
      <c r="J23" s="12">
        <v>131</v>
      </c>
      <c r="K23" s="12" t="s">
        <v>20</v>
      </c>
      <c r="L23" s="12">
        <v>1</v>
      </c>
      <c r="M23" s="17">
        <v>18700000</v>
      </c>
      <c r="N23" s="17">
        <f t="shared" si="3"/>
        <v>18700000</v>
      </c>
      <c r="P23" s="12">
        <f t="shared" si="4"/>
        <v>171</v>
      </c>
    </row>
    <row r="24" spans="1:16" ht="15" hidden="1" customHeight="1" x14ac:dyDescent="0.2">
      <c r="A24" s="12" t="s">
        <v>309</v>
      </c>
      <c r="B24" s="36">
        <v>46107</v>
      </c>
      <c r="C24" s="12">
        <f t="shared" si="0"/>
        <v>110</v>
      </c>
      <c r="D24" s="38">
        <f t="shared" si="1"/>
        <v>1</v>
      </c>
      <c r="E24" s="12" t="str">
        <f t="shared" si="2"/>
        <v>110</v>
      </c>
      <c r="G24" s="12" t="s">
        <v>1779</v>
      </c>
      <c r="H24" s="12" t="s">
        <v>4332</v>
      </c>
      <c r="I24" s="12">
        <v>112111</v>
      </c>
      <c r="J24" s="12">
        <v>131</v>
      </c>
      <c r="K24" s="12" t="s">
        <v>20</v>
      </c>
      <c r="L24" s="12">
        <v>1</v>
      </c>
      <c r="M24" s="17">
        <v>13200000</v>
      </c>
      <c r="N24" s="17">
        <f t="shared" si="3"/>
        <v>13200000</v>
      </c>
      <c r="P24" s="12">
        <f t="shared" si="4"/>
        <v>198</v>
      </c>
    </row>
    <row r="25" spans="1:16" ht="15" hidden="1" customHeight="1" x14ac:dyDescent="0.2">
      <c r="A25" s="12" t="s">
        <v>309</v>
      </c>
      <c r="B25" s="36">
        <v>46108</v>
      </c>
      <c r="C25" s="12">
        <f t="shared" si="0"/>
        <v>111</v>
      </c>
      <c r="D25" s="38">
        <f t="shared" si="1"/>
        <v>1</v>
      </c>
      <c r="E25" s="12" t="str">
        <f t="shared" si="2"/>
        <v>111</v>
      </c>
      <c r="G25" s="12" t="s">
        <v>1779</v>
      </c>
      <c r="H25" s="12" t="s">
        <v>4334</v>
      </c>
      <c r="I25" s="12">
        <v>112111</v>
      </c>
      <c r="J25" s="12">
        <v>131</v>
      </c>
      <c r="K25" s="12" t="s">
        <v>20</v>
      </c>
      <c r="L25" s="12">
        <v>1</v>
      </c>
      <c r="M25" s="17">
        <v>20900000</v>
      </c>
      <c r="N25" s="17">
        <f t="shared" si="3"/>
        <v>20900000</v>
      </c>
      <c r="P25" s="12">
        <f t="shared" si="4"/>
        <v>198</v>
      </c>
    </row>
    <row r="26" spans="1:16" ht="15" hidden="1" customHeight="1" x14ac:dyDescent="0.2">
      <c r="A26" s="12" t="s">
        <v>309</v>
      </c>
      <c r="B26" s="36">
        <v>46111</v>
      </c>
      <c r="C26" s="12">
        <f t="shared" si="0"/>
        <v>112</v>
      </c>
      <c r="D26" s="38">
        <f t="shared" si="1"/>
        <v>1</v>
      </c>
      <c r="E26" s="12" t="str">
        <f t="shared" si="2"/>
        <v>112</v>
      </c>
      <c r="G26" s="12" t="s">
        <v>2151</v>
      </c>
      <c r="H26" s="12" t="s">
        <v>4335</v>
      </c>
      <c r="I26" s="12">
        <v>112111</v>
      </c>
      <c r="J26" s="12">
        <v>131</v>
      </c>
      <c r="K26" s="12" t="s">
        <v>20</v>
      </c>
      <c r="L26" s="12">
        <v>1</v>
      </c>
      <c r="M26" s="17">
        <v>13200000</v>
      </c>
      <c r="N26" s="17">
        <f t="shared" si="3"/>
        <v>13200000</v>
      </c>
      <c r="P26" s="12">
        <f t="shared" si="4"/>
        <v>97</v>
      </c>
    </row>
    <row r="27" spans="1:16" ht="15" hidden="1" customHeight="1" x14ac:dyDescent="0.2">
      <c r="A27" s="12" t="s">
        <v>308</v>
      </c>
      <c r="B27" s="36">
        <v>46055</v>
      </c>
      <c r="C27" s="12">
        <f t="shared" si="0"/>
        <v>113</v>
      </c>
      <c r="D27" s="38">
        <f t="shared" si="1"/>
        <v>1</v>
      </c>
      <c r="E27" s="12" t="str">
        <f t="shared" si="2"/>
        <v>113</v>
      </c>
      <c r="G27" s="12" t="s">
        <v>377</v>
      </c>
      <c r="H27" s="12" t="s">
        <v>3032</v>
      </c>
      <c r="I27" s="12">
        <v>1111</v>
      </c>
      <c r="J27" s="12">
        <v>112111</v>
      </c>
      <c r="K27" s="12" t="s">
        <v>20</v>
      </c>
      <c r="L27" s="12">
        <v>1</v>
      </c>
      <c r="M27" s="17">
        <v>3240000</v>
      </c>
      <c r="N27" s="17">
        <f t="shared" si="3"/>
        <v>3240000</v>
      </c>
      <c r="P27" s="12">
        <f t="shared" si="4"/>
        <v>40</v>
      </c>
    </row>
    <row r="28" spans="1:16" ht="15" hidden="1" customHeight="1" x14ac:dyDescent="0.2">
      <c r="A28" s="12" t="s">
        <v>308</v>
      </c>
      <c r="B28" s="36">
        <v>46062</v>
      </c>
      <c r="C28" s="12">
        <f t="shared" si="0"/>
        <v>113</v>
      </c>
      <c r="D28" s="38">
        <f t="shared" si="1"/>
        <v>0</v>
      </c>
      <c r="E28" s="12" t="str">
        <f t="shared" si="2"/>
        <v>113</v>
      </c>
      <c r="G28" s="12" t="s">
        <v>377</v>
      </c>
      <c r="H28" s="12" t="s">
        <v>3032</v>
      </c>
      <c r="I28" s="12">
        <v>1111</v>
      </c>
      <c r="J28" s="12">
        <v>112111</v>
      </c>
      <c r="K28" s="12" t="s">
        <v>20</v>
      </c>
      <c r="L28" s="12">
        <v>1</v>
      </c>
      <c r="M28" s="17">
        <v>25000000</v>
      </c>
      <c r="N28" s="17">
        <f t="shared" si="3"/>
        <v>25000000</v>
      </c>
      <c r="P28" s="12">
        <f t="shared" si="4"/>
        <v>40</v>
      </c>
    </row>
    <row r="29" spans="1:16" ht="15" hidden="1" customHeight="1" x14ac:dyDescent="0.2">
      <c r="A29" s="12" t="s">
        <v>308</v>
      </c>
      <c r="B29" s="36">
        <v>46068</v>
      </c>
      <c r="C29" s="12">
        <f t="shared" si="0"/>
        <v>113</v>
      </c>
      <c r="D29" s="38">
        <f t="shared" si="1"/>
        <v>0</v>
      </c>
      <c r="E29" s="12" t="str">
        <f t="shared" si="2"/>
        <v>113</v>
      </c>
      <c r="G29" s="12" t="s">
        <v>377</v>
      </c>
      <c r="H29" s="12" t="s">
        <v>3032</v>
      </c>
      <c r="I29" s="12">
        <v>1111</v>
      </c>
      <c r="J29" s="12">
        <v>112111</v>
      </c>
      <c r="K29" s="12" t="s">
        <v>20</v>
      </c>
      <c r="L29" s="12">
        <v>1</v>
      </c>
      <c r="M29" s="17">
        <v>10000000</v>
      </c>
      <c r="N29" s="17">
        <f t="shared" si="3"/>
        <v>10000000</v>
      </c>
      <c r="P29" s="12">
        <f t="shared" si="4"/>
        <v>40</v>
      </c>
    </row>
    <row r="30" spans="1:16" ht="15" hidden="1" customHeight="1" x14ac:dyDescent="0.2">
      <c r="A30" s="12" t="s">
        <v>308</v>
      </c>
      <c r="B30" s="36">
        <v>46075</v>
      </c>
      <c r="C30" s="12">
        <f t="shared" si="0"/>
        <v>113</v>
      </c>
      <c r="D30" s="38">
        <f t="shared" si="1"/>
        <v>0</v>
      </c>
      <c r="E30" s="12" t="str">
        <f t="shared" si="2"/>
        <v>113</v>
      </c>
      <c r="G30" s="12" t="s">
        <v>377</v>
      </c>
      <c r="H30" s="12" t="s">
        <v>3032</v>
      </c>
      <c r="I30" s="12">
        <v>1111</v>
      </c>
      <c r="J30" s="12">
        <v>112111</v>
      </c>
      <c r="K30" s="12" t="s">
        <v>20</v>
      </c>
      <c r="L30" s="12">
        <v>1</v>
      </c>
      <c r="M30" s="17">
        <v>20000000</v>
      </c>
      <c r="N30" s="17">
        <f t="shared" si="3"/>
        <v>20000000</v>
      </c>
      <c r="P30" s="12">
        <f t="shared" si="4"/>
        <v>40</v>
      </c>
    </row>
    <row r="31" spans="1:16" ht="15" hidden="1" customHeight="1" x14ac:dyDescent="0.2">
      <c r="A31" s="12" t="s">
        <v>308</v>
      </c>
      <c r="B31" s="36">
        <v>46091</v>
      </c>
      <c r="C31" s="12">
        <f t="shared" si="0"/>
        <v>113</v>
      </c>
      <c r="D31" s="38">
        <f t="shared" si="1"/>
        <v>0</v>
      </c>
      <c r="E31" s="12" t="str">
        <f t="shared" si="2"/>
        <v>113</v>
      </c>
      <c r="G31" s="12" t="s">
        <v>377</v>
      </c>
      <c r="H31" s="12" t="s">
        <v>3032</v>
      </c>
      <c r="I31" s="12">
        <v>1111</v>
      </c>
      <c r="J31" s="12">
        <v>112111</v>
      </c>
      <c r="K31" s="12" t="s">
        <v>20</v>
      </c>
      <c r="L31" s="12">
        <v>1</v>
      </c>
      <c r="M31" s="17">
        <v>875000000</v>
      </c>
      <c r="N31" s="17">
        <f t="shared" si="3"/>
        <v>875000000</v>
      </c>
      <c r="P31" s="12">
        <f t="shared" si="4"/>
        <v>40</v>
      </c>
    </row>
    <row r="32" spans="1:16" ht="15" hidden="1" customHeight="1" x14ac:dyDescent="0.2">
      <c r="A32" s="12" t="s">
        <v>308</v>
      </c>
      <c r="B32" s="36">
        <v>46097</v>
      </c>
      <c r="C32" s="12">
        <f t="shared" si="0"/>
        <v>113</v>
      </c>
      <c r="D32" s="38">
        <f t="shared" si="1"/>
        <v>0</v>
      </c>
      <c r="E32" s="12" t="str">
        <f t="shared" si="2"/>
        <v>113</v>
      </c>
      <c r="G32" s="12" t="s">
        <v>377</v>
      </c>
      <c r="H32" s="12" t="s">
        <v>3032</v>
      </c>
      <c r="I32" s="12">
        <v>1111</v>
      </c>
      <c r="J32" s="12">
        <v>112111</v>
      </c>
      <c r="K32" s="12" t="s">
        <v>20</v>
      </c>
      <c r="L32" s="12">
        <v>1</v>
      </c>
      <c r="M32" s="17">
        <v>3240000</v>
      </c>
      <c r="N32" s="17">
        <f t="shared" si="3"/>
        <v>3240000</v>
      </c>
      <c r="P32" s="12">
        <f t="shared" si="4"/>
        <v>40</v>
      </c>
    </row>
    <row r="33" spans="1:16" ht="15" hidden="1" customHeight="1" x14ac:dyDescent="0.2">
      <c r="A33" s="12" t="s">
        <v>308</v>
      </c>
      <c r="B33" s="36">
        <v>46102</v>
      </c>
      <c r="C33" s="12">
        <f t="shared" si="0"/>
        <v>113</v>
      </c>
      <c r="D33" s="38">
        <f t="shared" si="1"/>
        <v>0</v>
      </c>
      <c r="E33" s="12" t="str">
        <f t="shared" si="2"/>
        <v>113</v>
      </c>
      <c r="G33" s="12" t="s">
        <v>377</v>
      </c>
      <c r="H33" s="12" t="s">
        <v>3032</v>
      </c>
      <c r="I33" s="12">
        <v>1111</v>
      </c>
      <c r="J33" s="12">
        <v>112111</v>
      </c>
      <c r="K33" s="12" t="s">
        <v>20</v>
      </c>
      <c r="L33" s="12">
        <v>1</v>
      </c>
      <c r="M33" s="17">
        <v>10000000</v>
      </c>
      <c r="N33" s="17">
        <f t="shared" si="3"/>
        <v>10000000</v>
      </c>
      <c r="P33" s="12">
        <f t="shared" si="4"/>
        <v>40</v>
      </c>
    </row>
    <row r="34" spans="1:16" ht="15" hidden="1" customHeight="1" x14ac:dyDescent="0.2">
      <c r="A34" s="12" t="s">
        <v>308</v>
      </c>
      <c r="B34" s="36">
        <v>46107</v>
      </c>
      <c r="C34" s="12">
        <f t="shared" si="0"/>
        <v>113</v>
      </c>
      <c r="D34" s="38">
        <f t="shared" si="1"/>
        <v>0</v>
      </c>
      <c r="E34" s="12" t="str">
        <f t="shared" si="2"/>
        <v>113</v>
      </c>
      <c r="G34" s="12" t="s">
        <v>377</v>
      </c>
      <c r="H34" s="12" t="s">
        <v>3032</v>
      </c>
      <c r="I34" s="12">
        <v>1111</v>
      </c>
      <c r="J34" s="12">
        <v>112111</v>
      </c>
      <c r="K34" s="12" t="s">
        <v>20</v>
      </c>
      <c r="L34" s="12">
        <v>1</v>
      </c>
      <c r="M34" s="17">
        <v>110000000</v>
      </c>
      <c r="N34" s="17">
        <f t="shared" si="3"/>
        <v>110000000</v>
      </c>
      <c r="P34" s="12">
        <f t="shared" si="4"/>
        <v>40</v>
      </c>
    </row>
    <row r="35" spans="1:16" ht="15" hidden="1" customHeight="1" x14ac:dyDescent="0.2">
      <c r="A35" s="12" t="s">
        <v>310</v>
      </c>
      <c r="B35" s="36">
        <v>46024</v>
      </c>
      <c r="C35" s="12">
        <f t="shared" si="0"/>
        <v>114</v>
      </c>
      <c r="D35" s="38">
        <f t="shared" si="1"/>
        <v>1</v>
      </c>
      <c r="E35" s="12" t="str">
        <f t="shared" si="2"/>
        <v>114</v>
      </c>
      <c r="G35" s="12" t="s">
        <v>44</v>
      </c>
      <c r="H35" s="12" t="s">
        <v>4271</v>
      </c>
      <c r="I35" s="12">
        <v>331</v>
      </c>
      <c r="J35" s="12">
        <v>1111</v>
      </c>
      <c r="K35" s="12" t="s">
        <v>20</v>
      </c>
      <c r="L35" s="12">
        <v>1</v>
      </c>
      <c r="M35" s="17">
        <v>8452</v>
      </c>
      <c r="N35" s="17">
        <f t="shared" si="3"/>
        <v>8452</v>
      </c>
      <c r="P35" s="12">
        <f t="shared" si="4"/>
        <v>64</v>
      </c>
    </row>
    <row r="36" spans="1:16" ht="15" hidden="1" customHeight="1" x14ac:dyDescent="0.2">
      <c r="A36" s="12" t="s">
        <v>310</v>
      </c>
      <c r="B36" s="36">
        <v>46028</v>
      </c>
      <c r="C36" s="12">
        <f t="shared" ref="C36:C67" si="5">C35+D36</f>
        <v>115</v>
      </c>
      <c r="D36" s="38">
        <f t="shared" ref="D36:D67" si="6">IF(H36=H35,0,1)</f>
        <v>1</v>
      </c>
      <c r="E36" s="12" t="str">
        <f t="shared" ref="E36:E67" si="7">TEXT(C36,"000")</f>
        <v>115</v>
      </c>
      <c r="G36" s="12" t="s">
        <v>1883</v>
      </c>
      <c r="H36" s="12" t="s">
        <v>4340</v>
      </c>
      <c r="I36" s="12">
        <v>331</v>
      </c>
      <c r="J36" s="12">
        <v>1111</v>
      </c>
      <c r="K36" s="12" t="s">
        <v>20</v>
      </c>
      <c r="L36" s="12">
        <v>1</v>
      </c>
      <c r="M36" s="17">
        <v>849000</v>
      </c>
      <c r="N36" s="17">
        <f t="shared" ref="N36:N67" si="8">L36*M36</f>
        <v>849000</v>
      </c>
      <c r="P36" s="12">
        <f t="shared" si="4"/>
        <v>49</v>
      </c>
    </row>
    <row r="37" spans="1:16" ht="15" hidden="1" customHeight="1" x14ac:dyDescent="0.2">
      <c r="A37" s="12" t="s">
        <v>310</v>
      </c>
      <c r="B37" s="36">
        <v>46031</v>
      </c>
      <c r="C37" s="12">
        <f t="shared" si="5"/>
        <v>116</v>
      </c>
      <c r="D37" s="38">
        <f t="shared" si="6"/>
        <v>1</v>
      </c>
      <c r="E37" s="12" t="str">
        <f t="shared" si="7"/>
        <v>116</v>
      </c>
      <c r="G37" s="12" t="s">
        <v>35</v>
      </c>
      <c r="H37" s="12" t="s">
        <v>4272</v>
      </c>
      <c r="I37" s="12">
        <v>331</v>
      </c>
      <c r="J37" s="12">
        <v>1111</v>
      </c>
      <c r="K37" s="12" t="s">
        <v>20</v>
      </c>
      <c r="L37" s="12">
        <v>1</v>
      </c>
      <c r="M37" s="17">
        <v>3240000</v>
      </c>
      <c r="N37" s="17">
        <f t="shared" si="8"/>
        <v>3240000</v>
      </c>
      <c r="P37" s="12">
        <f t="shared" si="4"/>
        <v>52</v>
      </c>
    </row>
    <row r="38" spans="1:16" ht="15" hidden="1" customHeight="1" x14ac:dyDescent="0.2">
      <c r="A38" s="12" t="s">
        <v>310</v>
      </c>
      <c r="B38" s="36">
        <v>46037</v>
      </c>
      <c r="C38" s="12">
        <f t="shared" si="5"/>
        <v>117</v>
      </c>
      <c r="D38" s="38">
        <f t="shared" si="6"/>
        <v>1</v>
      </c>
      <c r="E38" s="12" t="str">
        <f t="shared" si="7"/>
        <v>117</v>
      </c>
      <c r="G38" s="12" t="s">
        <v>104</v>
      </c>
      <c r="H38" s="12" t="s">
        <v>4273</v>
      </c>
      <c r="I38" s="12">
        <v>331</v>
      </c>
      <c r="J38" s="12">
        <v>1111</v>
      </c>
      <c r="K38" s="12" t="s">
        <v>20</v>
      </c>
      <c r="L38" s="12">
        <v>1</v>
      </c>
      <c r="M38" s="17">
        <v>365000</v>
      </c>
      <c r="N38" s="17">
        <f t="shared" si="8"/>
        <v>365000</v>
      </c>
      <c r="P38" s="12">
        <f t="shared" si="4"/>
        <v>24</v>
      </c>
    </row>
    <row r="39" spans="1:16" ht="15" hidden="1" customHeight="1" x14ac:dyDescent="0.2">
      <c r="A39" s="12" t="s">
        <v>310</v>
      </c>
      <c r="B39" s="36">
        <v>46040</v>
      </c>
      <c r="C39" s="12">
        <f t="shared" si="5"/>
        <v>118</v>
      </c>
      <c r="D39" s="38">
        <f t="shared" si="6"/>
        <v>1</v>
      </c>
      <c r="E39" s="12" t="str">
        <f t="shared" si="7"/>
        <v>118</v>
      </c>
      <c r="G39" s="12" t="s">
        <v>2099</v>
      </c>
      <c r="H39" s="12" t="s">
        <v>4274</v>
      </c>
      <c r="I39" s="12">
        <v>331</v>
      </c>
      <c r="J39" s="12">
        <v>1111</v>
      </c>
      <c r="K39" s="12" t="s">
        <v>20</v>
      </c>
      <c r="L39" s="12">
        <v>1</v>
      </c>
      <c r="M39" s="17">
        <v>70000</v>
      </c>
      <c r="N39" s="17">
        <f t="shared" si="8"/>
        <v>70000</v>
      </c>
      <c r="P39" s="12">
        <f t="shared" si="4"/>
        <v>42</v>
      </c>
    </row>
    <row r="40" spans="1:16" ht="15" hidden="1" customHeight="1" x14ac:dyDescent="0.2">
      <c r="A40" s="12" t="s">
        <v>310</v>
      </c>
      <c r="B40" s="36">
        <v>46040</v>
      </c>
      <c r="C40" s="12">
        <f t="shared" si="5"/>
        <v>119</v>
      </c>
      <c r="D40" s="38">
        <f t="shared" si="6"/>
        <v>1</v>
      </c>
      <c r="E40" s="12" t="str">
        <f t="shared" si="7"/>
        <v>119</v>
      </c>
      <c r="G40" s="12" t="s">
        <v>2099</v>
      </c>
      <c r="H40" s="12" t="s">
        <v>4341</v>
      </c>
      <c r="I40" s="12">
        <v>331</v>
      </c>
      <c r="J40" s="12">
        <v>1111</v>
      </c>
      <c r="K40" s="12" t="s">
        <v>20</v>
      </c>
      <c r="L40" s="12">
        <v>1</v>
      </c>
      <c r="M40" s="17">
        <v>1729000</v>
      </c>
      <c r="N40" s="17">
        <f t="shared" si="8"/>
        <v>1729000</v>
      </c>
      <c r="P40" s="12">
        <f t="shared" si="4"/>
        <v>51</v>
      </c>
    </row>
    <row r="41" spans="1:16" ht="15" hidden="1" customHeight="1" x14ac:dyDescent="0.2">
      <c r="A41" s="12" t="s">
        <v>310</v>
      </c>
      <c r="B41" s="36">
        <v>46045</v>
      </c>
      <c r="C41" s="12">
        <f t="shared" si="5"/>
        <v>120</v>
      </c>
      <c r="D41" s="38">
        <f t="shared" si="6"/>
        <v>1</v>
      </c>
      <c r="E41" s="12" t="str">
        <f t="shared" si="7"/>
        <v>120</v>
      </c>
      <c r="G41" s="12" t="s">
        <v>19</v>
      </c>
      <c r="H41" s="12" t="s">
        <v>4281</v>
      </c>
      <c r="I41" s="12">
        <v>331</v>
      </c>
      <c r="J41" s="12">
        <v>1111</v>
      </c>
      <c r="K41" s="12" t="s">
        <v>20</v>
      </c>
      <c r="L41" s="12">
        <v>1</v>
      </c>
      <c r="M41" s="17">
        <v>94000</v>
      </c>
      <c r="N41" s="17">
        <f t="shared" si="8"/>
        <v>94000</v>
      </c>
      <c r="P41" s="12">
        <f t="shared" si="4"/>
        <v>136</v>
      </c>
    </row>
    <row r="42" spans="1:16" ht="15" hidden="1" customHeight="1" x14ac:dyDescent="0.2">
      <c r="A42" s="12" t="s">
        <v>310</v>
      </c>
      <c r="B42" s="36">
        <v>46045</v>
      </c>
      <c r="C42" s="12">
        <f t="shared" si="5"/>
        <v>121</v>
      </c>
      <c r="D42" s="38">
        <f t="shared" si="6"/>
        <v>1</v>
      </c>
      <c r="E42" s="12" t="str">
        <f t="shared" si="7"/>
        <v>121</v>
      </c>
      <c r="G42" s="12" t="s">
        <v>24</v>
      </c>
      <c r="H42" s="12" t="s">
        <v>4277</v>
      </c>
      <c r="I42" s="12">
        <v>331</v>
      </c>
      <c r="J42" s="12">
        <v>1111</v>
      </c>
      <c r="K42" s="12" t="s">
        <v>20</v>
      </c>
      <c r="L42" s="12">
        <v>1</v>
      </c>
      <c r="M42" s="17">
        <v>49000</v>
      </c>
      <c r="N42" s="17">
        <f t="shared" si="8"/>
        <v>49000</v>
      </c>
      <c r="P42" s="12">
        <f t="shared" si="4"/>
        <v>179</v>
      </c>
    </row>
    <row r="43" spans="1:16" ht="15" hidden="1" customHeight="1" x14ac:dyDescent="0.2">
      <c r="A43" s="12" t="s">
        <v>310</v>
      </c>
      <c r="B43" s="36">
        <v>46045</v>
      </c>
      <c r="C43" s="12">
        <f t="shared" si="5"/>
        <v>122</v>
      </c>
      <c r="D43" s="38">
        <f t="shared" si="6"/>
        <v>1</v>
      </c>
      <c r="E43" s="12" t="str">
        <f t="shared" si="7"/>
        <v>122</v>
      </c>
      <c r="G43" s="12" t="s">
        <v>19</v>
      </c>
      <c r="H43" s="12" t="s">
        <v>4280</v>
      </c>
      <c r="I43" s="12">
        <v>331</v>
      </c>
      <c r="J43" s="12">
        <v>1111</v>
      </c>
      <c r="K43" s="12" t="s">
        <v>20</v>
      </c>
      <c r="L43" s="12">
        <v>1</v>
      </c>
      <c r="M43" s="17">
        <v>48000</v>
      </c>
      <c r="N43" s="17">
        <f t="shared" si="8"/>
        <v>48000</v>
      </c>
      <c r="P43" s="12">
        <f t="shared" si="4"/>
        <v>136</v>
      </c>
    </row>
    <row r="44" spans="1:16" ht="15" hidden="1" customHeight="1" x14ac:dyDescent="0.2">
      <c r="A44" s="12" t="s">
        <v>310</v>
      </c>
      <c r="B44" s="36">
        <v>46045</v>
      </c>
      <c r="C44" s="12">
        <f t="shared" si="5"/>
        <v>123</v>
      </c>
      <c r="D44" s="38">
        <f t="shared" si="6"/>
        <v>1</v>
      </c>
      <c r="E44" s="12" t="str">
        <f t="shared" si="7"/>
        <v>123</v>
      </c>
      <c r="G44" s="12" t="s">
        <v>24</v>
      </c>
      <c r="H44" s="12" t="s">
        <v>4276</v>
      </c>
      <c r="I44" s="12">
        <v>331</v>
      </c>
      <c r="J44" s="12">
        <v>1111</v>
      </c>
      <c r="K44" s="12" t="s">
        <v>20</v>
      </c>
      <c r="L44" s="12">
        <v>1</v>
      </c>
      <c r="M44" s="17">
        <v>16000</v>
      </c>
      <c r="N44" s="17">
        <f t="shared" si="8"/>
        <v>16000</v>
      </c>
      <c r="P44" s="12">
        <f t="shared" si="4"/>
        <v>179</v>
      </c>
    </row>
    <row r="45" spans="1:16" ht="15" hidden="1" customHeight="1" x14ac:dyDescent="0.2">
      <c r="A45" s="12" t="s">
        <v>310</v>
      </c>
      <c r="B45" s="36">
        <v>46045</v>
      </c>
      <c r="C45" s="12">
        <f t="shared" si="5"/>
        <v>124</v>
      </c>
      <c r="D45" s="38">
        <f t="shared" si="6"/>
        <v>1</v>
      </c>
      <c r="E45" s="12" t="str">
        <f t="shared" si="7"/>
        <v>124</v>
      </c>
      <c r="G45" s="12" t="s">
        <v>24</v>
      </c>
      <c r="H45" s="12" t="s">
        <v>4275</v>
      </c>
      <c r="I45" s="12">
        <v>331</v>
      </c>
      <c r="J45" s="12">
        <v>1111</v>
      </c>
      <c r="K45" s="12" t="s">
        <v>20</v>
      </c>
      <c r="L45" s="12">
        <v>1</v>
      </c>
      <c r="M45" s="17">
        <v>15000</v>
      </c>
      <c r="N45" s="17">
        <f t="shared" si="8"/>
        <v>15000</v>
      </c>
      <c r="P45" s="12">
        <f t="shared" si="4"/>
        <v>179</v>
      </c>
    </row>
    <row r="46" spans="1:16" ht="15" hidden="1" customHeight="1" x14ac:dyDescent="0.2">
      <c r="A46" s="12" t="s">
        <v>310</v>
      </c>
      <c r="B46" s="36">
        <v>46045</v>
      </c>
      <c r="C46" s="12">
        <f t="shared" si="5"/>
        <v>125</v>
      </c>
      <c r="D46" s="38">
        <f t="shared" si="6"/>
        <v>1</v>
      </c>
      <c r="E46" s="12" t="str">
        <f t="shared" si="7"/>
        <v>125</v>
      </c>
      <c r="G46" s="12" t="s">
        <v>19</v>
      </c>
      <c r="H46" s="12" t="s">
        <v>4279</v>
      </c>
      <c r="I46" s="12">
        <v>331</v>
      </c>
      <c r="J46" s="12">
        <v>1111</v>
      </c>
      <c r="K46" s="12" t="s">
        <v>20</v>
      </c>
      <c r="L46" s="12">
        <v>1</v>
      </c>
      <c r="M46" s="17">
        <v>77000</v>
      </c>
      <c r="N46" s="17">
        <f t="shared" si="8"/>
        <v>77000</v>
      </c>
      <c r="P46" s="12">
        <f t="shared" si="4"/>
        <v>136</v>
      </c>
    </row>
    <row r="47" spans="1:16" ht="15" hidden="1" customHeight="1" x14ac:dyDescent="0.2">
      <c r="A47" s="12" t="s">
        <v>310</v>
      </c>
      <c r="B47" s="36">
        <v>46045</v>
      </c>
      <c r="C47" s="12">
        <f t="shared" si="5"/>
        <v>126</v>
      </c>
      <c r="D47" s="38">
        <f t="shared" si="6"/>
        <v>1</v>
      </c>
      <c r="E47" s="12" t="str">
        <f t="shared" si="7"/>
        <v>126</v>
      </c>
      <c r="G47" s="12" t="s">
        <v>19</v>
      </c>
      <c r="H47" s="12" t="s">
        <v>4278</v>
      </c>
      <c r="I47" s="12">
        <v>331</v>
      </c>
      <c r="J47" s="12">
        <v>1111</v>
      </c>
      <c r="K47" s="12" t="s">
        <v>20</v>
      </c>
      <c r="L47" s="12">
        <v>1</v>
      </c>
      <c r="M47" s="17">
        <v>60000</v>
      </c>
      <c r="N47" s="17">
        <f t="shared" si="8"/>
        <v>60000</v>
      </c>
      <c r="P47" s="12">
        <f t="shared" si="4"/>
        <v>136</v>
      </c>
    </row>
    <row r="48" spans="1:16" ht="15" hidden="1" customHeight="1" x14ac:dyDescent="0.2">
      <c r="A48" s="12" t="s">
        <v>310</v>
      </c>
      <c r="B48" s="36">
        <v>46046</v>
      </c>
      <c r="C48" s="12">
        <f t="shared" si="5"/>
        <v>127</v>
      </c>
      <c r="D48" s="38">
        <f t="shared" si="6"/>
        <v>1</v>
      </c>
      <c r="E48" s="12" t="str">
        <f t="shared" si="7"/>
        <v>127</v>
      </c>
      <c r="G48" s="12" t="s">
        <v>2108</v>
      </c>
      <c r="H48" s="12" t="s">
        <v>4282</v>
      </c>
      <c r="I48" s="12">
        <v>331</v>
      </c>
      <c r="J48" s="12">
        <v>1111</v>
      </c>
      <c r="K48" s="12" t="s">
        <v>20</v>
      </c>
      <c r="L48" s="12">
        <v>1</v>
      </c>
      <c r="M48" s="17">
        <v>44000</v>
      </c>
      <c r="N48" s="17">
        <f t="shared" si="8"/>
        <v>44000</v>
      </c>
      <c r="P48" s="12">
        <f t="shared" si="4"/>
        <v>135</v>
      </c>
    </row>
    <row r="49" spans="1:16" ht="15" hidden="1" customHeight="1" x14ac:dyDescent="0.2">
      <c r="A49" s="12" t="s">
        <v>310</v>
      </c>
      <c r="B49" s="36">
        <v>46048</v>
      </c>
      <c r="C49" s="12">
        <f t="shared" si="5"/>
        <v>128</v>
      </c>
      <c r="D49" s="38">
        <f t="shared" si="6"/>
        <v>1</v>
      </c>
      <c r="E49" s="12" t="str">
        <f t="shared" si="7"/>
        <v>128</v>
      </c>
      <c r="G49" s="12" t="s">
        <v>19</v>
      </c>
      <c r="H49" s="12" t="s">
        <v>4283</v>
      </c>
      <c r="I49" s="12">
        <v>331</v>
      </c>
      <c r="J49" s="12">
        <v>1111</v>
      </c>
      <c r="K49" s="12" t="s">
        <v>20</v>
      </c>
      <c r="L49" s="12">
        <v>1</v>
      </c>
      <c r="M49" s="17">
        <v>98000</v>
      </c>
      <c r="N49" s="17">
        <f t="shared" si="8"/>
        <v>98000</v>
      </c>
      <c r="P49" s="12">
        <f t="shared" si="4"/>
        <v>136</v>
      </c>
    </row>
    <row r="50" spans="1:16" ht="15" hidden="1" customHeight="1" x14ac:dyDescent="0.2">
      <c r="A50" s="12" t="s">
        <v>310</v>
      </c>
      <c r="B50" s="36">
        <v>46055</v>
      </c>
      <c r="C50" s="12">
        <f t="shared" si="5"/>
        <v>129</v>
      </c>
      <c r="D50" s="38">
        <f t="shared" si="6"/>
        <v>1</v>
      </c>
      <c r="E50" s="12" t="str">
        <f t="shared" si="7"/>
        <v>129</v>
      </c>
      <c r="G50" s="12" t="s">
        <v>44</v>
      </c>
      <c r="H50" s="12" t="s">
        <v>4284</v>
      </c>
      <c r="I50" s="12">
        <v>331</v>
      </c>
      <c r="J50" s="12">
        <v>1111</v>
      </c>
      <c r="K50" s="12" t="s">
        <v>20</v>
      </c>
      <c r="L50" s="12">
        <v>1</v>
      </c>
      <c r="M50" s="17">
        <v>14557</v>
      </c>
      <c r="N50" s="17">
        <f t="shared" si="8"/>
        <v>14557</v>
      </c>
      <c r="P50" s="12">
        <f t="shared" si="4"/>
        <v>109</v>
      </c>
    </row>
    <row r="51" spans="1:16" ht="15" hidden="1" customHeight="1" x14ac:dyDescent="0.2">
      <c r="A51" s="12" t="s">
        <v>310</v>
      </c>
      <c r="B51" s="36">
        <v>46056</v>
      </c>
      <c r="C51" s="12">
        <f t="shared" si="5"/>
        <v>130</v>
      </c>
      <c r="D51" s="38">
        <f t="shared" si="6"/>
        <v>1</v>
      </c>
      <c r="E51" s="12" t="str">
        <f t="shared" si="7"/>
        <v>130</v>
      </c>
      <c r="G51" s="12" t="s">
        <v>19</v>
      </c>
      <c r="H51" s="12" t="s">
        <v>4286</v>
      </c>
      <c r="I51" s="12">
        <v>331</v>
      </c>
      <c r="J51" s="12">
        <v>1111</v>
      </c>
      <c r="K51" s="12" t="s">
        <v>20</v>
      </c>
      <c r="L51" s="12">
        <v>1</v>
      </c>
      <c r="M51" s="17">
        <v>75000</v>
      </c>
      <c r="N51" s="17">
        <f t="shared" si="8"/>
        <v>75000</v>
      </c>
      <c r="P51" s="12">
        <f t="shared" si="4"/>
        <v>137</v>
      </c>
    </row>
    <row r="52" spans="1:16" ht="15" hidden="1" customHeight="1" x14ac:dyDescent="0.2">
      <c r="A52" s="12" t="s">
        <v>310</v>
      </c>
      <c r="B52" s="36">
        <v>46056</v>
      </c>
      <c r="C52" s="12">
        <f t="shared" si="5"/>
        <v>131</v>
      </c>
      <c r="D52" s="38">
        <f t="shared" si="6"/>
        <v>1</v>
      </c>
      <c r="E52" s="12" t="str">
        <f t="shared" si="7"/>
        <v>131</v>
      </c>
      <c r="G52" s="12" t="s">
        <v>35</v>
      </c>
      <c r="H52" s="12" t="s">
        <v>4285</v>
      </c>
      <c r="I52" s="12">
        <v>331</v>
      </c>
      <c r="J52" s="12">
        <v>1111</v>
      </c>
      <c r="K52" s="12" t="s">
        <v>20</v>
      </c>
      <c r="L52" s="12">
        <v>1</v>
      </c>
      <c r="M52" s="17">
        <v>3240000</v>
      </c>
      <c r="N52" s="17">
        <f t="shared" si="8"/>
        <v>3240000</v>
      </c>
      <c r="P52" s="12">
        <f t="shared" si="4"/>
        <v>52</v>
      </c>
    </row>
    <row r="53" spans="1:16" ht="15" hidden="1" customHeight="1" x14ac:dyDescent="0.2">
      <c r="A53" s="12" t="s">
        <v>310</v>
      </c>
      <c r="B53" s="36">
        <v>46072</v>
      </c>
      <c r="C53" s="12">
        <f t="shared" si="5"/>
        <v>132</v>
      </c>
      <c r="D53" s="38">
        <f t="shared" si="6"/>
        <v>1</v>
      </c>
      <c r="E53" s="12" t="str">
        <f t="shared" si="7"/>
        <v>132</v>
      </c>
      <c r="G53" s="12" t="s">
        <v>25</v>
      </c>
      <c r="H53" s="12" t="s">
        <v>4287</v>
      </c>
      <c r="I53" s="12">
        <v>331</v>
      </c>
      <c r="J53" s="12">
        <v>1111</v>
      </c>
      <c r="K53" s="12" t="s">
        <v>20</v>
      </c>
      <c r="L53" s="12">
        <v>1</v>
      </c>
      <c r="M53" s="17">
        <v>1290168</v>
      </c>
      <c r="N53" s="17">
        <f t="shared" si="8"/>
        <v>1290168</v>
      </c>
      <c r="P53" s="12">
        <f t="shared" si="4"/>
        <v>136</v>
      </c>
    </row>
    <row r="54" spans="1:16" ht="15" hidden="1" customHeight="1" x14ac:dyDescent="0.2">
      <c r="A54" s="12" t="s">
        <v>310</v>
      </c>
      <c r="B54" s="36">
        <v>46081</v>
      </c>
      <c r="C54" s="12">
        <f t="shared" si="5"/>
        <v>133</v>
      </c>
      <c r="D54" s="38">
        <f t="shared" si="6"/>
        <v>1</v>
      </c>
      <c r="E54" s="12" t="str">
        <f t="shared" si="7"/>
        <v>133</v>
      </c>
      <c r="G54" s="12" t="s">
        <v>104</v>
      </c>
      <c r="H54" s="12" t="s">
        <v>4288</v>
      </c>
      <c r="I54" s="12">
        <v>331</v>
      </c>
      <c r="J54" s="12">
        <v>1111</v>
      </c>
      <c r="K54" s="12" t="s">
        <v>20</v>
      </c>
      <c r="L54" s="12">
        <v>1</v>
      </c>
      <c r="M54" s="17">
        <v>365000</v>
      </c>
      <c r="N54" s="17">
        <f t="shared" si="8"/>
        <v>365000</v>
      </c>
      <c r="P54" s="12">
        <f t="shared" si="4"/>
        <v>25</v>
      </c>
    </row>
    <row r="55" spans="1:16" ht="15" hidden="1" customHeight="1" x14ac:dyDescent="0.2">
      <c r="A55" s="12" t="s">
        <v>310</v>
      </c>
      <c r="B55" s="36">
        <v>46082</v>
      </c>
      <c r="C55" s="12">
        <f t="shared" si="5"/>
        <v>134</v>
      </c>
      <c r="D55" s="38">
        <f t="shared" si="6"/>
        <v>1</v>
      </c>
      <c r="E55" s="12" t="str">
        <f t="shared" si="7"/>
        <v>134</v>
      </c>
      <c r="G55" s="12" t="s">
        <v>19</v>
      </c>
      <c r="H55" s="12" t="s">
        <v>4291</v>
      </c>
      <c r="I55" s="12">
        <v>331</v>
      </c>
      <c r="J55" s="12">
        <v>1111</v>
      </c>
      <c r="K55" s="12" t="s">
        <v>20</v>
      </c>
      <c r="L55" s="12">
        <v>1</v>
      </c>
      <c r="M55" s="17">
        <v>31000</v>
      </c>
      <c r="N55" s="17">
        <f t="shared" si="8"/>
        <v>31000</v>
      </c>
      <c r="P55" s="12">
        <f t="shared" si="4"/>
        <v>180</v>
      </c>
    </row>
    <row r="56" spans="1:16" ht="15" hidden="1" customHeight="1" x14ac:dyDescent="0.2">
      <c r="A56" s="12" t="s">
        <v>310</v>
      </c>
      <c r="B56" s="36">
        <v>46082</v>
      </c>
      <c r="C56" s="12">
        <f t="shared" si="5"/>
        <v>135</v>
      </c>
      <c r="D56" s="38">
        <f t="shared" si="6"/>
        <v>1</v>
      </c>
      <c r="E56" s="12" t="str">
        <f t="shared" si="7"/>
        <v>135</v>
      </c>
      <c r="G56" s="12" t="s">
        <v>19</v>
      </c>
      <c r="H56" s="12" t="s">
        <v>4290</v>
      </c>
      <c r="I56" s="12">
        <v>331</v>
      </c>
      <c r="J56" s="12">
        <v>1111</v>
      </c>
      <c r="K56" s="12" t="s">
        <v>20</v>
      </c>
      <c r="L56" s="12">
        <v>1</v>
      </c>
      <c r="M56" s="17">
        <v>36000</v>
      </c>
      <c r="N56" s="17">
        <f t="shared" si="8"/>
        <v>36000</v>
      </c>
      <c r="P56" s="12">
        <f t="shared" si="4"/>
        <v>180</v>
      </c>
    </row>
    <row r="57" spans="1:16" ht="15" hidden="1" customHeight="1" x14ac:dyDescent="0.2">
      <c r="A57" s="12" t="s">
        <v>310</v>
      </c>
      <c r="B57" s="36">
        <v>46082</v>
      </c>
      <c r="C57" s="12">
        <f t="shared" si="5"/>
        <v>136</v>
      </c>
      <c r="D57" s="38">
        <f t="shared" si="6"/>
        <v>1</v>
      </c>
      <c r="E57" s="12" t="str">
        <f t="shared" si="7"/>
        <v>136</v>
      </c>
      <c r="G57" s="12" t="s">
        <v>19</v>
      </c>
      <c r="H57" s="12" t="s">
        <v>4289</v>
      </c>
      <c r="I57" s="12">
        <v>331</v>
      </c>
      <c r="J57" s="12">
        <v>1111</v>
      </c>
      <c r="K57" s="12" t="s">
        <v>20</v>
      </c>
      <c r="L57" s="12">
        <v>1</v>
      </c>
      <c r="M57" s="17">
        <v>23000</v>
      </c>
      <c r="N57" s="17">
        <f t="shared" si="8"/>
        <v>23000</v>
      </c>
      <c r="P57" s="12">
        <f t="shared" si="4"/>
        <v>180</v>
      </c>
    </row>
    <row r="58" spans="1:16" ht="15" hidden="1" customHeight="1" x14ac:dyDescent="0.2">
      <c r="A58" s="12" t="s">
        <v>310</v>
      </c>
      <c r="B58" s="36">
        <v>46083</v>
      </c>
      <c r="C58" s="12">
        <f t="shared" si="5"/>
        <v>137</v>
      </c>
      <c r="D58" s="38">
        <f t="shared" si="6"/>
        <v>1</v>
      </c>
      <c r="E58" s="12" t="str">
        <f t="shared" si="7"/>
        <v>137</v>
      </c>
      <c r="G58" s="12" t="s">
        <v>44</v>
      </c>
      <c r="H58" s="12" t="s">
        <v>4292</v>
      </c>
      <c r="I58" s="12">
        <v>331</v>
      </c>
      <c r="J58" s="12">
        <v>1111</v>
      </c>
      <c r="K58" s="12" t="s">
        <v>20</v>
      </c>
      <c r="L58" s="12">
        <v>1</v>
      </c>
      <c r="M58" s="17">
        <v>10101</v>
      </c>
      <c r="N58" s="17">
        <f t="shared" si="8"/>
        <v>10101</v>
      </c>
      <c r="P58" s="12">
        <f t="shared" si="4"/>
        <v>110</v>
      </c>
    </row>
    <row r="59" spans="1:16" ht="15" hidden="1" customHeight="1" x14ac:dyDescent="0.2">
      <c r="A59" s="12" t="s">
        <v>310</v>
      </c>
      <c r="B59" s="36">
        <v>46085</v>
      </c>
      <c r="C59" s="12">
        <f t="shared" si="5"/>
        <v>138</v>
      </c>
      <c r="D59" s="38">
        <f t="shared" si="6"/>
        <v>1</v>
      </c>
      <c r="E59" s="12" t="str">
        <f t="shared" si="7"/>
        <v>138</v>
      </c>
      <c r="G59" s="12" t="s">
        <v>2120</v>
      </c>
      <c r="H59" s="12" t="s">
        <v>4293</v>
      </c>
      <c r="I59" s="12">
        <v>331</v>
      </c>
      <c r="J59" s="12">
        <v>1111</v>
      </c>
      <c r="K59" s="12" t="s">
        <v>20</v>
      </c>
      <c r="L59" s="12">
        <v>1</v>
      </c>
      <c r="M59" s="17">
        <v>2000010</v>
      </c>
      <c r="N59" s="17">
        <f t="shared" si="8"/>
        <v>2000010</v>
      </c>
      <c r="P59" s="12">
        <f t="shared" si="4"/>
        <v>48</v>
      </c>
    </row>
    <row r="60" spans="1:16" ht="15" hidden="1" customHeight="1" x14ac:dyDescent="0.2">
      <c r="A60" s="12" t="s">
        <v>310</v>
      </c>
      <c r="B60" s="36">
        <v>46087</v>
      </c>
      <c r="C60" s="12">
        <f t="shared" si="5"/>
        <v>139</v>
      </c>
      <c r="D60" s="38">
        <f t="shared" si="6"/>
        <v>1</v>
      </c>
      <c r="E60" s="12" t="str">
        <f t="shared" si="7"/>
        <v>139</v>
      </c>
      <c r="G60" s="12" t="s">
        <v>24</v>
      </c>
      <c r="H60" s="12" t="s">
        <v>4295</v>
      </c>
      <c r="I60" s="12">
        <v>331</v>
      </c>
      <c r="J60" s="12">
        <v>1111</v>
      </c>
      <c r="K60" s="12" t="s">
        <v>20</v>
      </c>
      <c r="L60" s="12">
        <v>1</v>
      </c>
      <c r="M60" s="17">
        <v>127000</v>
      </c>
      <c r="N60" s="17">
        <f t="shared" si="8"/>
        <v>127000</v>
      </c>
      <c r="P60" s="12">
        <f t="shared" si="4"/>
        <v>180</v>
      </c>
    </row>
    <row r="61" spans="1:16" ht="15" hidden="1" customHeight="1" x14ac:dyDescent="0.2">
      <c r="A61" s="12" t="s">
        <v>310</v>
      </c>
      <c r="B61" s="36">
        <v>46087</v>
      </c>
      <c r="C61" s="12">
        <f t="shared" si="5"/>
        <v>140</v>
      </c>
      <c r="D61" s="38">
        <f t="shared" si="6"/>
        <v>1</v>
      </c>
      <c r="E61" s="12" t="str">
        <f t="shared" si="7"/>
        <v>140</v>
      </c>
      <c r="G61" s="12" t="s">
        <v>24</v>
      </c>
      <c r="H61" s="12" t="s">
        <v>4294</v>
      </c>
      <c r="I61" s="12">
        <v>331</v>
      </c>
      <c r="J61" s="12">
        <v>1111</v>
      </c>
      <c r="K61" s="12" t="s">
        <v>20</v>
      </c>
      <c r="L61" s="12">
        <v>1</v>
      </c>
      <c r="M61" s="17">
        <v>46000</v>
      </c>
      <c r="N61" s="17">
        <f t="shared" si="8"/>
        <v>46000</v>
      </c>
      <c r="P61" s="12">
        <f t="shared" si="4"/>
        <v>180</v>
      </c>
    </row>
    <row r="62" spans="1:16" ht="15" hidden="1" customHeight="1" x14ac:dyDescent="0.2">
      <c r="A62" s="12" t="s">
        <v>310</v>
      </c>
      <c r="B62" s="36">
        <v>46088</v>
      </c>
      <c r="C62" s="12">
        <f t="shared" si="5"/>
        <v>141</v>
      </c>
      <c r="D62" s="38">
        <f t="shared" si="6"/>
        <v>1</v>
      </c>
      <c r="E62" s="12" t="str">
        <f t="shared" si="7"/>
        <v>141</v>
      </c>
      <c r="G62" s="12" t="s">
        <v>19</v>
      </c>
      <c r="H62" s="12" t="s">
        <v>4297</v>
      </c>
      <c r="I62" s="12">
        <v>331</v>
      </c>
      <c r="J62" s="12">
        <v>1111</v>
      </c>
      <c r="K62" s="12" t="s">
        <v>20</v>
      </c>
      <c r="L62" s="12">
        <v>1</v>
      </c>
      <c r="M62" s="17">
        <v>79000</v>
      </c>
      <c r="N62" s="17">
        <f t="shared" si="8"/>
        <v>79000</v>
      </c>
      <c r="P62" s="12">
        <f t="shared" si="4"/>
        <v>137</v>
      </c>
    </row>
    <row r="63" spans="1:16" ht="15" hidden="1" customHeight="1" x14ac:dyDescent="0.2">
      <c r="A63" s="12" t="s">
        <v>310</v>
      </c>
      <c r="B63" s="36">
        <v>46088</v>
      </c>
      <c r="C63" s="12">
        <f t="shared" si="5"/>
        <v>142</v>
      </c>
      <c r="D63" s="38">
        <f t="shared" si="6"/>
        <v>1</v>
      </c>
      <c r="E63" s="12" t="str">
        <f t="shared" si="7"/>
        <v>142</v>
      </c>
      <c r="G63" s="12" t="s">
        <v>24</v>
      </c>
      <c r="H63" s="12" t="s">
        <v>4296</v>
      </c>
      <c r="I63" s="12">
        <v>331</v>
      </c>
      <c r="J63" s="12">
        <v>1111</v>
      </c>
      <c r="K63" s="12" t="s">
        <v>20</v>
      </c>
      <c r="L63" s="12">
        <v>1</v>
      </c>
      <c r="M63" s="17">
        <v>109000</v>
      </c>
      <c r="N63" s="17">
        <f t="shared" si="8"/>
        <v>109000</v>
      </c>
      <c r="P63" s="12">
        <f t="shared" si="4"/>
        <v>180</v>
      </c>
    </row>
    <row r="64" spans="1:16" ht="15" hidden="1" customHeight="1" x14ac:dyDescent="0.2">
      <c r="A64" s="12" t="s">
        <v>310</v>
      </c>
      <c r="B64" s="36">
        <v>46097</v>
      </c>
      <c r="C64" s="12">
        <f t="shared" si="5"/>
        <v>143</v>
      </c>
      <c r="D64" s="38">
        <f t="shared" si="6"/>
        <v>1</v>
      </c>
      <c r="E64" s="12" t="str">
        <f t="shared" si="7"/>
        <v>143</v>
      </c>
      <c r="G64" s="12" t="s">
        <v>35</v>
      </c>
      <c r="H64" s="12" t="s">
        <v>4298</v>
      </c>
      <c r="I64" s="12">
        <v>331</v>
      </c>
      <c r="J64" s="12">
        <v>1111</v>
      </c>
      <c r="K64" s="12" t="s">
        <v>20</v>
      </c>
      <c r="L64" s="12">
        <v>1</v>
      </c>
      <c r="M64" s="17">
        <v>3240000</v>
      </c>
      <c r="N64" s="17">
        <f t="shared" si="8"/>
        <v>3240000</v>
      </c>
      <c r="P64" s="12">
        <f t="shared" si="4"/>
        <v>52</v>
      </c>
    </row>
    <row r="65" spans="1:16" ht="15" hidden="1" customHeight="1" x14ac:dyDescent="0.2">
      <c r="A65" s="12" t="s">
        <v>310</v>
      </c>
      <c r="B65" s="36">
        <v>46103</v>
      </c>
      <c r="C65" s="12">
        <f t="shared" si="5"/>
        <v>144</v>
      </c>
      <c r="D65" s="38">
        <f t="shared" si="6"/>
        <v>1</v>
      </c>
      <c r="E65" s="12" t="str">
        <f t="shared" si="7"/>
        <v>144</v>
      </c>
      <c r="G65" s="12" t="s">
        <v>19</v>
      </c>
      <c r="H65" s="12" t="s">
        <v>4299</v>
      </c>
      <c r="I65" s="12">
        <v>331</v>
      </c>
      <c r="J65" s="12">
        <v>1111</v>
      </c>
      <c r="K65" s="12" t="s">
        <v>20</v>
      </c>
      <c r="L65" s="12">
        <v>1</v>
      </c>
      <c r="M65" s="17">
        <v>7000</v>
      </c>
      <c r="N65" s="17">
        <f t="shared" si="8"/>
        <v>7000</v>
      </c>
      <c r="P65" s="12">
        <f t="shared" si="4"/>
        <v>180</v>
      </c>
    </row>
    <row r="66" spans="1:16" ht="15" hidden="1" customHeight="1" x14ac:dyDescent="0.2">
      <c r="A66" s="12" t="s">
        <v>310</v>
      </c>
      <c r="B66" s="36">
        <v>46106</v>
      </c>
      <c r="C66" s="12">
        <f t="shared" si="5"/>
        <v>145</v>
      </c>
      <c r="D66" s="38">
        <f t="shared" si="6"/>
        <v>1</v>
      </c>
      <c r="E66" s="12" t="str">
        <f t="shared" si="7"/>
        <v>145</v>
      </c>
      <c r="G66" s="12" t="s">
        <v>19</v>
      </c>
      <c r="H66" s="12" t="s">
        <v>4300</v>
      </c>
      <c r="I66" s="12">
        <v>331</v>
      </c>
      <c r="J66" s="12">
        <v>1111</v>
      </c>
      <c r="K66" s="12" t="s">
        <v>20</v>
      </c>
      <c r="L66" s="12">
        <v>1</v>
      </c>
      <c r="M66" s="17">
        <v>20000</v>
      </c>
      <c r="N66" s="17">
        <f t="shared" si="8"/>
        <v>20000</v>
      </c>
      <c r="P66" s="12">
        <f t="shared" si="4"/>
        <v>180</v>
      </c>
    </row>
    <row r="67" spans="1:16" ht="15" hidden="1" customHeight="1" x14ac:dyDescent="0.2">
      <c r="A67" s="12" t="s">
        <v>18</v>
      </c>
      <c r="B67" s="36">
        <v>46024</v>
      </c>
      <c r="C67" s="12">
        <f t="shared" si="5"/>
        <v>146</v>
      </c>
      <c r="D67" s="38">
        <f t="shared" si="6"/>
        <v>1</v>
      </c>
      <c r="E67" s="12" t="str">
        <f t="shared" si="7"/>
        <v>146</v>
      </c>
      <c r="G67" s="12" t="s">
        <v>44</v>
      </c>
      <c r="H67" s="12" t="s">
        <v>2096</v>
      </c>
      <c r="I67" s="12">
        <v>64277</v>
      </c>
      <c r="J67" s="12">
        <v>331</v>
      </c>
      <c r="K67" s="12" t="s">
        <v>20</v>
      </c>
      <c r="L67" s="12">
        <v>1</v>
      </c>
      <c r="M67" s="17">
        <v>7826</v>
      </c>
      <c r="N67" s="17">
        <f t="shared" si="8"/>
        <v>7826</v>
      </c>
      <c r="P67" s="12">
        <f t="shared" si="4"/>
        <v>53</v>
      </c>
    </row>
    <row r="68" spans="1:16" ht="15" hidden="1" customHeight="1" x14ac:dyDescent="0.2">
      <c r="A68" s="12" t="s">
        <v>18</v>
      </c>
      <c r="B68" s="36">
        <v>46024</v>
      </c>
      <c r="C68" s="12">
        <f t="shared" ref="C68:C99" si="9">C67+D68</f>
        <v>146</v>
      </c>
      <c r="D68" s="38">
        <f t="shared" ref="D68:D99" si="10">IF(H68=H67,0,1)</f>
        <v>0</v>
      </c>
      <c r="E68" s="12" t="str">
        <f t="shared" ref="E68:E99" si="11">TEXT(C68,"000")</f>
        <v>146</v>
      </c>
      <c r="G68" s="12" t="s">
        <v>44</v>
      </c>
      <c r="H68" s="12" t="s">
        <v>2096</v>
      </c>
      <c r="I68" s="12">
        <v>1331</v>
      </c>
      <c r="J68" s="12">
        <v>331</v>
      </c>
      <c r="K68" s="12" t="s">
        <v>20</v>
      </c>
      <c r="L68" s="12">
        <v>1</v>
      </c>
      <c r="M68" s="17">
        <v>626</v>
      </c>
      <c r="N68" s="17">
        <f t="shared" ref="N68:N99" si="12">L68*M68</f>
        <v>626</v>
      </c>
      <c r="P68" s="12">
        <f t="shared" si="4"/>
        <v>53</v>
      </c>
    </row>
    <row r="69" spans="1:16" ht="15" hidden="1" customHeight="1" x14ac:dyDescent="0.2">
      <c r="A69" s="12" t="s">
        <v>18</v>
      </c>
      <c r="B69" s="36">
        <v>46028</v>
      </c>
      <c r="C69" s="12">
        <f t="shared" si="9"/>
        <v>147</v>
      </c>
      <c r="D69" s="38">
        <f t="shared" si="10"/>
        <v>1</v>
      </c>
      <c r="E69" s="12" t="str">
        <f t="shared" si="11"/>
        <v>147</v>
      </c>
      <c r="G69" s="12" t="s">
        <v>1883</v>
      </c>
      <c r="H69" s="12" t="s">
        <v>4342</v>
      </c>
      <c r="I69" s="12">
        <v>64277</v>
      </c>
      <c r="J69" s="12">
        <v>331</v>
      </c>
      <c r="K69" s="12" t="s">
        <v>20</v>
      </c>
      <c r="L69" s="12">
        <v>1</v>
      </c>
      <c r="M69" s="17">
        <v>786111</v>
      </c>
      <c r="N69" s="17">
        <f t="shared" si="12"/>
        <v>786111</v>
      </c>
      <c r="P69" s="12">
        <f t="shared" ref="P69:P132" si="13">LEN(H69)</f>
        <v>38</v>
      </c>
    </row>
    <row r="70" spans="1:16" ht="15" hidden="1" customHeight="1" x14ac:dyDescent="0.2">
      <c r="A70" s="12" t="s">
        <v>18</v>
      </c>
      <c r="B70" s="36">
        <v>46028</v>
      </c>
      <c r="C70" s="12">
        <f t="shared" si="9"/>
        <v>147</v>
      </c>
      <c r="D70" s="38">
        <f t="shared" si="10"/>
        <v>0</v>
      </c>
      <c r="E70" s="12" t="str">
        <f t="shared" si="11"/>
        <v>147</v>
      </c>
      <c r="G70" s="12" t="s">
        <v>1883</v>
      </c>
      <c r="H70" s="12" t="s">
        <v>4342</v>
      </c>
      <c r="I70" s="12">
        <v>1331</v>
      </c>
      <c r="J70" s="12">
        <v>331</v>
      </c>
      <c r="K70" s="12" t="s">
        <v>20</v>
      </c>
      <c r="L70" s="12">
        <v>1</v>
      </c>
      <c r="M70" s="17">
        <v>62889</v>
      </c>
      <c r="N70" s="17">
        <f t="shared" si="12"/>
        <v>62889</v>
      </c>
      <c r="P70" s="12">
        <f t="shared" si="13"/>
        <v>38</v>
      </c>
    </row>
    <row r="71" spans="1:16" ht="15" hidden="1" customHeight="1" x14ac:dyDescent="0.2">
      <c r="A71" s="12" t="s">
        <v>18</v>
      </c>
      <c r="B71" s="36">
        <v>46031</v>
      </c>
      <c r="C71" s="12">
        <f t="shared" si="9"/>
        <v>148</v>
      </c>
      <c r="D71" s="38">
        <f t="shared" si="10"/>
        <v>1</v>
      </c>
      <c r="E71" s="12" t="str">
        <f t="shared" si="11"/>
        <v>148</v>
      </c>
      <c r="G71" s="12" t="s">
        <v>2129</v>
      </c>
      <c r="H71" s="12" t="s">
        <v>2130</v>
      </c>
      <c r="I71" s="12">
        <v>131</v>
      </c>
      <c r="J71" s="12">
        <v>5113</v>
      </c>
      <c r="K71" s="12" t="s">
        <v>20</v>
      </c>
      <c r="L71" s="12">
        <v>1</v>
      </c>
      <c r="M71" s="17">
        <v>16666667</v>
      </c>
      <c r="N71" s="17">
        <f t="shared" si="12"/>
        <v>16666667</v>
      </c>
      <c r="P71" s="12">
        <f t="shared" si="13"/>
        <v>103</v>
      </c>
    </row>
    <row r="72" spans="1:16" ht="15" customHeight="1" x14ac:dyDescent="0.2">
      <c r="A72" s="12" t="s">
        <v>18</v>
      </c>
      <c r="B72" s="36">
        <v>46031</v>
      </c>
      <c r="C72" s="12">
        <f t="shared" si="9"/>
        <v>149</v>
      </c>
      <c r="D72" s="38">
        <f t="shared" si="10"/>
        <v>1</v>
      </c>
      <c r="E72" s="12" t="str">
        <f t="shared" si="11"/>
        <v>149</v>
      </c>
      <c r="G72" s="12" t="s">
        <v>2129</v>
      </c>
      <c r="H72" s="12" t="s">
        <v>4301</v>
      </c>
      <c r="I72" s="12">
        <v>333821</v>
      </c>
      <c r="J72" s="12">
        <v>131</v>
      </c>
      <c r="K72" s="12" t="s">
        <v>20</v>
      </c>
      <c r="L72" s="12">
        <v>1</v>
      </c>
      <c r="M72" s="17">
        <v>166667</v>
      </c>
      <c r="N72" s="17">
        <f t="shared" si="12"/>
        <v>166667</v>
      </c>
      <c r="P72" s="12">
        <f t="shared" si="13"/>
        <v>119</v>
      </c>
    </row>
    <row r="73" spans="1:16" ht="15" hidden="1" customHeight="1" x14ac:dyDescent="0.2">
      <c r="A73" s="12" t="s">
        <v>18</v>
      </c>
      <c r="B73" s="36">
        <v>46031</v>
      </c>
      <c r="C73" s="12">
        <f t="shared" si="9"/>
        <v>150</v>
      </c>
      <c r="D73" s="38">
        <f t="shared" si="10"/>
        <v>1</v>
      </c>
      <c r="E73" s="12" t="str">
        <f t="shared" si="11"/>
        <v>150</v>
      </c>
      <c r="G73" s="12" t="s">
        <v>35</v>
      </c>
      <c r="H73" s="12" t="s">
        <v>2097</v>
      </c>
      <c r="I73" s="12">
        <v>64277</v>
      </c>
      <c r="J73" s="12">
        <v>331</v>
      </c>
      <c r="K73" s="12" t="s">
        <v>20</v>
      </c>
      <c r="L73" s="12">
        <v>1</v>
      </c>
      <c r="M73" s="17">
        <v>3000000</v>
      </c>
      <c r="N73" s="17">
        <f t="shared" si="12"/>
        <v>3000000</v>
      </c>
      <c r="P73" s="12">
        <f t="shared" si="13"/>
        <v>41</v>
      </c>
    </row>
    <row r="74" spans="1:16" ht="15" hidden="1" customHeight="1" x14ac:dyDescent="0.2">
      <c r="A74" s="12" t="s">
        <v>18</v>
      </c>
      <c r="B74" s="36">
        <v>46031</v>
      </c>
      <c r="C74" s="12">
        <f t="shared" si="9"/>
        <v>150</v>
      </c>
      <c r="D74" s="38">
        <f t="shared" si="10"/>
        <v>0</v>
      </c>
      <c r="E74" s="12" t="str">
        <f t="shared" si="11"/>
        <v>150</v>
      </c>
      <c r="G74" s="12" t="s">
        <v>35</v>
      </c>
      <c r="H74" s="12" t="s">
        <v>2097</v>
      </c>
      <c r="I74" s="12">
        <v>1331</v>
      </c>
      <c r="J74" s="12">
        <v>331</v>
      </c>
      <c r="K74" s="12" t="s">
        <v>20</v>
      </c>
      <c r="L74" s="12">
        <v>1</v>
      </c>
      <c r="M74" s="17">
        <v>240000</v>
      </c>
      <c r="N74" s="17">
        <f t="shared" si="12"/>
        <v>240000</v>
      </c>
      <c r="P74" s="12">
        <f t="shared" si="13"/>
        <v>41</v>
      </c>
    </row>
    <row r="75" spans="1:16" ht="15" hidden="1" customHeight="1" x14ac:dyDescent="0.2">
      <c r="A75" s="12" t="s">
        <v>18</v>
      </c>
      <c r="B75" s="36">
        <v>46035</v>
      </c>
      <c r="C75" s="12">
        <f t="shared" si="9"/>
        <v>151</v>
      </c>
      <c r="D75" s="38">
        <f t="shared" si="10"/>
        <v>1</v>
      </c>
      <c r="E75" s="12" t="str">
        <f t="shared" si="11"/>
        <v>151</v>
      </c>
      <c r="G75" s="12" t="s">
        <v>2076</v>
      </c>
      <c r="H75" s="12" t="s">
        <v>2131</v>
      </c>
      <c r="I75" s="12">
        <v>131</v>
      </c>
      <c r="J75" s="12">
        <v>5113</v>
      </c>
      <c r="K75" s="12" t="s">
        <v>20</v>
      </c>
      <c r="L75" s="12">
        <v>1</v>
      </c>
      <c r="M75" s="17">
        <v>16666667</v>
      </c>
      <c r="N75" s="17">
        <f t="shared" si="12"/>
        <v>16666667</v>
      </c>
      <c r="P75" s="12">
        <f t="shared" si="13"/>
        <v>147</v>
      </c>
    </row>
    <row r="76" spans="1:16" ht="15" customHeight="1" x14ac:dyDescent="0.2">
      <c r="A76" s="12" t="s">
        <v>18</v>
      </c>
      <c r="B76" s="36">
        <v>46035</v>
      </c>
      <c r="C76" s="12">
        <f t="shared" si="9"/>
        <v>152</v>
      </c>
      <c r="D76" s="38">
        <f t="shared" si="10"/>
        <v>1</v>
      </c>
      <c r="E76" s="12" t="str">
        <f t="shared" si="11"/>
        <v>152</v>
      </c>
      <c r="G76" s="12" t="s">
        <v>2076</v>
      </c>
      <c r="H76" s="12" t="s">
        <v>4302</v>
      </c>
      <c r="I76" s="12">
        <v>333821</v>
      </c>
      <c r="J76" s="12">
        <v>131</v>
      </c>
      <c r="K76" s="12" t="s">
        <v>20</v>
      </c>
      <c r="L76" s="12">
        <v>1</v>
      </c>
      <c r="M76" s="17">
        <v>166667</v>
      </c>
      <c r="N76" s="17">
        <f t="shared" si="12"/>
        <v>166667</v>
      </c>
      <c r="P76" s="12">
        <f t="shared" si="13"/>
        <v>163</v>
      </c>
    </row>
    <row r="77" spans="1:16" ht="15" hidden="1" customHeight="1" x14ac:dyDescent="0.2">
      <c r="A77" s="12" t="s">
        <v>18</v>
      </c>
      <c r="B77" s="36">
        <v>46037</v>
      </c>
      <c r="C77" s="12">
        <f t="shared" si="9"/>
        <v>153</v>
      </c>
      <c r="D77" s="38">
        <f t="shared" si="10"/>
        <v>1</v>
      </c>
      <c r="E77" s="12" t="str">
        <f t="shared" si="11"/>
        <v>153</v>
      </c>
      <c r="G77" s="12" t="s">
        <v>104</v>
      </c>
      <c r="H77" s="12" t="s">
        <v>2098</v>
      </c>
      <c r="I77" s="12">
        <v>64277</v>
      </c>
      <c r="J77" s="12">
        <v>331</v>
      </c>
      <c r="K77" s="12" t="s">
        <v>20</v>
      </c>
      <c r="L77" s="12">
        <v>1</v>
      </c>
      <c r="M77" s="17">
        <v>333091</v>
      </c>
      <c r="N77" s="17">
        <f t="shared" si="12"/>
        <v>333091</v>
      </c>
      <c r="P77" s="12">
        <f t="shared" si="13"/>
        <v>13</v>
      </c>
    </row>
    <row r="78" spans="1:16" ht="15" hidden="1" customHeight="1" x14ac:dyDescent="0.2">
      <c r="A78" s="12" t="s">
        <v>18</v>
      </c>
      <c r="B78" s="36">
        <v>46037</v>
      </c>
      <c r="C78" s="12">
        <f t="shared" si="9"/>
        <v>153</v>
      </c>
      <c r="D78" s="38">
        <f t="shared" si="10"/>
        <v>0</v>
      </c>
      <c r="E78" s="12" t="str">
        <f t="shared" si="11"/>
        <v>153</v>
      </c>
      <c r="G78" s="12" t="s">
        <v>104</v>
      </c>
      <c r="H78" s="12" t="s">
        <v>2098</v>
      </c>
      <c r="I78" s="12">
        <v>1331</v>
      </c>
      <c r="J78" s="12">
        <v>331</v>
      </c>
      <c r="K78" s="12" t="s">
        <v>20</v>
      </c>
      <c r="L78" s="12">
        <v>1</v>
      </c>
      <c r="M78" s="17">
        <v>31909</v>
      </c>
      <c r="N78" s="17">
        <f t="shared" si="12"/>
        <v>31909</v>
      </c>
      <c r="P78" s="12">
        <f t="shared" si="13"/>
        <v>13</v>
      </c>
    </row>
    <row r="79" spans="1:16" ht="15" hidden="1" customHeight="1" x14ac:dyDescent="0.2">
      <c r="A79" s="12" t="s">
        <v>18</v>
      </c>
      <c r="B79" s="36">
        <v>46040</v>
      </c>
      <c r="C79" s="12">
        <f t="shared" si="9"/>
        <v>154</v>
      </c>
      <c r="D79" s="38">
        <f t="shared" si="10"/>
        <v>1</v>
      </c>
      <c r="E79" s="12" t="str">
        <f t="shared" si="11"/>
        <v>154</v>
      </c>
      <c r="G79" s="12" t="s">
        <v>2099</v>
      </c>
      <c r="H79" s="12" t="s">
        <v>2100</v>
      </c>
      <c r="I79" s="12">
        <v>64277</v>
      </c>
      <c r="J79" s="12">
        <v>331</v>
      </c>
      <c r="K79" s="12" t="s">
        <v>20</v>
      </c>
      <c r="L79" s="12">
        <v>1</v>
      </c>
      <c r="M79" s="17">
        <v>66667</v>
      </c>
      <c r="N79" s="17">
        <f t="shared" si="12"/>
        <v>66667</v>
      </c>
      <c r="P79" s="12">
        <f t="shared" si="13"/>
        <v>31</v>
      </c>
    </row>
    <row r="80" spans="1:16" ht="15" hidden="1" customHeight="1" x14ac:dyDescent="0.2">
      <c r="A80" s="12" t="s">
        <v>18</v>
      </c>
      <c r="B80" s="36">
        <v>46040</v>
      </c>
      <c r="C80" s="12">
        <f t="shared" si="9"/>
        <v>154</v>
      </c>
      <c r="D80" s="38">
        <f t="shared" si="10"/>
        <v>0</v>
      </c>
      <c r="E80" s="12" t="str">
        <f t="shared" si="11"/>
        <v>154</v>
      </c>
      <c r="G80" s="12" t="s">
        <v>2099</v>
      </c>
      <c r="H80" s="12" t="s">
        <v>2100</v>
      </c>
      <c r="I80" s="12">
        <v>1331</v>
      </c>
      <c r="J80" s="12">
        <v>331</v>
      </c>
      <c r="K80" s="12" t="s">
        <v>20</v>
      </c>
      <c r="L80" s="12">
        <v>1</v>
      </c>
      <c r="M80" s="17">
        <v>3333</v>
      </c>
      <c r="N80" s="17">
        <f t="shared" si="12"/>
        <v>3333</v>
      </c>
      <c r="P80" s="12">
        <f t="shared" si="13"/>
        <v>31</v>
      </c>
    </row>
    <row r="81" spans="1:16" ht="15" hidden="1" customHeight="1" x14ac:dyDescent="0.2">
      <c r="A81" s="12" t="s">
        <v>18</v>
      </c>
      <c r="B81" s="36">
        <v>46040</v>
      </c>
      <c r="C81" s="12">
        <f t="shared" si="9"/>
        <v>155</v>
      </c>
      <c r="D81" s="38">
        <f t="shared" si="10"/>
        <v>1</v>
      </c>
      <c r="E81" s="12" t="str">
        <f t="shared" si="11"/>
        <v>155</v>
      </c>
      <c r="G81" s="12" t="s">
        <v>2099</v>
      </c>
      <c r="H81" s="12" t="s">
        <v>4343</v>
      </c>
      <c r="I81" s="12">
        <v>64277</v>
      </c>
      <c r="J81" s="12">
        <v>331</v>
      </c>
      <c r="K81" s="12" t="s">
        <v>20</v>
      </c>
      <c r="L81" s="12">
        <v>1</v>
      </c>
      <c r="M81" s="17">
        <v>1600926</v>
      </c>
      <c r="N81" s="17">
        <f t="shared" si="12"/>
        <v>1600926</v>
      </c>
      <c r="P81" s="12">
        <f t="shared" si="13"/>
        <v>40</v>
      </c>
    </row>
    <row r="82" spans="1:16" ht="15" hidden="1" customHeight="1" x14ac:dyDescent="0.2">
      <c r="A82" s="12" t="s">
        <v>18</v>
      </c>
      <c r="B82" s="36">
        <v>46040</v>
      </c>
      <c r="C82" s="12">
        <f t="shared" si="9"/>
        <v>155</v>
      </c>
      <c r="D82" s="38">
        <f t="shared" si="10"/>
        <v>0</v>
      </c>
      <c r="E82" s="12" t="str">
        <f t="shared" si="11"/>
        <v>155</v>
      </c>
      <c r="G82" s="12" t="s">
        <v>2099</v>
      </c>
      <c r="H82" s="12" t="s">
        <v>4343</v>
      </c>
      <c r="I82" s="12">
        <v>1331</v>
      </c>
      <c r="J82" s="12">
        <v>331</v>
      </c>
      <c r="K82" s="12" t="s">
        <v>20</v>
      </c>
      <c r="L82" s="12">
        <v>1</v>
      </c>
      <c r="M82" s="17">
        <v>128074</v>
      </c>
      <c r="N82" s="17">
        <f t="shared" si="12"/>
        <v>128074</v>
      </c>
      <c r="P82" s="12">
        <f t="shared" si="13"/>
        <v>40</v>
      </c>
    </row>
    <row r="83" spans="1:16" ht="15" hidden="1" customHeight="1" x14ac:dyDescent="0.2">
      <c r="A83" s="12" t="s">
        <v>18</v>
      </c>
      <c r="B83" s="36">
        <v>46042</v>
      </c>
      <c r="C83" s="12">
        <f t="shared" si="9"/>
        <v>156</v>
      </c>
      <c r="D83" s="38">
        <f t="shared" si="10"/>
        <v>1</v>
      </c>
      <c r="E83" s="12" t="str">
        <f t="shared" si="11"/>
        <v>156</v>
      </c>
      <c r="G83" s="12" t="s">
        <v>252</v>
      </c>
      <c r="H83" s="12" t="s">
        <v>4344</v>
      </c>
      <c r="I83" s="12">
        <v>131</v>
      </c>
      <c r="J83" s="12">
        <v>5113</v>
      </c>
      <c r="K83" s="12" t="s">
        <v>20</v>
      </c>
      <c r="L83" s="12">
        <v>1</v>
      </c>
      <c r="M83" s="17">
        <v>11111111</v>
      </c>
      <c r="N83" s="17">
        <f t="shared" si="12"/>
        <v>11111111</v>
      </c>
      <c r="P83" s="12">
        <f t="shared" si="13"/>
        <v>121</v>
      </c>
    </row>
    <row r="84" spans="1:16" ht="15" hidden="1" customHeight="1" x14ac:dyDescent="0.2">
      <c r="A84" s="12" t="s">
        <v>18</v>
      </c>
      <c r="B84" s="36">
        <v>46042</v>
      </c>
      <c r="C84" s="12">
        <f t="shared" si="9"/>
        <v>157</v>
      </c>
      <c r="D84" s="38">
        <f t="shared" si="10"/>
        <v>1</v>
      </c>
      <c r="E84" s="12" t="str">
        <f t="shared" si="11"/>
        <v>157</v>
      </c>
      <c r="G84" s="12" t="s">
        <v>98</v>
      </c>
      <c r="H84" s="12" t="s">
        <v>2132</v>
      </c>
      <c r="I84" s="12">
        <v>131</v>
      </c>
      <c r="J84" s="12">
        <v>5113</v>
      </c>
      <c r="K84" s="12" t="s">
        <v>20</v>
      </c>
      <c r="L84" s="12">
        <v>1</v>
      </c>
      <c r="M84" s="17">
        <v>16666667</v>
      </c>
      <c r="N84" s="17">
        <f t="shared" si="12"/>
        <v>16666667</v>
      </c>
      <c r="P84" s="12">
        <f t="shared" si="13"/>
        <v>157</v>
      </c>
    </row>
    <row r="85" spans="1:16" ht="15" customHeight="1" x14ac:dyDescent="0.2">
      <c r="A85" s="12" t="s">
        <v>18</v>
      </c>
      <c r="B85" s="36">
        <v>46042</v>
      </c>
      <c r="C85" s="12">
        <f t="shared" si="9"/>
        <v>158</v>
      </c>
      <c r="D85" s="38">
        <f t="shared" si="10"/>
        <v>1</v>
      </c>
      <c r="E85" s="12" t="str">
        <f t="shared" si="11"/>
        <v>158</v>
      </c>
      <c r="G85" s="12" t="s">
        <v>252</v>
      </c>
      <c r="H85" s="12" t="s">
        <v>4345</v>
      </c>
      <c r="I85" s="12">
        <v>333821</v>
      </c>
      <c r="J85" s="12">
        <v>131</v>
      </c>
      <c r="K85" s="12" t="s">
        <v>20</v>
      </c>
      <c r="L85" s="12">
        <v>1</v>
      </c>
      <c r="M85" s="17">
        <v>111111</v>
      </c>
      <c r="N85" s="17">
        <f t="shared" si="12"/>
        <v>111111</v>
      </c>
      <c r="P85" s="12">
        <f t="shared" si="13"/>
        <v>137</v>
      </c>
    </row>
    <row r="86" spans="1:16" ht="15" customHeight="1" x14ac:dyDescent="0.2">
      <c r="A86" s="12" t="s">
        <v>18</v>
      </c>
      <c r="B86" s="36">
        <v>46042</v>
      </c>
      <c r="C86" s="12">
        <f t="shared" si="9"/>
        <v>159</v>
      </c>
      <c r="D86" s="38">
        <f t="shared" si="10"/>
        <v>1</v>
      </c>
      <c r="E86" s="12" t="str">
        <f t="shared" si="11"/>
        <v>159</v>
      </c>
      <c r="G86" s="12" t="s">
        <v>98</v>
      </c>
      <c r="H86" s="12" t="s">
        <v>4303</v>
      </c>
      <c r="I86" s="12">
        <v>333821</v>
      </c>
      <c r="J86" s="12">
        <v>131</v>
      </c>
      <c r="K86" s="12" t="s">
        <v>20</v>
      </c>
      <c r="L86" s="12">
        <v>1</v>
      </c>
      <c r="M86" s="17">
        <v>166667</v>
      </c>
      <c r="N86" s="17">
        <f t="shared" si="12"/>
        <v>166667</v>
      </c>
      <c r="P86" s="12">
        <f t="shared" si="13"/>
        <v>173</v>
      </c>
    </row>
    <row r="87" spans="1:16" ht="15" hidden="1" customHeight="1" x14ac:dyDescent="0.2">
      <c r="A87" s="12" t="s">
        <v>18</v>
      </c>
      <c r="B87" s="36">
        <v>46045</v>
      </c>
      <c r="C87" s="12">
        <f t="shared" si="9"/>
        <v>160</v>
      </c>
      <c r="D87" s="38">
        <f t="shared" si="10"/>
        <v>1</v>
      </c>
      <c r="E87" s="12" t="str">
        <f t="shared" si="11"/>
        <v>160</v>
      </c>
      <c r="G87" s="12" t="s">
        <v>19</v>
      </c>
      <c r="H87" s="12" t="s">
        <v>2107</v>
      </c>
      <c r="I87" s="12">
        <v>64277</v>
      </c>
      <c r="J87" s="12">
        <v>331</v>
      </c>
      <c r="K87" s="12" t="s">
        <v>20</v>
      </c>
      <c r="L87" s="12">
        <v>1</v>
      </c>
      <c r="M87" s="17">
        <v>94000</v>
      </c>
      <c r="N87" s="17">
        <f t="shared" si="12"/>
        <v>94000</v>
      </c>
      <c r="P87" s="12">
        <f t="shared" si="13"/>
        <v>125</v>
      </c>
    </row>
    <row r="88" spans="1:16" ht="15" hidden="1" customHeight="1" x14ac:dyDescent="0.2">
      <c r="A88" s="12" t="s">
        <v>18</v>
      </c>
      <c r="B88" s="36">
        <v>46045</v>
      </c>
      <c r="C88" s="12">
        <f t="shared" si="9"/>
        <v>160</v>
      </c>
      <c r="D88" s="38">
        <f t="shared" si="10"/>
        <v>0</v>
      </c>
      <c r="E88" s="12" t="str">
        <f t="shared" si="11"/>
        <v>160</v>
      </c>
      <c r="G88" s="12" t="s">
        <v>19</v>
      </c>
      <c r="H88" s="12" t="s">
        <v>2107</v>
      </c>
      <c r="I88" s="12">
        <v>1331</v>
      </c>
      <c r="J88" s="12">
        <v>331</v>
      </c>
      <c r="K88" s="12" t="s">
        <v>20</v>
      </c>
      <c r="L88" s="12">
        <v>1</v>
      </c>
      <c r="M88" s="17">
        <v>6963</v>
      </c>
      <c r="N88" s="17">
        <f t="shared" si="12"/>
        <v>6963</v>
      </c>
      <c r="P88" s="12">
        <f t="shared" si="13"/>
        <v>125</v>
      </c>
    </row>
    <row r="89" spans="1:16" ht="15" hidden="1" customHeight="1" x14ac:dyDescent="0.2">
      <c r="A89" s="12" t="s">
        <v>18</v>
      </c>
      <c r="B89" s="36">
        <v>46045</v>
      </c>
      <c r="C89" s="12">
        <f t="shared" si="9"/>
        <v>161</v>
      </c>
      <c r="D89" s="38">
        <f t="shared" si="10"/>
        <v>1</v>
      </c>
      <c r="E89" s="12" t="str">
        <f t="shared" si="11"/>
        <v>161</v>
      </c>
      <c r="G89" s="12" t="s">
        <v>24</v>
      </c>
      <c r="H89" s="12" t="s">
        <v>2103</v>
      </c>
      <c r="I89" s="12">
        <v>64277</v>
      </c>
      <c r="J89" s="12">
        <v>331</v>
      </c>
      <c r="K89" s="12" t="s">
        <v>20</v>
      </c>
      <c r="L89" s="12">
        <v>1</v>
      </c>
      <c r="M89" s="17">
        <v>49000</v>
      </c>
      <c r="N89" s="17">
        <f t="shared" si="12"/>
        <v>49000</v>
      </c>
      <c r="P89" s="12">
        <f t="shared" si="13"/>
        <v>168</v>
      </c>
    </row>
    <row r="90" spans="1:16" ht="15" hidden="1" customHeight="1" x14ac:dyDescent="0.2">
      <c r="A90" s="12" t="s">
        <v>18</v>
      </c>
      <c r="B90" s="36">
        <v>46045</v>
      </c>
      <c r="C90" s="12">
        <f t="shared" si="9"/>
        <v>161</v>
      </c>
      <c r="D90" s="38">
        <f t="shared" si="10"/>
        <v>0</v>
      </c>
      <c r="E90" s="12" t="str">
        <f t="shared" si="11"/>
        <v>161</v>
      </c>
      <c r="G90" s="12" t="s">
        <v>24</v>
      </c>
      <c r="H90" s="12" t="s">
        <v>2103</v>
      </c>
      <c r="I90" s="12">
        <v>1331</v>
      </c>
      <c r="J90" s="12">
        <v>331</v>
      </c>
      <c r="K90" s="12" t="s">
        <v>20</v>
      </c>
      <c r="L90" s="12">
        <v>1</v>
      </c>
      <c r="M90" s="17">
        <v>3394</v>
      </c>
      <c r="N90" s="17">
        <f t="shared" si="12"/>
        <v>3394</v>
      </c>
      <c r="P90" s="12">
        <f t="shared" si="13"/>
        <v>168</v>
      </c>
    </row>
    <row r="91" spans="1:16" ht="15" hidden="1" customHeight="1" x14ac:dyDescent="0.2">
      <c r="A91" s="12" t="s">
        <v>18</v>
      </c>
      <c r="B91" s="36">
        <v>46045</v>
      </c>
      <c r="C91" s="12">
        <f t="shared" si="9"/>
        <v>162</v>
      </c>
      <c r="D91" s="38">
        <f t="shared" si="10"/>
        <v>1</v>
      </c>
      <c r="E91" s="12" t="str">
        <f t="shared" si="11"/>
        <v>162</v>
      </c>
      <c r="G91" s="12" t="s">
        <v>19</v>
      </c>
      <c r="H91" s="12" t="s">
        <v>2106</v>
      </c>
      <c r="I91" s="12">
        <v>64277</v>
      </c>
      <c r="J91" s="12">
        <v>331</v>
      </c>
      <c r="K91" s="12" t="s">
        <v>20</v>
      </c>
      <c r="L91" s="12">
        <v>1</v>
      </c>
      <c r="M91" s="17">
        <v>48000</v>
      </c>
      <c r="N91" s="17">
        <f t="shared" si="12"/>
        <v>48000</v>
      </c>
      <c r="P91" s="12">
        <f t="shared" si="13"/>
        <v>125</v>
      </c>
    </row>
    <row r="92" spans="1:16" ht="15" hidden="1" customHeight="1" x14ac:dyDescent="0.2">
      <c r="A92" s="12" t="s">
        <v>18</v>
      </c>
      <c r="B92" s="36">
        <v>46045</v>
      </c>
      <c r="C92" s="12">
        <f t="shared" si="9"/>
        <v>162</v>
      </c>
      <c r="D92" s="38">
        <f t="shared" si="10"/>
        <v>0</v>
      </c>
      <c r="E92" s="12" t="str">
        <f t="shared" si="11"/>
        <v>162</v>
      </c>
      <c r="G92" s="12" t="s">
        <v>19</v>
      </c>
      <c r="H92" s="12" t="s">
        <v>2106</v>
      </c>
      <c r="I92" s="12">
        <v>1331</v>
      </c>
      <c r="J92" s="12">
        <v>331</v>
      </c>
      <c r="K92" s="12" t="s">
        <v>20</v>
      </c>
      <c r="L92" s="12">
        <v>1</v>
      </c>
      <c r="M92" s="17">
        <v>3555</v>
      </c>
      <c r="N92" s="17">
        <f t="shared" si="12"/>
        <v>3555</v>
      </c>
      <c r="P92" s="12">
        <f t="shared" si="13"/>
        <v>125</v>
      </c>
    </row>
    <row r="93" spans="1:16" ht="15" hidden="1" customHeight="1" x14ac:dyDescent="0.2">
      <c r="A93" s="12" t="s">
        <v>18</v>
      </c>
      <c r="B93" s="36">
        <v>46045</v>
      </c>
      <c r="C93" s="12">
        <f t="shared" si="9"/>
        <v>163</v>
      </c>
      <c r="D93" s="38">
        <f t="shared" si="10"/>
        <v>1</v>
      </c>
      <c r="E93" s="12" t="str">
        <f t="shared" si="11"/>
        <v>163</v>
      </c>
      <c r="G93" s="12" t="s">
        <v>24</v>
      </c>
      <c r="H93" s="12" t="s">
        <v>2102</v>
      </c>
      <c r="I93" s="12">
        <v>64277</v>
      </c>
      <c r="J93" s="12">
        <v>331</v>
      </c>
      <c r="K93" s="12" t="s">
        <v>20</v>
      </c>
      <c r="L93" s="12">
        <v>1</v>
      </c>
      <c r="M93" s="17">
        <v>16000</v>
      </c>
      <c r="N93" s="17">
        <f t="shared" si="12"/>
        <v>16000</v>
      </c>
      <c r="P93" s="12">
        <f t="shared" si="13"/>
        <v>168</v>
      </c>
    </row>
    <row r="94" spans="1:16" ht="15" hidden="1" customHeight="1" x14ac:dyDescent="0.2">
      <c r="A94" s="12" t="s">
        <v>18</v>
      </c>
      <c r="B94" s="36">
        <v>46045</v>
      </c>
      <c r="C94" s="12">
        <f t="shared" si="9"/>
        <v>163</v>
      </c>
      <c r="D94" s="38">
        <f t="shared" si="10"/>
        <v>0</v>
      </c>
      <c r="E94" s="12" t="str">
        <f t="shared" si="11"/>
        <v>163</v>
      </c>
      <c r="G94" s="12" t="s">
        <v>24</v>
      </c>
      <c r="H94" s="12" t="s">
        <v>2102</v>
      </c>
      <c r="I94" s="12">
        <v>1331</v>
      </c>
      <c r="J94" s="12">
        <v>331</v>
      </c>
      <c r="K94" s="12" t="s">
        <v>20</v>
      </c>
      <c r="L94" s="12">
        <v>1</v>
      </c>
      <c r="M94" s="17">
        <v>1096</v>
      </c>
      <c r="N94" s="17">
        <f t="shared" si="12"/>
        <v>1096</v>
      </c>
      <c r="P94" s="12">
        <f t="shared" si="13"/>
        <v>168</v>
      </c>
    </row>
    <row r="95" spans="1:16" ht="15" hidden="1" customHeight="1" x14ac:dyDescent="0.2">
      <c r="A95" s="12" t="s">
        <v>18</v>
      </c>
      <c r="B95" s="36">
        <v>46045</v>
      </c>
      <c r="C95" s="12">
        <f t="shared" si="9"/>
        <v>164</v>
      </c>
      <c r="D95" s="38">
        <f t="shared" si="10"/>
        <v>1</v>
      </c>
      <c r="E95" s="12" t="str">
        <f t="shared" si="11"/>
        <v>164</v>
      </c>
      <c r="G95" s="12" t="s">
        <v>24</v>
      </c>
      <c r="H95" s="12" t="s">
        <v>2101</v>
      </c>
      <c r="I95" s="12">
        <v>64277</v>
      </c>
      <c r="J95" s="12">
        <v>331</v>
      </c>
      <c r="K95" s="12" t="s">
        <v>20</v>
      </c>
      <c r="L95" s="12">
        <v>1</v>
      </c>
      <c r="M95" s="17">
        <v>15000</v>
      </c>
      <c r="N95" s="17">
        <f t="shared" si="12"/>
        <v>15000</v>
      </c>
      <c r="P95" s="12">
        <f t="shared" si="13"/>
        <v>168</v>
      </c>
    </row>
    <row r="96" spans="1:16" ht="15" hidden="1" customHeight="1" x14ac:dyDescent="0.2">
      <c r="A96" s="12" t="s">
        <v>18</v>
      </c>
      <c r="B96" s="36">
        <v>46045</v>
      </c>
      <c r="C96" s="12">
        <f t="shared" si="9"/>
        <v>164</v>
      </c>
      <c r="D96" s="38">
        <f t="shared" si="10"/>
        <v>0</v>
      </c>
      <c r="E96" s="12" t="str">
        <f t="shared" si="11"/>
        <v>164</v>
      </c>
      <c r="G96" s="12" t="s">
        <v>24</v>
      </c>
      <c r="H96" s="12" t="s">
        <v>2101</v>
      </c>
      <c r="I96" s="12">
        <v>1331</v>
      </c>
      <c r="J96" s="12">
        <v>331</v>
      </c>
      <c r="K96" s="12" t="s">
        <v>20</v>
      </c>
      <c r="L96" s="12">
        <v>1</v>
      </c>
      <c r="M96" s="17">
        <v>1027</v>
      </c>
      <c r="N96" s="17">
        <f t="shared" si="12"/>
        <v>1027</v>
      </c>
      <c r="P96" s="12">
        <f t="shared" si="13"/>
        <v>168</v>
      </c>
    </row>
    <row r="97" spans="1:16" ht="15" hidden="1" customHeight="1" x14ac:dyDescent="0.2">
      <c r="A97" s="12" t="s">
        <v>18</v>
      </c>
      <c r="B97" s="36">
        <v>46045</v>
      </c>
      <c r="C97" s="12">
        <f t="shared" si="9"/>
        <v>165</v>
      </c>
      <c r="D97" s="38">
        <f t="shared" si="10"/>
        <v>1</v>
      </c>
      <c r="E97" s="12" t="str">
        <f t="shared" si="11"/>
        <v>165</v>
      </c>
      <c r="G97" s="12" t="s">
        <v>19</v>
      </c>
      <c r="H97" s="12" t="s">
        <v>2105</v>
      </c>
      <c r="I97" s="12">
        <v>64277</v>
      </c>
      <c r="J97" s="12">
        <v>331</v>
      </c>
      <c r="K97" s="12" t="s">
        <v>20</v>
      </c>
      <c r="L97" s="12">
        <v>1</v>
      </c>
      <c r="M97" s="17">
        <v>77000</v>
      </c>
      <c r="N97" s="17">
        <f t="shared" si="12"/>
        <v>77000</v>
      </c>
      <c r="P97" s="12">
        <f t="shared" si="13"/>
        <v>125</v>
      </c>
    </row>
    <row r="98" spans="1:16" ht="15" hidden="1" customHeight="1" x14ac:dyDescent="0.2">
      <c r="A98" s="12" t="s">
        <v>18</v>
      </c>
      <c r="B98" s="36">
        <v>46045</v>
      </c>
      <c r="C98" s="12">
        <f t="shared" si="9"/>
        <v>165</v>
      </c>
      <c r="D98" s="38">
        <f t="shared" si="10"/>
        <v>0</v>
      </c>
      <c r="E98" s="12" t="str">
        <f t="shared" si="11"/>
        <v>165</v>
      </c>
      <c r="G98" s="12" t="s">
        <v>19</v>
      </c>
      <c r="H98" s="12" t="s">
        <v>2105</v>
      </c>
      <c r="I98" s="12">
        <v>1331</v>
      </c>
      <c r="J98" s="12">
        <v>331</v>
      </c>
      <c r="K98" s="12" t="s">
        <v>20</v>
      </c>
      <c r="L98" s="12">
        <v>1</v>
      </c>
      <c r="M98" s="17">
        <v>5704</v>
      </c>
      <c r="N98" s="17">
        <f t="shared" si="12"/>
        <v>5704</v>
      </c>
      <c r="P98" s="12">
        <f t="shared" si="13"/>
        <v>125</v>
      </c>
    </row>
    <row r="99" spans="1:16" ht="15" hidden="1" customHeight="1" x14ac:dyDescent="0.2">
      <c r="A99" s="12" t="s">
        <v>18</v>
      </c>
      <c r="B99" s="36">
        <v>46045</v>
      </c>
      <c r="C99" s="12">
        <f t="shared" si="9"/>
        <v>166</v>
      </c>
      <c r="D99" s="38">
        <f t="shared" si="10"/>
        <v>1</v>
      </c>
      <c r="E99" s="12" t="str">
        <f t="shared" si="11"/>
        <v>166</v>
      </c>
      <c r="G99" s="12" t="s">
        <v>19</v>
      </c>
      <c r="H99" s="12" t="s">
        <v>2104</v>
      </c>
      <c r="I99" s="12">
        <v>64277</v>
      </c>
      <c r="J99" s="12">
        <v>331</v>
      </c>
      <c r="K99" s="12" t="s">
        <v>20</v>
      </c>
      <c r="L99" s="12">
        <v>1</v>
      </c>
      <c r="M99" s="17">
        <v>60000</v>
      </c>
      <c r="N99" s="17">
        <f t="shared" si="12"/>
        <v>60000</v>
      </c>
      <c r="P99" s="12">
        <f t="shared" si="13"/>
        <v>125</v>
      </c>
    </row>
    <row r="100" spans="1:16" ht="15" hidden="1" customHeight="1" x14ac:dyDescent="0.2">
      <c r="A100" s="12" t="s">
        <v>18</v>
      </c>
      <c r="B100" s="36">
        <v>46045</v>
      </c>
      <c r="C100" s="12">
        <f t="shared" ref="C100:C131" si="14">C99+D100</f>
        <v>166</v>
      </c>
      <c r="D100" s="38">
        <f t="shared" ref="D100:D131" si="15">IF(H100=H99,0,1)</f>
        <v>0</v>
      </c>
      <c r="E100" s="12" t="str">
        <f t="shared" ref="E100:E131" si="16">TEXT(C100,"000")</f>
        <v>166</v>
      </c>
      <c r="G100" s="12" t="s">
        <v>19</v>
      </c>
      <c r="H100" s="12" t="s">
        <v>2104</v>
      </c>
      <c r="I100" s="12">
        <v>1331</v>
      </c>
      <c r="J100" s="12">
        <v>331</v>
      </c>
      <c r="K100" s="12" t="s">
        <v>20</v>
      </c>
      <c r="L100" s="12">
        <v>1</v>
      </c>
      <c r="M100" s="17">
        <v>4444</v>
      </c>
      <c r="N100" s="17">
        <f t="shared" ref="N100:N131" si="17">L100*M100</f>
        <v>4444</v>
      </c>
      <c r="P100" s="12">
        <f t="shared" si="13"/>
        <v>125</v>
      </c>
    </row>
    <row r="101" spans="1:16" ht="15" hidden="1" customHeight="1" x14ac:dyDescent="0.2">
      <c r="A101" s="12" t="s">
        <v>18</v>
      </c>
      <c r="B101" s="36">
        <v>46045</v>
      </c>
      <c r="C101" s="12">
        <f t="shared" si="14"/>
        <v>167</v>
      </c>
      <c r="D101" s="38">
        <f t="shared" si="15"/>
        <v>1</v>
      </c>
      <c r="E101" s="12" t="str">
        <f t="shared" si="16"/>
        <v>167</v>
      </c>
      <c r="G101" s="12" t="s">
        <v>2133</v>
      </c>
      <c r="H101" s="12" t="s">
        <v>2134</v>
      </c>
      <c r="I101" s="12">
        <v>131</v>
      </c>
      <c r="J101" s="12">
        <v>5113</v>
      </c>
      <c r="K101" s="12" t="s">
        <v>20</v>
      </c>
      <c r="L101" s="12">
        <v>1</v>
      </c>
      <c r="M101" s="17">
        <v>13333333</v>
      </c>
      <c r="N101" s="17">
        <f t="shared" si="17"/>
        <v>13333333</v>
      </c>
      <c r="P101" s="12">
        <f t="shared" si="13"/>
        <v>166</v>
      </c>
    </row>
    <row r="102" spans="1:16" ht="15" customHeight="1" x14ac:dyDescent="0.2">
      <c r="A102" s="12" t="s">
        <v>18</v>
      </c>
      <c r="B102" s="36">
        <v>46045</v>
      </c>
      <c r="C102" s="12">
        <f t="shared" si="14"/>
        <v>168</v>
      </c>
      <c r="D102" s="38">
        <f t="shared" si="15"/>
        <v>1</v>
      </c>
      <c r="E102" s="12" t="str">
        <f t="shared" si="16"/>
        <v>168</v>
      </c>
      <c r="G102" s="12" t="s">
        <v>2133</v>
      </c>
      <c r="H102" s="12" t="s">
        <v>4304</v>
      </c>
      <c r="I102" s="12">
        <v>333821</v>
      </c>
      <c r="J102" s="12">
        <v>131</v>
      </c>
      <c r="K102" s="12" t="s">
        <v>20</v>
      </c>
      <c r="L102" s="12">
        <v>1</v>
      </c>
      <c r="M102" s="17">
        <v>133333</v>
      </c>
      <c r="N102" s="17">
        <f t="shared" si="17"/>
        <v>133333</v>
      </c>
      <c r="P102" s="12">
        <f t="shared" si="13"/>
        <v>182</v>
      </c>
    </row>
    <row r="103" spans="1:16" ht="15" hidden="1" customHeight="1" x14ac:dyDescent="0.2">
      <c r="A103" s="12" t="s">
        <v>18</v>
      </c>
      <c r="B103" s="36">
        <v>46046</v>
      </c>
      <c r="C103" s="12">
        <f t="shared" si="14"/>
        <v>169</v>
      </c>
      <c r="D103" s="38">
        <f t="shared" si="15"/>
        <v>1</v>
      </c>
      <c r="E103" s="12" t="str">
        <f t="shared" si="16"/>
        <v>169</v>
      </c>
      <c r="G103" s="12" t="s">
        <v>2108</v>
      </c>
      <c r="H103" s="12" t="s">
        <v>2109</v>
      </c>
      <c r="I103" s="12">
        <v>64277</v>
      </c>
      <c r="J103" s="12">
        <v>331</v>
      </c>
      <c r="K103" s="12" t="s">
        <v>20</v>
      </c>
      <c r="L103" s="12">
        <v>1</v>
      </c>
      <c r="M103" s="17">
        <v>44000</v>
      </c>
      <c r="N103" s="17">
        <f t="shared" si="17"/>
        <v>44000</v>
      </c>
      <c r="P103" s="12">
        <f t="shared" si="13"/>
        <v>124</v>
      </c>
    </row>
    <row r="104" spans="1:16" ht="15" hidden="1" customHeight="1" x14ac:dyDescent="0.2">
      <c r="A104" s="12" t="s">
        <v>18</v>
      </c>
      <c r="B104" s="36">
        <v>46046</v>
      </c>
      <c r="C104" s="12">
        <f t="shared" si="14"/>
        <v>169</v>
      </c>
      <c r="D104" s="38">
        <f t="shared" si="15"/>
        <v>0</v>
      </c>
      <c r="E104" s="12" t="str">
        <f t="shared" si="16"/>
        <v>169</v>
      </c>
      <c r="G104" s="12" t="s">
        <v>2108</v>
      </c>
      <c r="H104" s="12" t="s">
        <v>2109</v>
      </c>
      <c r="I104" s="12">
        <v>1331</v>
      </c>
      <c r="J104" s="12">
        <v>331</v>
      </c>
      <c r="K104" s="12" t="s">
        <v>20</v>
      </c>
      <c r="L104" s="12">
        <v>1</v>
      </c>
      <c r="M104" s="17">
        <v>3259</v>
      </c>
      <c r="N104" s="17">
        <f t="shared" si="17"/>
        <v>3259</v>
      </c>
      <c r="P104" s="12">
        <f t="shared" si="13"/>
        <v>124</v>
      </c>
    </row>
    <row r="105" spans="1:16" ht="15" hidden="1" customHeight="1" x14ac:dyDescent="0.2">
      <c r="A105" s="12" t="s">
        <v>18</v>
      </c>
      <c r="B105" s="36">
        <v>46048</v>
      </c>
      <c r="C105" s="12">
        <f t="shared" si="14"/>
        <v>170</v>
      </c>
      <c r="D105" s="38">
        <f t="shared" si="15"/>
        <v>1</v>
      </c>
      <c r="E105" s="12" t="str">
        <f t="shared" si="16"/>
        <v>170</v>
      </c>
      <c r="G105" s="12" t="s">
        <v>19</v>
      </c>
      <c r="H105" s="12" t="s">
        <v>2110</v>
      </c>
      <c r="I105" s="12">
        <v>64277</v>
      </c>
      <c r="J105" s="12">
        <v>331</v>
      </c>
      <c r="K105" s="12" t="s">
        <v>20</v>
      </c>
      <c r="L105" s="12">
        <v>1</v>
      </c>
      <c r="M105" s="17">
        <v>98000</v>
      </c>
      <c r="N105" s="17">
        <f t="shared" si="17"/>
        <v>98000</v>
      </c>
      <c r="P105" s="12">
        <f t="shared" si="13"/>
        <v>125</v>
      </c>
    </row>
    <row r="106" spans="1:16" ht="15" hidden="1" customHeight="1" x14ac:dyDescent="0.2">
      <c r="A106" s="12" t="s">
        <v>18</v>
      </c>
      <c r="B106" s="36">
        <v>46048</v>
      </c>
      <c r="C106" s="12">
        <f t="shared" si="14"/>
        <v>170</v>
      </c>
      <c r="D106" s="38">
        <f t="shared" si="15"/>
        <v>0</v>
      </c>
      <c r="E106" s="12" t="str">
        <f t="shared" si="16"/>
        <v>170</v>
      </c>
      <c r="G106" s="12" t="s">
        <v>19</v>
      </c>
      <c r="H106" s="12" t="s">
        <v>2110</v>
      </c>
      <c r="I106" s="12">
        <v>1331</v>
      </c>
      <c r="J106" s="12">
        <v>331</v>
      </c>
      <c r="K106" s="12" t="s">
        <v>20</v>
      </c>
      <c r="L106" s="12">
        <v>1</v>
      </c>
      <c r="M106" s="17">
        <v>7259</v>
      </c>
      <c r="N106" s="17">
        <f t="shared" si="17"/>
        <v>7259</v>
      </c>
      <c r="P106" s="12">
        <f t="shared" si="13"/>
        <v>125</v>
      </c>
    </row>
    <row r="107" spans="1:16" ht="15" hidden="1" customHeight="1" x14ac:dyDescent="0.2">
      <c r="A107" s="12" t="s">
        <v>18</v>
      </c>
      <c r="B107" s="36">
        <v>46051</v>
      </c>
      <c r="C107" s="12">
        <f t="shared" si="14"/>
        <v>171</v>
      </c>
      <c r="D107" s="38">
        <f t="shared" si="15"/>
        <v>1</v>
      </c>
      <c r="E107" s="12" t="str">
        <f t="shared" si="16"/>
        <v>171</v>
      </c>
      <c r="G107" s="12" t="s">
        <v>928</v>
      </c>
      <c r="H107" s="12" t="s">
        <v>2135</v>
      </c>
      <c r="I107" s="12">
        <v>131</v>
      </c>
      <c r="J107" s="12">
        <v>5113</v>
      </c>
      <c r="K107" s="12" t="s">
        <v>20</v>
      </c>
      <c r="L107" s="12">
        <v>1</v>
      </c>
      <c r="M107" s="17">
        <v>13333333</v>
      </c>
      <c r="N107" s="17">
        <f t="shared" si="17"/>
        <v>13333333</v>
      </c>
      <c r="P107" s="12">
        <f t="shared" si="13"/>
        <v>142</v>
      </c>
    </row>
    <row r="108" spans="1:16" ht="15" customHeight="1" x14ac:dyDescent="0.2">
      <c r="A108" s="12" t="s">
        <v>18</v>
      </c>
      <c r="B108" s="36">
        <v>46051</v>
      </c>
      <c r="C108" s="12">
        <f t="shared" si="14"/>
        <v>172</v>
      </c>
      <c r="D108" s="38">
        <f t="shared" si="15"/>
        <v>1</v>
      </c>
      <c r="E108" s="12" t="str">
        <f t="shared" si="16"/>
        <v>172</v>
      </c>
      <c r="G108" s="12" t="s">
        <v>928</v>
      </c>
      <c r="H108" s="12" t="s">
        <v>4305</v>
      </c>
      <c r="I108" s="12">
        <v>333821</v>
      </c>
      <c r="J108" s="12">
        <v>131</v>
      </c>
      <c r="K108" s="12" t="s">
        <v>20</v>
      </c>
      <c r="L108" s="12">
        <v>1</v>
      </c>
      <c r="M108" s="17">
        <v>133333</v>
      </c>
      <c r="N108" s="17">
        <f t="shared" si="17"/>
        <v>133333</v>
      </c>
      <c r="P108" s="12">
        <f t="shared" si="13"/>
        <v>158</v>
      </c>
    </row>
    <row r="109" spans="1:16" ht="15" hidden="1" customHeight="1" x14ac:dyDescent="0.2">
      <c r="A109" s="12" t="s">
        <v>18</v>
      </c>
      <c r="B109" s="36">
        <v>46055</v>
      </c>
      <c r="C109" s="12">
        <f t="shared" si="14"/>
        <v>173</v>
      </c>
      <c r="D109" s="38">
        <f t="shared" si="15"/>
        <v>1</v>
      </c>
      <c r="E109" s="12" t="str">
        <f t="shared" si="16"/>
        <v>173</v>
      </c>
      <c r="G109" s="12" t="s">
        <v>44</v>
      </c>
      <c r="H109" s="12" t="s">
        <v>2111</v>
      </c>
      <c r="I109" s="12">
        <v>64277</v>
      </c>
      <c r="J109" s="12">
        <v>331</v>
      </c>
      <c r="K109" s="12" t="s">
        <v>20</v>
      </c>
      <c r="L109" s="12">
        <v>1</v>
      </c>
      <c r="M109" s="17">
        <v>13479</v>
      </c>
      <c r="N109" s="17">
        <f t="shared" si="17"/>
        <v>13479</v>
      </c>
      <c r="P109" s="12">
        <f t="shared" si="13"/>
        <v>98</v>
      </c>
    </row>
    <row r="110" spans="1:16" ht="15" hidden="1" customHeight="1" x14ac:dyDescent="0.2">
      <c r="A110" s="12" t="s">
        <v>18</v>
      </c>
      <c r="B110" s="36">
        <v>46055</v>
      </c>
      <c r="C110" s="12">
        <f t="shared" si="14"/>
        <v>173</v>
      </c>
      <c r="D110" s="38">
        <f t="shared" si="15"/>
        <v>0</v>
      </c>
      <c r="E110" s="12" t="str">
        <f t="shared" si="16"/>
        <v>173</v>
      </c>
      <c r="G110" s="12" t="s">
        <v>44</v>
      </c>
      <c r="H110" s="12" t="s">
        <v>2111</v>
      </c>
      <c r="I110" s="12">
        <v>1331</v>
      </c>
      <c r="J110" s="12">
        <v>331</v>
      </c>
      <c r="K110" s="12" t="s">
        <v>20</v>
      </c>
      <c r="L110" s="12">
        <v>1</v>
      </c>
      <c r="M110" s="17">
        <v>1078</v>
      </c>
      <c r="N110" s="17">
        <f t="shared" si="17"/>
        <v>1078</v>
      </c>
      <c r="P110" s="12">
        <f t="shared" si="13"/>
        <v>98</v>
      </c>
    </row>
    <row r="111" spans="1:16" ht="15" hidden="1" customHeight="1" x14ac:dyDescent="0.2">
      <c r="A111" s="12" t="s">
        <v>18</v>
      </c>
      <c r="B111" s="36">
        <v>46056</v>
      </c>
      <c r="C111" s="12">
        <f t="shared" si="14"/>
        <v>174</v>
      </c>
      <c r="D111" s="38">
        <f t="shared" si="15"/>
        <v>1</v>
      </c>
      <c r="E111" s="12" t="str">
        <f t="shared" si="16"/>
        <v>174</v>
      </c>
      <c r="G111" s="12" t="s">
        <v>19</v>
      </c>
      <c r="H111" s="12" t="s">
        <v>2113</v>
      </c>
      <c r="I111" s="12">
        <v>64277</v>
      </c>
      <c r="J111" s="12">
        <v>331</v>
      </c>
      <c r="K111" s="12" t="s">
        <v>20</v>
      </c>
      <c r="L111" s="12">
        <v>1</v>
      </c>
      <c r="M111" s="17">
        <v>75000</v>
      </c>
      <c r="N111" s="17">
        <f t="shared" si="17"/>
        <v>75000</v>
      </c>
      <c r="P111" s="12">
        <f t="shared" si="13"/>
        <v>126</v>
      </c>
    </row>
    <row r="112" spans="1:16" ht="15" hidden="1" customHeight="1" x14ac:dyDescent="0.2">
      <c r="A112" s="12" t="s">
        <v>18</v>
      </c>
      <c r="B112" s="36">
        <v>46056</v>
      </c>
      <c r="C112" s="12">
        <f t="shared" si="14"/>
        <v>174</v>
      </c>
      <c r="D112" s="38">
        <f t="shared" si="15"/>
        <v>0</v>
      </c>
      <c r="E112" s="12" t="str">
        <f t="shared" si="16"/>
        <v>174</v>
      </c>
      <c r="G112" s="12" t="s">
        <v>19</v>
      </c>
      <c r="H112" s="12" t="s">
        <v>2113</v>
      </c>
      <c r="I112" s="12">
        <v>1331</v>
      </c>
      <c r="J112" s="12">
        <v>331</v>
      </c>
      <c r="K112" s="12" t="s">
        <v>20</v>
      </c>
      <c r="L112" s="12">
        <v>1</v>
      </c>
      <c r="M112" s="17">
        <v>5555</v>
      </c>
      <c r="N112" s="17">
        <f t="shared" si="17"/>
        <v>5555</v>
      </c>
      <c r="P112" s="12">
        <f t="shared" si="13"/>
        <v>126</v>
      </c>
    </row>
    <row r="113" spans="1:16" ht="15" hidden="1" customHeight="1" x14ac:dyDescent="0.2">
      <c r="A113" s="12" t="s">
        <v>18</v>
      </c>
      <c r="B113" s="36">
        <v>46056</v>
      </c>
      <c r="C113" s="12">
        <f t="shared" si="14"/>
        <v>175</v>
      </c>
      <c r="D113" s="38">
        <f t="shared" si="15"/>
        <v>1</v>
      </c>
      <c r="E113" s="12" t="str">
        <f t="shared" si="16"/>
        <v>175</v>
      </c>
      <c r="G113" s="12" t="s">
        <v>35</v>
      </c>
      <c r="H113" s="12" t="s">
        <v>2112</v>
      </c>
      <c r="I113" s="12">
        <v>64277</v>
      </c>
      <c r="J113" s="12">
        <v>331</v>
      </c>
      <c r="K113" s="12" t="s">
        <v>20</v>
      </c>
      <c r="L113" s="12">
        <v>1</v>
      </c>
      <c r="M113" s="17">
        <v>3000000</v>
      </c>
      <c r="N113" s="17">
        <f t="shared" si="17"/>
        <v>3000000</v>
      </c>
      <c r="P113" s="12">
        <f t="shared" si="13"/>
        <v>41</v>
      </c>
    </row>
    <row r="114" spans="1:16" ht="15" hidden="1" customHeight="1" x14ac:dyDescent="0.2">
      <c r="A114" s="12" t="s">
        <v>18</v>
      </c>
      <c r="B114" s="36">
        <v>46056</v>
      </c>
      <c r="C114" s="12">
        <f t="shared" si="14"/>
        <v>175</v>
      </c>
      <c r="D114" s="38">
        <f t="shared" si="15"/>
        <v>0</v>
      </c>
      <c r="E114" s="12" t="str">
        <f t="shared" si="16"/>
        <v>175</v>
      </c>
      <c r="G114" s="12" t="s">
        <v>35</v>
      </c>
      <c r="H114" s="12" t="s">
        <v>2112</v>
      </c>
      <c r="I114" s="12">
        <v>1331</v>
      </c>
      <c r="J114" s="12">
        <v>331</v>
      </c>
      <c r="K114" s="12" t="s">
        <v>20</v>
      </c>
      <c r="L114" s="12">
        <v>1</v>
      </c>
      <c r="M114" s="17">
        <v>240000</v>
      </c>
      <c r="N114" s="17">
        <f t="shared" si="17"/>
        <v>240000</v>
      </c>
      <c r="P114" s="12">
        <f t="shared" si="13"/>
        <v>41</v>
      </c>
    </row>
    <row r="115" spans="1:16" ht="15" hidden="1" customHeight="1" x14ac:dyDescent="0.2">
      <c r="A115" s="12" t="s">
        <v>18</v>
      </c>
      <c r="B115" s="36">
        <v>46058</v>
      </c>
      <c r="C115" s="12">
        <f t="shared" si="14"/>
        <v>176</v>
      </c>
      <c r="D115" s="38">
        <f t="shared" si="15"/>
        <v>1</v>
      </c>
      <c r="E115" s="12" t="str">
        <f t="shared" si="16"/>
        <v>176</v>
      </c>
      <c r="G115" s="12" t="s">
        <v>59</v>
      </c>
      <c r="H115" s="12" t="s">
        <v>2136</v>
      </c>
      <c r="I115" s="12">
        <v>131</v>
      </c>
      <c r="J115" s="12">
        <v>5113</v>
      </c>
      <c r="K115" s="12" t="s">
        <v>20</v>
      </c>
      <c r="L115" s="12">
        <v>1</v>
      </c>
      <c r="M115" s="17">
        <v>28888889</v>
      </c>
      <c r="N115" s="17">
        <f t="shared" si="17"/>
        <v>28888889</v>
      </c>
      <c r="P115" s="12">
        <f t="shared" si="13"/>
        <v>149</v>
      </c>
    </row>
    <row r="116" spans="1:16" ht="15" customHeight="1" x14ac:dyDescent="0.2">
      <c r="A116" s="12" t="s">
        <v>18</v>
      </c>
      <c r="B116" s="36">
        <v>46058</v>
      </c>
      <c r="C116" s="12">
        <f t="shared" si="14"/>
        <v>177</v>
      </c>
      <c r="D116" s="38">
        <f t="shared" si="15"/>
        <v>1</v>
      </c>
      <c r="E116" s="12" t="str">
        <f t="shared" si="16"/>
        <v>177</v>
      </c>
      <c r="G116" s="12" t="s">
        <v>59</v>
      </c>
      <c r="H116" s="12" t="s">
        <v>4306</v>
      </c>
      <c r="I116" s="12">
        <v>333821</v>
      </c>
      <c r="J116" s="12">
        <v>131</v>
      </c>
      <c r="K116" s="12" t="s">
        <v>20</v>
      </c>
      <c r="L116" s="12">
        <v>1</v>
      </c>
      <c r="M116" s="17">
        <v>288889</v>
      </c>
      <c r="N116" s="17">
        <f t="shared" si="17"/>
        <v>288889</v>
      </c>
      <c r="P116" s="12">
        <f t="shared" si="13"/>
        <v>165</v>
      </c>
    </row>
    <row r="117" spans="1:16" ht="15" hidden="1" customHeight="1" x14ac:dyDescent="0.2">
      <c r="A117" s="12" t="s">
        <v>18</v>
      </c>
      <c r="B117" s="36">
        <v>46062</v>
      </c>
      <c r="C117" s="12">
        <f t="shared" si="14"/>
        <v>178</v>
      </c>
      <c r="D117" s="38">
        <f t="shared" si="15"/>
        <v>1</v>
      </c>
      <c r="E117" s="12" t="str">
        <f t="shared" si="16"/>
        <v>178</v>
      </c>
      <c r="G117" s="12" t="s">
        <v>107</v>
      </c>
      <c r="H117" s="12" t="s">
        <v>4346</v>
      </c>
      <c r="I117" s="12">
        <v>131</v>
      </c>
      <c r="J117" s="12">
        <v>5113</v>
      </c>
      <c r="K117" s="12" t="s">
        <v>20</v>
      </c>
      <c r="L117" s="12">
        <v>1</v>
      </c>
      <c r="M117" s="17">
        <v>17777778</v>
      </c>
      <c r="N117" s="17">
        <f t="shared" si="17"/>
        <v>17777778</v>
      </c>
      <c r="P117" s="12">
        <f t="shared" si="13"/>
        <v>150</v>
      </c>
    </row>
    <row r="118" spans="1:16" ht="15" hidden="1" customHeight="1" x14ac:dyDescent="0.2">
      <c r="A118" s="12" t="s">
        <v>18</v>
      </c>
      <c r="B118" s="36">
        <v>46062</v>
      </c>
      <c r="C118" s="12">
        <f t="shared" si="14"/>
        <v>179</v>
      </c>
      <c r="D118" s="38">
        <f t="shared" si="15"/>
        <v>1</v>
      </c>
      <c r="E118" s="12" t="str">
        <f t="shared" si="16"/>
        <v>179</v>
      </c>
      <c r="G118" s="12" t="s">
        <v>107</v>
      </c>
      <c r="H118" s="12" t="s">
        <v>4347</v>
      </c>
      <c r="I118" s="12">
        <v>131</v>
      </c>
      <c r="J118" s="12">
        <v>5113</v>
      </c>
      <c r="K118" s="12" t="s">
        <v>20</v>
      </c>
      <c r="L118" s="12">
        <v>1</v>
      </c>
      <c r="M118" s="17">
        <v>33333333</v>
      </c>
      <c r="N118" s="17">
        <f t="shared" si="17"/>
        <v>33333333</v>
      </c>
      <c r="P118" s="12">
        <f t="shared" si="13"/>
        <v>150</v>
      </c>
    </row>
    <row r="119" spans="1:16" ht="15" customHeight="1" x14ac:dyDescent="0.2">
      <c r="A119" s="12" t="s">
        <v>18</v>
      </c>
      <c r="B119" s="36">
        <v>46062</v>
      </c>
      <c r="C119" s="12">
        <f t="shared" si="14"/>
        <v>180</v>
      </c>
      <c r="D119" s="38">
        <f t="shared" si="15"/>
        <v>1</v>
      </c>
      <c r="E119" s="12" t="str">
        <f t="shared" si="16"/>
        <v>180</v>
      </c>
      <c r="G119" s="12" t="s">
        <v>107</v>
      </c>
      <c r="H119" s="12" t="s">
        <v>4348</v>
      </c>
      <c r="I119" s="12">
        <v>333821</v>
      </c>
      <c r="J119" s="12">
        <v>131</v>
      </c>
      <c r="K119" s="12" t="s">
        <v>20</v>
      </c>
      <c r="L119" s="12">
        <v>1</v>
      </c>
      <c r="M119" s="17">
        <v>177778</v>
      </c>
      <c r="N119" s="17">
        <f t="shared" si="17"/>
        <v>177778</v>
      </c>
      <c r="P119" s="12">
        <f t="shared" si="13"/>
        <v>166</v>
      </c>
    </row>
    <row r="120" spans="1:16" ht="15" customHeight="1" x14ac:dyDescent="0.2">
      <c r="A120" s="12" t="s">
        <v>18</v>
      </c>
      <c r="B120" s="36">
        <v>46062</v>
      </c>
      <c r="C120" s="12">
        <f t="shared" si="14"/>
        <v>181</v>
      </c>
      <c r="D120" s="38">
        <f t="shared" si="15"/>
        <v>1</v>
      </c>
      <c r="E120" s="12" t="str">
        <f t="shared" si="16"/>
        <v>181</v>
      </c>
      <c r="G120" s="12" t="s">
        <v>107</v>
      </c>
      <c r="H120" s="12" t="s">
        <v>4349</v>
      </c>
      <c r="I120" s="12">
        <v>333821</v>
      </c>
      <c r="J120" s="12">
        <v>131</v>
      </c>
      <c r="K120" s="12" t="s">
        <v>20</v>
      </c>
      <c r="L120" s="12">
        <v>1</v>
      </c>
      <c r="M120" s="17">
        <v>333333</v>
      </c>
      <c r="N120" s="17">
        <f t="shared" si="17"/>
        <v>333333</v>
      </c>
      <c r="P120" s="12">
        <f t="shared" si="13"/>
        <v>166</v>
      </c>
    </row>
    <row r="121" spans="1:16" ht="15" customHeight="1" x14ac:dyDescent="0.2">
      <c r="A121" s="12" t="s">
        <v>18</v>
      </c>
      <c r="B121" s="36">
        <v>46062</v>
      </c>
      <c r="C121" s="12">
        <f t="shared" si="14"/>
        <v>182</v>
      </c>
      <c r="D121" s="38">
        <f t="shared" si="15"/>
        <v>1</v>
      </c>
      <c r="E121" s="12" t="str">
        <f t="shared" si="16"/>
        <v>182</v>
      </c>
      <c r="G121" s="12" t="s">
        <v>43</v>
      </c>
      <c r="H121" s="12" t="s">
        <v>4350</v>
      </c>
      <c r="I121" s="12">
        <v>333821</v>
      </c>
      <c r="J121" s="12">
        <v>131</v>
      </c>
      <c r="K121" s="12" t="s">
        <v>20</v>
      </c>
      <c r="L121" s="12">
        <v>1</v>
      </c>
      <c r="M121" s="17">
        <v>133333</v>
      </c>
      <c r="N121" s="17">
        <f t="shared" si="17"/>
        <v>133333</v>
      </c>
      <c r="P121" s="12">
        <f t="shared" si="13"/>
        <v>153</v>
      </c>
    </row>
    <row r="122" spans="1:16" ht="15" hidden="1" customHeight="1" x14ac:dyDescent="0.2">
      <c r="A122" s="12" t="s">
        <v>18</v>
      </c>
      <c r="B122" s="36">
        <v>46062</v>
      </c>
      <c r="C122" s="12">
        <f t="shared" si="14"/>
        <v>183</v>
      </c>
      <c r="D122" s="38">
        <f t="shared" si="15"/>
        <v>1</v>
      </c>
      <c r="E122" s="12" t="str">
        <f t="shared" si="16"/>
        <v>183</v>
      </c>
      <c r="G122" s="12" t="s">
        <v>43</v>
      </c>
      <c r="H122" s="12" t="s">
        <v>4351</v>
      </c>
      <c r="I122" s="12">
        <v>131</v>
      </c>
      <c r="J122" s="12">
        <v>5113</v>
      </c>
      <c r="K122" s="12" t="s">
        <v>20</v>
      </c>
      <c r="L122" s="12">
        <v>1</v>
      </c>
      <c r="M122" s="17">
        <v>13333333</v>
      </c>
      <c r="N122" s="17">
        <f t="shared" si="17"/>
        <v>13333333</v>
      </c>
      <c r="P122" s="12">
        <f t="shared" si="13"/>
        <v>137</v>
      </c>
    </row>
    <row r="123" spans="1:16" ht="15" hidden="1" customHeight="1" x14ac:dyDescent="0.2">
      <c r="A123" s="12" t="s">
        <v>18</v>
      </c>
      <c r="B123" s="36">
        <v>46072</v>
      </c>
      <c r="C123" s="12">
        <f t="shared" si="14"/>
        <v>184</v>
      </c>
      <c r="D123" s="38">
        <f t="shared" si="15"/>
        <v>1</v>
      </c>
      <c r="E123" s="12" t="str">
        <f t="shared" si="16"/>
        <v>184</v>
      </c>
      <c r="G123" s="12" t="s">
        <v>25</v>
      </c>
      <c r="H123" s="12" t="s">
        <v>2114</v>
      </c>
      <c r="I123" s="12">
        <v>64277</v>
      </c>
      <c r="J123" s="12">
        <v>331</v>
      </c>
      <c r="K123" s="12" t="s">
        <v>20</v>
      </c>
      <c r="L123" s="12">
        <v>1</v>
      </c>
      <c r="M123" s="17">
        <v>1194600</v>
      </c>
      <c r="N123" s="17">
        <f t="shared" si="17"/>
        <v>1194600</v>
      </c>
      <c r="P123" s="12">
        <f t="shared" si="13"/>
        <v>125</v>
      </c>
    </row>
    <row r="124" spans="1:16" ht="15" hidden="1" customHeight="1" x14ac:dyDescent="0.2">
      <c r="A124" s="12" t="s">
        <v>18</v>
      </c>
      <c r="B124" s="36">
        <v>46072</v>
      </c>
      <c r="C124" s="12">
        <f t="shared" si="14"/>
        <v>184</v>
      </c>
      <c r="D124" s="38">
        <f t="shared" si="15"/>
        <v>0</v>
      </c>
      <c r="E124" s="12" t="str">
        <f t="shared" si="16"/>
        <v>184</v>
      </c>
      <c r="G124" s="12" t="s">
        <v>25</v>
      </c>
      <c r="H124" s="12" t="s">
        <v>2114</v>
      </c>
      <c r="I124" s="12">
        <v>1331</v>
      </c>
      <c r="J124" s="12">
        <v>331</v>
      </c>
      <c r="K124" s="12" t="s">
        <v>20</v>
      </c>
      <c r="L124" s="12">
        <v>1</v>
      </c>
      <c r="M124" s="17">
        <v>95568</v>
      </c>
      <c r="N124" s="17">
        <f t="shared" si="17"/>
        <v>95568</v>
      </c>
      <c r="P124" s="12">
        <f t="shared" si="13"/>
        <v>125</v>
      </c>
    </row>
    <row r="125" spans="1:16" ht="15" hidden="1" customHeight="1" x14ac:dyDescent="0.2">
      <c r="A125" s="12" t="s">
        <v>18</v>
      </c>
      <c r="B125" s="36">
        <v>46077</v>
      </c>
      <c r="C125" s="12">
        <f t="shared" si="14"/>
        <v>185</v>
      </c>
      <c r="D125" s="38">
        <f t="shared" si="15"/>
        <v>1</v>
      </c>
      <c r="E125" s="12" t="str">
        <f t="shared" si="16"/>
        <v>185</v>
      </c>
      <c r="G125" s="12" t="s">
        <v>1779</v>
      </c>
      <c r="H125" s="12" t="s">
        <v>2137</v>
      </c>
      <c r="I125" s="12">
        <v>131</v>
      </c>
      <c r="J125" s="12">
        <v>5113</v>
      </c>
      <c r="K125" s="12" t="s">
        <v>20</v>
      </c>
      <c r="L125" s="12">
        <v>1</v>
      </c>
      <c r="M125" s="17">
        <v>21111111</v>
      </c>
      <c r="N125" s="17">
        <f t="shared" si="17"/>
        <v>21111111</v>
      </c>
      <c r="P125" s="12">
        <f t="shared" si="13"/>
        <v>193</v>
      </c>
    </row>
    <row r="126" spans="1:16" ht="15" hidden="1" customHeight="1" x14ac:dyDescent="0.2">
      <c r="A126" s="12" t="s">
        <v>18</v>
      </c>
      <c r="B126" s="36">
        <v>46077</v>
      </c>
      <c r="C126" s="12">
        <f t="shared" si="14"/>
        <v>186</v>
      </c>
      <c r="D126" s="38">
        <f t="shared" si="15"/>
        <v>1</v>
      </c>
      <c r="E126" s="12" t="str">
        <f t="shared" si="16"/>
        <v>186</v>
      </c>
      <c r="G126" s="12" t="s">
        <v>1785</v>
      </c>
      <c r="H126" s="12" t="s">
        <v>2138</v>
      </c>
      <c r="I126" s="12">
        <v>131</v>
      </c>
      <c r="J126" s="12">
        <v>5113</v>
      </c>
      <c r="K126" s="12" t="s">
        <v>20</v>
      </c>
      <c r="L126" s="12">
        <v>1</v>
      </c>
      <c r="M126" s="17">
        <v>13333333</v>
      </c>
      <c r="N126" s="17">
        <f t="shared" si="17"/>
        <v>13333333</v>
      </c>
      <c r="P126" s="12">
        <f t="shared" si="13"/>
        <v>107</v>
      </c>
    </row>
    <row r="127" spans="1:16" ht="15" customHeight="1" x14ac:dyDescent="0.2">
      <c r="A127" s="12" t="s">
        <v>18</v>
      </c>
      <c r="B127" s="36">
        <v>46077</v>
      </c>
      <c r="C127" s="12">
        <f t="shared" si="14"/>
        <v>187</v>
      </c>
      <c r="D127" s="38">
        <f t="shared" si="15"/>
        <v>1</v>
      </c>
      <c r="E127" s="12" t="str">
        <f t="shared" si="16"/>
        <v>187</v>
      </c>
      <c r="G127" s="12" t="s">
        <v>1779</v>
      </c>
      <c r="H127" s="12" t="s">
        <v>4352</v>
      </c>
      <c r="I127" s="12">
        <v>333821</v>
      </c>
      <c r="J127" s="12">
        <v>131</v>
      </c>
      <c r="K127" s="12" t="s">
        <v>20</v>
      </c>
      <c r="L127" s="12">
        <v>1</v>
      </c>
      <c r="M127" s="17">
        <v>211111</v>
      </c>
      <c r="N127" s="17">
        <f t="shared" si="17"/>
        <v>211111</v>
      </c>
      <c r="P127" s="12">
        <f t="shared" si="13"/>
        <v>155</v>
      </c>
    </row>
    <row r="128" spans="1:16" ht="15" customHeight="1" x14ac:dyDescent="0.2">
      <c r="A128" s="12" t="s">
        <v>18</v>
      </c>
      <c r="B128" s="36">
        <v>46077</v>
      </c>
      <c r="C128" s="12">
        <f t="shared" si="14"/>
        <v>188</v>
      </c>
      <c r="D128" s="38">
        <f t="shared" si="15"/>
        <v>1</v>
      </c>
      <c r="E128" s="12" t="str">
        <f t="shared" si="16"/>
        <v>188</v>
      </c>
      <c r="G128" s="12" t="s">
        <v>1785</v>
      </c>
      <c r="H128" s="12" t="s">
        <v>4307</v>
      </c>
      <c r="I128" s="12">
        <v>333821</v>
      </c>
      <c r="J128" s="12">
        <v>131</v>
      </c>
      <c r="K128" s="12" t="s">
        <v>20</v>
      </c>
      <c r="L128" s="12">
        <v>1</v>
      </c>
      <c r="M128" s="17">
        <v>133333</v>
      </c>
      <c r="N128" s="17">
        <f t="shared" si="17"/>
        <v>133333</v>
      </c>
      <c r="P128" s="12">
        <f t="shared" si="13"/>
        <v>123</v>
      </c>
    </row>
    <row r="129" spans="1:16" ht="15" hidden="1" customHeight="1" x14ac:dyDescent="0.2">
      <c r="A129" s="12" t="s">
        <v>18</v>
      </c>
      <c r="B129" s="36">
        <v>46079</v>
      </c>
      <c r="C129" s="12">
        <f t="shared" si="14"/>
        <v>189</v>
      </c>
      <c r="D129" s="38">
        <f t="shared" si="15"/>
        <v>1</v>
      </c>
      <c r="E129" s="12" t="str">
        <f t="shared" si="16"/>
        <v>189</v>
      </c>
      <c r="G129" s="12" t="s">
        <v>91</v>
      </c>
      <c r="H129" s="12" t="s">
        <v>2139</v>
      </c>
      <c r="I129" s="12">
        <v>131</v>
      </c>
      <c r="J129" s="12">
        <v>5113</v>
      </c>
      <c r="K129" s="12" t="s">
        <v>20</v>
      </c>
      <c r="L129" s="12">
        <v>1</v>
      </c>
      <c r="M129" s="17">
        <v>13333333</v>
      </c>
      <c r="N129" s="17">
        <f t="shared" si="17"/>
        <v>13333333</v>
      </c>
      <c r="P129" s="12">
        <f t="shared" si="13"/>
        <v>154</v>
      </c>
    </row>
    <row r="130" spans="1:16" ht="15" customHeight="1" x14ac:dyDescent="0.2">
      <c r="A130" s="12" t="s">
        <v>18</v>
      </c>
      <c r="B130" s="36">
        <v>46079</v>
      </c>
      <c r="C130" s="12">
        <f t="shared" si="14"/>
        <v>190</v>
      </c>
      <c r="D130" s="38">
        <f t="shared" si="15"/>
        <v>1</v>
      </c>
      <c r="E130" s="12" t="str">
        <f t="shared" si="16"/>
        <v>190</v>
      </c>
      <c r="G130" s="12" t="s">
        <v>91</v>
      </c>
      <c r="H130" s="12" t="s">
        <v>4308</v>
      </c>
      <c r="I130" s="12">
        <v>333821</v>
      </c>
      <c r="J130" s="12">
        <v>131</v>
      </c>
      <c r="K130" s="12" t="s">
        <v>20</v>
      </c>
      <c r="L130" s="12">
        <v>1</v>
      </c>
      <c r="M130" s="17">
        <v>133333</v>
      </c>
      <c r="N130" s="17">
        <f t="shared" si="17"/>
        <v>133333</v>
      </c>
      <c r="P130" s="12">
        <f t="shared" si="13"/>
        <v>170</v>
      </c>
    </row>
    <row r="131" spans="1:16" ht="15" hidden="1" customHeight="1" x14ac:dyDescent="0.2">
      <c r="A131" s="12" t="s">
        <v>18</v>
      </c>
      <c r="B131" s="36">
        <v>46081</v>
      </c>
      <c r="C131" s="12">
        <f t="shared" si="14"/>
        <v>191</v>
      </c>
      <c r="D131" s="38">
        <f t="shared" si="15"/>
        <v>1</v>
      </c>
      <c r="E131" s="12" t="str">
        <f t="shared" si="16"/>
        <v>191</v>
      </c>
      <c r="G131" s="12" t="s">
        <v>104</v>
      </c>
      <c r="H131" s="12" t="s">
        <v>2115</v>
      </c>
      <c r="I131" s="12">
        <v>64277</v>
      </c>
      <c r="J131" s="12">
        <v>331</v>
      </c>
      <c r="K131" s="12" t="s">
        <v>20</v>
      </c>
      <c r="L131" s="12">
        <v>1</v>
      </c>
      <c r="M131" s="17">
        <v>333091</v>
      </c>
      <c r="N131" s="17">
        <f t="shared" si="17"/>
        <v>333091</v>
      </c>
      <c r="P131" s="12">
        <f t="shared" si="13"/>
        <v>14</v>
      </c>
    </row>
    <row r="132" spans="1:16" ht="15" hidden="1" customHeight="1" x14ac:dyDescent="0.2">
      <c r="A132" s="12" t="s">
        <v>18</v>
      </c>
      <c r="B132" s="36">
        <v>46081</v>
      </c>
      <c r="C132" s="12">
        <f t="shared" ref="C132:C163" si="18">C131+D132</f>
        <v>191</v>
      </c>
      <c r="D132" s="38">
        <f t="shared" ref="D132:D163" si="19">IF(H132=H131,0,1)</f>
        <v>0</v>
      </c>
      <c r="E132" s="12" t="str">
        <f t="shared" ref="E132:E163" si="20">TEXT(C132,"000")</f>
        <v>191</v>
      </c>
      <c r="G132" s="12" t="s">
        <v>104</v>
      </c>
      <c r="H132" s="12" t="s">
        <v>2115</v>
      </c>
      <c r="I132" s="12">
        <v>1331</v>
      </c>
      <c r="J132" s="12">
        <v>331</v>
      </c>
      <c r="K132" s="12" t="s">
        <v>20</v>
      </c>
      <c r="L132" s="12">
        <v>1</v>
      </c>
      <c r="M132" s="17">
        <v>31909</v>
      </c>
      <c r="N132" s="17">
        <f t="shared" ref="N132:N163" si="21">L132*M132</f>
        <v>31909</v>
      </c>
      <c r="P132" s="12">
        <f t="shared" si="13"/>
        <v>14</v>
      </c>
    </row>
    <row r="133" spans="1:16" ht="15" hidden="1" customHeight="1" x14ac:dyDescent="0.2">
      <c r="A133" s="12" t="s">
        <v>18</v>
      </c>
      <c r="B133" s="36">
        <v>46082</v>
      </c>
      <c r="C133" s="12">
        <f t="shared" si="18"/>
        <v>192</v>
      </c>
      <c r="D133" s="38">
        <f t="shared" si="19"/>
        <v>1</v>
      </c>
      <c r="E133" s="12" t="str">
        <f t="shared" si="20"/>
        <v>192</v>
      </c>
      <c r="G133" s="12" t="s">
        <v>19</v>
      </c>
      <c r="H133" s="12" t="s">
        <v>2118</v>
      </c>
      <c r="I133" s="12">
        <v>64277</v>
      </c>
      <c r="J133" s="12">
        <v>331</v>
      </c>
      <c r="K133" s="12" t="s">
        <v>20</v>
      </c>
      <c r="L133" s="12">
        <v>1</v>
      </c>
      <c r="M133" s="17">
        <v>31000</v>
      </c>
      <c r="N133" s="17">
        <f t="shared" si="21"/>
        <v>31000</v>
      </c>
      <c r="P133" s="12">
        <f t="shared" ref="P133:P186" si="22">LEN(H133)</f>
        <v>169</v>
      </c>
    </row>
    <row r="134" spans="1:16" ht="15" hidden="1" customHeight="1" x14ac:dyDescent="0.2">
      <c r="A134" s="12" t="s">
        <v>18</v>
      </c>
      <c r="B134" s="36">
        <v>46082</v>
      </c>
      <c r="C134" s="12">
        <f t="shared" si="18"/>
        <v>192</v>
      </c>
      <c r="D134" s="38">
        <f t="shared" si="19"/>
        <v>0</v>
      </c>
      <c r="E134" s="12" t="str">
        <f t="shared" si="20"/>
        <v>192</v>
      </c>
      <c r="G134" s="12" t="s">
        <v>19</v>
      </c>
      <c r="H134" s="12" t="s">
        <v>2118</v>
      </c>
      <c r="I134" s="12">
        <v>1331</v>
      </c>
      <c r="J134" s="12">
        <v>331</v>
      </c>
      <c r="K134" s="12" t="s">
        <v>20</v>
      </c>
      <c r="L134" s="12">
        <v>1</v>
      </c>
      <c r="M134" s="17">
        <v>2093</v>
      </c>
      <c r="N134" s="17">
        <f t="shared" si="21"/>
        <v>2093</v>
      </c>
      <c r="P134" s="12">
        <f t="shared" si="22"/>
        <v>169</v>
      </c>
    </row>
    <row r="135" spans="1:16" ht="15" hidden="1" customHeight="1" x14ac:dyDescent="0.2">
      <c r="A135" s="12" t="s">
        <v>18</v>
      </c>
      <c r="B135" s="36">
        <v>46082</v>
      </c>
      <c r="C135" s="12">
        <f t="shared" si="18"/>
        <v>193</v>
      </c>
      <c r="D135" s="38">
        <f t="shared" si="19"/>
        <v>1</v>
      </c>
      <c r="E135" s="12" t="str">
        <f t="shared" si="20"/>
        <v>193</v>
      </c>
      <c r="G135" s="12" t="s">
        <v>19</v>
      </c>
      <c r="H135" s="12" t="s">
        <v>2117</v>
      </c>
      <c r="I135" s="12">
        <v>64277</v>
      </c>
      <c r="J135" s="12">
        <v>331</v>
      </c>
      <c r="K135" s="12" t="s">
        <v>20</v>
      </c>
      <c r="L135" s="12">
        <v>1</v>
      </c>
      <c r="M135" s="17">
        <v>36000</v>
      </c>
      <c r="N135" s="17">
        <f t="shared" si="21"/>
        <v>36000</v>
      </c>
      <c r="P135" s="12">
        <f t="shared" si="22"/>
        <v>169</v>
      </c>
    </row>
    <row r="136" spans="1:16" ht="15" hidden="1" customHeight="1" x14ac:dyDescent="0.2">
      <c r="A136" s="12" t="s">
        <v>18</v>
      </c>
      <c r="B136" s="36">
        <v>46082</v>
      </c>
      <c r="C136" s="12">
        <f t="shared" si="18"/>
        <v>193</v>
      </c>
      <c r="D136" s="38">
        <f t="shared" si="19"/>
        <v>0</v>
      </c>
      <c r="E136" s="12" t="str">
        <f t="shared" si="20"/>
        <v>193</v>
      </c>
      <c r="G136" s="12" t="s">
        <v>19</v>
      </c>
      <c r="H136" s="12" t="s">
        <v>2117</v>
      </c>
      <c r="I136" s="12">
        <v>1331</v>
      </c>
      <c r="J136" s="12">
        <v>331</v>
      </c>
      <c r="K136" s="12" t="s">
        <v>20</v>
      </c>
      <c r="L136" s="12">
        <v>1</v>
      </c>
      <c r="M136" s="17">
        <v>2453</v>
      </c>
      <c r="N136" s="17">
        <f t="shared" si="21"/>
        <v>2453</v>
      </c>
      <c r="P136" s="12">
        <f t="shared" si="22"/>
        <v>169</v>
      </c>
    </row>
    <row r="137" spans="1:16" ht="15" hidden="1" customHeight="1" x14ac:dyDescent="0.2">
      <c r="A137" s="12" t="s">
        <v>18</v>
      </c>
      <c r="B137" s="36">
        <v>46082</v>
      </c>
      <c r="C137" s="12">
        <f t="shared" si="18"/>
        <v>194</v>
      </c>
      <c r="D137" s="38">
        <f t="shared" si="19"/>
        <v>1</v>
      </c>
      <c r="E137" s="12" t="str">
        <f t="shared" si="20"/>
        <v>194</v>
      </c>
      <c r="G137" s="12" t="s">
        <v>19</v>
      </c>
      <c r="H137" s="12" t="s">
        <v>2116</v>
      </c>
      <c r="I137" s="12">
        <v>64277</v>
      </c>
      <c r="J137" s="12">
        <v>331</v>
      </c>
      <c r="K137" s="12" t="s">
        <v>20</v>
      </c>
      <c r="L137" s="12">
        <v>1</v>
      </c>
      <c r="M137" s="17">
        <v>23000</v>
      </c>
      <c r="N137" s="17">
        <f t="shared" si="21"/>
        <v>23000</v>
      </c>
      <c r="P137" s="12">
        <f t="shared" si="22"/>
        <v>169</v>
      </c>
    </row>
    <row r="138" spans="1:16" ht="15" hidden="1" customHeight="1" x14ac:dyDescent="0.2">
      <c r="A138" s="12" t="s">
        <v>18</v>
      </c>
      <c r="B138" s="36">
        <v>46082</v>
      </c>
      <c r="C138" s="12">
        <f t="shared" si="18"/>
        <v>194</v>
      </c>
      <c r="D138" s="38">
        <f t="shared" si="19"/>
        <v>0</v>
      </c>
      <c r="E138" s="12" t="str">
        <f t="shared" si="20"/>
        <v>194</v>
      </c>
      <c r="G138" s="12" t="s">
        <v>19</v>
      </c>
      <c r="H138" s="12" t="s">
        <v>2116</v>
      </c>
      <c r="I138" s="12">
        <v>1331</v>
      </c>
      <c r="J138" s="12">
        <v>331</v>
      </c>
      <c r="K138" s="12" t="s">
        <v>20</v>
      </c>
      <c r="L138" s="12">
        <v>1</v>
      </c>
      <c r="M138" s="17">
        <v>1585</v>
      </c>
      <c r="N138" s="17">
        <f t="shared" si="21"/>
        <v>1585</v>
      </c>
      <c r="P138" s="12">
        <f t="shared" si="22"/>
        <v>169</v>
      </c>
    </row>
    <row r="139" spans="1:16" ht="15" hidden="1" customHeight="1" x14ac:dyDescent="0.2">
      <c r="A139" s="12" t="s">
        <v>18</v>
      </c>
      <c r="B139" s="36">
        <v>46083</v>
      </c>
      <c r="C139" s="12">
        <f t="shared" si="18"/>
        <v>195</v>
      </c>
      <c r="D139" s="38">
        <f t="shared" si="19"/>
        <v>1</v>
      </c>
      <c r="E139" s="12" t="str">
        <f t="shared" si="20"/>
        <v>195</v>
      </c>
      <c r="G139" s="12" t="s">
        <v>1779</v>
      </c>
      <c r="H139" s="12" t="s">
        <v>2141</v>
      </c>
      <c r="I139" s="12">
        <v>131</v>
      </c>
      <c r="J139" s="12">
        <v>5113</v>
      </c>
      <c r="K139" s="12" t="s">
        <v>20</v>
      </c>
      <c r="L139" s="12">
        <v>1</v>
      </c>
      <c r="M139" s="17">
        <v>13333333</v>
      </c>
      <c r="N139" s="17">
        <f t="shared" si="21"/>
        <v>13333333</v>
      </c>
      <c r="P139" s="12">
        <f t="shared" si="22"/>
        <v>193</v>
      </c>
    </row>
    <row r="140" spans="1:16" ht="15" customHeight="1" x14ac:dyDescent="0.2">
      <c r="A140" s="12" t="s">
        <v>18</v>
      </c>
      <c r="B140" s="36">
        <v>46083</v>
      </c>
      <c r="C140" s="12">
        <f t="shared" si="18"/>
        <v>196</v>
      </c>
      <c r="D140" s="38">
        <f t="shared" si="19"/>
        <v>1</v>
      </c>
      <c r="E140" s="12" t="str">
        <f t="shared" si="20"/>
        <v>196</v>
      </c>
      <c r="G140" s="12" t="s">
        <v>1779</v>
      </c>
      <c r="H140" s="12" t="s">
        <v>4353</v>
      </c>
      <c r="I140" s="12">
        <v>333821</v>
      </c>
      <c r="J140" s="12">
        <v>131</v>
      </c>
      <c r="K140" s="12" t="s">
        <v>20</v>
      </c>
      <c r="L140" s="12">
        <v>1</v>
      </c>
      <c r="M140" s="17">
        <v>133333</v>
      </c>
      <c r="N140" s="17">
        <f t="shared" si="21"/>
        <v>133333</v>
      </c>
      <c r="P140" s="12">
        <f t="shared" si="22"/>
        <v>154</v>
      </c>
    </row>
    <row r="141" spans="1:16" ht="15" customHeight="1" x14ac:dyDescent="0.2">
      <c r="A141" s="12" t="s">
        <v>18</v>
      </c>
      <c r="B141" s="36">
        <v>46083</v>
      </c>
      <c r="C141" s="12">
        <f t="shared" si="18"/>
        <v>197</v>
      </c>
      <c r="D141" s="38">
        <f t="shared" si="19"/>
        <v>1</v>
      </c>
      <c r="E141" s="12" t="str">
        <f t="shared" si="20"/>
        <v>197</v>
      </c>
      <c r="G141" s="12" t="s">
        <v>2076</v>
      </c>
      <c r="H141" s="12" t="s">
        <v>4309</v>
      </c>
      <c r="I141" s="12">
        <v>333821</v>
      </c>
      <c r="J141" s="12">
        <v>131</v>
      </c>
      <c r="K141" s="12" t="s">
        <v>20</v>
      </c>
      <c r="L141" s="12">
        <v>1</v>
      </c>
      <c r="M141" s="17">
        <v>33333</v>
      </c>
      <c r="N141" s="17">
        <f t="shared" si="21"/>
        <v>33333</v>
      </c>
      <c r="P141" s="12">
        <f t="shared" si="22"/>
        <v>159</v>
      </c>
    </row>
    <row r="142" spans="1:16" ht="15" hidden="1" customHeight="1" x14ac:dyDescent="0.2">
      <c r="A142" s="12" t="s">
        <v>18</v>
      </c>
      <c r="B142" s="36">
        <v>46083</v>
      </c>
      <c r="C142" s="12">
        <f t="shared" si="18"/>
        <v>198</v>
      </c>
      <c r="D142" s="38">
        <f t="shared" si="19"/>
        <v>1</v>
      </c>
      <c r="E142" s="12" t="str">
        <f t="shared" si="20"/>
        <v>198</v>
      </c>
      <c r="G142" s="12" t="s">
        <v>44</v>
      </c>
      <c r="H142" s="12" t="s">
        <v>2119</v>
      </c>
      <c r="I142" s="12">
        <v>64277</v>
      </c>
      <c r="J142" s="12">
        <v>331</v>
      </c>
      <c r="K142" s="12" t="s">
        <v>20</v>
      </c>
      <c r="L142" s="12">
        <v>1</v>
      </c>
      <c r="M142" s="17">
        <v>9355</v>
      </c>
      <c r="N142" s="17">
        <f t="shared" si="21"/>
        <v>9355</v>
      </c>
      <c r="P142" s="12">
        <f t="shared" si="22"/>
        <v>99</v>
      </c>
    </row>
    <row r="143" spans="1:16" ht="15" hidden="1" customHeight="1" x14ac:dyDescent="0.2">
      <c r="A143" s="12" t="s">
        <v>18</v>
      </c>
      <c r="B143" s="36">
        <v>46083</v>
      </c>
      <c r="C143" s="12">
        <f t="shared" si="18"/>
        <v>198</v>
      </c>
      <c r="D143" s="38">
        <f t="shared" si="19"/>
        <v>0</v>
      </c>
      <c r="E143" s="12" t="str">
        <f t="shared" si="20"/>
        <v>198</v>
      </c>
      <c r="G143" s="12" t="s">
        <v>44</v>
      </c>
      <c r="H143" s="12" t="s">
        <v>2119</v>
      </c>
      <c r="I143" s="12">
        <v>1331</v>
      </c>
      <c r="J143" s="12">
        <v>331</v>
      </c>
      <c r="K143" s="12" t="s">
        <v>20</v>
      </c>
      <c r="L143" s="12">
        <v>1</v>
      </c>
      <c r="M143" s="17">
        <v>746</v>
      </c>
      <c r="N143" s="17">
        <f t="shared" si="21"/>
        <v>746</v>
      </c>
      <c r="P143" s="12">
        <f t="shared" si="22"/>
        <v>99</v>
      </c>
    </row>
    <row r="144" spans="1:16" ht="15" hidden="1" customHeight="1" x14ac:dyDescent="0.2">
      <c r="A144" s="12" t="s">
        <v>18</v>
      </c>
      <c r="B144" s="36">
        <v>46083</v>
      </c>
      <c r="C144" s="12">
        <f t="shared" si="18"/>
        <v>199</v>
      </c>
      <c r="D144" s="38">
        <f t="shared" si="19"/>
        <v>1</v>
      </c>
      <c r="E144" s="12" t="str">
        <f t="shared" si="20"/>
        <v>199</v>
      </c>
      <c r="G144" s="12" t="s">
        <v>2076</v>
      </c>
      <c r="H144" s="12" t="s">
        <v>2140</v>
      </c>
      <c r="I144" s="12">
        <v>131</v>
      </c>
      <c r="J144" s="12">
        <v>5113</v>
      </c>
      <c r="K144" s="12" t="s">
        <v>20</v>
      </c>
      <c r="L144" s="12">
        <v>1</v>
      </c>
      <c r="M144" s="17">
        <v>3333333</v>
      </c>
      <c r="N144" s="17">
        <f t="shared" si="21"/>
        <v>3333333</v>
      </c>
      <c r="P144" s="12">
        <f t="shared" si="22"/>
        <v>143</v>
      </c>
    </row>
    <row r="145" spans="1:16" ht="15" hidden="1" customHeight="1" x14ac:dyDescent="0.2">
      <c r="A145" s="12" t="s">
        <v>18</v>
      </c>
      <c r="B145" s="36">
        <v>46085</v>
      </c>
      <c r="C145" s="12">
        <f t="shared" si="18"/>
        <v>200</v>
      </c>
      <c r="D145" s="38">
        <f t="shared" si="19"/>
        <v>1</v>
      </c>
      <c r="E145" s="12" t="str">
        <f t="shared" si="20"/>
        <v>200</v>
      </c>
      <c r="G145" s="12" t="s">
        <v>56</v>
      </c>
      <c r="H145" s="12" t="s">
        <v>2142</v>
      </c>
      <c r="I145" s="12">
        <v>131</v>
      </c>
      <c r="J145" s="12">
        <v>5113</v>
      </c>
      <c r="K145" s="12" t="s">
        <v>20</v>
      </c>
      <c r="L145" s="12">
        <v>1</v>
      </c>
      <c r="M145" s="17">
        <v>11827957</v>
      </c>
      <c r="N145" s="17">
        <f t="shared" si="21"/>
        <v>11827957</v>
      </c>
      <c r="P145" s="12">
        <f t="shared" si="22"/>
        <v>173</v>
      </c>
    </row>
    <row r="146" spans="1:16" ht="15" hidden="1" customHeight="1" x14ac:dyDescent="0.2">
      <c r="A146" s="12" t="s">
        <v>18</v>
      </c>
      <c r="B146" s="36">
        <v>46085</v>
      </c>
      <c r="C146" s="12">
        <f t="shared" si="18"/>
        <v>201</v>
      </c>
      <c r="D146" s="38">
        <f t="shared" si="19"/>
        <v>1</v>
      </c>
      <c r="E146" s="12" t="str">
        <f t="shared" si="20"/>
        <v>201</v>
      </c>
      <c r="G146" s="12" t="s">
        <v>56</v>
      </c>
      <c r="H146" s="12" t="s">
        <v>2143</v>
      </c>
      <c r="I146" s="12">
        <v>131</v>
      </c>
      <c r="J146" s="12">
        <v>5113</v>
      </c>
      <c r="K146" s="12" t="s">
        <v>20</v>
      </c>
      <c r="L146" s="12">
        <v>1</v>
      </c>
      <c r="M146" s="17">
        <v>11827957</v>
      </c>
      <c r="N146" s="17">
        <f t="shared" si="21"/>
        <v>11827957</v>
      </c>
      <c r="P146" s="12">
        <f t="shared" si="22"/>
        <v>178</v>
      </c>
    </row>
    <row r="147" spans="1:16" ht="15" hidden="1" customHeight="1" x14ac:dyDescent="0.2">
      <c r="A147" s="12" t="s">
        <v>18</v>
      </c>
      <c r="B147" s="36">
        <v>46085</v>
      </c>
      <c r="C147" s="12">
        <f t="shared" si="18"/>
        <v>202</v>
      </c>
      <c r="D147" s="38">
        <f t="shared" si="19"/>
        <v>1</v>
      </c>
      <c r="E147" s="12" t="str">
        <f t="shared" si="20"/>
        <v>202</v>
      </c>
      <c r="G147" s="12" t="s">
        <v>1788</v>
      </c>
      <c r="H147" s="12" t="s">
        <v>2144</v>
      </c>
      <c r="I147" s="12">
        <v>131</v>
      </c>
      <c r="J147" s="12">
        <v>5113</v>
      </c>
      <c r="K147" s="12" t="s">
        <v>20</v>
      </c>
      <c r="L147" s="12">
        <v>1</v>
      </c>
      <c r="M147" s="17">
        <v>11111111</v>
      </c>
      <c r="N147" s="17">
        <f t="shared" si="21"/>
        <v>11111111</v>
      </c>
      <c r="P147" s="12">
        <f t="shared" si="22"/>
        <v>162</v>
      </c>
    </row>
    <row r="148" spans="1:16" ht="15" customHeight="1" x14ac:dyDescent="0.2">
      <c r="A148" s="12" t="s">
        <v>18</v>
      </c>
      <c r="B148" s="36">
        <v>46085</v>
      </c>
      <c r="C148" s="12">
        <f t="shared" si="18"/>
        <v>203</v>
      </c>
      <c r="D148" s="38">
        <f t="shared" si="19"/>
        <v>1</v>
      </c>
      <c r="E148" s="12" t="str">
        <f t="shared" si="20"/>
        <v>203</v>
      </c>
      <c r="G148" s="12" t="s">
        <v>56</v>
      </c>
      <c r="H148" s="12" t="s">
        <v>4310</v>
      </c>
      <c r="I148" s="12">
        <v>333821</v>
      </c>
      <c r="J148" s="12">
        <v>131</v>
      </c>
      <c r="K148" s="12" t="s">
        <v>20</v>
      </c>
      <c r="L148" s="12">
        <v>1</v>
      </c>
      <c r="M148" s="17">
        <v>118280</v>
      </c>
      <c r="N148" s="17">
        <f t="shared" si="21"/>
        <v>118280</v>
      </c>
      <c r="P148" s="12">
        <f t="shared" si="22"/>
        <v>189</v>
      </c>
    </row>
    <row r="149" spans="1:16" ht="15" customHeight="1" x14ac:dyDescent="0.2">
      <c r="A149" s="12" t="s">
        <v>18</v>
      </c>
      <c r="B149" s="36">
        <v>46085</v>
      </c>
      <c r="C149" s="12">
        <f t="shared" si="18"/>
        <v>204</v>
      </c>
      <c r="D149" s="38">
        <f t="shared" si="19"/>
        <v>1</v>
      </c>
      <c r="E149" s="12" t="str">
        <f t="shared" si="20"/>
        <v>204</v>
      </c>
      <c r="G149" s="12" t="s">
        <v>56</v>
      </c>
      <c r="H149" s="12" t="s">
        <v>4311</v>
      </c>
      <c r="I149" s="12">
        <v>333821</v>
      </c>
      <c r="J149" s="12">
        <v>131</v>
      </c>
      <c r="K149" s="12" t="s">
        <v>20</v>
      </c>
      <c r="L149" s="12">
        <v>1</v>
      </c>
      <c r="M149" s="17">
        <v>118280</v>
      </c>
      <c r="N149" s="17">
        <f t="shared" si="21"/>
        <v>118280</v>
      </c>
      <c r="P149" s="12">
        <f t="shared" si="22"/>
        <v>194</v>
      </c>
    </row>
    <row r="150" spans="1:16" ht="15" customHeight="1" x14ac:dyDescent="0.2">
      <c r="A150" s="12" t="s">
        <v>18</v>
      </c>
      <c r="B150" s="36">
        <v>46085</v>
      </c>
      <c r="C150" s="12">
        <f t="shared" si="18"/>
        <v>205</v>
      </c>
      <c r="D150" s="38">
        <f t="shared" si="19"/>
        <v>1</v>
      </c>
      <c r="E150" s="12" t="str">
        <f t="shared" si="20"/>
        <v>205</v>
      </c>
      <c r="G150" s="12" t="s">
        <v>1788</v>
      </c>
      <c r="H150" s="12" t="s">
        <v>4312</v>
      </c>
      <c r="I150" s="12">
        <v>333821</v>
      </c>
      <c r="J150" s="12">
        <v>131</v>
      </c>
      <c r="K150" s="12" t="s">
        <v>20</v>
      </c>
      <c r="L150" s="12">
        <v>1</v>
      </c>
      <c r="M150" s="17">
        <v>111111</v>
      </c>
      <c r="N150" s="17">
        <f t="shared" si="21"/>
        <v>111111</v>
      </c>
      <c r="P150" s="12">
        <f t="shared" si="22"/>
        <v>178</v>
      </c>
    </row>
    <row r="151" spans="1:16" ht="15" hidden="1" customHeight="1" x14ac:dyDescent="0.2">
      <c r="A151" s="12" t="s">
        <v>18</v>
      </c>
      <c r="B151" s="36">
        <v>46085</v>
      </c>
      <c r="C151" s="12">
        <f t="shared" si="18"/>
        <v>206</v>
      </c>
      <c r="D151" s="38">
        <f t="shared" si="19"/>
        <v>1</v>
      </c>
      <c r="E151" s="12" t="str">
        <f t="shared" si="20"/>
        <v>206</v>
      </c>
      <c r="G151" s="12" t="s">
        <v>2120</v>
      </c>
      <c r="H151" s="12" t="s">
        <v>2121</v>
      </c>
      <c r="I151" s="12">
        <v>64277</v>
      </c>
      <c r="J151" s="12">
        <v>331</v>
      </c>
      <c r="K151" s="12" t="s">
        <v>20</v>
      </c>
      <c r="L151" s="12">
        <v>1</v>
      </c>
      <c r="M151" s="17">
        <v>1851861</v>
      </c>
      <c r="N151" s="17">
        <f t="shared" si="21"/>
        <v>1851861</v>
      </c>
      <c r="P151" s="12">
        <f t="shared" si="22"/>
        <v>37</v>
      </c>
    </row>
    <row r="152" spans="1:16" ht="15" hidden="1" customHeight="1" x14ac:dyDescent="0.2">
      <c r="A152" s="12" t="s">
        <v>18</v>
      </c>
      <c r="B152" s="36">
        <v>46085</v>
      </c>
      <c r="C152" s="12">
        <f t="shared" si="18"/>
        <v>206</v>
      </c>
      <c r="D152" s="38">
        <f t="shared" si="19"/>
        <v>0</v>
      </c>
      <c r="E152" s="12" t="str">
        <f t="shared" si="20"/>
        <v>206</v>
      </c>
      <c r="G152" s="12" t="s">
        <v>2120</v>
      </c>
      <c r="H152" s="12" t="s">
        <v>2121</v>
      </c>
      <c r="I152" s="12">
        <v>1331</v>
      </c>
      <c r="J152" s="12">
        <v>331</v>
      </c>
      <c r="K152" s="12" t="s">
        <v>20</v>
      </c>
      <c r="L152" s="12">
        <v>1</v>
      </c>
      <c r="M152" s="17">
        <v>148149</v>
      </c>
      <c r="N152" s="17">
        <f t="shared" si="21"/>
        <v>148149</v>
      </c>
      <c r="P152" s="12">
        <f t="shared" si="22"/>
        <v>37</v>
      </c>
    </row>
    <row r="153" spans="1:16" ht="15" hidden="1" customHeight="1" x14ac:dyDescent="0.2">
      <c r="A153" s="12" t="s">
        <v>18</v>
      </c>
      <c r="B153" s="36">
        <v>46086</v>
      </c>
      <c r="C153" s="12">
        <f t="shared" si="18"/>
        <v>207</v>
      </c>
      <c r="D153" s="38">
        <f t="shared" si="19"/>
        <v>1</v>
      </c>
      <c r="E153" s="12" t="str">
        <f t="shared" si="20"/>
        <v>207</v>
      </c>
      <c r="G153" s="12" t="s">
        <v>295</v>
      </c>
      <c r="H153" s="12" t="s">
        <v>2145</v>
      </c>
      <c r="I153" s="12">
        <v>131</v>
      </c>
      <c r="J153" s="12">
        <v>5113</v>
      </c>
      <c r="K153" s="12" t="s">
        <v>20</v>
      </c>
      <c r="L153" s="12">
        <v>1</v>
      </c>
      <c r="M153" s="17">
        <v>13333333</v>
      </c>
      <c r="N153" s="17">
        <f t="shared" si="21"/>
        <v>13333333</v>
      </c>
      <c r="P153" s="12">
        <f t="shared" si="22"/>
        <v>88</v>
      </c>
    </row>
    <row r="154" spans="1:16" ht="15" customHeight="1" x14ac:dyDescent="0.2">
      <c r="A154" s="12" t="s">
        <v>18</v>
      </c>
      <c r="B154" s="36">
        <v>46086</v>
      </c>
      <c r="C154" s="12">
        <f t="shared" si="18"/>
        <v>208</v>
      </c>
      <c r="D154" s="38">
        <f t="shared" si="19"/>
        <v>1</v>
      </c>
      <c r="E154" s="12" t="str">
        <f t="shared" si="20"/>
        <v>208</v>
      </c>
      <c r="G154" s="12" t="s">
        <v>295</v>
      </c>
      <c r="H154" s="12" t="s">
        <v>4313</v>
      </c>
      <c r="I154" s="12">
        <v>333821</v>
      </c>
      <c r="J154" s="12">
        <v>131</v>
      </c>
      <c r="K154" s="12" t="s">
        <v>20</v>
      </c>
      <c r="L154" s="12">
        <v>1</v>
      </c>
      <c r="M154" s="17">
        <v>133333</v>
      </c>
      <c r="N154" s="17">
        <f t="shared" si="21"/>
        <v>133333</v>
      </c>
      <c r="P154" s="12">
        <f t="shared" si="22"/>
        <v>104</v>
      </c>
    </row>
    <row r="155" spans="1:16" ht="15" hidden="1" customHeight="1" x14ac:dyDescent="0.2">
      <c r="A155" s="12" t="s">
        <v>18</v>
      </c>
      <c r="B155" s="36">
        <v>46087</v>
      </c>
      <c r="C155" s="12">
        <f t="shared" si="18"/>
        <v>209</v>
      </c>
      <c r="D155" s="38">
        <f t="shared" si="19"/>
        <v>1</v>
      </c>
      <c r="E155" s="12" t="str">
        <f t="shared" si="20"/>
        <v>209</v>
      </c>
      <c r="G155" s="12" t="s">
        <v>24</v>
      </c>
      <c r="H155" s="12" t="s">
        <v>2123</v>
      </c>
      <c r="I155" s="12">
        <v>64277</v>
      </c>
      <c r="J155" s="12">
        <v>331</v>
      </c>
      <c r="K155" s="12" t="s">
        <v>20</v>
      </c>
      <c r="L155" s="12">
        <v>1</v>
      </c>
      <c r="M155" s="17">
        <v>127000</v>
      </c>
      <c r="N155" s="17">
        <f t="shared" si="21"/>
        <v>127000</v>
      </c>
      <c r="P155" s="12">
        <f t="shared" si="22"/>
        <v>169</v>
      </c>
    </row>
    <row r="156" spans="1:16" ht="15" hidden="1" customHeight="1" x14ac:dyDescent="0.2">
      <c r="A156" s="12" t="s">
        <v>18</v>
      </c>
      <c r="B156" s="36">
        <v>46087</v>
      </c>
      <c r="C156" s="12">
        <f t="shared" si="18"/>
        <v>209</v>
      </c>
      <c r="D156" s="38">
        <f t="shared" si="19"/>
        <v>0</v>
      </c>
      <c r="E156" s="12" t="str">
        <f t="shared" si="20"/>
        <v>209</v>
      </c>
      <c r="G156" s="12" t="s">
        <v>24</v>
      </c>
      <c r="H156" s="12" t="s">
        <v>2123</v>
      </c>
      <c r="I156" s="12">
        <v>1331</v>
      </c>
      <c r="J156" s="12">
        <v>331</v>
      </c>
      <c r="K156" s="12" t="s">
        <v>20</v>
      </c>
      <c r="L156" s="12">
        <v>1</v>
      </c>
      <c r="M156" s="17">
        <v>8856</v>
      </c>
      <c r="N156" s="17">
        <f t="shared" si="21"/>
        <v>8856</v>
      </c>
      <c r="P156" s="12">
        <f t="shared" si="22"/>
        <v>169</v>
      </c>
    </row>
    <row r="157" spans="1:16" ht="15" hidden="1" customHeight="1" x14ac:dyDescent="0.2">
      <c r="A157" s="12" t="s">
        <v>18</v>
      </c>
      <c r="B157" s="36">
        <v>46087</v>
      </c>
      <c r="C157" s="12">
        <f t="shared" si="18"/>
        <v>210</v>
      </c>
      <c r="D157" s="38">
        <f t="shared" si="19"/>
        <v>1</v>
      </c>
      <c r="E157" s="12" t="str">
        <f t="shared" si="20"/>
        <v>210</v>
      </c>
      <c r="G157" s="12" t="s">
        <v>24</v>
      </c>
      <c r="H157" s="12" t="s">
        <v>2122</v>
      </c>
      <c r="I157" s="12">
        <v>64277</v>
      </c>
      <c r="J157" s="12">
        <v>331</v>
      </c>
      <c r="K157" s="12" t="s">
        <v>20</v>
      </c>
      <c r="L157" s="12">
        <v>1</v>
      </c>
      <c r="M157" s="17">
        <v>46000</v>
      </c>
      <c r="N157" s="17">
        <f t="shared" si="21"/>
        <v>46000</v>
      </c>
      <c r="P157" s="12">
        <f t="shared" si="22"/>
        <v>169</v>
      </c>
    </row>
    <row r="158" spans="1:16" ht="15" hidden="1" customHeight="1" x14ac:dyDescent="0.2">
      <c r="A158" s="12" t="s">
        <v>18</v>
      </c>
      <c r="B158" s="36">
        <v>46087</v>
      </c>
      <c r="C158" s="12">
        <f t="shared" si="18"/>
        <v>210</v>
      </c>
      <c r="D158" s="38">
        <f t="shared" si="19"/>
        <v>0</v>
      </c>
      <c r="E158" s="12" t="str">
        <f t="shared" si="20"/>
        <v>210</v>
      </c>
      <c r="G158" s="12" t="s">
        <v>24</v>
      </c>
      <c r="H158" s="12" t="s">
        <v>2122</v>
      </c>
      <c r="I158" s="12">
        <v>1331</v>
      </c>
      <c r="J158" s="12">
        <v>331</v>
      </c>
      <c r="K158" s="12" t="s">
        <v>20</v>
      </c>
      <c r="L158" s="12">
        <v>1</v>
      </c>
      <c r="M158" s="17">
        <v>3155</v>
      </c>
      <c r="N158" s="17">
        <f t="shared" si="21"/>
        <v>3155</v>
      </c>
      <c r="P158" s="12">
        <f t="shared" si="22"/>
        <v>169</v>
      </c>
    </row>
    <row r="159" spans="1:16" ht="15" hidden="1" customHeight="1" x14ac:dyDescent="0.2">
      <c r="A159" s="12" t="s">
        <v>18</v>
      </c>
      <c r="B159" s="36">
        <v>46088</v>
      </c>
      <c r="C159" s="12">
        <f t="shared" si="18"/>
        <v>211</v>
      </c>
      <c r="D159" s="38">
        <f t="shared" si="19"/>
        <v>1</v>
      </c>
      <c r="E159" s="12" t="str">
        <f t="shared" si="20"/>
        <v>211</v>
      </c>
      <c r="G159" s="12" t="s">
        <v>19</v>
      </c>
      <c r="H159" s="12" t="s">
        <v>2125</v>
      </c>
      <c r="I159" s="12">
        <v>64277</v>
      </c>
      <c r="J159" s="12">
        <v>331</v>
      </c>
      <c r="K159" s="12" t="s">
        <v>20</v>
      </c>
      <c r="L159" s="12">
        <v>1</v>
      </c>
      <c r="M159" s="17">
        <v>79000</v>
      </c>
      <c r="N159" s="17">
        <f t="shared" si="21"/>
        <v>79000</v>
      </c>
      <c r="P159" s="12">
        <f t="shared" si="22"/>
        <v>126</v>
      </c>
    </row>
    <row r="160" spans="1:16" ht="15" hidden="1" customHeight="1" x14ac:dyDescent="0.2">
      <c r="A160" s="12" t="s">
        <v>18</v>
      </c>
      <c r="B160" s="36">
        <v>46088</v>
      </c>
      <c r="C160" s="12">
        <f t="shared" si="18"/>
        <v>211</v>
      </c>
      <c r="D160" s="38">
        <f t="shared" si="19"/>
        <v>0</v>
      </c>
      <c r="E160" s="12" t="str">
        <f t="shared" si="20"/>
        <v>211</v>
      </c>
      <c r="G160" s="12" t="s">
        <v>19</v>
      </c>
      <c r="H160" s="12" t="s">
        <v>2125</v>
      </c>
      <c r="I160" s="12">
        <v>1331</v>
      </c>
      <c r="J160" s="12">
        <v>331</v>
      </c>
      <c r="K160" s="12" t="s">
        <v>20</v>
      </c>
      <c r="L160" s="12">
        <v>1</v>
      </c>
      <c r="M160" s="17">
        <v>5851</v>
      </c>
      <c r="N160" s="17">
        <f t="shared" si="21"/>
        <v>5851</v>
      </c>
      <c r="P160" s="12">
        <f t="shared" si="22"/>
        <v>126</v>
      </c>
    </row>
    <row r="161" spans="1:16" ht="15" hidden="1" customHeight="1" x14ac:dyDescent="0.2">
      <c r="A161" s="12" t="s">
        <v>18</v>
      </c>
      <c r="B161" s="36">
        <v>46088</v>
      </c>
      <c r="C161" s="12">
        <f t="shared" si="18"/>
        <v>212</v>
      </c>
      <c r="D161" s="38">
        <f t="shared" si="19"/>
        <v>1</v>
      </c>
      <c r="E161" s="12" t="str">
        <f t="shared" si="20"/>
        <v>212</v>
      </c>
      <c r="G161" s="12" t="s">
        <v>24</v>
      </c>
      <c r="H161" s="12" t="s">
        <v>2124</v>
      </c>
      <c r="I161" s="12">
        <v>64277</v>
      </c>
      <c r="J161" s="12">
        <v>331</v>
      </c>
      <c r="K161" s="12" t="s">
        <v>20</v>
      </c>
      <c r="L161" s="12">
        <v>1</v>
      </c>
      <c r="M161" s="17">
        <v>109000</v>
      </c>
      <c r="N161" s="17">
        <f t="shared" si="21"/>
        <v>109000</v>
      </c>
      <c r="P161" s="12">
        <f t="shared" si="22"/>
        <v>169</v>
      </c>
    </row>
    <row r="162" spans="1:16" ht="15" hidden="1" customHeight="1" x14ac:dyDescent="0.2">
      <c r="A162" s="12" t="s">
        <v>18</v>
      </c>
      <c r="B162" s="36">
        <v>46088</v>
      </c>
      <c r="C162" s="12">
        <f t="shared" si="18"/>
        <v>212</v>
      </c>
      <c r="D162" s="38">
        <f t="shared" si="19"/>
        <v>0</v>
      </c>
      <c r="E162" s="12" t="str">
        <f t="shared" si="20"/>
        <v>212</v>
      </c>
      <c r="G162" s="12" t="s">
        <v>24</v>
      </c>
      <c r="H162" s="12" t="s">
        <v>2124</v>
      </c>
      <c r="I162" s="12">
        <v>1331</v>
      </c>
      <c r="J162" s="12">
        <v>331</v>
      </c>
      <c r="K162" s="12" t="s">
        <v>20</v>
      </c>
      <c r="L162" s="12">
        <v>1</v>
      </c>
      <c r="M162" s="17">
        <v>7470</v>
      </c>
      <c r="N162" s="17">
        <f t="shared" si="21"/>
        <v>7470</v>
      </c>
      <c r="P162" s="12">
        <f t="shared" si="22"/>
        <v>169</v>
      </c>
    </row>
    <row r="163" spans="1:16" ht="15" hidden="1" customHeight="1" x14ac:dyDescent="0.2">
      <c r="A163" s="12" t="s">
        <v>18</v>
      </c>
      <c r="B163" s="36">
        <v>46091</v>
      </c>
      <c r="C163" s="12">
        <f t="shared" si="18"/>
        <v>213</v>
      </c>
      <c r="D163" s="38">
        <f t="shared" si="19"/>
        <v>1</v>
      </c>
      <c r="E163" s="12" t="str">
        <f t="shared" si="20"/>
        <v>213</v>
      </c>
      <c r="G163" s="12" t="s">
        <v>1785</v>
      </c>
      <c r="H163" s="12" t="s">
        <v>2147</v>
      </c>
      <c r="I163" s="12">
        <v>131</v>
      </c>
      <c r="J163" s="12">
        <v>5113</v>
      </c>
      <c r="K163" s="12" t="s">
        <v>20</v>
      </c>
      <c r="L163" s="12">
        <v>1</v>
      </c>
      <c r="M163" s="17">
        <v>13333333</v>
      </c>
      <c r="N163" s="17">
        <f t="shared" si="21"/>
        <v>13333333</v>
      </c>
      <c r="P163" s="12">
        <f t="shared" si="22"/>
        <v>107</v>
      </c>
    </row>
    <row r="164" spans="1:16" ht="15" hidden="1" customHeight="1" x14ac:dyDescent="0.2">
      <c r="A164" s="12" t="s">
        <v>18</v>
      </c>
      <c r="B164" s="36">
        <v>46091</v>
      </c>
      <c r="C164" s="12">
        <f t="shared" ref="C164:C186" si="23">C163+D164</f>
        <v>214</v>
      </c>
      <c r="D164" s="38">
        <f t="shared" ref="D164:D186" si="24">IF(H164=H163,0,1)</f>
        <v>1</v>
      </c>
      <c r="E164" s="12" t="str">
        <f t="shared" ref="E164:E186" si="25">TEXT(C164,"000")</f>
        <v>214</v>
      </c>
      <c r="G164" s="12" t="s">
        <v>106</v>
      </c>
      <c r="H164" s="12" t="s">
        <v>2148</v>
      </c>
      <c r="I164" s="12">
        <v>131</v>
      </c>
      <c r="J164" s="12">
        <v>5113</v>
      </c>
      <c r="K164" s="12" t="s">
        <v>20</v>
      </c>
      <c r="L164" s="12">
        <v>1</v>
      </c>
      <c r="M164" s="17">
        <v>12903226</v>
      </c>
      <c r="N164" s="17">
        <f t="shared" ref="N164:N186" si="26">L164*M164</f>
        <v>12903226</v>
      </c>
      <c r="P164" s="12">
        <f t="shared" si="22"/>
        <v>104</v>
      </c>
    </row>
    <row r="165" spans="1:16" ht="15" customHeight="1" x14ac:dyDescent="0.2">
      <c r="A165" s="12" t="s">
        <v>18</v>
      </c>
      <c r="B165" s="36">
        <v>46091</v>
      </c>
      <c r="C165" s="12">
        <f t="shared" si="23"/>
        <v>215</v>
      </c>
      <c r="D165" s="38">
        <f t="shared" si="24"/>
        <v>1</v>
      </c>
      <c r="E165" s="12" t="str">
        <f t="shared" si="25"/>
        <v>215</v>
      </c>
      <c r="G165" s="12" t="s">
        <v>1785</v>
      </c>
      <c r="H165" s="12" t="s">
        <v>4315</v>
      </c>
      <c r="I165" s="12">
        <v>333821</v>
      </c>
      <c r="J165" s="12">
        <v>131</v>
      </c>
      <c r="K165" s="12" t="s">
        <v>20</v>
      </c>
      <c r="L165" s="12">
        <v>1</v>
      </c>
      <c r="M165" s="17">
        <v>133333</v>
      </c>
      <c r="N165" s="17">
        <f t="shared" si="26"/>
        <v>133333</v>
      </c>
      <c r="P165" s="12">
        <f t="shared" si="22"/>
        <v>123</v>
      </c>
    </row>
    <row r="166" spans="1:16" ht="15" customHeight="1" x14ac:dyDescent="0.2">
      <c r="A166" s="12" t="s">
        <v>18</v>
      </c>
      <c r="B166" s="36">
        <v>46091</v>
      </c>
      <c r="C166" s="12">
        <f t="shared" si="23"/>
        <v>216</v>
      </c>
      <c r="D166" s="38">
        <f t="shared" si="24"/>
        <v>1</v>
      </c>
      <c r="E166" s="12" t="str">
        <f t="shared" si="25"/>
        <v>216</v>
      </c>
      <c r="G166" s="12" t="s">
        <v>106</v>
      </c>
      <c r="H166" s="12" t="s">
        <v>4316</v>
      </c>
      <c r="I166" s="12">
        <v>333821</v>
      </c>
      <c r="J166" s="12">
        <v>131</v>
      </c>
      <c r="K166" s="12" t="s">
        <v>20</v>
      </c>
      <c r="L166" s="12">
        <v>1</v>
      </c>
      <c r="M166" s="17">
        <v>0</v>
      </c>
      <c r="N166" s="17">
        <f t="shared" si="26"/>
        <v>0</v>
      </c>
      <c r="P166" s="12">
        <f t="shared" si="22"/>
        <v>120</v>
      </c>
    </row>
    <row r="167" spans="1:16" ht="15" customHeight="1" x14ac:dyDescent="0.2">
      <c r="A167" s="12" t="s">
        <v>18</v>
      </c>
      <c r="B167" s="36">
        <v>46091</v>
      </c>
      <c r="C167" s="12">
        <f t="shared" si="23"/>
        <v>217</v>
      </c>
      <c r="D167" s="38">
        <f t="shared" si="24"/>
        <v>1</v>
      </c>
      <c r="E167" s="12" t="str">
        <f t="shared" si="25"/>
        <v>217</v>
      </c>
      <c r="G167" s="12" t="s">
        <v>57</v>
      </c>
      <c r="H167" s="12" t="s">
        <v>4314</v>
      </c>
      <c r="I167" s="12">
        <v>333821</v>
      </c>
      <c r="J167" s="12">
        <v>131</v>
      </c>
      <c r="K167" s="12" t="s">
        <v>20</v>
      </c>
      <c r="L167" s="12">
        <v>1</v>
      </c>
      <c r="M167" s="17">
        <v>188889</v>
      </c>
      <c r="N167" s="17">
        <f t="shared" si="26"/>
        <v>188889</v>
      </c>
      <c r="P167" s="12">
        <f t="shared" si="22"/>
        <v>182</v>
      </c>
    </row>
    <row r="168" spans="1:16" ht="15" hidden="1" customHeight="1" x14ac:dyDescent="0.2">
      <c r="A168" s="12" t="s">
        <v>18</v>
      </c>
      <c r="B168" s="36">
        <v>46091</v>
      </c>
      <c r="C168" s="12">
        <f t="shared" si="23"/>
        <v>218</v>
      </c>
      <c r="D168" s="38">
        <f t="shared" si="24"/>
        <v>1</v>
      </c>
      <c r="E168" s="12" t="str">
        <f t="shared" si="25"/>
        <v>218</v>
      </c>
      <c r="G168" s="12" t="s">
        <v>57</v>
      </c>
      <c r="H168" s="12" t="s">
        <v>2146</v>
      </c>
      <c r="I168" s="12">
        <v>131</v>
      </c>
      <c r="J168" s="12">
        <v>5113</v>
      </c>
      <c r="K168" s="12" t="s">
        <v>20</v>
      </c>
      <c r="L168" s="12">
        <v>1</v>
      </c>
      <c r="M168" s="17">
        <v>18888889</v>
      </c>
      <c r="N168" s="17">
        <f t="shared" si="26"/>
        <v>18888889</v>
      </c>
      <c r="P168" s="12">
        <f t="shared" si="22"/>
        <v>166</v>
      </c>
    </row>
    <row r="169" spans="1:16" ht="15" hidden="1" customHeight="1" x14ac:dyDescent="0.2">
      <c r="A169" s="12" t="s">
        <v>18</v>
      </c>
      <c r="B169" s="36">
        <v>46097</v>
      </c>
      <c r="C169" s="12">
        <f t="shared" si="23"/>
        <v>219</v>
      </c>
      <c r="D169" s="38">
        <f t="shared" si="24"/>
        <v>1</v>
      </c>
      <c r="E169" s="12" t="str">
        <f t="shared" si="25"/>
        <v>219</v>
      </c>
      <c r="G169" s="130" t="s">
        <v>39</v>
      </c>
      <c r="H169" s="12" t="s">
        <v>2149</v>
      </c>
      <c r="I169" s="12">
        <v>131</v>
      </c>
      <c r="J169" s="12">
        <v>5113</v>
      </c>
      <c r="K169" s="12" t="s">
        <v>20</v>
      </c>
      <c r="L169" s="12">
        <v>1</v>
      </c>
      <c r="M169" s="17">
        <v>13333333</v>
      </c>
      <c r="N169" s="17">
        <f t="shared" si="26"/>
        <v>13333333</v>
      </c>
      <c r="P169" s="12">
        <f t="shared" si="22"/>
        <v>70</v>
      </c>
    </row>
    <row r="170" spans="1:16" ht="15" customHeight="1" x14ac:dyDescent="0.2">
      <c r="A170" s="12" t="s">
        <v>18</v>
      </c>
      <c r="B170" s="36">
        <v>46097</v>
      </c>
      <c r="C170" s="12">
        <f t="shared" si="23"/>
        <v>220</v>
      </c>
      <c r="D170" s="38">
        <f t="shared" si="24"/>
        <v>1</v>
      </c>
      <c r="E170" s="12" t="str">
        <f t="shared" si="25"/>
        <v>220</v>
      </c>
      <c r="G170" s="130" t="s">
        <v>39</v>
      </c>
      <c r="H170" s="12" t="s">
        <v>4317</v>
      </c>
      <c r="I170" s="12">
        <v>333821</v>
      </c>
      <c r="J170" s="12">
        <v>131</v>
      </c>
      <c r="K170" s="12" t="s">
        <v>20</v>
      </c>
      <c r="L170" s="12">
        <v>1</v>
      </c>
      <c r="M170" s="17">
        <v>133333</v>
      </c>
      <c r="N170" s="17">
        <f t="shared" si="26"/>
        <v>133333</v>
      </c>
      <c r="P170" s="12">
        <f t="shared" si="22"/>
        <v>86</v>
      </c>
    </row>
    <row r="171" spans="1:16" ht="15" hidden="1" customHeight="1" x14ac:dyDescent="0.2">
      <c r="A171" s="12" t="s">
        <v>18</v>
      </c>
      <c r="B171" s="36">
        <v>46097</v>
      </c>
      <c r="C171" s="12">
        <f t="shared" si="23"/>
        <v>221</v>
      </c>
      <c r="D171" s="38">
        <f t="shared" si="24"/>
        <v>1</v>
      </c>
      <c r="E171" s="12" t="str">
        <f t="shared" si="25"/>
        <v>221</v>
      </c>
      <c r="G171" s="12" t="s">
        <v>35</v>
      </c>
      <c r="H171" s="12" t="s">
        <v>2126</v>
      </c>
      <c r="I171" s="12">
        <v>64277</v>
      </c>
      <c r="J171" s="12">
        <v>331</v>
      </c>
      <c r="K171" s="12" t="s">
        <v>20</v>
      </c>
      <c r="L171" s="12">
        <v>1</v>
      </c>
      <c r="M171" s="17">
        <v>3000000</v>
      </c>
      <c r="N171" s="17">
        <f t="shared" si="26"/>
        <v>3000000</v>
      </c>
      <c r="P171" s="12">
        <f t="shared" si="22"/>
        <v>41</v>
      </c>
    </row>
    <row r="172" spans="1:16" ht="15" hidden="1" customHeight="1" x14ac:dyDescent="0.2">
      <c r="A172" s="12" t="s">
        <v>18</v>
      </c>
      <c r="B172" s="36">
        <v>46097</v>
      </c>
      <c r="C172" s="12">
        <f t="shared" si="23"/>
        <v>221</v>
      </c>
      <c r="D172" s="38">
        <f t="shared" si="24"/>
        <v>0</v>
      </c>
      <c r="E172" s="12" t="str">
        <f t="shared" si="25"/>
        <v>221</v>
      </c>
      <c r="G172" s="12" t="s">
        <v>35</v>
      </c>
      <c r="H172" s="12" t="s">
        <v>2126</v>
      </c>
      <c r="I172" s="12">
        <v>1331</v>
      </c>
      <c r="J172" s="12">
        <v>331</v>
      </c>
      <c r="K172" s="12" t="s">
        <v>20</v>
      </c>
      <c r="L172" s="12">
        <v>1</v>
      </c>
      <c r="M172" s="17">
        <v>240000</v>
      </c>
      <c r="N172" s="17">
        <f t="shared" si="26"/>
        <v>240000</v>
      </c>
      <c r="P172" s="12">
        <f t="shared" si="22"/>
        <v>41</v>
      </c>
    </row>
    <row r="173" spans="1:16" ht="15" hidden="1" customHeight="1" x14ac:dyDescent="0.2">
      <c r="A173" s="12" t="s">
        <v>18</v>
      </c>
      <c r="B173" s="36">
        <v>46098</v>
      </c>
      <c r="C173" s="12">
        <f t="shared" si="23"/>
        <v>222</v>
      </c>
      <c r="D173" s="38">
        <f t="shared" si="24"/>
        <v>1</v>
      </c>
      <c r="E173" s="12" t="str">
        <f t="shared" si="25"/>
        <v>222</v>
      </c>
      <c r="G173" s="12" t="s">
        <v>1779</v>
      </c>
      <c r="H173" s="12" t="s">
        <v>2150</v>
      </c>
      <c r="I173" s="12">
        <v>131</v>
      </c>
      <c r="J173" s="12">
        <v>5113</v>
      </c>
      <c r="K173" s="12" t="s">
        <v>20</v>
      </c>
      <c r="L173" s="12">
        <v>1</v>
      </c>
      <c r="M173" s="17">
        <v>13333333</v>
      </c>
      <c r="N173" s="17">
        <f t="shared" si="26"/>
        <v>13333333</v>
      </c>
      <c r="P173" s="12">
        <f t="shared" si="22"/>
        <v>193</v>
      </c>
    </row>
    <row r="174" spans="1:16" ht="15" hidden="1" customHeight="1" x14ac:dyDescent="0.2">
      <c r="A174" s="12" t="s">
        <v>18</v>
      </c>
      <c r="B174" s="36">
        <v>46098</v>
      </c>
      <c r="C174" s="12">
        <f t="shared" si="23"/>
        <v>223</v>
      </c>
      <c r="D174" s="38">
        <f t="shared" si="24"/>
        <v>1</v>
      </c>
      <c r="E174" s="12" t="str">
        <f t="shared" si="25"/>
        <v>223</v>
      </c>
      <c r="G174" s="12" t="s">
        <v>2151</v>
      </c>
      <c r="H174" s="12" t="s">
        <v>2152</v>
      </c>
      <c r="I174" s="12">
        <v>131</v>
      </c>
      <c r="J174" s="12">
        <v>5113</v>
      </c>
      <c r="K174" s="12" t="s">
        <v>20</v>
      </c>
      <c r="L174" s="12">
        <v>1</v>
      </c>
      <c r="M174" s="17">
        <v>13333333</v>
      </c>
      <c r="N174" s="17">
        <f t="shared" si="26"/>
        <v>13333333</v>
      </c>
      <c r="P174" s="12">
        <f t="shared" si="22"/>
        <v>92</v>
      </c>
    </row>
    <row r="175" spans="1:16" ht="15" customHeight="1" x14ac:dyDescent="0.2">
      <c r="A175" s="12" t="s">
        <v>18</v>
      </c>
      <c r="B175" s="36">
        <v>46098</v>
      </c>
      <c r="C175" s="12">
        <f t="shared" si="23"/>
        <v>224</v>
      </c>
      <c r="D175" s="38">
        <f t="shared" si="24"/>
        <v>1</v>
      </c>
      <c r="E175" s="12" t="str">
        <f t="shared" si="25"/>
        <v>224</v>
      </c>
      <c r="G175" s="12" t="s">
        <v>1779</v>
      </c>
      <c r="H175" s="12" t="s">
        <v>4354</v>
      </c>
      <c r="I175" s="12">
        <v>333821</v>
      </c>
      <c r="J175" s="12">
        <v>131</v>
      </c>
      <c r="K175" s="12" t="s">
        <v>20</v>
      </c>
      <c r="L175" s="12">
        <v>1</v>
      </c>
      <c r="M175" s="17">
        <v>133333</v>
      </c>
      <c r="N175" s="17">
        <f t="shared" si="26"/>
        <v>133333</v>
      </c>
      <c r="P175" s="12">
        <f t="shared" si="22"/>
        <v>155</v>
      </c>
    </row>
    <row r="176" spans="1:16" ht="15" customHeight="1" x14ac:dyDescent="0.2">
      <c r="A176" s="12" t="s">
        <v>18</v>
      </c>
      <c r="B176" s="36">
        <v>46098</v>
      </c>
      <c r="C176" s="12">
        <f t="shared" si="23"/>
        <v>225</v>
      </c>
      <c r="D176" s="38">
        <f t="shared" si="24"/>
        <v>1</v>
      </c>
      <c r="E176" s="12" t="str">
        <f t="shared" si="25"/>
        <v>225</v>
      </c>
      <c r="G176" s="12" t="s">
        <v>2151</v>
      </c>
      <c r="H176" s="12" t="s">
        <v>4318</v>
      </c>
      <c r="I176" s="12">
        <v>333821</v>
      </c>
      <c r="J176" s="12">
        <v>131</v>
      </c>
      <c r="K176" s="12" t="s">
        <v>20</v>
      </c>
      <c r="L176" s="12">
        <v>1</v>
      </c>
      <c r="M176" s="17">
        <v>133333</v>
      </c>
      <c r="N176" s="17">
        <f t="shared" si="26"/>
        <v>133333</v>
      </c>
      <c r="P176" s="12">
        <f t="shared" si="22"/>
        <v>108</v>
      </c>
    </row>
    <row r="177" spans="1:16" ht="15" hidden="1" customHeight="1" x14ac:dyDescent="0.2">
      <c r="A177" s="12" t="s">
        <v>18</v>
      </c>
      <c r="B177" s="36">
        <v>46103</v>
      </c>
      <c r="C177" s="12">
        <f t="shared" si="23"/>
        <v>226</v>
      </c>
      <c r="D177" s="38">
        <f t="shared" si="24"/>
        <v>1</v>
      </c>
      <c r="E177" s="12" t="str">
        <f t="shared" si="25"/>
        <v>226</v>
      </c>
      <c r="G177" s="12" t="s">
        <v>19</v>
      </c>
      <c r="H177" s="12" t="s">
        <v>2127</v>
      </c>
      <c r="I177" s="12">
        <v>64277</v>
      </c>
      <c r="J177" s="12">
        <v>331</v>
      </c>
      <c r="K177" s="12" t="s">
        <v>20</v>
      </c>
      <c r="L177" s="12">
        <v>1</v>
      </c>
      <c r="M177" s="17">
        <v>7000</v>
      </c>
      <c r="N177" s="17">
        <f t="shared" si="26"/>
        <v>7000</v>
      </c>
      <c r="P177" s="12">
        <f t="shared" si="22"/>
        <v>169</v>
      </c>
    </row>
    <row r="178" spans="1:16" ht="15" hidden="1" customHeight="1" x14ac:dyDescent="0.2">
      <c r="A178" s="12" t="s">
        <v>18</v>
      </c>
      <c r="B178" s="36">
        <v>46103</v>
      </c>
      <c r="C178" s="12">
        <f t="shared" si="23"/>
        <v>226</v>
      </c>
      <c r="D178" s="38">
        <f t="shared" si="24"/>
        <v>0</v>
      </c>
      <c r="E178" s="12" t="str">
        <f t="shared" si="25"/>
        <v>226</v>
      </c>
      <c r="G178" s="12" t="s">
        <v>19</v>
      </c>
      <c r="H178" s="12" t="s">
        <v>2127</v>
      </c>
      <c r="I178" s="12">
        <v>1331</v>
      </c>
      <c r="J178" s="12">
        <v>331</v>
      </c>
      <c r="K178" s="12" t="s">
        <v>20</v>
      </c>
      <c r="L178" s="12">
        <v>1</v>
      </c>
      <c r="M178" s="17">
        <v>296</v>
      </c>
      <c r="N178" s="17">
        <f t="shared" si="26"/>
        <v>296</v>
      </c>
      <c r="P178" s="12">
        <f t="shared" si="22"/>
        <v>169</v>
      </c>
    </row>
    <row r="179" spans="1:16" ht="15" customHeight="1" x14ac:dyDescent="0.2">
      <c r="A179" s="12" t="s">
        <v>18</v>
      </c>
      <c r="B179" s="36">
        <v>46104</v>
      </c>
      <c r="C179" s="12">
        <f t="shared" si="23"/>
        <v>227</v>
      </c>
      <c r="D179" s="38">
        <f t="shared" si="24"/>
        <v>1</v>
      </c>
      <c r="E179" s="12" t="str">
        <f t="shared" si="25"/>
        <v>227</v>
      </c>
      <c r="G179" s="12" t="s">
        <v>2153</v>
      </c>
      <c r="H179" s="12" t="s">
        <v>4319</v>
      </c>
      <c r="I179" s="12">
        <v>333821</v>
      </c>
      <c r="J179" s="12">
        <v>131</v>
      </c>
      <c r="K179" s="12" t="s">
        <v>20</v>
      </c>
      <c r="L179" s="12">
        <v>1</v>
      </c>
      <c r="M179" s="17">
        <v>33333</v>
      </c>
      <c r="N179" s="17">
        <f t="shared" si="26"/>
        <v>33333</v>
      </c>
      <c r="P179" s="12">
        <f t="shared" si="22"/>
        <v>106</v>
      </c>
    </row>
    <row r="180" spans="1:16" ht="15" hidden="1" customHeight="1" x14ac:dyDescent="0.2">
      <c r="A180" s="12" t="s">
        <v>18</v>
      </c>
      <c r="B180" s="36">
        <v>46104</v>
      </c>
      <c r="C180" s="12">
        <f t="shared" si="23"/>
        <v>228</v>
      </c>
      <c r="D180" s="38">
        <f t="shared" si="24"/>
        <v>1</v>
      </c>
      <c r="E180" s="12" t="str">
        <f t="shared" si="25"/>
        <v>228</v>
      </c>
      <c r="G180" s="12" t="s">
        <v>2153</v>
      </c>
      <c r="H180" s="12" t="s">
        <v>2154</v>
      </c>
      <c r="I180" s="12">
        <v>131</v>
      </c>
      <c r="J180" s="12">
        <v>5113</v>
      </c>
      <c r="K180" s="12" t="s">
        <v>20</v>
      </c>
      <c r="L180" s="12">
        <v>1</v>
      </c>
      <c r="M180" s="17">
        <v>3333333</v>
      </c>
      <c r="N180" s="17">
        <f t="shared" si="26"/>
        <v>3333333</v>
      </c>
      <c r="P180" s="12">
        <f t="shared" si="22"/>
        <v>90</v>
      </c>
    </row>
    <row r="181" spans="1:16" ht="15" hidden="1" customHeight="1" x14ac:dyDescent="0.2">
      <c r="A181" s="12" t="s">
        <v>18</v>
      </c>
      <c r="B181" s="36">
        <v>46106</v>
      </c>
      <c r="C181" s="12">
        <f t="shared" si="23"/>
        <v>229</v>
      </c>
      <c r="D181" s="38">
        <f t="shared" si="24"/>
        <v>1</v>
      </c>
      <c r="E181" s="12" t="str">
        <f t="shared" si="25"/>
        <v>229</v>
      </c>
      <c r="G181" s="12" t="s">
        <v>19</v>
      </c>
      <c r="H181" s="12" t="s">
        <v>2128</v>
      </c>
      <c r="I181" s="12">
        <v>64277</v>
      </c>
      <c r="J181" s="12">
        <v>331</v>
      </c>
      <c r="K181" s="12" t="s">
        <v>20</v>
      </c>
      <c r="L181" s="12">
        <v>1</v>
      </c>
      <c r="M181" s="17">
        <v>20000</v>
      </c>
      <c r="N181" s="17">
        <f t="shared" si="26"/>
        <v>20000</v>
      </c>
      <c r="P181" s="12">
        <f t="shared" si="22"/>
        <v>169</v>
      </c>
    </row>
    <row r="182" spans="1:16" ht="15" hidden="1" customHeight="1" x14ac:dyDescent="0.2">
      <c r="A182" s="12" t="s">
        <v>18</v>
      </c>
      <c r="B182" s="36">
        <v>46106</v>
      </c>
      <c r="C182" s="12">
        <f t="shared" si="23"/>
        <v>229</v>
      </c>
      <c r="D182" s="38">
        <f t="shared" si="24"/>
        <v>0</v>
      </c>
      <c r="E182" s="12" t="str">
        <f t="shared" si="25"/>
        <v>229</v>
      </c>
      <c r="G182" s="12" t="s">
        <v>19</v>
      </c>
      <c r="H182" s="12" t="s">
        <v>2128</v>
      </c>
      <c r="I182" s="12">
        <v>1331</v>
      </c>
      <c r="J182" s="12">
        <v>331</v>
      </c>
      <c r="K182" s="12" t="s">
        <v>20</v>
      </c>
      <c r="L182" s="12">
        <v>1</v>
      </c>
      <c r="M182" s="17">
        <v>1358</v>
      </c>
      <c r="N182" s="17">
        <f t="shared" si="26"/>
        <v>1358</v>
      </c>
      <c r="P182" s="12">
        <f t="shared" si="22"/>
        <v>169</v>
      </c>
    </row>
    <row r="183" spans="1:16" ht="15" hidden="1" customHeight="1" x14ac:dyDescent="0.2">
      <c r="A183" s="12" t="s">
        <v>18</v>
      </c>
      <c r="B183" s="36">
        <v>46112</v>
      </c>
      <c r="C183" s="12">
        <f t="shared" si="23"/>
        <v>230</v>
      </c>
      <c r="D183" s="38">
        <f t="shared" si="24"/>
        <v>1</v>
      </c>
      <c r="E183" s="12" t="str">
        <f t="shared" si="25"/>
        <v>230</v>
      </c>
      <c r="G183" s="12" t="s">
        <v>928</v>
      </c>
      <c r="H183" s="12" t="s">
        <v>2157</v>
      </c>
      <c r="I183" s="12">
        <v>131</v>
      </c>
      <c r="J183" s="12">
        <v>5113</v>
      </c>
      <c r="K183" s="12" t="s">
        <v>20</v>
      </c>
      <c r="L183" s="12">
        <v>1</v>
      </c>
      <c r="M183" s="17">
        <v>13333333</v>
      </c>
      <c r="N183" s="17">
        <f t="shared" si="26"/>
        <v>13333333</v>
      </c>
      <c r="P183" s="12">
        <f t="shared" si="22"/>
        <v>128</v>
      </c>
    </row>
    <row r="184" spans="1:16" ht="15" hidden="1" customHeight="1" x14ac:dyDescent="0.2">
      <c r="A184" s="12" t="s">
        <v>18</v>
      </c>
      <c r="B184" s="36">
        <v>46112</v>
      </c>
      <c r="C184" s="12">
        <f t="shared" si="23"/>
        <v>231</v>
      </c>
      <c r="D184" s="38">
        <f t="shared" si="24"/>
        <v>1</v>
      </c>
      <c r="E184" s="12" t="str">
        <f t="shared" si="25"/>
        <v>231</v>
      </c>
      <c r="G184" s="12" t="s">
        <v>2155</v>
      </c>
      <c r="H184" s="12" t="s">
        <v>2156</v>
      </c>
      <c r="I184" s="12">
        <v>131</v>
      </c>
      <c r="J184" s="12">
        <v>5113</v>
      </c>
      <c r="K184" s="12" t="s">
        <v>20</v>
      </c>
      <c r="L184" s="12">
        <v>1</v>
      </c>
      <c r="M184" s="17">
        <v>13333333</v>
      </c>
      <c r="N184" s="17">
        <f t="shared" si="26"/>
        <v>13333333</v>
      </c>
      <c r="P184" s="12">
        <f t="shared" si="22"/>
        <v>169</v>
      </c>
    </row>
    <row r="185" spans="1:16" ht="15" customHeight="1" x14ac:dyDescent="0.2">
      <c r="A185" s="12" t="s">
        <v>18</v>
      </c>
      <c r="B185" s="36">
        <v>46112</v>
      </c>
      <c r="C185" s="12">
        <f t="shared" si="23"/>
        <v>232</v>
      </c>
      <c r="D185" s="38">
        <f t="shared" si="24"/>
        <v>1</v>
      </c>
      <c r="E185" s="12" t="str">
        <f t="shared" si="25"/>
        <v>232</v>
      </c>
      <c r="G185" s="12" t="s">
        <v>928</v>
      </c>
      <c r="H185" s="12" t="s">
        <v>4321</v>
      </c>
      <c r="I185" s="12">
        <v>333821</v>
      </c>
      <c r="J185" s="12">
        <v>131</v>
      </c>
      <c r="K185" s="12" t="s">
        <v>20</v>
      </c>
      <c r="L185" s="12">
        <v>1</v>
      </c>
      <c r="M185" s="17">
        <v>133333</v>
      </c>
      <c r="N185" s="17">
        <f t="shared" si="26"/>
        <v>133333</v>
      </c>
      <c r="P185" s="12">
        <f t="shared" si="22"/>
        <v>144</v>
      </c>
    </row>
    <row r="186" spans="1:16" ht="15" customHeight="1" x14ac:dyDescent="0.2">
      <c r="A186" s="12" t="s">
        <v>18</v>
      </c>
      <c r="B186" s="36">
        <v>46112</v>
      </c>
      <c r="C186" s="12">
        <f t="shared" si="23"/>
        <v>233</v>
      </c>
      <c r="D186" s="38">
        <f t="shared" si="24"/>
        <v>1</v>
      </c>
      <c r="E186" s="12" t="str">
        <f t="shared" si="25"/>
        <v>233</v>
      </c>
      <c r="G186" s="12" t="s">
        <v>2155</v>
      </c>
      <c r="H186" s="12" t="s">
        <v>4320</v>
      </c>
      <c r="I186" s="12">
        <v>333821</v>
      </c>
      <c r="J186" s="12">
        <v>131</v>
      </c>
      <c r="K186" s="12" t="s">
        <v>20</v>
      </c>
      <c r="L186" s="12">
        <v>1</v>
      </c>
      <c r="M186" s="17">
        <v>133333</v>
      </c>
      <c r="N186" s="17">
        <f t="shared" si="26"/>
        <v>133333</v>
      </c>
      <c r="P186" s="12">
        <f t="shared" si="22"/>
        <v>185</v>
      </c>
    </row>
  </sheetData>
  <autoFilter ref="A3:P186" xr:uid="{00000000-0009-0000-0000-00001C000000}">
    <filterColumn colId="8">
      <filters>
        <filter val="333821"/>
      </filters>
    </filterColumn>
    <filterColumn colId="9">
      <filters>
        <filter val="131"/>
      </filters>
    </filterColumn>
    <sortState xmlns:xlrd2="http://schemas.microsoft.com/office/spreadsheetml/2017/richdata2" ref="A4:P186">
      <sortCondition ref="A4:A186"/>
      <sortCondition ref="B4:B186"/>
      <sortCondition ref="H4:H186"/>
    </sortState>
  </autoFilter>
  <mergeCells count="13">
    <mergeCell ref="F1:F2"/>
    <mergeCell ref="A1:A2"/>
    <mergeCell ref="B1:B2"/>
    <mergeCell ref="C1:C2"/>
    <mergeCell ref="D1:D2"/>
    <mergeCell ref="E1:E2"/>
    <mergeCell ref="N1:N2"/>
    <mergeCell ref="G1:G2"/>
    <mergeCell ref="H1:H2"/>
    <mergeCell ref="I1:J1"/>
    <mergeCell ref="K1:K2"/>
    <mergeCell ref="L1:L2"/>
    <mergeCell ref="M1:M2"/>
  </mergeCells>
  <hyperlinks>
    <hyperlink ref="P1" location="Summary!A1" display="Back to summary"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filterMode="1">
    <tabColor rgb="FF92D050"/>
  </sheetPr>
  <dimension ref="A1:AC149"/>
  <sheetViews>
    <sheetView workbookViewId="0">
      <selection activeCell="M68" sqref="M68:M112"/>
    </sheetView>
  </sheetViews>
  <sheetFormatPr defaultRowHeight="15" customHeight="1" x14ac:dyDescent="0.2"/>
  <cols>
    <col min="1" max="7" width="9.140625" style="12"/>
    <col min="8" max="8" width="27.7109375" style="12" customWidth="1"/>
    <col min="9" max="12" width="9.140625" style="12"/>
    <col min="13" max="14" width="10.7109375" style="12" bestFit="1" customWidth="1"/>
    <col min="15" max="16384" width="9.140625" style="12"/>
  </cols>
  <sheetData>
    <row r="1" spans="1:29" ht="15" customHeight="1" thickBot="1" x14ac:dyDescent="0.25">
      <c r="A1" s="247" t="s">
        <v>0</v>
      </c>
      <c r="B1" s="219" t="s">
        <v>1</v>
      </c>
      <c r="C1" s="247" t="s">
        <v>2</v>
      </c>
      <c r="D1" s="249" t="s">
        <v>3</v>
      </c>
      <c r="E1" s="249" t="s">
        <v>4</v>
      </c>
      <c r="F1" s="249" t="s">
        <v>5</v>
      </c>
      <c r="G1" s="241" t="s">
        <v>6</v>
      </c>
      <c r="H1" s="243" t="s">
        <v>7</v>
      </c>
      <c r="I1" s="245" t="s">
        <v>8</v>
      </c>
      <c r="J1" s="246"/>
      <c r="K1" s="247" t="s">
        <v>9</v>
      </c>
      <c r="L1" s="247" t="s">
        <v>10</v>
      </c>
      <c r="M1" s="254" t="s">
        <v>76</v>
      </c>
      <c r="N1" s="254" t="s">
        <v>77</v>
      </c>
      <c r="O1" s="45" t="s">
        <v>78</v>
      </c>
      <c r="P1" s="146" t="s">
        <v>356</v>
      </c>
    </row>
    <row r="2" spans="1:29" ht="15" customHeight="1" thickBot="1" x14ac:dyDescent="0.25">
      <c r="A2" s="248"/>
      <c r="B2" s="220"/>
      <c r="C2" s="248"/>
      <c r="D2" s="253"/>
      <c r="E2" s="253"/>
      <c r="F2" s="250"/>
      <c r="G2" s="242"/>
      <c r="H2" s="244"/>
      <c r="I2" s="46" t="s">
        <v>13</v>
      </c>
      <c r="J2" s="47" t="s">
        <v>14</v>
      </c>
      <c r="K2" s="248"/>
      <c r="L2" s="248"/>
      <c r="M2" s="255"/>
      <c r="N2" s="255"/>
      <c r="O2" s="38" t="s">
        <v>78</v>
      </c>
      <c r="P2" s="38"/>
    </row>
    <row r="3" spans="1:29" ht="15" customHeight="1" x14ac:dyDescent="0.2">
      <c r="A3" s="48"/>
      <c r="B3" s="81"/>
      <c r="C3" s="48">
        <v>0</v>
      </c>
      <c r="D3" s="49"/>
      <c r="E3" s="49"/>
      <c r="F3" s="49"/>
      <c r="G3" s="51" t="s">
        <v>15</v>
      </c>
      <c r="H3" s="52"/>
      <c r="I3" s="52"/>
      <c r="J3" s="52"/>
      <c r="K3" s="48"/>
      <c r="L3" s="48"/>
      <c r="M3" s="82"/>
      <c r="N3" s="82"/>
      <c r="O3" s="38" t="s">
        <v>16</v>
      </c>
      <c r="P3" s="38" t="s">
        <v>17</v>
      </c>
    </row>
    <row r="4" spans="1:29" ht="15" hidden="1" customHeight="1" x14ac:dyDescent="0.2">
      <c r="A4" s="12" t="s">
        <v>18</v>
      </c>
      <c r="B4" s="36">
        <v>46023</v>
      </c>
      <c r="C4" s="12">
        <f t="shared" ref="C4:C67" si="0">C3+D4</f>
        <v>1</v>
      </c>
      <c r="D4" s="38">
        <f t="shared" ref="D4:D67" si="1">IF(H4=H3,0,1)</f>
        <v>1</v>
      </c>
      <c r="E4" s="12" t="str">
        <f>TEXT(C4,"000")</f>
        <v>001</v>
      </c>
      <c r="G4" s="12" t="s">
        <v>2158</v>
      </c>
      <c r="H4" s="12" t="s">
        <v>2159</v>
      </c>
      <c r="I4" s="12">
        <v>64277</v>
      </c>
      <c r="J4" s="12">
        <v>331</v>
      </c>
      <c r="K4" s="12" t="s">
        <v>20</v>
      </c>
      <c r="L4" s="12">
        <v>1</v>
      </c>
      <c r="M4" s="17">
        <v>383333</v>
      </c>
      <c r="N4" s="17">
        <f t="shared" ref="N4:N67" si="2">L4*M4</f>
        <v>383333</v>
      </c>
      <c r="P4" s="12">
        <f>LEN(H4)</f>
        <v>74</v>
      </c>
    </row>
    <row r="5" spans="1:29" ht="15" hidden="1" customHeight="1" x14ac:dyDescent="0.2">
      <c r="A5" s="12" t="s">
        <v>18</v>
      </c>
      <c r="B5" s="36">
        <v>46023</v>
      </c>
      <c r="C5" s="12">
        <f t="shared" si="0"/>
        <v>1</v>
      </c>
      <c r="D5" s="38">
        <f t="shared" si="1"/>
        <v>0</v>
      </c>
      <c r="E5" s="12" t="str">
        <f t="shared" ref="E5:E68" si="3">TEXT(C5,"000")</f>
        <v>001</v>
      </c>
      <c r="G5" s="12" t="s">
        <v>2158</v>
      </c>
      <c r="H5" s="12" t="s">
        <v>2159</v>
      </c>
      <c r="I5" s="12">
        <v>1331</v>
      </c>
      <c r="J5" s="12">
        <v>331</v>
      </c>
      <c r="K5" s="12" t="s">
        <v>20</v>
      </c>
      <c r="L5" s="12">
        <v>1</v>
      </c>
      <c r="M5" s="17">
        <v>30667</v>
      </c>
      <c r="N5" s="17">
        <f t="shared" si="2"/>
        <v>30667</v>
      </c>
      <c r="P5" s="12">
        <f t="shared" ref="P5:P68" si="4">LEN(H5)</f>
        <v>74</v>
      </c>
      <c r="T5" s="13"/>
      <c r="Z5" s="84"/>
      <c r="AC5" s="84"/>
    </row>
    <row r="6" spans="1:29" ht="15" hidden="1" customHeight="1" x14ac:dyDescent="0.2">
      <c r="A6" s="12" t="s">
        <v>310</v>
      </c>
      <c r="B6" s="36">
        <v>46023</v>
      </c>
      <c r="C6" s="12">
        <f t="shared" si="0"/>
        <v>2</v>
      </c>
      <c r="D6" s="38">
        <f t="shared" si="1"/>
        <v>1</v>
      </c>
      <c r="E6" s="12" t="str">
        <f t="shared" si="3"/>
        <v>002</v>
      </c>
      <c r="G6" s="12" t="s">
        <v>2158</v>
      </c>
      <c r="H6" s="12" t="s">
        <v>4198</v>
      </c>
      <c r="I6" s="12">
        <v>331</v>
      </c>
      <c r="J6" s="12">
        <v>1111</v>
      </c>
      <c r="K6" s="12" t="s">
        <v>20</v>
      </c>
      <c r="L6" s="12">
        <v>1</v>
      </c>
      <c r="M6" s="17">
        <v>414000</v>
      </c>
      <c r="N6" s="17">
        <f t="shared" si="2"/>
        <v>414000</v>
      </c>
      <c r="P6" s="12">
        <f t="shared" si="4"/>
        <v>85</v>
      </c>
      <c r="T6" s="13"/>
      <c r="Z6" s="84"/>
      <c r="AB6" s="84"/>
      <c r="AC6" s="84"/>
    </row>
    <row r="7" spans="1:29" ht="15" hidden="1" customHeight="1" x14ac:dyDescent="0.2">
      <c r="A7" s="12" t="s">
        <v>18</v>
      </c>
      <c r="B7" s="36">
        <v>46027</v>
      </c>
      <c r="C7" s="12">
        <f t="shared" si="0"/>
        <v>3</v>
      </c>
      <c r="D7" s="38">
        <f t="shared" si="1"/>
        <v>1</v>
      </c>
      <c r="E7" s="12" t="str">
        <f t="shared" si="3"/>
        <v>003</v>
      </c>
      <c r="G7" s="12" t="s">
        <v>44</v>
      </c>
      <c r="H7" s="12" t="s">
        <v>4233</v>
      </c>
      <c r="I7" s="12">
        <v>64277</v>
      </c>
      <c r="J7" s="12">
        <v>331</v>
      </c>
      <c r="K7" s="12" t="s">
        <v>20</v>
      </c>
      <c r="L7" s="12">
        <v>1</v>
      </c>
      <c r="M7" s="17">
        <v>1235219</v>
      </c>
      <c r="N7" s="17">
        <f t="shared" si="2"/>
        <v>1235219</v>
      </c>
      <c r="P7" s="12">
        <f t="shared" si="4"/>
        <v>38</v>
      </c>
      <c r="T7" s="13"/>
      <c r="Z7" s="84"/>
      <c r="AB7" s="84"/>
      <c r="AC7" s="84"/>
    </row>
    <row r="8" spans="1:29" ht="15" hidden="1" customHeight="1" x14ac:dyDescent="0.2">
      <c r="A8" s="12" t="s">
        <v>18</v>
      </c>
      <c r="B8" s="36">
        <v>46027</v>
      </c>
      <c r="C8" s="12">
        <f t="shared" si="0"/>
        <v>3</v>
      </c>
      <c r="D8" s="38">
        <f t="shared" si="1"/>
        <v>0</v>
      </c>
      <c r="E8" s="12" t="str">
        <f t="shared" si="3"/>
        <v>003</v>
      </c>
      <c r="G8" s="12" t="s">
        <v>44</v>
      </c>
      <c r="H8" s="12" t="s">
        <v>4233</v>
      </c>
      <c r="I8" s="12">
        <v>1331</v>
      </c>
      <c r="J8" s="12">
        <v>331</v>
      </c>
      <c r="K8" s="12" t="s">
        <v>20</v>
      </c>
      <c r="L8" s="12">
        <v>1</v>
      </c>
      <c r="M8" s="17">
        <v>98818</v>
      </c>
      <c r="N8" s="17">
        <f t="shared" si="2"/>
        <v>98818</v>
      </c>
      <c r="P8" s="12">
        <f t="shared" si="4"/>
        <v>38</v>
      </c>
    </row>
    <row r="9" spans="1:29" ht="15" hidden="1" customHeight="1" x14ac:dyDescent="0.2">
      <c r="A9" s="12" t="s">
        <v>310</v>
      </c>
      <c r="B9" s="36">
        <v>46027</v>
      </c>
      <c r="C9" s="12">
        <f t="shared" si="0"/>
        <v>4</v>
      </c>
      <c r="D9" s="38">
        <f t="shared" si="1"/>
        <v>1</v>
      </c>
      <c r="E9" s="12" t="str">
        <f t="shared" si="3"/>
        <v>004</v>
      </c>
      <c r="G9" s="12" t="s">
        <v>44</v>
      </c>
      <c r="H9" s="12" t="s">
        <v>4234</v>
      </c>
      <c r="I9" s="12">
        <v>331</v>
      </c>
      <c r="J9" s="12">
        <v>1111</v>
      </c>
      <c r="K9" s="12" t="s">
        <v>20</v>
      </c>
      <c r="L9" s="12">
        <v>1</v>
      </c>
      <c r="M9" s="17">
        <v>1334037</v>
      </c>
      <c r="N9" s="17">
        <f t="shared" si="2"/>
        <v>1334037</v>
      </c>
      <c r="P9" s="12">
        <f t="shared" si="4"/>
        <v>49</v>
      </c>
    </row>
    <row r="10" spans="1:29" ht="15" hidden="1" customHeight="1" x14ac:dyDescent="0.2">
      <c r="A10" s="12" t="s">
        <v>18</v>
      </c>
      <c r="B10" s="36">
        <v>46027</v>
      </c>
      <c r="C10" s="12">
        <f t="shared" si="0"/>
        <v>5</v>
      </c>
      <c r="D10" s="38">
        <f t="shared" si="1"/>
        <v>1</v>
      </c>
      <c r="E10" s="12" t="str">
        <f t="shared" si="3"/>
        <v>005</v>
      </c>
      <c r="G10" s="12" t="s">
        <v>44</v>
      </c>
      <c r="H10" s="12" t="s">
        <v>2160</v>
      </c>
      <c r="I10" s="12">
        <v>64277</v>
      </c>
      <c r="J10" s="12">
        <v>331</v>
      </c>
      <c r="K10" s="12" t="s">
        <v>20</v>
      </c>
      <c r="L10" s="12">
        <v>1</v>
      </c>
      <c r="M10" s="17">
        <v>10000</v>
      </c>
      <c r="N10" s="17">
        <f t="shared" si="2"/>
        <v>10000</v>
      </c>
      <c r="P10" s="12">
        <f t="shared" si="4"/>
        <v>83</v>
      </c>
    </row>
    <row r="11" spans="1:29" ht="15" hidden="1" customHeight="1" x14ac:dyDescent="0.2">
      <c r="A11" s="12" t="s">
        <v>18</v>
      </c>
      <c r="B11" s="36">
        <v>46027</v>
      </c>
      <c r="C11" s="12">
        <f t="shared" si="0"/>
        <v>5</v>
      </c>
      <c r="D11" s="38">
        <f t="shared" si="1"/>
        <v>0</v>
      </c>
      <c r="E11" s="12" t="str">
        <f t="shared" si="3"/>
        <v>005</v>
      </c>
      <c r="G11" s="12" t="s">
        <v>44</v>
      </c>
      <c r="H11" s="12" t="s">
        <v>2160</v>
      </c>
      <c r="I11" s="12">
        <v>1331</v>
      </c>
      <c r="J11" s="12">
        <v>331</v>
      </c>
      <c r="K11" s="12" t="s">
        <v>20</v>
      </c>
      <c r="L11" s="12">
        <v>1</v>
      </c>
      <c r="M11" s="17">
        <v>800</v>
      </c>
      <c r="N11" s="17">
        <f t="shared" si="2"/>
        <v>800</v>
      </c>
      <c r="P11" s="12">
        <f t="shared" si="4"/>
        <v>83</v>
      </c>
    </row>
    <row r="12" spans="1:29" ht="15" hidden="1" customHeight="1" x14ac:dyDescent="0.2">
      <c r="A12" s="12" t="s">
        <v>310</v>
      </c>
      <c r="B12" s="36">
        <v>46027</v>
      </c>
      <c r="C12" s="12">
        <f t="shared" si="0"/>
        <v>6</v>
      </c>
      <c r="D12" s="38">
        <f t="shared" si="1"/>
        <v>1</v>
      </c>
      <c r="E12" s="12" t="str">
        <f t="shared" si="3"/>
        <v>006</v>
      </c>
      <c r="G12" s="12" t="s">
        <v>44</v>
      </c>
      <c r="H12" s="12" t="s">
        <v>4199</v>
      </c>
      <c r="I12" s="12">
        <v>331</v>
      </c>
      <c r="J12" s="12">
        <v>1111</v>
      </c>
      <c r="K12" s="12" t="s">
        <v>20</v>
      </c>
      <c r="L12" s="12">
        <v>1</v>
      </c>
      <c r="M12" s="17">
        <v>10800</v>
      </c>
      <c r="N12" s="17">
        <f t="shared" si="2"/>
        <v>10800</v>
      </c>
      <c r="P12" s="12">
        <f t="shared" si="4"/>
        <v>94</v>
      </c>
    </row>
    <row r="13" spans="1:29" ht="15" hidden="1" customHeight="1" x14ac:dyDescent="0.2">
      <c r="A13" s="12" t="s">
        <v>18</v>
      </c>
      <c r="B13" s="36">
        <v>46028</v>
      </c>
      <c r="C13" s="12">
        <f t="shared" si="0"/>
        <v>7</v>
      </c>
      <c r="D13" s="38">
        <f t="shared" si="1"/>
        <v>1</v>
      </c>
      <c r="E13" s="12" t="str">
        <f t="shared" si="3"/>
        <v>007</v>
      </c>
      <c r="G13" s="12" t="s">
        <v>50</v>
      </c>
      <c r="H13" s="12" t="s">
        <v>2161</v>
      </c>
      <c r="I13" s="12">
        <v>64277</v>
      </c>
      <c r="J13" s="12">
        <v>331</v>
      </c>
      <c r="K13" s="12" t="s">
        <v>20</v>
      </c>
      <c r="L13" s="12">
        <v>1</v>
      </c>
      <c r="M13" s="17">
        <v>400000</v>
      </c>
      <c r="N13" s="17">
        <f t="shared" si="2"/>
        <v>400000</v>
      </c>
      <c r="P13" s="12">
        <f t="shared" si="4"/>
        <v>48</v>
      </c>
    </row>
    <row r="14" spans="1:29" ht="15" hidden="1" customHeight="1" x14ac:dyDescent="0.2">
      <c r="A14" s="12" t="s">
        <v>18</v>
      </c>
      <c r="B14" s="36">
        <v>46028</v>
      </c>
      <c r="C14" s="12">
        <f t="shared" si="0"/>
        <v>7</v>
      </c>
      <c r="D14" s="38">
        <f t="shared" si="1"/>
        <v>0</v>
      </c>
      <c r="E14" s="12" t="str">
        <f t="shared" si="3"/>
        <v>007</v>
      </c>
      <c r="G14" s="12" t="s">
        <v>50</v>
      </c>
      <c r="H14" s="12" t="s">
        <v>2161</v>
      </c>
      <c r="I14" s="12">
        <v>1331</v>
      </c>
      <c r="J14" s="12">
        <v>331</v>
      </c>
      <c r="K14" s="12" t="s">
        <v>20</v>
      </c>
      <c r="L14" s="12">
        <v>1</v>
      </c>
      <c r="M14" s="17">
        <v>32000</v>
      </c>
      <c r="N14" s="17">
        <f t="shared" si="2"/>
        <v>32000</v>
      </c>
      <c r="P14" s="12">
        <f t="shared" si="4"/>
        <v>48</v>
      </c>
    </row>
    <row r="15" spans="1:29" ht="15" hidden="1" customHeight="1" x14ac:dyDescent="0.2">
      <c r="A15" s="12" t="s">
        <v>310</v>
      </c>
      <c r="B15" s="36">
        <v>46028</v>
      </c>
      <c r="C15" s="12">
        <f t="shared" si="0"/>
        <v>8</v>
      </c>
      <c r="D15" s="38">
        <f t="shared" si="1"/>
        <v>1</v>
      </c>
      <c r="E15" s="12" t="str">
        <f t="shared" si="3"/>
        <v>008</v>
      </c>
      <c r="G15" s="12" t="s">
        <v>50</v>
      </c>
      <c r="H15" s="12" t="s">
        <v>4200</v>
      </c>
      <c r="I15" s="12">
        <v>331</v>
      </c>
      <c r="J15" s="12">
        <v>1111</v>
      </c>
      <c r="K15" s="12" t="s">
        <v>20</v>
      </c>
      <c r="L15" s="12">
        <v>1</v>
      </c>
      <c r="M15" s="17">
        <v>432000</v>
      </c>
      <c r="N15" s="17">
        <f t="shared" si="2"/>
        <v>432000</v>
      </c>
      <c r="P15" s="12">
        <f t="shared" si="4"/>
        <v>59</v>
      </c>
    </row>
    <row r="16" spans="1:29" ht="15" hidden="1" customHeight="1" x14ac:dyDescent="0.2">
      <c r="A16" s="12" t="s">
        <v>18</v>
      </c>
      <c r="B16" s="36">
        <v>46038</v>
      </c>
      <c r="C16" s="12">
        <f t="shared" si="0"/>
        <v>9</v>
      </c>
      <c r="D16" s="38">
        <f t="shared" si="1"/>
        <v>1</v>
      </c>
      <c r="E16" s="12" t="str">
        <f t="shared" si="3"/>
        <v>009</v>
      </c>
      <c r="G16" s="12" t="s">
        <v>2162</v>
      </c>
      <c r="H16" s="12" t="s">
        <v>2163</v>
      </c>
      <c r="I16" s="12">
        <v>64277</v>
      </c>
      <c r="J16" s="12">
        <v>331</v>
      </c>
      <c r="K16" s="12" t="s">
        <v>20</v>
      </c>
      <c r="L16" s="12">
        <v>1</v>
      </c>
      <c r="M16" s="17">
        <v>5500000</v>
      </c>
      <c r="N16" s="17">
        <f t="shared" si="2"/>
        <v>5500000</v>
      </c>
      <c r="P16" s="12">
        <f t="shared" si="4"/>
        <v>29</v>
      </c>
    </row>
    <row r="17" spans="1:16" ht="15" hidden="1" customHeight="1" x14ac:dyDescent="0.2">
      <c r="A17" s="12" t="s">
        <v>18</v>
      </c>
      <c r="B17" s="36">
        <v>46038</v>
      </c>
      <c r="C17" s="12">
        <f t="shared" si="0"/>
        <v>9</v>
      </c>
      <c r="D17" s="38">
        <f t="shared" si="1"/>
        <v>0</v>
      </c>
      <c r="E17" s="12" t="str">
        <f t="shared" si="3"/>
        <v>009</v>
      </c>
      <c r="G17" s="12" t="s">
        <v>2162</v>
      </c>
      <c r="H17" s="12" t="s">
        <v>2163</v>
      </c>
      <c r="I17" s="12">
        <v>1331</v>
      </c>
      <c r="J17" s="12">
        <v>331</v>
      </c>
      <c r="K17" s="12" t="s">
        <v>20</v>
      </c>
      <c r="L17" s="12">
        <v>1</v>
      </c>
      <c r="M17" s="17">
        <v>440000</v>
      </c>
      <c r="N17" s="17">
        <f t="shared" si="2"/>
        <v>440000</v>
      </c>
      <c r="P17" s="12">
        <f t="shared" si="4"/>
        <v>29</v>
      </c>
    </row>
    <row r="18" spans="1:16" ht="15" hidden="1" customHeight="1" x14ac:dyDescent="0.2">
      <c r="A18" s="12" t="s">
        <v>310</v>
      </c>
      <c r="B18" s="36">
        <v>46038</v>
      </c>
      <c r="C18" s="12">
        <f t="shared" si="0"/>
        <v>10</v>
      </c>
      <c r="D18" s="38">
        <f t="shared" si="1"/>
        <v>1</v>
      </c>
      <c r="E18" s="12" t="str">
        <f t="shared" si="3"/>
        <v>010</v>
      </c>
      <c r="G18" s="12" t="s">
        <v>2162</v>
      </c>
      <c r="H18" s="12" t="s">
        <v>4201</v>
      </c>
      <c r="I18" s="12">
        <v>331</v>
      </c>
      <c r="J18" s="12">
        <v>1111</v>
      </c>
      <c r="K18" s="12" t="s">
        <v>20</v>
      </c>
      <c r="L18" s="12">
        <v>1</v>
      </c>
      <c r="M18" s="17">
        <v>5940000</v>
      </c>
      <c r="N18" s="17">
        <f t="shared" si="2"/>
        <v>5940000</v>
      </c>
      <c r="P18" s="12">
        <f t="shared" si="4"/>
        <v>40</v>
      </c>
    </row>
    <row r="19" spans="1:16" ht="15" hidden="1" customHeight="1" x14ac:dyDescent="0.2">
      <c r="A19" s="12" t="s">
        <v>18</v>
      </c>
      <c r="B19" s="36">
        <v>46040</v>
      </c>
      <c r="C19" s="12">
        <f t="shared" si="0"/>
        <v>11</v>
      </c>
      <c r="D19" s="38">
        <f t="shared" si="1"/>
        <v>1</v>
      </c>
      <c r="E19" s="12" t="str">
        <f t="shared" si="3"/>
        <v>011</v>
      </c>
      <c r="G19" s="12" t="s">
        <v>28</v>
      </c>
      <c r="H19" s="12" t="s">
        <v>4235</v>
      </c>
      <c r="I19" s="12">
        <v>64277</v>
      </c>
      <c r="J19" s="12">
        <v>331</v>
      </c>
      <c r="K19" s="12" t="s">
        <v>20</v>
      </c>
      <c r="L19" s="12">
        <v>1</v>
      </c>
      <c r="M19" s="17">
        <v>890000</v>
      </c>
      <c r="N19" s="17">
        <f t="shared" si="2"/>
        <v>890000</v>
      </c>
      <c r="P19" s="12">
        <f t="shared" si="4"/>
        <v>41</v>
      </c>
    </row>
    <row r="20" spans="1:16" ht="15" hidden="1" customHeight="1" x14ac:dyDescent="0.2">
      <c r="A20" s="12" t="s">
        <v>18</v>
      </c>
      <c r="B20" s="36">
        <v>46040</v>
      </c>
      <c r="C20" s="12">
        <f t="shared" si="0"/>
        <v>11</v>
      </c>
      <c r="D20" s="38">
        <f t="shared" si="1"/>
        <v>0</v>
      </c>
      <c r="E20" s="12" t="str">
        <f t="shared" si="3"/>
        <v>011</v>
      </c>
      <c r="G20" s="12" t="s">
        <v>28</v>
      </c>
      <c r="H20" s="12" t="s">
        <v>4235</v>
      </c>
      <c r="I20" s="12">
        <v>1331</v>
      </c>
      <c r="J20" s="12">
        <v>331</v>
      </c>
      <c r="K20" s="12" t="s">
        <v>20</v>
      </c>
      <c r="L20" s="12">
        <v>1</v>
      </c>
      <c r="M20" s="17">
        <v>71200</v>
      </c>
      <c r="N20" s="17">
        <f t="shared" si="2"/>
        <v>71200</v>
      </c>
      <c r="P20" s="12">
        <f t="shared" si="4"/>
        <v>41</v>
      </c>
    </row>
    <row r="21" spans="1:16" ht="15" hidden="1" customHeight="1" x14ac:dyDescent="0.2">
      <c r="A21" s="12" t="s">
        <v>310</v>
      </c>
      <c r="B21" s="36">
        <v>46040</v>
      </c>
      <c r="C21" s="12">
        <f t="shared" si="0"/>
        <v>12</v>
      </c>
      <c r="D21" s="38">
        <f t="shared" si="1"/>
        <v>1</v>
      </c>
      <c r="E21" s="12" t="str">
        <f t="shared" si="3"/>
        <v>012</v>
      </c>
      <c r="G21" s="12" t="s">
        <v>28</v>
      </c>
      <c r="H21" s="12" t="s">
        <v>4236</v>
      </c>
      <c r="I21" s="12">
        <v>331</v>
      </c>
      <c r="J21" s="12">
        <v>1111</v>
      </c>
      <c r="K21" s="12" t="s">
        <v>20</v>
      </c>
      <c r="L21" s="12">
        <v>1</v>
      </c>
      <c r="M21" s="17">
        <v>961200</v>
      </c>
      <c r="N21" s="17">
        <f t="shared" si="2"/>
        <v>961200</v>
      </c>
      <c r="P21" s="12">
        <f t="shared" si="4"/>
        <v>53</v>
      </c>
    </row>
    <row r="22" spans="1:16" ht="15" hidden="1" customHeight="1" x14ac:dyDescent="0.2">
      <c r="A22" s="12" t="s">
        <v>18</v>
      </c>
      <c r="B22" s="36">
        <v>46057</v>
      </c>
      <c r="C22" s="12">
        <f t="shared" si="0"/>
        <v>13</v>
      </c>
      <c r="D22" s="38">
        <f t="shared" si="1"/>
        <v>1</v>
      </c>
      <c r="E22" s="12" t="str">
        <f t="shared" si="3"/>
        <v>013</v>
      </c>
      <c r="G22" s="12" t="s">
        <v>44</v>
      </c>
      <c r="H22" s="12" t="s">
        <v>4237</v>
      </c>
      <c r="I22" s="12">
        <v>64277</v>
      </c>
      <c r="J22" s="12">
        <v>331</v>
      </c>
      <c r="K22" s="12" t="s">
        <v>20</v>
      </c>
      <c r="L22" s="12">
        <v>1</v>
      </c>
      <c r="M22" s="17">
        <v>274605</v>
      </c>
      <c r="N22" s="17">
        <f t="shared" si="2"/>
        <v>274605</v>
      </c>
      <c r="P22" s="12">
        <f t="shared" si="4"/>
        <v>39</v>
      </c>
    </row>
    <row r="23" spans="1:16" ht="15" hidden="1" customHeight="1" x14ac:dyDescent="0.2">
      <c r="A23" s="12" t="s">
        <v>18</v>
      </c>
      <c r="B23" s="36">
        <v>46057</v>
      </c>
      <c r="C23" s="12">
        <f t="shared" si="0"/>
        <v>13</v>
      </c>
      <c r="D23" s="38">
        <f t="shared" si="1"/>
        <v>0</v>
      </c>
      <c r="E23" s="12" t="str">
        <f t="shared" si="3"/>
        <v>013</v>
      </c>
      <c r="G23" s="12" t="s">
        <v>44</v>
      </c>
      <c r="H23" s="12" t="s">
        <v>4237</v>
      </c>
      <c r="I23" s="12">
        <v>1331</v>
      </c>
      <c r="J23" s="12">
        <v>331</v>
      </c>
      <c r="K23" s="12" t="s">
        <v>20</v>
      </c>
      <c r="L23" s="12">
        <v>1</v>
      </c>
      <c r="M23" s="17">
        <v>21969</v>
      </c>
      <c r="N23" s="17">
        <f t="shared" si="2"/>
        <v>21969</v>
      </c>
      <c r="P23" s="12">
        <f t="shared" si="4"/>
        <v>39</v>
      </c>
    </row>
    <row r="24" spans="1:16" ht="15" hidden="1" customHeight="1" x14ac:dyDescent="0.2">
      <c r="A24" s="12" t="s">
        <v>310</v>
      </c>
      <c r="B24" s="36">
        <v>46057</v>
      </c>
      <c r="C24" s="12">
        <f t="shared" si="0"/>
        <v>14</v>
      </c>
      <c r="D24" s="38">
        <f t="shared" si="1"/>
        <v>1</v>
      </c>
      <c r="E24" s="12" t="str">
        <f t="shared" si="3"/>
        <v>014</v>
      </c>
      <c r="G24" s="12" t="s">
        <v>44</v>
      </c>
      <c r="H24" s="12" t="s">
        <v>4238</v>
      </c>
      <c r="I24" s="12">
        <v>331</v>
      </c>
      <c r="J24" s="12">
        <v>1111</v>
      </c>
      <c r="K24" s="12" t="s">
        <v>20</v>
      </c>
      <c r="L24" s="12">
        <v>1</v>
      </c>
      <c r="M24" s="17">
        <v>296574</v>
      </c>
      <c r="N24" s="17">
        <f t="shared" si="2"/>
        <v>296574</v>
      </c>
      <c r="P24" s="12">
        <f t="shared" si="4"/>
        <v>50</v>
      </c>
    </row>
    <row r="25" spans="1:16" ht="15" hidden="1" customHeight="1" x14ac:dyDescent="0.2">
      <c r="A25" s="12" t="s">
        <v>18</v>
      </c>
      <c r="B25" s="36">
        <v>46057</v>
      </c>
      <c r="C25" s="12">
        <f t="shared" si="0"/>
        <v>15</v>
      </c>
      <c r="D25" s="38">
        <f t="shared" si="1"/>
        <v>1</v>
      </c>
      <c r="E25" s="12" t="str">
        <f t="shared" si="3"/>
        <v>015</v>
      </c>
      <c r="G25" s="12" t="s">
        <v>44</v>
      </c>
      <c r="H25" s="12" t="s">
        <v>2164</v>
      </c>
      <c r="I25" s="12">
        <v>64277</v>
      </c>
      <c r="J25" s="12">
        <v>331</v>
      </c>
      <c r="K25" s="12" t="s">
        <v>20</v>
      </c>
      <c r="L25" s="12">
        <v>1</v>
      </c>
      <c r="M25" s="17">
        <v>10000</v>
      </c>
      <c r="N25" s="17">
        <f t="shared" si="2"/>
        <v>10000</v>
      </c>
      <c r="P25" s="12">
        <f t="shared" si="4"/>
        <v>85</v>
      </c>
    </row>
    <row r="26" spans="1:16" ht="15" hidden="1" customHeight="1" x14ac:dyDescent="0.2">
      <c r="A26" s="12" t="s">
        <v>18</v>
      </c>
      <c r="B26" s="36">
        <v>46057</v>
      </c>
      <c r="C26" s="12">
        <f t="shared" si="0"/>
        <v>15</v>
      </c>
      <c r="D26" s="38">
        <f t="shared" si="1"/>
        <v>0</v>
      </c>
      <c r="E26" s="12" t="str">
        <f t="shared" si="3"/>
        <v>015</v>
      </c>
      <c r="G26" s="12" t="s">
        <v>44</v>
      </c>
      <c r="H26" s="12" t="s">
        <v>2164</v>
      </c>
      <c r="I26" s="12">
        <v>1331</v>
      </c>
      <c r="J26" s="12">
        <v>331</v>
      </c>
      <c r="K26" s="12" t="s">
        <v>20</v>
      </c>
      <c r="L26" s="12">
        <v>1</v>
      </c>
      <c r="M26" s="17">
        <v>800</v>
      </c>
      <c r="N26" s="17">
        <f t="shared" si="2"/>
        <v>800</v>
      </c>
      <c r="P26" s="12">
        <f t="shared" si="4"/>
        <v>85</v>
      </c>
    </row>
    <row r="27" spans="1:16" ht="15" hidden="1" customHeight="1" x14ac:dyDescent="0.2">
      <c r="A27" s="12" t="s">
        <v>310</v>
      </c>
      <c r="B27" s="36">
        <v>46057</v>
      </c>
      <c r="C27" s="12">
        <f t="shared" si="0"/>
        <v>16</v>
      </c>
      <c r="D27" s="38">
        <f t="shared" si="1"/>
        <v>1</v>
      </c>
      <c r="E27" s="12" t="str">
        <f t="shared" si="3"/>
        <v>016</v>
      </c>
      <c r="G27" s="12" t="s">
        <v>44</v>
      </c>
      <c r="H27" s="12" t="s">
        <v>4202</v>
      </c>
      <c r="I27" s="12">
        <v>331</v>
      </c>
      <c r="J27" s="12">
        <v>1111</v>
      </c>
      <c r="K27" s="12" t="s">
        <v>20</v>
      </c>
      <c r="L27" s="12">
        <v>1</v>
      </c>
      <c r="M27" s="17">
        <v>10800</v>
      </c>
      <c r="N27" s="17">
        <f t="shared" si="2"/>
        <v>10800</v>
      </c>
      <c r="P27" s="12">
        <f t="shared" si="4"/>
        <v>96</v>
      </c>
    </row>
    <row r="28" spans="1:16" ht="15" hidden="1" customHeight="1" x14ac:dyDescent="0.2">
      <c r="A28" s="12" t="s">
        <v>18</v>
      </c>
      <c r="B28" s="36">
        <v>46058</v>
      </c>
      <c r="C28" s="12">
        <f t="shared" si="0"/>
        <v>17</v>
      </c>
      <c r="D28" s="38">
        <f t="shared" si="1"/>
        <v>1</v>
      </c>
      <c r="E28" s="12" t="str">
        <f t="shared" si="3"/>
        <v>017</v>
      </c>
      <c r="G28" s="12" t="s">
        <v>2158</v>
      </c>
      <c r="H28" s="12" t="s">
        <v>2165</v>
      </c>
      <c r="I28" s="12">
        <v>64277</v>
      </c>
      <c r="J28" s="12">
        <v>331</v>
      </c>
      <c r="K28" s="12" t="s">
        <v>20</v>
      </c>
      <c r="L28" s="12">
        <v>1</v>
      </c>
      <c r="M28" s="17">
        <v>562037</v>
      </c>
      <c r="N28" s="17">
        <f t="shared" si="2"/>
        <v>562037</v>
      </c>
      <c r="P28" s="12">
        <f t="shared" si="4"/>
        <v>80</v>
      </c>
    </row>
    <row r="29" spans="1:16" ht="15" hidden="1" customHeight="1" x14ac:dyDescent="0.2">
      <c r="A29" s="12" t="s">
        <v>18</v>
      </c>
      <c r="B29" s="36">
        <v>46058</v>
      </c>
      <c r="C29" s="12">
        <f t="shared" si="0"/>
        <v>17</v>
      </c>
      <c r="D29" s="38">
        <f t="shared" si="1"/>
        <v>0</v>
      </c>
      <c r="E29" s="12" t="str">
        <f t="shared" si="3"/>
        <v>017</v>
      </c>
      <c r="G29" s="12" t="s">
        <v>2158</v>
      </c>
      <c r="H29" s="12" t="s">
        <v>2165</v>
      </c>
      <c r="I29" s="12">
        <v>1331</v>
      </c>
      <c r="J29" s="12">
        <v>331</v>
      </c>
      <c r="K29" s="12" t="s">
        <v>20</v>
      </c>
      <c r="L29" s="12">
        <v>1</v>
      </c>
      <c r="M29" s="17">
        <v>44963</v>
      </c>
      <c r="N29" s="17">
        <f t="shared" si="2"/>
        <v>44963</v>
      </c>
      <c r="P29" s="12">
        <f t="shared" si="4"/>
        <v>80</v>
      </c>
    </row>
    <row r="30" spans="1:16" ht="15" hidden="1" customHeight="1" x14ac:dyDescent="0.2">
      <c r="A30" s="12" t="s">
        <v>310</v>
      </c>
      <c r="B30" s="36">
        <v>46058</v>
      </c>
      <c r="C30" s="12">
        <f t="shared" si="0"/>
        <v>18</v>
      </c>
      <c r="D30" s="38">
        <f t="shared" si="1"/>
        <v>1</v>
      </c>
      <c r="E30" s="12" t="str">
        <f t="shared" si="3"/>
        <v>018</v>
      </c>
      <c r="G30" s="12" t="s">
        <v>2158</v>
      </c>
      <c r="H30" s="12" t="s">
        <v>4203</v>
      </c>
      <c r="I30" s="12">
        <v>331</v>
      </c>
      <c r="J30" s="12">
        <v>1111</v>
      </c>
      <c r="K30" s="12" t="s">
        <v>20</v>
      </c>
      <c r="L30" s="12">
        <v>1</v>
      </c>
      <c r="M30" s="17">
        <v>607000</v>
      </c>
      <c r="N30" s="17">
        <f t="shared" si="2"/>
        <v>607000</v>
      </c>
      <c r="P30" s="12">
        <f t="shared" si="4"/>
        <v>91</v>
      </c>
    </row>
    <row r="31" spans="1:16" ht="15" hidden="1" customHeight="1" x14ac:dyDescent="0.2">
      <c r="A31" s="12" t="s">
        <v>18</v>
      </c>
      <c r="B31" s="36">
        <v>46060</v>
      </c>
      <c r="C31" s="12">
        <f t="shared" si="0"/>
        <v>19</v>
      </c>
      <c r="D31" s="38">
        <f t="shared" si="1"/>
        <v>1</v>
      </c>
      <c r="E31" s="12" t="str">
        <f t="shared" si="3"/>
        <v>019</v>
      </c>
      <c r="G31" s="12" t="s">
        <v>35</v>
      </c>
      <c r="H31" s="12" t="s">
        <v>2166</v>
      </c>
      <c r="I31" s="12">
        <v>64277</v>
      </c>
      <c r="J31" s="12">
        <v>331</v>
      </c>
      <c r="K31" s="12" t="s">
        <v>20</v>
      </c>
      <c r="L31" s="12">
        <v>1</v>
      </c>
      <c r="M31" s="17">
        <v>3000000</v>
      </c>
      <c r="N31" s="17">
        <f t="shared" si="2"/>
        <v>3000000</v>
      </c>
      <c r="P31" s="12">
        <f t="shared" si="4"/>
        <v>41</v>
      </c>
    </row>
    <row r="32" spans="1:16" ht="15" hidden="1" customHeight="1" x14ac:dyDescent="0.2">
      <c r="A32" s="12" t="s">
        <v>18</v>
      </c>
      <c r="B32" s="36">
        <v>46060</v>
      </c>
      <c r="C32" s="12">
        <f t="shared" si="0"/>
        <v>19</v>
      </c>
      <c r="D32" s="38">
        <f t="shared" si="1"/>
        <v>0</v>
      </c>
      <c r="E32" s="12" t="str">
        <f t="shared" si="3"/>
        <v>019</v>
      </c>
      <c r="G32" s="12" t="s">
        <v>35</v>
      </c>
      <c r="H32" s="12" t="s">
        <v>2166</v>
      </c>
      <c r="I32" s="12">
        <v>1331</v>
      </c>
      <c r="J32" s="12">
        <v>331</v>
      </c>
      <c r="K32" s="12" t="s">
        <v>20</v>
      </c>
      <c r="L32" s="12">
        <v>1</v>
      </c>
      <c r="M32" s="17">
        <v>240000</v>
      </c>
      <c r="N32" s="17">
        <f t="shared" si="2"/>
        <v>240000</v>
      </c>
      <c r="P32" s="12">
        <f t="shared" si="4"/>
        <v>41</v>
      </c>
    </row>
    <row r="33" spans="1:16" ht="15" hidden="1" customHeight="1" x14ac:dyDescent="0.2">
      <c r="A33" s="12" t="s">
        <v>310</v>
      </c>
      <c r="B33" s="36">
        <v>46060</v>
      </c>
      <c r="C33" s="12">
        <f t="shared" si="0"/>
        <v>20</v>
      </c>
      <c r="D33" s="38">
        <f t="shared" si="1"/>
        <v>1</v>
      </c>
      <c r="E33" s="12" t="str">
        <f t="shared" si="3"/>
        <v>020</v>
      </c>
      <c r="G33" s="12" t="s">
        <v>35</v>
      </c>
      <c r="H33" s="12" t="s">
        <v>4204</v>
      </c>
      <c r="I33" s="12">
        <v>331</v>
      </c>
      <c r="J33" s="12">
        <v>1111</v>
      </c>
      <c r="K33" s="12" t="s">
        <v>20</v>
      </c>
      <c r="L33" s="12">
        <v>1</v>
      </c>
      <c r="M33" s="17">
        <v>3240000</v>
      </c>
      <c r="N33" s="17">
        <f t="shared" si="2"/>
        <v>3240000</v>
      </c>
      <c r="P33" s="12">
        <f t="shared" si="4"/>
        <v>52</v>
      </c>
    </row>
    <row r="34" spans="1:16" ht="15" hidden="1" customHeight="1" x14ac:dyDescent="0.2">
      <c r="A34" s="12" t="s">
        <v>18</v>
      </c>
      <c r="B34" s="36">
        <v>46060</v>
      </c>
      <c r="C34" s="12">
        <f t="shared" si="0"/>
        <v>21</v>
      </c>
      <c r="D34" s="38">
        <f t="shared" si="1"/>
        <v>1</v>
      </c>
      <c r="E34" s="12" t="str">
        <f t="shared" si="3"/>
        <v>021</v>
      </c>
      <c r="G34" s="12" t="s">
        <v>2167</v>
      </c>
      <c r="H34" s="12" t="s">
        <v>2168</v>
      </c>
      <c r="I34" s="12">
        <v>64277</v>
      </c>
      <c r="J34" s="12">
        <v>331</v>
      </c>
      <c r="K34" s="12" t="s">
        <v>20</v>
      </c>
      <c r="L34" s="12">
        <v>1</v>
      </c>
      <c r="M34" s="17">
        <v>472500</v>
      </c>
      <c r="N34" s="17">
        <f t="shared" si="2"/>
        <v>472500</v>
      </c>
      <c r="P34" s="12">
        <f t="shared" si="4"/>
        <v>80</v>
      </c>
    </row>
    <row r="35" spans="1:16" ht="15" hidden="1" customHeight="1" x14ac:dyDescent="0.2">
      <c r="A35" s="12" t="s">
        <v>18</v>
      </c>
      <c r="B35" s="36">
        <v>46060</v>
      </c>
      <c r="C35" s="12">
        <f t="shared" si="0"/>
        <v>21</v>
      </c>
      <c r="D35" s="38">
        <f t="shared" si="1"/>
        <v>0</v>
      </c>
      <c r="E35" s="12" t="str">
        <f t="shared" si="3"/>
        <v>021</v>
      </c>
      <c r="G35" s="12" t="s">
        <v>2167</v>
      </c>
      <c r="H35" s="12" t="s">
        <v>2168</v>
      </c>
      <c r="I35" s="12">
        <v>1331</v>
      </c>
      <c r="J35" s="12">
        <v>331</v>
      </c>
      <c r="K35" s="12" t="s">
        <v>20</v>
      </c>
      <c r="L35" s="12">
        <v>1</v>
      </c>
      <c r="M35" s="17">
        <v>37800</v>
      </c>
      <c r="N35" s="17">
        <f t="shared" si="2"/>
        <v>37800</v>
      </c>
      <c r="P35" s="12">
        <f t="shared" si="4"/>
        <v>80</v>
      </c>
    </row>
    <row r="36" spans="1:16" ht="15" hidden="1" customHeight="1" x14ac:dyDescent="0.2">
      <c r="A36" s="12" t="s">
        <v>310</v>
      </c>
      <c r="B36" s="36">
        <v>46060</v>
      </c>
      <c r="C36" s="12">
        <f t="shared" si="0"/>
        <v>22</v>
      </c>
      <c r="D36" s="38">
        <f t="shared" si="1"/>
        <v>1</v>
      </c>
      <c r="E36" s="12" t="str">
        <f t="shared" si="3"/>
        <v>022</v>
      </c>
      <c r="G36" s="12" t="s">
        <v>2167</v>
      </c>
      <c r="H36" s="12" t="s">
        <v>4205</v>
      </c>
      <c r="I36" s="12">
        <v>331</v>
      </c>
      <c r="J36" s="12">
        <v>1111</v>
      </c>
      <c r="K36" s="12" t="s">
        <v>20</v>
      </c>
      <c r="L36" s="12">
        <v>1</v>
      </c>
      <c r="M36" s="17">
        <v>510300</v>
      </c>
      <c r="N36" s="17">
        <f t="shared" si="2"/>
        <v>510300</v>
      </c>
      <c r="P36" s="12">
        <f t="shared" si="4"/>
        <v>91</v>
      </c>
    </row>
    <row r="37" spans="1:16" ht="15" hidden="1" customHeight="1" x14ac:dyDescent="0.2">
      <c r="A37" s="12" t="s">
        <v>18</v>
      </c>
      <c r="B37" s="36">
        <v>46062</v>
      </c>
      <c r="C37" s="12">
        <f t="shared" si="0"/>
        <v>23</v>
      </c>
      <c r="D37" s="38">
        <f t="shared" si="1"/>
        <v>1</v>
      </c>
      <c r="E37" s="12" t="str">
        <f t="shared" si="3"/>
        <v>023</v>
      </c>
      <c r="G37" s="12" t="s">
        <v>2169</v>
      </c>
      <c r="H37" s="12" t="s">
        <v>4239</v>
      </c>
      <c r="I37" s="12">
        <v>64277</v>
      </c>
      <c r="J37" s="12">
        <v>331</v>
      </c>
      <c r="K37" s="12" t="s">
        <v>20</v>
      </c>
      <c r="L37" s="12">
        <v>1</v>
      </c>
      <c r="M37" s="17">
        <v>4245000</v>
      </c>
      <c r="N37" s="17">
        <f t="shared" si="2"/>
        <v>4245000</v>
      </c>
      <c r="P37" s="12">
        <f t="shared" si="4"/>
        <v>41</v>
      </c>
    </row>
    <row r="38" spans="1:16" ht="15" hidden="1" customHeight="1" x14ac:dyDescent="0.2">
      <c r="A38" s="12" t="s">
        <v>18</v>
      </c>
      <c r="B38" s="36">
        <v>46062</v>
      </c>
      <c r="C38" s="12">
        <f t="shared" si="0"/>
        <v>23</v>
      </c>
      <c r="D38" s="38">
        <f t="shared" si="1"/>
        <v>0</v>
      </c>
      <c r="E38" s="12" t="str">
        <f t="shared" si="3"/>
        <v>023</v>
      </c>
      <c r="G38" s="12" t="s">
        <v>2169</v>
      </c>
      <c r="H38" s="12" t="s">
        <v>4239</v>
      </c>
      <c r="I38" s="12">
        <v>1331</v>
      </c>
      <c r="J38" s="12">
        <v>331</v>
      </c>
      <c r="K38" s="12" t="s">
        <v>20</v>
      </c>
      <c r="L38" s="12">
        <v>1</v>
      </c>
      <c r="M38" s="17">
        <v>340800</v>
      </c>
      <c r="N38" s="17">
        <f t="shared" si="2"/>
        <v>340800</v>
      </c>
      <c r="P38" s="12">
        <f t="shared" si="4"/>
        <v>41</v>
      </c>
    </row>
    <row r="39" spans="1:16" ht="15" hidden="1" customHeight="1" x14ac:dyDescent="0.2">
      <c r="A39" s="12" t="s">
        <v>310</v>
      </c>
      <c r="B39" s="36">
        <v>46062</v>
      </c>
      <c r="C39" s="12">
        <f t="shared" si="0"/>
        <v>24</v>
      </c>
      <c r="D39" s="38">
        <f t="shared" si="1"/>
        <v>1</v>
      </c>
      <c r="E39" s="12" t="str">
        <f t="shared" si="3"/>
        <v>024</v>
      </c>
      <c r="G39" s="12" t="s">
        <v>2169</v>
      </c>
      <c r="H39" s="12" t="s">
        <v>4240</v>
      </c>
      <c r="I39" s="12">
        <v>331</v>
      </c>
      <c r="J39" s="12">
        <v>1111</v>
      </c>
      <c r="K39" s="12" t="s">
        <v>20</v>
      </c>
      <c r="L39" s="12">
        <v>1</v>
      </c>
      <c r="M39" s="17">
        <v>4585800</v>
      </c>
      <c r="N39" s="17">
        <f t="shared" si="2"/>
        <v>4585800</v>
      </c>
      <c r="P39" s="12">
        <f t="shared" si="4"/>
        <v>52</v>
      </c>
    </row>
    <row r="40" spans="1:16" ht="15" hidden="1" customHeight="1" x14ac:dyDescent="0.2">
      <c r="A40" s="12" t="s">
        <v>18</v>
      </c>
      <c r="B40" s="36">
        <v>46066</v>
      </c>
      <c r="C40" s="12">
        <f t="shared" si="0"/>
        <v>25</v>
      </c>
      <c r="D40" s="38">
        <f t="shared" si="1"/>
        <v>1</v>
      </c>
      <c r="E40" s="12" t="str">
        <f t="shared" si="3"/>
        <v>025</v>
      </c>
      <c r="G40" s="12" t="s">
        <v>2170</v>
      </c>
      <c r="H40" s="12" t="s">
        <v>2171</v>
      </c>
      <c r="I40" s="12">
        <v>64277</v>
      </c>
      <c r="J40" s="12">
        <v>331</v>
      </c>
      <c r="K40" s="12" t="s">
        <v>20</v>
      </c>
      <c r="L40" s="12">
        <v>1</v>
      </c>
      <c r="M40" s="17">
        <v>1578983</v>
      </c>
      <c r="N40" s="17">
        <f t="shared" si="2"/>
        <v>1578983</v>
      </c>
      <c r="P40" s="12">
        <f t="shared" si="4"/>
        <v>102</v>
      </c>
    </row>
    <row r="41" spans="1:16" ht="15" hidden="1" customHeight="1" x14ac:dyDescent="0.2">
      <c r="A41" s="12" t="s">
        <v>18</v>
      </c>
      <c r="B41" s="36">
        <v>46066</v>
      </c>
      <c r="C41" s="12">
        <f t="shared" si="0"/>
        <v>25</v>
      </c>
      <c r="D41" s="38">
        <f t="shared" si="1"/>
        <v>0</v>
      </c>
      <c r="E41" s="12" t="str">
        <f t="shared" si="3"/>
        <v>025</v>
      </c>
      <c r="G41" s="12" t="s">
        <v>2170</v>
      </c>
      <c r="H41" s="12" t="s">
        <v>2171</v>
      </c>
      <c r="I41" s="12">
        <v>1331</v>
      </c>
      <c r="J41" s="12">
        <v>331</v>
      </c>
      <c r="K41" s="12" t="s">
        <v>20</v>
      </c>
      <c r="L41" s="12">
        <v>1</v>
      </c>
      <c r="M41" s="17">
        <v>129039</v>
      </c>
      <c r="N41" s="17">
        <f t="shared" si="2"/>
        <v>129039</v>
      </c>
      <c r="P41" s="12">
        <f t="shared" si="4"/>
        <v>102</v>
      </c>
    </row>
    <row r="42" spans="1:16" ht="15" hidden="1" customHeight="1" x14ac:dyDescent="0.2">
      <c r="A42" s="12" t="s">
        <v>310</v>
      </c>
      <c r="B42" s="36">
        <v>46066</v>
      </c>
      <c r="C42" s="12">
        <f t="shared" si="0"/>
        <v>26</v>
      </c>
      <c r="D42" s="38">
        <f t="shared" si="1"/>
        <v>1</v>
      </c>
      <c r="E42" s="12" t="str">
        <f t="shared" si="3"/>
        <v>026</v>
      </c>
      <c r="G42" s="12" t="s">
        <v>2170</v>
      </c>
      <c r="H42" s="12" t="s">
        <v>4206</v>
      </c>
      <c r="I42" s="12">
        <v>331</v>
      </c>
      <c r="J42" s="12">
        <v>1111</v>
      </c>
      <c r="K42" s="12" t="s">
        <v>20</v>
      </c>
      <c r="L42" s="12">
        <v>1</v>
      </c>
      <c r="M42" s="17">
        <v>1708022</v>
      </c>
      <c r="N42" s="17">
        <f t="shared" si="2"/>
        <v>1708022</v>
      </c>
      <c r="P42" s="12">
        <f t="shared" si="4"/>
        <v>113</v>
      </c>
    </row>
    <row r="43" spans="1:16" ht="15" hidden="1" customHeight="1" x14ac:dyDescent="0.2">
      <c r="A43" s="12" t="s">
        <v>18</v>
      </c>
      <c r="B43" s="36">
        <v>46084</v>
      </c>
      <c r="C43" s="12">
        <f t="shared" si="0"/>
        <v>27</v>
      </c>
      <c r="D43" s="38">
        <f t="shared" si="1"/>
        <v>1</v>
      </c>
      <c r="E43" s="12" t="str">
        <f t="shared" si="3"/>
        <v>027</v>
      </c>
      <c r="G43" s="12" t="s">
        <v>44</v>
      </c>
      <c r="H43" s="12" t="s">
        <v>2172</v>
      </c>
      <c r="I43" s="12">
        <v>64277</v>
      </c>
      <c r="J43" s="12">
        <v>331</v>
      </c>
      <c r="K43" s="12" t="s">
        <v>20</v>
      </c>
      <c r="L43" s="12">
        <v>1</v>
      </c>
      <c r="M43" s="17">
        <v>10000</v>
      </c>
      <c r="N43" s="17">
        <f t="shared" si="2"/>
        <v>10000</v>
      </c>
      <c r="P43" s="12">
        <f t="shared" si="4"/>
        <v>85</v>
      </c>
    </row>
    <row r="44" spans="1:16" ht="15" hidden="1" customHeight="1" x14ac:dyDescent="0.2">
      <c r="A44" s="12" t="s">
        <v>18</v>
      </c>
      <c r="B44" s="36">
        <v>46084</v>
      </c>
      <c r="C44" s="12">
        <f t="shared" si="0"/>
        <v>27</v>
      </c>
      <c r="D44" s="38">
        <f t="shared" si="1"/>
        <v>0</v>
      </c>
      <c r="E44" s="12" t="str">
        <f t="shared" si="3"/>
        <v>027</v>
      </c>
      <c r="G44" s="12" t="s">
        <v>44</v>
      </c>
      <c r="H44" s="12" t="s">
        <v>2172</v>
      </c>
      <c r="I44" s="12">
        <v>1331</v>
      </c>
      <c r="J44" s="12">
        <v>331</v>
      </c>
      <c r="K44" s="12" t="s">
        <v>20</v>
      </c>
      <c r="L44" s="12">
        <v>1</v>
      </c>
      <c r="M44" s="17">
        <v>800</v>
      </c>
      <c r="N44" s="17">
        <f t="shared" si="2"/>
        <v>800</v>
      </c>
      <c r="P44" s="12">
        <f t="shared" si="4"/>
        <v>85</v>
      </c>
    </row>
    <row r="45" spans="1:16" ht="15" hidden="1" customHeight="1" x14ac:dyDescent="0.2">
      <c r="A45" s="12" t="s">
        <v>310</v>
      </c>
      <c r="B45" s="36">
        <v>46084</v>
      </c>
      <c r="C45" s="12">
        <f t="shared" si="0"/>
        <v>28</v>
      </c>
      <c r="D45" s="38">
        <f t="shared" si="1"/>
        <v>1</v>
      </c>
      <c r="E45" s="12" t="str">
        <f t="shared" si="3"/>
        <v>028</v>
      </c>
      <c r="G45" s="12" t="s">
        <v>44</v>
      </c>
      <c r="H45" s="12" t="s">
        <v>4207</v>
      </c>
      <c r="I45" s="12">
        <v>331</v>
      </c>
      <c r="J45" s="12">
        <v>1111</v>
      </c>
      <c r="K45" s="12" t="s">
        <v>20</v>
      </c>
      <c r="L45" s="12">
        <v>1</v>
      </c>
      <c r="M45" s="17">
        <v>10800</v>
      </c>
      <c r="N45" s="17">
        <f t="shared" si="2"/>
        <v>10800</v>
      </c>
      <c r="P45" s="12">
        <f t="shared" si="4"/>
        <v>96</v>
      </c>
    </row>
    <row r="46" spans="1:16" ht="15" hidden="1" customHeight="1" x14ac:dyDescent="0.2">
      <c r="A46" s="12" t="s">
        <v>18</v>
      </c>
      <c r="B46" s="36">
        <v>46085</v>
      </c>
      <c r="C46" s="12">
        <f t="shared" si="0"/>
        <v>29</v>
      </c>
      <c r="D46" s="38">
        <f t="shared" si="1"/>
        <v>1</v>
      </c>
      <c r="E46" s="12" t="str">
        <f t="shared" si="3"/>
        <v>029</v>
      </c>
      <c r="G46" s="12" t="s">
        <v>44</v>
      </c>
      <c r="H46" s="12" t="s">
        <v>4241</v>
      </c>
      <c r="I46" s="12">
        <v>64277</v>
      </c>
      <c r="J46" s="12">
        <v>331</v>
      </c>
      <c r="K46" s="12" t="s">
        <v>20</v>
      </c>
      <c r="L46" s="12">
        <v>1</v>
      </c>
      <c r="M46" s="17">
        <v>231949</v>
      </c>
      <c r="N46" s="17">
        <f t="shared" si="2"/>
        <v>231949</v>
      </c>
      <c r="P46" s="12">
        <f t="shared" si="4"/>
        <v>44</v>
      </c>
    </row>
    <row r="47" spans="1:16" ht="15" hidden="1" customHeight="1" x14ac:dyDescent="0.2">
      <c r="A47" s="12" t="s">
        <v>18</v>
      </c>
      <c r="B47" s="36">
        <v>46085</v>
      </c>
      <c r="C47" s="12">
        <f t="shared" si="0"/>
        <v>29</v>
      </c>
      <c r="D47" s="38">
        <f t="shared" si="1"/>
        <v>0</v>
      </c>
      <c r="E47" s="12" t="str">
        <f t="shared" si="3"/>
        <v>029</v>
      </c>
      <c r="G47" s="12" t="s">
        <v>44</v>
      </c>
      <c r="H47" s="12" t="s">
        <v>4241</v>
      </c>
      <c r="I47" s="12">
        <v>1331</v>
      </c>
      <c r="J47" s="12">
        <v>331</v>
      </c>
      <c r="K47" s="12" t="s">
        <v>20</v>
      </c>
      <c r="L47" s="12">
        <v>1</v>
      </c>
      <c r="M47" s="17">
        <v>18556</v>
      </c>
      <c r="N47" s="17">
        <f t="shared" si="2"/>
        <v>18556</v>
      </c>
      <c r="P47" s="12">
        <f t="shared" si="4"/>
        <v>44</v>
      </c>
    </row>
    <row r="48" spans="1:16" ht="15" hidden="1" customHeight="1" x14ac:dyDescent="0.2">
      <c r="A48" s="12" t="s">
        <v>310</v>
      </c>
      <c r="B48" s="36">
        <v>46085</v>
      </c>
      <c r="C48" s="12">
        <f t="shared" si="0"/>
        <v>30</v>
      </c>
      <c r="D48" s="38">
        <f t="shared" si="1"/>
        <v>1</v>
      </c>
      <c r="E48" s="12" t="str">
        <f t="shared" si="3"/>
        <v>030</v>
      </c>
      <c r="G48" s="12" t="s">
        <v>44</v>
      </c>
      <c r="H48" s="12" t="s">
        <v>4242</v>
      </c>
      <c r="I48" s="12">
        <v>331</v>
      </c>
      <c r="J48" s="12">
        <v>1111</v>
      </c>
      <c r="K48" s="12" t="s">
        <v>20</v>
      </c>
      <c r="L48" s="12">
        <v>1</v>
      </c>
      <c r="M48" s="17">
        <v>250505</v>
      </c>
      <c r="N48" s="17">
        <f t="shared" si="2"/>
        <v>250505</v>
      </c>
      <c r="P48" s="12">
        <f t="shared" si="4"/>
        <v>55</v>
      </c>
    </row>
    <row r="49" spans="1:16" ht="15" hidden="1" customHeight="1" x14ac:dyDescent="0.2">
      <c r="A49" s="12" t="s">
        <v>18</v>
      </c>
      <c r="B49" s="36">
        <v>46091</v>
      </c>
      <c r="C49" s="12">
        <f t="shared" si="0"/>
        <v>31</v>
      </c>
      <c r="D49" s="38">
        <f t="shared" si="1"/>
        <v>1</v>
      </c>
      <c r="E49" s="12" t="str">
        <f t="shared" si="3"/>
        <v>031</v>
      </c>
      <c r="G49" s="12" t="s">
        <v>2173</v>
      </c>
      <c r="H49" s="12" t="s">
        <v>4243</v>
      </c>
      <c r="I49" s="12">
        <v>64277</v>
      </c>
      <c r="J49" s="12">
        <v>331</v>
      </c>
      <c r="K49" s="12" t="s">
        <v>20</v>
      </c>
      <c r="L49" s="12">
        <v>1</v>
      </c>
      <c r="M49" s="17">
        <v>0</v>
      </c>
      <c r="N49" s="17">
        <f t="shared" si="2"/>
        <v>0</v>
      </c>
      <c r="P49" s="12">
        <f t="shared" si="4"/>
        <v>40</v>
      </c>
    </row>
    <row r="50" spans="1:16" ht="15" hidden="1" customHeight="1" x14ac:dyDescent="0.2">
      <c r="A50" s="12" t="s">
        <v>18</v>
      </c>
      <c r="B50" s="36">
        <v>46091</v>
      </c>
      <c r="C50" s="12">
        <f t="shared" si="0"/>
        <v>31</v>
      </c>
      <c r="D50" s="38">
        <f t="shared" si="1"/>
        <v>0</v>
      </c>
      <c r="E50" s="12" t="str">
        <f t="shared" si="3"/>
        <v>031</v>
      </c>
      <c r="G50" s="12" t="s">
        <v>2173</v>
      </c>
      <c r="H50" s="12" t="s">
        <v>4243</v>
      </c>
      <c r="I50" s="12">
        <v>1331</v>
      </c>
      <c r="J50" s="12">
        <v>331</v>
      </c>
      <c r="K50" s="12" t="s">
        <v>20</v>
      </c>
      <c r="L50" s="12">
        <v>1</v>
      </c>
      <c r="M50" s="17">
        <v>0</v>
      </c>
      <c r="N50" s="17">
        <f t="shared" si="2"/>
        <v>0</v>
      </c>
      <c r="P50" s="12">
        <f t="shared" si="4"/>
        <v>40</v>
      </c>
    </row>
    <row r="51" spans="1:16" ht="15" hidden="1" customHeight="1" x14ac:dyDescent="0.2">
      <c r="A51" s="12" t="s">
        <v>310</v>
      </c>
      <c r="B51" s="36">
        <v>46091</v>
      </c>
      <c r="C51" s="12">
        <f t="shared" si="0"/>
        <v>32</v>
      </c>
      <c r="D51" s="38">
        <f t="shared" si="1"/>
        <v>1</v>
      </c>
      <c r="E51" s="12" t="str">
        <f t="shared" si="3"/>
        <v>032</v>
      </c>
      <c r="G51" s="12" t="s">
        <v>2173</v>
      </c>
      <c r="H51" s="12" t="s">
        <v>4244</v>
      </c>
      <c r="I51" s="12">
        <v>331</v>
      </c>
      <c r="J51" s="12">
        <v>1111</v>
      </c>
      <c r="K51" s="12" t="s">
        <v>20</v>
      </c>
      <c r="L51" s="12">
        <v>1</v>
      </c>
      <c r="M51" s="17">
        <v>0</v>
      </c>
      <c r="N51" s="17">
        <f t="shared" si="2"/>
        <v>0</v>
      </c>
      <c r="P51" s="12">
        <f t="shared" si="4"/>
        <v>51</v>
      </c>
    </row>
    <row r="52" spans="1:16" ht="15" hidden="1" customHeight="1" x14ac:dyDescent="0.2">
      <c r="A52" s="12" t="s">
        <v>18</v>
      </c>
      <c r="B52" s="36">
        <v>46093</v>
      </c>
      <c r="C52" s="12">
        <f t="shared" si="0"/>
        <v>33</v>
      </c>
      <c r="D52" s="38">
        <f t="shared" si="1"/>
        <v>1</v>
      </c>
      <c r="E52" s="12" t="str">
        <f t="shared" si="3"/>
        <v>033</v>
      </c>
      <c r="G52" s="12" t="s">
        <v>2174</v>
      </c>
      <c r="H52" s="12" t="s">
        <v>2175</v>
      </c>
      <c r="I52" s="12">
        <v>64277</v>
      </c>
      <c r="J52" s="12">
        <v>331</v>
      </c>
      <c r="K52" s="12" t="s">
        <v>20</v>
      </c>
      <c r="L52" s="12">
        <v>1</v>
      </c>
      <c r="M52" s="17">
        <v>950000</v>
      </c>
      <c r="N52" s="17">
        <f t="shared" si="2"/>
        <v>950000</v>
      </c>
      <c r="P52" s="12">
        <f t="shared" si="4"/>
        <v>50</v>
      </c>
    </row>
    <row r="53" spans="1:16" ht="15" hidden="1" customHeight="1" x14ac:dyDescent="0.2">
      <c r="A53" s="12" t="s">
        <v>18</v>
      </c>
      <c r="B53" s="36">
        <v>46093</v>
      </c>
      <c r="C53" s="12">
        <f t="shared" si="0"/>
        <v>33</v>
      </c>
      <c r="D53" s="38">
        <f t="shared" si="1"/>
        <v>0</v>
      </c>
      <c r="E53" s="12" t="str">
        <f t="shared" si="3"/>
        <v>033</v>
      </c>
      <c r="G53" s="12" t="s">
        <v>2174</v>
      </c>
      <c r="H53" s="12" t="s">
        <v>2175</v>
      </c>
      <c r="I53" s="12">
        <v>1331</v>
      </c>
      <c r="J53" s="12">
        <v>331</v>
      </c>
      <c r="K53" s="12" t="s">
        <v>20</v>
      </c>
      <c r="L53" s="12">
        <v>1</v>
      </c>
      <c r="M53" s="17">
        <v>0</v>
      </c>
      <c r="N53" s="17">
        <f t="shared" si="2"/>
        <v>0</v>
      </c>
      <c r="P53" s="12">
        <f t="shared" si="4"/>
        <v>50</v>
      </c>
    </row>
    <row r="54" spans="1:16" ht="15" hidden="1" customHeight="1" x14ac:dyDescent="0.2">
      <c r="A54" s="12" t="s">
        <v>310</v>
      </c>
      <c r="B54" s="36">
        <v>46093</v>
      </c>
      <c r="C54" s="12">
        <f t="shared" si="0"/>
        <v>34</v>
      </c>
      <c r="D54" s="38">
        <f t="shared" si="1"/>
        <v>1</v>
      </c>
      <c r="E54" s="12" t="str">
        <f t="shared" si="3"/>
        <v>034</v>
      </c>
      <c r="G54" s="12" t="s">
        <v>2174</v>
      </c>
      <c r="H54" s="12" t="s">
        <v>4208</v>
      </c>
      <c r="I54" s="12">
        <v>331</v>
      </c>
      <c r="J54" s="12">
        <v>1111</v>
      </c>
      <c r="K54" s="12" t="s">
        <v>20</v>
      </c>
      <c r="L54" s="12">
        <v>1</v>
      </c>
      <c r="M54" s="17">
        <v>950000</v>
      </c>
      <c r="N54" s="17">
        <f t="shared" si="2"/>
        <v>950000</v>
      </c>
      <c r="P54" s="12">
        <f t="shared" si="4"/>
        <v>61</v>
      </c>
    </row>
    <row r="55" spans="1:16" ht="15" hidden="1" customHeight="1" x14ac:dyDescent="0.2">
      <c r="A55" s="12" t="s">
        <v>18</v>
      </c>
      <c r="B55" s="36">
        <v>46093</v>
      </c>
      <c r="C55" s="12">
        <f t="shared" si="0"/>
        <v>35</v>
      </c>
      <c r="D55" s="38">
        <f t="shared" si="1"/>
        <v>1</v>
      </c>
      <c r="E55" s="12" t="str">
        <f t="shared" si="3"/>
        <v>035</v>
      </c>
      <c r="G55" s="12" t="s">
        <v>2176</v>
      </c>
      <c r="H55" s="12" t="s">
        <v>2177</v>
      </c>
      <c r="I55" s="12">
        <v>64277</v>
      </c>
      <c r="J55" s="12">
        <v>331</v>
      </c>
      <c r="K55" s="12" t="s">
        <v>20</v>
      </c>
      <c r="L55" s="12">
        <v>1</v>
      </c>
      <c r="M55" s="17">
        <v>74760</v>
      </c>
      <c r="N55" s="17">
        <f t="shared" si="2"/>
        <v>74760</v>
      </c>
      <c r="P55" s="12">
        <f t="shared" si="4"/>
        <v>28</v>
      </c>
    </row>
    <row r="56" spans="1:16" ht="15" hidden="1" customHeight="1" x14ac:dyDescent="0.2">
      <c r="A56" s="12" t="s">
        <v>18</v>
      </c>
      <c r="B56" s="36">
        <v>46093</v>
      </c>
      <c r="C56" s="12">
        <f t="shared" si="0"/>
        <v>35</v>
      </c>
      <c r="D56" s="38">
        <f t="shared" si="1"/>
        <v>0</v>
      </c>
      <c r="E56" s="12" t="str">
        <f t="shared" si="3"/>
        <v>035</v>
      </c>
      <c r="G56" s="12" t="s">
        <v>2176</v>
      </c>
      <c r="H56" s="12" t="s">
        <v>2177</v>
      </c>
      <c r="I56" s="12">
        <v>1331</v>
      </c>
      <c r="J56" s="12">
        <v>331</v>
      </c>
      <c r="K56" s="12" t="s">
        <v>20</v>
      </c>
      <c r="L56" s="12">
        <v>1</v>
      </c>
      <c r="M56" s="17">
        <v>3738</v>
      </c>
      <c r="N56" s="17">
        <f t="shared" si="2"/>
        <v>3738</v>
      </c>
      <c r="P56" s="12">
        <f t="shared" si="4"/>
        <v>28</v>
      </c>
    </row>
    <row r="57" spans="1:16" ht="15" hidden="1" customHeight="1" x14ac:dyDescent="0.2">
      <c r="A57" s="12" t="s">
        <v>310</v>
      </c>
      <c r="B57" s="36">
        <v>46093</v>
      </c>
      <c r="C57" s="12">
        <f t="shared" si="0"/>
        <v>36</v>
      </c>
      <c r="D57" s="38">
        <f t="shared" si="1"/>
        <v>1</v>
      </c>
      <c r="E57" s="12" t="str">
        <f t="shared" si="3"/>
        <v>036</v>
      </c>
      <c r="G57" s="12" t="s">
        <v>2176</v>
      </c>
      <c r="H57" s="12" t="s">
        <v>4209</v>
      </c>
      <c r="I57" s="12">
        <v>331</v>
      </c>
      <c r="J57" s="12">
        <v>1111</v>
      </c>
      <c r="K57" s="12" t="s">
        <v>20</v>
      </c>
      <c r="L57" s="12">
        <v>1</v>
      </c>
      <c r="M57" s="17">
        <v>78498</v>
      </c>
      <c r="N57" s="17">
        <f t="shared" si="2"/>
        <v>78498</v>
      </c>
      <c r="P57" s="12">
        <f t="shared" si="4"/>
        <v>39</v>
      </c>
    </row>
    <row r="58" spans="1:16" ht="15" hidden="1" customHeight="1" x14ac:dyDescent="0.2">
      <c r="A58" s="12" t="s">
        <v>18</v>
      </c>
      <c r="B58" s="36">
        <v>46097</v>
      </c>
      <c r="C58" s="12">
        <f t="shared" si="0"/>
        <v>37</v>
      </c>
      <c r="D58" s="38">
        <f t="shared" si="1"/>
        <v>1</v>
      </c>
      <c r="E58" s="12" t="str">
        <f t="shared" si="3"/>
        <v>037</v>
      </c>
      <c r="G58" s="12" t="s">
        <v>35</v>
      </c>
      <c r="H58" s="12" t="s">
        <v>2178</v>
      </c>
      <c r="I58" s="12">
        <v>64277</v>
      </c>
      <c r="J58" s="12">
        <v>331</v>
      </c>
      <c r="K58" s="12" t="s">
        <v>20</v>
      </c>
      <c r="L58" s="12">
        <v>1</v>
      </c>
      <c r="M58" s="17">
        <v>3000000</v>
      </c>
      <c r="N58" s="17">
        <f t="shared" si="2"/>
        <v>3000000</v>
      </c>
      <c r="P58" s="12">
        <f t="shared" si="4"/>
        <v>41</v>
      </c>
    </row>
    <row r="59" spans="1:16" ht="15" hidden="1" customHeight="1" x14ac:dyDescent="0.2">
      <c r="A59" s="12" t="s">
        <v>18</v>
      </c>
      <c r="B59" s="36">
        <v>46097</v>
      </c>
      <c r="C59" s="12">
        <f t="shared" si="0"/>
        <v>37</v>
      </c>
      <c r="D59" s="38">
        <f t="shared" si="1"/>
        <v>0</v>
      </c>
      <c r="E59" s="12" t="str">
        <f t="shared" si="3"/>
        <v>037</v>
      </c>
      <c r="G59" s="12" t="s">
        <v>35</v>
      </c>
      <c r="H59" s="12" t="s">
        <v>2178</v>
      </c>
      <c r="I59" s="12">
        <v>1331</v>
      </c>
      <c r="J59" s="12">
        <v>331</v>
      </c>
      <c r="K59" s="12" t="s">
        <v>20</v>
      </c>
      <c r="L59" s="12">
        <v>1</v>
      </c>
      <c r="M59" s="17">
        <v>240000</v>
      </c>
      <c r="N59" s="17">
        <f t="shared" si="2"/>
        <v>240000</v>
      </c>
      <c r="P59" s="12">
        <f t="shared" si="4"/>
        <v>41</v>
      </c>
    </row>
    <row r="60" spans="1:16" ht="15" hidden="1" customHeight="1" x14ac:dyDescent="0.2">
      <c r="A60" s="12" t="s">
        <v>310</v>
      </c>
      <c r="B60" s="36">
        <v>46097</v>
      </c>
      <c r="C60" s="12">
        <f t="shared" si="0"/>
        <v>38</v>
      </c>
      <c r="D60" s="38">
        <f t="shared" si="1"/>
        <v>1</v>
      </c>
      <c r="E60" s="12" t="str">
        <f t="shared" si="3"/>
        <v>038</v>
      </c>
      <c r="G60" s="12" t="s">
        <v>35</v>
      </c>
      <c r="H60" s="12" t="s">
        <v>4210</v>
      </c>
      <c r="I60" s="12">
        <v>331</v>
      </c>
      <c r="J60" s="12">
        <v>1111</v>
      </c>
      <c r="K60" s="12" t="s">
        <v>20</v>
      </c>
      <c r="L60" s="12">
        <v>1</v>
      </c>
      <c r="M60" s="17">
        <v>3240000</v>
      </c>
      <c r="N60" s="17">
        <f t="shared" si="2"/>
        <v>3240000</v>
      </c>
      <c r="P60" s="12">
        <f t="shared" si="4"/>
        <v>52</v>
      </c>
    </row>
    <row r="61" spans="1:16" ht="15" hidden="1" customHeight="1" x14ac:dyDescent="0.2">
      <c r="A61" s="12" t="s">
        <v>18</v>
      </c>
      <c r="B61" s="36">
        <v>46100</v>
      </c>
      <c r="C61" s="12">
        <f t="shared" si="0"/>
        <v>39</v>
      </c>
      <c r="D61" s="38">
        <f t="shared" si="1"/>
        <v>1</v>
      </c>
      <c r="E61" s="12" t="str">
        <f t="shared" si="3"/>
        <v>039</v>
      </c>
      <c r="G61" s="12" t="s">
        <v>2179</v>
      </c>
      <c r="H61" s="12" t="s">
        <v>4245</v>
      </c>
      <c r="I61" s="12">
        <v>64277</v>
      </c>
      <c r="J61" s="12">
        <v>331</v>
      </c>
      <c r="K61" s="12" t="s">
        <v>20</v>
      </c>
      <c r="L61" s="12">
        <v>1</v>
      </c>
      <c r="M61" s="17">
        <v>0</v>
      </c>
      <c r="N61" s="17">
        <f t="shared" si="2"/>
        <v>0</v>
      </c>
      <c r="P61" s="12">
        <f t="shared" si="4"/>
        <v>35</v>
      </c>
    </row>
    <row r="62" spans="1:16" ht="15" hidden="1" customHeight="1" x14ac:dyDescent="0.2">
      <c r="A62" s="12" t="s">
        <v>18</v>
      </c>
      <c r="B62" s="36">
        <v>46100</v>
      </c>
      <c r="C62" s="12">
        <f t="shared" si="0"/>
        <v>39</v>
      </c>
      <c r="D62" s="38">
        <f t="shared" si="1"/>
        <v>0</v>
      </c>
      <c r="E62" s="12" t="str">
        <f t="shared" si="3"/>
        <v>039</v>
      </c>
      <c r="G62" s="12" t="s">
        <v>2179</v>
      </c>
      <c r="H62" s="12" t="s">
        <v>4245</v>
      </c>
      <c r="I62" s="12">
        <v>1331</v>
      </c>
      <c r="J62" s="12">
        <v>331</v>
      </c>
      <c r="K62" s="12" t="s">
        <v>20</v>
      </c>
      <c r="L62" s="12">
        <v>1</v>
      </c>
      <c r="M62" s="17">
        <v>0</v>
      </c>
      <c r="N62" s="17">
        <f t="shared" si="2"/>
        <v>0</v>
      </c>
      <c r="P62" s="12">
        <f t="shared" si="4"/>
        <v>35</v>
      </c>
    </row>
    <row r="63" spans="1:16" ht="15" hidden="1" customHeight="1" x14ac:dyDescent="0.2">
      <c r="A63" s="12" t="s">
        <v>310</v>
      </c>
      <c r="B63" s="36">
        <v>46100</v>
      </c>
      <c r="C63" s="12">
        <f t="shared" si="0"/>
        <v>40</v>
      </c>
      <c r="D63" s="38">
        <f t="shared" si="1"/>
        <v>1</v>
      </c>
      <c r="E63" s="12" t="str">
        <f t="shared" si="3"/>
        <v>040</v>
      </c>
      <c r="G63" s="12" t="s">
        <v>2179</v>
      </c>
      <c r="H63" s="12" t="s">
        <v>4246</v>
      </c>
      <c r="I63" s="12">
        <v>331</v>
      </c>
      <c r="J63" s="12">
        <v>1111</v>
      </c>
      <c r="K63" s="12" t="s">
        <v>20</v>
      </c>
      <c r="L63" s="12">
        <v>1</v>
      </c>
      <c r="M63" s="17">
        <v>0</v>
      </c>
      <c r="N63" s="17">
        <f t="shared" si="2"/>
        <v>0</v>
      </c>
      <c r="P63" s="12">
        <f t="shared" si="4"/>
        <v>46</v>
      </c>
    </row>
    <row r="64" spans="1:16" ht="15" hidden="1" customHeight="1" x14ac:dyDescent="0.2">
      <c r="A64" s="12" t="s">
        <v>18</v>
      </c>
      <c r="B64" s="36">
        <v>46100</v>
      </c>
      <c r="C64" s="12">
        <f t="shared" si="0"/>
        <v>41</v>
      </c>
      <c r="D64" s="38">
        <f t="shared" si="1"/>
        <v>1</v>
      </c>
      <c r="E64" s="12" t="str">
        <f t="shared" si="3"/>
        <v>041</v>
      </c>
      <c r="G64" s="12" t="s">
        <v>975</v>
      </c>
      <c r="H64" s="12" t="s">
        <v>2180</v>
      </c>
      <c r="I64" s="12">
        <v>64277</v>
      </c>
      <c r="J64" s="12">
        <v>331</v>
      </c>
      <c r="K64" s="12" t="s">
        <v>20</v>
      </c>
      <c r="L64" s="12">
        <v>1</v>
      </c>
      <c r="M64" s="17">
        <v>2953704</v>
      </c>
      <c r="N64" s="17">
        <f t="shared" si="2"/>
        <v>2953704</v>
      </c>
      <c r="P64" s="12">
        <f t="shared" si="4"/>
        <v>125</v>
      </c>
    </row>
    <row r="65" spans="1:16" ht="15" hidden="1" customHeight="1" x14ac:dyDescent="0.2">
      <c r="A65" s="12" t="s">
        <v>18</v>
      </c>
      <c r="B65" s="36">
        <v>46100</v>
      </c>
      <c r="C65" s="12">
        <f t="shared" si="0"/>
        <v>41</v>
      </c>
      <c r="D65" s="38">
        <f t="shared" si="1"/>
        <v>0</v>
      </c>
      <c r="E65" s="12" t="str">
        <f t="shared" si="3"/>
        <v>041</v>
      </c>
      <c r="G65" s="12" t="s">
        <v>975</v>
      </c>
      <c r="H65" s="12" t="s">
        <v>2180</v>
      </c>
      <c r="I65" s="12">
        <v>1331</v>
      </c>
      <c r="J65" s="12">
        <v>331</v>
      </c>
      <c r="K65" s="12" t="s">
        <v>20</v>
      </c>
      <c r="L65" s="12">
        <v>1</v>
      </c>
      <c r="M65" s="17">
        <v>236296</v>
      </c>
      <c r="N65" s="17">
        <f t="shared" si="2"/>
        <v>236296</v>
      </c>
      <c r="P65" s="12">
        <f t="shared" si="4"/>
        <v>125</v>
      </c>
    </row>
    <row r="66" spans="1:16" ht="15" hidden="1" customHeight="1" x14ac:dyDescent="0.2">
      <c r="A66" s="12" t="s">
        <v>310</v>
      </c>
      <c r="B66" s="36">
        <v>46100</v>
      </c>
      <c r="C66" s="12">
        <f t="shared" si="0"/>
        <v>42</v>
      </c>
      <c r="D66" s="38">
        <f t="shared" si="1"/>
        <v>1</v>
      </c>
      <c r="E66" s="12" t="str">
        <f t="shared" si="3"/>
        <v>042</v>
      </c>
      <c r="G66" s="12" t="s">
        <v>975</v>
      </c>
      <c r="H66" s="12" t="s">
        <v>4211</v>
      </c>
      <c r="I66" s="12">
        <v>331</v>
      </c>
      <c r="J66" s="12">
        <v>1111</v>
      </c>
      <c r="K66" s="12" t="s">
        <v>20</v>
      </c>
      <c r="L66" s="12">
        <v>1</v>
      </c>
      <c r="M66" s="17">
        <v>3190000</v>
      </c>
      <c r="N66" s="17">
        <f t="shared" si="2"/>
        <v>3190000</v>
      </c>
      <c r="P66" s="12">
        <f t="shared" si="4"/>
        <v>136</v>
      </c>
    </row>
    <row r="67" spans="1:16" ht="15" hidden="1" customHeight="1" x14ac:dyDescent="0.2">
      <c r="A67" s="12" t="s">
        <v>18</v>
      </c>
      <c r="B67" s="36">
        <v>46036</v>
      </c>
      <c r="C67" s="12">
        <f t="shared" si="0"/>
        <v>43</v>
      </c>
      <c r="D67" s="38">
        <f t="shared" si="1"/>
        <v>1</v>
      </c>
      <c r="E67" s="12" t="str">
        <f t="shared" si="3"/>
        <v>043</v>
      </c>
      <c r="G67" s="12" t="s">
        <v>2181</v>
      </c>
      <c r="H67" s="12" t="s">
        <v>2182</v>
      </c>
      <c r="I67" s="12">
        <v>131</v>
      </c>
      <c r="J67" s="12">
        <v>5113</v>
      </c>
      <c r="K67" s="12" t="s">
        <v>20</v>
      </c>
      <c r="L67" s="12">
        <v>1</v>
      </c>
      <c r="M67" s="17">
        <v>17777778</v>
      </c>
      <c r="N67" s="17">
        <f t="shared" si="2"/>
        <v>17777778</v>
      </c>
      <c r="P67" s="12">
        <f t="shared" si="4"/>
        <v>111</v>
      </c>
    </row>
    <row r="68" spans="1:16" ht="15" customHeight="1" x14ac:dyDescent="0.2">
      <c r="A68" s="12" t="s">
        <v>18</v>
      </c>
      <c r="B68" s="36">
        <v>46036</v>
      </c>
      <c r="C68" s="12">
        <f t="shared" ref="C68:C112" si="5">C67+D68</f>
        <v>44</v>
      </c>
      <c r="D68" s="38">
        <f t="shared" ref="D68:D112" si="6">IF(H68=H67,0,1)</f>
        <v>1</v>
      </c>
      <c r="E68" s="12" t="str">
        <f t="shared" si="3"/>
        <v>044</v>
      </c>
      <c r="G68" s="12" t="s">
        <v>2181</v>
      </c>
      <c r="H68" s="12" t="s">
        <v>4212</v>
      </c>
      <c r="I68" s="12">
        <v>333821</v>
      </c>
      <c r="J68" s="12">
        <v>131</v>
      </c>
      <c r="K68" s="12" t="s">
        <v>20</v>
      </c>
      <c r="L68" s="12">
        <v>1</v>
      </c>
      <c r="M68" s="17">
        <v>177778</v>
      </c>
      <c r="N68" s="17">
        <f t="shared" ref="N68:N131" si="7">L68*M68</f>
        <v>177778</v>
      </c>
      <c r="P68" s="12">
        <f t="shared" si="4"/>
        <v>127</v>
      </c>
    </row>
    <row r="69" spans="1:16" ht="15" hidden="1" customHeight="1" x14ac:dyDescent="0.2">
      <c r="A69" s="12" t="s">
        <v>18</v>
      </c>
      <c r="B69" s="36">
        <v>46036</v>
      </c>
      <c r="C69" s="12">
        <f t="shared" si="5"/>
        <v>45</v>
      </c>
      <c r="D69" s="38">
        <f t="shared" si="6"/>
        <v>1</v>
      </c>
      <c r="E69" s="12" t="str">
        <f t="shared" ref="E69:E132" si="8">TEXT(C69,"000")</f>
        <v>045</v>
      </c>
      <c r="G69" s="12" t="s">
        <v>56</v>
      </c>
      <c r="H69" s="12" t="s">
        <v>2183</v>
      </c>
      <c r="I69" s="12">
        <v>131</v>
      </c>
      <c r="J69" s="12">
        <v>5113</v>
      </c>
      <c r="K69" s="12" t="s">
        <v>20</v>
      </c>
      <c r="L69" s="12">
        <v>1</v>
      </c>
      <c r="M69" s="17">
        <v>18279570</v>
      </c>
      <c r="N69" s="17">
        <f t="shared" si="7"/>
        <v>18279570</v>
      </c>
      <c r="P69" s="12">
        <f t="shared" ref="P69:P132" si="9">LEN(H69)</f>
        <v>173</v>
      </c>
    </row>
    <row r="70" spans="1:16" ht="15" customHeight="1" x14ac:dyDescent="0.2">
      <c r="A70" s="12" t="s">
        <v>18</v>
      </c>
      <c r="B70" s="36">
        <v>46036</v>
      </c>
      <c r="C70" s="12">
        <f t="shared" si="5"/>
        <v>46</v>
      </c>
      <c r="D70" s="38">
        <f t="shared" si="6"/>
        <v>1</v>
      </c>
      <c r="E70" s="12" t="str">
        <f t="shared" si="8"/>
        <v>046</v>
      </c>
      <c r="G70" s="12" t="s">
        <v>56</v>
      </c>
      <c r="H70" s="12" t="s">
        <v>4213</v>
      </c>
      <c r="I70" s="12">
        <v>333821</v>
      </c>
      <c r="J70" s="12">
        <v>131</v>
      </c>
      <c r="K70" s="12" t="s">
        <v>20</v>
      </c>
      <c r="L70" s="12">
        <v>1</v>
      </c>
      <c r="M70" s="17">
        <v>182796</v>
      </c>
      <c r="N70" s="17">
        <f t="shared" si="7"/>
        <v>182796</v>
      </c>
      <c r="P70" s="12">
        <f t="shared" si="9"/>
        <v>189</v>
      </c>
    </row>
    <row r="71" spans="1:16" ht="15" hidden="1" customHeight="1" x14ac:dyDescent="0.2">
      <c r="A71" s="12" t="s">
        <v>18</v>
      </c>
      <c r="B71" s="36">
        <v>46046</v>
      </c>
      <c r="C71" s="12">
        <f t="shared" si="5"/>
        <v>47</v>
      </c>
      <c r="D71" s="38">
        <f t="shared" si="6"/>
        <v>1</v>
      </c>
      <c r="E71" s="12" t="str">
        <f t="shared" si="8"/>
        <v>047</v>
      </c>
      <c r="G71" s="12" t="s">
        <v>75</v>
      </c>
      <c r="H71" s="12" t="s">
        <v>2184</v>
      </c>
      <c r="I71" s="12">
        <v>131</v>
      </c>
      <c r="J71" s="12">
        <v>5113</v>
      </c>
      <c r="K71" s="12" t="s">
        <v>20</v>
      </c>
      <c r="L71" s="12">
        <v>1</v>
      </c>
      <c r="M71" s="17">
        <v>21505377</v>
      </c>
      <c r="N71" s="17">
        <f t="shared" si="7"/>
        <v>21505377</v>
      </c>
      <c r="P71" s="12">
        <f t="shared" si="9"/>
        <v>146</v>
      </c>
    </row>
    <row r="72" spans="1:16" ht="15" customHeight="1" x14ac:dyDescent="0.2">
      <c r="A72" s="12" t="s">
        <v>18</v>
      </c>
      <c r="B72" s="36">
        <v>46046</v>
      </c>
      <c r="C72" s="12">
        <f t="shared" si="5"/>
        <v>48</v>
      </c>
      <c r="D72" s="38">
        <f t="shared" si="6"/>
        <v>1</v>
      </c>
      <c r="E72" s="12" t="str">
        <f t="shared" si="8"/>
        <v>048</v>
      </c>
      <c r="G72" s="12" t="s">
        <v>75</v>
      </c>
      <c r="H72" s="12" t="s">
        <v>4214</v>
      </c>
      <c r="I72" s="12">
        <v>333821</v>
      </c>
      <c r="J72" s="12">
        <v>131</v>
      </c>
      <c r="K72" s="12" t="s">
        <v>20</v>
      </c>
      <c r="L72" s="12">
        <v>1</v>
      </c>
      <c r="M72" s="17">
        <v>215054</v>
      </c>
      <c r="N72" s="17">
        <f t="shared" si="7"/>
        <v>215054</v>
      </c>
      <c r="P72" s="12">
        <f t="shared" si="9"/>
        <v>162</v>
      </c>
    </row>
    <row r="73" spans="1:16" ht="15" hidden="1" customHeight="1" x14ac:dyDescent="0.2">
      <c r="A73" s="12" t="s">
        <v>18</v>
      </c>
      <c r="B73" s="36">
        <v>46052</v>
      </c>
      <c r="C73" s="12">
        <f t="shared" si="5"/>
        <v>49</v>
      </c>
      <c r="D73" s="38">
        <f t="shared" si="6"/>
        <v>1</v>
      </c>
      <c r="E73" s="12" t="str">
        <f t="shared" si="8"/>
        <v>049</v>
      </c>
      <c r="G73" s="12" t="s">
        <v>2185</v>
      </c>
      <c r="H73" s="12" t="s">
        <v>4247</v>
      </c>
      <c r="I73" s="12">
        <v>131</v>
      </c>
      <c r="J73" s="12">
        <v>5113</v>
      </c>
      <c r="K73" s="12" t="s">
        <v>20</v>
      </c>
      <c r="L73" s="12">
        <v>1</v>
      </c>
      <c r="M73" s="17">
        <v>20000000</v>
      </c>
      <c r="N73" s="17">
        <f t="shared" si="7"/>
        <v>20000000</v>
      </c>
      <c r="P73" s="12">
        <f t="shared" si="9"/>
        <v>113</v>
      </c>
    </row>
    <row r="74" spans="1:16" ht="15" customHeight="1" x14ac:dyDescent="0.2">
      <c r="A74" s="12" t="s">
        <v>18</v>
      </c>
      <c r="B74" s="36">
        <v>46052</v>
      </c>
      <c r="C74" s="12">
        <f t="shared" si="5"/>
        <v>50</v>
      </c>
      <c r="D74" s="38">
        <f t="shared" si="6"/>
        <v>1</v>
      </c>
      <c r="E74" s="12" t="str">
        <f t="shared" si="8"/>
        <v>050</v>
      </c>
      <c r="G74" s="12" t="s">
        <v>2185</v>
      </c>
      <c r="H74" s="12" t="s">
        <v>4248</v>
      </c>
      <c r="I74" s="12">
        <v>333821</v>
      </c>
      <c r="J74" s="12">
        <v>131</v>
      </c>
      <c r="K74" s="12" t="s">
        <v>20</v>
      </c>
      <c r="L74" s="12">
        <v>1</v>
      </c>
      <c r="M74" s="17">
        <v>200000</v>
      </c>
      <c r="N74" s="17">
        <f t="shared" si="7"/>
        <v>200000</v>
      </c>
      <c r="P74" s="12">
        <f t="shared" si="9"/>
        <v>129</v>
      </c>
    </row>
    <row r="75" spans="1:16" ht="15" hidden="1" customHeight="1" x14ac:dyDescent="0.2">
      <c r="A75" s="12" t="s">
        <v>18</v>
      </c>
      <c r="B75" s="36">
        <v>46055</v>
      </c>
      <c r="C75" s="12">
        <f t="shared" si="5"/>
        <v>51</v>
      </c>
      <c r="D75" s="38">
        <f t="shared" si="6"/>
        <v>1</v>
      </c>
      <c r="E75" s="12" t="str">
        <f t="shared" si="8"/>
        <v>051</v>
      </c>
      <c r="G75" s="12" t="s">
        <v>84</v>
      </c>
      <c r="H75" s="12" t="s">
        <v>2186</v>
      </c>
      <c r="I75" s="12">
        <v>131</v>
      </c>
      <c r="J75" s="12">
        <v>5113</v>
      </c>
      <c r="K75" s="12" t="s">
        <v>20</v>
      </c>
      <c r="L75" s="12">
        <v>1</v>
      </c>
      <c r="M75" s="17">
        <v>22222222</v>
      </c>
      <c r="N75" s="17">
        <f t="shared" si="7"/>
        <v>22222222</v>
      </c>
      <c r="P75" s="12">
        <f t="shared" si="9"/>
        <v>149</v>
      </c>
    </row>
    <row r="76" spans="1:16" ht="15" customHeight="1" x14ac:dyDescent="0.2">
      <c r="A76" s="12" t="s">
        <v>18</v>
      </c>
      <c r="B76" s="36">
        <v>46055</v>
      </c>
      <c r="C76" s="12">
        <f t="shared" si="5"/>
        <v>52</v>
      </c>
      <c r="D76" s="38">
        <f t="shared" si="6"/>
        <v>1</v>
      </c>
      <c r="E76" s="12" t="str">
        <f t="shared" si="8"/>
        <v>052</v>
      </c>
      <c r="G76" s="12" t="s">
        <v>84</v>
      </c>
      <c r="H76" s="12" t="s">
        <v>4215</v>
      </c>
      <c r="I76" s="12">
        <v>333821</v>
      </c>
      <c r="J76" s="12">
        <v>131</v>
      </c>
      <c r="K76" s="12" t="s">
        <v>20</v>
      </c>
      <c r="L76" s="12">
        <v>1</v>
      </c>
      <c r="M76" s="17">
        <v>222222</v>
      </c>
      <c r="N76" s="17">
        <f t="shared" si="7"/>
        <v>222222</v>
      </c>
      <c r="P76" s="12">
        <f t="shared" si="9"/>
        <v>165</v>
      </c>
    </row>
    <row r="77" spans="1:16" ht="15" hidden="1" customHeight="1" x14ac:dyDescent="0.2">
      <c r="A77" s="12" t="s">
        <v>18</v>
      </c>
      <c r="B77" s="36">
        <v>46055</v>
      </c>
      <c r="C77" s="12">
        <f t="shared" si="5"/>
        <v>53</v>
      </c>
      <c r="D77" s="38">
        <f t="shared" si="6"/>
        <v>1</v>
      </c>
      <c r="E77" s="12" t="str">
        <f t="shared" si="8"/>
        <v>053</v>
      </c>
      <c r="G77" s="12" t="s">
        <v>68</v>
      </c>
      <c r="H77" s="12" t="s">
        <v>2187</v>
      </c>
      <c r="I77" s="12">
        <v>131</v>
      </c>
      <c r="J77" s="12">
        <v>5113</v>
      </c>
      <c r="K77" s="12" t="s">
        <v>20</v>
      </c>
      <c r="L77" s="12">
        <v>1</v>
      </c>
      <c r="M77" s="17">
        <v>21111111</v>
      </c>
      <c r="N77" s="17">
        <f t="shared" si="7"/>
        <v>21111111</v>
      </c>
      <c r="P77" s="12">
        <f t="shared" si="9"/>
        <v>143</v>
      </c>
    </row>
    <row r="78" spans="1:16" ht="15" customHeight="1" x14ac:dyDescent="0.2">
      <c r="A78" s="12" t="s">
        <v>18</v>
      </c>
      <c r="B78" s="36">
        <v>46055</v>
      </c>
      <c r="C78" s="12">
        <f t="shared" si="5"/>
        <v>54</v>
      </c>
      <c r="D78" s="38">
        <f t="shared" si="6"/>
        <v>1</v>
      </c>
      <c r="E78" s="12" t="str">
        <f t="shared" si="8"/>
        <v>054</v>
      </c>
      <c r="G78" s="12" t="s">
        <v>68</v>
      </c>
      <c r="H78" s="12" t="s">
        <v>4216</v>
      </c>
      <c r="I78" s="12">
        <v>333821</v>
      </c>
      <c r="J78" s="12">
        <v>131</v>
      </c>
      <c r="K78" s="12" t="s">
        <v>20</v>
      </c>
      <c r="L78" s="12">
        <v>1</v>
      </c>
      <c r="M78" s="17">
        <v>211111</v>
      </c>
      <c r="N78" s="17">
        <f t="shared" si="7"/>
        <v>211111</v>
      </c>
      <c r="P78" s="12">
        <f t="shared" si="9"/>
        <v>159</v>
      </c>
    </row>
    <row r="79" spans="1:16" ht="15" hidden="1" customHeight="1" x14ac:dyDescent="0.2">
      <c r="A79" s="12" t="s">
        <v>18</v>
      </c>
      <c r="B79" s="36">
        <v>46059</v>
      </c>
      <c r="C79" s="12">
        <f t="shared" si="5"/>
        <v>55</v>
      </c>
      <c r="D79" s="38">
        <f t="shared" si="6"/>
        <v>1</v>
      </c>
      <c r="E79" s="12" t="str">
        <f t="shared" si="8"/>
        <v>055</v>
      </c>
      <c r="G79" s="12" t="s">
        <v>51</v>
      </c>
      <c r="H79" s="12" t="s">
        <v>2188</v>
      </c>
      <c r="I79" s="12">
        <v>131</v>
      </c>
      <c r="J79" s="12">
        <v>5113</v>
      </c>
      <c r="K79" s="12" t="s">
        <v>20</v>
      </c>
      <c r="L79" s="12">
        <v>1</v>
      </c>
      <c r="M79" s="17">
        <v>22222222</v>
      </c>
      <c r="N79" s="17">
        <f t="shared" si="7"/>
        <v>22222222</v>
      </c>
      <c r="P79" s="12">
        <f t="shared" si="9"/>
        <v>146</v>
      </c>
    </row>
    <row r="80" spans="1:16" ht="15" customHeight="1" x14ac:dyDescent="0.2">
      <c r="A80" s="12" t="s">
        <v>18</v>
      </c>
      <c r="B80" s="36">
        <v>46059</v>
      </c>
      <c r="C80" s="12">
        <f t="shared" si="5"/>
        <v>56</v>
      </c>
      <c r="D80" s="38">
        <f t="shared" si="6"/>
        <v>1</v>
      </c>
      <c r="E80" s="12" t="str">
        <f t="shared" si="8"/>
        <v>056</v>
      </c>
      <c r="G80" s="12" t="s">
        <v>51</v>
      </c>
      <c r="H80" s="12" t="s">
        <v>4217</v>
      </c>
      <c r="I80" s="12">
        <v>333821</v>
      </c>
      <c r="J80" s="12">
        <v>131</v>
      </c>
      <c r="K80" s="12" t="s">
        <v>20</v>
      </c>
      <c r="L80" s="12">
        <v>1</v>
      </c>
      <c r="M80" s="17">
        <v>222222</v>
      </c>
      <c r="N80" s="17">
        <f t="shared" si="7"/>
        <v>222222</v>
      </c>
      <c r="P80" s="12">
        <f t="shared" si="9"/>
        <v>162</v>
      </c>
    </row>
    <row r="81" spans="1:16" ht="15" hidden="1" customHeight="1" x14ac:dyDescent="0.2">
      <c r="A81" s="12" t="s">
        <v>18</v>
      </c>
      <c r="B81" s="36">
        <v>46062</v>
      </c>
      <c r="C81" s="12">
        <f t="shared" si="5"/>
        <v>57</v>
      </c>
      <c r="D81" s="38">
        <f t="shared" si="6"/>
        <v>1</v>
      </c>
      <c r="E81" s="12" t="str">
        <f t="shared" si="8"/>
        <v>057</v>
      </c>
      <c r="G81" s="12" t="s">
        <v>68</v>
      </c>
      <c r="H81" s="12" t="s">
        <v>2189</v>
      </c>
      <c r="I81" s="12">
        <v>131</v>
      </c>
      <c r="J81" s="12">
        <v>5113</v>
      </c>
      <c r="K81" s="12" t="s">
        <v>20</v>
      </c>
      <c r="L81" s="12">
        <v>1</v>
      </c>
      <c r="M81" s="17">
        <v>22222222</v>
      </c>
      <c r="N81" s="17">
        <f t="shared" si="7"/>
        <v>22222222</v>
      </c>
      <c r="P81" s="12">
        <f t="shared" si="9"/>
        <v>143</v>
      </c>
    </row>
    <row r="82" spans="1:16" ht="15" customHeight="1" x14ac:dyDescent="0.2">
      <c r="A82" s="12" t="s">
        <v>18</v>
      </c>
      <c r="B82" s="36">
        <v>46062</v>
      </c>
      <c r="C82" s="12">
        <f t="shared" si="5"/>
        <v>58</v>
      </c>
      <c r="D82" s="38">
        <f t="shared" si="6"/>
        <v>1</v>
      </c>
      <c r="E82" s="12" t="str">
        <f t="shared" si="8"/>
        <v>058</v>
      </c>
      <c r="G82" s="12" t="s">
        <v>68</v>
      </c>
      <c r="H82" s="12" t="s">
        <v>4218</v>
      </c>
      <c r="I82" s="12">
        <v>333821</v>
      </c>
      <c r="J82" s="12">
        <v>131</v>
      </c>
      <c r="K82" s="12" t="s">
        <v>20</v>
      </c>
      <c r="L82" s="12">
        <v>1</v>
      </c>
      <c r="M82" s="17">
        <v>222222</v>
      </c>
      <c r="N82" s="17">
        <f t="shared" si="7"/>
        <v>222222</v>
      </c>
      <c r="P82" s="12">
        <f t="shared" si="9"/>
        <v>159</v>
      </c>
    </row>
    <row r="83" spans="1:16" ht="15" hidden="1" customHeight="1" x14ac:dyDescent="0.2">
      <c r="A83" s="12" t="s">
        <v>18</v>
      </c>
      <c r="B83" s="36">
        <v>46063</v>
      </c>
      <c r="C83" s="12">
        <f t="shared" si="5"/>
        <v>59</v>
      </c>
      <c r="D83" s="38">
        <f t="shared" si="6"/>
        <v>1</v>
      </c>
      <c r="E83" s="12" t="str">
        <f t="shared" si="8"/>
        <v>059</v>
      </c>
      <c r="G83" s="12" t="s">
        <v>38</v>
      </c>
      <c r="H83" s="12" t="s">
        <v>2190</v>
      </c>
      <c r="I83" s="12">
        <v>131</v>
      </c>
      <c r="J83" s="12">
        <v>5113</v>
      </c>
      <c r="K83" s="12" t="s">
        <v>20</v>
      </c>
      <c r="L83" s="12">
        <v>1</v>
      </c>
      <c r="M83" s="17">
        <v>21111111</v>
      </c>
      <c r="N83" s="17">
        <f t="shared" si="7"/>
        <v>21111111</v>
      </c>
      <c r="P83" s="12">
        <f t="shared" si="9"/>
        <v>111</v>
      </c>
    </row>
    <row r="84" spans="1:16" ht="15" customHeight="1" x14ac:dyDescent="0.2">
      <c r="A84" s="12" t="s">
        <v>18</v>
      </c>
      <c r="B84" s="36">
        <v>46063</v>
      </c>
      <c r="C84" s="12">
        <f t="shared" si="5"/>
        <v>60</v>
      </c>
      <c r="D84" s="38">
        <f t="shared" si="6"/>
        <v>1</v>
      </c>
      <c r="E84" s="12" t="str">
        <f t="shared" si="8"/>
        <v>060</v>
      </c>
      <c r="G84" s="12" t="s">
        <v>38</v>
      </c>
      <c r="H84" s="12" t="s">
        <v>4219</v>
      </c>
      <c r="I84" s="12">
        <v>333821</v>
      </c>
      <c r="J84" s="12">
        <v>131</v>
      </c>
      <c r="K84" s="12" t="s">
        <v>20</v>
      </c>
      <c r="L84" s="12">
        <v>1</v>
      </c>
      <c r="M84" s="17">
        <v>211111</v>
      </c>
      <c r="N84" s="17">
        <f t="shared" si="7"/>
        <v>211111</v>
      </c>
      <c r="P84" s="12">
        <f t="shared" si="9"/>
        <v>127</v>
      </c>
    </row>
    <row r="85" spans="1:16" ht="15" hidden="1" customHeight="1" x14ac:dyDescent="0.2">
      <c r="A85" s="12" t="s">
        <v>18</v>
      </c>
      <c r="B85" s="36">
        <v>46081</v>
      </c>
      <c r="C85" s="12">
        <f t="shared" si="5"/>
        <v>61</v>
      </c>
      <c r="D85" s="38">
        <f t="shared" si="6"/>
        <v>1</v>
      </c>
      <c r="E85" s="12" t="str">
        <f t="shared" si="8"/>
        <v>061</v>
      </c>
      <c r="G85" s="12" t="s">
        <v>98</v>
      </c>
      <c r="H85" s="12" t="s">
        <v>2191</v>
      </c>
      <c r="I85" s="12">
        <v>131</v>
      </c>
      <c r="J85" s="12">
        <v>5113</v>
      </c>
      <c r="K85" s="12" t="s">
        <v>20</v>
      </c>
      <c r="L85" s="12">
        <v>1</v>
      </c>
      <c r="M85" s="17">
        <v>18888889</v>
      </c>
      <c r="N85" s="17">
        <f t="shared" si="7"/>
        <v>18888889</v>
      </c>
      <c r="P85" s="12">
        <f t="shared" si="9"/>
        <v>151</v>
      </c>
    </row>
    <row r="86" spans="1:16" ht="15" customHeight="1" x14ac:dyDescent="0.2">
      <c r="A86" s="12" t="s">
        <v>18</v>
      </c>
      <c r="B86" s="36">
        <v>46081</v>
      </c>
      <c r="C86" s="12">
        <f t="shared" si="5"/>
        <v>62</v>
      </c>
      <c r="D86" s="38">
        <f t="shared" si="6"/>
        <v>1</v>
      </c>
      <c r="E86" s="12" t="str">
        <f t="shared" si="8"/>
        <v>062</v>
      </c>
      <c r="G86" s="12" t="s">
        <v>98</v>
      </c>
      <c r="H86" s="12" t="s">
        <v>4220</v>
      </c>
      <c r="I86" s="12">
        <v>333821</v>
      </c>
      <c r="J86" s="12">
        <v>131</v>
      </c>
      <c r="K86" s="12" t="s">
        <v>20</v>
      </c>
      <c r="L86" s="12">
        <v>1</v>
      </c>
      <c r="M86" s="17">
        <v>188889</v>
      </c>
      <c r="N86" s="17">
        <f t="shared" si="7"/>
        <v>188889</v>
      </c>
      <c r="P86" s="12">
        <f t="shared" si="9"/>
        <v>167</v>
      </c>
    </row>
    <row r="87" spans="1:16" ht="15" hidden="1" customHeight="1" x14ac:dyDescent="0.2">
      <c r="A87" s="12" t="s">
        <v>18</v>
      </c>
      <c r="B87" s="36">
        <v>46084</v>
      </c>
      <c r="C87" s="12">
        <f t="shared" si="5"/>
        <v>63</v>
      </c>
      <c r="D87" s="38">
        <f t="shared" si="6"/>
        <v>1</v>
      </c>
      <c r="E87" s="12" t="str">
        <f t="shared" si="8"/>
        <v>063</v>
      </c>
      <c r="G87" s="12" t="s">
        <v>84</v>
      </c>
      <c r="H87" s="12" t="s">
        <v>2192</v>
      </c>
      <c r="I87" s="12">
        <v>131</v>
      </c>
      <c r="J87" s="12">
        <v>5113</v>
      </c>
      <c r="K87" s="12" t="s">
        <v>20</v>
      </c>
      <c r="L87" s="12">
        <v>1</v>
      </c>
      <c r="M87" s="17">
        <v>11666667</v>
      </c>
      <c r="N87" s="17">
        <f t="shared" si="7"/>
        <v>11666667</v>
      </c>
      <c r="P87" s="12">
        <f t="shared" si="9"/>
        <v>123</v>
      </c>
    </row>
    <row r="88" spans="1:16" ht="15" customHeight="1" x14ac:dyDescent="0.2">
      <c r="A88" s="12" t="s">
        <v>18</v>
      </c>
      <c r="B88" s="36">
        <v>46084</v>
      </c>
      <c r="C88" s="12">
        <f t="shared" si="5"/>
        <v>64</v>
      </c>
      <c r="D88" s="38">
        <f t="shared" si="6"/>
        <v>1</v>
      </c>
      <c r="E88" s="12" t="str">
        <f t="shared" si="8"/>
        <v>064</v>
      </c>
      <c r="G88" s="12" t="s">
        <v>84</v>
      </c>
      <c r="H88" s="12" t="s">
        <v>4221</v>
      </c>
      <c r="I88" s="12">
        <v>333821</v>
      </c>
      <c r="J88" s="12">
        <v>131</v>
      </c>
      <c r="K88" s="12" t="s">
        <v>20</v>
      </c>
      <c r="L88" s="12">
        <v>1</v>
      </c>
      <c r="M88" s="17">
        <v>116667</v>
      </c>
      <c r="N88" s="17">
        <f t="shared" si="7"/>
        <v>116667</v>
      </c>
      <c r="P88" s="12">
        <f t="shared" si="9"/>
        <v>139</v>
      </c>
    </row>
    <row r="89" spans="1:16" ht="15" hidden="1" customHeight="1" x14ac:dyDescent="0.2">
      <c r="A89" s="12" t="s">
        <v>18</v>
      </c>
      <c r="B89" s="36">
        <v>46085</v>
      </c>
      <c r="C89" s="12">
        <f t="shared" si="5"/>
        <v>65</v>
      </c>
      <c r="D89" s="38">
        <f t="shared" si="6"/>
        <v>1</v>
      </c>
      <c r="E89" s="12" t="str">
        <f t="shared" si="8"/>
        <v>065</v>
      </c>
      <c r="G89" s="12" t="s">
        <v>253</v>
      </c>
      <c r="H89" s="12" t="s">
        <v>4249</v>
      </c>
      <c r="I89" s="12">
        <v>131</v>
      </c>
      <c r="J89" s="12">
        <v>5113</v>
      </c>
      <c r="K89" s="12" t="s">
        <v>20</v>
      </c>
      <c r="L89" s="12">
        <v>1</v>
      </c>
      <c r="M89" s="17">
        <v>16666667</v>
      </c>
      <c r="N89" s="17">
        <f t="shared" si="7"/>
        <v>16666667</v>
      </c>
      <c r="P89" s="12">
        <f t="shared" si="9"/>
        <v>110</v>
      </c>
    </row>
    <row r="90" spans="1:16" ht="15" customHeight="1" x14ac:dyDescent="0.2">
      <c r="A90" s="12" t="s">
        <v>18</v>
      </c>
      <c r="B90" s="36">
        <v>46085</v>
      </c>
      <c r="C90" s="12">
        <f t="shared" si="5"/>
        <v>66</v>
      </c>
      <c r="D90" s="38">
        <f t="shared" si="6"/>
        <v>1</v>
      </c>
      <c r="E90" s="12" t="str">
        <f t="shared" si="8"/>
        <v>066</v>
      </c>
      <c r="G90" s="12" t="s">
        <v>253</v>
      </c>
      <c r="H90" s="12" t="s">
        <v>4250</v>
      </c>
      <c r="I90" s="12">
        <v>333821</v>
      </c>
      <c r="J90" s="12">
        <v>131</v>
      </c>
      <c r="K90" s="12" t="s">
        <v>20</v>
      </c>
      <c r="L90" s="12">
        <v>1</v>
      </c>
      <c r="M90" s="17">
        <v>166667</v>
      </c>
      <c r="N90" s="17">
        <f t="shared" si="7"/>
        <v>166667</v>
      </c>
      <c r="P90" s="12">
        <f t="shared" si="9"/>
        <v>126</v>
      </c>
    </row>
    <row r="91" spans="1:16" ht="15" hidden="1" customHeight="1" x14ac:dyDescent="0.2">
      <c r="A91" s="12" t="s">
        <v>18</v>
      </c>
      <c r="B91" s="36">
        <v>46091</v>
      </c>
      <c r="C91" s="12">
        <f t="shared" si="5"/>
        <v>67</v>
      </c>
      <c r="D91" s="38">
        <f t="shared" si="6"/>
        <v>1</v>
      </c>
      <c r="E91" s="12" t="str">
        <f t="shared" si="8"/>
        <v>067</v>
      </c>
      <c r="G91" s="12" t="s">
        <v>57</v>
      </c>
      <c r="H91" s="12" t="s">
        <v>2193</v>
      </c>
      <c r="I91" s="12">
        <v>131</v>
      </c>
      <c r="J91" s="12">
        <v>5113</v>
      </c>
      <c r="K91" s="12" t="s">
        <v>20</v>
      </c>
      <c r="L91" s="12">
        <v>1</v>
      </c>
      <c r="M91" s="17">
        <v>22222222</v>
      </c>
      <c r="N91" s="17">
        <f t="shared" si="7"/>
        <v>22222222</v>
      </c>
      <c r="P91" s="12">
        <f t="shared" si="9"/>
        <v>158</v>
      </c>
    </row>
    <row r="92" spans="1:16" ht="15" customHeight="1" x14ac:dyDescent="0.2">
      <c r="A92" s="12" t="s">
        <v>18</v>
      </c>
      <c r="B92" s="36">
        <v>46091</v>
      </c>
      <c r="C92" s="12">
        <f t="shared" si="5"/>
        <v>68</v>
      </c>
      <c r="D92" s="38">
        <f t="shared" si="6"/>
        <v>1</v>
      </c>
      <c r="E92" s="12" t="str">
        <f t="shared" si="8"/>
        <v>068</v>
      </c>
      <c r="G92" s="12" t="s">
        <v>57</v>
      </c>
      <c r="H92" s="12" t="s">
        <v>4222</v>
      </c>
      <c r="I92" s="12">
        <v>333821</v>
      </c>
      <c r="J92" s="12">
        <v>131</v>
      </c>
      <c r="K92" s="12" t="s">
        <v>20</v>
      </c>
      <c r="L92" s="12">
        <v>1</v>
      </c>
      <c r="M92" s="17">
        <v>222222</v>
      </c>
      <c r="N92" s="17">
        <f t="shared" si="7"/>
        <v>222222</v>
      </c>
      <c r="P92" s="12">
        <f t="shared" si="9"/>
        <v>174</v>
      </c>
    </row>
    <row r="93" spans="1:16" ht="15" hidden="1" customHeight="1" x14ac:dyDescent="0.2">
      <c r="A93" s="12" t="s">
        <v>18</v>
      </c>
      <c r="B93" s="36">
        <v>46092</v>
      </c>
      <c r="C93" s="12">
        <f t="shared" si="5"/>
        <v>69</v>
      </c>
      <c r="D93" s="38">
        <f t="shared" si="6"/>
        <v>1</v>
      </c>
      <c r="E93" s="12" t="str">
        <f t="shared" si="8"/>
        <v>069</v>
      </c>
      <c r="G93" s="12" t="s">
        <v>84</v>
      </c>
      <c r="H93" s="12" t="s">
        <v>2194</v>
      </c>
      <c r="I93" s="12">
        <v>131</v>
      </c>
      <c r="J93" s="12">
        <v>5113</v>
      </c>
      <c r="K93" s="12" t="s">
        <v>20</v>
      </c>
      <c r="L93" s="12">
        <v>1</v>
      </c>
      <c r="M93" s="17">
        <v>11666667</v>
      </c>
      <c r="N93" s="17">
        <f t="shared" si="7"/>
        <v>11666667</v>
      </c>
      <c r="P93" s="12">
        <f t="shared" si="9"/>
        <v>166</v>
      </c>
    </row>
    <row r="94" spans="1:16" ht="15" customHeight="1" x14ac:dyDescent="0.2">
      <c r="A94" s="12" t="s">
        <v>18</v>
      </c>
      <c r="B94" s="36">
        <v>46092</v>
      </c>
      <c r="C94" s="12">
        <f t="shared" si="5"/>
        <v>70</v>
      </c>
      <c r="D94" s="38">
        <f t="shared" si="6"/>
        <v>1</v>
      </c>
      <c r="E94" s="12" t="str">
        <f t="shared" si="8"/>
        <v>070</v>
      </c>
      <c r="G94" s="12" t="s">
        <v>84</v>
      </c>
      <c r="H94" s="12" t="s">
        <v>4223</v>
      </c>
      <c r="I94" s="12">
        <v>333821</v>
      </c>
      <c r="J94" s="12">
        <v>131</v>
      </c>
      <c r="K94" s="12" t="s">
        <v>20</v>
      </c>
      <c r="L94" s="12">
        <v>1</v>
      </c>
      <c r="M94" s="17">
        <v>116667</v>
      </c>
      <c r="N94" s="17">
        <f t="shared" si="7"/>
        <v>116667</v>
      </c>
      <c r="P94" s="12">
        <f t="shared" si="9"/>
        <v>182</v>
      </c>
    </row>
    <row r="95" spans="1:16" ht="15" hidden="1" customHeight="1" x14ac:dyDescent="0.2">
      <c r="A95" s="12" t="s">
        <v>18</v>
      </c>
      <c r="B95" s="36">
        <v>46094</v>
      </c>
      <c r="C95" s="12">
        <f t="shared" si="5"/>
        <v>71</v>
      </c>
      <c r="D95" s="38">
        <f t="shared" si="6"/>
        <v>1</v>
      </c>
      <c r="E95" s="12" t="str">
        <f t="shared" si="8"/>
        <v>071</v>
      </c>
      <c r="G95" s="12" t="s">
        <v>2195</v>
      </c>
      <c r="H95" s="12" t="s">
        <v>2196</v>
      </c>
      <c r="I95" s="12">
        <v>131</v>
      </c>
      <c r="J95" s="12">
        <v>5113</v>
      </c>
      <c r="K95" s="12" t="s">
        <v>20</v>
      </c>
      <c r="L95" s="12">
        <v>1</v>
      </c>
      <c r="M95" s="17">
        <v>111111111</v>
      </c>
      <c r="N95" s="17">
        <f t="shared" si="7"/>
        <v>111111111</v>
      </c>
      <c r="P95" s="12">
        <f t="shared" si="9"/>
        <v>97</v>
      </c>
    </row>
    <row r="96" spans="1:16" ht="15" customHeight="1" x14ac:dyDescent="0.2">
      <c r="A96" s="12" t="s">
        <v>18</v>
      </c>
      <c r="B96" s="36">
        <v>46094</v>
      </c>
      <c r="C96" s="12">
        <f t="shared" si="5"/>
        <v>72</v>
      </c>
      <c r="D96" s="38">
        <f t="shared" si="6"/>
        <v>1</v>
      </c>
      <c r="E96" s="12" t="str">
        <f t="shared" si="8"/>
        <v>072</v>
      </c>
      <c r="G96" s="12" t="s">
        <v>2195</v>
      </c>
      <c r="H96" s="12" t="s">
        <v>4224</v>
      </c>
      <c r="I96" s="12">
        <v>333821</v>
      </c>
      <c r="J96" s="12">
        <v>131</v>
      </c>
      <c r="K96" s="12" t="s">
        <v>20</v>
      </c>
      <c r="L96" s="12">
        <v>1</v>
      </c>
      <c r="M96" s="17">
        <v>1111111</v>
      </c>
      <c r="N96" s="17">
        <f t="shared" si="7"/>
        <v>1111111</v>
      </c>
      <c r="P96" s="12">
        <f t="shared" si="9"/>
        <v>113</v>
      </c>
    </row>
    <row r="97" spans="1:16" ht="15" hidden="1" customHeight="1" x14ac:dyDescent="0.2">
      <c r="A97" s="12" t="s">
        <v>18</v>
      </c>
      <c r="B97" s="36">
        <v>46097</v>
      </c>
      <c r="C97" s="12">
        <f t="shared" si="5"/>
        <v>73</v>
      </c>
      <c r="D97" s="38">
        <f t="shared" si="6"/>
        <v>1</v>
      </c>
      <c r="E97" s="12" t="str">
        <f t="shared" si="8"/>
        <v>073</v>
      </c>
      <c r="G97" s="12" t="s">
        <v>51</v>
      </c>
      <c r="H97" s="12" t="s">
        <v>2197</v>
      </c>
      <c r="I97" s="12">
        <v>131</v>
      </c>
      <c r="J97" s="12">
        <v>5113</v>
      </c>
      <c r="K97" s="12" t="s">
        <v>20</v>
      </c>
      <c r="L97" s="12">
        <v>1</v>
      </c>
      <c r="M97" s="17">
        <v>22222222</v>
      </c>
      <c r="N97" s="17">
        <f t="shared" si="7"/>
        <v>22222222</v>
      </c>
      <c r="P97" s="12">
        <f t="shared" si="9"/>
        <v>150</v>
      </c>
    </row>
    <row r="98" spans="1:16" ht="15" customHeight="1" x14ac:dyDescent="0.2">
      <c r="A98" s="12" t="s">
        <v>18</v>
      </c>
      <c r="B98" s="36">
        <v>46097</v>
      </c>
      <c r="C98" s="12">
        <f t="shared" si="5"/>
        <v>74</v>
      </c>
      <c r="D98" s="38">
        <f t="shared" si="6"/>
        <v>1</v>
      </c>
      <c r="E98" s="12" t="str">
        <f t="shared" si="8"/>
        <v>074</v>
      </c>
      <c r="G98" s="12" t="s">
        <v>51</v>
      </c>
      <c r="H98" s="12" t="s">
        <v>4225</v>
      </c>
      <c r="I98" s="12">
        <v>333821</v>
      </c>
      <c r="J98" s="12">
        <v>131</v>
      </c>
      <c r="K98" s="12" t="s">
        <v>20</v>
      </c>
      <c r="L98" s="12">
        <v>1</v>
      </c>
      <c r="M98" s="17">
        <v>222222</v>
      </c>
      <c r="N98" s="17">
        <f t="shared" si="7"/>
        <v>222222</v>
      </c>
      <c r="P98" s="12">
        <f t="shared" si="9"/>
        <v>166</v>
      </c>
    </row>
    <row r="99" spans="1:16" ht="15" hidden="1" customHeight="1" x14ac:dyDescent="0.2">
      <c r="A99" s="12" t="s">
        <v>18</v>
      </c>
      <c r="B99" s="36">
        <v>46098</v>
      </c>
      <c r="C99" s="12">
        <f t="shared" si="5"/>
        <v>75</v>
      </c>
      <c r="D99" s="38">
        <f t="shared" si="6"/>
        <v>1</v>
      </c>
      <c r="E99" s="12" t="str">
        <f t="shared" si="8"/>
        <v>075</v>
      </c>
      <c r="G99" s="12" t="s">
        <v>67</v>
      </c>
      <c r="H99" s="12" t="s">
        <v>2198</v>
      </c>
      <c r="I99" s="12">
        <v>131</v>
      </c>
      <c r="J99" s="12">
        <v>5113</v>
      </c>
      <c r="K99" s="12" t="s">
        <v>20</v>
      </c>
      <c r="L99" s="12">
        <v>1</v>
      </c>
      <c r="M99" s="17">
        <v>21111111</v>
      </c>
      <c r="N99" s="17">
        <f t="shared" si="7"/>
        <v>21111111</v>
      </c>
      <c r="P99" s="12">
        <f t="shared" si="9"/>
        <v>168</v>
      </c>
    </row>
    <row r="100" spans="1:16" ht="15" customHeight="1" x14ac:dyDescent="0.2">
      <c r="A100" s="12" t="s">
        <v>18</v>
      </c>
      <c r="B100" s="36">
        <v>46098</v>
      </c>
      <c r="C100" s="12">
        <f t="shared" si="5"/>
        <v>76</v>
      </c>
      <c r="D100" s="38">
        <f t="shared" si="6"/>
        <v>1</v>
      </c>
      <c r="E100" s="12" t="str">
        <f t="shared" si="8"/>
        <v>076</v>
      </c>
      <c r="G100" s="12" t="s">
        <v>67</v>
      </c>
      <c r="H100" s="12" t="s">
        <v>4226</v>
      </c>
      <c r="I100" s="12">
        <v>333821</v>
      </c>
      <c r="J100" s="12">
        <v>131</v>
      </c>
      <c r="K100" s="12" t="s">
        <v>20</v>
      </c>
      <c r="L100" s="12">
        <v>1</v>
      </c>
      <c r="M100" s="17">
        <v>211111</v>
      </c>
      <c r="N100" s="17">
        <f t="shared" si="7"/>
        <v>211111</v>
      </c>
      <c r="P100" s="12">
        <f t="shared" si="9"/>
        <v>184</v>
      </c>
    </row>
    <row r="101" spans="1:16" ht="15" hidden="1" customHeight="1" x14ac:dyDescent="0.2">
      <c r="A101" s="12" t="s">
        <v>18</v>
      </c>
      <c r="B101" s="36">
        <v>46100</v>
      </c>
      <c r="C101" s="12">
        <f t="shared" si="5"/>
        <v>77</v>
      </c>
      <c r="D101" s="38">
        <f t="shared" si="6"/>
        <v>1</v>
      </c>
      <c r="E101" s="12" t="str">
        <f t="shared" si="8"/>
        <v>077</v>
      </c>
      <c r="G101" s="12" t="s">
        <v>245</v>
      </c>
      <c r="H101" s="12" t="s">
        <v>2199</v>
      </c>
      <c r="I101" s="12">
        <v>131</v>
      </c>
      <c r="J101" s="12">
        <v>5113</v>
      </c>
      <c r="K101" s="12" t="s">
        <v>20</v>
      </c>
      <c r="L101" s="12">
        <v>1</v>
      </c>
      <c r="M101" s="17">
        <v>19444444</v>
      </c>
      <c r="N101" s="17">
        <f t="shared" si="7"/>
        <v>19444444</v>
      </c>
      <c r="P101" s="12">
        <f t="shared" si="9"/>
        <v>102</v>
      </c>
    </row>
    <row r="102" spans="1:16" ht="15" customHeight="1" x14ac:dyDescent="0.2">
      <c r="A102" s="12" t="s">
        <v>18</v>
      </c>
      <c r="B102" s="36">
        <v>46100</v>
      </c>
      <c r="C102" s="12">
        <f t="shared" si="5"/>
        <v>78</v>
      </c>
      <c r="D102" s="38">
        <f t="shared" si="6"/>
        <v>1</v>
      </c>
      <c r="E102" s="12" t="str">
        <f t="shared" si="8"/>
        <v>078</v>
      </c>
      <c r="G102" s="12" t="s">
        <v>245</v>
      </c>
      <c r="H102" s="12" t="s">
        <v>4227</v>
      </c>
      <c r="I102" s="12">
        <v>333821</v>
      </c>
      <c r="J102" s="12">
        <v>131</v>
      </c>
      <c r="K102" s="12" t="s">
        <v>20</v>
      </c>
      <c r="L102" s="12">
        <v>1</v>
      </c>
      <c r="M102" s="17">
        <v>194444</v>
      </c>
      <c r="N102" s="17">
        <f t="shared" si="7"/>
        <v>194444</v>
      </c>
      <c r="P102" s="12">
        <f t="shared" si="9"/>
        <v>118</v>
      </c>
    </row>
    <row r="103" spans="1:16" ht="15" hidden="1" customHeight="1" x14ac:dyDescent="0.2">
      <c r="A103" s="12" t="s">
        <v>18</v>
      </c>
      <c r="B103" s="36">
        <v>46104</v>
      </c>
      <c r="C103" s="12">
        <f t="shared" si="5"/>
        <v>79</v>
      </c>
      <c r="D103" s="38">
        <f t="shared" si="6"/>
        <v>1</v>
      </c>
      <c r="E103" s="12" t="str">
        <f t="shared" si="8"/>
        <v>079</v>
      </c>
      <c r="G103" s="12" t="s">
        <v>245</v>
      </c>
      <c r="H103" s="12" t="s">
        <v>2200</v>
      </c>
      <c r="I103" s="12">
        <v>131</v>
      </c>
      <c r="J103" s="12">
        <v>5113</v>
      </c>
      <c r="K103" s="12" t="s">
        <v>20</v>
      </c>
      <c r="L103" s="12">
        <v>1</v>
      </c>
      <c r="M103" s="17">
        <v>19444444</v>
      </c>
      <c r="N103" s="17">
        <f t="shared" si="7"/>
        <v>19444444</v>
      </c>
      <c r="P103" s="12">
        <f t="shared" si="9"/>
        <v>98</v>
      </c>
    </row>
    <row r="104" spans="1:16" ht="15" customHeight="1" x14ac:dyDescent="0.2">
      <c r="A104" s="12" t="s">
        <v>18</v>
      </c>
      <c r="B104" s="36">
        <v>46104</v>
      </c>
      <c r="C104" s="12">
        <f t="shared" si="5"/>
        <v>80</v>
      </c>
      <c r="D104" s="38">
        <f t="shared" si="6"/>
        <v>1</v>
      </c>
      <c r="E104" s="12" t="str">
        <f t="shared" si="8"/>
        <v>080</v>
      </c>
      <c r="G104" s="12" t="s">
        <v>245</v>
      </c>
      <c r="H104" s="12" t="s">
        <v>4228</v>
      </c>
      <c r="I104" s="12">
        <v>333821</v>
      </c>
      <c r="J104" s="12">
        <v>131</v>
      </c>
      <c r="K104" s="12" t="s">
        <v>20</v>
      </c>
      <c r="L104" s="12">
        <v>1</v>
      </c>
      <c r="M104" s="17">
        <v>194444</v>
      </c>
      <c r="N104" s="17">
        <f t="shared" si="7"/>
        <v>194444</v>
      </c>
      <c r="P104" s="12">
        <f t="shared" si="9"/>
        <v>114</v>
      </c>
    </row>
    <row r="105" spans="1:16" ht="15" hidden="1" customHeight="1" x14ac:dyDescent="0.2">
      <c r="A105" s="12" t="s">
        <v>18</v>
      </c>
      <c r="B105" s="36">
        <v>46106</v>
      </c>
      <c r="C105" s="12">
        <f t="shared" si="5"/>
        <v>81</v>
      </c>
      <c r="D105" s="38">
        <f t="shared" si="6"/>
        <v>1</v>
      </c>
      <c r="E105" s="12" t="str">
        <f t="shared" si="8"/>
        <v>081</v>
      </c>
      <c r="G105" s="12" t="s">
        <v>68</v>
      </c>
      <c r="H105" s="12" t="s">
        <v>2201</v>
      </c>
      <c r="I105" s="12">
        <v>131</v>
      </c>
      <c r="J105" s="12">
        <v>5113</v>
      </c>
      <c r="K105" s="12" t="s">
        <v>20</v>
      </c>
      <c r="L105" s="12">
        <v>1</v>
      </c>
      <c r="M105" s="17">
        <v>22222222</v>
      </c>
      <c r="N105" s="17">
        <f t="shared" si="7"/>
        <v>22222222</v>
      </c>
      <c r="P105" s="12">
        <f t="shared" si="9"/>
        <v>143</v>
      </c>
    </row>
    <row r="106" spans="1:16" ht="15" customHeight="1" x14ac:dyDescent="0.2">
      <c r="A106" s="12" t="s">
        <v>18</v>
      </c>
      <c r="B106" s="36">
        <v>46106</v>
      </c>
      <c r="C106" s="12">
        <f t="shared" si="5"/>
        <v>82</v>
      </c>
      <c r="D106" s="38">
        <f t="shared" si="6"/>
        <v>1</v>
      </c>
      <c r="E106" s="12" t="str">
        <f t="shared" si="8"/>
        <v>082</v>
      </c>
      <c r="G106" s="12" t="s">
        <v>68</v>
      </c>
      <c r="H106" s="12" t="s">
        <v>4229</v>
      </c>
      <c r="I106" s="12">
        <v>333821</v>
      </c>
      <c r="J106" s="12">
        <v>131</v>
      </c>
      <c r="K106" s="12" t="s">
        <v>20</v>
      </c>
      <c r="L106" s="12">
        <v>1</v>
      </c>
      <c r="M106" s="17">
        <v>222222</v>
      </c>
      <c r="N106" s="17">
        <f t="shared" si="7"/>
        <v>222222</v>
      </c>
      <c r="P106" s="12">
        <f t="shared" si="9"/>
        <v>159</v>
      </c>
    </row>
    <row r="107" spans="1:16" ht="15" hidden="1" customHeight="1" x14ac:dyDescent="0.2">
      <c r="A107" s="12" t="s">
        <v>18</v>
      </c>
      <c r="B107" s="36">
        <v>46106</v>
      </c>
      <c r="C107" s="12">
        <f t="shared" si="5"/>
        <v>83</v>
      </c>
      <c r="D107" s="38">
        <f t="shared" si="6"/>
        <v>1</v>
      </c>
      <c r="E107" s="12" t="str">
        <f t="shared" si="8"/>
        <v>083</v>
      </c>
      <c r="G107" s="12" t="s">
        <v>2202</v>
      </c>
      <c r="H107" s="12" t="s">
        <v>2203</v>
      </c>
      <c r="I107" s="12">
        <v>131</v>
      </c>
      <c r="J107" s="12">
        <v>5113</v>
      </c>
      <c r="K107" s="12" t="s">
        <v>20</v>
      </c>
      <c r="L107" s="12">
        <v>1</v>
      </c>
      <c r="M107" s="17">
        <v>17777778</v>
      </c>
      <c r="N107" s="17">
        <f t="shared" si="7"/>
        <v>17777778</v>
      </c>
      <c r="P107" s="12">
        <f t="shared" si="9"/>
        <v>154</v>
      </c>
    </row>
    <row r="108" spans="1:16" ht="15" customHeight="1" x14ac:dyDescent="0.2">
      <c r="A108" s="12" t="s">
        <v>18</v>
      </c>
      <c r="B108" s="36">
        <v>46106</v>
      </c>
      <c r="C108" s="12">
        <f t="shared" si="5"/>
        <v>84</v>
      </c>
      <c r="D108" s="38">
        <f t="shared" si="6"/>
        <v>1</v>
      </c>
      <c r="E108" s="12" t="str">
        <f t="shared" si="8"/>
        <v>084</v>
      </c>
      <c r="G108" s="12" t="s">
        <v>2202</v>
      </c>
      <c r="H108" s="12" t="s">
        <v>4230</v>
      </c>
      <c r="I108" s="12">
        <v>333821</v>
      </c>
      <c r="J108" s="12">
        <v>131</v>
      </c>
      <c r="K108" s="12" t="s">
        <v>20</v>
      </c>
      <c r="L108" s="12">
        <v>1</v>
      </c>
      <c r="M108" s="17">
        <v>177778</v>
      </c>
      <c r="N108" s="17">
        <f t="shared" si="7"/>
        <v>177778</v>
      </c>
      <c r="P108" s="12">
        <f t="shared" si="9"/>
        <v>170</v>
      </c>
    </row>
    <row r="109" spans="1:16" ht="15" hidden="1" customHeight="1" x14ac:dyDescent="0.2">
      <c r="A109" s="12" t="s">
        <v>18</v>
      </c>
      <c r="B109" s="36">
        <v>46108</v>
      </c>
      <c r="C109" s="12">
        <f t="shared" si="5"/>
        <v>85</v>
      </c>
      <c r="D109" s="38">
        <f t="shared" si="6"/>
        <v>1</v>
      </c>
      <c r="E109" s="12" t="str">
        <f t="shared" si="8"/>
        <v>085</v>
      </c>
      <c r="G109" s="12" t="s">
        <v>56</v>
      </c>
      <c r="H109" s="12" t="s">
        <v>2204</v>
      </c>
      <c r="I109" s="12">
        <v>131</v>
      </c>
      <c r="J109" s="12">
        <v>5113</v>
      </c>
      <c r="K109" s="12" t="s">
        <v>20</v>
      </c>
      <c r="L109" s="12">
        <v>1</v>
      </c>
      <c r="M109" s="17">
        <v>25555556</v>
      </c>
      <c r="N109" s="17">
        <f t="shared" si="7"/>
        <v>25555556</v>
      </c>
      <c r="P109" s="12">
        <f t="shared" si="9"/>
        <v>164</v>
      </c>
    </row>
    <row r="110" spans="1:16" ht="15" customHeight="1" x14ac:dyDescent="0.2">
      <c r="A110" s="12" t="s">
        <v>18</v>
      </c>
      <c r="B110" s="36">
        <v>46108</v>
      </c>
      <c r="C110" s="12">
        <f t="shared" si="5"/>
        <v>86</v>
      </c>
      <c r="D110" s="38">
        <f t="shared" si="6"/>
        <v>1</v>
      </c>
      <c r="E110" s="12" t="str">
        <f t="shared" si="8"/>
        <v>086</v>
      </c>
      <c r="G110" s="12" t="s">
        <v>56</v>
      </c>
      <c r="H110" s="12" t="s">
        <v>4231</v>
      </c>
      <c r="I110" s="12">
        <v>333821</v>
      </c>
      <c r="J110" s="12">
        <v>131</v>
      </c>
      <c r="K110" s="12" t="s">
        <v>20</v>
      </c>
      <c r="L110" s="12">
        <v>1</v>
      </c>
      <c r="M110" s="17">
        <v>255556</v>
      </c>
      <c r="N110" s="17">
        <f t="shared" si="7"/>
        <v>255556</v>
      </c>
      <c r="P110" s="12">
        <f t="shared" si="9"/>
        <v>180</v>
      </c>
    </row>
    <row r="111" spans="1:16" ht="15" hidden="1" customHeight="1" x14ac:dyDescent="0.2">
      <c r="A111" s="12" t="s">
        <v>18</v>
      </c>
      <c r="B111" s="36">
        <v>46112</v>
      </c>
      <c r="C111" s="12">
        <f t="shared" si="5"/>
        <v>87</v>
      </c>
      <c r="D111" s="38">
        <f t="shared" si="6"/>
        <v>1</v>
      </c>
      <c r="E111" s="12" t="str">
        <f t="shared" si="8"/>
        <v>087</v>
      </c>
      <c r="G111" s="12" t="s">
        <v>56</v>
      </c>
      <c r="H111" s="12" t="s">
        <v>2205</v>
      </c>
      <c r="I111" s="12">
        <v>131</v>
      </c>
      <c r="J111" s="12">
        <v>5113</v>
      </c>
      <c r="K111" s="12" t="s">
        <v>20</v>
      </c>
      <c r="L111" s="12">
        <v>1</v>
      </c>
      <c r="M111" s="17">
        <v>66666667</v>
      </c>
      <c r="N111" s="17">
        <f t="shared" si="7"/>
        <v>66666667</v>
      </c>
      <c r="P111" s="12">
        <f t="shared" si="9"/>
        <v>151</v>
      </c>
    </row>
    <row r="112" spans="1:16" ht="15" customHeight="1" x14ac:dyDescent="0.2">
      <c r="A112" s="12" t="s">
        <v>18</v>
      </c>
      <c r="B112" s="36">
        <v>46112</v>
      </c>
      <c r="C112" s="12">
        <f t="shared" si="5"/>
        <v>88</v>
      </c>
      <c r="D112" s="38">
        <f t="shared" si="6"/>
        <v>1</v>
      </c>
      <c r="E112" s="12" t="str">
        <f t="shared" si="8"/>
        <v>088</v>
      </c>
      <c r="G112" s="12" t="s">
        <v>56</v>
      </c>
      <c r="H112" s="12" t="s">
        <v>4232</v>
      </c>
      <c r="I112" s="12">
        <v>333821</v>
      </c>
      <c r="J112" s="12">
        <v>131</v>
      </c>
      <c r="K112" s="12" t="s">
        <v>20</v>
      </c>
      <c r="L112" s="12">
        <v>1</v>
      </c>
      <c r="M112" s="17">
        <v>666667</v>
      </c>
      <c r="N112" s="17">
        <f t="shared" si="7"/>
        <v>666667</v>
      </c>
      <c r="P112" s="12">
        <f t="shared" si="9"/>
        <v>167</v>
      </c>
    </row>
    <row r="113" spans="1:16" ht="15" hidden="1" customHeight="1" x14ac:dyDescent="0.2">
      <c r="A113" s="12" t="s">
        <v>309</v>
      </c>
      <c r="B113" s="36">
        <v>46036</v>
      </c>
      <c r="C113" s="12">
        <f t="shared" ref="C113:C149" si="10">C112+D113</f>
        <v>89</v>
      </c>
      <c r="D113" s="38">
        <f t="shared" ref="D113:D149" si="11">IF(H113=H112,0,1)</f>
        <v>1</v>
      </c>
      <c r="E113" s="12" t="str">
        <f t="shared" si="8"/>
        <v>089</v>
      </c>
      <c r="G113" s="12" t="s">
        <v>2181</v>
      </c>
      <c r="H113" s="12" t="s">
        <v>4251</v>
      </c>
      <c r="I113" s="12">
        <v>112111</v>
      </c>
      <c r="J113" s="12">
        <v>131</v>
      </c>
      <c r="K113" s="12" t="s">
        <v>20</v>
      </c>
      <c r="L113" s="12">
        <v>1</v>
      </c>
      <c r="M113" s="17">
        <v>17600000</v>
      </c>
      <c r="N113" s="17">
        <f t="shared" si="7"/>
        <v>17600000</v>
      </c>
      <c r="P113" s="12">
        <f t="shared" si="9"/>
        <v>116</v>
      </c>
    </row>
    <row r="114" spans="1:16" ht="15" hidden="1" customHeight="1" x14ac:dyDescent="0.2">
      <c r="A114" s="12" t="s">
        <v>308</v>
      </c>
      <c r="B114" s="36">
        <v>46036</v>
      </c>
      <c r="C114" s="12">
        <f t="shared" si="10"/>
        <v>90</v>
      </c>
      <c r="D114" s="38">
        <f t="shared" si="11"/>
        <v>1</v>
      </c>
      <c r="E114" s="12" t="str">
        <f t="shared" si="8"/>
        <v>090</v>
      </c>
      <c r="G114" s="12" t="s">
        <v>367</v>
      </c>
      <c r="H114" s="12" t="s">
        <v>3032</v>
      </c>
      <c r="I114" s="12">
        <v>1111</v>
      </c>
      <c r="J114" s="12">
        <v>112111</v>
      </c>
      <c r="K114" s="12" t="s">
        <v>20</v>
      </c>
      <c r="L114" s="12">
        <v>1</v>
      </c>
      <c r="M114" s="17">
        <v>17600000</v>
      </c>
      <c r="N114" s="17">
        <f t="shared" si="7"/>
        <v>17600000</v>
      </c>
      <c r="P114" s="12">
        <f t="shared" si="9"/>
        <v>40</v>
      </c>
    </row>
    <row r="115" spans="1:16" ht="15" hidden="1" customHeight="1" x14ac:dyDescent="0.2">
      <c r="A115" s="12" t="s">
        <v>309</v>
      </c>
      <c r="B115" s="36">
        <v>46051</v>
      </c>
      <c r="C115" s="12">
        <f t="shared" si="10"/>
        <v>91</v>
      </c>
      <c r="D115" s="38">
        <f t="shared" si="11"/>
        <v>1</v>
      </c>
      <c r="E115" s="12" t="str">
        <f t="shared" si="8"/>
        <v>091</v>
      </c>
      <c r="G115" s="12" t="s">
        <v>75</v>
      </c>
      <c r="H115" s="12" t="s">
        <v>4252</v>
      </c>
      <c r="I115" s="12">
        <v>112111</v>
      </c>
      <c r="J115" s="12">
        <v>131</v>
      </c>
      <c r="K115" s="12" t="s">
        <v>20</v>
      </c>
      <c r="L115" s="12">
        <v>1</v>
      </c>
      <c r="M115" s="17">
        <v>21290323</v>
      </c>
      <c r="N115" s="17">
        <f t="shared" si="7"/>
        <v>21290323</v>
      </c>
      <c r="P115" s="12">
        <f t="shared" si="9"/>
        <v>151</v>
      </c>
    </row>
    <row r="116" spans="1:16" ht="15" hidden="1" customHeight="1" x14ac:dyDescent="0.2">
      <c r="A116" s="12" t="s">
        <v>308</v>
      </c>
      <c r="B116" s="36">
        <v>46051</v>
      </c>
      <c r="C116" s="12">
        <f t="shared" si="10"/>
        <v>92</v>
      </c>
      <c r="D116" s="38">
        <f t="shared" si="11"/>
        <v>1</v>
      </c>
      <c r="E116" s="12" t="str">
        <f t="shared" si="8"/>
        <v>092</v>
      </c>
      <c r="G116" s="12" t="s">
        <v>367</v>
      </c>
      <c r="H116" s="12" t="s">
        <v>3032</v>
      </c>
      <c r="I116" s="12">
        <v>1111</v>
      </c>
      <c r="J116" s="12">
        <v>112111</v>
      </c>
      <c r="K116" s="12" t="s">
        <v>20</v>
      </c>
      <c r="L116" s="12">
        <v>1</v>
      </c>
      <c r="M116" s="17">
        <v>21000000</v>
      </c>
      <c r="N116" s="17">
        <f t="shared" si="7"/>
        <v>21000000</v>
      </c>
      <c r="P116" s="12">
        <f t="shared" si="9"/>
        <v>40</v>
      </c>
    </row>
    <row r="117" spans="1:16" ht="15" hidden="1" customHeight="1" x14ac:dyDescent="0.2">
      <c r="A117" s="12" t="s">
        <v>309</v>
      </c>
      <c r="B117" s="36">
        <v>46056</v>
      </c>
      <c r="C117" s="12">
        <f t="shared" si="10"/>
        <v>93</v>
      </c>
      <c r="D117" s="38">
        <f t="shared" si="11"/>
        <v>1</v>
      </c>
      <c r="E117" s="12" t="str">
        <f t="shared" si="8"/>
        <v>093</v>
      </c>
      <c r="G117" s="12" t="s">
        <v>68</v>
      </c>
      <c r="H117" s="12" t="s">
        <v>4253</v>
      </c>
      <c r="I117" s="12">
        <v>112111</v>
      </c>
      <c r="J117" s="12">
        <v>131</v>
      </c>
      <c r="K117" s="12" t="s">
        <v>20</v>
      </c>
      <c r="L117" s="12">
        <v>1</v>
      </c>
      <c r="M117" s="17">
        <v>20900000</v>
      </c>
      <c r="N117" s="17">
        <f t="shared" si="7"/>
        <v>20900000</v>
      </c>
      <c r="P117" s="12">
        <f t="shared" si="9"/>
        <v>148</v>
      </c>
    </row>
    <row r="118" spans="1:16" ht="15" hidden="1" customHeight="1" x14ac:dyDescent="0.2">
      <c r="A118" s="12" t="s">
        <v>308</v>
      </c>
      <c r="B118" s="36">
        <v>46056</v>
      </c>
      <c r="C118" s="12">
        <f t="shared" si="10"/>
        <v>94</v>
      </c>
      <c r="D118" s="38">
        <f t="shared" si="11"/>
        <v>1</v>
      </c>
      <c r="E118" s="12" t="str">
        <f t="shared" si="8"/>
        <v>094</v>
      </c>
      <c r="G118" s="12" t="s">
        <v>367</v>
      </c>
      <c r="H118" s="12" t="s">
        <v>3032</v>
      </c>
      <c r="I118" s="12">
        <v>1111</v>
      </c>
      <c r="J118" s="12">
        <v>112111</v>
      </c>
      <c r="K118" s="12" t="s">
        <v>20</v>
      </c>
      <c r="L118" s="12">
        <v>1</v>
      </c>
      <c r="M118" s="17">
        <v>21100000</v>
      </c>
      <c r="N118" s="17">
        <f t="shared" si="7"/>
        <v>21100000</v>
      </c>
      <c r="P118" s="12">
        <f t="shared" si="9"/>
        <v>40</v>
      </c>
    </row>
    <row r="119" spans="1:16" ht="15" hidden="1" customHeight="1" x14ac:dyDescent="0.2">
      <c r="A119" s="12" t="s">
        <v>309</v>
      </c>
      <c r="B119" s="36">
        <v>46057</v>
      </c>
      <c r="C119" s="12">
        <f t="shared" si="10"/>
        <v>95</v>
      </c>
      <c r="D119" s="38">
        <f t="shared" si="11"/>
        <v>1</v>
      </c>
      <c r="E119" s="12" t="str">
        <f t="shared" si="8"/>
        <v>095</v>
      </c>
      <c r="G119" s="12" t="s">
        <v>84</v>
      </c>
      <c r="H119" s="12" t="s">
        <v>4254</v>
      </c>
      <c r="I119" s="12">
        <v>112111</v>
      </c>
      <c r="J119" s="12">
        <v>131</v>
      </c>
      <c r="K119" s="12" t="s">
        <v>20</v>
      </c>
      <c r="L119" s="12">
        <v>1</v>
      </c>
      <c r="M119" s="17">
        <v>22000000</v>
      </c>
      <c r="N119" s="17">
        <f t="shared" si="7"/>
        <v>22000000</v>
      </c>
      <c r="P119" s="12">
        <f t="shared" si="9"/>
        <v>154</v>
      </c>
    </row>
    <row r="120" spans="1:16" ht="15" hidden="1" customHeight="1" x14ac:dyDescent="0.2">
      <c r="A120" s="12" t="s">
        <v>309</v>
      </c>
      <c r="B120" s="36">
        <v>46057</v>
      </c>
      <c r="C120" s="12">
        <f t="shared" si="10"/>
        <v>96</v>
      </c>
      <c r="D120" s="38">
        <f t="shared" si="11"/>
        <v>1</v>
      </c>
      <c r="E120" s="12" t="str">
        <f t="shared" si="8"/>
        <v>096</v>
      </c>
      <c r="G120" s="12" t="s">
        <v>56</v>
      </c>
      <c r="H120" s="12" t="s">
        <v>4255</v>
      </c>
      <c r="I120" s="12">
        <v>112111</v>
      </c>
      <c r="J120" s="12">
        <v>131</v>
      </c>
      <c r="K120" s="12" t="s">
        <v>20</v>
      </c>
      <c r="L120" s="12">
        <v>1</v>
      </c>
      <c r="M120" s="17">
        <v>18096774</v>
      </c>
      <c r="N120" s="17">
        <f t="shared" si="7"/>
        <v>18096774</v>
      </c>
      <c r="P120" s="12">
        <f t="shared" si="9"/>
        <v>178</v>
      </c>
    </row>
    <row r="121" spans="1:16" ht="15" hidden="1" customHeight="1" x14ac:dyDescent="0.2">
      <c r="A121" s="12" t="s">
        <v>308</v>
      </c>
      <c r="B121" s="36">
        <v>46057</v>
      </c>
      <c r="C121" s="12">
        <f t="shared" si="10"/>
        <v>97</v>
      </c>
      <c r="D121" s="38">
        <f t="shared" si="11"/>
        <v>1</v>
      </c>
      <c r="E121" s="12" t="str">
        <f t="shared" si="8"/>
        <v>097</v>
      </c>
      <c r="G121" s="12" t="s">
        <v>367</v>
      </c>
      <c r="H121" s="12" t="s">
        <v>3032</v>
      </c>
      <c r="I121" s="12">
        <v>1111</v>
      </c>
      <c r="J121" s="12">
        <v>112111</v>
      </c>
      <c r="K121" s="12" t="s">
        <v>20</v>
      </c>
      <c r="L121" s="12">
        <v>1</v>
      </c>
      <c r="M121" s="17">
        <v>40165000</v>
      </c>
      <c r="N121" s="17">
        <f t="shared" si="7"/>
        <v>40165000</v>
      </c>
      <c r="P121" s="12">
        <f t="shared" si="9"/>
        <v>40</v>
      </c>
    </row>
    <row r="122" spans="1:16" ht="15" hidden="1" customHeight="1" x14ac:dyDescent="0.2">
      <c r="A122" s="12" t="s">
        <v>309</v>
      </c>
      <c r="B122" s="36">
        <v>46059</v>
      </c>
      <c r="C122" s="12">
        <f t="shared" si="10"/>
        <v>98</v>
      </c>
      <c r="D122" s="38">
        <f t="shared" si="11"/>
        <v>1</v>
      </c>
      <c r="E122" s="12" t="str">
        <f t="shared" si="8"/>
        <v>098</v>
      </c>
      <c r="G122" s="12" t="s">
        <v>2185</v>
      </c>
      <c r="H122" s="12" t="s">
        <v>4269</v>
      </c>
      <c r="I122" s="12">
        <v>112111</v>
      </c>
      <c r="J122" s="12">
        <v>131</v>
      </c>
      <c r="K122" s="12" t="s">
        <v>20</v>
      </c>
      <c r="L122" s="12">
        <v>1</v>
      </c>
      <c r="M122" s="17">
        <v>19800000</v>
      </c>
      <c r="N122" s="17">
        <f t="shared" si="7"/>
        <v>19800000</v>
      </c>
      <c r="P122" s="12">
        <f t="shared" si="9"/>
        <v>118</v>
      </c>
    </row>
    <row r="123" spans="1:16" ht="15" hidden="1" customHeight="1" x14ac:dyDescent="0.2">
      <c r="A123" s="12" t="s">
        <v>308</v>
      </c>
      <c r="B123" s="36">
        <v>46059</v>
      </c>
      <c r="C123" s="12">
        <f t="shared" si="10"/>
        <v>99</v>
      </c>
      <c r="D123" s="38">
        <f t="shared" si="11"/>
        <v>1</v>
      </c>
      <c r="E123" s="12" t="str">
        <f t="shared" si="8"/>
        <v>099</v>
      </c>
      <c r="G123" s="12" t="s">
        <v>367</v>
      </c>
      <c r="H123" s="12" t="s">
        <v>3032</v>
      </c>
      <c r="I123" s="12">
        <v>1111</v>
      </c>
      <c r="J123" s="12">
        <v>112111</v>
      </c>
      <c r="K123" s="12" t="s">
        <v>20</v>
      </c>
      <c r="L123" s="12">
        <v>1</v>
      </c>
      <c r="M123" s="17">
        <v>19800000</v>
      </c>
      <c r="N123" s="17">
        <f t="shared" si="7"/>
        <v>19800000</v>
      </c>
      <c r="P123" s="12">
        <f t="shared" si="9"/>
        <v>40</v>
      </c>
    </row>
    <row r="124" spans="1:16" ht="15" hidden="1" customHeight="1" x14ac:dyDescent="0.2">
      <c r="A124" s="12" t="s">
        <v>309</v>
      </c>
      <c r="B124" s="36">
        <v>46062</v>
      </c>
      <c r="C124" s="12">
        <f t="shared" si="10"/>
        <v>100</v>
      </c>
      <c r="D124" s="38">
        <f t="shared" si="11"/>
        <v>1</v>
      </c>
      <c r="E124" s="12" t="str">
        <f t="shared" si="8"/>
        <v>100</v>
      </c>
      <c r="G124" s="12" t="s">
        <v>51</v>
      </c>
      <c r="H124" s="12" t="s">
        <v>4256</v>
      </c>
      <c r="I124" s="12">
        <v>112111</v>
      </c>
      <c r="J124" s="12">
        <v>131</v>
      </c>
      <c r="K124" s="12" t="s">
        <v>20</v>
      </c>
      <c r="L124" s="12">
        <v>1</v>
      </c>
      <c r="M124" s="17">
        <v>22000000</v>
      </c>
      <c r="N124" s="17">
        <f t="shared" si="7"/>
        <v>22000000</v>
      </c>
      <c r="P124" s="12">
        <f t="shared" si="9"/>
        <v>151</v>
      </c>
    </row>
    <row r="125" spans="1:16" ht="15" hidden="1" customHeight="1" x14ac:dyDescent="0.2">
      <c r="A125" s="12" t="s">
        <v>308</v>
      </c>
      <c r="B125" s="36">
        <v>46062</v>
      </c>
      <c r="C125" s="12">
        <f t="shared" si="10"/>
        <v>101</v>
      </c>
      <c r="D125" s="38">
        <f t="shared" si="11"/>
        <v>1</v>
      </c>
      <c r="E125" s="12" t="str">
        <f t="shared" si="8"/>
        <v>101</v>
      </c>
      <c r="G125" s="12" t="s">
        <v>367</v>
      </c>
      <c r="H125" s="12" t="s">
        <v>3032</v>
      </c>
      <c r="I125" s="12">
        <v>1111</v>
      </c>
      <c r="J125" s="12">
        <v>112111</v>
      </c>
      <c r="K125" s="12" t="s">
        <v>20</v>
      </c>
      <c r="L125" s="12">
        <v>1</v>
      </c>
      <c r="M125" s="17">
        <v>22000000</v>
      </c>
      <c r="N125" s="17">
        <f t="shared" si="7"/>
        <v>22000000</v>
      </c>
      <c r="P125" s="12">
        <f t="shared" si="9"/>
        <v>40</v>
      </c>
    </row>
    <row r="126" spans="1:16" ht="15" hidden="1" customHeight="1" x14ac:dyDescent="0.2">
      <c r="A126" s="12" t="s">
        <v>309</v>
      </c>
      <c r="B126" s="36">
        <v>46065</v>
      </c>
      <c r="C126" s="12">
        <f t="shared" si="10"/>
        <v>102</v>
      </c>
      <c r="D126" s="38">
        <f t="shared" si="11"/>
        <v>1</v>
      </c>
      <c r="E126" s="12" t="str">
        <f t="shared" si="8"/>
        <v>102</v>
      </c>
      <c r="G126" s="12" t="s">
        <v>68</v>
      </c>
      <c r="H126" s="12" t="s">
        <v>4257</v>
      </c>
      <c r="I126" s="12">
        <v>112111</v>
      </c>
      <c r="J126" s="12">
        <v>131</v>
      </c>
      <c r="K126" s="12" t="s">
        <v>20</v>
      </c>
      <c r="L126" s="12">
        <v>1</v>
      </c>
      <c r="M126" s="17">
        <v>22000000</v>
      </c>
      <c r="N126" s="17">
        <f t="shared" si="7"/>
        <v>22000000</v>
      </c>
      <c r="P126" s="12">
        <f t="shared" si="9"/>
        <v>148</v>
      </c>
    </row>
    <row r="127" spans="1:16" ht="15" hidden="1" customHeight="1" x14ac:dyDescent="0.2">
      <c r="A127" s="12" t="s">
        <v>308</v>
      </c>
      <c r="B127" s="36">
        <v>46065</v>
      </c>
      <c r="C127" s="12">
        <f t="shared" si="10"/>
        <v>103</v>
      </c>
      <c r="D127" s="38">
        <f t="shared" si="11"/>
        <v>1</v>
      </c>
      <c r="E127" s="12" t="str">
        <f t="shared" si="8"/>
        <v>103</v>
      </c>
      <c r="G127" s="12" t="s">
        <v>367</v>
      </c>
      <c r="H127" s="12" t="s">
        <v>3032</v>
      </c>
      <c r="I127" s="12">
        <v>1111</v>
      </c>
      <c r="J127" s="12">
        <v>112111</v>
      </c>
      <c r="K127" s="12" t="s">
        <v>20</v>
      </c>
      <c r="L127" s="12">
        <v>1</v>
      </c>
      <c r="M127" s="17">
        <v>22000000</v>
      </c>
      <c r="N127" s="17">
        <f t="shared" si="7"/>
        <v>22000000</v>
      </c>
      <c r="P127" s="12">
        <f t="shared" si="9"/>
        <v>40</v>
      </c>
    </row>
    <row r="128" spans="1:16" ht="15" hidden="1" customHeight="1" x14ac:dyDescent="0.2">
      <c r="A128" s="12" t="s">
        <v>309</v>
      </c>
      <c r="B128" s="36">
        <v>46079</v>
      </c>
      <c r="C128" s="12">
        <f t="shared" si="10"/>
        <v>104</v>
      </c>
      <c r="D128" s="38">
        <f t="shared" si="11"/>
        <v>1</v>
      </c>
      <c r="E128" s="12" t="str">
        <f t="shared" si="8"/>
        <v>104</v>
      </c>
      <c r="G128" s="12" t="s">
        <v>38</v>
      </c>
      <c r="H128" s="12" t="s">
        <v>4258</v>
      </c>
      <c r="I128" s="12">
        <v>112111</v>
      </c>
      <c r="J128" s="12">
        <v>131</v>
      </c>
      <c r="K128" s="12" t="s">
        <v>20</v>
      </c>
      <c r="L128" s="12">
        <v>1</v>
      </c>
      <c r="M128" s="17">
        <v>20900000</v>
      </c>
      <c r="N128" s="17">
        <f t="shared" si="7"/>
        <v>20900000</v>
      </c>
      <c r="P128" s="12">
        <f t="shared" si="9"/>
        <v>116</v>
      </c>
    </row>
    <row r="129" spans="1:16" ht="15" hidden="1" customHeight="1" x14ac:dyDescent="0.2">
      <c r="A129" s="12" t="s">
        <v>308</v>
      </c>
      <c r="B129" s="36">
        <v>46079</v>
      </c>
      <c r="C129" s="12">
        <f t="shared" si="10"/>
        <v>105</v>
      </c>
      <c r="D129" s="38">
        <f t="shared" si="11"/>
        <v>1</v>
      </c>
      <c r="E129" s="12" t="str">
        <f t="shared" si="8"/>
        <v>105</v>
      </c>
      <c r="G129" s="12" t="s">
        <v>367</v>
      </c>
      <c r="H129" s="12" t="s">
        <v>3032</v>
      </c>
      <c r="I129" s="12">
        <v>1111</v>
      </c>
      <c r="J129" s="12">
        <v>112111</v>
      </c>
      <c r="K129" s="12" t="s">
        <v>20</v>
      </c>
      <c r="L129" s="12">
        <v>1</v>
      </c>
      <c r="M129" s="17">
        <v>20900000</v>
      </c>
      <c r="N129" s="17">
        <f t="shared" si="7"/>
        <v>20900000</v>
      </c>
      <c r="P129" s="12">
        <f t="shared" si="9"/>
        <v>40</v>
      </c>
    </row>
    <row r="130" spans="1:16" ht="15" hidden="1" customHeight="1" x14ac:dyDescent="0.2">
      <c r="A130" s="12" t="s">
        <v>309</v>
      </c>
      <c r="B130" s="36">
        <v>46084</v>
      </c>
      <c r="C130" s="12">
        <f t="shared" si="10"/>
        <v>106</v>
      </c>
      <c r="D130" s="38">
        <f t="shared" si="11"/>
        <v>1</v>
      </c>
      <c r="E130" s="12" t="str">
        <f t="shared" si="8"/>
        <v>106</v>
      </c>
      <c r="G130" s="12" t="s">
        <v>84</v>
      </c>
      <c r="H130" s="12" t="s">
        <v>4259</v>
      </c>
      <c r="I130" s="12">
        <v>112111</v>
      </c>
      <c r="J130" s="12">
        <v>131</v>
      </c>
      <c r="K130" s="12" t="s">
        <v>20</v>
      </c>
      <c r="L130" s="12">
        <v>1</v>
      </c>
      <c r="M130" s="17">
        <v>11550000</v>
      </c>
      <c r="N130" s="17">
        <f t="shared" si="7"/>
        <v>11550000</v>
      </c>
      <c r="P130" s="12">
        <f t="shared" si="9"/>
        <v>128</v>
      </c>
    </row>
    <row r="131" spans="1:16" ht="15" hidden="1" customHeight="1" x14ac:dyDescent="0.2">
      <c r="A131" s="12" t="s">
        <v>309</v>
      </c>
      <c r="B131" s="36">
        <v>46085</v>
      </c>
      <c r="C131" s="12">
        <f t="shared" si="10"/>
        <v>107</v>
      </c>
      <c r="D131" s="38">
        <f t="shared" si="11"/>
        <v>1</v>
      </c>
      <c r="E131" s="12" t="str">
        <f t="shared" si="8"/>
        <v>107</v>
      </c>
      <c r="G131" s="12" t="s">
        <v>253</v>
      </c>
      <c r="H131" s="12" t="s">
        <v>4270</v>
      </c>
      <c r="I131" s="12">
        <v>112111</v>
      </c>
      <c r="J131" s="12">
        <v>131</v>
      </c>
      <c r="K131" s="12" t="s">
        <v>20</v>
      </c>
      <c r="L131" s="12">
        <v>1</v>
      </c>
      <c r="M131" s="17">
        <v>16500000</v>
      </c>
      <c r="N131" s="17">
        <f t="shared" si="7"/>
        <v>16500000</v>
      </c>
      <c r="P131" s="12">
        <f t="shared" si="9"/>
        <v>115</v>
      </c>
    </row>
    <row r="132" spans="1:16" ht="15" hidden="1" customHeight="1" x14ac:dyDescent="0.2">
      <c r="A132" s="12" t="s">
        <v>308</v>
      </c>
      <c r="B132" s="36">
        <v>46085</v>
      </c>
      <c r="C132" s="12">
        <f t="shared" si="10"/>
        <v>108</v>
      </c>
      <c r="D132" s="38">
        <f t="shared" si="11"/>
        <v>1</v>
      </c>
      <c r="E132" s="12" t="str">
        <f t="shared" si="8"/>
        <v>108</v>
      </c>
      <c r="G132" s="12" t="s">
        <v>367</v>
      </c>
      <c r="H132" s="12" t="s">
        <v>3032</v>
      </c>
      <c r="I132" s="12">
        <v>1111</v>
      </c>
      <c r="J132" s="12">
        <v>112111</v>
      </c>
      <c r="K132" s="12" t="s">
        <v>20</v>
      </c>
      <c r="L132" s="12">
        <v>1</v>
      </c>
      <c r="M132" s="17">
        <v>26000000</v>
      </c>
      <c r="N132" s="17">
        <f t="shared" ref="N132:N149" si="12">L132*M132</f>
        <v>26000000</v>
      </c>
      <c r="P132" s="12">
        <f t="shared" si="9"/>
        <v>40</v>
      </c>
    </row>
    <row r="133" spans="1:16" ht="15" hidden="1" customHeight="1" x14ac:dyDescent="0.2">
      <c r="A133" s="12" t="s">
        <v>309</v>
      </c>
      <c r="B133" s="36">
        <v>46093</v>
      </c>
      <c r="C133" s="12">
        <f t="shared" si="10"/>
        <v>109</v>
      </c>
      <c r="D133" s="38">
        <f t="shared" si="11"/>
        <v>1</v>
      </c>
      <c r="E133" s="12" t="str">
        <f t="shared" ref="E133:E149" si="13">TEXT(C133,"000")</f>
        <v>109</v>
      </c>
      <c r="G133" s="12" t="s">
        <v>98</v>
      </c>
      <c r="H133" s="12" t="s">
        <v>4260</v>
      </c>
      <c r="I133" s="12">
        <v>112111</v>
      </c>
      <c r="J133" s="12">
        <v>131</v>
      </c>
      <c r="K133" s="12" t="s">
        <v>20</v>
      </c>
      <c r="L133" s="12">
        <v>1</v>
      </c>
      <c r="M133" s="17">
        <v>18700000</v>
      </c>
      <c r="N133" s="17">
        <f t="shared" si="12"/>
        <v>18700000</v>
      </c>
      <c r="P133" s="12">
        <f t="shared" ref="P133:P149" si="14">LEN(H133)</f>
        <v>156</v>
      </c>
    </row>
    <row r="134" spans="1:16" ht="15" hidden="1" customHeight="1" x14ac:dyDescent="0.2">
      <c r="A134" s="12" t="s">
        <v>309</v>
      </c>
      <c r="B134" s="36">
        <v>46094</v>
      </c>
      <c r="C134" s="12">
        <f t="shared" si="10"/>
        <v>110</v>
      </c>
      <c r="D134" s="38">
        <f t="shared" si="11"/>
        <v>1</v>
      </c>
      <c r="E134" s="12" t="str">
        <f t="shared" si="13"/>
        <v>110</v>
      </c>
      <c r="G134" s="12" t="s">
        <v>2195</v>
      </c>
      <c r="H134" s="12" t="s">
        <v>4261</v>
      </c>
      <c r="I134" s="12">
        <v>112111</v>
      </c>
      <c r="J134" s="12">
        <v>131</v>
      </c>
      <c r="K134" s="12" t="s">
        <v>20</v>
      </c>
      <c r="L134" s="12">
        <v>1</v>
      </c>
      <c r="M134" s="17">
        <v>110000000</v>
      </c>
      <c r="N134" s="17">
        <f t="shared" si="12"/>
        <v>110000000</v>
      </c>
      <c r="P134" s="12">
        <f t="shared" si="14"/>
        <v>102</v>
      </c>
    </row>
    <row r="135" spans="1:16" ht="15" hidden="1" customHeight="1" x14ac:dyDescent="0.2">
      <c r="A135" s="12" t="s">
        <v>308</v>
      </c>
      <c r="B135" s="36">
        <v>46094</v>
      </c>
      <c r="C135" s="12">
        <f t="shared" si="10"/>
        <v>111</v>
      </c>
      <c r="D135" s="38">
        <f t="shared" si="11"/>
        <v>1</v>
      </c>
      <c r="E135" s="12" t="str">
        <f t="shared" si="13"/>
        <v>111</v>
      </c>
      <c r="G135" s="12" t="s">
        <v>367</v>
      </c>
      <c r="H135" s="12" t="s">
        <v>3032</v>
      </c>
      <c r="I135" s="12">
        <v>1111</v>
      </c>
      <c r="J135" s="12">
        <v>112111</v>
      </c>
      <c r="K135" s="12" t="s">
        <v>20</v>
      </c>
      <c r="L135" s="12">
        <v>1</v>
      </c>
      <c r="M135" s="17">
        <v>130750000</v>
      </c>
      <c r="N135" s="17">
        <f t="shared" si="12"/>
        <v>130750000</v>
      </c>
      <c r="P135" s="12">
        <f t="shared" si="14"/>
        <v>40</v>
      </c>
    </row>
    <row r="136" spans="1:16" ht="15" hidden="1" customHeight="1" x14ac:dyDescent="0.2">
      <c r="A136" s="12" t="s">
        <v>309</v>
      </c>
      <c r="B136" s="36">
        <v>46098</v>
      </c>
      <c r="C136" s="12">
        <f t="shared" si="10"/>
        <v>112</v>
      </c>
      <c r="D136" s="38">
        <f t="shared" si="11"/>
        <v>1</v>
      </c>
      <c r="E136" s="12" t="str">
        <f t="shared" si="13"/>
        <v>112</v>
      </c>
      <c r="G136" s="12" t="s">
        <v>84</v>
      </c>
      <c r="H136" s="12" t="s">
        <v>4262</v>
      </c>
      <c r="I136" s="12">
        <v>112111</v>
      </c>
      <c r="J136" s="12">
        <v>131</v>
      </c>
      <c r="K136" s="12" t="s">
        <v>20</v>
      </c>
      <c r="L136" s="12">
        <v>1</v>
      </c>
      <c r="M136" s="17">
        <v>11550000</v>
      </c>
      <c r="N136" s="17">
        <f t="shared" si="12"/>
        <v>11550000</v>
      </c>
      <c r="P136" s="12">
        <f t="shared" si="14"/>
        <v>171</v>
      </c>
    </row>
    <row r="137" spans="1:16" ht="15" hidden="1" customHeight="1" x14ac:dyDescent="0.2">
      <c r="A137" s="12" t="s">
        <v>308</v>
      </c>
      <c r="B137" s="36">
        <v>46099</v>
      </c>
      <c r="C137" s="12">
        <f t="shared" si="10"/>
        <v>113</v>
      </c>
      <c r="D137" s="38">
        <f t="shared" si="11"/>
        <v>1</v>
      </c>
      <c r="E137" s="12" t="str">
        <f t="shared" si="13"/>
        <v>113</v>
      </c>
      <c r="G137" s="12" t="s">
        <v>367</v>
      </c>
      <c r="H137" s="12" t="s">
        <v>3032</v>
      </c>
      <c r="I137" s="12">
        <v>1111</v>
      </c>
      <c r="J137" s="12">
        <v>112111</v>
      </c>
      <c r="K137" s="12" t="s">
        <v>20</v>
      </c>
      <c r="L137" s="12">
        <v>1</v>
      </c>
      <c r="M137" s="17">
        <v>11550000</v>
      </c>
      <c r="N137" s="17">
        <f t="shared" si="12"/>
        <v>11550000</v>
      </c>
      <c r="P137" s="12">
        <f t="shared" si="14"/>
        <v>40</v>
      </c>
    </row>
    <row r="138" spans="1:16" ht="15" hidden="1" customHeight="1" x14ac:dyDescent="0.2">
      <c r="A138" s="12" t="s">
        <v>309</v>
      </c>
      <c r="B138" s="36">
        <v>46099</v>
      </c>
      <c r="C138" s="12">
        <f t="shared" si="10"/>
        <v>114</v>
      </c>
      <c r="D138" s="38">
        <f t="shared" si="11"/>
        <v>1</v>
      </c>
      <c r="E138" s="12" t="str">
        <f t="shared" si="13"/>
        <v>114</v>
      </c>
      <c r="G138" s="12" t="s">
        <v>67</v>
      </c>
      <c r="H138" s="12" t="s">
        <v>4263</v>
      </c>
      <c r="I138" s="12">
        <v>112111</v>
      </c>
      <c r="J138" s="12">
        <v>131</v>
      </c>
      <c r="K138" s="12" t="s">
        <v>20</v>
      </c>
      <c r="L138" s="12">
        <v>1</v>
      </c>
      <c r="M138" s="17">
        <v>20900000</v>
      </c>
      <c r="N138" s="17">
        <f t="shared" si="12"/>
        <v>20900000</v>
      </c>
      <c r="P138" s="12">
        <f t="shared" si="14"/>
        <v>173</v>
      </c>
    </row>
    <row r="139" spans="1:16" ht="15" hidden="1" customHeight="1" x14ac:dyDescent="0.2">
      <c r="A139" s="12" t="s">
        <v>308</v>
      </c>
      <c r="B139" s="36">
        <v>46104</v>
      </c>
      <c r="C139" s="12">
        <f t="shared" si="10"/>
        <v>115</v>
      </c>
      <c r="D139" s="38">
        <f t="shared" si="11"/>
        <v>1</v>
      </c>
      <c r="E139" s="12" t="str">
        <f t="shared" si="13"/>
        <v>115</v>
      </c>
      <c r="G139" s="12" t="s">
        <v>367</v>
      </c>
      <c r="H139" s="12" t="s">
        <v>3032</v>
      </c>
      <c r="I139" s="12">
        <v>1111</v>
      </c>
      <c r="J139" s="12">
        <v>112111</v>
      </c>
      <c r="K139" s="12" t="s">
        <v>20</v>
      </c>
      <c r="L139" s="12">
        <v>1</v>
      </c>
      <c r="M139" s="17">
        <v>20900000</v>
      </c>
      <c r="N139" s="17">
        <f t="shared" si="12"/>
        <v>20900000</v>
      </c>
      <c r="P139" s="12">
        <f t="shared" si="14"/>
        <v>40</v>
      </c>
    </row>
    <row r="140" spans="1:16" ht="15" hidden="1" customHeight="1" x14ac:dyDescent="0.2">
      <c r="A140" s="12" t="s">
        <v>309</v>
      </c>
      <c r="B140" s="36">
        <v>46105</v>
      </c>
      <c r="C140" s="12">
        <f t="shared" si="10"/>
        <v>116</v>
      </c>
      <c r="D140" s="38">
        <f t="shared" si="11"/>
        <v>1</v>
      </c>
      <c r="E140" s="12" t="str">
        <f t="shared" si="13"/>
        <v>116</v>
      </c>
      <c r="G140" s="12" t="s">
        <v>245</v>
      </c>
      <c r="H140" s="12" t="s">
        <v>4264</v>
      </c>
      <c r="I140" s="12">
        <v>112111</v>
      </c>
      <c r="J140" s="12">
        <v>131</v>
      </c>
      <c r="K140" s="12" t="s">
        <v>20</v>
      </c>
      <c r="L140" s="12">
        <v>1</v>
      </c>
      <c r="M140" s="17">
        <v>19250000</v>
      </c>
      <c r="N140" s="17">
        <f t="shared" si="12"/>
        <v>19250000</v>
      </c>
      <c r="P140" s="12">
        <f t="shared" si="14"/>
        <v>107</v>
      </c>
    </row>
    <row r="141" spans="1:16" ht="15" hidden="1" customHeight="1" x14ac:dyDescent="0.2">
      <c r="A141" s="12" t="s">
        <v>308</v>
      </c>
      <c r="B141" s="36">
        <v>46105</v>
      </c>
      <c r="C141" s="12">
        <f t="shared" si="10"/>
        <v>117</v>
      </c>
      <c r="D141" s="38">
        <f t="shared" si="11"/>
        <v>1</v>
      </c>
      <c r="E141" s="12" t="str">
        <f t="shared" si="13"/>
        <v>117</v>
      </c>
      <c r="G141" s="12" t="s">
        <v>367</v>
      </c>
      <c r="H141" s="12" t="s">
        <v>3032</v>
      </c>
      <c r="I141" s="12">
        <v>1111</v>
      </c>
      <c r="J141" s="12">
        <v>112111</v>
      </c>
      <c r="K141" s="12" t="s">
        <v>20</v>
      </c>
      <c r="L141" s="12">
        <v>1</v>
      </c>
      <c r="M141" s="17">
        <v>19250000</v>
      </c>
      <c r="N141" s="17">
        <f t="shared" si="12"/>
        <v>19250000</v>
      </c>
      <c r="P141" s="12">
        <f t="shared" si="14"/>
        <v>40</v>
      </c>
    </row>
    <row r="142" spans="1:16" ht="15" hidden="1" customHeight="1" x14ac:dyDescent="0.2">
      <c r="A142" s="12" t="s">
        <v>309</v>
      </c>
      <c r="B142" s="36">
        <v>46106</v>
      </c>
      <c r="C142" s="12">
        <f t="shared" si="10"/>
        <v>118</v>
      </c>
      <c r="D142" s="38">
        <f t="shared" si="11"/>
        <v>1</v>
      </c>
      <c r="E142" s="12" t="str">
        <f t="shared" si="13"/>
        <v>118</v>
      </c>
      <c r="G142" s="12" t="s">
        <v>2202</v>
      </c>
      <c r="H142" s="12" t="s">
        <v>4265</v>
      </c>
      <c r="I142" s="12">
        <v>112111</v>
      </c>
      <c r="J142" s="12">
        <v>131</v>
      </c>
      <c r="K142" s="12" t="s">
        <v>20</v>
      </c>
      <c r="L142" s="12">
        <v>1</v>
      </c>
      <c r="M142" s="17">
        <v>17600000</v>
      </c>
      <c r="N142" s="17">
        <f t="shared" si="12"/>
        <v>17600000</v>
      </c>
      <c r="P142" s="12">
        <f t="shared" si="14"/>
        <v>159</v>
      </c>
    </row>
    <row r="143" spans="1:16" ht="15" hidden="1" customHeight="1" x14ac:dyDescent="0.2">
      <c r="A143" s="12" t="s">
        <v>308</v>
      </c>
      <c r="B143" s="36">
        <v>46106</v>
      </c>
      <c r="C143" s="12">
        <f t="shared" si="10"/>
        <v>119</v>
      </c>
      <c r="D143" s="38">
        <f t="shared" si="11"/>
        <v>1</v>
      </c>
      <c r="E143" s="12" t="str">
        <f t="shared" si="13"/>
        <v>119</v>
      </c>
      <c r="G143" s="12" t="s">
        <v>367</v>
      </c>
      <c r="H143" s="12" t="s">
        <v>3032</v>
      </c>
      <c r="I143" s="12">
        <v>1111</v>
      </c>
      <c r="J143" s="12">
        <v>112111</v>
      </c>
      <c r="K143" s="12" t="s">
        <v>20</v>
      </c>
      <c r="L143" s="12">
        <v>1</v>
      </c>
      <c r="M143" s="17">
        <v>17600000</v>
      </c>
      <c r="N143" s="17">
        <f t="shared" si="12"/>
        <v>17600000</v>
      </c>
      <c r="P143" s="12">
        <f t="shared" si="14"/>
        <v>40</v>
      </c>
    </row>
    <row r="144" spans="1:16" ht="15" hidden="1" customHeight="1" x14ac:dyDescent="0.2">
      <c r="A144" s="12" t="s">
        <v>309</v>
      </c>
      <c r="B144" s="36">
        <v>46107</v>
      </c>
      <c r="C144" s="12">
        <f t="shared" si="10"/>
        <v>120</v>
      </c>
      <c r="D144" s="38">
        <f t="shared" si="11"/>
        <v>1</v>
      </c>
      <c r="E144" s="12" t="str">
        <f t="shared" si="13"/>
        <v>120</v>
      </c>
      <c r="G144" s="12" t="s">
        <v>57</v>
      </c>
      <c r="H144" s="12" t="s">
        <v>4266</v>
      </c>
      <c r="I144" s="12">
        <v>112111</v>
      </c>
      <c r="J144" s="12">
        <v>131</v>
      </c>
      <c r="K144" s="12" t="s">
        <v>20</v>
      </c>
      <c r="L144" s="12">
        <v>1</v>
      </c>
      <c r="M144" s="17">
        <v>22000000</v>
      </c>
      <c r="N144" s="17">
        <f t="shared" si="12"/>
        <v>22000000</v>
      </c>
      <c r="P144" s="12">
        <f t="shared" si="14"/>
        <v>163</v>
      </c>
    </row>
    <row r="145" spans="1:16" ht="15" hidden="1" customHeight="1" x14ac:dyDescent="0.2">
      <c r="A145" s="12" t="s">
        <v>308</v>
      </c>
      <c r="B145" s="36">
        <v>46107</v>
      </c>
      <c r="C145" s="12">
        <f t="shared" si="10"/>
        <v>121</v>
      </c>
      <c r="D145" s="38">
        <f t="shared" si="11"/>
        <v>1</v>
      </c>
      <c r="E145" s="12" t="str">
        <f t="shared" si="13"/>
        <v>121</v>
      </c>
      <c r="G145" s="12" t="s">
        <v>367</v>
      </c>
      <c r="H145" s="12" t="s">
        <v>3032</v>
      </c>
      <c r="I145" s="12">
        <v>1111</v>
      </c>
      <c r="J145" s="12">
        <v>112111</v>
      </c>
      <c r="K145" s="12" t="s">
        <v>20</v>
      </c>
      <c r="L145" s="12">
        <v>1</v>
      </c>
      <c r="M145" s="17">
        <v>22000000</v>
      </c>
      <c r="N145" s="17">
        <f t="shared" si="12"/>
        <v>22000000</v>
      </c>
      <c r="P145" s="12">
        <f t="shared" si="14"/>
        <v>40</v>
      </c>
    </row>
    <row r="146" spans="1:16" ht="15" hidden="1" customHeight="1" x14ac:dyDescent="0.2">
      <c r="A146" s="12" t="s">
        <v>309</v>
      </c>
      <c r="B146" s="36">
        <v>46108</v>
      </c>
      <c r="C146" s="12">
        <f t="shared" si="10"/>
        <v>122</v>
      </c>
      <c r="D146" s="38">
        <f t="shared" si="11"/>
        <v>1</v>
      </c>
      <c r="E146" s="12" t="str">
        <f t="shared" si="13"/>
        <v>122</v>
      </c>
      <c r="G146" s="12" t="s">
        <v>51</v>
      </c>
      <c r="H146" s="12" t="s">
        <v>4267</v>
      </c>
      <c r="I146" s="12">
        <v>112111</v>
      </c>
      <c r="J146" s="12">
        <v>131</v>
      </c>
      <c r="K146" s="12" t="s">
        <v>20</v>
      </c>
      <c r="L146" s="12">
        <v>1</v>
      </c>
      <c r="M146" s="17">
        <v>22000000</v>
      </c>
      <c r="N146" s="17">
        <f t="shared" si="12"/>
        <v>22000000</v>
      </c>
      <c r="P146" s="12">
        <f t="shared" si="14"/>
        <v>155</v>
      </c>
    </row>
    <row r="147" spans="1:16" ht="15" hidden="1" customHeight="1" x14ac:dyDescent="0.2">
      <c r="A147" s="12" t="s">
        <v>308</v>
      </c>
      <c r="B147" s="36">
        <v>46108</v>
      </c>
      <c r="C147" s="12">
        <f t="shared" si="10"/>
        <v>123</v>
      </c>
      <c r="D147" s="38">
        <f t="shared" si="11"/>
        <v>1</v>
      </c>
      <c r="E147" s="12" t="str">
        <f t="shared" si="13"/>
        <v>123</v>
      </c>
      <c r="G147" s="12" t="s">
        <v>367</v>
      </c>
      <c r="H147" s="12" t="s">
        <v>3032</v>
      </c>
      <c r="I147" s="12">
        <v>1111</v>
      </c>
      <c r="J147" s="12">
        <v>112111</v>
      </c>
      <c r="K147" s="12" t="s">
        <v>20</v>
      </c>
      <c r="L147" s="12">
        <v>1</v>
      </c>
      <c r="M147" s="17">
        <v>22000000</v>
      </c>
      <c r="N147" s="17">
        <f t="shared" si="12"/>
        <v>22000000</v>
      </c>
      <c r="P147" s="12">
        <f t="shared" si="14"/>
        <v>40</v>
      </c>
    </row>
    <row r="148" spans="1:16" ht="15" hidden="1" customHeight="1" x14ac:dyDescent="0.2">
      <c r="A148" s="12" t="s">
        <v>309</v>
      </c>
      <c r="B148" s="36">
        <v>46108</v>
      </c>
      <c r="C148" s="12">
        <f t="shared" si="10"/>
        <v>124</v>
      </c>
      <c r="D148" s="38">
        <f t="shared" si="11"/>
        <v>1</v>
      </c>
      <c r="E148" s="12" t="str">
        <f t="shared" si="13"/>
        <v>124</v>
      </c>
      <c r="G148" s="12" t="s">
        <v>68</v>
      </c>
      <c r="H148" s="12" t="s">
        <v>4268</v>
      </c>
      <c r="I148" s="12">
        <v>112111</v>
      </c>
      <c r="J148" s="12">
        <v>131</v>
      </c>
      <c r="K148" s="12" t="s">
        <v>20</v>
      </c>
      <c r="L148" s="12">
        <v>1</v>
      </c>
      <c r="M148" s="17">
        <v>22000000</v>
      </c>
      <c r="N148" s="17">
        <f t="shared" si="12"/>
        <v>22000000</v>
      </c>
      <c r="P148" s="12">
        <f t="shared" si="14"/>
        <v>148</v>
      </c>
    </row>
    <row r="149" spans="1:16" ht="15" hidden="1" customHeight="1" x14ac:dyDescent="0.2">
      <c r="A149" s="12" t="s">
        <v>308</v>
      </c>
      <c r="B149" s="36">
        <v>46108</v>
      </c>
      <c r="C149" s="12">
        <f t="shared" si="10"/>
        <v>125</v>
      </c>
      <c r="D149" s="38">
        <f t="shared" si="11"/>
        <v>1</v>
      </c>
      <c r="E149" s="12" t="str">
        <f t="shared" si="13"/>
        <v>125</v>
      </c>
      <c r="G149" s="12" t="s">
        <v>367</v>
      </c>
      <c r="H149" s="12" t="s">
        <v>3032</v>
      </c>
      <c r="I149" s="12">
        <v>1111</v>
      </c>
      <c r="J149" s="12">
        <v>112111</v>
      </c>
      <c r="K149" s="12" t="s">
        <v>20</v>
      </c>
      <c r="L149" s="12">
        <v>1</v>
      </c>
      <c r="M149" s="17">
        <v>22000000</v>
      </c>
      <c r="N149" s="17">
        <f t="shared" si="12"/>
        <v>22000000</v>
      </c>
      <c r="P149" s="12">
        <f t="shared" si="14"/>
        <v>40</v>
      </c>
    </row>
  </sheetData>
  <autoFilter ref="A3:P149" xr:uid="{00000000-0009-0000-0000-00001D000000}">
    <filterColumn colId="8">
      <filters>
        <filter val="333821"/>
      </filters>
    </filterColumn>
    <filterColumn colId="9">
      <filters>
        <filter val="131"/>
      </filters>
    </filterColumn>
    <sortState xmlns:xlrd2="http://schemas.microsoft.com/office/spreadsheetml/2017/richdata2" ref="A4:P107">
      <sortCondition ref="P3:P107"/>
    </sortState>
  </autoFilter>
  <mergeCells count="13">
    <mergeCell ref="N1:N2"/>
    <mergeCell ref="G1:G2"/>
    <mergeCell ref="H1:H2"/>
    <mergeCell ref="I1:J1"/>
    <mergeCell ref="K1:K2"/>
    <mergeCell ref="L1:L2"/>
    <mergeCell ref="M1:M2"/>
    <mergeCell ref="F1:F2"/>
    <mergeCell ref="A1:A2"/>
    <mergeCell ref="B1:B2"/>
    <mergeCell ref="C1:C2"/>
    <mergeCell ref="D1:D2"/>
    <mergeCell ref="E1:E2"/>
  </mergeCells>
  <hyperlinks>
    <hyperlink ref="P1" location="Summary!A1" display="Back to summary"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filterMode="1">
    <tabColor rgb="FF92D050"/>
  </sheetPr>
  <dimension ref="A1:AC268"/>
  <sheetViews>
    <sheetView topLeftCell="A3" workbookViewId="0">
      <selection activeCell="M219" sqref="M219"/>
    </sheetView>
  </sheetViews>
  <sheetFormatPr defaultRowHeight="15" customHeight="1" x14ac:dyDescent="0.2"/>
  <cols>
    <col min="1" max="7" width="9.140625" style="12"/>
    <col min="8" max="8" width="27.7109375" style="12" customWidth="1"/>
    <col min="9" max="12" width="9.140625" style="12"/>
    <col min="13" max="14" width="10.7109375" style="12" bestFit="1" customWidth="1"/>
    <col min="15" max="16384" width="9.140625" style="12"/>
  </cols>
  <sheetData>
    <row r="1" spans="1:29" ht="15" customHeight="1" thickBot="1" x14ac:dyDescent="0.25">
      <c r="A1" s="247" t="s">
        <v>0</v>
      </c>
      <c r="B1" s="219" t="s">
        <v>1</v>
      </c>
      <c r="C1" s="247" t="s">
        <v>2</v>
      </c>
      <c r="D1" s="249" t="s">
        <v>3</v>
      </c>
      <c r="E1" s="249" t="s">
        <v>4</v>
      </c>
      <c r="F1" s="249" t="s">
        <v>5</v>
      </c>
      <c r="G1" s="241" t="s">
        <v>6</v>
      </c>
      <c r="H1" s="243" t="s">
        <v>7</v>
      </c>
      <c r="I1" s="245" t="s">
        <v>8</v>
      </c>
      <c r="J1" s="246"/>
      <c r="K1" s="247" t="s">
        <v>9</v>
      </c>
      <c r="L1" s="247" t="s">
        <v>10</v>
      </c>
      <c r="M1" s="254" t="s">
        <v>76</v>
      </c>
      <c r="N1" s="254" t="s">
        <v>77</v>
      </c>
      <c r="O1" s="45" t="s">
        <v>78</v>
      </c>
      <c r="P1" s="146" t="s">
        <v>356</v>
      </c>
    </row>
    <row r="2" spans="1:29" ht="15" customHeight="1" thickBot="1" x14ac:dyDescent="0.25">
      <c r="A2" s="248"/>
      <c r="B2" s="220"/>
      <c r="C2" s="248"/>
      <c r="D2" s="253"/>
      <c r="E2" s="253"/>
      <c r="F2" s="250"/>
      <c r="G2" s="242"/>
      <c r="H2" s="244"/>
      <c r="I2" s="46" t="s">
        <v>13</v>
      </c>
      <c r="J2" s="47" t="s">
        <v>14</v>
      </c>
      <c r="K2" s="248"/>
      <c r="L2" s="248"/>
      <c r="M2" s="255"/>
      <c r="N2" s="255"/>
      <c r="O2" s="38" t="s">
        <v>78</v>
      </c>
      <c r="P2" s="38"/>
    </row>
    <row r="3" spans="1:29" ht="15" customHeight="1" x14ac:dyDescent="0.2">
      <c r="A3" s="48"/>
      <c r="B3" s="81"/>
      <c r="C3" s="48">
        <v>0</v>
      </c>
      <c r="D3" s="49"/>
      <c r="E3" s="49"/>
      <c r="F3" s="49"/>
      <c r="G3" s="51" t="s">
        <v>15</v>
      </c>
      <c r="H3" s="52"/>
      <c r="I3" s="52"/>
      <c r="J3" s="52"/>
      <c r="K3" s="48"/>
      <c r="L3" s="48"/>
      <c r="M3" s="82"/>
      <c r="N3" s="82"/>
      <c r="O3" s="38" t="s">
        <v>16</v>
      </c>
      <c r="P3" s="38" t="s">
        <v>17</v>
      </c>
    </row>
    <row r="4" spans="1:29" ht="15" hidden="1" customHeight="1" x14ac:dyDescent="0.2">
      <c r="A4" s="12" t="s">
        <v>309</v>
      </c>
      <c r="B4" s="36">
        <v>46030</v>
      </c>
      <c r="C4" s="12">
        <f t="shared" ref="C4:C67" si="0">C3+D4</f>
        <v>1</v>
      </c>
      <c r="D4" s="38">
        <f>IF(H4=H3,0,1)</f>
        <v>1</v>
      </c>
      <c r="G4" s="12" t="s">
        <v>71</v>
      </c>
      <c r="H4" s="12" t="s">
        <v>3914</v>
      </c>
      <c r="I4" s="12">
        <v>112111</v>
      </c>
      <c r="J4" s="12">
        <v>3388</v>
      </c>
      <c r="K4" s="12" t="s">
        <v>20</v>
      </c>
      <c r="L4" s="12">
        <v>1</v>
      </c>
      <c r="M4" s="17">
        <v>100000</v>
      </c>
      <c r="N4" s="17">
        <f t="shared" ref="N4:N67" si="1">L4*M4</f>
        <v>100000</v>
      </c>
      <c r="P4" s="12">
        <f t="shared" ref="P4:P67" si="2">LEN(H4)</f>
        <v>22</v>
      </c>
    </row>
    <row r="5" spans="1:29" ht="15" hidden="1" customHeight="1" x14ac:dyDescent="0.2">
      <c r="A5" s="12" t="s">
        <v>309</v>
      </c>
      <c r="B5" s="36">
        <v>46030</v>
      </c>
      <c r="C5" s="12">
        <f t="shared" si="0"/>
        <v>2</v>
      </c>
      <c r="D5" s="38">
        <f>IF(H5=H4,0,1)</f>
        <v>1</v>
      </c>
      <c r="G5" s="12" t="s">
        <v>311</v>
      </c>
      <c r="H5" s="12" t="s">
        <v>3343</v>
      </c>
      <c r="I5" s="12">
        <v>112111</v>
      </c>
      <c r="J5" s="12">
        <v>131</v>
      </c>
      <c r="K5" s="12" t="s">
        <v>20</v>
      </c>
      <c r="L5" s="12">
        <v>1</v>
      </c>
      <c r="M5" s="17">
        <v>186676690</v>
      </c>
      <c r="N5" s="17">
        <f t="shared" si="1"/>
        <v>186676690</v>
      </c>
      <c r="P5" s="12">
        <f t="shared" si="2"/>
        <v>21</v>
      </c>
      <c r="T5" s="13"/>
      <c r="Z5" s="84"/>
      <c r="AC5" s="84"/>
    </row>
    <row r="6" spans="1:29" ht="15" hidden="1" customHeight="1" x14ac:dyDescent="0.2">
      <c r="A6" s="12" t="s">
        <v>309</v>
      </c>
      <c r="B6" s="36">
        <v>46031</v>
      </c>
      <c r="C6" s="12">
        <f t="shared" si="0"/>
        <v>3</v>
      </c>
      <c r="D6" s="38">
        <v>1</v>
      </c>
      <c r="G6" s="12" t="s">
        <v>311</v>
      </c>
      <c r="H6" s="12" t="s">
        <v>3343</v>
      </c>
      <c r="I6" s="12">
        <v>112111</v>
      </c>
      <c r="J6" s="12">
        <v>131</v>
      </c>
      <c r="K6" s="12" t="s">
        <v>20</v>
      </c>
      <c r="L6" s="12">
        <v>1</v>
      </c>
      <c r="M6" s="17">
        <v>132581230</v>
      </c>
      <c r="N6" s="17">
        <f t="shared" si="1"/>
        <v>132581230</v>
      </c>
      <c r="P6" s="12">
        <f t="shared" si="2"/>
        <v>21</v>
      </c>
      <c r="T6" s="13"/>
      <c r="Z6" s="84"/>
      <c r="AB6" s="84"/>
      <c r="AC6" s="84"/>
    </row>
    <row r="7" spans="1:29" ht="15" hidden="1" customHeight="1" x14ac:dyDescent="0.2">
      <c r="A7" s="12" t="s">
        <v>309</v>
      </c>
      <c r="B7" s="36">
        <v>46031</v>
      </c>
      <c r="C7" s="12">
        <f t="shared" si="0"/>
        <v>4</v>
      </c>
      <c r="D7" s="38">
        <v>1</v>
      </c>
      <c r="G7" s="12" t="s">
        <v>311</v>
      </c>
      <c r="H7" s="12" t="s">
        <v>3343</v>
      </c>
      <c r="I7" s="12">
        <v>112111</v>
      </c>
      <c r="J7" s="12">
        <v>131</v>
      </c>
      <c r="K7" s="12" t="s">
        <v>20</v>
      </c>
      <c r="L7" s="12">
        <v>1</v>
      </c>
      <c r="M7" s="17">
        <v>578317363</v>
      </c>
      <c r="N7" s="17">
        <f t="shared" si="1"/>
        <v>578317363</v>
      </c>
      <c r="P7" s="12">
        <f t="shared" si="2"/>
        <v>21</v>
      </c>
    </row>
    <row r="8" spans="1:29" ht="15" hidden="1" customHeight="1" x14ac:dyDescent="0.2">
      <c r="A8" s="12" t="s">
        <v>309</v>
      </c>
      <c r="B8" s="36">
        <v>46033</v>
      </c>
      <c r="C8" s="12">
        <f t="shared" si="0"/>
        <v>5</v>
      </c>
      <c r="D8" s="38">
        <v>1</v>
      </c>
      <c r="G8" s="12" t="s">
        <v>311</v>
      </c>
      <c r="H8" s="12" t="s">
        <v>3343</v>
      </c>
      <c r="I8" s="12">
        <v>112111</v>
      </c>
      <c r="J8" s="12">
        <v>131</v>
      </c>
      <c r="K8" s="12" t="s">
        <v>20</v>
      </c>
      <c r="L8" s="12">
        <v>1</v>
      </c>
      <c r="M8" s="17">
        <v>109516223</v>
      </c>
      <c r="N8" s="17">
        <f t="shared" si="1"/>
        <v>109516223</v>
      </c>
      <c r="P8" s="12">
        <f t="shared" si="2"/>
        <v>21</v>
      </c>
    </row>
    <row r="9" spans="1:29" ht="15" hidden="1" customHeight="1" x14ac:dyDescent="0.2">
      <c r="A9" s="12" t="s">
        <v>309</v>
      </c>
      <c r="B9" s="36">
        <v>46034</v>
      </c>
      <c r="C9" s="12">
        <f t="shared" si="0"/>
        <v>6</v>
      </c>
      <c r="D9" s="38">
        <v>1</v>
      </c>
      <c r="G9" s="12" t="s">
        <v>311</v>
      </c>
      <c r="H9" s="12" t="s">
        <v>3343</v>
      </c>
      <c r="I9" s="12">
        <v>112111</v>
      </c>
      <c r="J9" s="12">
        <v>131</v>
      </c>
      <c r="K9" s="12" t="s">
        <v>20</v>
      </c>
      <c r="L9" s="12">
        <v>1</v>
      </c>
      <c r="M9" s="17">
        <v>147041279</v>
      </c>
      <c r="N9" s="17">
        <f t="shared" si="1"/>
        <v>147041279</v>
      </c>
      <c r="P9" s="12">
        <f t="shared" si="2"/>
        <v>21</v>
      </c>
    </row>
    <row r="10" spans="1:29" ht="15" hidden="1" customHeight="1" x14ac:dyDescent="0.2">
      <c r="A10" s="12" t="s">
        <v>309</v>
      </c>
      <c r="B10" s="36">
        <v>46037</v>
      </c>
      <c r="C10" s="12">
        <f t="shared" si="0"/>
        <v>7</v>
      </c>
      <c r="D10" s="38">
        <v>1</v>
      </c>
      <c r="G10" s="12" t="s">
        <v>311</v>
      </c>
      <c r="H10" s="12" t="s">
        <v>3343</v>
      </c>
      <c r="I10" s="12">
        <v>112111</v>
      </c>
      <c r="J10" s="12">
        <v>131</v>
      </c>
      <c r="K10" s="12" t="s">
        <v>20</v>
      </c>
      <c r="L10" s="12">
        <v>1</v>
      </c>
      <c r="M10" s="17">
        <v>132596697</v>
      </c>
      <c r="N10" s="17">
        <f t="shared" si="1"/>
        <v>132596697</v>
      </c>
      <c r="P10" s="12">
        <f t="shared" si="2"/>
        <v>21</v>
      </c>
    </row>
    <row r="11" spans="1:29" ht="15" hidden="1" customHeight="1" x14ac:dyDescent="0.2">
      <c r="A11" s="12" t="s">
        <v>309</v>
      </c>
      <c r="B11" s="36">
        <v>46038</v>
      </c>
      <c r="C11" s="12">
        <f t="shared" si="0"/>
        <v>8</v>
      </c>
      <c r="D11" s="38">
        <v>1</v>
      </c>
      <c r="G11" s="12" t="s">
        <v>311</v>
      </c>
      <c r="H11" s="12" t="s">
        <v>3343</v>
      </c>
      <c r="I11" s="12">
        <v>112111</v>
      </c>
      <c r="J11" s="12">
        <v>131</v>
      </c>
      <c r="K11" s="12" t="s">
        <v>20</v>
      </c>
      <c r="L11" s="12">
        <v>1</v>
      </c>
      <c r="M11" s="17">
        <v>127799363</v>
      </c>
      <c r="N11" s="17">
        <f t="shared" si="1"/>
        <v>127799363</v>
      </c>
      <c r="P11" s="12">
        <f t="shared" si="2"/>
        <v>21</v>
      </c>
    </row>
    <row r="12" spans="1:29" ht="15" hidden="1" customHeight="1" x14ac:dyDescent="0.2">
      <c r="A12" s="12" t="s">
        <v>309</v>
      </c>
      <c r="B12" s="36">
        <v>46040</v>
      </c>
      <c r="C12" s="12">
        <f t="shared" si="0"/>
        <v>9</v>
      </c>
      <c r="D12" s="38">
        <v>1</v>
      </c>
      <c r="G12" s="12" t="s">
        <v>311</v>
      </c>
      <c r="H12" s="12" t="s">
        <v>3343</v>
      </c>
      <c r="I12" s="12">
        <v>112111</v>
      </c>
      <c r="J12" s="12">
        <v>131</v>
      </c>
      <c r="K12" s="12" t="s">
        <v>20</v>
      </c>
      <c r="L12" s="12">
        <v>1</v>
      </c>
      <c r="M12" s="17">
        <v>405556082</v>
      </c>
      <c r="N12" s="17">
        <f t="shared" si="1"/>
        <v>405556082</v>
      </c>
      <c r="P12" s="12">
        <f t="shared" si="2"/>
        <v>21</v>
      </c>
    </row>
    <row r="13" spans="1:29" ht="15" hidden="1" customHeight="1" x14ac:dyDescent="0.2">
      <c r="A13" s="12" t="s">
        <v>309</v>
      </c>
      <c r="B13" s="36">
        <v>46041</v>
      </c>
      <c r="C13" s="12">
        <f t="shared" si="0"/>
        <v>10</v>
      </c>
      <c r="D13" s="38">
        <v>1</v>
      </c>
      <c r="G13" s="12" t="s">
        <v>311</v>
      </c>
      <c r="H13" s="12" t="s">
        <v>3343</v>
      </c>
      <c r="I13" s="12">
        <v>112111</v>
      </c>
      <c r="J13" s="12">
        <v>131</v>
      </c>
      <c r="K13" s="12" t="s">
        <v>20</v>
      </c>
      <c r="L13" s="12">
        <v>1</v>
      </c>
      <c r="M13" s="17">
        <v>383069511</v>
      </c>
      <c r="N13" s="17">
        <f t="shared" si="1"/>
        <v>383069511</v>
      </c>
      <c r="P13" s="12">
        <f t="shared" si="2"/>
        <v>21</v>
      </c>
    </row>
    <row r="14" spans="1:29" ht="15" hidden="1" customHeight="1" x14ac:dyDescent="0.2">
      <c r="A14" s="12" t="s">
        <v>309</v>
      </c>
      <c r="B14" s="36">
        <v>46042</v>
      </c>
      <c r="C14" s="12">
        <f t="shared" si="0"/>
        <v>11</v>
      </c>
      <c r="D14" s="38">
        <v>1</v>
      </c>
      <c r="G14" s="12" t="s">
        <v>311</v>
      </c>
      <c r="H14" s="12" t="s">
        <v>3343</v>
      </c>
      <c r="I14" s="12">
        <v>112111</v>
      </c>
      <c r="J14" s="12">
        <v>131</v>
      </c>
      <c r="K14" s="12" t="s">
        <v>20</v>
      </c>
      <c r="L14" s="12">
        <v>1</v>
      </c>
      <c r="M14" s="17">
        <v>457889148</v>
      </c>
      <c r="N14" s="17">
        <f t="shared" si="1"/>
        <v>457889148</v>
      </c>
      <c r="P14" s="12">
        <f t="shared" si="2"/>
        <v>21</v>
      </c>
    </row>
    <row r="15" spans="1:29" ht="15" hidden="1" customHeight="1" x14ac:dyDescent="0.2">
      <c r="A15" s="12" t="s">
        <v>309</v>
      </c>
      <c r="B15" s="36">
        <v>46043</v>
      </c>
      <c r="C15" s="12">
        <f t="shared" si="0"/>
        <v>12</v>
      </c>
      <c r="D15" s="38">
        <v>1</v>
      </c>
      <c r="G15" s="12" t="s">
        <v>311</v>
      </c>
      <c r="H15" s="12" t="s">
        <v>3343</v>
      </c>
      <c r="I15" s="12">
        <v>112111</v>
      </c>
      <c r="J15" s="12">
        <v>131</v>
      </c>
      <c r="K15" s="12" t="s">
        <v>20</v>
      </c>
      <c r="L15" s="12">
        <v>1</v>
      </c>
      <c r="M15" s="17">
        <v>279679884</v>
      </c>
      <c r="N15" s="17">
        <f t="shared" si="1"/>
        <v>279679884</v>
      </c>
      <c r="P15" s="12">
        <f t="shared" si="2"/>
        <v>21</v>
      </c>
    </row>
    <row r="16" spans="1:29" ht="15" hidden="1" customHeight="1" x14ac:dyDescent="0.2">
      <c r="A16" s="12" t="s">
        <v>309</v>
      </c>
      <c r="B16" s="36">
        <v>46044</v>
      </c>
      <c r="C16" s="12">
        <f t="shared" si="0"/>
        <v>13</v>
      </c>
      <c r="D16" s="38">
        <v>1</v>
      </c>
      <c r="G16" s="12" t="s">
        <v>311</v>
      </c>
      <c r="H16" s="12" t="s">
        <v>3343</v>
      </c>
      <c r="I16" s="12">
        <v>112111</v>
      </c>
      <c r="J16" s="12">
        <v>131</v>
      </c>
      <c r="K16" s="12" t="s">
        <v>20</v>
      </c>
      <c r="L16" s="12">
        <v>1</v>
      </c>
      <c r="M16" s="17">
        <v>195602582</v>
      </c>
      <c r="N16" s="17">
        <f t="shared" si="1"/>
        <v>195602582</v>
      </c>
      <c r="P16" s="12">
        <f t="shared" si="2"/>
        <v>21</v>
      </c>
    </row>
    <row r="17" spans="1:16" ht="15" hidden="1" customHeight="1" x14ac:dyDescent="0.2">
      <c r="A17" s="12" t="s">
        <v>309</v>
      </c>
      <c r="B17" s="36">
        <v>46045</v>
      </c>
      <c r="C17" s="12">
        <f t="shared" si="0"/>
        <v>14</v>
      </c>
      <c r="D17" s="38">
        <v>1</v>
      </c>
      <c r="G17" s="12" t="s">
        <v>311</v>
      </c>
      <c r="H17" s="12" t="s">
        <v>3343</v>
      </c>
      <c r="I17" s="12">
        <v>112111</v>
      </c>
      <c r="J17" s="12">
        <v>131</v>
      </c>
      <c r="K17" s="12" t="s">
        <v>20</v>
      </c>
      <c r="L17" s="12">
        <v>1</v>
      </c>
      <c r="M17" s="17">
        <v>103338690</v>
      </c>
      <c r="N17" s="17">
        <f t="shared" si="1"/>
        <v>103338690</v>
      </c>
      <c r="P17" s="12">
        <f t="shared" si="2"/>
        <v>21</v>
      </c>
    </row>
    <row r="18" spans="1:16" ht="15" hidden="1" customHeight="1" x14ac:dyDescent="0.2">
      <c r="A18" s="12" t="s">
        <v>309</v>
      </c>
      <c r="B18" s="36">
        <v>46048</v>
      </c>
      <c r="C18" s="12">
        <f t="shared" si="0"/>
        <v>15</v>
      </c>
      <c r="D18" s="38">
        <v>1</v>
      </c>
      <c r="G18" s="12" t="s">
        <v>311</v>
      </c>
      <c r="H18" s="12" t="s">
        <v>3343</v>
      </c>
      <c r="I18" s="12">
        <v>112111</v>
      </c>
      <c r="J18" s="12">
        <v>131</v>
      </c>
      <c r="K18" s="12" t="s">
        <v>20</v>
      </c>
      <c r="L18" s="12">
        <v>1</v>
      </c>
      <c r="M18" s="17">
        <v>132307645</v>
      </c>
      <c r="N18" s="17">
        <f t="shared" si="1"/>
        <v>132307645</v>
      </c>
      <c r="P18" s="12">
        <f t="shared" si="2"/>
        <v>21</v>
      </c>
    </row>
    <row r="19" spans="1:16" ht="15" hidden="1" customHeight="1" x14ac:dyDescent="0.2">
      <c r="A19" s="12" t="s">
        <v>309</v>
      </c>
      <c r="B19" s="36">
        <v>46050</v>
      </c>
      <c r="C19" s="12">
        <f t="shared" si="0"/>
        <v>16</v>
      </c>
      <c r="D19" s="38">
        <v>1</v>
      </c>
      <c r="G19" s="12" t="s">
        <v>311</v>
      </c>
      <c r="H19" s="12" t="s">
        <v>3343</v>
      </c>
      <c r="I19" s="12">
        <v>112111</v>
      </c>
      <c r="J19" s="12">
        <v>131</v>
      </c>
      <c r="K19" s="12" t="s">
        <v>20</v>
      </c>
      <c r="L19" s="12">
        <v>1</v>
      </c>
      <c r="M19" s="17">
        <v>175311860</v>
      </c>
      <c r="N19" s="17">
        <f t="shared" si="1"/>
        <v>175311860</v>
      </c>
      <c r="P19" s="12">
        <f t="shared" si="2"/>
        <v>21</v>
      </c>
    </row>
    <row r="20" spans="1:16" ht="15" hidden="1" customHeight="1" x14ac:dyDescent="0.2">
      <c r="A20" s="12" t="s">
        <v>309</v>
      </c>
      <c r="B20" s="36">
        <v>46053</v>
      </c>
      <c r="C20" s="12">
        <f t="shared" si="0"/>
        <v>17</v>
      </c>
      <c r="D20" s="38">
        <v>1</v>
      </c>
      <c r="G20" s="12" t="s">
        <v>768</v>
      </c>
      <c r="H20" s="12" t="s">
        <v>3561</v>
      </c>
      <c r="I20" s="12">
        <v>112111</v>
      </c>
      <c r="J20" s="12">
        <v>5154</v>
      </c>
      <c r="K20" s="12" t="s">
        <v>20</v>
      </c>
      <c r="L20" s="12">
        <v>1</v>
      </c>
      <c r="M20" s="17">
        <v>24484</v>
      </c>
      <c r="N20" s="17">
        <f t="shared" si="1"/>
        <v>24484</v>
      </c>
      <c r="P20" s="12">
        <f t="shared" si="2"/>
        <v>22</v>
      </c>
    </row>
    <row r="21" spans="1:16" ht="15" hidden="1" customHeight="1" x14ac:dyDescent="0.2">
      <c r="A21" s="12" t="s">
        <v>309</v>
      </c>
      <c r="B21" s="36">
        <v>46054</v>
      </c>
      <c r="C21" s="12">
        <f t="shared" si="0"/>
        <v>18</v>
      </c>
      <c r="D21" s="38">
        <v>1</v>
      </c>
      <c r="G21" s="12" t="s">
        <v>311</v>
      </c>
      <c r="H21" s="12" t="s">
        <v>3343</v>
      </c>
      <c r="I21" s="12">
        <v>112111</v>
      </c>
      <c r="J21" s="12">
        <v>131</v>
      </c>
      <c r="K21" s="12" t="s">
        <v>20</v>
      </c>
      <c r="L21" s="12">
        <v>1</v>
      </c>
      <c r="M21" s="17">
        <v>180063839</v>
      </c>
      <c r="N21" s="17">
        <f t="shared" si="1"/>
        <v>180063839</v>
      </c>
      <c r="P21" s="12">
        <f t="shared" si="2"/>
        <v>21</v>
      </c>
    </row>
    <row r="22" spans="1:16" ht="15" hidden="1" customHeight="1" x14ac:dyDescent="0.2">
      <c r="A22" s="12" t="s">
        <v>309</v>
      </c>
      <c r="B22" s="36">
        <v>46055</v>
      </c>
      <c r="C22" s="12">
        <f t="shared" si="0"/>
        <v>19</v>
      </c>
      <c r="D22" s="38">
        <v>1</v>
      </c>
      <c r="G22" s="12" t="s">
        <v>286</v>
      </c>
      <c r="H22" s="12" t="s">
        <v>3918</v>
      </c>
      <c r="I22" s="12">
        <v>112111</v>
      </c>
      <c r="J22" s="12">
        <v>131</v>
      </c>
      <c r="K22" s="12" t="s">
        <v>20</v>
      </c>
      <c r="L22" s="12">
        <v>1</v>
      </c>
      <c r="M22" s="17">
        <v>66000000</v>
      </c>
      <c r="N22" s="17">
        <f t="shared" si="1"/>
        <v>66000000</v>
      </c>
      <c r="P22" s="12">
        <f t="shared" si="2"/>
        <v>151</v>
      </c>
    </row>
    <row r="23" spans="1:16" ht="15" hidden="1" customHeight="1" x14ac:dyDescent="0.2">
      <c r="A23" s="12" t="s">
        <v>309</v>
      </c>
      <c r="B23" s="36">
        <v>46055</v>
      </c>
      <c r="C23" s="12">
        <f t="shared" si="0"/>
        <v>20</v>
      </c>
      <c r="D23" s="38">
        <v>1</v>
      </c>
      <c r="G23" s="12" t="s">
        <v>311</v>
      </c>
      <c r="H23" s="12" t="s">
        <v>3343</v>
      </c>
      <c r="I23" s="12">
        <v>112111</v>
      </c>
      <c r="J23" s="12">
        <v>131</v>
      </c>
      <c r="K23" s="12" t="s">
        <v>20</v>
      </c>
      <c r="L23" s="12">
        <v>1</v>
      </c>
      <c r="M23" s="17">
        <v>246351085</v>
      </c>
      <c r="N23" s="17">
        <f t="shared" si="1"/>
        <v>246351085</v>
      </c>
      <c r="P23" s="12">
        <f t="shared" si="2"/>
        <v>21</v>
      </c>
    </row>
    <row r="24" spans="1:16" ht="15" hidden="1" customHeight="1" x14ac:dyDescent="0.2">
      <c r="A24" s="12" t="s">
        <v>309</v>
      </c>
      <c r="B24" s="36">
        <v>46055</v>
      </c>
      <c r="C24" s="12">
        <f t="shared" si="0"/>
        <v>21</v>
      </c>
      <c r="D24" s="38">
        <v>1</v>
      </c>
      <c r="G24" s="12" t="s">
        <v>2257</v>
      </c>
      <c r="H24" s="12" t="s">
        <v>3917</v>
      </c>
      <c r="I24" s="12">
        <v>112111</v>
      </c>
      <c r="J24" s="12">
        <v>131</v>
      </c>
      <c r="K24" s="12" t="s">
        <v>20</v>
      </c>
      <c r="L24" s="12">
        <v>1</v>
      </c>
      <c r="M24" s="17">
        <v>16500000</v>
      </c>
      <c r="N24" s="17">
        <f t="shared" si="1"/>
        <v>16500000</v>
      </c>
      <c r="P24" s="12">
        <f t="shared" si="2"/>
        <v>100</v>
      </c>
    </row>
    <row r="25" spans="1:16" ht="15" hidden="1" customHeight="1" x14ac:dyDescent="0.2">
      <c r="A25" s="12" t="s">
        <v>309</v>
      </c>
      <c r="B25" s="36">
        <v>46056</v>
      </c>
      <c r="C25" s="12">
        <f t="shared" si="0"/>
        <v>22</v>
      </c>
      <c r="D25" s="38">
        <v>1</v>
      </c>
      <c r="G25" s="12" t="s">
        <v>311</v>
      </c>
      <c r="H25" s="12" t="s">
        <v>3343</v>
      </c>
      <c r="I25" s="12">
        <v>112111</v>
      </c>
      <c r="J25" s="12">
        <v>131</v>
      </c>
      <c r="K25" s="12" t="s">
        <v>20</v>
      </c>
      <c r="L25" s="12">
        <v>1</v>
      </c>
      <c r="M25" s="17">
        <v>277663997</v>
      </c>
      <c r="N25" s="17">
        <f t="shared" si="1"/>
        <v>277663997</v>
      </c>
      <c r="P25" s="12">
        <f t="shared" si="2"/>
        <v>21</v>
      </c>
    </row>
    <row r="26" spans="1:16" ht="15" hidden="1" customHeight="1" x14ac:dyDescent="0.2">
      <c r="A26" s="12" t="s">
        <v>309</v>
      </c>
      <c r="B26" s="36">
        <v>46057</v>
      </c>
      <c r="C26" s="12">
        <f t="shared" si="0"/>
        <v>23</v>
      </c>
      <c r="D26" s="38">
        <v>1</v>
      </c>
      <c r="G26" s="12" t="s">
        <v>311</v>
      </c>
      <c r="H26" s="12" t="s">
        <v>3343</v>
      </c>
      <c r="I26" s="12">
        <v>112111</v>
      </c>
      <c r="J26" s="12">
        <v>131</v>
      </c>
      <c r="K26" s="12" t="s">
        <v>20</v>
      </c>
      <c r="L26" s="12">
        <v>1</v>
      </c>
      <c r="M26" s="17">
        <v>258480151</v>
      </c>
      <c r="N26" s="17">
        <f t="shared" si="1"/>
        <v>258480151</v>
      </c>
      <c r="P26" s="12">
        <f t="shared" si="2"/>
        <v>21</v>
      </c>
    </row>
    <row r="27" spans="1:16" ht="15" hidden="1" customHeight="1" x14ac:dyDescent="0.2">
      <c r="A27" s="12" t="s">
        <v>309</v>
      </c>
      <c r="B27" s="36">
        <v>46058</v>
      </c>
      <c r="C27" s="12">
        <f t="shared" si="0"/>
        <v>24</v>
      </c>
      <c r="D27" s="38">
        <v>1</v>
      </c>
      <c r="G27" s="12" t="s">
        <v>311</v>
      </c>
      <c r="H27" s="12" t="s">
        <v>3343</v>
      </c>
      <c r="I27" s="12">
        <v>112111</v>
      </c>
      <c r="J27" s="12">
        <v>131</v>
      </c>
      <c r="K27" s="12" t="s">
        <v>20</v>
      </c>
      <c r="L27" s="12">
        <v>1</v>
      </c>
      <c r="M27" s="17">
        <v>172925173</v>
      </c>
      <c r="N27" s="17">
        <f t="shared" si="1"/>
        <v>172925173</v>
      </c>
      <c r="P27" s="12">
        <f t="shared" si="2"/>
        <v>21</v>
      </c>
    </row>
    <row r="28" spans="1:16" ht="15" hidden="1" customHeight="1" x14ac:dyDescent="0.2">
      <c r="A28" s="12" t="s">
        <v>309</v>
      </c>
      <c r="B28" s="36">
        <v>46058</v>
      </c>
      <c r="C28" s="12">
        <f t="shared" si="0"/>
        <v>25</v>
      </c>
      <c r="D28" s="38">
        <v>1</v>
      </c>
      <c r="G28" s="12" t="s">
        <v>2263</v>
      </c>
      <c r="H28" s="12" t="s">
        <v>3919</v>
      </c>
      <c r="I28" s="12">
        <v>112111</v>
      </c>
      <c r="J28" s="12">
        <v>131</v>
      </c>
      <c r="K28" s="12" t="s">
        <v>20</v>
      </c>
      <c r="L28" s="12">
        <v>1</v>
      </c>
      <c r="M28" s="17">
        <v>16500000</v>
      </c>
      <c r="N28" s="17">
        <f t="shared" si="1"/>
        <v>16500000</v>
      </c>
      <c r="P28" s="12">
        <f t="shared" si="2"/>
        <v>90</v>
      </c>
    </row>
    <row r="29" spans="1:16" ht="15" hidden="1" customHeight="1" x14ac:dyDescent="0.2">
      <c r="A29" s="12" t="s">
        <v>309</v>
      </c>
      <c r="B29" s="36">
        <v>46059</v>
      </c>
      <c r="C29" s="12">
        <f t="shared" si="0"/>
        <v>26</v>
      </c>
      <c r="D29" s="38">
        <v>1</v>
      </c>
      <c r="G29" s="12" t="s">
        <v>311</v>
      </c>
      <c r="H29" s="12" t="s">
        <v>3343</v>
      </c>
      <c r="I29" s="12">
        <v>112111</v>
      </c>
      <c r="J29" s="12">
        <v>131</v>
      </c>
      <c r="K29" s="12" t="s">
        <v>20</v>
      </c>
      <c r="L29" s="12">
        <v>1</v>
      </c>
      <c r="M29" s="17">
        <v>143586064</v>
      </c>
      <c r="N29" s="17">
        <f t="shared" si="1"/>
        <v>143586064</v>
      </c>
      <c r="P29" s="12">
        <f t="shared" si="2"/>
        <v>21</v>
      </c>
    </row>
    <row r="30" spans="1:16" ht="15" hidden="1" customHeight="1" x14ac:dyDescent="0.2">
      <c r="A30" s="12" t="s">
        <v>309</v>
      </c>
      <c r="B30" s="36">
        <v>46060</v>
      </c>
      <c r="C30" s="12">
        <f t="shared" si="0"/>
        <v>27</v>
      </c>
      <c r="D30" s="38">
        <v>1</v>
      </c>
      <c r="G30" s="12" t="s">
        <v>311</v>
      </c>
      <c r="H30" s="12" t="s">
        <v>3343</v>
      </c>
      <c r="I30" s="12">
        <v>112111</v>
      </c>
      <c r="J30" s="12">
        <v>131</v>
      </c>
      <c r="K30" s="12" t="s">
        <v>20</v>
      </c>
      <c r="L30" s="12">
        <v>1</v>
      </c>
      <c r="M30" s="17">
        <v>126285166</v>
      </c>
      <c r="N30" s="17">
        <f t="shared" si="1"/>
        <v>126285166</v>
      </c>
      <c r="P30" s="12">
        <f t="shared" si="2"/>
        <v>21</v>
      </c>
    </row>
    <row r="31" spans="1:16" ht="15" hidden="1" customHeight="1" x14ac:dyDescent="0.2">
      <c r="A31" s="12" t="s">
        <v>309</v>
      </c>
      <c r="B31" s="36">
        <v>46061</v>
      </c>
      <c r="C31" s="12">
        <f t="shared" si="0"/>
        <v>28</v>
      </c>
      <c r="D31" s="38">
        <v>1</v>
      </c>
      <c r="G31" s="12" t="s">
        <v>311</v>
      </c>
      <c r="H31" s="12" t="s">
        <v>3343</v>
      </c>
      <c r="I31" s="12">
        <v>112111</v>
      </c>
      <c r="J31" s="12">
        <v>131</v>
      </c>
      <c r="K31" s="12" t="s">
        <v>20</v>
      </c>
      <c r="L31" s="12">
        <v>1</v>
      </c>
      <c r="M31" s="17">
        <v>145841936</v>
      </c>
      <c r="N31" s="17">
        <f t="shared" si="1"/>
        <v>145841936</v>
      </c>
      <c r="P31" s="12">
        <f t="shared" si="2"/>
        <v>21</v>
      </c>
    </row>
    <row r="32" spans="1:16" ht="15" hidden="1" customHeight="1" x14ac:dyDescent="0.2">
      <c r="A32" s="12" t="s">
        <v>309</v>
      </c>
      <c r="B32" s="36">
        <v>46064</v>
      </c>
      <c r="C32" s="12">
        <f t="shared" si="0"/>
        <v>29</v>
      </c>
      <c r="D32" s="38">
        <v>1</v>
      </c>
      <c r="G32" s="12" t="s">
        <v>74</v>
      </c>
      <c r="H32" s="12" t="s">
        <v>3920</v>
      </c>
      <c r="I32" s="12">
        <v>112111</v>
      </c>
      <c r="J32" s="12">
        <v>131</v>
      </c>
      <c r="K32" s="12" t="s">
        <v>20</v>
      </c>
      <c r="L32" s="12">
        <v>1</v>
      </c>
      <c r="M32" s="17">
        <v>37400000</v>
      </c>
      <c r="N32" s="17">
        <f t="shared" si="1"/>
        <v>37400000</v>
      </c>
      <c r="P32" s="12">
        <f t="shared" si="2"/>
        <v>144</v>
      </c>
    </row>
    <row r="33" spans="1:16" ht="15" hidden="1" customHeight="1" x14ac:dyDescent="0.2">
      <c r="A33" s="12" t="s">
        <v>309</v>
      </c>
      <c r="B33" s="36">
        <v>46067</v>
      </c>
      <c r="C33" s="12">
        <f t="shared" si="0"/>
        <v>30</v>
      </c>
      <c r="D33" s="38">
        <v>1</v>
      </c>
      <c r="G33" s="12" t="s">
        <v>768</v>
      </c>
      <c r="H33" s="12" t="s">
        <v>2660</v>
      </c>
      <c r="I33" s="12">
        <v>112111</v>
      </c>
      <c r="J33" s="12">
        <v>1111</v>
      </c>
      <c r="K33" s="12" t="s">
        <v>20</v>
      </c>
      <c r="L33" s="12">
        <v>1</v>
      </c>
      <c r="M33" s="17">
        <v>5000000</v>
      </c>
      <c r="N33" s="17">
        <f t="shared" si="1"/>
        <v>5000000</v>
      </c>
      <c r="P33" s="12">
        <f t="shared" si="2"/>
        <v>26</v>
      </c>
    </row>
    <row r="34" spans="1:16" ht="15" hidden="1" customHeight="1" x14ac:dyDescent="0.2">
      <c r="A34" s="12" t="s">
        <v>309</v>
      </c>
      <c r="B34" s="36">
        <v>46068</v>
      </c>
      <c r="C34" s="12">
        <f t="shared" si="0"/>
        <v>31</v>
      </c>
      <c r="D34" s="38">
        <v>1</v>
      </c>
      <c r="G34" s="12" t="s">
        <v>768</v>
      </c>
      <c r="H34" s="12" t="s">
        <v>2660</v>
      </c>
      <c r="I34" s="12">
        <v>112111</v>
      </c>
      <c r="J34" s="12">
        <v>1111</v>
      </c>
      <c r="K34" s="12" t="s">
        <v>20</v>
      </c>
      <c r="L34" s="12">
        <v>1</v>
      </c>
      <c r="M34" s="17">
        <v>30000000</v>
      </c>
      <c r="N34" s="17">
        <f t="shared" si="1"/>
        <v>30000000</v>
      </c>
      <c r="P34" s="12">
        <f t="shared" si="2"/>
        <v>26</v>
      </c>
    </row>
    <row r="35" spans="1:16" ht="15" hidden="1" customHeight="1" x14ac:dyDescent="0.2">
      <c r="A35" s="12" t="s">
        <v>309</v>
      </c>
      <c r="B35" s="36">
        <v>46076</v>
      </c>
      <c r="C35" s="12">
        <f t="shared" si="0"/>
        <v>32</v>
      </c>
      <c r="D35" s="38">
        <v>1</v>
      </c>
      <c r="G35" s="12" t="s">
        <v>768</v>
      </c>
      <c r="H35" s="12" t="s">
        <v>2660</v>
      </c>
      <c r="I35" s="12">
        <v>112111</v>
      </c>
      <c r="J35" s="12">
        <v>1111</v>
      </c>
      <c r="K35" s="12" t="s">
        <v>20</v>
      </c>
      <c r="L35" s="12">
        <v>1</v>
      </c>
      <c r="M35" s="17">
        <v>10000000</v>
      </c>
      <c r="N35" s="17">
        <f t="shared" si="1"/>
        <v>10000000</v>
      </c>
      <c r="P35" s="12">
        <f t="shared" si="2"/>
        <v>26</v>
      </c>
    </row>
    <row r="36" spans="1:16" ht="15" hidden="1" customHeight="1" x14ac:dyDescent="0.2">
      <c r="A36" s="12" t="s">
        <v>309</v>
      </c>
      <c r="B36" s="36">
        <v>46080</v>
      </c>
      <c r="C36" s="12">
        <f t="shared" si="0"/>
        <v>33</v>
      </c>
      <c r="D36" s="38">
        <v>1</v>
      </c>
      <c r="G36" s="12" t="s">
        <v>311</v>
      </c>
      <c r="H36" s="12" t="s">
        <v>3343</v>
      </c>
      <c r="I36" s="12">
        <v>112111</v>
      </c>
      <c r="J36" s="12">
        <v>131</v>
      </c>
      <c r="K36" s="12" t="s">
        <v>20</v>
      </c>
      <c r="L36" s="12">
        <v>1</v>
      </c>
      <c r="M36" s="17">
        <v>494996785</v>
      </c>
      <c r="N36" s="17">
        <f t="shared" si="1"/>
        <v>494996785</v>
      </c>
      <c r="P36" s="12">
        <f t="shared" si="2"/>
        <v>21</v>
      </c>
    </row>
    <row r="37" spans="1:16" ht="15" hidden="1" customHeight="1" x14ac:dyDescent="0.2">
      <c r="A37" s="12" t="s">
        <v>309</v>
      </c>
      <c r="B37" s="36">
        <v>46081</v>
      </c>
      <c r="C37" s="12">
        <f t="shared" si="0"/>
        <v>34</v>
      </c>
      <c r="D37" s="38">
        <v>1</v>
      </c>
      <c r="G37" s="12" t="s">
        <v>768</v>
      </c>
      <c r="H37" s="12" t="s">
        <v>3561</v>
      </c>
      <c r="I37" s="12">
        <v>112111</v>
      </c>
      <c r="J37" s="12">
        <v>5154</v>
      </c>
      <c r="K37" s="12" t="s">
        <v>20</v>
      </c>
      <c r="L37" s="12">
        <v>1</v>
      </c>
      <c r="M37" s="17">
        <v>17734</v>
      </c>
      <c r="N37" s="17">
        <f t="shared" si="1"/>
        <v>17734</v>
      </c>
      <c r="P37" s="12">
        <f t="shared" si="2"/>
        <v>22</v>
      </c>
    </row>
    <row r="38" spans="1:16" ht="15" hidden="1" customHeight="1" x14ac:dyDescent="0.2">
      <c r="A38" s="12" t="s">
        <v>309</v>
      </c>
      <c r="B38" s="36">
        <v>46085</v>
      </c>
      <c r="C38" s="12">
        <f t="shared" si="0"/>
        <v>35</v>
      </c>
      <c r="D38" s="38">
        <v>1</v>
      </c>
      <c r="G38" s="12" t="s">
        <v>311</v>
      </c>
      <c r="H38" s="12" t="s">
        <v>3343</v>
      </c>
      <c r="I38" s="12">
        <v>112111</v>
      </c>
      <c r="J38" s="12">
        <v>131</v>
      </c>
      <c r="K38" s="12" t="s">
        <v>20</v>
      </c>
      <c r="L38" s="12">
        <v>1</v>
      </c>
      <c r="M38" s="17">
        <v>494996772</v>
      </c>
      <c r="N38" s="17">
        <f t="shared" si="1"/>
        <v>494996772</v>
      </c>
      <c r="P38" s="12">
        <f t="shared" si="2"/>
        <v>21</v>
      </c>
    </row>
    <row r="39" spans="1:16" ht="15" hidden="1" customHeight="1" x14ac:dyDescent="0.2">
      <c r="A39" s="12" t="s">
        <v>309</v>
      </c>
      <c r="B39" s="36">
        <v>46088</v>
      </c>
      <c r="C39" s="12">
        <f t="shared" si="0"/>
        <v>36</v>
      </c>
      <c r="D39" s="38">
        <v>1</v>
      </c>
      <c r="G39" s="12" t="s">
        <v>311</v>
      </c>
      <c r="H39" s="12" t="s">
        <v>3343</v>
      </c>
      <c r="I39" s="12">
        <v>112111</v>
      </c>
      <c r="J39" s="12">
        <v>131</v>
      </c>
      <c r="K39" s="12" t="s">
        <v>20</v>
      </c>
      <c r="L39" s="12">
        <v>1</v>
      </c>
      <c r="M39" s="17">
        <v>494996759</v>
      </c>
      <c r="N39" s="17">
        <f t="shared" si="1"/>
        <v>494996759</v>
      </c>
      <c r="P39" s="12">
        <f t="shared" si="2"/>
        <v>21</v>
      </c>
    </row>
    <row r="40" spans="1:16" ht="15" hidden="1" customHeight="1" x14ac:dyDescent="0.2">
      <c r="A40" s="12" t="s">
        <v>309</v>
      </c>
      <c r="B40" s="36">
        <v>46088</v>
      </c>
      <c r="C40" s="12">
        <f t="shared" si="0"/>
        <v>37</v>
      </c>
      <c r="D40" s="38">
        <v>1</v>
      </c>
      <c r="G40" s="12" t="s">
        <v>311</v>
      </c>
      <c r="H40" s="12" t="s">
        <v>3343</v>
      </c>
      <c r="I40" s="12">
        <v>112111</v>
      </c>
      <c r="J40" s="12">
        <v>131</v>
      </c>
      <c r="K40" s="12" t="s">
        <v>20</v>
      </c>
      <c r="L40" s="12">
        <v>1</v>
      </c>
      <c r="M40" s="17">
        <v>417622483</v>
      </c>
      <c r="N40" s="17">
        <f t="shared" si="1"/>
        <v>417622483</v>
      </c>
      <c r="P40" s="12">
        <f t="shared" si="2"/>
        <v>21</v>
      </c>
    </row>
    <row r="41" spans="1:16" ht="15" hidden="1" customHeight="1" x14ac:dyDescent="0.2">
      <c r="A41" s="12" t="s">
        <v>309</v>
      </c>
      <c r="B41" s="36">
        <v>46090</v>
      </c>
      <c r="C41" s="12">
        <f t="shared" si="0"/>
        <v>38</v>
      </c>
      <c r="D41" s="38">
        <v>1</v>
      </c>
      <c r="G41" s="12" t="s">
        <v>311</v>
      </c>
      <c r="H41" s="12" t="s">
        <v>3343</v>
      </c>
      <c r="I41" s="12">
        <v>112111</v>
      </c>
      <c r="J41" s="12">
        <v>131</v>
      </c>
      <c r="K41" s="12" t="s">
        <v>20</v>
      </c>
      <c r="L41" s="12">
        <v>1</v>
      </c>
      <c r="M41" s="17">
        <v>494996767</v>
      </c>
      <c r="N41" s="17">
        <f t="shared" si="1"/>
        <v>494996767</v>
      </c>
      <c r="P41" s="12">
        <f t="shared" si="2"/>
        <v>21</v>
      </c>
    </row>
    <row r="42" spans="1:16" ht="15" hidden="1" customHeight="1" x14ac:dyDescent="0.2">
      <c r="A42" s="12" t="s">
        <v>309</v>
      </c>
      <c r="B42" s="36">
        <v>46090</v>
      </c>
      <c r="C42" s="12">
        <f t="shared" si="0"/>
        <v>39</v>
      </c>
      <c r="D42" s="38">
        <v>1</v>
      </c>
      <c r="G42" s="12" t="s">
        <v>311</v>
      </c>
      <c r="H42" s="12" t="s">
        <v>3343</v>
      </c>
      <c r="I42" s="12">
        <v>112111</v>
      </c>
      <c r="J42" s="12">
        <v>131</v>
      </c>
      <c r="K42" s="12" t="s">
        <v>20</v>
      </c>
      <c r="L42" s="12">
        <v>1</v>
      </c>
      <c r="M42" s="17">
        <v>494996767</v>
      </c>
      <c r="N42" s="17">
        <f t="shared" si="1"/>
        <v>494996767</v>
      </c>
      <c r="P42" s="12">
        <f t="shared" si="2"/>
        <v>21</v>
      </c>
    </row>
    <row r="43" spans="1:16" ht="15" hidden="1" customHeight="1" x14ac:dyDescent="0.2">
      <c r="A43" s="12" t="s">
        <v>309</v>
      </c>
      <c r="B43" s="36">
        <v>46091</v>
      </c>
      <c r="C43" s="12">
        <f t="shared" si="0"/>
        <v>40</v>
      </c>
      <c r="D43" s="38">
        <v>1</v>
      </c>
      <c r="G43" s="12" t="s">
        <v>82</v>
      </c>
      <c r="H43" s="12" t="s">
        <v>3922</v>
      </c>
      <c r="I43" s="12">
        <v>112111</v>
      </c>
      <c r="J43" s="12">
        <v>131</v>
      </c>
      <c r="K43" s="12" t="s">
        <v>20</v>
      </c>
      <c r="L43" s="12">
        <v>1</v>
      </c>
      <c r="M43" s="17">
        <v>27500000</v>
      </c>
      <c r="N43" s="17">
        <f t="shared" si="1"/>
        <v>27500000</v>
      </c>
      <c r="P43" s="12">
        <f t="shared" si="2"/>
        <v>190</v>
      </c>
    </row>
    <row r="44" spans="1:16" ht="15" hidden="1" customHeight="1" x14ac:dyDescent="0.2">
      <c r="A44" s="12" t="s">
        <v>309</v>
      </c>
      <c r="B44" s="36">
        <v>46093</v>
      </c>
      <c r="C44" s="12">
        <f t="shared" si="0"/>
        <v>41</v>
      </c>
      <c r="D44" s="38">
        <v>1</v>
      </c>
      <c r="G44" s="12" t="s">
        <v>2261</v>
      </c>
      <c r="H44" s="12" t="s">
        <v>3923</v>
      </c>
      <c r="I44" s="12">
        <v>112111</v>
      </c>
      <c r="J44" s="12">
        <v>131</v>
      </c>
      <c r="K44" s="12" t="s">
        <v>20</v>
      </c>
      <c r="L44" s="12">
        <v>1</v>
      </c>
      <c r="M44" s="17">
        <v>38500000</v>
      </c>
      <c r="N44" s="17">
        <f t="shared" si="1"/>
        <v>38500000</v>
      </c>
      <c r="P44" s="12">
        <f t="shared" si="2"/>
        <v>149</v>
      </c>
    </row>
    <row r="45" spans="1:16" ht="15" hidden="1" customHeight="1" x14ac:dyDescent="0.2">
      <c r="A45" s="12" t="s">
        <v>309</v>
      </c>
      <c r="B45" s="36">
        <v>46094</v>
      </c>
      <c r="C45" s="12">
        <f t="shared" si="0"/>
        <v>42</v>
      </c>
      <c r="D45" s="38">
        <v>1</v>
      </c>
      <c r="G45" s="12" t="s">
        <v>768</v>
      </c>
      <c r="H45" s="12" t="s">
        <v>2660</v>
      </c>
      <c r="I45" s="12">
        <v>112111</v>
      </c>
      <c r="J45" s="12">
        <v>1111</v>
      </c>
      <c r="K45" s="12" t="s">
        <v>20</v>
      </c>
      <c r="L45" s="12">
        <v>1</v>
      </c>
      <c r="M45" s="17">
        <v>100000000</v>
      </c>
      <c r="N45" s="17">
        <f t="shared" si="1"/>
        <v>100000000</v>
      </c>
      <c r="P45" s="12">
        <f t="shared" si="2"/>
        <v>26</v>
      </c>
    </row>
    <row r="46" spans="1:16" ht="15" hidden="1" customHeight="1" x14ac:dyDescent="0.2">
      <c r="A46" s="12" t="s">
        <v>309</v>
      </c>
      <c r="B46" s="36">
        <v>46097</v>
      </c>
      <c r="C46" s="12">
        <f t="shared" si="0"/>
        <v>43</v>
      </c>
      <c r="D46" s="38">
        <v>1</v>
      </c>
      <c r="G46" s="12" t="s">
        <v>2259</v>
      </c>
      <c r="H46" s="12" t="s">
        <v>3924</v>
      </c>
      <c r="I46" s="12">
        <v>112111</v>
      </c>
      <c r="J46" s="12">
        <v>131</v>
      </c>
      <c r="K46" s="12" t="s">
        <v>20</v>
      </c>
      <c r="L46" s="12">
        <v>1</v>
      </c>
      <c r="M46" s="17">
        <v>18700000</v>
      </c>
      <c r="N46" s="17">
        <f t="shared" si="1"/>
        <v>18700000</v>
      </c>
      <c r="P46" s="12">
        <f t="shared" si="2"/>
        <v>146</v>
      </c>
    </row>
    <row r="47" spans="1:16" ht="15" hidden="1" customHeight="1" x14ac:dyDescent="0.2">
      <c r="A47" s="12" t="s">
        <v>309</v>
      </c>
      <c r="B47" s="36">
        <v>46112</v>
      </c>
      <c r="C47" s="12">
        <f t="shared" si="0"/>
        <v>44</v>
      </c>
      <c r="D47" s="38">
        <v>1</v>
      </c>
      <c r="G47" s="12" t="s">
        <v>768</v>
      </c>
      <c r="H47" s="12" t="s">
        <v>3561</v>
      </c>
      <c r="I47" s="12">
        <v>112111</v>
      </c>
      <c r="J47" s="12">
        <v>5154</v>
      </c>
      <c r="K47" s="12" t="s">
        <v>20</v>
      </c>
      <c r="L47" s="12">
        <v>1</v>
      </c>
      <c r="M47" s="17">
        <v>7737</v>
      </c>
      <c r="N47" s="17">
        <f t="shared" si="1"/>
        <v>7737</v>
      </c>
      <c r="P47" s="12">
        <f t="shared" si="2"/>
        <v>22</v>
      </c>
    </row>
    <row r="48" spans="1:16" ht="15" hidden="1" customHeight="1" x14ac:dyDescent="0.2">
      <c r="A48" s="12" t="s">
        <v>308</v>
      </c>
      <c r="B48" s="36">
        <v>46030</v>
      </c>
      <c r="C48" s="12">
        <f t="shared" si="0"/>
        <v>45</v>
      </c>
      <c r="D48" s="38">
        <v>1</v>
      </c>
      <c r="G48" s="12" t="s">
        <v>71</v>
      </c>
      <c r="H48" s="12" t="s">
        <v>3915</v>
      </c>
      <c r="I48" s="12">
        <v>3388</v>
      </c>
      <c r="J48" s="12">
        <v>112111</v>
      </c>
      <c r="K48" s="12" t="s">
        <v>20</v>
      </c>
      <c r="L48" s="12">
        <v>1</v>
      </c>
      <c r="M48" s="17">
        <v>100000</v>
      </c>
      <c r="N48" s="17">
        <f t="shared" si="1"/>
        <v>100000</v>
      </c>
      <c r="P48" s="12">
        <f t="shared" si="2"/>
        <v>17</v>
      </c>
    </row>
    <row r="49" spans="1:16" s="165" customFormat="1" ht="15" hidden="1" customHeight="1" x14ac:dyDescent="0.2">
      <c r="A49" s="165" t="s">
        <v>308</v>
      </c>
      <c r="B49" s="166">
        <v>46031</v>
      </c>
      <c r="C49" s="165">
        <f t="shared" si="0"/>
        <v>46</v>
      </c>
      <c r="D49" s="168">
        <v>1</v>
      </c>
      <c r="G49" s="175" t="s">
        <v>71</v>
      </c>
      <c r="H49" s="165" t="s">
        <v>3921</v>
      </c>
      <c r="I49" s="165">
        <v>331</v>
      </c>
      <c r="J49" s="165">
        <v>112111</v>
      </c>
      <c r="K49" s="165" t="s">
        <v>20</v>
      </c>
      <c r="L49" s="165">
        <v>1</v>
      </c>
      <c r="M49" s="170">
        <v>1498446</v>
      </c>
      <c r="N49" s="170">
        <f t="shared" si="1"/>
        <v>1498446</v>
      </c>
      <c r="P49" s="165">
        <f t="shared" si="2"/>
        <v>24</v>
      </c>
    </row>
    <row r="50" spans="1:16" ht="15" hidden="1" customHeight="1" x14ac:dyDescent="0.2">
      <c r="A50" s="12" t="s">
        <v>308</v>
      </c>
      <c r="B50" s="36">
        <v>46034</v>
      </c>
      <c r="C50" s="12">
        <f t="shared" si="0"/>
        <v>47</v>
      </c>
      <c r="D50" s="38">
        <v>1</v>
      </c>
      <c r="G50" s="12" t="s">
        <v>768</v>
      </c>
      <c r="H50" s="12" t="s">
        <v>3032</v>
      </c>
      <c r="I50" s="12">
        <v>1111</v>
      </c>
      <c r="J50" s="12">
        <v>112111</v>
      </c>
      <c r="K50" s="12" t="s">
        <v>20</v>
      </c>
      <c r="L50" s="12">
        <v>1</v>
      </c>
      <c r="M50" s="17">
        <v>499999999</v>
      </c>
      <c r="N50" s="17">
        <f t="shared" si="1"/>
        <v>499999999</v>
      </c>
      <c r="P50" s="12">
        <f t="shared" si="2"/>
        <v>40</v>
      </c>
    </row>
    <row r="51" spans="1:16" ht="15" hidden="1" customHeight="1" x14ac:dyDescent="0.2">
      <c r="A51" s="12" t="s">
        <v>308</v>
      </c>
      <c r="B51" s="36">
        <v>46034</v>
      </c>
      <c r="C51" s="12">
        <f t="shared" si="0"/>
        <v>48</v>
      </c>
      <c r="D51" s="38">
        <v>1</v>
      </c>
      <c r="G51" s="12" t="s">
        <v>768</v>
      </c>
      <c r="H51" s="12" t="s">
        <v>3032</v>
      </c>
      <c r="I51" s="12">
        <v>1111</v>
      </c>
      <c r="J51" s="12">
        <v>112111</v>
      </c>
      <c r="K51" s="12" t="s">
        <v>20</v>
      </c>
      <c r="L51" s="12">
        <v>1</v>
      </c>
      <c r="M51" s="17">
        <v>499998001</v>
      </c>
      <c r="N51" s="17">
        <f t="shared" si="1"/>
        <v>499998001</v>
      </c>
      <c r="P51" s="12">
        <f t="shared" si="2"/>
        <v>40</v>
      </c>
    </row>
    <row r="52" spans="1:16" ht="15" hidden="1" customHeight="1" x14ac:dyDescent="0.2">
      <c r="A52" s="12" t="s">
        <v>308</v>
      </c>
      <c r="B52" s="36">
        <v>46034</v>
      </c>
      <c r="C52" s="12">
        <f t="shared" si="0"/>
        <v>49</v>
      </c>
      <c r="D52" s="38">
        <v>1</v>
      </c>
      <c r="G52" s="12" t="s">
        <v>768</v>
      </c>
      <c r="H52" s="12" t="s">
        <v>3032</v>
      </c>
      <c r="I52" s="12">
        <v>1111</v>
      </c>
      <c r="J52" s="12">
        <v>112111</v>
      </c>
      <c r="K52" s="12" t="s">
        <v>20</v>
      </c>
      <c r="L52" s="12">
        <v>1</v>
      </c>
      <c r="M52" s="17">
        <v>2000</v>
      </c>
      <c r="N52" s="17">
        <f t="shared" si="1"/>
        <v>2000</v>
      </c>
      <c r="P52" s="12">
        <f t="shared" si="2"/>
        <v>40</v>
      </c>
    </row>
    <row r="53" spans="1:16" s="165" customFormat="1" ht="15" hidden="1" customHeight="1" x14ac:dyDescent="0.2">
      <c r="A53" s="165" t="s">
        <v>308</v>
      </c>
      <c r="B53" s="166">
        <v>46038</v>
      </c>
      <c r="C53" s="165">
        <f t="shared" si="0"/>
        <v>50</v>
      </c>
      <c r="D53" s="168">
        <v>1</v>
      </c>
      <c r="G53" s="175" t="s">
        <v>71</v>
      </c>
      <c r="H53" s="165" t="s">
        <v>3921</v>
      </c>
      <c r="I53" s="165">
        <v>331</v>
      </c>
      <c r="J53" s="165">
        <v>112111</v>
      </c>
      <c r="K53" s="165" t="s">
        <v>20</v>
      </c>
      <c r="L53" s="165">
        <v>1</v>
      </c>
      <c r="M53" s="170">
        <v>4400000</v>
      </c>
      <c r="N53" s="170">
        <f t="shared" si="1"/>
        <v>4400000</v>
      </c>
      <c r="P53" s="165">
        <f t="shared" si="2"/>
        <v>24</v>
      </c>
    </row>
    <row r="54" spans="1:16" s="165" customFormat="1" ht="15" hidden="1" customHeight="1" x14ac:dyDescent="0.2">
      <c r="A54" s="165" t="s">
        <v>308</v>
      </c>
      <c r="B54" s="166">
        <v>46039</v>
      </c>
      <c r="C54" s="165">
        <f t="shared" si="0"/>
        <v>51</v>
      </c>
      <c r="D54" s="168">
        <v>1</v>
      </c>
      <c r="G54" s="175" t="s">
        <v>71</v>
      </c>
      <c r="H54" s="165" t="s">
        <v>3921</v>
      </c>
      <c r="I54" s="165">
        <v>331</v>
      </c>
      <c r="J54" s="165">
        <v>112111</v>
      </c>
      <c r="K54" s="165" t="s">
        <v>20</v>
      </c>
      <c r="L54" s="165">
        <v>1</v>
      </c>
      <c r="M54" s="170">
        <v>5679000</v>
      </c>
      <c r="N54" s="170">
        <f t="shared" si="1"/>
        <v>5679000</v>
      </c>
      <c r="P54" s="165">
        <f t="shared" si="2"/>
        <v>24</v>
      </c>
    </row>
    <row r="55" spans="1:16" ht="15" hidden="1" customHeight="1" x14ac:dyDescent="0.2">
      <c r="A55" s="12" t="s">
        <v>308</v>
      </c>
      <c r="B55" s="36">
        <v>46040</v>
      </c>
      <c r="C55" s="12">
        <f t="shared" si="0"/>
        <v>52</v>
      </c>
      <c r="D55" s="38">
        <v>1</v>
      </c>
      <c r="G55" s="12" t="s">
        <v>2218</v>
      </c>
      <c r="H55" s="12" t="s">
        <v>3898</v>
      </c>
      <c r="I55" s="12">
        <v>331</v>
      </c>
      <c r="J55" s="12">
        <v>112111</v>
      </c>
      <c r="K55" s="12" t="s">
        <v>20</v>
      </c>
      <c r="L55" s="12">
        <v>1</v>
      </c>
      <c r="M55" s="17">
        <v>64000000</v>
      </c>
      <c r="N55" s="17">
        <f t="shared" si="1"/>
        <v>64000000</v>
      </c>
      <c r="P55" s="12">
        <f t="shared" si="2"/>
        <v>50</v>
      </c>
    </row>
    <row r="56" spans="1:16" s="165" customFormat="1" ht="15" hidden="1" customHeight="1" x14ac:dyDescent="0.2">
      <c r="A56" s="165" t="s">
        <v>308</v>
      </c>
      <c r="B56" s="166">
        <v>46040</v>
      </c>
      <c r="C56" s="165">
        <f t="shared" si="0"/>
        <v>53</v>
      </c>
      <c r="D56" s="168">
        <v>1</v>
      </c>
      <c r="G56" s="175" t="s">
        <v>71</v>
      </c>
      <c r="H56" s="165" t="s">
        <v>3921</v>
      </c>
      <c r="I56" s="165">
        <v>331</v>
      </c>
      <c r="J56" s="165">
        <v>112111</v>
      </c>
      <c r="K56" s="165" t="s">
        <v>20</v>
      </c>
      <c r="L56" s="165">
        <v>1</v>
      </c>
      <c r="M56" s="170">
        <v>17452000</v>
      </c>
      <c r="N56" s="170">
        <f t="shared" si="1"/>
        <v>17452000</v>
      </c>
      <c r="P56" s="165">
        <f t="shared" si="2"/>
        <v>24</v>
      </c>
    </row>
    <row r="57" spans="1:16" ht="15" hidden="1" customHeight="1" x14ac:dyDescent="0.2">
      <c r="A57" s="12" t="s">
        <v>308</v>
      </c>
      <c r="B57" s="36">
        <v>46040</v>
      </c>
      <c r="C57" s="12">
        <f t="shared" si="0"/>
        <v>54</v>
      </c>
      <c r="D57" s="38">
        <v>1</v>
      </c>
      <c r="G57" s="130" t="s">
        <v>768</v>
      </c>
      <c r="H57" s="12" t="s">
        <v>3032</v>
      </c>
      <c r="I57" s="12">
        <v>1111</v>
      </c>
      <c r="J57" s="12">
        <v>112111</v>
      </c>
      <c r="K57" s="12" t="s">
        <v>20</v>
      </c>
      <c r="L57" s="12">
        <v>1</v>
      </c>
      <c r="M57" s="17">
        <v>300000000</v>
      </c>
      <c r="N57" s="17">
        <f t="shared" si="1"/>
        <v>300000000</v>
      </c>
      <c r="P57" s="12">
        <f t="shared" si="2"/>
        <v>40</v>
      </c>
    </row>
    <row r="58" spans="1:16" ht="15" hidden="1" customHeight="1" x14ac:dyDescent="0.2">
      <c r="A58" s="12" t="s">
        <v>308</v>
      </c>
      <c r="B58" s="36">
        <v>46041</v>
      </c>
      <c r="C58" s="12">
        <f t="shared" si="0"/>
        <v>55</v>
      </c>
      <c r="D58" s="38">
        <v>1</v>
      </c>
      <c r="G58" s="12" t="s">
        <v>2220</v>
      </c>
      <c r="H58" s="12" t="s">
        <v>3925</v>
      </c>
      <c r="I58" s="12">
        <v>331</v>
      </c>
      <c r="J58" s="12">
        <v>112111</v>
      </c>
      <c r="K58" s="12" t="s">
        <v>20</v>
      </c>
      <c r="L58" s="12">
        <v>1</v>
      </c>
      <c r="M58" s="17">
        <v>5080320</v>
      </c>
      <c r="N58" s="17">
        <f t="shared" si="1"/>
        <v>5080320</v>
      </c>
      <c r="P58" s="12">
        <f t="shared" si="2"/>
        <v>49</v>
      </c>
    </row>
    <row r="59" spans="1:16" s="165" customFormat="1" ht="15" hidden="1" customHeight="1" x14ac:dyDescent="0.2">
      <c r="A59" s="165" t="s">
        <v>308</v>
      </c>
      <c r="B59" s="166">
        <v>46041</v>
      </c>
      <c r="C59" s="165">
        <f t="shared" si="0"/>
        <v>56</v>
      </c>
      <c r="D59" s="168">
        <v>1</v>
      </c>
      <c r="G59" s="175" t="s">
        <v>71</v>
      </c>
      <c r="H59" s="165" t="s">
        <v>3921</v>
      </c>
      <c r="I59" s="165">
        <v>331</v>
      </c>
      <c r="J59" s="165">
        <v>112111</v>
      </c>
      <c r="K59" s="165" t="s">
        <v>20</v>
      </c>
      <c r="L59" s="165">
        <v>1</v>
      </c>
      <c r="M59" s="170">
        <v>1450000</v>
      </c>
      <c r="N59" s="170">
        <f t="shared" si="1"/>
        <v>1450000</v>
      </c>
      <c r="P59" s="165">
        <f t="shared" si="2"/>
        <v>24</v>
      </c>
    </row>
    <row r="60" spans="1:16" ht="15" hidden="1" customHeight="1" x14ac:dyDescent="0.2">
      <c r="A60" s="12" t="s">
        <v>308</v>
      </c>
      <c r="B60" s="36">
        <v>46042</v>
      </c>
      <c r="C60" s="12">
        <f t="shared" si="0"/>
        <v>57</v>
      </c>
      <c r="D60" s="38">
        <v>1</v>
      </c>
      <c r="G60" s="12" t="s">
        <v>768</v>
      </c>
      <c r="H60" s="12" t="s">
        <v>3032</v>
      </c>
      <c r="I60" s="12">
        <v>1111</v>
      </c>
      <c r="J60" s="12">
        <v>112111</v>
      </c>
      <c r="K60" s="12" t="s">
        <v>20</v>
      </c>
      <c r="L60" s="12">
        <v>1</v>
      </c>
      <c r="M60" s="17">
        <v>499999999</v>
      </c>
      <c r="N60" s="17">
        <f t="shared" si="1"/>
        <v>499999999</v>
      </c>
      <c r="P60" s="12">
        <f t="shared" si="2"/>
        <v>40</v>
      </c>
    </row>
    <row r="61" spans="1:16" ht="15" hidden="1" customHeight="1" x14ac:dyDescent="0.2">
      <c r="A61" s="12" t="s">
        <v>308</v>
      </c>
      <c r="B61" s="36">
        <v>46042</v>
      </c>
      <c r="C61" s="12">
        <f t="shared" si="0"/>
        <v>58</v>
      </c>
      <c r="D61" s="38">
        <v>1</v>
      </c>
      <c r="G61" s="12" t="s">
        <v>768</v>
      </c>
      <c r="H61" s="12" t="s">
        <v>3032</v>
      </c>
      <c r="I61" s="12">
        <v>1111</v>
      </c>
      <c r="J61" s="12">
        <v>112111</v>
      </c>
      <c r="K61" s="12" t="s">
        <v>20</v>
      </c>
      <c r="L61" s="12">
        <v>1</v>
      </c>
      <c r="M61" s="17">
        <v>499998001</v>
      </c>
      <c r="N61" s="17">
        <f t="shared" si="1"/>
        <v>499998001</v>
      </c>
      <c r="P61" s="12">
        <f t="shared" si="2"/>
        <v>40</v>
      </c>
    </row>
    <row r="62" spans="1:16" ht="15" hidden="1" customHeight="1" x14ac:dyDescent="0.2">
      <c r="A62" s="12" t="s">
        <v>308</v>
      </c>
      <c r="B62" s="36">
        <v>46042</v>
      </c>
      <c r="C62" s="12">
        <f t="shared" si="0"/>
        <v>59</v>
      </c>
      <c r="D62" s="38">
        <v>1</v>
      </c>
      <c r="G62" s="12" t="s">
        <v>768</v>
      </c>
      <c r="H62" s="12" t="s">
        <v>3032</v>
      </c>
      <c r="I62" s="12">
        <v>1111</v>
      </c>
      <c r="J62" s="12">
        <v>112111</v>
      </c>
      <c r="K62" s="12" t="s">
        <v>20</v>
      </c>
      <c r="L62" s="12">
        <v>1</v>
      </c>
      <c r="M62" s="17">
        <v>2000</v>
      </c>
      <c r="N62" s="17">
        <f t="shared" si="1"/>
        <v>2000</v>
      </c>
      <c r="P62" s="12">
        <f t="shared" si="2"/>
        <v>40</v>
      </c>
    </row>
    <row r="63" spans="1:16" ht="15" hidden="1" customHeight="1" x14ac:dyDescent="0.2">
      <c r="A63" s="12" t="s">
        <v>308</v>
      </c>
      <c r="B63" s="36">
        <v>46042</v>
      </c>
      <c r="C63" s="12">
        <f t="shared" si="0"/>
        <v>60</v>
      </c>
      <c r="D63" s="38">
        <v>1</v>
      </c>
      <c r="G63" s="12" t="s">
        <v>2228</v>
      </c>
      <c r="H63" s="12" t="s">
        <v>3884</v>
      </c>
      <c r="I63" s="12">
        <v>331</v>
      </c>
      <c r="J63" s="12">
        <v>112111</v>
      </c>
      <c r="K63" s="12" t="s">
        <v>20</v>
      </c>
      <c r="L63" s="12">
        <v>1</v>
      </c>
      <c r="M63" s="17">
        <v>6003000</v>
      </c>
      <c r="N63" s="17">
        <f t="shared" si="1"/>
        <v>6003000</v>
      </c>
      <c r="P63" s="12">
        <f t="shared" si="2"/>
        <v>38</v>
      </c>
    </row>
    <row r="64" spans="1:16" s="165" customFormat="1" ht="15" hidden="1" customHeight="1" x14ac:dyDescent="0.2">
      <c r="A64" s="165" t="s">
        <v>308</v>
      </c>
      <c r="B64" s="166">
        <v>46042</v>
      </c>
      <c r="C64" s="165">
        <f t="shared" si="0"/>
        <v>61</v>
      </c>
      <c r="D64" s="168">
        <v>1</v>
      </c>
      <c r="G64" s="175" t="s">
        <v>71</v>
      </c>
      <c r="H64" s="165" t="s">
        <v>3921</v>
      </c>
      <c r="I64" s="165">
        <v>331</v>
      </c>
      <c r="J64" s="165">
        <v>112111</v>
      </c>
      <c r="K64" s="165" t="s">
        <v>20</v>
      </c>
      <c r="L64" s="165">
        <v>1</v>
      </c>
      <c r="M64" s="170">
        <v>4400000</v>
      </c>
      <c r="N64" s="170">
        <f t="shared" si="1"/>
        <v>4400000</v>
      </c>
      <c r="P64" s="165">
        <f t="shared" si="2"/>
        <v>24</v>
      </c>
    </row>
    <row r="65" spans="1:16" ht="15" hidden="1" customHeight="1" x14ac:dyDescent="0.2">
      <c r="A65" s="12" t="s">
        <v>308</v>
      </c>
      <c r="B65" s="36">
        <v>46042</v>
      </c>
      <c r="C65" s="12">
        <f t="shared" si="0"/>
        <v>62</v>
      </c>
      <c r="D65" s="38">
        <v>1</v>
      </c>
      <c r="G65" s="130" t="s">
        <v>2230</v>
      </c>
      <c r="H65" s="12" t="s">
        <v>3885</v>
      </c>
      <c r="I65" s="12">
        <v>331</v>
      </c>
      <c r="J65" s="12">
        <v>112111</v>
      </c>
      <c r="K65" s="12" t="s">
        <v>20</v>
      </c>
      <c r="L65" s="12">
        <v>1</v>
      </c>
      <c r="M65" s="17">
        <v>10950000</v>
      </c>
      <c r="N65" s="17">
        <f t="shared" si="1"/>
        <v>10950000</v>
      </c>
      <c r="P65" s="12">
        <f t="shared" si="2"/>
        <v>153</v>
      </c>
    </row>
    <row r="66" spans="1:16" s="165" customFormat="1" ht="15" hidden="1" customHeight="1" x14ac:dyDescent="0.2">
      <c r="A66" s="165" t="s">
        <v>308</v>
      </c>
      <c r="B66" s="166">
        <v>46042</v>
      </c>
      <c r="C66" s="165">
        <f t="shared" si="0"/>
        <v>63</v>
      </c>
      <c r="D66" s="168">
        <v>1</v>
      </c>
      <c r="G66" s="175" t="s">
        <v>71</v>
      </c>
      <c r="H66" s="165" t="s">
        <v>3921</v>
      </c>
      <c r="I66" s="165">
        <v>331</v>
      </c>
      <c r="J66" s="165">
        <v>112111</v>
      </c>
      <c r="K66" s="165" t="s">
        <v>20</v>
      </c>
      <c r="L66" s="165">
        <v>1</v>
      </c>
      <c r="M66" s="170">
        <v>6400000</v>
      </c>
      <c r="N66" s="170">
        <f t="shared" si="1"/>
        <v>6400000</v>
      </c>
      <c r="P66" s="165">
        <f t="shared" si="2"/>
        <v>24</v>
      </c>
    </row>
    <row r="67" spans="1:16" ht="15" hidden="1" customHeight="1" x14ac:dyDescent="0.2">
      <c r="A67" s="12" t="s">
        <v>308</v>
      </c>
      <c r="B67" s="36">
        <v>46043</v>
      </c>
      <c r="C67" s="12">
        <f t="shared" si="0"/>
        <v>64</v>
      </c>
      <c r="D67" s="38">
        <v>1</v>
      </c>
      <c r="G67" s="12" t="s">
        <v>2221</v>
      </c>
      <c r="H67" s="12" t="s">
        <v>2222</v>
      </c>
      <c r="I67" s="12">
        <v>331</v>
      </c>
      <c r="J67" s="12">
        <v>112111</v>
      </c>
      <c r="K67" s="12" t="s">
        <v>20</v>
      </c>
      <c r="L67" s="12">
        <v>1</v>
      </c>
      <c r="M67" s="17">
        <v>233709000</v>
      </c>
      <c r="N67" s="17">
        <f t="shared" si="1"/>
        <v>233709000</v>
      </c>
      <c r="P67" s="12">
        <f t="shared" si="2"/>
        <v>142</v>
      </c>
    </row>
    <row r="68" spans="1:16" s="165" customFormat="1" ht="15" hidden="1" customHeight="1" x14ac:dyDescent="0.2">
      <c r="A68" s="165" t="s">
        <v>308</v>
      </c>
      <c r="B68" s="166">
        <v>46043</v>
      </c>
      <c r="C68" s="165">
        <f t="shared" ref="C68:C131" si="3">C67+D68</f>
        <v>65</v>
      </c>
      <c r="D68" s="168">
        <v>1</v>
      </c>
      <c r="G68" s="175" t="s">
        <v>71</v>
      </c>
      <c r="H68" s="165" t="s">
        <v>3921</v>
      </c>
      <c r="I68" s="165">
        <v>331</v>
      </c>
      <c r="J68" s="165">
        <v>112111</v>
      </c>
      <c r="K68" s="165" t="s">
        <v>20</v>
      </c>
      <c r="L68" s="165">
        <v>1</v>
      </c>
      <c r="M68" s="170">
        <v>1450000</v>
      </c>
      <c r="N68" s="170">
        <f t="shared" ref="N68:N131" si="4">L68*M68</f>
        <v>1450000</v>
      </c>
      <c r="P68" s="165">
        <f t="shared" ref="P68:P131" si="5">LEN(H68)</f>
        <v>24</v>
      </c>
    </row>
    <row r="69" spans="1:16" s="165" customFormat="1" ht="15" hidden="1" customHeight="1" x14ac:dyDescent="0.2">
      <c r="A69" s="165" t="s">
        <v>308</v>
      </c>
      <c r="B69" s="166">
        <v>46043</v>
      </c>
      <c r="C69" s="165">
        <f t="shared" si="3"/>
        <v>66</v>
      </c>
      <c r="D69" s="168">
        <v>1</v>
      </c>
      <c r="G69" s="175" t="s">
        <v>71</v>
      </c>
      <c r="H69" s="165" t="s">
        <v>3921</v>
      </c>
      <c r="I69" s="165">
        <v>331</v>
      </c>
      <c r="J69" s="165">
        <v>112111</v>
      </c>
      <c r="K69" s="165" t="s">
        <v>20</v>
      </c>
      <c r="L69" s="165">
        <v>1</v>
      </c>
      <c r="M69" s="170">
        <v>486000</v>
      </c>
      <c r="N69" s="170">
        <f t="shared" si="4"/>
        <v>486000</v>
      </c>
      <c r="P69" s="165">
        <f t="shared" si="5"/>
        <v>24</v>
      </c>
    </row>
    <row r="70" spans="1:16" ht="15" hidden="1" customHeight="1" x14ac:dyDescent="0.2">
      <c r="A70" s="12" t="s">
        <v>308</v>
      </c>
      <c r="B70" s="36">
        <v>46044</v>
      </c>
      <c r="C70" s="12">
        <f t="shared" si="3"/>
        <v>67</v>
      </c>
      <c r="D70" s="38">
        <v>1</v>
      </c>
      <c r="G70" s="12" t="s">
        <v>768</v>
      </c>
      <c r="H70" s="12" t="s">
        <v>3032</v>
      </c>
      <c r="I70" s="12">
        <v>1111</v>
      </c>
      <c r="J70" s="12">
        <v>112111</v>
      </c>
      <c r="K70" s="12" t="s">
        <v>20</v>
      </c>
      <c r="L70" s="12">
        <v>1</v>
      </c>
      <c r="M70" s="17">
        <v>390000000</v>
      </c>
      <c r="N70" s="17">
        <f t="shared" si="4"/>
        <v>390000000</v>
      </c>
      <c r="P70" s="12">
        <f t="shared" si="5"/>
        <v>40</v>
      </c>
    </row>
    <row r="71" spans="1:16" ht="15" hidden="1" customHeight="1" x14ac:dyDescent="0.2">
      <c r="A71" s="12" t="s">
        <v>308</v>
      </c>
      <c r="B71" s="36">
        <v>46045</v>
      </c>
      <c r="C71" s="12">
        <f t="shared" si="3"/>
        <v>68</v>
      </c>
      <c r="D71" s="38">
        <v>1</v>
      </c>
      <c r="G71" s="12" t="s">
        <v>2234</v>
      </c>
      <c r="H71" s="12" t="s">
        <v>3916</v>
      </c>
      <c r="I71" s="12">
        <v>331</v>
      </c>
      <c r="J71" s="12">
        <v>112111</v>
      </c>
      <c r="K71" s="12" t="s">
        <v>20</v>
      </c>
      <c r="L71" s="12">
        <v>1</v>
      </c>
      <c r="M71" s="17">
        <v>8250000</v>
      </c>
      <c r="N71" s="17">
        <f t="shared" si="4"/>
        <v>8250000</v>
      </c>
      <c r="P71" s="12">
        <f t="shared" si="5"/>
        <v>122</v>
      </c>
    </row>
    <row r="72" spans="1:16" ht="15" hidden="1" customHeight="1" x14ac:dyDescent="0.2">
      <c r="A72" s="12" t="s">
        <v>308</v>
      </c>
      <c r="B72" s="36">
        <v>46045</v>
      </c>
      <c r="C72" s="12">
        <f t="shared" si="3"/>
        <v>69</v>
      </c>
      <c r="D72" s="38">
        <v>1</v>
      </c>
      <c r="G72" s="130" t="s">
        <v>2223</v>
      </c>
      <c r="H72" s="12" t="s">
        <v>3881</v>
      </c>
      <c r="I72" s="12">
        <v>331</v>
      </c>
      <c r="J72" s="12">
        <v>112111</v>
      </c>
      <c r="K72" s="12" t="s">
        <v>20</v>
      </c>
      <c r="L72" s="12">
        <v>1</v>
      </c>
      <c r="M72" s="17">
        <v>1024000</v>
      </c>
      <c r="N72" s="17">
        <f t="shared" si="4"/>
        <v>1024000</v>
      </c>
      <c r="P72" s="12">
        <f t="shared" si="5"/>
        <v>174</v>
      </c>
    </row>
    <row r="73" spans="1:16" s="165" customFormat="1" ht="15" hidden="1" customHeight="1" x14ac:dyDescent="0.2">
      <c r="A73" s="165" t="s">
        <v>308</v>
      </c>
      <c r="B73" s="166">
        <v>46046</v>
      </c>
      <c r="C73" s="165">
        <f t="shared" si="3"/>
        <v>70</v>
      </c>
      <c r="D73" s="168">
        <v>1</v>
      </c>
      <c r="G73" s="175" t="s">
        <v>71</v>
      </c>
      <c r="H73" s="165" t="s">
        <v>3921</v>
      </c>
      <c r="I73" s="165">
        <v>331</v>
      </c>
      <c r="J73" s="165">
        <v>112111</v>
      </c>
      <c r="K73" s="165" t="s">
        <v>20</v>
      </c>
      <c r="L73" s="165">
        <v>1</v>
      </c>
      <c r="M73" s="170">
        <v>434200</v>
      </c>
      <c r="N73" s="170">
        <f t="shared" si="4"/>
        <v>434200</v>
      </c>
      <c r="P73" s="165">
        <f t="shared" si="5"/>
        <v>24</v>
      </c>
    </row>
    <row r="74" spans="1:16" s="165" customFormat="1" ht="15" hidden="1" customHeight="1" x14ac:dyDescent="0.2">
      <c r="A74" s="165" t="s">
        <v>308</v>
      </c>
      <c r="B74" s="166">
        <v>46049</v>
      </c>
      <c r="C74" s="165">
        <f t="shared" si="3"/>
        <v>71</v>
      </c>
      <c r="D74" s="168">
        <v>1</v>
      </c>
      <c r="G74" s="175" t="s">
        <v>71</v>
      </c>
      <c r="H74" s="165" t="s">
        <v>3921</v>
      </c>
      <c r="I74" s="165">
        <v>331</v>
      </c>
      <c r="J74" s="165">
        <v>112111</v>
      </c>
      <c r="K74" s="165" t="s">
        <v>20</v>
      </c>
      <c r="L74" s="165">
        <v>1</v>
      </c>
      <c r="M74" s="170">
        <v>1951000</v>
      </c>
      <c r="N74" s="170">
        <f t="shared" si="4"/>
        <v>1951000</v>
      </c>
      <c r="P74" s="165">
        <f t="shared" si="5"/>
        <v>24</v>
      </c>
    </row>
    <row r="75" spans="1:16" s="165" customFormat="1" ht="15" hidden="1" customHeight="1" x14ac:dyDescent="0.2">
      <c r="A75" s="165" t="s">
        <v>308</v>
      </c>
      <c r="B75" s="166">
        <v>46049</v>
      </c>
      <c r="C75" s="165">
        <f t="shared" si="3"/>
        <v>72</v>
      </c>
      <c r="D75" s="168">
        <v>1</v>
      </c>
      <c r="G75" s="175" t="s">
        <v>71</v>
      </c>
      <c r="H75" s="165" t="s">
        <v>3921</v>
      </c>
      <c r="I75" s="165">
        <v>331</v>
      </c>
      <c r="J75" s="165">
        <v>112111</v>
      </c>
      <c r="K75" s="165" t="s">
        <v>20</v>
      </c>
      <c r="L75" s="165">
        <v>1</v>
      </c>
      <c r="M75" s="170">
        <v>2850000</v>
      </c>
      <c r="N75" s="170">
        <f t="shared" si="4"/>
        <v>2850000</v>
      </c>
      <c r="P75" s="165">
        <f t="shared" si="5"/>
        <v>24</v>
      </c>
    </row>
    <row r="76" spans="1:16" ht="15" hidden="1" customHeight="1" x14ac:dyDescent="0.2">
      <c r="A76" s="12" t="s">
        <v>308</v>
      </c>
      <c r="B76" s="36">
        <v>46050</v>
      </c>
      <c r="C76" s="12">
        <f t="shared" si="3"/>
        <v>73</v>
      </c>
      <c r="D76" s="38">
        <v>1</v>
      </c>
      <c r="G76" s="130" t="s">
        <v>2225</v>
      </c>
      <c r="H76" s="12" t="s">
        <v>3882</v>
      </c>
      <c r="I76" s="12">
        <v>331</v>
      </c>
      <c r="J76" s="12">
        <v>112111</v>
      </c>
      <c r="K76" s="12" t="s">
        <v>20</v>
      </c>
      <c r="L76" s="12">
        <v>1</v>
      </c>
      <c r="M76" s="17">
        <v>224640</v>
      </c>
      <c r="N76" s="17">
        <f t="shared" si="4"/>
        <v>224640</v>
      </c>
      <c r="P76" s="12">
        <f t="shared" si="5"/>
        <v>27</v>
      </c>
    </row>
    <row r="77" spans="1:16" s="165" customFormat="1" ht="15" hidden="1" customHeight="1" x14ac:dyDescent="0.2">
      <c r="A77" s="165" t="s">
        <v>308</v>
      </c>
      <c r="B77" s="166">
        <v>46051</v>
      </c>
      <c r="C77" s="165">
        <f t="shared" si="3"/>
        <v>74</v>
      </c>
      <c r="D77" s="168">
        <v>1</v>
      </c>
      <c r="G77" s="175" t="s">
        <v>71</v>
      </c>
      <c r="H77" s="165" t="s">
        <v>3921</v>
      </c>
      <c r="I77" s="165">
        <v>331</v>
      </c>
      <c r="J77" s="165">
        <v>112111</v>
      </c>
      <c r="K77" s="165" t="s">
        <v>20</v>
      </c>
      <c r="L77" s="165">
        <v>1</v>
      </c>
      <c r="M77" s="170">
        <v>1975000</v>
      </c>
      <c r="N77" s="170">
        <f t="shared" si="4"/>
        <v>1975000</v>
      </c>
      <c r="P77" s="165">
        <f t="shared" si="5"/>
        <v>24</v>
      </c>
    </row>
    <row r="78" spans="1:16" s="165" customFormat="1" ht="15" hidden="1" customHeight="1" x14ac:dyDescent="0.2">
      <c r="A78" s="165" t="s">
        <v>308</v>
      </c>
      <c r="B78" s="166">
        <v>46051</v>
      </c>
      <c r="C78" s="165">
        <f t="shared" si="3"/>
        <v>75</v>
      </c>
      <c r="D78" s="168">
        <v>1</v>
      </c>
      <c r="G78" s="175" t="s">
        <v>71</v>
      </c>
      <c r="H78" s="165" t="s">
        <v>3921</v>
      </c>
      <c r="I78" s="165">
        <v>331</v>
      </c>
      <c r="J78" s="165">
        <v>112111</v>
      </c>
      <c r="K78" s="165" t="s">
        <v>20</v>
      </c>
      <c r="L78" s="165">
        <v>1</v>
      </c>
      <c r="M78" s="170">
        <v>178848</v>
      </c>
      <c r="N78" s="170">
        <f t="shared" si="4"/>
        <v>178848</v>
      </c>
      <c r="P78" s="165">
        <f t="shared" si="5"/>
        <v>24</v>
      </c>
    </row>
    <row r="79" spans="1:16" ht="15" hidden="1" customHeight="1" x14ac:dyDescent="0.2">
      <c r="A79" s="12" t="s">
        <v>308</v>
      </c>
      <c r="B79" s="36">
        <v>46052</v>
      </c>
      <c r="C79" s="12">
        <f t="shared" si="3"/>
        <v>76</v>
      </c>
      <c r="D79" s="38">
        <v>1</v>
      </c>
      <c r="G79" s="12" t="s">
        <v>35</v>
      </c>
      <c r="H79" s="12" t="s">
        <v>3883</v>
      </c>
      <c r="I79" s="12">
        <v>331</v>
      </c>
      <c r="J79" s="12">
        <v>112111</v>
      </c>
      <c r="K79" s="12" t="s">
        <v>20</v>
      </c>
      <c r="L79" s="12">
        <v>1</v>
      </c>
      <c r="M79" s="17">
        <v>3240000</v>
      </c>
      <c r="N79" s="17">
        <f t="shared" si="4"/>
        <v>3240000</v>
      </c>
      <c r="P79" s="12">
        <f t="shared" si="5"/>
        <v>52</v>
      </c>
    </row>
    <row r="80" spans="1:16" s="165" customFormat="1" ht="15" hidden="1" customHeight="1" x14ac:dyDescent="0.2">
      <c r="A80" s="165" t="s">
        <v>308</v>
      </c>
      <c r="B80" s="166">
        <v>46052</v>
      </c>
      <c r="C80" s="165">
        <f t="shared" si="3"/>
        <v>77</v>
      </c>
      <c r="D80" s="168">
        <v>1</v>
      </c>
      <c r="G80" s="175" t="s">
        <v>71</v>
      </c>
      <c r="H80" s="165" t="s">
        <v>3921</v>
      </c>
      <c r="I80" s="165">
        <v>331</v>
      </c>
      <c r="J80" s="165">
        <v>112111</v>
      </c>
      <c r="K80" s="165" t="s">
        <v>20</v>
      </c>
      <c r="L80" s="165">
        <v>1</v>
      </c>
      <c r="M80" s="170">
        <v>3400000</v>
      </c>
      <c r="N80" s="170">
        <f t="shared" si="4"/>
        <v>3400000</v>
      </c>
      <c r="P80" s="165">
        <f t="shared" si="5"/>
        <v>24</v>
      </c>
    </row>
    <row r="81" spans="1:16" s="165" customFormat="1" ht="15" hidden="1" customHeight="1" x14ac:dyDescent="0.2">
      <c r="A81" s="165" t="s">
        <v>308</v>
      </c>
      <c r="B81" s="166">
        <v>46052</v>
      </c>
      <c r="C81" s="165">
        <f t="shared" si="3"/>
        <v>78</v>
      </c>
      <c r="D81" s="168">
        <v>1</v>
      </c>
      <c r="G81" s="175" t="s">
        <v>71</v>
      </c>
      <c r="H81" s="165" t="s">
        <v>3921</v>
      </c>
      <c r="I81" s="165">
        <v>331</v>
      </c>
      <c r="J81" s="165">
        <v>112111</v>
      </c>
      <c r="K81" s="165" t="s">
        <v>20</v>
      </c>
      <c r="L81" s="165">
        <v>1</v>
      </c>
      <c r="M81" s="170">
        <v>1036470</v>
      </c>
      <c r="N81" s="170">
        <f t="shared" si="4"/>
        <v>1036470</v>
      </c>
      <c r="P81" s="165">
        <f t="shared" si="5"/>
        <v>24</v>
      </c>
    </row>
    <row r="82" spans="1:16" ht="15" hidden="1" customHeight="1" x14ac:dyDescent="0.2">
      <c r="A82" s="12" t="s">
        <v>308</v>
      </c>
      <c r="B82" s="36">
        <v>46054</v>
      </c>
      <c r="C82" s="12">
        <f t="shared" si="3"/>
        <v>79</v>
      </c>
      <c r="D82" s="38">
        <v>1</v>
      </c>
      <c r="G82" s="12" t="s">
        <v>2221</v>
      </c>
      <c r="H82" s="12" t="s">
        <v>3900</v>
      </c>
      <c r="I82" s="12">
        <v>331</v>
      </c>
      <c r="J82" s="12">
        <v>112111</v>
      </c>
      <c r="K82" s="12" t="s">
        <v>20</v>
      </c>
      <c r="L82" s="12">
        <v>1</v>
      </c>
      <c r="M82" s="17">
        <v>65272620</v>
      </c>
      <c r="N82" s="17">
        <f t="shared" si="4"/>
        <v>65272620</v>
      </c>
      <c r="P82" s="12">
        <f t="shared" si="5"/>
        <v>196</v>
      </c>
    </row>
    <row r="83" spans="1:16" ht="15" hidden="1" customHeight="1" x14ac:dyDescent="0.2">
      <c r="A83" s="12" t="s">
        <v>308</v>
      </c>
      <c r="B83" s="36">
        <v>46055</v>
      </c>
      <c r="C83" s="12">
        <f t="shared" si="3"/>
        <v>80</v>
      </c>
      <c r="D83" s="38">
        <v>1</v>
      </c>
      <c r="G83" s="12" t="s">
        <v>37</v>
      </c>
      <c r="H83" s="12" t="s">
        <v>3903</v>
      </c>
      <c r="I83" s="12">
        <v>331</v>
      </c>
      <c r="J83" s="12">
        <v>112111</v>
      </c>
      <c r="K83" s="12" t="s">
        <v>20</v>
      </c>
      <c r="L83" s="12">
        <v>1</v>
      </c>
      <c r="M83" s="17">
        <v>13867200</v>
      </c>
      <c r="N83" s="17">
        <f t="shared" si="4"/>
        <v>13867200</v>
      </c>
      <c r="P83" s="12">
        <f t="shared" si="5"/>
        <v>54</v>
      </c>
    </row>
    <row r="84" spans="1:16" s="165" customFormat="1" ht="15" hidden="1" customHeight="1" x14ac:dyDescent="0.2">
      <c r="A84" s="165" t="s">
        <v>308</v>
      </c>
      <c r="B84" s="166">
        <v>46055</v>
      </c>
      <c r="C84" s="165">
        <f t="shared" si="3"/>
        <v>81</v>
      </c>
      <c r="D84" s="168">
        <v>1</v>
      </c>
      <c r="G84" s="175" t="s">
        <v>71</v>
      </c>
      <c r="H84" s="165" t="s">
        <v>3921</v>
      </c>
      <c r="I84" s="165">
        <v>331</v>
      </c>
      <c r="J84" s="165">
        <v>112111</v>
      </c>
      <c r="K84" s="165" t="s">
        <v>20</v>
      </c>
      <c r="L84" s="165">
        <v>1</v>
      </c>
      <c r="M84" s="170">
        <v>2198000</v>
      </c>
      <c r="N84" s="170">
        <f t="shared" si="4"/>
        <v>2198000</v>
      </c>
      <c r="P84" s="165">
        <f t="shared" si="5"/>
        <v>24</v>
      </c>
    </row>
    <row r="85" spans="1:16" ht="15" hidden="1" customHeight="1" x14ac:dyDescent="0.2">
      <c r="A85" s="12" t="s">
        <v>308</v>
      </c>
      <c r="B85" s="36">
        <v>46056</v>
      </c>
      <c r="C85" s="12">
        <f t="shared" si="3"/>
        <v>82</v>
      </c>
      <c r="D85" s="38">
        <v>1</v>
      </c>
      <c r="G85" s="12" t="s">
        <v>2233</v>
      </c>
      <c r="H85" s="12" t="s">
        <v>3886</v>
      </c>
      <c r="I85" s="12">
        <v>331</v>
      </c>
      <c r="J85" s="12">
        <v>112111</v>
      </c>
      <c r="K85" s="12" t="s">
        <v>20</v>
      </c>
      <c r="L85" s="12">
        <v>1</v>
      </c>
      <c r="M85" s="17">
        <v>63870968</v>
      </c>
      <c r="N85" s="17">
        <f t="shared" si="4"/>
        <v>63870968</v>
      </c>
      <c r="P85" s="12">
        <f t="shared" si="5"/>
        <v>121</v>
      </c>
    </row>
    <row r="86" spans="1:16" ht="15" hidden="1" customHeight="1" x14ac:dyDescent="0.2">
      <c r="A86" s="12" t="s">
        <v>308</v>
      </c>
      <c r="B86" s="36">
        <v>46056</v>
      </c>
      <c r="C86" s="12">
        <f t="shared" si="3"/>
        <v>83</v>
      </c>
      <c r="D86" s="38">
        <v>1</v>
      </c>
      <c r="G86" s="130" t="s">
        <v>2230</v>
      </c>
      <c r="H86" s="12" t="s">
        <v>3885</v>
      </c>
      <c r="I86" s="12">
        <v>331</v>
      </c>
      <c r="J86" s="12">
        <v>112111</v>
      </c>
      <c r="K86" s="12" t="s">
        <v>20</v>
      </c>
      <c r="L86" s="12">
        <v>1</v>
      </c>
      <c r="M86" s="17">
        <v>30550000</v>
      </c>
      <c r="N86" s="17">
        <f t="shared" si="4"/>
        <v>30550000</v>
      </c>
      <c r="P86" s="12">
        <f t="shared" si="5"/>
        <v>153</v>
      </c>
    </row>
    <row r="87" spans="1:16" s="165" customFormat="1" ht="15" hidden="1" customHeight="1" x14ac:dyDescent="0.2">
      <c r="A87" s="165" t="s">
        <v>308</v>
      </c>
      <c r="B87" s="166">
        <v>46056</v>
      </c>
      <c r="C87" s="165">
        <f t="shared" si="3"/>
        <v>84</v>
      </c>
      <c r="D87" s="168">
        <v>1</v>
      </c>
      <c r="G87" s="175" t="s">
        <v>71</v>
      </c>
      <c r="H87" s="165" t="s">
        <v>3921</v>
      </c>
      <c r="I87" s="165">
        <v>331</v>
      </c>
      <c r="J87" s="165">
        <v>112111</v>
      </c>
      <c r="K87" s="165" t="s">
        <v>20</v>
      </c>
      <c r="L87" s="165">
        <v>1</v>
      </c>
      <c r="M87" s="170">
        <v>7764000</v>
      </c>
      <c r="N87" s="170">
        <f t="shared" si="4"/>
        <v>7764000</v>
      </c>
      <c r="P87" s="165">
        <f t="shared" si="5"/>
        <v>24</v>
      </c>
    </row>
    <row r="88" spans="1:16" ht="15" hidden="1" customHeight="1" x14ac:dyDescent="0.2">
      <c r="A88" s="12" t="s">
        <v>308</v>
      </c>
      <c r="B88" s="36">
        <v>46057</v>
      </c>
      <c r="C88" s="12">
        <f t="shared" si="3"/>
        <v>85</v>
      </c>
      <c r="D88" s="38">
        <v>1</v>
      </c>
      <c r="G88" s="12" t="s">
        <v>768</v>
      </c>
      <c r="H88" s="12" t="s">
        <v>3032</v>
      </c>
      <c r="I88" s="12">
        <v>1111</v>
      </c>
      <c r="J88" s="12">
        <v>112111</v>
      </c>
      <c r="K88" s="12" t="s">
        <v>20</v>
      </c>
      <c r="L88" s="12">
        <v>1</v>
      </c>
      <c r="M88" s="17">
        <v>499999999</v>
      </c>
      <c r="N88" s="17">
        <f t="shared" si="4"/>
        <v>499999999</v>
      </c>
      <c r="P88" s="12">
        <f t="shared" si="5"/>
        <v>40</v>
      </c>
    </row>
    <row r="89" spans="1:16" ht="15" hidden="1" customHeight="1" x14ac:dyDescent="0.2">
      <c r="A89" s="12" t="s">
        <v>308</v>
      </c>
      <c r="B89" s="36">
        <v>46057</v>
      </c>
      <c r="C89" s="12">
        <f t="shared" si="3"/>
        <v>86</v>
      </c>
      <c r="D89" s="38">
        <v>1</v>
      </c>
      <c r="G89" s="12" t="s">
        <v>768</v>
      </c>
      <c r="H89" s="12" t="s">
        <v>3032</v>
      </c>
      <c r="I89" s="12">
        <v>1111</v>
      </c>
      <c r="J89" s="12">
        <v>112111</v>
      </c>
      <c r="K89" s="12" t="s">
        <v>20</v>
      </c>
      <c r="L89" s="12">
        <v>1</v>
      </c>
      <c r="M89" s="17">
        <v>499998001</v>
      </c>
      <c r="N89" s="17">
        <f t="shared" si="4"/>
        <v>499998001</v>
      </c>
      <c r="P89" s="12">
        <f t="shared" si="5"/>
        <v>40</v>
      </c>
    </row>
    <row r="90" spans="1:16" ht="15" hidden="1" customHeight="1" x14ac:dyDescent="0.2">
      <c r="A90" s="12" t="s">
        <v>308</v>
      </c>
      <c r="B90" s="36">
        <v>46057</v>
      </c>
      <c r="C90" s="12">
        <f t="shared" si="3"/>
        <v>87</v>
      </c>
      <c r="D90" s="38">
        <v>1</v>
      </c>
      <c r="G90" s="12" t="s">
        <v>768</v>
      </c>
      <c r="H90" s="12" t="s">
        <v>3032</v>
      </c>
      <c r="I90" s="12">
        <v>1111</v>
      </c>
      <c r="J90" s="12">
        <v>112111</v>
      </c>
      <c r="K90" s="12" t="s">
        <v>20</v>
      </c>
      <c r="L90" s="12">
        <v>1</v>
      </c>
      <c r="M90" s="17">
        <v>2000</v>
      </c>
      <c r="N90" s="17">
        <f t="shared" si="4"/>
        <v>2000</v>
      </c>
      <c r="P90" s="12">
        <f t="shared" si="5"/>
        <v>40</v>
      </c>
    </row>
    <row r="91" spans="1:16" ht="15" hidden="1" customHeight="1" x14ac:dyDescent="0.2">
      <c r="A91" s="12" t="s">
        <v>308</v>
      </c>
      <c r="B91" s="36">
        <v>46060</v>
      </c>
      <c r="C91" s="12">
        <f t="shared" si="3"/>
        <v>88</v>
      </c>
      <c r="D91" s="38">
        <v>1</v>
      </c>
      <c r="G91" s="12" t="s">
        <v>768</v>
      </c>
      <c r="H91" s="12" t="s">
        <v>3032</v>
      </c>
      <c r="I91" s="12">
        <v>1111</v>
      </c>
      <c r="J91" s="12">
        <v>112111</v>
      </c>
      <c r="K91" s="12" t="s">
        <v>20</v>
      </c>
      <c r="L91" s="12">
        <v>1</v>
      </c>
      <c r="M91" s="17">
        <v>250000000</v>
      </c>
      <c r="N91" s="17">
        <f t="shared" si="4"/>
        <v>250000000</v>
      </c>
      <c r="P91" s="12">
        <f t="shared" si="5"/>
        <v>40</v>
      </c>
    </row>
    <row r="92" spans="1:16" ht="15" hidden="1" customHeight="1" x14ac:dyDescent="0.2">
      <c r="A92" s="12" t="s">
        <v>308</v>
      </c>
      <c r="B92" s="36">
        <v>46060</v>
      </c>
      <c r="C92" s="12">
        <f t="shared" si="3"/>
        <v>89</v>
      </c>
      <c r="D92" s="38">
        <v>1</v>
      </c>
      <c r="G92" s="12" t="s">
        <v>2234</v>
      </c>
      <c r="H92" s="12" t="s">
        <v>3916</v>
      </c>
      <c r="I92" s="12">
        <v>331</v>
      </c>
      <c r="J92" s="12">
        <v>112111</v>
      </c>
      <c r="K92" s="12" t="s">
        <v>20</v>
      </c>
      <c r="L92" s="12">
        <v>1</v>
      </c>
      <c r="M92" s="17">
        <v>8250000</v>
      </c>
      <c r="N92" s="17">
        <f t="shared" si="4"/>
        <v>8250000</v>
      </c>
      <c r="P92" s="12">
        <f t="shared" si="5"/>
        <v>122</v>
      </c>
    </row>
    <row r="93" spans="1:16" ht="15" hidden="1" customHeight="1" x14ac:dyDescent="0.2">
      <c r="A93" s="12" t="s">
        <v>308</v>
      </c>
      <c r="B93" s="36">
        <v>46061</v>
      </c>
      <c r="C93" s="12">
        <f t="shared" si="3"/>
        <v>90</v>
      </c>
      <c r="D93" s="38">
        <v>1</v>
      </c>
      <c r="G93" s="12" t="s">
        <v>2237</v>
      </c>
      <c r="H93" s="12" t="s">
        <v>3887</v>
      </c>
      <c r="I93" s="12">
        <v>331</v>
      </c>
      <c r="J93" s="12">
        <v>112111</v>
      </c>
      <c r="K93" s="12" t="s">
        <v>20</v>
      </c>
      <c r="L93" s="12">
        <v>1</v>
      </c>
      <c r="M93" s="17">
        <v>32990000</v>
      </c>
      <c r="N93" s="17">
        <f t="shared" si="4"/>
        <v>32990000</v>
      </c>
      <c r="P93" s="12">
        <f t="shared" si="5"/>
        <v>175</v>
      </c>
    </row>
    <row r="94" spans="1:16" ht="15" hidden="1" customHeight="1" x14ac:dyDescent="0.2">
      <c r="A94" s="12" t="s">
        <v>308</v>
      </c>
      <c r="B94" s="36">
        <v>46062</v>
      </c>
      <c r="C94" s="12">
        <f t="shared" si="3"/>
        <v>91</v>
      </c>
      <c r="D94" s="38">
        <v>1</v>
      </c>
      <c r="G94" s="12" t="s">
        <v>768</v>
      </c>
      <c r="H94" s="12" t="s">
        <v>3032</v>
      </c>
      <c r="I94" s="12">
        <v>1111</v>
      </c>
      <c r="J94" s="12">
        <v>112111</v>
      </c>
      <c r="K94" s="12" t="s">
        <v>20</v>
      </c>
      <c r="L94" s="12">
        <v>1</v>
      </c>
      <c r="M94" s="17">
        <v>300000000</v>
      </c>
      <c r="N94" s="17">
        <f t="shared" si="4"/>
        <v>300000000</v>
      </c>
      <c r="P94" s="12">
        <f t="shared" si="5"/>
        <v>40</v>
      </c>
    </row>
    <row r="95" spans="1:16" ht="15" hidden="1" customHeight="1" x14ac:dyDescent="0.2">
      <c r="A95" s="12" t="s">
        <v>308</v>
      </c>
      <c r="B95" s="36">
        <v>46062</v>
      </c>
      <c r="C95" s="12">
        <f t="shared" si="3"/>
        <v>92</v>
      </c>
      <c r="D95" s="38">
        <v>1</v>
      </c>
      <c r="G95" s="12" t="s">
        <v>768</v>
      </c>
      <c r="H95" s="12" t="s">
        <v>3032</v>
      </c>
      <c r="I95" s="12">
        <v>1111</v>
      </c>
      <c r="J95" s="12">
        <v>112111</v>
      </c>
      <c r="K95" s="12" t="s">
        <v>20</v>
      </c>
      <c r="L95" s="12">
        <v>1</v>
      </c>
      <c r="M95" s="17">
        <v>200000000</v>
      </c>
      <c r="N95" s="17">
        <f t="shared" si="4"/>
        <v>200000000</v>
      </c>
      <c r="P95" s="12">
        <f t="shared" si="5"/>
        <v>40</v>
      </c>
    </row>
    <row r="96" spans="1:16" ht="15" hidden="1" customHeight="1" x14ac:dyDescent="0.2">
      <c r="A96" s="12" t="s">
        <v>308</v>
      </c>
      <c r="B96" s="36">
        <v>46062</v>
      </c>
      <c r="C96" s="12">
        <f t="shared" si="3"/>
        <v>93</v>
      </c>
      <c r="D96" s="38">
        <v>1</v>
      </c>
      <c r="G96" s="12" t="s">
        <v>2236</v>
      </c>
      <c r="H96" s="12" t="s">
        <v>3906</v>
      </c>
      <c r="I96" s="12">
        <v>331</v>
      </c>
      <c r="J96" s="12">
        <v>112111</v>
      </c>
      <c r="K96" s="12" t="s">
        <v>20</v>
      </c>
      <c r="L96" s="12">
        <v>1</v>
      </c>
      <c r="M96" s="17">
        <v>1652400</v>
      </c>
      <c r="N96" s="17">
        <f t="shared" si="4"/>
        <v>1652400</v>
      </c>
      <c r="P96" s="12">
        <f t="shared" si="5"/>
        <v>52</v>
      </c>
    </row>
    <row r="97" spans="1:16" ht="15" hidden="1" customHeight="1" x14ac:dyDescent="0.2">
      <c r="A97" s="12" t="s">
        <v>308</v>
      </c>
      <c r="B97" s="36">
        <v>46066</v>
      </c>
      <c r="C97" s="12">
        <f t="shared" si="3"/>
        <v>94</v>
      </c>
      <c r="D97" s="38">
        <v>1</v>
      </c>
      <c r="G97" s="12" t="s">
        <v>768</v>
      </c>
      <c r="H97" s="12" t="s">
        <v>3032</v>
      </c>
      <c r="I97" s="12">
        <v>1111</v>
      </c>
      <c r="J97" s="12">
        <v>112111</v>
      </c>
      <c r="K97" s="12" t="s">
        <v>20</v>
      </c>
      <c r="L97" s="12">
        <v>1</v>
      </c>
      <c r="M97" s="17">
        <v>180000000</v>
      </c>
      <c r="N97" s="17">
        <f t="shared" si="4"/>
        <v>180000000</v>
      </c>
      <c r="P97" s="12">
        <f t="shared" si="5"/>
        <v>40</v>
      </c>
    </row>
    <row r="98" spans="1:16" ht="15" hidden="1" customHeight="1" x14ac:dyDescent="0.2">
      <c r="A98" s="12" t="s">
        <v>308</v>
      </c>
      <c r="B98" s="36">
        <v>46067</v>
      </c>
      <c r="C98" s="12">
        <f t="shared" si="3"/>
        <v>95</v>
      </c>
      <c r="D98" s="38">
        <v>1</v>
      </c>
      <c r="G98" s="12" t="s">
        <v>71</v>
      </c>
      <c r="H98" s="12" t="s">
        <v>3921</v>
      </c>
      <c r="I98" s="12">
        <v>331</v>
      </c>
      <c r="J98" s="12">
        <v>112111</v>
      </c>
      <c r="K98" s="12" t="s">
        <v>20</v>
      </c>
      <c r="L98" s="12">
        <v>1</v>
      </c>
      <c r="M98" s="17">
        <v>2314383</v>
      </c>
      <c r="N98" s="17">
        <f t="shared" si="4"/>
        <v>2314383</v>
      </c>
      <c r="P98" s="12">
        <f t="shared" si="5"/>
        <v>24</v>
      </c>
    </row>
    <row r="99" spans="1:16" ht="15" hidden="1" customHeight="1" x14ac:dyDescent="0.2">
      <c r="A99" s="12" t="s">
        <v>308</v>
      </c>
      <c r="B99" s="36">
        <v>46068</v>
      </c>
      <c r="C99" s="12">
        <f t="shared" si="3"/>
        <v>96</v>
      </c>
      <c r="D99" s="38">
        <v>1</v>
      </c>
      <c r="G99" s="12" t="s">
        <v>71</v>
      </c>
      <c r="H99" s="12" t="s">
        <v>3921</v>
      </c>
      <c r="I99" s="12">
        <v>331</v>
      </c>
      <c r="J99" s="12">
        <v>112111</v>
      </c>
      <c r="K99" s="12" t="s">
        <v>20</v>
      </c>
      <c r="L99" s="12">
        <v>1</v>
      </c>
      <c r="M99" s="17">
        <v>25414000</v>
      </c>
      <c r="N99" s="17">
        <f t="shared" si="4"/>
        <v>25414000</v>
      </c>
      <c r="P99" s="12">
        <f t="shared" si="5"/>
        <v>24</v>
      </c>
    </row>
    <row r="100" spans="1:16" ht="15" hidden="1" customHeight="1" x14ac:dyDescent="0.2">
      <c r="A100" s="12" t="s">
        <v>308</v>
      </c>
      <c r="B100" s="36">
        <v>46072</v>
      </c>
      <c r="C100" s="12">
        <f t="shared" si="3"/>
        <v>97</v>
      </c>
      <c r="D100" s="38">
        <v>1</v>
      </c>
      <c r="G100" s="12" t="s">
        <v>2245</v>
      </c>
      <c r="H100" s="12" t="s">
        <v>3888</v>
      </c>
      <c r="I100" s="12">
        <v>331</v>
      </c>
      <c r="J100" s="12">
        <v>112111</v>
      </c>
      <c r="K100" s="12" t="s">
        <v>20</v>
      </c>
      <c r="L100" s="12">
        <v>1</v>
      </c>
      <c r="M100" s="17">
        <v>3278880</v>
      </c>
      <c r="N100" s="17">
        <f t="shared" si="4"/>
        <v>3278880</v>
      </c>
      <c r="P100" s="12">
        <f t="shared" si="5"/>
        <v>110</v>
      </c>
    </row>
    <row r="101" spans="1:16" ht="15" hidden="1" customHeight="1" x14ac:dyDescent="0.2">
      <c r="A101" s="12" t="s">
        <v>308</v>
      </c>
      <c r="B101" s="36">
        <v>46074</v>
      </c>
      <c r="C101" s="12">
        <f t="shared" si="3"/>
        <v>98</v>
      </c>
      <c r="D101" s="38">
        <v>1</v>
      </c>
      <c r="G101" s="12" t="s">
        <v>71</v>
      </c>
      <c r="H101" s="12" t="s">
        <v>3921</v>
      </c>
      <c r="I101" s="12">
        <v>331</v>
      </c>
      <c r="J101" s="12">
        <v>112111</v>
      </c>
      <c r="K101" s="12" t="s">
        <v>20</v>
      </c>
      <c r="L101" s="12">
        <v>1</v>
      </c>
      <c r="M101" s="17">
        <v>2385600</v>
      </c>
      <c r="N101" s="17">
        <f t="shared" si="4"/>
        <v>2385600</v>
      </c>
      <c r="P101" s="12">
        <f t="shared" si="5"/>
        <v>24</v>
      </c>
    </row>
    <row r="102" spans="1:16" s="165" customFormat="1" ht="15" hidden="1" customHeight="1" x14ac:dyDescent="0.2">
      <c r="A102" s="165" t="s">
        <v>308</v>
      </c>
      <c r="B102" s="166">
        <v>46076</v>
      </c>
      <c r="C102" s="165">
        <f t="shared" si="3"/>
        <v>99</v>
      </c>
      <c r="D102" s="168">
        <v>1</v>
      </c>
      <c r="G102" s="175" t="s">
        <v>71</v>
      </c>
      <c r="H102" s="165" t="s">
        <v>3921</v>
      </c>
      <c r="I102" s="165">
        <v>331</v>
      </c>
      <c r="J102" s="165">
        <v>112111</v>
      </c>
      <c r="K102" s="165" t="s">
        <v>20</v>
      </c>
      <c r="L102" s="165">
        <v>1</v>
      </c>
      <c r="M102" s="170">
        <v>3495000</v>
      </c>
      <c r="N102" s="170">
        <f t="shared" si="4"/>
        <v>3495000</v>
      </c>
      <c r="P102" s="165">
        <f t="shared" si="5"/>
        <v>24</v>
      </c>
    </row>
    <row r="103" spans="1:16" ht="15" hidden="1" customHeight="1" x14ac:dyDescent="0.2">
      <c r="A103" s="12" t="s">
        <v>308</v>
      </c>
      <c r="B103" s="36">
        <v>46077</v>
      </c>
      <c r="C103" s="12">
        <f t="shared" si="3"/>
        <v>100</v>
      </c>
      <c r="D103" s="38">
        <v>1</v>
      </c>
      <c r="G103" s="130" t="s">
        <v>1846</v>
      </c>
      <c r="H103" s="12" t="s">
        <v>3908</v>
      </c>
      <c r="I103" s="12">
        <v>331</v>
      </c>
      <c r="J103" s="12">
        <v>112111</v>
      </c>
      <c r="K103" s="12" t="s">
        <v>20</v>
      </c>
      <c r="L103" s="12">
        <v>1</v>
      </c>
      <c r="M103" s="17">
        <v>2990520</v>
      </c>
      <c r="N103" s="17">
        <f t="shared" si="4"/>
        <v>2990520</v>
      </c>
      <c r="P103" s="12">
        <f t="shared" si="5"/>
        <v>53</v>
      </c>
    </row>
    <row r="104" spans="1:16" s="165" customFormat="1" ht="15" hidden="1" customHeight="1" x14ac:dyDescent="0.2">
      <c r="A104" s="165" t="s">
        <v>308</v>
      </c>
      <c r="B104" s="166">
        <v>46078</v>
      </c>
      <c r="C104" s="165">
        <f t="shared" si="3"/>
        <v>101</v>
      </c>
      <c r="D104" s="168">
        <v>1</v>
      </c>
      <c r="G104" s="175" t="s">
        <v>71</v>
      </c>
      <c r="H104" s="165" t="s">
        <v>3921</v>
      </c>
      <c r="I104" s="165">
        <v>331</v>
      </c>
      <c r="J104" s="165">
        <v>112111</v>
      </c>
      <c r="K104" s="165" t="s">
        <v>20</v>
      </c>
      <c r="L104" s="165">
        <v>1</v>
      </c>
      <c r="M104" s="170">
        <v>5300000</v>
      </c>
      <c r="N104" s="170">
        <f t="shared" si="4"/>
        <v>5300000</v>
      </c>
      <c r="P104" s="165">
        <f t="shared" si="5"/>
        <v>24</v>
      </c>
    </row>
    <row r="105" spans="1:16" ht="15" hidden="1" customHeight="1" x14ac:dyDescent="0.2">
      <c r="A105" s="12" t="s">
        <v>308</v>
      </c>
      <c r="B105" s="36">
        <v>46080</v>
      </c>
      <c r="C105" s="12">
        <f t="shared" si="3"/>
        <v>102</v>
      </c>
      <c r="D105" s="38">
        <v>1</v>
      </c>
      <c r="G105" s="12" t="s">
        <v>768</v>
      </c>
      <c r="H105" s="12" t="s">
        <v>3032</v>
      </c>
      <c r="I105" s="12">
        <v>1111</v>
      </c>
      <c r="J105" s="12">
        <v>112111</v>
      </c>
      <c r="K105" s="12" t="s">
        <v>20</v>
      </c>
      <c r="L105" s="12">
        <v>1</v>
      </c>
      <c r="M105" s="17">
        <v>460000000</v>
      </c>
      <c r="N105" s="17">
        <f t="shared" si="4"/>
        <v>460000000</v>
      </c>
      <c r="P105" s="12">
        <f t="shared" si="5"/>
        <v>40</v>
      </c>
    </row>
    <row r="106" spans="1:16" s="165" customFormat="1" ht="15" hidden="1" customHeight="1" x14ac:dyDescent="0.2">
      <c r="A106" s="165" t="s">
        <v>308</v>
      </c>
      <c r="B106" s="166">
        <v>46081</v>
      </c>
      <c r="C106" s="165">
        <f t="shared" si="3"/>
        <v>103</v>
      </c>
      <c r="D106" s="168">
        <v>1</v>
      </c>
      <c r="G106" s="175" t="s">
        <v>71</v>
      </c>
      <c r="H106" s="165" t="s">
        <v>3921</v>
      </c>
      <c r="I106" s="165">
        <v>331</v>
      </c>
      <c r="J106" s="165">
        <v>112111</v>
      </c>
      <c r="K106" s="165" t="s">
        <v>20</v>
      </c>
      <c r="L106" s="165">
        <v>1</v>
      </c>
      <c r="M106" s="170">
        <v>1814000</v>
      </c>
      <c r="N106" s="170">
        <f t="shared" si="4"/>
        <v>1814000</v>
      </c>
      <c r="P106" s="165">
        <f t="shared" si="5"/>
        <v>24</v>
      </c>
    </row>
    <row r="107" spans="1:16" s="165" customFormat="1" ht="15" hidden="1" customHeight="1" x14ac:dyDescent="0.2">
      <c r="A107" s="165" t="s">
        <v>308</v>
      </c>
      <c r="B107" s="166">
        <v>46081</v>
      </c>
      <c r="C107" s="165">
        <f t="shared" si="3"/>
        <v>104</v>
      </c>
      <c r="D107" s="168">
        <v>1</v>
      </c>
      <c r="G107" s="175" t="s">
        <v>71</v>
      </c>
      <c r="H107" s="165" t="s">
        <v>3921</v>
      </c>
      <c r="I107" s="165">
        <v>331</v>
      </c>
      <c r="J107" s="165">
        <v>112111</v>
      </c>
      <c r="K107" s="165" t="s">
        <v>20</v>
      </c>
      <c r="L107" s="165">
        <v>1</v>
      </c>
      <c r="M107" s="170">
        <v>4184000</v>
      </c>
      <c r="N107" s="170">
        <f t="shared" si="4"/>
        <v>4184000</v>
      </c>
      <c r="P107" s="165">
        <f t="shared" si="5"/>
        <v>24</v>
      </c>
    </row>
    <row r="108" spans="1:16" s="165" customFormat="1" ht="15" hidden="1" customHeight="1" x14ac:dyDescent="0.2">
      <c r="A108" s="165" t="s">
        <v>308</v>
      </c>
      <c r="B108" s="166">
        <v>46082</v>
      </c>
      <c r="C108" s="165">
        <f t="shared" si="3"/>
        <v>105</v>
      </c>
      <c r="D108" s="168">
        <v>1</v>
      </c>
      <c r="G108" s="175" t="s">
        <v>71</v>
      </c>
      <c r="H108" s="165" t="s">
        <v>3921</v>
      </c>
      <c r="I108" s="165">
        <v>331</v>
      </c>
      <c r="J108" s="165">
        <v>112111</v>
      </c>
      <c r="K108" s="165" t="s">
        <v>20</v>
      </c>
      <c r="L108" s="165">
        <v>1</v>
      </c>
      <c r="M108" s="170">
        <v>2900000</v>
      </c>
      <c r="N108" s="170">
        <f t="shared" si="4"/>
        <v>2900000</v>
      </c>
      <c r="P108" s="165">
        <f t="shared" si="5"/>
        <v>24</v>
      </c>
    </row>
    <row r="109" spans="1:16" ht="15" hidden="1" customHeight="1" x14ac:dyDescent="0.2">
      <c r="A109" s="12" t="s">
        <v>308</v>
      </c>
      <c r="B109" s="36">
        <v>46085</v>
      </c>
      <c r="C109" s="12">
        <f t="shared" si="3"/>
        <v>106</v>
      </c>
      <c r="D109" s="38">
        <v>1</v>
      </c>
      <c r="G109" s="12" t="s">
        <v>768</v>
      </c>
      <c r="H109" s="12" t="s">
        <v>3032</v>
      </c>
      <c r="I109" s="12">
        <v>1111</v>
      </c>
      <c r="J109" s="12">
        <v>112111</v>
      </c>
      <c r="K109" s="12" t="s">
        <v>20</v>
      </c>
      <c r="L109" s="12">
        <v>1</v>
      </c>
      <c r="M109" s="17">
        <v>499998000</v>
      </c>
      <c r="N109" s="17">
        <f t="shared" si="4"/>
        <v>499998000</v>
      </c>
      <c r="P109" s="12">
        <f t="shared" si="5"/>
        <v>40</v>
      </c>
    </row>
    <row r="110" spans="1:16" ht="15" hidden="1" customHeight="1" x14ac:dyDescent="0.2">
      <c r="A110" s="12" t="s">
        <v>308</v>
      </c>
      <c r="B110" s="36">
        <v>46085</v>
      </c>
      <c r="C110" s="12">
        <f t="shared" si="3"/>
        <v>107</v>
      </c>
      <c r="D110" s="38">
        <v>1</v>
      </c>
      <c r="G110" s="12" t="s">
        <v>768</v>
      </c>
      <c r="H110" s="12" t="s">
        <v>3032</v>
      </c>
      <c r="I110" s="12">
        <v>1111</v>
      </c>
      <c r="J110" s="12">
        <v>112111</v>
      </c>
      <c r="K110" s="12" t="s">
        <v>20</v>
      </c>
      <c r="L110" s="12">
        <v>1</v>
      </c>
      <c r="M110" s="17">
        <v>2000</v>
      </c>
      <c r="N110" s="17">
        <f t="shared" si="4"/>
        <v>2000</v>
      </c>
      <c r="P110" s="12">
        <f t="shared" si="5"/>
        <v>40</v>
      </c>
    </row>
    <row r="111" spans="1:16" ht="15" hidden="1" customHeight="1" x14ac:dyDescent="0.2">
      <c r="A111" s="12" t="s">
        <v>308</v>
      </c>
      <c r="B111" s="36">
        <v>46085</v>
      </c>
      <c r="C111" s="12">
        <f t="shared" si="3"/>
        <v>108</v>
      </c>
      <c r="D111" s="38">
        <v>1</v>
      </c>
      <c r="G111" s="12" t="s">
        <v>35</v>
      </c>
      <c r="H111" s="12" t="s">
        <v>3889</v>
      </c>
      <c r="I111" s="12">
        <v>331</v>
      </c>
      <c r="J111" s="12">
        <v>112111</v>
      </c>
      <c r="K111" s="12" t="s">
        <v>20</v>
      </c>
      <c r="L111" s="12">
        <v>1</v>
      </c>
      <c r="M111" s="17">
        <v>8640000</v>
      </c>
      <c r="N111" s="17">
        <f t="shared" si="4"/>
        <v>8640000</v>
      </c>
      <c r="P111" s="12">
        <f t="shared" si="5"/>
        <v>52</v>
      </c>
    </row>
    <row r="112" spans="1:16" ht="15" hidden="1" customHeight="1" x14ac:dyDescent="0.2">
      <c r="A112" s="12" t="s">
        <v>308</v>
      </c>
      <c r="B112" s="36">
        <v>46086</v>
      </c>
      <c r="C112" s="12">
        <f t="shared" si="3"/>
        <v>109</v>
      </c>
      <c r="D112" s="38">
        <v>1</v>
      </c>
      <c r="G112" s="12" t="s">
        <v>2249</v>
      </c>
      <c r="H112" s="12" t="s">
        <v>3910</v>
      </c>
      <c r="I112" s="12">
        <v>331</v>
      </c>
      <c r="J112" s="12">
        <v>112111</v>
      </c>
      <c r="K112" s="12" t="s">
        <v>20</v>
      </c>
      <c r="L112" s="12">
        <v>1</v>
      </c>
      <c r="M112" s="17">
        <v>3528360</v>
      </c>
      <c r="N112" s="17">
        <f t="shared" si="4"/>
        <v>3528360</v>
      </c>
      <c r="P112" s="12">
        <f t="shared" si="5"/>
        <v>52</v>
      </c>
    </row>
    <row r="113" spans="1:16" ht="15" hidden="1" customHeight="1" x14ac:dyDescent="0.2">
      <c r="A113" s="12" t="s">
        <v>308</v>
      </c>
      <c r="B113" s="36">
        <v>46090</v>
      </c>
      <c r="C113" s="12">
        <f t="shared" si="3"/>
        <v>110</v>
      </c>
      <c r="D113" s="38">
        <v>1</v>
      </c>
      <c r="G113" s="12" t="s">
        <v>768</v>
      </c>
      <c r="H113" s="12" t="s">
        <v>3032</v>
      </c>
      <c r="I113" s="12">
        <v>1111</v>
      </c>
      <c r="J113" s="12">
        <v>112111</v>
      </c>
      <c r="K113" s="12" t="s">
        <v>20</v>
      </c>
      <c r="L113" s="12">
        <v>1</v>
      </c>
      <c r="M113" s="17">
        <v>499999999</v>
      </c>
      <c r="N113" s="17">
        <f t="shared" si="4"/>
        <v>499999999</v>
      </c>
      <c r="P113" s="12">
        <f t="shared" si="5"/>
        <v>40</v>
      </c>
    </row>
    <row r="114" spans="1:16" ht="15" hidden="1" customHeight="1" x14ac:dyDescent="0.2">
      <c r="A114" s="12" t="s">
        <v>308</v>
      </c>
      <c r="B114" s="36">
        <v>46090</v>
      </c>
      <c r="C114" s="12">
        <f t="shared" si="3"/>
        <v>111</v>
      </c>
      <c r="D114" s="38">
        <v>1</v>
      </c>
      <c r="G114" s="12" t="s">
        <v>768</v>
      </c>
      <c r="H114" s="12" t="s">
        <v>3032</v>
      </c>
      <c r="I114" s="12">
        <v>1111</v>
      </c>
      <c r="J114" s="12">
        <v>112111</v>
      </c>
      <c r="K114" s="12" t="s">
        <v>20</v>
      </c>
      <c r="L114" s="12">
        <v>1</v>
      </c>
      <c r="M114" s="17">
        <v>499999999</v>
      </c>
      <c r="N114" s="17">
        <f t="shared" si="4"/>
        <v>499999999</v>
      </c>
      <c r="P114" s="12">
        <f t="shared" si="5"/>
        <v>40</v>
      </c>
    </row>
    <row r="115" spans="1:16" ht="15" hidden="1" customHeight="1" x14ac:dyDescent="0.2">
      <c r="A115" s="12" t="s">
        <v>308</v>
      </c>
      <c r="B115" s="36">
        <v>46090</v>
      </c>
      <c r="C115" s="12">
        <f t="shared" si="3"/>
        <v>112</v>
      </c>
      <c r="D115" s="38">
        <v>1</v>
      </c>
      <c r="G115" s="12" t="s">
        <v>768</v>
      </c>
      <c r="H115" s="12" t="s">
        <v>3032</v>
      </c>
      <c r="I115" s="12">
        <v>1111</v>
      </c>
      <c r="J115" s="12">
        <v>112111</v>
      </c>
      <c r="K115" s="12" t="s">
        <v>20</v>
      </c>
      <c r="L115" s="12">
        <v>1</v>
      </c>
      <c r="M115" s="17">
        <v>499998002</v>
      </c>
      <c r="N115" s="17">
        <f t="shared" si="4"/>
        <v>499998002</v>
      </c>
      <c r="P115" s="12">
        <f t="shared" si="5"/>
        <v>40</v>
      </c>
    </row>
    <row r="116" spans="1:16" ht="15" hidden="1" customHeight="1" x14ac:dyDescent="0.2">
      <c r="A116" s="12" t="s">
        <v>308</v>
      </c>
      <c r="B116" s="36">
        <v>46090</v>
      </c>
      <c r="C116" s="12">
        <f t="shared" si="3"/>
        <v>113</v>
      </c>
      <c r="D116" s="38">
        <v>1</v>
      </c>
      <c r="G116" s="12" t="s">
        <v>768</v>
      </c>
      <c r="H116" s="12" t="s">
        <v>3032</v>
      </c>
      <c r="I116" s="12">
        <v>1111</v>
      </c>
      <c r="J116" s="12">
        <v>112111</v>
      </c>
      <c r="K116" s="12" t="s">
        <v>20</v>
      </c>
      <c r="L116" s="12">
        <v>1</v>
      </c>
      <c r="M116" s="17">
        <v>2000</v>
      </c>
      <c r="N116" s="17">
        <f t="shared" si="4"/>
        <v>2000</v>
      </c>
      <c r="P116" s="12">
        <f t="shared" si="5"/>
        <v>40</v>
      </c>
    </row>
    <row r="117" spans="1:16" ht="15" hidden="1" customHeight="1" x14ac:dyDescent="0.2">
      <c r="A117" s="12" t="s">
        <v>308</v>
      </c>
      <c r="B117" s="36">
        <v>46090</v>
      </c>
      <c r="C117" s="12">
        <f t="shared" si="3"/>
        <v>114</v>
      </c>
      <c r="D117" s="38">
        <v>1</v>
      </c>
      <c r="G117" s="12" t="s">
        <v>768</v>
      </c>
      <c r="H117" s="12" t="s">
        <v>3032</v>
      </c>
      <c r="I117" s="12">
        <v>1111</v>
      </c>
      <c r="J117" s="12">
        <v>112111</v>
      </c>
      <c r="K117" s="12" t="s">
        <v>20</v>
      </c>
      <c r="L117" s="12">
        <v>1</v>
      </c>
      <c r="M117" s="17">
        <v>400000000</v>
      </c>
      <c r="N117" s="17">
        <f t="shared" si="4"/>
        <v>400000000</v>
      </c>
      <c r="P117" s="12">
        <f t="shared" si="5"/>
        <v>40</v>
      </c>
    </row>
    <row r="118" spans="1:16" ht="15" hidden="1" customHeight="1" x14ac:dyDescent="0.2">
      <c r="A118" s="12" t="s">
        <v>308</v>
      </c>
      <c r="B118" s="36">
        <v>46090</v>
      </c>
      <c r="C118" s="12">
        <f t="shared" si="3"/>
        <v>115</v>
      </c>
      <c r="D118" s="38">
        <v>1</v>
      </c>
      <c r="G118" s="12" t="s">
        <v>2252</v>
      </c>
      <c r="H118" s="12" t="s">
        <v>3912</v>
      </c>
      <c r="I118" s="12">
        <v>331</v>
      </c>
      <c r="J118" s="12">
        <v>112111</v>
      </c>
      <c r="K118" s="12" t="s">
        <v>20</v>
      </c>
      <c r="L118" s="12">
        <v>1</v>
      </c>
      <c r="M118" s="17">
        <v>2955600</v>
      </c>
      <c r="N118" s="17">
        <f t="shared" si="4"/>
        <v>2955600</v>
      </c>
      <c r="P118" s="12">
        <f t="shared" si="5"/>
        <v>52</v>
      </c>
    </row>
    <row r="119" spans="1:16" ht="15" hidden="1" customHeight="1" x14ac:dyDescent="0.2">
      <c r="A119" s="12" t="s">
        <v>308</v>
      </c>
      <c r="B119" s="36">
        <v>46097</v>
      </c>
      <c r="C119" s="12">
        <f t="shared" si="3"/>
        <v>116</v>
      </c>
      <c r="D119" s="38">
        <v>1</v>
      </c>
      <c r="G119" s="12" t="s">
        <v>768</v>
      </c>
      <c r="H119" s="12" t="s">
        <v>3032</v>
      </c>
      <c r="I119" s="12">
        <v>1111</v>
      </c>
      <c r="J119" s="12">
        <v>112111</v>
      </c>
      <c r="K119" s="12" t="s">
        <v>20</v>
      </c>
      <c r="L119" s="12">
        <v>1</v>
      </c>
      <c r="M119" s="17">
        <v>170000000</v>
      </c>
      <c r="N119" s="17">
        <f t="shared" si="4"/>
        <v>170000000</v>
      </c>
      <c r="P119" s="12">
        <f t="shared" si="5"/>
        <v>40</v>
      </c>
    </row>
    <row r="120" spans="1:16" ht="15" hidden="1" customHeight="1" x14ac:dyDescent="0.2">
      <c r="A120" s="12" t="s">
        <v>308</v>
      </c>
      <c r="B120" s="36">
        <v>46098</v>
      </c>
      <c r="C120" s="12">
        <f t="shared" si="3"/>
        <v>117</v>
      </c>
      <c r="D120" s="38">
        <v>1</v>
      </c>
      <c r="G120" s="12" t="s">
        <v>768</v>
      </c>
      <c r="H120" s="12" t="s">
        <v>3032</v>
      </c>
      <c r="I120" s="12">
        <v>1111</v>
      </c>
      <c r="J120" s="12">
        <v>112111</v>
      </c>
      <c r="K120" s="12" t="s">
        <v>20</v>
      </c>
      <c r="L120" s="12">
        <v>1</v>
      </c>
      <c r="M120" s="17">
        <v>15000000</v>
      </c>
      <c r="N120" s="17">
        <f t="shared" si="4"/>
        <v>15000000</v>
      </c>
      <c r="P120" s="12">
        <f t="shared" si="5"/>
        <v>40</v>
      </c>
    </row>
    <row r="121" spans="1:16" ht="15" hidden="1" customHeight="1" x14ac:dyDescent="0.2">
      <c r="A121" s="12" t="s">
        <v>18</v>
      </c>
      <c r="B121" s="36">
        <v>46025</v>
      </c>
      <c r="C121" s="12">
        <f t="shared" si="3"/>
        <v>118</v>
      </c>
      <c r="D121" s="38">
        <f>IF(H121=H120,0,1)</f>
        <v>1</v>
      </c>
      <c r="G121" s="12" t="s">
        <v>233</v>
      </c>
      <c r="H121" s="12" t="s">
        <v>2213</v>
      </c>
      <c r="I121" s="12">
        <v>64277</v>
      </c>
      <c r="J121" s="12">
        <v>331</v>
      </c>
      <c r="K121" s="12" t="s">
        <v>20</v>
      </c>
      <c r="L121" s="12">
        <v>1</v>
      </c>
      <c r="M121" s="17">
        <v>2739</v>
      </c>
      <c r="N121" s="17">
        <f t="shared" si="4"/>
        <v>2739</v>
      </c>
      <c r="P121" s="12">
        <f t="shared" si="5"/>
        <v>69</v>
      </c>
    </row>
    <row r="122" spans="1:16" ht="15" hidden="1" customHeight="1" x14ac:dyDescent="0.2">
      <c r="A122" s="12" t="s">
        <v>18</v>
      </c>
      <c r="B122" s="36">
        <v>46025</v>
      </c>
      <c r="C122" s="12">
        <f t="shared" si="3"/>
        <v>118</v>
      </c>
      <c r="D122" s="38">
        <f>IF(H122=H121,0,1)</f>
        <v>0</v>
      </c>
      <c r="G122" s="12" t="s">
        <v>233</v>
      </c>
      <c r="H122" s="12" t="s">
        <v>2213</v>
      </c>
      <c r="I122" s="12">
        <v>1331</v>
      </c>
      <c r="J122" s="12">
        <v>331</v>
      </c>
      <c r="K122" s="12" t="s">
        <v>20</v>
      </c>
      <c r="L122" s="12">
        <v>1</v>
      </c>
      <c r="M122" s="17">
        <v>274</v>
      </c>
      <c r="N122" s="17">
        <f t="shared" si="4"/>
        <v>274</v>
      </c>
      <c r="P122" s="12">
        <f t="shared" si="5"/>
        <v>69</v>
      </c>
    </row>
    <row r="123" spans="1:16" ht="15" hidden="1" customHeight="1" x14ac:dyDescent="0.2">
      <c r="A123" s="12" t="s">
        <v>18</v>
      </c>
      <c r="B123" s="36">
        <v>46030</v>
      </c>
      <c r="C123" s="12">
        <f t="shared" si="3"/>
        <v>119</v>
      </c>
      <c r="D123" s="38">
        <f>IF(H123=H122,0,1)</f>
        <v>1</v>
      </c>
      <c r="G123" s="12" t="s">
        <v>311</v>
      </c>
      <c r="H123" s="12" t="s">
        <v>3057</v>
      </c>
      <c r="I123" s="12">
        <v>131</v>
      </c>
      <c r="J123" s="12">
        <v>5118</v>
      </c>
      <c r="K123" s="12" t="s">
        <v>20</v>
      </c>
      <c r="L123" s="12">
        <v>1</v>
      </c>
      <c r="M123" s="17">
        <v>186676690</v>
      </c>
      <c r="N123" s="17">
        <f t="shared" si="4"/>
        <v>186676690</v>
      </c>
      <c r="P123" s="12">
        <f t="shared" si="5"/>
        <v>16</v>
      </c>
    </row>
    <row r="124" spans="1:16" ht="15" hidden="1" customHeight="1" x14ac:dyDescent="0.2">
      <c r="A124" s="12" t="s">
        <v>18</v>
      </c>
      <c r="B124" s="36">
        <v>46031</v>
      </c>
      <c r="C124" s="12">
        <f t="shared" si="3"/>
        <v>120</v>
      </c>
      <c r="D124" s="38">
        <v>1</v>
      </c>
      <c r="G124" s="12" t="s">
        <v>311</v>
      </c>
      <c r="H124" s="12" t="s">
        <v>3057</v>
      </c>
      <c r="I124" s="12">
        <v>131</v>
      </c>
      <c r="J124" s="12">
        <v>5118</v>
      </c>
      <c r="K124" s="12" t="s">
        <v>20</v>
      </c>
      <c r="L124" s="12">
        <v>1</v>
      </c>
      <c r="M124" s="17">
        <v>132581230</v>
      </c>
      <c r="N124" s="17">
        <f t="shared" si="4"/>
        <v>132581230</v>
      </c>
      <c r="P124" s="12">
        <f t="shared" si="5"/>
        <v>16</v>
      </c>
    </row>
    <row r="125" spans="1:16" ht="15" hidden="1" customHeight="1" x14ac:dyDescent="0.2">
      <c r="A125" s="12" t="s">
        <v>18</v>
      </c>
      <c r="B125" s="36">
        <v>46031</v>
      </c>
      <c r="C125" s="12">
        <f t="shared" si="3"/>
        <v>121</v>
      </c>
      <c r="D125" s="38">
        <v>1</v>
      </c>
      <c r="G125" s="12" t="s">
        <v>311</v>
      </c>
      <c r="H125" s="12" t="s">
        <v>3057</v>
      </c>
      <c r="I125" s="12">
        <v>131</v>
      </c>
      <c r="J125" s="12">
        <v>5118</v>
      </c>
      <c r="K125" s="12" t="s">
        <v>20</v>
      </c>
      <c r="L125" s="12">
        <v>1</v>
      </c>
      <c r="M125" s="17">
        <v>578317363</v>
      </c>
      <c r="N125" s="17">
        <f t="shared" si="4"/>
        <v>578317363</v>
      </c>
      <c r="P125" s="12">
        <f t="shared" si="5"/>
        <v>16</v>
      </c>
    </row>
    <row r="126" spans="1:16" ht="15" hidden="1" customHeight="1" x14ac:dyDescent="0.2">
      <c r="A126" s="12" t="s">
        <v>18</v>
      </c>
      <c r="B126" s="36">
        <v>46033</v>
      </c>
      <c r="C126" s="12">
        <f t="shared" si="3"/>
        <v>122</v>
      </c>
      <c r="D126" s="38">
        <v>1</v>
      </c>
      <c r="G126" s="12" t="s">
        <v>311</v>
      </c>
      <c r="H126" s="12" t="s">
        <v>3057</v>
      </c>
      <c r="I126" s="12">
        <v>131</v>
      </c>
      <c r="J126" s="12">
        <v>5118</v>
      </c>
      <c r="K126" s="12" t="s">
        <v>20</v>
      </c>
      <c r="L126" s="12">
        <v>1</v>
      </c>
      <c r="M126" s="17">
        <v>109516223</v>
      </c>
      <c r="N126" s="17">
        <f t="shared" si="4"/>
        <v>109516223</v>
      </c>
      <c r="P126" s="12">
        <f t="shared" si="5"/>
        <v>16</v>
      </c>
    </row>
    <row r="127" spans="1:16" ht="15" hidden="1" customHeight="1" x14ac:dyDescent="0.2">
      <c r="A127" s="12" t="s">
        <v>18</v>
      </c>
      <c r="B127" s="36">
        <v>46034</v>
      </c>
      <c r="C127" s="12">
        <f t="shared" si="3"/>
        <v>123</v>
      </c>
      <c r="D127" s="38">
        <v>1</v>
      </c>
      <c r="G127" s="12" t="s">
        <v>311</v>
      </c>
      <c r="H127" s="12" t="s">
        <v>3057</v>
      </c>
      <c r="I127" s="12">
        <v>131</v>
      </c>
      <c r="J127" s="12">
        <v>5118</v>
      </c>
      <c r="K127" s="12" t="s">
        <v>20</v>
      </c>
      <c r="L127" s="12">
        <v>1</v>
      </c>
      <c r="M127" s="17">
        <v>147041279</v>
      </c>
      <c r="N127" s="17">
        <f t="shared" si="4"/>
        <v>147041279</v>
      </c>
      <c r="P127" s="12">
        <f t="shared" si="5"/>
        <v>16</v>
      </c>
    </row>
    <row r="128" spans="1:16" ht="15" hidden="1" customHeight="1" x14ac:dyDescent="0.2">
      <c r="A128" s="12" t="s">
        <v>18</v>
      </c>
      <c r="B128" s="36">
        <v>46036</v>
      </c>
      <c r="C128" s="12">
        <f t="shared" si="3"/>
        <v>124</v>
      </c>
      <c r="D128" s="38">
        <f t="shared" ref="D128:D143" si="6">IF(H128=H127,0,1)</f>
        <v>1</v>
      </c>
      <c r="G128" s="12" t="s">
        <v>54</v>
      </c>
      <c r="H128" s="12" t="s">
        <v>2214</v>
      </c>
      <c r="I128" s="12">
        <v>64277</v>
      </c>
      <c r="J128" s="12">
        <v>331</v>
      </c>
      <c r="K128" s="12" t="s">
        <v>20</v>
      </c>
      <c r="L128" s="12">
        <v>1</v>
      </c>
      <c r="M128" s="17">
        <v>99000</v>
      </c>
      <c r="N128" s="17">
        <f t="shared" si="4"/>
        <v>99000</v>
      </c>
      <c r="P128" s="12">
        <f t="shared" si="5"/>
        <v>72</v>
      </c>
    </row>
    <row r="129" spans="1:16" ht="15" hidden="1" customHeight="1" x14ac:dyDescent="0.2">
      <c r="A129" s="12" t="s">
        <v>18</v>
      </c>
      <c r="B129" s="36">
        <v>46036</v>
      </c>
      <c r="C129" s="12">
        <f t="shared" si="3"/>
        <v>124</v>
      </c>
      <c r="D129" s="38">
        <f t="shared" si="6"/>
        <v>0</v>
      </c>
      <c r="G129" s="12" t="s">
        <v>54</v>
      </c>
      <c r="H129" s="12" t="s">
        <v>2214</v>
      </c>
      <c r="I129" s="12">
        <v>1331</v>
      </c>
      <c r="J129" s="12">
        <v>331</v>
      </c>
      <c r="K129" s="12" t="s">
        <v>20</v>
      </c>
      <c r="L129" s="12">
        <v>1</v>
      </c>
      <c r="M129" s="17">
        <v>0</v>
      </c>
      <c r="N129" s="17">
        <f t="shared" si="4"/>
        <v>0</v>
      </c>
      <c r="P129" s="12">
        <f t="shared" si="5"/>
        <v>72</v>
      </c>
    </row>
    <row r="130" spans="1:16" ht="15" hidden="1" customHeight="1" x14ac:dyDescent="0.2">
      <c r="A130" s="12" t="s">
        <v>18</v>
      </c>
      <c r="B130" s="36">
        <v>46037</v>
      </c>
      <c r="C130" s="12">
        <f t="shared" si="3"/>
        <v>125</v>
      </c>
      <c r="D130" s="38">
        <f t="shared" si="6"/>
        <v>1</v>
      </c>
      <c r="G130" s="12" t="s">
        <v>311</v>
      </c>
      <c r="H130" s="12" t="s">
        <v>3057</v>
      </c>
      <c r="I130" s="12">
        <v>131</v>
      </c>
      <c r="J130" s="12">
        <v>5118</v>
      </c>
      <c r="K130" s="12" t="s">
        <v>20</v>
      </c>
      <c r="L130" s="12">
        <v>1</v>
      </c>
      <c r="M130" s="17">
        <v>132596697</v>
      </c>
      <c r="N130" s="17">
        <f t="shared" si="4"/>
        <v>132596697</v>
      </c>
      <c r="P130" s="12">
        <f t="shared" si="5"/>
        <v>16</v>
      </c>
    </row>
    <row r="131" spans="1:16" ht="15" hidden="1" customHeight="1" x14ac:dyDescent="0.2">
      <c r="A131" s="12" t="s">
        <v>18</v>
      </c>
      <c r="B131" s="36">
        <v>46037</v>
      </c>
      <c r="C131" s="12">
        <f t="shared" si="3"/>
        <v>126</v>
      </c>
      <c r="D131" s="38">
        <f t="shared" si="6"/>
        <v>1</v>
      </c>
      <c r="G131" s="12" t="s">
        <v>54</v>
      </c>
      <c r="H131" s="12" t="s">
        <v>2215</v>
      </c>
      <c r="I131" s="12">
        <v>64277</v>
      </c>
      <c r="J131" s="12">
        <v>331</v>
      </c>
      <c r="K131" s="12" t="s">
        <v>20</v>
      </c>
      <c r="L131" s="12">
        <v>1</v>
      </c>
      <c r="M131" s="17">
        <v>763000</v>
      </c>
      <c r="N131" s="17">
        <f t="shared" si="4"/>
        <v>763000</v>
      </c>
      <c r="P131" s="12">
        <f t="shared" si="5"/>
        <v>81</v>
      </c>
    </row>
    <row r="132" spans="1:16" ht="15" hidden="1" customHeight="1" x14ac:dyDescent="0.2">
      <c r="A132" s="12" t="s">
        <v>18</v>
      </c>
      <c r="B132" s="36">
        <v>46037</v>
      </c>
      <c r="C132" s="12">
        <f t="shared" ref="C132:C195" si="7">C131+D132</f>
        <v>126</v>
      </c>
      <c r="D132" s="38">
        <f t="shared" si="6"/>
        <v>0</v>
      </c>
      <c r="G132" s="12" t="s">
        <v>54</v>
      </c>
      <c r="H132" s="12" t="s">
        <v>2215</v>
      </c>
      <c r="I132" s="12">
        <v>1331</v>
      </c>
      <c r="J132" s="12">
        <v>331</v>
      </c>
      <c r="K132" s="12" t="s">
        <v>20</v>
      </c>
      <c r="L132" s="12">
        <v>1</v>
      </c>
      <c r="M132" s="17">
        <v>61040</v>
      </c>
      <c r="N132" s="17">
        <f t="shared" ref="N132:N195" si="8">L132*M132</f>
        <v>61040</v>
      </c>
      <c r="P132" s="12">
        <f t="shared" ref="P132:P195" si="9">LEN(H132)</f>
        <v>81</v>
      </c>
    </row>
    <row r="133" spans="1:16" ht="15" hidden="1" customHeight="1" x14ac:dyDescent="0.2">
      <c r="A133" s="12" t="s">
        <v>18</v>
      </c>
      <c r="B133" s="36">
        <v>46038</v>
      </c>
      <c r="C133" s="12">
        <f t="shared" si="7"/>
        <v>127</v>
      </c>
      <c r="D133" s="38">
        <f t="shared" si="6"/>
        <v>1</v>
      </c>
      <c r="G133" s="12" t="s">
        <v>311</v>
      </c>
      <c r="H133" s="12" t="s">
        <v>3057</v>
      </c>
      <c r="I133" s="12">
        <v>131</v>
      </c>
      <c r="J133" s="12">
        <v>5118</v>
      </c>
      <c r="K133" s="12" t="s">
        <v>20</v>
      </c>
      <c r="L133" s="12">
        <v>1</v>
      </c>
      <c r="M133" s="17">
        <v>127799363</v>
      </c>
      <c r="N133" s="17">
        <f t="shared" si="8"/>
        <v>127799363</v>
      </c>
      <c r="P133" s="12">
        <f t="shared" si="9"/>
        <v>16</v>
      </c>
    </row>
    <row r="134" spans="1:16" ht="15" hidden="1" customHeight="1" x14ac:dyDescent="0.2">
      <c r="A134" s="12" t="s">
        <v>18</v>
      </c>
      <c r="B134" s="36">
        <v>46039</v>
      </c>
      <c r="C134" s="12">
        <f t="shared" si="7"/>
        <v>128</v>
      </c>
      <c r="D134" s="38">
        <f t="shared" si="6"/>
        <v>1</v>
      </c>
      <c r="G134" s="12" t="s">
        <v>2216</v>
      </c>
      <c r="H134" s="12" t="s">
        <v>2217</v>
      </c>
      <c r="I134" s="12">
        <v>64277</v>
      </c>
      <c r="J134" s="12">
        <v>331</v>
      </c>
      <c r="K134" s="12" t="s">
        <v>20</v>
      </c>
      <c r="L134" s="12">
        <v>1</v>
      </c>
      <c r="M134" s="17">
        <v>5092592</v>
      </c>
      <c r="N134" s="17">
        <f t="shared" si="8"/>
        <v>5092592</v>
      </c>
      <c r="P134" s="12">
        <f t="shared" si="9"/>
        <v>86</v>
      </c>
    </row>
    <row r="135" spans="1:16" ht="15" hidden="1" customHeight="1" x14ac:dyDescent="0.2">
      <c r="A135" s="12" t="s">
        <v>18</v>
      </c>
      <c r="B135" s="36">
        <v>46039</v>
      </c>
      <c r="C135" s="12">
        <f t="shared" si="7"/>
        <v>128</v>
      </c>
      <c r="D135" s="38">
        <f t="shared" si="6"/>
        <v>0</v>
      </c>
      <c r="G135" s="12" t="s">
        <v>2216</v>
      </c>
      <c r="H135" s="12" t="s">
        <v>2217</v>
      </c>
      <c r="I135" s="12">
        <v>1331</v>
      </c>
      <c r="J135" s="12">
        <v>331</v>
      </c>
      <c r="K135" s="12" t="s">
        <v>20</v>
      </c>
      <c r="L135" s="12">
        <v>1</v>
      </c>
      <c r="M135" s="17">
        <v>407408</v>
      </c>
      <c r="N135" s="17">
        <f t="shared" si="8"/>
        <v>407408</v>
      </c>
      <c r="P135" s="12">
        <f t="shared" si="9"/>
        <v>86</v>
      </c>
    </row>
    <row r="136" spans="1:16" ht="15" hidden="1" customHeight="1" x14ac:dyDescent="0.2">
      <c r="A136" s="12" t="s">
        <v>18</v>
      </c>
      <c r="B136" s="36">
        <v>46040</v>
      </c>
      <c r="C136" s="12">
        <f t="shared" si="7"/>
        <v>129</v>
      </c>
      <c r="D136" s="38">
        <f t="shared" si="6"/>
        <v>1</v>
      </c>
      <c r="G136" s="12" t="s">
        <v>2218</v>
      </c>
      <c r="H136" s="12" t="s">
        <v>3897</v>
      </c>
      <c r="I136" s="12">
        <v>64277</v>
      </c>
      <c r="J136" s="12">
        <v>331</v>
      </c>
      <c r="K136" s="12" t="s">
        <v>20</v>
      </c>
      <c r="L136" s="12">
        <v>1</v>
      </c>
      <c r="M136" s="17">
        <v>59259260</v>
      </c>
      <c r="N136" s="17">
        <f t="shared" si="8"/>
        <v>59259260</v>
      </c>
      <c r="P136" s="12">
        <f t="shared" si="9"/>
        <v>39</v>
      </c>
    </row>
    <row r="137" spans="1:16" ht="15" hidden="1" customHeight="1" x14ac:dyDescent="0.2">
      <c r="A137" s="12" t="s">
        <v>18</v>
      </c>
      <c r="B137" s="36">
        <v>46040</v>
      </c>
      <c r="C137" s="12">
        <f t="shared" si="7"/>
        <v>129</v>
      </c>
      <c r="D137" s="38">
        <f t="shared" si="6"/>
        <v>0</v>
      </c>
      <c r="G137" s="12" t="s">
        <v>2218</v>
      </c>
      <c r="H137" s="12" t="s">
        <v>3897</v>
      </c>
      <c r="I137" s="12">
        <v>1331</v>
      </c>
      <c r="J137" s="12">
        <v>331</v>
      </c>
      <c r="K137" s="12" t="s">
        <v>20</v>
      </c>
      <c r="L137" s="12">
        <v>1</v>
      </c>
      <c r="M137" s="17">
        <v>4740740</v>
      </c>
      <c r="N137" s="17">
        <f t="shared" si="8"/>
        <v>4740740</v>
      </c>
      <c r="P137" s="12">
        <f t="shared" si="9"/>
        <v>39</v>
      </c>
    </row>
    <row r="138" spans="1:16" ht="15" hidden="1" customHeight="1" x14ac:dyDescent="0.2">
      <c r="A138" s="12" t="s">
        <v>18</v>
      </c>
      <c r="B138" s="36">
        <v>46040</v>
      </c>
      <c r="C138" s="12">
        <f t="shared" si="7"/>
        <v>130</v>
      </c>
      <c r="D138" s="38">
        <f t="shared" si="6"/>
        <v>1</v>
      </c>
      <c r="G138" s="12" t="s">
        <v>311</v>
      </c>
      <c r="H138" s="12" t="s">
        <v>3057</v>
      </c>
      <c r="I138" s="12">
        <v>131</v>
      </c>
      <c r="J138" s="12">
        <v>5118</v>
      </c>
      <c r="K138" s="12" t="s">
        <v>20</v>
      </c>
      <c r="L138" s="12">
        <v>1</v>
      </c>
      <c r="M138" s="17">
        <v>405556082</v>
      </c>
      <c r="N138" s="17">
        <f t="shared" si="8"/>
        <v>405556082</v>
      </c>
      <c r="P138" s="12">
        <f t="shared" si="9"/>
        <v>16</v>
      </c>
    </row>
    <row r="139" spans="1:16" ht="15" hidden="1" customHeight="1" x14ac:dyDescent="0.2">
      <c r="A139" s="12" t="s">
        <v>18</v>
      </c>
      <c r="B139" s="36">
        <v>46041</v>
      </c>
      <c r="C139" s="12">
        <f t="shared" si="7"/>
        <v>131</v>
      </c>
      <c r="D139" s="38">
        <f t="shared" si="6"/>
        <v>1</v>
      </c>
      <c r="G139" s="12" t="s">
        <v>2220</v>
      </c>
      <c r="H139" s="12" t="s">
        <v>3899</v>
      </c>
      <c r="I139" s="12">
        <v>64277</v>
      </c>
      <c r="J139" s="12">
        <v>331</v>
      </c>
      <c r="K139" s="12" t="s">
        <v>20</v>
      </c>
      <c r="L139" s="12">
        <v>1</v>
      </c>
      <c r="M139" s="17">
        <v>4704000</v>
      </c>
      <c r="N139" s="17">
        <f t="shared" si="8"/>
        <v>4704000</v>
      </c>
      <c r="P139" s="12">
        <f t="shared" si="9"/>
        <v>41</v>
      </c>
    </row>
    <row r="140" spans="1:16" ht="15" hidden="1" customHeight="1" x14ac:dyDescent="0.2">
      <c r="A140" s="12" t="s">
        <v>18</v>
      </c>
      <c r="B140" s="36">
        <v>46041</v>
      </c>
      <c r="C140" s="12">
        <f t="shared" si="7"/>
        <v>131</v>
      </c>
      <c r="D140" s="38">
        <f t="shared" si="6"/>
        <v>0</v>
      </c>
      <c r="G140" s="12" t="s">
        <v>2220</v>
      </c>
      <c r="H140" s="12" t="s">
        <v>3899</v>
      </c>
      <c r="I140" s="12">
        <v>1331</v>
      </c>
      <c r="J140" s="12">
        <v>331</v>
      </c>
      <c r="K140" s="12" t="s">
        <v>20</v>
      </c>
      <c r="L140" s="12">
        <v>1</v>
      </c>
      <c r="M140" s="17">
        <v>376320</v>
      </c>
      <c r="N140" s="17">
        <f t="shared" si="8"/>
        <v>376320</v>
      </c>
      <c r="P140" s="12">
        <f t="shared" si="9"/>
        <v>41</v>
      </c>
    </row>
    <row r="141" spans="1:16" ht="15" hidden="1" customHeight="1" x14ac:dyDescent="0.2">
      <c r="A141" s="12" t="s">
        <v>18</v>
      </c>
      <c r="B141" s="36">
        <v>46041</v>
      </c>
      <c r="C141" s="12">
        <f t="shared" si="7"/>
        <v>132</v>
      </c>
      <c r="D141" s="38">
        <f t="shared" si="6"/>
        <v>1</v>
      </c>
      <c r="G141" s="12" t="s">
        <v>43</v>
      </c>
      <c r="H141" s="12" t="s">
        <v>2219</v>
      </c>
      <c r="I141" s="12">
        <v>64277</v>
      </c>
      <c r="J141" s="12">
        <v>331</v>
      </c>
      <c r="K141" s="12" t="s">
        <v>20</v>
      </c>
      <c r="L141" s="12">
        <v>1</v>
      </c>
      <c r="M141" s="17">
        <v>29090926</v>
      </c>
      <c r="N141" s="17">
        <f t="shared" si="8"/>
        <v>29090926</v>
      </c>
      <c r="P141" s="12">
        <f t="shared" si="9"/>
        <v>117</v>
      </c>
    </row>
    <row r="142" spans="1:16" ht="15" hidden="1" customHeight="1" x14ac:dyDescent="0.2">
      <c r="A142" s="12" t="s">
        <v>18</v>
      </c>
      <c r="B142" s="36">
        <v>46041</v>
      </c>
      <c r="C142" s="12">
        <f t="shared" si="7"/>
        <v>132</v>
      </c>
      <c r="D142" s="38">
        <f t="shared" si="6"/>
        <v>0</v>
      </c>
      <c r="G142" s="12" t="s">
        <v>43</v>
      </c>
      <c r="H142" s="12" t="s">
        <v>2219</v>
      </c>
      <c r="I142" s="12">
        <v>1331</v>
      </c>
      <c r="J142" s="12">
        <v>331</v>
      </c>
      <c r="K142" s="12" t="s">
        <v>20</v>
      </c>
      <c r="L142" s="12">
        <v>1</v>
      </c>
      <c r="M142" s="17">
        <v>2327274</v>
      </c>
      <c r="N142" s="17">
        <f t="shared" si="8"/>
        <v>2327274</v>
      </c>
      <c r="P142" s="12">
        <f t="shared" si="9"/>
        <v>117</v>
      </c>
    </row>
    <row r="143" spans="1:16" ht="15" hidden="1" customHeight="1" x14ac:dyDescent="0.2">
      <c r="A143" s="12" t="s">
        <v>18</v>
      </c>
      <c r="B143" s="36">
        <v>46041</v>
      </c>
      <c r="C143" s="12">
        <f t="shared" si="7"/>
        <v>133</v>
      </c>
      <c r="D143" s="38">
        <f t="shared" si="6"/>
        <v>1</v>
      </c>
      <c r="G143" s="12" t="s">
        <v>311</v>
      </c>
      <c r="H143" s="12" t="s">
        <v>3057</v>
      </c>
      <c r="I143" s="12">
        <v>131</v>
      </c>
      <c r="J143" s="12">
        <v>5118</v>
      </c>
      <c r="K143" s="12" t="s">
        <v>20</v>
      </c>
      <c r="L143" s="12">
        <v>1</v>
      </c>
      <c r="M143" s="17">
        <v>383069511</v>
      </c>
      <c r="N143" s="17">
        <f t="shared" si="8"/>
        <v>383069511</v>
      </c>
      <c r="P143" s="12">
        <f t="shared" si="9"/>
        <v>16</v>
      </c>
    </row>
    <row r="144" spans="1:16" ht="15" hidden="1" customHeight="1" x14ac:dyDescent="0.2">
      <c r="A144" s="12" t="s">
        <v>18</v>
      </c>
      <c r="B144" s="36">
        <v>46042</v>
      </c>
      <c r="C144" s="12">
        <f t="shared" si="7"/>
        <v>134</v>
      </c>
      <c r="D144" s="38">
        <v>1</v>
      </c>
      <c r="G144" s="12" t="s">
        <v>311</v>
      </c>
      <c r="H144" s="12" t="s">
        <v>3057</v>
      </c>
      <c r="I144" s="12">
        <v>131</v>
      </c>
      <c r="J144" s="12">
        <v>5118</v>
      </c>
      <c r="K144" s="12" t="s">
        <v>20</v>
      </c>
      <c r="L144" s="12">
        <v>1</v>
      </c>
      <c r="M144" s="17">
        <v>457889148</v>
      </c>
      <c r="N144" s="17">
        <f t="shared" si="8"/>
        <v>457889148</v>
      </c>
      <c r="P144" s="12">
        <f t="shared" si="9"/>
        <v>16</v>
      </c>
    </row>
    <row r="145" spans="1:16" ht="15" hidden="1" customHeight="1" x14ac:dyDescent="0.2">
      <c r="A145" s="12" t="s">
        <v>18</v>
      </c>
      <c r="B145" s="36">
        <v>46043</v>
      </c>
      <c r="C145" s="12">
        <f t="shared" si="7"/>
        <v>135</v>
      </c>
      <c r="D145" s="38">
        <v>1</v>
      </c>
      <c r="G145" s="12" t="s">
        <v>311</v>
      </c>
      <c r="H145" s="12" t="s">
        <v>3057</v>
      </c>
      <c r="I145" s="12">
        <v>131</v>
      </c>
      <c r="J145" s="12">
        <v>5118</v>
      </c>
      <c r="K145" s="12" t="s">
        <v>20</v>
      </c>
      <c r="L145" s="12">
        <v>1</v>
      </c>
      <c r="M145" s="17">
        <v>279679884</v>
      </c>
      <c r="N145" s="17">
        <f t="shared" si="8"/>
        <v>279679884</v>
      </c>
      <c r="P145" s="12">
        <f t="shared" si="9"/>
        <v>16</v>
      </c>
    </row>
    <row r="146" spans="1:16" ht="15" hidden="1" customHeight="1" x14ac:dyDescent="0.2">
      <c r="A146" s="12" t="s">
        <v>18</v>
      </c>
      <c r="B146" s="36">
        <v>46043</v>
      </c>
      <c r="C146" s="12">
        <f t="shared" si="7"/>
        <v>136</v>
      </c>
      <c r="D146" s="38">
        <f>IF(H146=H145,0,1)</f>
        <v>1</v>
      </c>
      <c r="G146" s="12" t="s">
        <v>2221</v>
      </c>
      <c r="H146" s="12" t="s">
        <v>2222</v>
      </c>
      <c r="I146" s="12">
        <v>64277</v>
      </c>
      <c r="J146" s="12">
        <v>331</v>
      </c>
      <c r="K146" s="12" t="s">
        <v>20</v>
      </c>
      <c r="L146" s="12">
        <v>1</v>
      </c>
      <c r="M146" s="17">
        <v>215512500</v>
      </c>
      <c r="N146" s="17">
        <f t="shared" si="8"/>
        <v>215512500</v>
      </c>
      <c r="P146" s="12">
        <f t="shared" si="9"/>
        <v>142</v>
      </c>
    </row>
    <row r="147" spans="1:16" ht="15" hidden="1" customHeight="1" x14ac:dyDescent="0.2">
      <c r="A147" s="12" t="s">
        <v>18</v>
      </c>
      <c r="B147" s="36">
        <v>46043</v>
      </c>
      <c r="C147" s="12">
        <f t="shared" si="7"/>
        <v>136</v>
      </c>
      <c r="D147" s="38">
        <f>IF(H147=H146,0,1)</f>
        <v>0</v>
      </c>
      <c r="G147" s="12" t="s">
        <v>2221</v>
      </c>
      <c r="H147" s="12" t="s">
        <v>2222</v>
      </c>
      <c r="I147" s="12">
        <v>1331</v>
      </c>
      <c r="J147" s="12">
        <v>331</v>
      </c>
      <c r="K147" s="12" t="s">
        <v>20</v>
      </c>
      <c r="L147" s="12">
        <v>1</v>
      </c>
      <c r="M147" s="17">
        <v>18196500</v>
      </c>
      <c r="N147" s="17">
        <f t="shared" si="8"/>
        <v>18196500</v>
      </c>
      <c r="P147" s="12">
        <f t="shared" si="9"/>
        <v>142</v>
      </c>
    </row>
    <row r="148" spans="1:16" ht="15" hidden="1" customHeight="1" x14ac:dyDescent="0.2">
      <c r="A148" s="12" t="s">
        <v>18</v>
      </c>
      <c r="B148" s="36">
        <v>46044</v>
      </c>
      <c r="C148" s="12">
        <f t="shared" si="7"/>
        <v>137</v>
      </c>
      <c r="D148" s="38">
        <f>IF(H148=H147,0,1)</f>
        <v>1</v>
      </c>
      <c r="G148" s="12" t="s">
        <v>311</v>
      </c>
      <c r="H148" s="12" t="s">
        <v>3057</v>
      </c>
      <c r="I148" s="12">
        <v>131</v>
      </c>
      <c r="J148" s="12">
        <v>5118</v>
      </c>
      <c r="K148" s="12" t="s">
        <v>20</v>
      </c>
      <c r="L148" s="12">
        <v>1</v>
      </c>
      <c r="M148" s="17">
        <v>195602582</v>
      </c>
      <c r="N148" s="17">
        <f t="shared" si="8"/>
        <v>195602582</v>
      </c>
      <c r="P148" s="12">
        <f t="shared" si="9"/>
        <v>16</v>
      </c>
    </row>
    <row r="149" spans="1:16" ht="15" hidden="1" customHeight="1" x14ac:dyDescent="0.2">
      <c r="A149" s="12" t="s">
        <v>18</v>
      </c>
      <c r="B149" s="36">
        <v>46045</v>
      </c>
      <c r="C149" s="12">
        <f t="shared" si="7"/>
        <v>138</v>
      </c>
      <c r="D149" s="38">
        <v>1</v>
      </c>
      <c r="G149" s="12" t="s">
        <v>311</v>
      </c>
      <c r="H149" s="12" t="s">
        <v>3057</v>
      </c>
      <c r="I149" s="12">
        <v>131</v>
      </c>
      <c r="J149" s="12">
        <v>5118</v>
      </c>
      <c r="K149" s="12" t="s">
        <v>20</v>
      </c>
      <c r="L149" s="12">
        <v>1</v>
      </c>
      <c r="M149" s="17">
        <v>103338690</v>
      </c>
      <c r="N149" s="17">
        <f t="shared" si="8"/>
        <v>103338690</v>
      </c>
      <c r="P149" s="12">
        <f t="shared" si="9"/>
        <v>16</v>
      </c>
    </row>
    <row r="150" spans="1:16" ht="15" hidden="1" customHeight="1" x14ac:dyDescent="0.2">
      <c r="A150" s="12" t="s">
        <v>18</v>
      </c>
      <c r="B150" s="36">
        <v>46045</v>
      </c>
      <c r="C150" s="12">
        <f t="shared" si="7"/>
        <v>139</v>
      </c>
      <c r="D150" s="38">
        <f>IF(H150=H149,0,1)</f>
        <v>1</v>
      </c>
      <c r="G150" s="12" t="s">
        <v>2223</v>
      </c>
      <c r="H150" s="12" t="s">
        <v>2224</v>
      </c>
      <c r="I150" s="12">
        <v>64277</v>
      </c>
      <c r="J150" s="12">
        <v>331</v>
      </c>
      <c r="K150" s="12" t="s">
        <v>20</v>
      </c>
      <c r="L150" s="12">
        <v>1</v>
      </c>
      <c r="M150" s="17">
        <v>1024000</v>
      </c>
      <c r="N150" s="17">
        <f t="shared" si="8"/>
        <v>1024000</v>
      </c>
      <c r="P150" s="12">
        <f t="shared" si="9"/>
        <v>163</v>
      </c>
    </row>
    <row r="151" spans="1:16" ht="15" hidden="1" customHeight="1" x14ac:dyDescent="0.2">
      <c r="A151" s="12" t="s">
        <v>18</v>
      </c>
      <c r="B151" s="36">
        <v>46045</v>
      </c>
      <c r="C151" s="12">
        <f t="shared" si="7"/>
        <v>139</v>
      </c>
      <c r="D151" s="38">
        <f>IF(H151=H150,0,1)</f>
        <v>0</v>
      </c>
      <c r="G151" s="12" t="s">
        <v>2223</v>
      </c>
      <c r="H151" s="12" t="s">
        <v>2224</v>
      </c>
      <c r="I151" s="12">
        <v>1331</v>
      </c>
      <c r="J151" s="12">
        <v>331</v>
      </c>
      <c r="K151" s="12" t="s">
        <v>20</v>
      </c>
      <c r="L151" s="12">
        <v>1</v>
      </c>
      <c r="M151" s="17">
        <v>0</v>
      </c>
      <c r="N151" s="17">
        <f t="shared" si="8"/>
        <v>0</v>
      </c>
      <c r="P151" s="12">
        <f t="shared" si="9"/>
        <v>163</v>
      </c>
    </row>
    <row r="152" spans="1:16" ht="15" hidden="1" customHeight="1" x14ac:dyDescent="0.2">
      <c r="A152" s="12" t="s">
        <v>18</v>
      </c>
      <c r="B152" s="36">
        <v>46048</v>
      </c>
      <c r="C152" s="12">
        <f t="shared" si="7"/>
        <v>140</v>
      </c>
      <c r="D152" s="38">
        <f>IF(H152=H151,0,1)</f>
        <v>1</v>
      </c>
      <c r="G152" s="12" t="s">
        <v>311</v>
      </c>
      <c r="H152" s="12" t="s">
        <v>3057</v>
      </c>
      <c r="I152" s="12">
        <v>131</v>
      </c>
      <c r="J152" s="12">
        <v>5118</v>
      </c>
      <c r="K152" s="12" t="s">
        <v>20</v>
      </c>
      <c r="L152" s="12">
        <v>1</v>
      </c>
      <c r="M152" s="17">
        <v>132307645</v>
      </c>
      <c r="N152" s="17">
        <f t="shared" si="8"/>
        <v>132307645</v>
      </c>
      <c r="P152" s="12">
        <f t="shared" si="9"/>
        <v>16</v>
      </c>
    </row>
    <row r="153" spans="1:16" ht="15" hidden="1" customHeight="1" x14ac:dyDescent="0.2">
      <c r="A153" s="12" t="s">
        <v>18</v>
      </c>
      <c r="B153" s="36">
        <v>46050</v>
      </c>
      <c r="C153" s="12">
        <f t="shared" si="7"/>
        <v>141</v>
      </c>
      <c r="D153" s="38">
        <v>1</v>
      </c>
      <c r="G153" s="12" t="s">
        <v>311</v>
      </c>
      <c r="H153" s="12" t="s">
        <v>3057</v>
      </c>
      <c r="I153" s="12">
        <v>131</v>
      </c>
      <c r="J153" s="12">
        <v>5118</v>
      </c>
      <c r="K153" s="12" t="s">
        <v>20</v>
      </c>
      <c r="L153" s="12">
        <v>1</v>
      </c>
      <c r="M153" s="17">
        <v>175311860</v>
      </c>
      <c r="N153" s="17">
        <f t="shared" si="8"/>
        <v>175311860</v>
      </c>
      <c r="P153" s="12">
        <f t="shared" si="9"/>
        <v>16</v>
      </c>
    </row>
    <row r="154" spans="1:16" ht="15" hidden="1" customHeight="1" x14ac:dyDescent="0.2">
      <c r="A154" s="12" t="s">
        <v>18</v>
      </c>
      <c r="B154" s="36">
        <v>46050</v>
      </c>
      <c r="C154" s="12">
        <f t="shared" si="7"/>
        <v>142</v>
      </c>
      <c r="D154" s="38">
        <f t="shared" ref="D154:D188" si="10">IF(H154=H153,0,1)</f>
        <v>1</v>
      </c>
      <c r="G154" s="12" t="s">
        <v>2225</v>
      </c>
      <c r="H154" s="12" t="s">
        <v>2226</v>
      </c>
      <c r="I154" s="12">
        <v>64277</v>
      </c>
      <c r="J154" s="12">
        <v>331</v>
      </c>
      <c r="K154" s="12" t="s">
        <v>20</v>
      </c>
      <c r="L154" s="12">
        <v>1</v>
      </c>
      <c r="M154" s="17">
        <v>208000</v>
      </c>
      <c r="N154" s="17">
        <f t="shared" si="8"/>
        <v>208000</v>
      </c>
      <c r="P154" s="12">
        <f t="shared" si="9"/>
        <v>16</v>
      </c>
    </row>
    <row r="155" spans="1:16" ht="15" hidden="1" customHeight="1" x14ac:dyDescent="0.2">
      <c r="A155" s="12" t="s">
        <v>18</v>
      </c>
      <c r="B155" s="36">
        <v>46050</v>
      </c>
      <c r="C155" s="12">
        <f t="shared" si="7"/>
        <v>142</v>
      </c>
      <c r="D155" s="38">
        <f t="shared" si="10"/>
        <v>0</v>
      </c>
      <c r="G155" s="12" t="s">
        <v>2225</v>
      </c>
      <c r="H155" s="12" t="s">
        <v>2226</v>
      </c>
      <c r="I155" s="12">
        <v>1331</v>
      </c>
      <c r="J155" s="12">
        <v>331</v>
      </c>
      <c r="K155" s="12" t="s">
        <v>20</v>
      </c>
      <c r="L155" s="12">
        <v>1</v>
      </c>
      <c r="M155" s="17">
        <v>16640</v>
      </c>
      <c r="N155" s="17">
        <f t="shared" si="8"/>
        <v>16640</v>
      </c>
      <c r="P155" s="12">
        <f t="shared" si="9"/>
        <v>16</v>
      </c>
    </row>
    <row r="156" spans="1:16" ht="15" hidden="1" customHeight="1" x14ac:dyDescent="0.2">
      <c r="A156" s="12" t="s">
        <v>18</v>
      </c>
      <c r="B156" s="36">
        <v>46052</v>
      </c>
      <c r="C156" s="12">
        <f t="shared" si="7"/>
        <v>143</v>
      </c>
      <c r="D156" s="38">
        <f t="shared" si="10"/>
        <v>1</v>
      </c>
      <c r="G156" s="12" t="s">
        <v>286</v>
      </c>
      <c r="H156" s="12" t="s">
        <v>2256</v>
      </c>
      <c r="I156" s="12">
        <v>131</v>
      </c>
      <c r="J156" s="12">
        <v>5113</v>
      </c>
      <c r="K156" s="12" t="s">
        <v>20</v>
      </c>
      <c r="L156" s="12">
        <v>1</v>
      </c>
      <c r="M156" s="17">
        <v>66666667</v>
      </c>
      <c r="N156" s="17">
        <f t="shared" si="8"/>
        <v>66666667</v>
      </c>
      <c r="P156" s="12">
        <f t="shared" si="9"/>
        <v>146</v>
      </c>
    </row>
    <row r="157" spans="1:16" ht="15" customHeight="1" x14ac:dyDescent="0.2">
      <c r="A157" s="12" t="s">
        <v>18</v>
      </c>
      <c r="B157" s="36">
        <v>46052</v>
      </c>
      <c r="C157" s="12">
        <f t="shared" si="7"/>
        <v>144</v>
      </c>
      <c r="D157" s="38">
        <f t="shared" si="10"/>
        <v>1</v>
      </c>
      <c r="G157" s="12" t="s">
        <v>286</v>
      </c>
      <c r="H157" s="12" t="s">
        <v>3890</v>
      </c>
      <c r="I157" s="12">
        <v>333821</v>
      </c>
      <c r="J157" s="12">
        <v>131</v>
      </c>
      <c r="K157" s="12" t="s">
        <v>20</v>
      </c>
      <c r="L157" s="12">
        <v>1</v>
      </c>
      <c r="M157" s="17">
        <v>666667</v>
      </c>
      <c r="N157" s="17">
        <f t="shared" si="8"/>
        <v>666667</v>
      </c>
      <c r="P157" s="12">
        <f t="shared" si="9"/>
        <v>162</v>
      </c>
    </row>
    <row r="158" spans="1:16" ht="15" hidden="1" customHeight="1" x14ac:dyDescent="0.2">
      <c r="A158" s="12" t="s">
        <v>18</v>
      </c>
      <c r="B158" s="36">
        <v>46052</v>
      </c>
      <c r="C158" s="12">
        <f t="shared" si="7"/>
        <v>145</v>
      </c>
      <c r="D158" s="38">
        <f t="shared" si="10"/>
        <v>1</v>
      </c>
      <c r="G158" s="12" t="s">
        <v>35</v>
      </c>
      <c r="H158" s="12" t="s">
        <v>2227</v>
      </c>
      <c r="I158" s="12">
        <v>64277</v>
      </c>
      <c r="J158" s="12">
        <v>331</v>
      </c>
      <c r="K158" s="12" t="s">
        <v>20</v>
      </c>
      <c r="L158" s="12">
        <v>1</v>
      </c>
      <c r="M158" s="17">
        <v>3000000</v>
      </c>
      <c r="N158" s="17">
        <f t="shared" si="8"/>
        <v>3000000</v>
      </c>
      <c r="P158" s="12">
        <f t="shared" si="9"/>
        <v>41</v>
      </c>
    </row>
    <row r="159" spans="1:16" ht="15" hidden="1" customHeight="1" x14ac:dyDescent="0.2">
      <c r="A159" s="12" t="s">
        <v>18</v>
      </c>
      <c r="B159" s="36">
        <v>46052</v>
      </c>
      <c r="C159" s="12">
        <f t="shared" si="7"/>
        <v>145</v>
      </c>
      <c r="D159" s="38">
        <f t="shared" si="10"/>
        <v>0</v>
      </c>
      <c r="G159" s="12" t="s">
        <v>35</v>
      </c>
      <c r="H159" s="12" t="s">
        <v>2227</v>
      </c>
      <c r="I159" s="12">
        <v>1331</v>
      </c>
      <c r="J159" s="12">
        <v>331</v>
      </c>
      <c r="K159" s="12" t="s">
        <v>20</v>
      </c>
      <c r="L159" s="12">
        <v>1</v>
      </c>
      <c r="M159" s="17">
        <v>240000</v>
      </c>
      <c r="N159" s="17">
        <f t="shared" si="8"/>
        <v>240000</v>
      </c>
      <c r="P159" s="12">
        <f t="shared" si="9"/>
        <v>41</v>
      </c>
    </row>
    <row r="160" spans="1:16" ht="15" hidden="1" customHeight="1" x14ac:dyDescent="0.2">
      <c r="A160" s="12" t="s">
        <v>18</v>
      </c>
      <c r="B160" s="36">
        <v>46053</v>
      </c>
      <c r="C160" s="12">
        <f t="shared" si="7"/>
        <v>146</v>
      </c>
      <c r="D160" s="38">
        <f t="shared" si="10"/>
        <v>1</v>
      </c>
      <c r="G160" s="12" t="s">
        <v>2228</v>
      </c>
      <c r="H160" s="12" t="s">
        <v>2229</v>
      </c>
      <c r="I160" s="12">
        <v>64277</v>
      </c>
      <c r="J160" s="12">
        <v>331</v>
      </c>
      <c r="K160" s="12" t="s">
        <v>20</v>
      </c>
      <c r="L160" s="12">
        <v>1</v>
      </c>
      <c r="M160" s="17">
        <v>5117593</v>
      </c>
      <c r="N160" s="17">
        <f t="shared" si="8"/>
        <v>5117593</v>
      </c>
      <c r="P160" s="12">
        <f t="shared" si="9"/>
        <v>27</v>
      </c>
    </row>
    <row r="161" spans="1:16" ht="15" hidden="1" customHeight="1" x14ac:dyDescent="0.2">
      <c r="A161" s="12" t="s">
        <v>18</v>
      </c>
      <c r="B161" s="36">
        <v>46053</v>
      </c>
      <c r="C161" s="12">
        <f t="shared" si="7"/>
        <v>146</v>
      </c>
      <c r="D161" s="38">
        <f t="shared" si="10"/>
        <v>0</v>
      </c>
      <c r="G161" s="12" t="s">
        <v>2228</v>
      </c>
      <c r="H161" s="12" t="s">
        <v>2229</v>
      </c>
      <c r="I161" s="12">
        <v>1331</v>
      </c>
      <c r="J161" s="12">
        <v>331</v>
      </c>
      <c r="K161" s="12" t="s">
        <v>20</v>
      </c>
      <c r="L161" s="12">
        <v>1</v>
      </c>
      <c r="M161" s="17">
        <v>409407</v>
      </c>
      <c r="N161" s="17">
        <f t="shared" si="8"/>
        <v>409407</v>
      </c>
      <c r="P161" s="12">
        <f t="shared" si="9"/>
        <v>27</v>
      </c>
    </row>
    <row r="162" spans="1:16" ht="15" customHeight="1" x14ac:dyDescent="0.2">
      <c r="A162" s="12" t="s">
        <v>18</v>
      </c>
      <c r="B162" s="36">
        <v>46054</v>
      </c>
      <c r="C162" s="12">
        <f t="shared" si="7"/>
        <v>147</v>
      </c>
      <c r="D162" s="38">
        <f t="shared" si="10"/>
        <v>1</v>
      </c>
      <c r="G162" s="12" t="s">
        <v>2257</v>
      </c>
      <c r="H162" s="12" t="s">
        <v>3891</v>
      </c>
      <c r="I162" s="12">
        <v>333821</v>
      </c>
      <c r="J162" s="12">
        <v>131</v>
      </c>
      <c r="K162" s="12" t="s">
        <v>20</v>
      </c>
      <c r="L162" s="12">
        <v>1</v>
      </c>
      <c r="M162" s="17">
        <v>166667</v>
      </c>
      <c r="N162" s="17">
        <f t="shared" si="8"/>
        <v>166667</v>
      </c>
      <c r="P162" s="12">
        <f t="shared" si="9"/>
        <v>111</v>
      </c>
    </row>
    <row r="163" spans="1:16" ht="15" hidden="1" customHeight="1" x14ac:dyDescent="0.2">
      <c r="A163" s="12" t="s">
        <v>18</v>
      </c>
      <c r="B163" s="36">
        <v>46054</v>
      </c>
      <c r="C163" s="12">
        <f t="shared" si="7"/>
        <v>148</v>
      </c>
      <c r="D163" s="38">
        <f t="shared" si="10"/>
        <v>1</v>
      </c>
      <c r="G163" s="12" t="s">
        <v>311</v>
      </c>
      <c r="H163" s="12" t="s">
        <v>3057</v>
      </c>
      <c r="I163" s="12">
        <v>131</v>
      </c>
      <c r="J163" s="12">
        <v>5118</v>
      </c>
      <c r="K163" s="12" t="s">
        <v>20</v>
      </c>
      <c r="L163" s="12">
        <v>1</v>
      </c>
      <c r="M163" s="17">
        <v>180063839</v>
      </c>
      <c r="N163" s="17">
        <f t="shared" si="8"/>
        <v>180063839</v>
      </c>
      <c r="P163" s="12">
        <f t="shared" si="9"/>
        <v>16</v>
      </c>
    </row>
    <row r="164" spans="1:16" ht="15" hidden="1" customHeight="1" x14ac:dyDescent="0.2">
      <c r="A164" s="12" t="s">
        <v>18</v>
      </c>
      <c r="B164" s="36">
        <v>46054</v>
      </c>
      <c r="C164" s="12">
        <f t="shared" si="7"/>
        <v>149</v>
      </c>
      <c r="D164" s="38">
        <f t="shared" si="10"/>
        <v>1</v>
      </c>
      <c r="G164" s="12" t="s">
        <v>2221</v>
      </c>
      <c r="H164" s="12" t="s">
        <v>3901</v>
      </c>
      <c r="I164" s="12">
        <v>64277</v>
      </c>
      <c r="J164" s="12">
        <v>331</v>
      </c>
      <c r="K164" s="12" t="s">
        <v>20</v>
      </c>
      <c r="L164" s="12">
        <v>1</v>
      </c>
      <c r="M164" s="17">
        <v>60154500</v>
      </c>
      <c r="N164" s="17">
        <f t="shared" si="8"/>
        <v>60154500</v>
      </c>
      <c r="P164" s="12">
        <f t="shared" si="9"/>
        <v>185</v>
      </c>
    </row>
    <row r="165" spans="1:16" ht="15" hidden="1" customHeight="1" x14ac:dyDescent="0.2">
      <c r="A165" s="12" t="s">
        <v>18</v>
      </c>
      <c r="B165" s="36">
        <v>46054</v>
      </c>
      <c r="C165" s="12">
        <f t="shared" si="7"/>
        <v>149</v>
      </c>
      <c r="D165" s="38">
        <f t="shared" si="10"/>
        <v>0</v>
      </c>
      <c r="G165" s="12" t="s">
        <v>2221</v>
      </c>
      <c r="H165" s="12" t="s">
        <v>3901</v>
      </c>
      <c r="I165" s="12">
        <v>1331</v>
      </c>
      <c r="J165" s="12">
        <v>331</v>
      </c>
      <c r="K165" s="12" t="s">
        <v>20</v>
      </c>
      <c r="L165" s="12">
        <v>1</v>
      </c>
      <c r="M165" s="17">
        <v>5118120</v>
      </c>
      <c r="N165" s="17">
        <f t="shared" si="8"/>
        <v>5118120</v>
      </c>
      <c r="P165" s="12">
        <f t="shared" si="9"/>
        <v>185</v>
      </c>
    </row>
    <row r="166" spans="1:16" ht="15" hidden="1" customHeight="1" x14ac:dyDescent="0.2">
      <c r="A166" s="12" t="s">
        <v>18</v>
      </c>
      <c r="B166" s="36">
        <v>46054</v>
      </c>
      <c r="C166" s="12">
        <f t="shared" si="7"/>
        <v>150</v>
      </c>
      <c r="D166" s="38">
        <f t="shared" si="10"/>
        <v>1</v>
      </c>
      <c r="G166" s="12" t="s">
        <v>2257</v>
      </c>
      <c r="H166" s="12" t="s">
        <v>2258</v>
      </c>
      <c r="I166" s="12">
        <v>131</v>
      </c>
      <c r="J166" s="12">
        <v>5113</v>
      </c>
      <c r="K166" s="12" t="s">
        <v>20</v>
      </c>
      <c r="L166" s="12">
        <v>1</v>
      </c>
      <c r="M166" s="17">
        <v>16666667</v>
      </c>
      <c r="N166" s="17">
        <f t="shared" si="8"/>
        <v>16666667</v>
      </c>
      <c r="P166" s="12">
        <f t="shared" si="9"/>
        <v>95</v>
      </c>
    </row>
    <row r="167" spans="1:16" ht="15" hidden="1" customHeight="1" x14ac:dyDescent="0.2">
      <c r="A167" s="12" t="s">
        <v>18</v>
      </c>
      <c r="B167" s="36">
        <v>46054</v>
      </c>
      <c r="C167" s="12">
        <f t="shared" si="7"/>
        <v>151</v>
      </c>
      <c r="D167" s="38">
        <f t="shared" si="10"/>
        <v>1</v>
      </c>
      <c r="G167" s="12" t="s">
        <v>2230</v>
      </c>
      <c r="H167" s="12" t="s">
        <v>2231</v>
      </c>
      <c r="I167" s="12">
        <v>64277</v>
      </c>
      <c r="J167" s="12">
        <v>331</v>
      </c>
      <c r="K167" s="12" t="s">
        <v>20</v>
      </c>
      <c r="L167" s="12">
        <v>1</v>
      </c>
      <c r="M167" s="17">
        <v>41500000</v>
      </c>
      <c r="N167" s="17">
        <f t="shared" si="8"/>
        <v>41500000</v>
      </c>
      <c r="P167" s="12">
        <f t="shared" si="9"/>
        <v>142</v>
      </c>
    </row>
    <row r="168" spans="1:16" ht="15" hidden="1" customHeight="1" x14ac:dyDescent="0.2">
      <c r="A168" s="12" t="s">
        <v>18</v>
      </c>
      <c r="B168" s="36">
        <v>46054</v>
      </c>
      <c r="C168" s="12">
        <f t="shared" si="7"/>
        <v>151</v>
      </c>
      <c r="D168" s="38">
        <f t="shared" si="10"/>
        <v>0</v>
      </c>
      <c r="G168" s="12" t="s">
        <v>2230</v>
      </c>
      <c r="H168" s="12" t="s">
        <v>2231</v>
      </c>
      <c r="I168" s="12">
        <v>1331</v>
      </c>
      <c r="J168" s="12">
        <v>331</v>
      </c>
      <c r="K168" s="12" t="s">
        <v>20</v>
      </c>
      <c r="L168" s="12">
        <v>1</v>
      </c>
      <c r="M168" s="17">
        <v>0</v>
      </c>
      <c r="N168" s="17">
        <f t="shared" si="8"/>
        <v>0</v>
      </c>
      <c r="P168" s="12">
        <f t="shared" si="9"/>
        <v>142</v>
      </c>
    </row>
    <row r="169" spans="1:16" ht="15" hidden="1" customHeight="1" x14ac:dyDescent="0.2">
      <c r="A169" s="12" t="s">
        <v>18</v>
      </c>
      <c r="B169" s="36">
        <v>46055</v>
      </c>
      <c r="C169" s="12">
        <f t="shared" si="7"/>
        <v>152</v>
      </c>
      <c r="D169" s="38">
        <f t="shared" si="10"/>
        <v>1</v>
      </c>
      <c r="G169" s="12" t="s">
        <v>37</v>
      </c>
      <c r="H169" s="12" t="s">
        <v>3902</v>
      </c>
      <c r="I169" s="12">
        <v>64277</v>
      </c>
      <c r="J169" s="12">
        <v>331</v>
      </c>
      <c r="K169" s="12" t="s">
        <v>20</v>
      </c>
      <c r="L169" s="12">
        <v>1</v>
      </c>
      <c r="M169" s="17">
        <v>12840000</v>
      </c>
      <c r="N169" s="17">
        <f t="shared" si="8"/>
        <v>12840000</v>
      </c>
      <c r="P169" s="12">
        <f t="shared" si="9"/>
        <v>43</v>
      </c>
    </row>
    <row r="170" spans="1:16" ht="15" hidden="1" customHeight="1" x14ac:dyDescent="0.2">
      <c r="A170" s="12" t="s">
        <v>18</v>
      </c>
      <c r="B170" s="36">
        <v>46055</v>
      </c>
      <c r="C170" s="12">
        <f t="shared" si="7"/>
        <v>152</v>
      </c>
      <c r="D170" s="38">
        <f t="shared" si="10"/>
        <v>0</v>
      </c>
      <c r="G170" s="12" t="s">
        <v>37</v>
      </c>
      <c r="H170" s="12" t="s">
        <v>3902</v>
      </c>
      <c r="I170" s="12">
        <v>1331</v>
      </c>
      <c r="J170" s="12">
        <v>331</v>
      </c>
      <c r="K170" s="12" t="s">
        <v>20</v>
      </c>
      <c r="L170" s="12">
        <v>1</v>
      </c>
      <c r="M170" s="17">
        <v>1027200</v>
      </c>
      <c r="N170" s="17">
        <f t="shared" si="8"/>
        <v>1027200</v>
      </c>
      <c r="P170" s="12">
        <f t="shared" si="9"/>
        <v>43</v>
      </c>
    </row>
    <row r="171" spans="1:16" ht="15" hidden="1" customHeight="1" x14ac:dyDescent="0.2">
      <c r="A171" s="12" t="s">
        <v>18</v>
      </c>
      <c r="B171" s="36">
        <v>46055</v>
      </c>
      <c r="C171" s="12">
        <f t="shared" si="7"/>
        <v>153</v>
      </c>
      <c r="D171" s="38">
        <f t="shared" si="10"/>
        <v>1</v>
      </c>
      <c r="G171" s="12" t="s">
        <v>311</v>
      </c>
      <c r="H171" s="12" t="s">
        <v>3057</v>
      </c>
      <c r="I171" s="12">
        <v>131</v>
      </c>
      <c r="J171" s="12">
        <v>5118</v>
      </c>
      <c r="K171" s="12" t="s">
        <v>20</v>
      </c>
      <c r="L171" s="12">
        <v>1</v>
      </c>
      <c r="M171" s="17">
        <v>246351085</v>
      </c>
      <c r="N171" s="17">
        <f t="shared" si="8"/>
        <v>246351085</v>
      </c>
      <c r="P171" s="12">
        <f t="shared" si="9"/>
        <v>16</v>
      </c>
    </row>
    <row r="172" spans="1:16" ht="15" hidden="1" customHeight="1" x14ac:dyDescent="0.2">
      <c r="A172" s="12" t="s">
        <v>18</v>
      </c>
      <c r="B172" s="36">
        <v>46056</v>
      </c>
      <c r="C172" s="12">
        <f t="shared" si="7"/>
        <v>154</v>
      </c>
      <c r="D172" s="38">
        <f t="shared" si="10"/>
        <v>1</v>
      </c>
      <c r="G172" s="12" t="s">
        <v>2232</v>
      </c>
      <c r="H172" s="12" t="s">
        <v>3904</v>
      </c>
      <c r="I172" s="12">
        <v>64277</v>
      </c>
      <c r="J172" s="12">
        <v>331</v>
      </c>
      <c r="K172" s="12" t="s">
        <v>20</v>
      </c>
      <c r="L172" s="12">
        <v>1</v>
      </c>
      <c r="M172" s="17">
        <v>2325337</v>
      </c>
      <c r="N172" s="17">
        <f t="shared" si="8"/>
        <v>2325337</v>
      </c>
      <c r="P172" s="12">
        <f t="shared" si="9"/>
        <v>40</v>
      </c>
    </row>
    <row r="173" spans="1:16" ht="15" hidden="1" customHeight="1" x14ac:dyDescent="0.2">
      <c r="A173" s="12" t="s">
        <v>18</v>
      </c>
      <c r="B173" s="36">
        <v>46056</v>
      </c>
      <c r="C173" s="12">
        <f t="shared" si="7"/>
        <v>154</v>
      </c>
      <c r="D173" s="38">
        <f t="shared" si="10"/>
        <v>0</v>
      </c>
      <c r="G173" s="12" t="s">
        <v>2232</v>
      </c>
      <c r="H173" s="12" t="s">
        <v>3904</v>
      </c>
      <c r="I173" s="12">
        <v>1331</v>
      </c>
      <c r="J173" s="12">
        <v>331</v>
      </c>
      <c r="K173" s="12" t="s">
        <v>20</v>
      </c>
      <c r="L173" s="12">
        <v>1</v>
      </c>
      <c r="M173" s="17">
        <v>189663</v>
      </c>
      <c r="N173" s="17">
        <f t="shared" si="8"/>
        <v>189663</v>
      </c>
      <c r="P173" s="12">
        <f t="shared" si="9"/>
        <v>40</v>
      </c>
    </row>
    <row r="174" spans="1:16" ht="15" hidden="1" customHeight="1" x14ac:dyDescent="0.2">
      <c r="A174" s="12" t="s">
        <v>18</v>
      </c>
      <c r="B174" s="36">
        <v>46056</v>
      </c>
      <c r="C174" s="12">
        <f t="shared" si="7"/>
        <v>155</v>
      </c>
      <c r="D174" s="38">
        <f t="shared" si="10"/>
        <v>1</v>
      </c>
      <c r="G174" s="12" t="s">
        <v>2233</v>
      </c>
      <c r="H174" s="12" t="s">
        <v>776</v>
      </c>
      <c r="I174" s="12">
        <v>64277</v>
      </c>
      <c r="J174" s="12">
        <v>331</v>
      </c>
      <c r="K174" s="12" t="s">
        <v>20</v>
      </c>
      <c r="L174" s="12">
        <v>1</v>
      </c>
      <c r="M174" s="17">
        <v>63870968</v>
      </c>
      <c r="N174" s="17">
        <f t="shared" si="8"/>
        <v>63870968</v>
      </c>
      <c r="P174" s="12">
        <f t="shared" si="9"/>
        <v>110</v>
      </c>
    </row>
    <row r="175" spans="1:16" ht="15" hidden="1" customHeight="1" x14ac:dyDescent="0.2">
      <c r="A175" s="12" t="s">
        <v>18</v>
      </c>
      <c r="B175" s="36">
        <v>46056</v>
      </c>
      <c r="C175" s="12">
        <f t="shared" si="7"/>
        <v>155</v>
      </c>
      <c r="D175" s="38">
        <f t="shared" si="10"/>
        <v>0</v>
      </c>
      <c r="G175" s="12" t="s">
        <v>2233</v>
      </c>
      <c r="H175" s="12" t="s">
        <v>776</v>
      </c>
      <c r="I175" s="12">
        <v>1331</v>
      </c>
      <c r="J175" s="12">
        <v>331</v>
      </c>
      <c r="K175" s="12" t="s">
        <v>20</v>
      </c>
      <c r="L175" s="12">
        <v>1</v>
      </c>
      <c r="M175" s="17">
        <v>0</v>
      </c>
      <c r="N175" s="17">
        <f t="shared" si="8"/>
        <v>0</v>
      </c>
      <c r="P175" s="12">
        <f t="shared" si="9"/>
        <v>110</v>
      </c>
    </row>
    <row r="176" spans="1:16" ht="15" hidden="1" customHeight="1" x14ac:dyDescent="0.2">
      <c r="A176" s="12" t="s">
        <v>18</v>
      </c>
      <c r="B176" s="36">
        <v>46056</v>
      </c>
      <c r="C176" s="12">
        <f t="shared" si="7"/>
        <v>156</v>
      </c>
      <c r="D176" s="38">
        <f t="shared" si="10"/>
        <v>1</v>
      </c>
      <c r="G176" s="12" t="s">
        <v>311</v>
      </c>
      <c r="H176" s="12" t="s">
        <v>3057</v>
      </c>
      <c r="I176" s="12">
        <v>131</v>
      </c>
      <c r="J176" s="12">
        <v>5118</v>
      </c>
      <c r="K176" s="12" t="s">
        <v>20</v>
      </c>
      <c r="L176" s="12">
        <v>1</v>
      </c>
      <c r="M176" s="17">
        <v>277663997</v>
      </c>
      <c r="N176" s="17">
        <f t="shared" si="8"/>
        <v>277663997</v>
      </c>
      <c r="P176" s="12">
        <f t="shared" si="9"/>
        <v>16</v>
      </c>
    </row>
    <row r="177" spans="1:16" ht="15" hidden="1" customHeight="1" x14ac:dyDescent="0.2">
      <c r="A177" s="12" t="s">
        <v>18</v>
      </c>
      <c r="B177" s="36">
        <v>46057</v>
      </c>
      <c r="C177" s="12">
        <f t="shared" si="7"/>
        <v>157</v>
      </c>
      <c r="D177" s="38">
        <f t="shared" si="10"/>
        <v>1</v>
      </c>
      <c r="G177" s="12" t="s">
        <v>2259</v>
      </c>
      <c r="H177" s="12" t="s">
        <v>2260</v>
      </c>
      <c r="I177" s="12">
        <v>131</v>
      </c>
      <c r="J177" s="12">
        <v>5113</v>
      </c>
      <c r="K177" s="12" t="s">
        <v>20</v>
      </c>
      <c r="L177" s="12">
        <v>1</v>
      </c>
      <c r="M177" s="17">
        <v>18888889</v>
      </c>
      <c r="N177" s="17">
        <f t="shared" si="8"/>
        <v>18888889</v>
      </c>
      <c r="P177" s="12">
        <f t="shared" si="9"/>
        <v>141</v>
      </c>
    </row>
    <row r="178" spans="1:16" ht="15" customHeight="1" x14ac:dyDescent="0.2">
      <c r="A178" s="12" t="s">
        <v>18</v>
      </c>
      <c r="B178" s="36">
        <v>46057</v>
      </c>
      <c r="C178" s="12">
        <f t="shared" si="7"/>
        <v>158</v>
      </c>
      <c r="D178" s="38">
        <f t="shared" si="10"/>
        <v>1</v>
      </c>
      <c r="G178" s="12" t="s">
        <v>2259</v>
      </c>
      <c r="H178" s="12" t="s">
        <v>3892</v>
      </c>
      <c r="I178" s="12">
        <v>333821</v>
      </c>
      <c r="J178" s="12">
        <v>131</v>
      </c>
      <c r="K178" s="12" t="s">
        <v>20</v>
      </c>
      <c r="L178" s="12">
        <v>1</v>
      </c>
      <c r="M178" s="17">
        <v>188889</v>
      </c>
      <c r="N178" s="17">
        <f t="shared" si="8"/>
        <v>188889</v>
      </c>
      <c r="P178" s="12">
        <f t="shared" si="9"/>
        <v>157</v>
      </c>
    </row>
    <row r="179" spans="1:16" ht="15" hidden="1" customHeight="1" x14ac:dyDescent="0.2">
      <c r="A179" s="12" t="s">
        <v>18</v>
      </c>
      <c r="B179" s="36">
        <v>46057</v>
      </c>
      <c r="C179" s="12">
        <f t="shared" si="7"/>
        <v>159</v>
      </c>
      <c r="D179" s="38">
        <f t="shared" si="10"/>
        <v>1</v>
      </c>
      <c r="G179" s="12" t="s">
        <v>311</v>
      </c>
      <c r="H179" s="12" t="s">
        <v>3057</v>
      </c>
      <c r="I179" s="12">
        <v>131</v>
      </c>
      <c r="J179" s="12">
        <v>5118</v>
      </c>
      <c r="K179" s="12" t="s">
        <v>20</v>
      </c>
      <c r="L179" s="12">
        <v>1</v>
      </c>
      <c r="M179" s="17">
        <v>258480151</v>
      </c>
      <c r="N179" s="17">
        <f t="shared" si="8"/>
        <v>258480151</v>
      </c>
      <c r="P179" s="12">
        <f t="shared" si="9"/>
        <v>16</v>
      </c>
    </row>
    <row r="180" spans="1:16" ht="15" hidden="1" customHeight="1" x14ac:dyDescent="0.2">
      <c r="A180" s="12" t="s">
        <v>18</v>
      </c>
      <c r="B180" s="36">
        <v>46058</v>
      </c>
      <c r="C180" s="12">
        <f t="shared" si="7"/>
        <v>160</v>
      </c>
      <c r="D180" s="38">
        <f t="shared" si="10"/>
        <v>1</v>
      </c>
      <c r="G180" s="12" t="s">
        <v>2261</v>
      </c>
      <c r="H180" s="12" t="s">
        <v>2262</v>
      </c>
      <c r="I180" s="12">
        <v>131</v>
      </c>
      <c r="J180" s="12">
        <v>5113</v>
      </c>
      <c r="K180" s="12" t="s">
        <v>20</v>
      </c>
      <c r="L180" s="12">
        <v>1</v>
      </c>
      <c r="M180" s="17">
        <v>38888889</v>
      </c>
      <c r="N180" s="17">
        <f t="shared" si="8"/>
        <v>38888889</v>
      </c>
      <c r="P180" s="12">
        <f t="shared" si="9"/>
        <v>144</v>
      </c>
    </row>
    <row r="181" spans="1:16" ht="15" customHeight="1" x14ac:dyDescent="0.2">
      <c r="A181" s="12" t="s">
        <v>18</v>
      </c>
      <c r="B181" s="36">
        <v>46058</v>
      </c>
      <c r="C181" s="12">
        <f t="shared" si="7"/>
        <v>161</v>
      </c>
      <c r="D181" s="38">
        <f t="shared" si="10"/>
        <v>1</v>
      </c>
      <c r="G181" s="12" t="s">
        <v>2261</v>
      </c>
      <c r="H181" s="12" t="s">
        <v>3893</v>
      </c>
      <c r="I181" s="12">
        <v>333821</v>
      </c>
      <c r="J181" s="12">
        <v>131</v>
      </c>
      <c r="K181" s="12" t="s">
        <v>20</v>
      </c>
      <c r="L181" s="12">
        <v>1</v>
      </c>
      <c r="M181" s="17">
        <v>388889</v>
      </c>
      <c r="N181" s="17">
        <f t="shared" si="8"/>
        <v>388889</v>
      </c>
      <c r="P181" s="12">
        <f t="shared" si="9"/>
        <v>160</v>
      </c>
    </row>
    <row r="182" spans="1:16" ht="15" customHeight="1" x14ac:dyDescent="0.2">
      <c r="A182" s="12" t="s">
        <v>18</v>
      </c>
      <c r="B182" s="36">
        <v>46058</v>
      </c>
      <c r="C182" s="12">
        <f t="shared" si="7"/>
        <v>162</v>
      </c>
      <c r="D182" s="38">
        <f t="shared" si="10"/>
        <v>1</v>
      </c>
      <c r="G182" s="12" t="s">
        <v>2263</v>
      </c>
      <c r="H182" s="12" t="s">
        <v>3894</v>
      </c>
      <c r="I182" s="12">
        <v>333821</v>
      </c>
      <c r="J182" s="12">
        <v>131</v>
      </c>
      <c r="K182" s="12" t="s">
        <v>20</v>
      </c>
      <c r="L182" s="12">
        <v>1</v>
      </c>
      <c r="M182" s="17">
        <v>166667</v>
      </c>
      <c r="N182" s="17">
        <f t="shared" si="8"/>
        <v>166667</v>
      </c>
      <c r="P182" s="12">
        <f t="shared" si="9"/>
        <v>101</v>
      </c>
    </row>
    <row r="183" spans="1:16" ht="15" hidden="1" customHeight="1" x14ac:dyDescent="0.2">
      <c r="A183" s="12" t="s">
        <v>18</v>
      </c>
      <c r="B183" s="36">
        <v>46058</v>
      </c>
      <c r="C183" s="12">
        <f t="shared" si="7"/>
        <v>163</v>
      </c>
      <c r="D183" s="38">
        <f t="shared" si="10"/>
        <v>1</v>
      </c>
      <c r="G183" s="12" t="s">
        <v>311</v>
      </c>
      <c r="H183" s="12" t="s">
        <v>3057</v>
      </c>
      <c r="I183" s="12">
        <v>131</v>
      </c>
      <c r="J183" s="12">
        <v>5118</v>
      </c>
      <c r="K183" s="12" t="s">
        <v>20</v>
      </c>
      <c r="L183" s="12">
        <v>1</v>
      </c>
      <c r="M183" s="17">
        <v>172925173</v>
      </c>
      <c r="N183" s="17">
        <f t="shared" si="8"/>
        <v>172925173</v>
      </c>
      <c r="P183" s="12">
        <f t="shared" si="9"/>
        <v>16</v>
      </c>
    </row>
    <row r="184" spans="1:16" ht="15" hidden="1" customHeight="1" x14ac:dyDescent="0.2">
      <c r="A184" s="12" t="s">
        <v>18</v>
      </c>
      <c r="B184" s="36">
        <v>46058</v>
      </c>
      <c r="C184" s="12">
        <f t="shared" si="7"/>
        <v>164</v>
      </c>
      <c r="D184" s="38">
        <f t="shared" si="10"/>
        <v>1</v>
      </c>
      <c r="G184" s="12" t="s">
        <v>2263</v>
      </c>
      <c r="H184" s="12" t="s">
        <v>2264</v>
      </c>
      <c r="I184" s="12">
        <v>131</v>
      </c>
      <c r="J184" s="12">
        <v>5113</v>
      </c>
      <c r="K184" s="12" t="s">
        <v>20</v>
      </c>
      <c r="L184" s="12">
        <v>1</v>
      </c>
      <c r="M184" s="17">
        <v>16666667</v>
      </c>
      <c r="N184" s="17">
        <f t="shared" si="8"/>
        <v>16666667</v>
      </c>
      <c r="P184" s="12">
        <f t="shared" si="9"/>
        <v>85</v>
      </c>
    </row>
    <row r="185" spans="1:16" ht="15" hidden="1" customHeight="1" x14ac:dyDescent="0.2">
      <c r="A185" s="12" t="s">
        <v>18</v>
      </c>
      <c r="B185" s="36">
        <v>46059</v>
      </c>
      <c r="C185" s="12">
        <f t="shared" si="7"/>
        <v>165</v>
      </c>
      <c r="D185" s="38">
        <f t="shared" si="10"/>
        <v>1</v>
      </c>
      <c r="G185" s="12" t="s">
        <v>311</v>
      </c>
      <c r="H185" s="12" t="s">
        <v>3057</v>
      </c>
      <c r="I185" s="12">
        <v>131</v>
      </c>
      <c r="J185" s="12">
        <v>5118</v>
      </c>
      <c r="K185" s="12" t="s">
        <v>20</v>
      </c>
      <c r="L185" s="12">
        <v>1</v>
      </c>
      <c r="M185" s="17">
        <v>143586064</v>
      </c>
      <c r="N185" s="17">
        <f t="shared" si="8"/>
        <v>143586064</v>
      </c>
      <c r="P185" s="12">
        <f t="shared" si="9"/>
        <v>16</v>
      </c>
    </row>
    <row r="186" spans="1:16" ht="15" hidden="1" customHeight="1" x14ac:dyDescent="0.2">
      <c r="A186" s="12" t="s">
        <v>18</v>
      </c>
      <c r="B186" s="36">
        <v>46060</v>
      </c>
      <c r="C186" s="12">
        <f t="shared" si="7"/>
        <v>166</v>
      </c>
      <c r="D186" s="38">
        <f t="shared" si="10"/>
        <v>1</v>
      </c>
      <c r="G186" s="12" t="s">
        <v>2234</v>
      </c>
      <c r="H186" s="12" t="s">
        <v>2235</v>
      </c>
      <c r="I186" s="12">
        <v>64277</v>
      </c>
      <c r="J186" s="12">
        <v>331</v>
      </c>
      <c r="K186" s="12" t="s">
        <v>20</v>
      </c>
      <c r="L186" s="12">
        <v>1</v>
      </c>
      <c r="M186" s="17">
        <v>15000000</v>
      </c>
      <c r="N186" s="17">
        <f t="shared" si="8"/>
        <v>15000000</v>
      </c>
      <c r="P186" s="12">
        <f t="shared" si="9"/>
        <v>112</v>
      </c>
    </row>
    <row r="187" spans="1:16" ht="15" hidden="1" customHeight="1" x14ac:dyDescent="0.2">
      <c r="A187" s="12" t="s">
        <v>18</v>
      </c>
      <c r="B187" s="36">
        <v>46060</v>
      </c>
      <c r="C187" s="12">
        <f t="shared" si="7"/>
        <v>166</v>
      </c>
      <c r="D187" s="38">
        <f t="shared" si="10"/>
        <v>0</v>
      </c>
      <c r="G187" s="12" t="s">
        <v>2234</v>
      </c>
      <c r="H187" s="12" t="s">
        <v>2235</v>
      </c>
      <c r="I187" s="12">
        <v>1331</v>
      </c>
      <c r="J187" s="12">
        <v>331</v>
      </c>
      <c r="K187" s="12" t="s">
        <v>20</v>
      </c>
      <c r="L187" s="12">
        <v>1</v>
      </c>
      <c r="M187" s="17">
        <v>1500000</v>
      </c>
      <c r="N187" s="17">
        <f t="shared" si="8"/>
        <v>1500000</v>
      </c>
      <c r="P187" s="12">
        <f t="shared" si="9"/>
        <v>112</v>
      </c>
    </row>
    <row r="188" spans="1:16" ht="15" hidden="1" customHeight="1" x14ac:dyDescent="0.2">
      <c r="A188" s="12" t="s">
        <v>18</v>
      </c>
      <c r="B188" s="36">
        <v>46060</v>
      </c>
      <c r="C188" s="12">
        <f t="shared" si="7"/>
        <v>167</v>
      </c>
      <c r="D188" s="38">
        <f t="shared" si="10"/>
        <v>1</v>
      </c>
      <c r="G188" s="12" t="s">
        <v>311</v>
      </c>
      <c r="H188" s="12" t="s">
        <v>3057</v>
      </c>
      <c r="I188" s="12">
        <v>131</v>
      </c>
      <c r="J188" s="12">
        <v>5118</v>
      </c>
      <c r="K188" s="12" t="s">
        <v>20</v>
      </c>
      <c r="L188" s="12">
        <v>1</v>
      </c>
      <c r="M188" s="17">
        <v>126285166</v>
      </c>
      <c r="N188" s="17">
        <f t="shared" si="8"/>
        <v>126285166</v>
      </c>
      <c r="P188" s="12">
        <f t="shared" si="9"/>
        <v>16</v>
      </c>
    </row>
    <row r="189" spans="1:16" ht="15" hidden="1" customHeight="1" x14ac:dyDescent="0.2">
      <c r="A189" s="12" t="s">
        <v>18</v>
      </c>
      <c r="B189" s="36">
        <v>46061</v>
      </c>
      <c r="C189" s="12">
        <f t="shared" si="7"/>
        <v>168</v>
      </c>
      <c r="D189" s="38">
        <v>1</v>
      </c>
      <c r="G189" s="12" t="s">
        <v>311</v>
      </c>
      <c r="H189" s="12" t="s">
        <v>3057</v>
      </c>
      <c r="I189" s="12">
        <v>131</v>
      </c>
      <c r="J189" s="12">
        <v>5118</v>
      </c>
      <c r="K189" s="12" t="s">
        <v>20</v>
      </c>
      <c r="L189" s="12">
        <v>1</v>
      </c>
      <c r="M189" s="17">
        <v>145841936</v>
      </c>
      <c r="N189" s="17">
        <f t="shared" si="8"/>
        <v>145841936</v>
      </c>
      <c r="P189" s="12">
        <f t="shared" si="9"/>
        <v>16</v>
      </c>
    </row>
    <row r="190" spans="1:16" ht="15" hidden="1" customHeight="1" x14ac:dyDescent="0.2">
      <c r="A190" s="12" t="s">
        <v>18</v>
      </c>
      <c r="B190" s="36">
        <v>46062</v>
      </c>
      <c r="C190" s="12">
        <f t="shared" si="7"/>
        <v>169</v>
      </c>
      <c r="D190" s="38">
        <f t="shared" ref="D190:D214" si="11">IF(H190=H189,0,1)</f>
        <v>1</v>
      </c>
      <c r="G190" s="12" t="s">
        <v>2236</v>
      </c>
      <c r="H190" s="12" t="s">
        <v>3905</v>
      </c>
      <c r="I190" s="12">
        <v>64277</v>
      </c>
      <c r="J190" s="12">
        <v>331</v>
      </c>
      <c r="K190" s="12" t="s">
        <v>20</v>
      </c>
      <c r="L190" s="12">
        <v>1</v>
      </c>
      <c r="M190" s="17">
        <v>1530000</v>
      </c>
      <c r="N190" s="17">
        <f t="shared" si="8"/>
        <v>1530000</v>
      </c>
      <c r="P190" s="12">
        <f t="shared" si="9"/>
        <v>41</v>
      </c>
    </row>
    <row r="191" spans="1:16" ht="15" hidden="1" customHeight="1" x14ac:dyDescent="0.2">
      <c r="A191" s="12" t="s">
        <v>18</v>
      </c>
      <c r="B191" s="36">
        <v>46062</v>
      </c>
      <c r="C191" s="12">
        <f t="shared" si="7"/>
        <v>169</v>
      </c>
      <c r="D191" s="38">
        <f t="shared" si="11"/>
        <v>0</v>
      </c>
      <c r="G191" s="12" t="s">
        <v>2236</v>
      </c>
      <c r="H191" s="12" t="s">
        <v>3905</v>
      </c>
      <c r="I191" s="12">
        <v>1331</v>
      </c>
      <c r="J191" s="12">
        <v>331</v>
      </c>
      <c r="K191" s="12" t="s">
        <v>20</v>
      </c>
      <c r="L191" s="12">
        <v>1</v>
      </c>
      <c r="M191" s="17">
        <v>122400</v>
      </c>
      <c r="N191" s="17">
        <f t="shared" si="8"/>
        <v>122400</v>
      </c>
      <c r="P191" s="12">
        <f t="shared" si="9"/>
        <v>41</v>
      </c>
    </row>
    <row r="192" spans="1:16" ht="15" hidden="1" customHeight="1" x14ac:dyDescent="0.2">
      <c r="A192" s="12" t="s">
        <v>18</v>
      </c>
      <c r="B192" s="36">
        <v>46062</v>
      </c>
      <c r="C192" s="12">
        <f t="shared" si="7"/>
        <v>170</v>
      </c>
      <c r="D192" s="38">
        <f t="shared" si="11"/>
        <v>1</v>
      </c>
      <c r="G192" s="12" t="s">
        <v>74</v>
      </c>
      <c r="H192" s="12" t="s">
        <v>2265</v>
      </c>
      <c r="I192" s="12">
        <v>131</v>
      </c>
      <c r="J192" s="12">
        <v>5113</v>
      </c>
      <c r="K192" s="12" t="s">
        <v>20</v>
      </c>
      <c r="L192" s="12">
        <v>1</v>
      </c>
      <c r="M192" s="17">
        <v>37777778</v>
      </c>
      <c r="N192" s="17">
        <f t="shared" si="8"/>
        <v>37777778</v>
      </c>
      <c r="P192" s="12">
        <f t="shared" si="9"/>
        <v>139</v>
      </c>
    </row>
    <row r="193" spans="1:16" ht="15" customHeight="1" x14ac:dyDescent="0.2">
      <c r="A193" s="12" t="s">
        <v>18</v>
      </c>
      <c r="B193" s="36">
        <v>46062</v>
      </c>
      <c r="C193" s="12">
        <f t="shared" si="7"/>
        <v>171</v>
      </c>
      <c r="D193" s="38">
        <f t="shared" si="11"/>
        <v>1</v>
      </c>
      <c r="G193" s="12" t="s">
        <v>74</v>
      </c>
      <c r="H193" s="12" t="s">
        <v>3895</v>
      </c>
      <c r="I193" s="12">
        <v>333821</v>
      </c>
      <c r="J193" s="12">
        <v>131</v>
      </c>
      <c r="K193" s="12" t="s">
        <v>20</v>
      </c>
      <c r="L193" s="12">
        <v>1</v>
      </c>
      <c r="M193" s="17">
        <v>377778</v>
      </c>
      <c r="N193" s="17">
        <f t="shared" si="8"/>
        <v>377778</v>
      </c>
      <c r="P193" s="12">
        <f t="shared" si="9"/>
        <v>155</v>
      </c>
    </row>
    <row r="194" spans="1:16" ht="15" hidden="1" customHeight="1" x14ac:dyDescent="0.2">
      <c r="A194" s="12" t="s">
        <v>18</v>
      </c>
      <c r="B194" s="36">
        <v>46062</v>
      </c>
      <c r="C194" s="12">
        <f t="shared" si="7"/>
        <v>172</v>
      </c>
      <c r="D194" s="38">
        <f t="shared" si="11"/>
        <v>1</v>
      </c>
      <c r="G194" s="12" t="s">
        <v>2237</v>
      </c>
      <c r="H194" s="12" t="s">
        <v>2238</v>
      </c>
      <c r="I194" s="12">
        <v>64277</v>
      </c>
      <c r="J194" s="12">
        <v>331</v>
      </c>
      <c r="K194" s="12" t="s">
        <v>20</v>
      </c>
      <c r="L194" s="12">
        <v>1</v>
      </c>
      <c r="M194" s="17">
        <v>30546296</v>
      </c>
      <c r="N194" s="17">
        <f t="shared" si="8"/>
        <v>30546296</v>
      </c>
      <c r="P194" s="12">
        <f t="shared" si="9"/>
        <v>164</v>
      </c>
    </row>
    <row r="195" spans="1:16" ht="15" hidden="1" customHeight="1" x14ac:dyDescent="0.2">
      <c r="A195" s="12" t="s">
        <v>18</v>
      </c>
      <c r="B195" s="36">
        <v>46062</v>
      </c>
      <c r="C195" s="12">
        <f t="shared" si="7"/>
        <v>172</v>
      </c>
      <c r="D195" s="38">
        <f t="shared" si="11"/>
        <v>0</v>
      </c>
      <c r="G195" s="12" t="s">
        <v>2237</v>
      </c>
      <c r="H195" s="12" t="s">
        <v>2238</v>
      </c>
      <c r="I195" s="12">
        <v>1331</v>
      </c>
      <c r="J195" s="12">
        <v>331</v>
      </c>
      <c r="K195" s="12" t="s">
        <v>20</v>
      </c>
      <c r="L195" s="12">
        <v>1</v>
      </c>
      <c r="M195" s="17">
        <v>2443704</v>
      </c>
      <c r="N195" s="17">
        <f t="shared" si="8"/>
        <v>2443704</v>
      </c>
      <c r="P195" s="12">
        <f t="shared" si="9"/>
        <v>164</v>
      </c>
    </row>
    <row r="196" spans="1:16" ht="15" hidden="1" customHeight="1" x14ac:dyDescent="0.2">
      <c r="A196" s="12" t="s">
        <v>18</v>
      </c>
      <c r="B196" s="36">
        <v>46065</v>
      </c>
      <c r="C196" s="12">
        <f t="shared" ref="C196:C229" si="12">C195+D196</f>
        <v>173</v>
      </c>
      <c r="D196" s="38">
        <f t="shared" si="11"/>
        <v>1</v>
      </c>
      <c r="G196" s="12" t="s">
        <v>2239</v>
      </c>
      <c r="H196" s="12" t="s">
        <v>2240</v>
      </c>
      <c r="I196" s="12">
        <v>64277</v>
      </c>
      <c r="J196" s="12">
        <v>331</v>
      </c>
      <c r="K196" s="12" t="s">
        <v>20</v>
      </c>
      <c r="L196" s="12">
        <v>1</v>
      </c>
      <c r="M196" s="17">
        <v>2378000</v>
      </c>
      <c r="N196" s="17">
        <f t="shared" ref="N196:N229" si="13">L196*M196</f>
        <v>2378000</v>
      </c>
      <c r="P196" s="12">
        <f t="shared" ref="P196:P230" si="14">LEN(H196)</f>
        <v>67</v>
      </c>
    </row>
    <row r="197" spans="1:16" ht="15" hidden="1" customHeight="1" x14ac:dyDescent="0.2">
      <c r="A197" s="12" t="s">
        <v>18</v>
      </c>
      <c r="B197" s="36">
        <v>46065</v>
      </c>
      <c r="C197" s="12">
        <f t="shared" si="12"/>
        <v>173</v>
      </c>
      <c r="D197" s="38">
        <f t="shared" si="11"/>
        <v>0</v>
      </c>
      <c r="G197" s="12" t="s">
        <v>2239</v>
      </c>
      <c r="H197" s="12" t="s">
        <v>2240</v>
      </c>
      <c r="I197" s="12">
        <v>1331</v>
      </c>
      <c r="J197" s="12">
        <v>331</v>
      </c>
      <c r="K197" s="12" t="s">
        <v>20</v>
      </c>
      <c r="L197" s="12">
        <v>1</v>
      </c>
      <c r="M197" s="17">
        <v>190240</v>
      </c>
      <c r="N197" s="17">
        <f t="shared" si="13"/>
        <v>190240</v>
      </c>
      <c r="P197" s="12">
        <f t="shared" si="14"/>
        <v>67</v>
      </c>
    </row>
    <row r="198" spans="1:16" ht="15" hidden="1" customHeight="1" x14ac:dyDescent="0.2">
      <c r="A198" s="12" t="s">
        <v>18</v>
      </c>
      <c r="B198" s="36">
        <v>46066</v>
      </c>
      <c r="C198" s="12">
        <f t="shared" si="12"/>
        <v>174</v>
      </c>
      <c r="D198" s="38">
        <f t="shared" si="11"/>
        <v>1</v>
      </c>
      <c r="G198" s="12" t="s">
        <v>2241</v>
      </c>
      <c r="H198" s="12" t="s">
        <v>2242</v>
      </c>
      <c r="I198" s="12">
        <v>64277</v>
      </c>
      <c r="J198" s="12">
        <v>331</v>
      </c>
      <c r="K198" s="12" t="s">
        <v>20</v>
      </c>
      <c r="L198" s="12">
        <v>1</v>
      </c>
      <c r="M198" s="17">
        <v>0</v>
      </c>
      <c r="N198" s="17">
        <f t="shared" si="13"/>
        <v>0</v>
      </c>
      <c r="P198" s="12">
        <f t="shared" si="14"/>
        <v>62</v>
      </c>
    </row>
    <row r="199" spans="1:16" ht="15" hidden="1" customHeight="1" x14ac:dyDescent="0.2">
      <c r="A199" s="12" t="s">
        <v>18</v>
      </c>
      <c r="B199" s="36">
        <v>46066</v>
      </c>
      <c r="C199" s="12">
        <f t="shared" si="12"/>
        <v>174</v>
      </c>
      <c r="D199" s="38">
        <f t="shared" si="11"/>
        <v>0</v>
      </c>
      <c r="G199" s="12" t="s">
        <v>2241</v>
      </c>
      <c r="H199" s="12" t="s">
        <v>2242</v>
      </c>
      <c r="I199" s="12">
        <v>1331</v>
      </c>
      <c r="J199" s="12">
        <v>331</v>
      </c>
      <c r="K199" s="12" t="s">
        <v>20</v>
      </c>
      <c r="L199" s="12">
        <v>1</v>
      </c>
      <c r="M199" s="17">
        <v>0</v>
      </c>
      <c r="N199" s="17">
        <f t="shared" si="13"/>
        <v>0</v>
      </c>
      <c r="P199" s="12">
        <f t="shared" si="14"/>
        <v>62</v>
      </c>
    </row>
    <row r="200" spans="1:16" ht="15" hidden="1" customHeight="1" x14ac:dyDescent="0.2">
      <c r="A200" s="12" t="s">
        <v>18</v>
      </c>
      <c r="B200" s="36">
        <v>46068</v>
      </c>
      <c r="C200" s="12">
        <f t="shared" si="12"/>
        <v>175</v>
      </c>
      <c r="D200" s="38">
        <f t="shared" si="11"/>
        <v>1</v>
      </c>
      <c r="G200" s="12" t="s">
        <v>2243</v>
      </c>
      <c r="H200" s="12" t="s">
        <v>2244</v>
      </c>
      <c r="I200" s="12">
        <v>64277</v>
      </c>
      <c r="J200" s="12">
        <v>331</v>
      </c>
      <c r="K200" s="12" t="s">
        <v>20</v>
      </c>
      <c r="L200" s="12">
        <v>1</v>
      </c>
      <c r="M200" s="17">
        <v>23531482</v>
      </c>
      <c r="N200" s="17">
        <f t="shared" si="13"/>
        <v>23531482</v>
      </c>
      <c r="P200" s="12">
        <f t="shared" si="14"/>
        <v>91</v>
      </c>
    </row>
    <row r="201" spans="1:16" ht="15" hidden="1" customHeight="1" x14ac:dyDescent="0.2">
      <c r="A201" s="12" t="s">
        <v>18</v>
      </c>
      <c r="B201" s="36">
        <v>46068</v>
      </c>
      <c r="C201" s="12">
        <f t="shared" si="12"/>
        <v>175</v>
      </c>
      <c r="D201" s="38">
        <f t="shared" si="11"/>
        <v>0</v>
      </c>
      <c r="G201" s="12" t="s">
        <v>2243</v>
      </c>
      <c r="H201" s="12" t="s">
        <v>2244</v>
      </c>
      <c r="I201" s="12">
        <v>1331</v>
      </c>
      <c r="J201" s="12">
        <v>331</v>
      </c>
      <c r="K201" s="12" t="s">
        <v>20</v>
      </c>
      <c r="L201" s="12">
        <v>1</v>
      </c>
      <c r="M201" s="17">
        <v>1882518</v>
      </c>
      <c r="N201" s="17">
        <f t="shared" si="13"/>
        <v>1882518</v>
      </c>
      <c r="P201" s="12">
        <f t="shared" si="14"/>
        <v>91</v>
      </c>
    </row>
    <row r="202" spans="1:16" ht="15" hidden="1" customHeight="1" x14ac:dyDescent="0.2">
      <c r="A202" s="12" t="s">
        <v>18</v>
      </c>
      <c r="B202" s="36">
        <v>46072</v>
      </c>
      <c r="C202" s="12">
        <f t="shared" si="12"/>
        <v>176</v>
      </c>
      <c r="D202" s="38">
        <f t="shared" si="11"/>
        <v>1</v>
      </c>
      <c r="G202" s="12" t="s">
        <v>2245</v>
      </c>
      <c r="H202" s="12" t="s">
        <v>2246</v>
      </c>
      <c r="I202" s="12">
        <v>64277</v>
      </c>
      <c r="J202" s="12">
        <v>331</v>
      </c>
      <c r="K202" s="12" t="s">
        <v>20</v>
      </c>
      <c r="L202" s="12">
        <v>1</v>
      </c>
      <c r="M202" s="17">
        <v>3036000</v>
      </c>
      <c r="N202" s="17">
        <f t="shared" si="13"/>
        <v>3036000</v>
      </c>
      <c r="P202" s="12">
        <f t="shared" si="14"/>
        <v>99</v>
      </c>
    </row>
    <row r="203" spans="1:16" ht="15" hidden="1" customHeight="1" x14ac:dyDescent="0.2">
      <c r="A203" s="12" t="s">
        <v>18</v>
      </c>
      <c r="B203" s="36">
        <v>46072</v>
      </c>
      <c r="C203" s="12">
        <f t="shared" si="12"/>
        <v>176</v>
      </c>
      <c r="D203" s="38">
        <f t="shared" si="11"/>
        <v>0</v>
      </c>
      <c r="G203" s="12" t="s">
        <v>2245</v>
      </c>
      <c r="H203" s="12" t="s">
        <v>2246</v>
      </c>
      <c r="I203" s="12">
        <v>1331</v>
      </c>
      <c r="J203" s="12">
        <v>331</v>
      </c>
      <c r="K203" s="12" t="s">
        <v>20</v>
      </c>
      <c r="L203" s="12">
        <v>1</v>
      </c>
      <c r="M203" s="17">
        <v>242880</v>
      </c>
      <c r="N203" s="17">
        <f t="shared" si="13"/>
        <v>242880</v>
      </c>
      <c r="P203" s="12">
        <f t="shared" si="14"/>
        <v>99</v>
      </c>
    </row>
    <row r="204" spans="1:16" ht="15" hidden="1" customHeight="1" x14ac:dyDescent="0.2">
      <c r="A204" s="12" t="s">
        <v>18</v>
      </c>
      <c r="B204" s="36">
        <v>46077</v>
      </c>
      <c r="C204" s="12">
        <f t="shared" si="12"/>
        <v>177</v>
      </c>
      <c r="D204" s="38">
        <f t="shared" si="11"/>
        <v>1</v>
      </c>
      <c r="G204" s="12" t="s">
        <v>1846</v>
      </c>
      <c r="H204" s="12" t="s">
        <v>3907</v>
      </c>
      <c r="I204" s="12">
        <v>64277</v>
      </c>
      <c r="J204" s="12">
        <v>331</v>
      </c>
      <c r="K204" s="12" t="s">
        <v>20</v>
      </c>
      <c r="L204" s="12">
        <v>1</v>
      </c>
      <c r="M204" s="17">
        <v>2769000</v>
      </c>
      <c r="N204" s="17">
        <f t="shared" si="13"/>
        <v>2769000</v>
      </c>
      <c r="P204" s="12">
        <f t="shared" si="14"/>
        <v>42</v>
      </c>
    </row>
    <row r="205" spans="1:16" ht="15" hidden="1" customHeight="1" x14ac:dyDescent="0.2">
      <c r="A205" s="12" t="s">
        <v>18</v>
      </c>
      <c r="B205" s="36">
        <v>46077</v>
      </c>
      <c r="C205" s="12">
        <f t="shared" si="12"/>
        <v>177</v>
      </c>
      <c r="D205" s="38">
        <f t="shared" si="11"/>
        <v>0</v>
      </c>
      <c r="G205" s="12" t="s">
        <v>1846</v>
      </c>
      <c r="H205" s="12" t="s">
        <v>3907</v>
      </c>
      <c r="I205" s="12">
        <v>1331</v>
      </c>
      <c r="J205" s="12">
        <v>331</v>
      </c>
      <c r="K205" s="12" t="s">
        <v>20</v>
      </c>
      <c r="L205" s="12">
        <v>1</v>
      </c>
      <c r="M205" s="17">
        <v>221520</v>
      </c>
      <c r="N205" s="17">
        <f t="shared" si="13"/>
        <v>221520</v>
      </c>
      <c r="P205" s="12">
        <f t="shared" si="14"/>
        <v>42</v>
      </c>
    </row>
    <row r="206" spans="1:16" ht="15" hidden="1" customHeight="1" x14ac:dyDescent="0.2">
      <c r="A206" s="12" t="s">
        <v>18</v>
      </c>
      <c r="B206" s="36">
        <v>46080</v>
      </c>
      <c r="C206" s="12">
        <f t="shared" si="12"/>
        <v>178</v>
      </c>
      <c r="D206" s="38">
        <f t="shared" si="11"/>
        <v>1</v>
      </c>
      <c r="G206" s="12" t="s">
        <v>311</v>
      </c>
      <c r="H206" s="12" t="s">
        <v>3057</v>
      </c>
      <c r="I206" s="12">
        <v>131</v>
      </c>
      <c r="J206" s="12">
        <v>5118</v>
      </c>
      <c r="K206" s="12" t="s">
        <v>20</v>
      </c>
      <c r="L206" s="12">
        <v>1</v>
      </c>
      <c r="M206" s="17">
        <v>494996785</v>
      </c>
      <c r="N206" s="17">
        <f t="shared" si="13"/>
        <v>494996785</v>
      </c>
      <c r="P206" s="12">
        <f t="shared" si="14"/>
        <v>16</v>
      </c>
    </row>
    <row r="207" spans="1:16" ht="15" hidden="1" customHeight="1" x14ac:dyDescent="0.2">
      <c r="A207" s="12" t="s">
        <v>18</v>
      </c>
      <c r="B207" s="36">
        <v>46083</v>
      </c>
      <c r="C207" s="12">
        <f t="shared" si="12"/>
        <v>179</v>
      </c>
      <c r="D207" s="38">
        <f t="shared" si="11"/>
        <v>1</v>
      </c>
      <c r="G207" s="12" t="s">
        <v>233</v>
      </c>
      <c r="H207" s="12" t="s">
        <v>2247</v>
      </c>
      <c r="I207" s="12">
        <v>64277</v>
      </c>
      <c r="J207" s="12">
        <v>331</v>
      </c>
      <c r="K207" s="12" t="s">
        <v>20</v>
      </c>
      <c r="L207" s="12">
        <v>1</v>
      </c>
      <c r="M207" s="17">
        <v>2739</v>
      </c>
      <c r="N207" s="17">
        <f t="shared" si="13"/>
        <v>2739</v>
      </c>
      <c r="P207" s="12">
        <f t="shared" si="14"/>
        <v>70</v>
      </c>
    </row>
    <row r="208" spans="1:16" ht="15" hidden="1" customHeight="1" x14ac:dyDescent="0.2">
      <c r="A208" s="12" t="s">
        <v>18</v>
      </c>
      <c r="B208" s="36">
        <v>46083</v>
      </c>
      <c r="C208" s="12">
        <f t="shared" si="12"/>
        <v>179</v>
      </c>
      <c r="D208" s="38">
        <f t="shared" si="11"/>
        <v>0</v>
      </c>
      <c r="G208" s="12" t="s">
        <v>233</v>
      </c>
      <c r="H208" s="12" t="s">
        <v>2247</v>
      </c>
      <c r="I208" s="12">
        <v>1331</v>
      </c>
      <c r="J208" s="12">
        <v>331</v>
      </c>
      <c r="K208" s="12" t="s">
        <v>20</v>
      </c>
      <c r="L208" s="12">
        <v>1</v>
      </c>
      <c r="M208" s="17">
        <v>274</v>
      </c>
      <c r="N208" s="17">
        <f t="shared" si="13"/>
        <v>274</v>
      </c>
      <c r="P208" s="12">
        <f t="shared" si="14"/>
        <v>70</v>
      </c>
    </row>
    <row r="209" spans="1:16" ht="15" hidden="1" customHeight="1" x14ac:dyDescent="0.2">
      <c r="A209" s="12" t="s">
        <v>18</v>
      </c>
      <c r="B209" s="36">
        <v>46085</v>
      </c>
      <c r="C209" s="12">
        <f t="shared" si="12"/>
        <v>180</v>
      </c>
      <c r="D209" s="38">
        <f t="shared" si="11"/>
        <v>1</v>
      </c>
      <c r="G209" s="12" t="s">
        <v>311</v>
      </c>
      <c r="H209" s="12" t="s">
        <v>3057</v>
      </c>
      <c r="I209" s="12">
        <v>131</v>
      </c>
      <c r="J209" s="12">
        <v>5118</v>
      </c>
      <c r="K209" s="12" t="s">
        <v>20</v>
      </c>
      <c r="L209" s="12">
        <v>1</v>
      </c>
      <c r="M209" s="17">
        <v>494996772</v>
      </c>
      <c r="N209" s="17">
        <f t="shared" si="13"/>
        <v>494996772</v>
      </c>
      <c r="P209" s="12">
        <f t="shared" si="14"/>
        <v>16</v>
      </c>
    </row>
    <row r="210" spans="1:16" ht="15" hidden="1" customHeight="1" x14ac:dyDescent="0.2">
      <c r="A210" s="12" t="s">
        <v>18</v>
      </c>
      <c r="B210" s="36">
        <v>46085</v>
      </c>
      <c r="C210" s="12">
        <f t="shared" si="12"/>
        <v>181</v>
      </c>
      <c r="D210" s="38">
        <f t="shared" si="11"/>
        <v>1</v>
      </c>
      <c r="G210" s="12" t="s">
        <v>35</v>
      </c>
      <c r="H210" s="12" t="s">
        <v>2248</v>
      </c>
      <c r="I210" s="12">
        <v>64277</v>
      </c>
      <c r="J210" s="12">
        <v>331</v>
      </c>
      <c r="K210" s="12" t="s">
        <v>20</v>
      </c>
      <c r="L210" s="12">
        <v>1</v>
      </c>
      <c r="M210" s="17">
        <v>8000000</v>
      </c>
      <c r="N210" s="17">
        <f t="shared" si="13"/>
        <v>8000000</v>
      </c>
      <c r="P210" s="12">
        <f t="shared" si="14"/>
        <v>41</v>
      </c>
    </row>
    <row r="211" spans="1:16" ht="15" hidden="1" customHeight="1" x14ac:dyDescent="0.2">
      <c r="A211" s="12" t="s">
        <v>18</v>
      </c>
      <c r="B211" s="36">
        <v>46085</v>
      </c>
      <c r="C211" s="12">
        <f t="shared" si="12"/>
        <v>181</v>
      </c>
      <c r="D211" s="38">
        <f t="shared" si="11"/>
        <v>0</v>
      </c>
      <c r="G211" s="12" t="s">
        <v>35</v>
      </c>
      <c r="H211" s="12" t="s">
        <v>2248</v>
      </c>
      <c r="I211" s="12">
        <v>1331</v>
      </c>
      <c r="J211" s="12">
        <v>331</v>
      </c>
      <c r="K211" s="12" t="s">
        <v>20</v>
      </c>
      <c r="L211" s="12">
        <v>1</v>
      </c>
      <c r="M211" s="17">
        <v>640000</v>
      </c>
      <c r="N211" s="17">
        <f t="shared" si="13"/>
        <v>640000</v>
      </c>
      <c r="P211" s="12">
        <f t="shared" si="14"/>
        <v>41</v>
      </c>
    </row>
    <row r="212" spans="1:16" ht="15" hidden="1" customHeight="1" x14ac:dyDescent="0.2">
      <c r="A212" s="12" t="s">
        <v>18</v>
      </c>
      <c r="B212" s="36">
        <v>46086</v>
      </c>
      <c r="C212" s="12">
        <f t="shared" si="12"/>
        <v>182</v>
      </c>
      <c r="D212" s="38">
        <f t="shared" si="11"/>
        <v>1</v>
      </c>
      <c r="G212" s="12" t="s">
        <v>2249</v>
      </c>
      <c r="H212" s="12" t="s">
        <v>3909</v>
      </c>
      <c r="I212" s="12">
        <v>64277</v>
      </c>
      <c r="J212" s="12">
        <v>331</v>
      </c>
      <c r="K212" s="12" t="s">
        <v>20</v>
      </c>
      <c r="L212" s="12">
        <v>1</v>
      </c>
      <c r="M212" s="17">
        <v>3267000</v>
      </c>
      <c r="N212" s="17">
        <f t="shared" si="13"/>
        <v>3267000</v>
      </c>
      <c r="P212" s="12">
        <f t="shared" si="14"/>
        <v>41</v>
      </c>
    </row>
    <row r="213" spans="1:16" ht="15" hidden="1" customHeight="1" x14ac:dyDescent="0.2">
      <c r="A213" s="12" t="s">
        <v>18</v>
      </c>
      <c r="B213" s="36">
        <v>46086</v>
      </c>
      <c r="C213" s="12">
        <f t="shared" si="12"/>
        <v>182</v>
      </c>
      <c r="D213" s="38">
        <f t="shared" si="11"/>
        <v>0</v>
      </c>
      <c r="G213" s="12" t="s">
        <v>2249</v>
      </c>
      <c r="H213" s="12" t="s">
        <v>3909</v>
      </c>
      <c r="I213" s="12">
        <v>1331</v>
      </c>
      <c r="J213" s="12">
        <v>331</v>
      </c>
      <c r="K213" s="12" t="s">
        <v>20</v>
      </c>
      <c r="L213" s="12">
        <v>1</v>
      </c>
      <c r="M213" s="17">
        <v>261360</v>
      </c>
      <c r="N213" s="17">
        <f t="shared" si="13"/>
        <v>261360</v>
      </c>
      <c r="P213" s="12">
        <f t="shared" si="14"/>
        <v>41</v>
      </c>
    </row>
    <row r="214" spans="1:16" ht="15" hidden="1" customHeight="1" x14ac:dyDescent="0.2">
      <c r="A214" s="12" t="s">
        <v>18</v>
      </c>
      <c r="B214" s="36">
        <v>46088</v>
      </c>
      <c r="C214" s="12">
        <f t="shared" si="12"/>
        <v>183</v>
      </c>
      <c r="D214" s="38">
        <f t="shared" si="11"/>
        <v>1</v>
      </c>
      <c r="G214" s="12" t="s">
        <v>311</v>
      </c>
      <c r="H214" s="12" t="s">
        <v>3057</v>
      </c>
      <c r="I214" s="12">
        <v>131</v>
      </c>
      <c r="J214" s="12">
        <v>5118</v>
      </c>
      <c r="K214" s="12" t="s">
        <v>20</v>
      </c>
      <c r="L214" s="12">
        <v>1</v>
      </c>
      <c r="M214" s="17">
        <v>494996759</v>
      </c>
      <c r="N214" s="17">
        <f t="shared" si="13"/>
        <v>494996759</v>
      </c>
      <c r="P214" s="12">
        <f t="shared" si="14"/>
        <v>16</v>
      </c>
    </row>
    <row r="215" spans="1:16" ht="15" hidden="1" customHeight="1" x14ac:dyDescent="0.2">
      <c r="A215" s="12" t="s">
        <v>18</v>
      </c>
      <c r="B215" s="36">
        <v>46088</v>
      </c>
      <c r="C215" s="12">
        <f t="shared" si="12"/>
        <v>184</v>
      </c>
      <c r="D215" s="38">
        <v>1</v>
      </c>
      <c r="G215" s="12" t="s">
        <v>311</v>
      </c>
      <c r="H215" s="12" t="s">
        <v>3057</v>
      </c>
      <c r="I215" s="12">
        <v>131</v>
      </c>
      <c r="J215" s="12">
        <v>5118</v>
      </c>
      <c r="K215" s="12" t="s">
        <v>20</v>
      </c>
      <c r="L215" s="12">
        <v>1</v>
      </c>
      <c r="M215" s="17">
        <v>417622483</v>
      </c>
      <c r="N215" s="17">
        <f t="shared" si="13"/>
        <v>417622483</v>
      </c>
      <c r="P215" s="12">
        <f t="shared" si="14"/>
        <v>16</v>
      </c>
    </row>
    <row r="216" spans="1:16" ht="15" hidden="1" customHeight="1" x14ac:dyDescent="0.2">
      <c r="A216" s="12" t="s">
        <v>18</v>
      </c>
      <c r="B216" s="36">
        <v>46090</v>
      </c>
      <c r="C216" s="12">
        <f t="shared" si="12"/>
        <v>185</v>
      </c>
      <c r="D216" s="38">
        <f>IF(H216=H215,0,1)</f>
        <v>1</v>
      </c>
      <c r="G216" s="12" t="s">
        <v>2252</v>
      </c>
      <c r="H216" s="12" t="s">
        <v>3911</v>
      </c>
      <c r="I216" s="12">
        <v>64277</v>
      </c>
      <c r="J216" s="12">
        <v>331</v>
      </c>
      <c r="K216" s="12" t="s">
        <v>20</v>
      </c>
      <c r="L216" s="12">
        <v>1</v>
      </c>
      <c r="M216" s="17">
        <v>2735303</v>
      </c>
      <c r="N216" s="17">
        <f t="shared" si="13"/>
        <v>2735303</v>
      </c>
      <c r="P216" s="12">
        <f t="shared" si="14"/>
        <v>41</v>
      </c>
    </row>
    <row r="217" spans="1:16" ht="15" hidden="1" customHeight="1" x14ac:dyDescent="0.2">
      <c r="A217" s="12" t="s">
        <v>18</v>
      </c>
      <c r="B217" s="36">
        <v>46090</v>
      </c>
      <c r="C217" s="12">
        <f t="shared" si="12"/>
        <v>185</v>
      </c>
      <c r="D217" s="38">
        <f>IF(H217=H216,0,1)</f>
        <v>0</v>
      </c>
      <c r="G217" s="12" t="s">
        <v>2252</v>
      </c>
      <c r="H217" s="12" t="s">
        <v>3911</v>
      </c>
      <c r="I217" s="12">
        <v>1331</v>
      </c>
      <c r="J217" s="12">
        <v>331</v>
      </c>
      <c r="K217" s="12" t="s">
        <v>20</v>
      </c>
      <c r="L217" s="12">
        <v>1</v>
      </c>
      <c r="M217" s="17">
        <v>220297</v>
      </c>
      <c r="N217" s="17">
        <f t="shared" si="13"/>
        <v>220297</v>
      </c>
      <c r="P217" s="12">
        <f t="shared" si="14"/>
        <v>41</v>
      </c>
    </row>
    <row r="218" spans="1:16" ht="15" hidden="1" customHeight="1" x14ac:dyDescent="0.2">
      <c r="A218" s="12" t="s">
        <v>18</v>
      </c>
      <c r="B218" s="36">
        <v>46090</v>
      </c>
      <c r="C218" s="12">
        <f t="shared" si="12"/>
        <v>186</v>
      </c>
      <c r="D218" s="38">
        <f>IF(H218=H217,0,1)</f>
        <v>1</v>
      </c>
      <c r="G218" s="12" t="s">
        <v>82</v>
      </c>
      <c r="H218" s="12" t="s">
        <v>2266</v>
      </c>
      <c r="I218" s="12">
        <v>131</v>
      </c>
      <c r="J218" s="12">
        <v>5113</v>
      </c>
      <c r="K218" s="12" t="s">
        <v>20</v>
      </c>
      <c r="L218" s="12">
        <v>1</v>
      </c>
      <c r="M218" s="17">
        <v>27777778</v>
      </c>
      <c r="N218" s="17">
        <f t="shared" si="13"/>
        <v>27777778</v>
      </c>
      <c r="P218" s="12">
        <f t="shared" si="14"/>
        <v>130</v>
      </c>
    </row>
    <row r="219" spans="1:16" ht="15" customHeight="1" x14ac:dyDescent="0.2">
      <c r="A219" s="12" t="s">
        <v>18</v>
      </c>
      <c r="B219" s="36">
        <v>46090</v>
      </c>
      <c r="C219" s="12">
        <f t="shared" si="12"/>
        <v>187</v>
      </c>
      <c r="D219" s="38">
        <f>IF(H219=H218,0,1)</f>
        <v>1</v>
      </c>
      <c r="G219" s="12" t="s">
        <v>82</v>
      </c>
      <c r="H219" s="12" t="s">
        <v>3896</v>
      </c>
      <c r="I219" s="12">
        <v>333821</v>
      </c>
      <c r="J219" s="12">
        <v>131</v>
      </c>
      <c r="K219" s="12" t="s">
        <v>20</v>
      </c>
      <c r="L219" s="12">
        <v>1</v>
      </c>
      <c r="M219" s="17">
        <v>277778</v>
      </c>
      <c r="N219" s="17">
        <f t="shared" si="13"/>
        <v>277778</v>
      </c>
      <c r="P219" s="12">
        <f t="shared" si="14"/>
        <v>146</v>
      </c>
    </row>
    <row r="220" spans="1:16" ht="15" hidden="1" customHeight="1" x14ac:dyDescent="0.2">
      <c r="A220" s="12" t="s">
        <v>18</v>
      </c>
      <c r="B220" s="36">
        <v>46090</v>
      </c>
      <c r="C220" s="12">
        <f t="shared" si="12"/>
        <v>188</v>
      </c>
      <c r="D220" s="38">
        <f>IF(H220=H219,0,1)</f>
        <v>1</v>
      </c>
      <c r="G220" s="12" t="s">
        <v>311</v>
      </c>
      <c r="H220" s="12" t="s">
        <v>3057</v>
      </c>
      <c r="I220" s="12">
        <v>131</v>
      </c>
      <c r="J220" s="12">
        <v>5118</v>
      </c>
      <c r="K220" s="12" t="s">
        <v>20</v>
      </c>
      <c r="L220" s="12">
        <v>1</v>
      </c>
      <c r="M220" s="17">
        <v>494996767</v>
      </c>
      <c r="N220" s="17">
        <f t="shared" si="13"/>
        <v>494996767</v>
      </c>
      <c r="P220" s="12">
        <f t="shared" si="14"/>
        <v>16</v>
      </c>
    </row>
    <row r="221" spans="1:16" ht="15" hidden="1" customHeight="1" x14ac:dyDescent="0.2">
      <c r="A221" s="12" t="s">
        <v>18</v>
      </c>
      <c r="B221" s="36">
        <v>46090</v>
      </c>
      <c r="C221" s="12">
        <f t="shared" si="12"/>
        <v>189</v>
      </c>
      <c r="D221" s="38">
        <v>1</v>
      </c>
      <c r="G221" s="12" t="s">
        <v>311</v>
      </c>
      <c r="H221" s="12" t="s">
        <v>3057</v>
      </c>
      <c r="I221" s="12">
        <v>131</v>
      </c>
      <c r="J221" s="12">
        <v>5118</v>
      </c>
      <c r="K221" s="12" t="s">
        <v>20</v>
      </c>
      <c r="L221" s="12">
        <v>1</v>
      </c>
      <c r="M221" s="17">
        <v>494996767</v>
      </c>
      <c r="N221" s="17">
        <f t="shared" si="13"/>
        <v>494996767</v>
      </c>
      <c r="P221" s="12">
        <f t="shared" si="14"/>
        <v>16</v>
      </c>
    </row>
    <row r="222" spans="1:16" ht="15" hidden="1" customHeight="1" x14ac:dyDescent="0.2">
      <c r="A222" s="12" t="s">
        <v>18</v>
      </c>
      <c r="B222" s="36">
        <v>46090</v>
      </c>
      <c r="C222" s="12">
        <f t="shared" si="12"/>
        <v>190</v>
      </c>
      <c r="D222" s="38">
        <f t="shared" ref="D222:D229" si="15">IF(H222=H221,0,1)</f>
        <v>1</v>
      </c>
      <c r="G222" s="12" t="s">
        <v>2250</v>
      </c>
      <c r="H222" s="12" t="s">
        <v>2251</v>
      </c>
      <c r="I222" s="12">
        <v>64277</v>
      </c>
      <c r="J222" s="12">
        <v>331</v>
      </c>
      <c r="K222" s="12" t="s">
        <v>20</v>
      </c>
      <c r="L222" s="12">
        <v>1</v>
      </c>
      <c r="M222" s="17">
        <v>3658000</v>
      </c>
      <c r="N222" s="17">
        <f t="shared" si="13"/>
        <v>3658000</v>
      </c>
      <c r="P222" s="12">
        <f t="shared" si="14"/>
        <v>49</v>
      </c>
    </row>
    <row r="223" spans="1:16" ht="15" hidden="1" customHeight="1" x14ac:dyDescent="0.2">
      <c r="A223" s="12" t="s">
        <v>18</v>
      </c>
      <c r="B223" s="36">
        <v>46090</v>
      </c>
      <c r="C223" s="12">
        <f t="shared" si="12"/>
        <v>190</v>
      </c>
      <c r="D223" s="38">
        <f t="shared" si="15"/>
        <v>0</v>
      </c>
      <c r="G223" s="12" t="s">
        <v>2250</v>
      </c>
      <c r="H223" s="12" t="s">
        <v>2251</v>
      </c>
      <c r="I223" s="12">
        <v>1331</v>
      </c>
      <c r="J223" s="12">
        <v>331</v>
      </c>
      <c r="K223" s="12" t="s">
        <v>20</v>
      </c>
      <c r="L223" s="12">
        <v>1</v>
      </c>
      <c r="M223" s="17">
        <v>292640</v>
      </c>
      <c r="N223" s="17">
        <f t="shared" si="13"/>
        <v>292640</v>
      </c>
      <c r="P223" s="12">
        <f t="shared" si="14"/>
        <v>49</v>
      </c>
    </row>
    <row r="224" spans="1:16" ht="15" hidden="1" customHeight="1" x14ac:dyDescent="0.2">
      <c r="A224" s="12" t="s">
        <v>18</v>
      </c>
      <c r="B224" s="36">
        <v>46091</v>
      </c>
      <c r="C224" s="12">
        <f t="shared" si="12"/>
        <v>191</v>
      </c>
      <c r="D224" s="38">
        <f t="shared" si="15"/>
        <v>1</v>
      </c>
      <c r="G224" s="12" t="s">
        <v>2239</v>
      </c>
      <c r="H224" s="12" t="s">
        <v>2253</v>
      </c>
      <c r="I224" s="12">
        <v>64277</v>
      </c>
      <c r="J224" s="12">
        <v>331</v>
      </c>
      <c r="K224" s="12" t="s">
        <v>20</v>
      </c>
      <c r="L224" s="12">
        <v>1</v>
      </c>
      <c r="M224" s="17">
        <v>3838600</v>
      </c>
      <c r="N224" s="17">
        <f t="shared" si="13"/>
        <v>3838600</v>
      </c>
      <c r="P224" s="12">
        <f t="shared" si="14"/>
        <v>43</v>
      </c>
    </row>
    <row r="225" spans="1:16" ht="15" hidden="1" customHeight="1" x14ac:dyDescent="0.2">
      <c r="A225" s="12" t="s">
        <v>18</v>
      </c>
      <c r="B225" s="36">
        <v>46091</v>
      </c>
      <c r="C225" s="12">
        <f t="shared" si="12"/>
        <v>191</v>
      </c>
      <c r="D225" s="38">
        <f t="shared" si="15"/>
        <v>0</v>
      </c>
      <c r="G225" s="12" t="s">
        <v>2239</v>
      </c>
      <c r="H225" s="12" t="s">
        <v>2253</v>
      </c>
      <c r="I225" s="12">
        <v>1331</v>
      </c>
      <c r="J225" s="12">
        <v>331</v>
      </c>
      <c r="K225" s="12" t="s">
        <v>20</v>
      </c>
      <c r="L225" s="12">
        <v>1</v>
      </c>
      <c r="M225" s="17">
        <v>307088</v>
      </c>
      <c r="N225" s="17">
        <f t="shared" si="13"/>
        <v>307088</v>
      </c>
      <c r="P225" s="12">
        <f t="shared" si="14"/>
        <v>43</v>
      </c>
    </row>
    <row r="226" spans="1:16" ht="15" hidden="1" customHeight="1" x14ac:dyDescent="0.2">
      <c r="A226" s="12" t="s">
        <v>18</v>
      </c>
      <c r="B226" s="36">
        <v>46098</v>
      </c>
      <c r="C226" s="12">
        <f t="shared" si="12"/>
        <v>192</v>
      </c>
      <c r="D226" s="38">
        <f t="shared" si="15"/>
        <v>1</v>
      </c>
      <c r="G226" s="12" t="s">
        <v>82</v>
      </c>
      <c r="H226" s="12" t="s">
        <v>2267</v>
      </c>
      <c r="I226" s="12">
        <v>131</v>
      </c>
      <c r="J226" s="12">
        <v>5113</v>
      </c>
      <c r="K226" s="12" t="s">
        <v>20</v>
      </c>
      <c r="L226" s="12">
        <v>1</v>
      </c>
      <c r="M226" s="17">
        <v>27777778</v>
      </c>
      <c r="N226" s="17">
        <f t="shared" si="13"/>
        <v>27777778</v>
      </c>
      <c r="P226" s="12">
        <f t="shared" si="14"/>
        <v>185</v>
      </c>
    </row>
    <row r="227" spans="1:16" ht="15" customHeight="1" x14ac:dyDescent="0.2">
      <c r="A227" s="12" t="s">
        <v>18</v>
      </c>
      <c r="B227" s="36">
        <v>46098</v>
      </c>
      <c r="C227" s="12">
        <f t="shared" si="12"/>
        <v>193</v>
      </c>
      <c r="D227" s="38">
        <f t="shared" si="15"/>
        <v>1</v>
      </c>
      <c r="G227" s="12" t="s">
        <v>82</v>
      </c>
      <c r="H227" s="12" t="s">
        <v>3913</v>
      </c>
      <c r="I227" s="12">
        <v>333821</v>
      </c>
      <c r="J227" s="12">
        <v>131</v>
      </c>
      <c r="K227" s="12" t="s">
        <v>20</v>
      </c>
      <c r="L227" s="12">
        <v>1</v>
      </c>
      <c r="M227" s="17">
        <v>277778</v>
      </c>
      <c r="N227" s="17">
        <f t="shared" si="13"/>
        <v>277778</v>
      </c>
      <c r="P227" s="12">
        <f t="shared" si="14"/>
        <v>146</v>
      </c>
    </row>
    <row r="228" spans="1:16" ht="15" hidden="1" customHeight="1" x14ac:dyDescent="0.2">
      <c r="A228" s="12" t="s">
        <v>18</v>
      </c>
      <c r="B228" s="36">
        <v>46112</v>
      </c>
      <c r="C228" s="12">
        <f t="shared" si="12"/>
        <v>194</v>
      </c>
      <c r="D228" s="38">
        <f t="shared" si="15"/>
        <v>1</v>
      </c>
      <c r="G228" s="12" t="s">
        <v>2254</v>
      </c>
      <c r="H228" s="12" t="s">
        <v>2255</v>
      </c>
      <c r="I228" s="12">
        <v>64277</v>
      </c>
      <c r="J228" s="12">
        <v>331</v>
      </c>
      <c r="K228" s="12" t="s">
        <v>20</v>
      </c>
      <c r="L228" s="12">
        <v>1</v>
      </c>
      <c r="M228" s="17">
        <v>919731636</v>
      </c>
      <c r="N228" s="17">
        <f t="shared" si="13"/>
        <v>919731636</v>
      </c>
      <c r="P228" s="12">
        <f t="shared" si="14"/>
        <v>143</v>
      </c>
    </row>
    <row r="229" spans="1:16" ht="15" hidden="1" customHeight="1" x14ac:dyDescent="0.2">
      <c r="A229" s="12" t="s">
        <v>18</v>
      </c>
      <c r="B229" s="36">
        <v>46112</v>
      </c>
      <c r="C229" s="12">
        <f t="shared" si="12"/>
        <v>194</v>
      </c>
      <c r="D229" s="38">
        <f t="shared" si="15"/>
        <v>0</v>
      </c>
      <c r="G229" s="12" t="s">
        <v>2254</v>
      </c>
      <c r="H229" s="12" t="s">
        <v>2255</v>
      </c>
      <c r="I229" s="12">
        <v>1331</v>
      </c>
      <c r="J229" s="12">
        <v>331</v>
      </c>
      <c r="K229" s="12" t="s">
        <v>20</v>
      </c>
      <c r="L229" s="12">
        <v>1</v>
      </c>
      <c r="M229" s="17">
        <v>73578531</v>
      </c>
      <c r="N229" s="17">
        <f t="shared" si="13"/>
        <v>73578531</v>
      </c>
      <c r="P229" s="12">
        <f t="shared" si="14"/>
        <v>143</v>
      </c>
    </row>
    <row r="230" spans="1:16" s="165" customFormat="1" ht="15" hidden="1" customHeight="1" x14ac:dyDescent="0.2">
      <c r="A230" s="165" t="s">
        <v>18</v>
      </c>
      <c r="B230" s="166">
        <v>46031</v>
      </c>
      <c r="C230" s="165">
        <f t="shared" ref="C230:C252" si="16">C229+D230</f>
        <v>195</v>
      </c>
      <c r="D230" s="168">
        <v>1</v>
      </c>
      <c r="G230" s="175" t="s">
        <v>71</v>
      </c>
      <c r="H230" s="165" t="s">
        <v>3926</v>
      </c>
      <c r="I230" s="165">
        <v>64277</v>
      </c>
      <c r="J230" s="165">
        <v>331</v>
      </c>
      <c r="K230" s="165" t="s">
        <v>20</v>
      </c>
      <c r="L230" s="165">
        <v>1</v>
      </c>
      <c r="M230" s="170">
        <v>1498446</v>
      </c>
      <c r="N230" s="170">
        <f t="shared" ref="N230:N264" si="17">L230*M230</f>
        <v>1498446</v>
      </c>
      <c r="P230" s="165">
        <f t="shared" si="14"/>
        <v>21</v>
      </c>
    </row>
    <row r="231" spans="1:16" s="165" customFormat="1" ht="15" hidden="1" customHeight="1" x14ac:dyDescent="0.2">
      <c r="A231" s="165" t="s">
        <v>18</v>
      </c>
      <c r="B231" s="166">
        <v>46038</v>
      </c>
      <c r="C231" s="165">
        <f t="shared" si="16"/>
        <v>196</v>
      </c>
      <c r="D231" s="168">
        <v>1</v>
      </c>
      <c r="G231" s="175" t="s">
        <v>71</v>
      </c>
      <c r="H231" s="165" t="s">
        <v>3926</v>
      </c>
      <c r="I231" s="165">
        <v>64277</v>
      </c>
      <c r="J231" s="165">
        <v>331</v>
      </c>
      <c r="K231" s="165" t="s">
        <v>20</v>
      </c>
      <c r="L231" s="165">
        <v>1</v>
      </c>
      <c r="M231" s="170">
        <v>4400000</v>
      </c>
      <c r="N231" s="170">
        <f t="shared" si="17"/>
        <v>4400000</v>
      </c>
      <c r="P231" s="165">
        <f t="shared" ref="P231:P264" si="18">LEN(H231)</f>
        <v>21</v>
      </c>
    </row>
    <row r="232" spans="1:16" s="165" customFormat="1" ht="15" hidden="1" customHeight="1" x14ac:dyDescent="0.2">
      <c r="A232" s="165" t="s">
        <v>18</v>
      </c>
      <c r="B232" s="166">
        <v>46039</v>
      </c>
      <c r="C232" s="165">
        <f t="shared" si="16"/>
        <v>197</v>
      </c>
      <c r="D232" s="168">
        <v>1</v>
      </c>
      <c r="G232" s="175" t="s">
        <v>71</v>
      </c>
      <c r="H232" s="165" t="s">
        <v>3926</v>
      </c>
      <c r="I232" s="165">
        <v>64277</v>
      </c>
      <c r="J232" s="165">
        <v>331</v>
      </c>
      <c r="K232" s="165" t="s">
        <v>20</v>
      </c>
      <c r="L232" s="165">
        <v>1</v>
      </c>
      <c r="M232" s="170">
        <v>5679000</v>
      </c>
      <c r="N232" s="170">
        <f t="shared" si="17"/>
        <v>5679000</v>
      </c>
      <c r="P232" s="165">
        <f t="shared" si="18"/>
        <v>21</v>
      </c>
    </row>
    <row r="233" spans="1:16" s="165" customFormat="1" ht="15" hidden="1" customHeight="1" x14ac:dyDescent="0.2">
      <c r="A233" s="165" t="s">
        <v>18</v>
      </c>
      <c r="B233" s="166">
        <v>46040</v>
      </c>
      <c r="C233" s="165">
        <f t="shared" si="16"/>
        <v>198</v>
      </c>
      <c r="D233" s="168">
        <v>1</v>
      </c>
      <c r="G233" s="175" t="s">
        <v>71</v>
      </c>
      <c r="H233" s="165" t="s">
        <v>3926</v>
      </c>
      <c r="I233" s="165">
        <v>64277</v>
      </c>
      <c r="J233" s="165">
        <v>331</v>
      </c>
      <c r="K233" s="165" t="s">
        <v>20</v>
      </c>
      <c r="L233" s="165">
        <v>1</v>
      </c>
      <c r="M233" s="170">
        <v>17452000</v>
      </c>
      <c r="N233" s="170">
        <f t="shared" si="17"/>
        <v>17452000</v>
      </c>
      <c r="P233" s="165">
        <f t="shared" si="18"/>
        <v>21</v>
      </c>
    </row>
    <row r="234" spans="1:16" s="165" customFormat="1" ht="15" hidden="1" customHeight="1" x14ac:dyDescent="0.2">
      <c r="A234" s="165" t="s">
        <v>18</v>
      </c>
      <c r="B234" s="166">
        <v>46041</v>
      </c>
      <c r="C234" s="165">
        <f t="shared" si="16"/>
        <v>199</v>
      </c>
      <c r="D234" s="168">
        <v>1</v>
      </c>
      <c r="G234" s="175" t="s">
        <v>71</v>
      </c>
      <c r="H234" s="165" t="s">
        <v>3926</v>
      </c>
      <c r="I234" s="165">
        <v>64277</v>
      </c>
      <c r="J234" s="165">
        <v>331</v>
      </c>
      <c r="K234" s="165" t="s">
        <v>20</v>
      </c>
      <c r="L234" s="165">
        <v>1</v>
      </c>
      <c r="M234" s="170">
        <v>1450000</v>
      </c>
      <c r="N234" s="170">
        <f t="shared" si="17"/>
        <v>1450000</v>
      </c>
      <c r="P234" s="165">
        <f t="shared" si="18"/>
        <v>21</v>
      </c>
    </row>
    <row r="235" spans="1:16" s="165" customFormat="1" ht="15" hidden="1" customHeight="1" x14ac:dyDescent="0.2">
      <c r="A235" s="165" t="s">
        <v>18</v>
      </c>
      <c r="B235" s="166">
        <v>46042</v>
      </c>
      <c r="C235" s="165">
        <f t="shared" si="16"/>
        <v>200</v>
      </c>
      <c r="D235" s="168">
        <v>1</v>
      </c>
      <c r="G235" s="175" t="s">
        <v>71</v>
      </c>
      <c r="H235" s="165" t="s">
        <v>3926</v>
      </c>
      <c r="I235" s="165">
        <v>64277</v>
      </c>
      <c r="J235" s="165">
        <v>331</v>
      </c>
      <c r="K235" s="165" t="s">
        <v>20</v>
      </c>
      <c r="L235" s="165">
        <v>1</v>
      </c>
      <c r="M235" s="170">
        <v>4400000</v>
      </c>
      <c r="N235" s="170">
        <f t="shared" si="17"/>
        <v>4400000</v>
      </c>
      <c r="P235" s="165">
        <f t="shared" si="18"/>
        <v>21</v>
      </c>
    </row>
    <row r="236" spans="1:16" s="165" customFormat="1" ht="15" hidden="1" customHeight="1" x14ac:dyDescent="0.2">
      <c r="A236" s="165" t="s">
        <v>18</v>
      </c>
      <c r="B236" s="166">
        <v>46042</v>
      </c>
      <c r="C236" s="165">
        <f t="shared" si="16"/>
        <v>201</v>
      </c>
      <c r="D236" s="168">
        <v>1</v>
      </c>
      <c r="G236" s="175" t="s">
        <v>71</v>
      </c>
      <c r="H236" s="165" t="s">
        <v>3926</v>
      </c>
      <c r="I236" s="165">
        <v>64277</v>
      </c>
      <c r="J236" s="165">
        <v>331</v>
      </c>
      <c r="K236" s="165" t="s">
        <v>20</v>
      </c>
      <c r="L236" s="165">
        <v>1</v>
      </c>
      <c r="M236" s="170">
        <v>6400000</v>
      </c>
      <c r="N236" s="170">
        <f t="shared" si="17"/>
        <v>6400000</v>
      </c>
      <c r="P236" s="165">
        <f t="shared" si="18"/>
        <v>21</v>
      </c>
    </row>
    <row r="237" spans="1:16" s="165" customFormat="1" ht="15" hidden="1" customHeight="1" x14ac:dyDescent="0.2">
      <c r="A237" s="165" t="s">
        <v>18</v>
      </c>
      <c r="B237" s="166">
        <v>46043</v>
      </c>
      <c r="C237" s="165">
        <f t="shared" si="16"/>
        <v>202</v>
      </c>
      <c r="D237" s="168">
        <v>1</v>
      </c>
      <c r="G237" s="175" t="s">
        <v>71</v>
      </c>
      <c r="H237" s="165" t="s">
        <v>3926</v>
      </c>
      <c r="I237" s="165">
        <v>64277</v>
      </c>
      <c r="J237" s="165">
        <v>331</v>
      </c>
      <c r="K237" s="165" t="s">
        <v>20</v>
      </c>
      <c r="L237" s="165">
        <v>1</v>
      </c>
      <c r="M237" s="170">
        <v>1450000</v>
      </c>
      <c r="N237" s="170">
        <f t="shared" si="17"/>
        <v>1450000</v>
      </c>
      <c r="P237" s="165">
        <f t="shared" si="18"/>
        <v>21</v>
      </c>
    </row>
    <row r="238" spans="1:16" s="165" customFormat="1" ht="15" hidden="1" customHeight="1" x14ac:dyDescent="0.2">
      <c r="A238" s="165" t="s">
        <v>18</v>
      </c>
      <c r="B238" s="166">
        <v>46043</v>
      </c>
      <c r="C238" s="165">
        <f t="shared" si="16"/>
        <v>203</v>
      </c>
      <c r="D238" s="168">
        <v>1</v>
      </c>
      <c r="G238" s="175" t="s">
        <v>71</v>
      </c>
      <c r="H238" s="165" t="s">
        <v>3926</v>
      </c>
      <c r="I238" s="165">
        <v>64277</v>
      </c>
      <c r="J238" s="165">
        <v>331</v>
      </c>
      <c r="K238" s="165" t="s">
        <v>20</v>
      </c>
      <c r="L238" s="165">
        <v>1</v>
      </c>
      <c r="M238" s="170">
        <v>486000</v>
      </c>
      <c r="N238" s="170">
        <f t="shared" si="17"/>
        <v>486000</v>
      </c>
      <c r="P238" s="165">
        <f t="shared" si="18"/>
        <v>21</v>
      </c>
    </row>
    <row r="239" spans="1:16" s="165" customFormat="1" ht="15" hidden="1" customHeight="1" x14ac:dyDescent="0.2">
      <c r="A239" s="165" t="s">
        <v>18</v>
      </c>
      <c r="B239" s="166">
        <v>46046</v>
      </c>
      <c r="C239" s="165">
        <f t="shared" si="16"/>
        <v>204</v>
      </c>
      <c r="D239" s="168">
        <v>1</v>
      </c>
      <c r="G239" s="175" t="s">
        <v>71</v>
      </c>
      <c r="H239" s="165" t="s">
        <v>3926</v>
      </c>
      <c r="I239" s="165">
        <v>64277</v>
      </c>
      <c r="J239" s="165">
        <v>331</v>
      </c>
      <c r="K239" s="165" t="s">
        <v>20</v>
      </c>
      <c r="L239" s="165">
        <v>1</v>
      </c>
      <c r="M239" s="170">
        <v>434200</v>
      </c>
      <c r="N239" s="170">
        <f t="shared" si="17"/>
        <v>434200</v>
      </c>
      <c r="P239" s="165">
        <f t="shared" si="18"/>
        <v>21</v>
      </c>
    </row>
    <row r="240" spans="1:16" s="165" customFormat="1" ht="15" hidden="1" customHeight="1" x14ac:dyDescent="0.2">
      <c r="A240" s="165" t="s">
        <v>18</v>
      </c>
      <c r="B240" s="166">
        <v>46049</v>
      </c>
      <c r="C240" s="165">
        <f t="shared" si="16"/>
        <v>205</v>
      </c>
      <c r="D240" s="168">
        <v>1</v>
      </c>
      <c r="G240" s="175" t="s">
        <v>71</v>
      </c>
      <c r="H240" s="165" t="s">
        <v>3926</v>
      </c>
      <c r="I240" s="165">
        <v>64277</v>
      </c>
      <c r="J240" s="165">
        <v>331</v>
      </c>
      <c r="K240" s="165" t="s">
        <v>20</v>
      </c>
      <c r="L240" s="165">
        <v>1</v>
      </c>
      <c r="M240" s="170">
        <v>1951000</v>
      </c>
      <c r="N240" s="170">
        <f t="shared" si="17"/>
        <v>1951000</v>
      </c>
      <c r="P240" s="165">
        <f t="shared" si="18"/>
        <v>21</v>
      </c>
    </row>
    <row r="241" spans="1:16" s="165" customFormat="1" ht="15" hidden="1" customHeight="1" x14ac:dyDescent="0.2">
      <c r="A241" s="165" t="s">
        <v>18</v>
      </c>
      <c r="B241" s="166">
        <v>46049</v>
      </c>
      <c r="C241" s="165">
        <f t="shared" si="16"/>
        <v>206</v>
      </c>
      <c r="D241" s="168">
        <v>1</v>
      </c>
      <c r="G241" s="175" t="s">
        <v>71</v>
      </c>
      <c r="H241" s="165" t="s">
        <v>3926</v>
      </c>
      <c r="I241" s="165">
        <v>64277</v>
      </c>
      <c r="J241" s="165">
        <v>331</v>
      </c>
      <c r="K241" s="165" t="s">
        <v>20</v>
      </c>
      <c r="L241" s="165">
        <v>1</v>
      </c>
      <c r="M241" s="170">
        <v>2850000</v>
      </c>
      <c r="N241" s="170">
        <f t="shared" si="17"/>
        <v>2850000</v>
      </c>
      <c r="P241" s="165">
        <f t="shared" si="18"/>
        <v>21</v>
      </c>
    </row>
    <row r="242" spans="1:16" s="165" customFormat="1" ht="15" hidden="1" customHeight="1" x14ac:dyDescent="0.2">
      <c r="A242" s="165" t="s">
        <v>18</v>
      </c>
      <c r="B242" s="166">
        <v>46051</v>
      </c>
      <c r="C242" s="165">
        <f t="shared" si="16"/>
        <v>207</v>
      </c>
      <c r="D242" s="168">
        <v>1</v>
      </c>
      <c r="G242" s="175" t="s">
        <v>71</v>
      </c>
      <c r="H242" s="165" t="s">
        <v>3926</v>
      </c>
      <c r="I242" s="165">
        <v>64277</v>
      </c>
      <c r="J242" s="165">
        <v>331</v>
      </c>
      <c r="K242" s="165" t="s">
        <v>20</v>
      </c>
      <c r="L242" s="165">
        <v>1</v>
      </c>
      <c r="M242" s="170">
        <v>1975000</v>
      </c>
      <c r="N242" s="170">
        <f t="shared" si="17"/>
        <v>1975000</v>
      </c>
      <c r="P242" s="165">
        <f t="shared" si="18"/>
        <v>21</v>
      </c>
    </row>
    <row r="243" spans="1:16" s="165" customFormat="1" ht="15" hidden="1" customHeight="1" x14ac:dyDescent="0.2">
      <c r="A243" s="165" t="s">
        <v>18</v>
      </c>
      <c r="B243" s="166">
        <v>46051</v>
      </c>
      <c r="C243" s="165">
        <f t="shared" si="16"/>
        <v>208</v>
      </c>
      <c r="D243" s="168">
        <v>1</v>
      </c>
      <c r="G243" s="175" t="s">
        <v>71</v>
      </c>
      <c r="H243" s="165" t="s">
        <v>3926</v>
      </c>
      <c r="I243" s="165">
        <v>64277</v>
      </c>
      <c r="J243" s="165">
        <v>331</v>
      </c>
      <c r="K243" s="165" t="s">
        <v>20</v>
      </c>
      <c r="L243" s="165">
        <v>1</v>
      </c>
      <c r="M243" s="170">
        <v>178848</v>
      </c>
      <c r="N243" s="170">
        <f t="shared" si="17"/>
        <v>178848</v>
      </c>
      <c r="P243" s="165">
        <f t="shared" si="18"/>
        <v>21</v>
      </c>
    </row>
    <row r="244" spans="1:16" s="165" customFormat="1" ht="15" hidden="1" customHeight="1" x14ac:dyDescent="0.2">
      <c r="A244" s="165" t="s">
        <v>18</v>
      </c>
      <c r="B244" s="166">
        <v>46052</v>
      </c>
      <c r="C244" s="165">
        <f t="shared" si="16"/>
        <v>209</v>
      </c>
      <c r="D244" s="168">
        <v>1</v>
      </c>
      <c r="G244" s="175" t="s">
        <v>71</v>
      </c>
      <c r="H244" s="165" t="s">
        <v>3926</v>
      </c>
      <c r="I244" s="165">
        <v>64277</v>
      </c>
      <c r="J244" s="165">
        <v>331</v>
      </c>
      <c r="K244" s="165" t="s">
        <v>20</v>
      </c>
      <c r="L244" s="165">
        <v>1</v>
      </c>
      <c r="M244" s="170">
        <v>3400000</v>
      </c>
      <c r="N244" s="170">
        <f t="shared" si="17"/>
        <v>3400000</v>
      </c>
      <c r="P244" s="165">
        <f t="shared" si="18"/>
        <v>21</v>
      </c>
    </row>
    <row r="245" spans="1:16" s="165" customFormat="1" ht="15" hidden="1" customHeight="1" x14ac:dyDescent="0.2">
      <c r="A245" s="165" t="s">
        <v>18</v>
      </c>
      <c r="B245" s="166">
        <v>46052</v>
      </c>
      <c r="C245" s="165">
        <f t="shared" si="16"/>
        <v>210</v>
      </c>
      <c r="D245" s="168">
        <v>1</v>
      </c>
      <c r="G245" s="175" t="s">
        <v>71</v>
      </c>
      <c r="H245" s="165" t="s">
        <v>3926</v>
      </c>
      <c r="I245" s="165">
        <v>64277</v>
      </c>
      <c r="J245" s="165">
        <v>331</v>
      </c>
      <c r="K245" s="165" t="s">
        <v>20</v>
      </c>
      <c r="L245" s="165">
        <v>1</v>
      </c>
      <c r="M245" s="170">
        <v>1036470</v>
      </c>
      <c r="N245" s="170">
        <f t="shared" si="17"/>
        <v>1036470</v>
      </c>
      <c r="P245" s="165">
        <f t="shared" si="18"/>
        <v>21</v>
      </c>
    </row>
    <row r="246" spans="1:16" s="165" customFormat="1" ht="15" hidden="1" customHeight="1" x14ac:dyDescent="0.2">
      <c r="A246" s="165" t="s">
        <v>18</v>
      </c>
      <c r="B246" s="166">
        <v>46055</v>
      </c>
      <c r="C246" s="165">
        <f t="shared" si="16"/>
        <v>211</v>
      </c>
      <c r="D246" s="168">
        <v>1</v>
      </c>
      <c r="G246" s="175" t="s">
        <v>71</v>
      </c>
      <c r="H246" s="165" t="s">
        <v>3926</v>
      </c>
      <c r="I246" s="165">
        <v>64277</v>
      </c>
      <c r="J246" s="165">
        <v>331</v>
      </c>
      <c r="K246" s="165" t="s">
        <v>20</v>
      </c>
      <c r="L246" s="165">
        <v>1</v>
      </c>
      <c r="M246" s="170">
        <v>2198000</v>
      </c>
      <c r="N246" s="170">
        <f t="shared" si="17"/>
        <v>2198000</v>
      </c>
      <c r="P246" s="165">
        <f t="shared" si="18"/>
        <v>21</v>
      </c>
    </row>
    <row r="247" spans="1:16" s="165" customFormat="1" ht="15" hidden="1" customHeight="1" x14ac:dyDescent="0.2">
      <c r="A247" s="165" t="s">
        <v>18</v>
      </c>
      <c r="B247" s="166">
        <v>46056</v>
      </c>
      <c r="C247" s="165">
        <f t="shared" si="16"/>
        <v>212</v>
      </c>
      <c r="D247" s="168">
        <v>1</v>
      </c>
      <c r="G247" s="175" t="s">
        <v>71</v>
      </c>
      <c r="H247" s="165" t="s">
        <v>3926</v>
      </c>
      <c r="I247" s="165">
        <v>64277</v>
      </c>
      <c r="J247" s="165">
        <v>331</v>
      </c>
      <c r="K247" s="165" t="s">
        <v>20</v>
      </c>
      <c r="L247" s="165">
        <v>1</v>
      </c>
      <c r="M247" s="170">
        <v>7764000</v>
      </c>
      <c r="N247" s="170">
        <f t="shared" si="17"/>
        <v>7764000</v>
      </c>
      <c r="P247" s="165">
        <f t="shared" si="18"/>
        <v>21</v>
      </c>
    </row>
    <row r="248" spans="1:16" s="165" customFormat="1" ht="15" hidden="1" customHeight="1" x14ac:dyDescent="0.2">
      <c r="A248" s="165" t="s">
        <v>18</v>
      </c>
      <c r="B248" s="166">
        <v>46076</v>
      </c>
      <c r="C248" s="165">
        <f t="shared" si="16"/>
        <v>213</v>
      </c>
      <c r="D248" s="168">
        <v>1</v>
      </c>
      <c r="G248" s="175" t="s">
        <v>71</v>
      </c>
      <c r="H248" s="165" t="s">
        <v>3926</v>
      </c>
      <c r="I248" s="165">
        <v>64277</v>
      </c>
      <c r="J248" s="165">
        <v>331</v>
      </c>
      <c r="K248" s="165" t="s">
        <v>20</v>
      </c>
      <c r="L248" s="165">
        <v>1</v>
      </c>
      <c r="M248" s="170">
        <v>3495000</v>
      </c>
      <c r="N248" s="170">
        <f t="shared" si="17"/>
        <v>3495000</v>
      </c>
      <c r="P248" s="165">
        <f t="shared" si="18"/>
        <v>21</v>
      </c>
    </row>
    <row r="249" spans="1:16" s="165" customFormat="1" ht="15" hidden="1" customHeight="1" x14ac:dyDescent="0.2">
      <c r="A249" s="165" t="s">
        <v>18</v>
      </c>
      <c r="B249" s="166">
        <v>46078</v>
      </c>
      <c r="C249" s="165">
        <f t="shared" si="16"/>
        <v>214</v>
      </c>
      <c r="D249" s="168">
        <v>1</v>
      </c>
      <c r="G249" s="175" t="s">
        <v>71</v>
      </c>
      <c r="H249" s="165" t="s">
        <v>3926</v>
      </c>
      <c r="I249" s="165">
        <v>64277</v>
      </c>
      <c r="J249" s="165">
        <v>331</v>
      </c>
      <c r="K249" s="165" t="s">
        <v>20</v>
      </c>
      <c r="L249" s="165">
        <v>1</v>
      </c>
      <c r="M249" s="170">
        <v>5300000</v>
      </c>
      <c r="N249" s="170">
        <f t="shared" si="17"/>
        <v>5300000</v>
      </c>
      <c r="P249" s="165">
        <f t="shared" si="18"/>
        <v>21</v>
      </c>
    </row>
    <row r="250" spans="1:16" s="165" customFormat="1" ht="15" hidden="1" customHeight="1" x14ac:dyDescent="0.2">
      <c r="A250" s="165" t="s">
        <v>18</v>
      </c>
      <c r="B250" s="166">
        <v>46081</v>
      </c>
      <c r="C250" s="165">
        <f t="shared" si="16"/>
        <v>215</v>
      </c>
      <c r="D250" s="168">
        <v>1</v>
      </c>
      <c r="G250" s="175" t="s">
        <v>71</v>
      </c>
      <c r="H250" s="165" t="s">
        <v>3926</v>
      </c>
      <c r="I250" s="165">
        <v>64277</v>
      </c>
      <c r="J250" s="165">
        <v>331</v>
      </c>
      <c r="K250" s="165" t="s">
        <v>20</v>
      </c>
      <c r="L250" s="165">
        <v>1</v>
      </c>
      <c r="M250" s="170">
        <v>1814000</v>
      </c>
      <c r="N250" s="170">
        <f t="shared" si="17"/>
        <v>1814000</v>
      </c>
      <c r="P250" s="165">
        <f t="shared" si="18"/>
        <v>21</v>
      </c>
    </row>
    <row r="251" spans="1:16" s="165" customFormat="1" ht="15" hidden="1" customHeight="1" x14ac:dyDescent="0.2">
      <c r="A251" s="165" t="s">
        <v>18</v>
      </c>
      <c r="B251" s="166">
        <v>46081</v>
      </c>
      <c r="C251" s="165">
        <f t="shared" si="16"/>
        <v>216</v>
      </c>
      <c r="D251" s="168">
        <v>1</v>
      </c>
      <c r="G251" s="175" t="s">
        <v>71</v>
      </c>
      <c r="H251" s="165" t="s">
        <v>3926</v>
      </c>
      <c r="I251" s="165">
        <v>64277</v>
      </c>
      <c r="J251" s="165">
        <v>331</v>
      </c>
      <c r="K251" s="165" t="s">
        <v>20</v>
      </c>
      <c r="L251" s="165">
        <v>1</v>
      </c>
      <c r="M251" s="170">
        <v>4184000</v>
      </c>
      <c r="N251" s="170">
        <f t="shared" si="17"/>
        <v>4184000</v>
      </c>
      <c r="P251" s="165">
        <f t="shared" si="18"/>
        <v>21</v>
      </c>
    </row>
    <row r="252" spans="1:16" s="165" customFormat="1" ht="15" hidden="1" customHeight="1" x14ac:dyDescent="0.2">
      <c r="A252" s="165" t="s">
        <v>18</v>
      </c>
      <c r="B252" s="166">
        <v>46082</v>
      </c>
      <c r="C252" s="165">
        <f t="shared" si="16"/>
        <v>217</v>
      </c>
      <c r="D252" s="168">
        <v>1</v>
      </c>
      <c r="G252" s="175" t="s">
        <v>71</v>
      </c>
      <c r="H252" s="165" t="s">
        <v>3926</v>
      </c>
      <c r="I252" s="165">
        <v>64277</v>
      </c>
      <c r="J252" s="165">
        <v>331</v>
      </c>
      <c r="K252" s="165" t="s">
        <v>20</v>
      </c>
      <c r="L252" s="165">
        <v>1</v>
      </c>
      <c r="M252" s="170">
        <v>2900000</v>
      </c>
      <c r="N252" s="170">
        <f t="shared" si="17"/>
        <v>2900000</v>
      </c>
      <c r="P252" s="165">
        <f t="shared" si="18"/>
        <v>21</v>
      </c>
    </row>
    <row r="253" spans="1:16" s="165" customFormat="1" ht="15" hidden="1" customHeight="1" x14ac:dyDescent="0.2">
      <c r="A253" s="165" t="s">
        <v>310</v>
      </c>
      <c r="B253" s="166">
        <v>46025</v>
      </c>
      <c r="C253" s="165">
        <f t="shared" ref="C253:C254" si="19">C252+D253</f>
        <v>218</v>
      </c>
      <c r="D253" s="168">
        <v>1</v>
      </c>
      <c r="G253" s="175" t="s">
        <v>233</v>
      </c>
      <c r="H253" s="165" t="s">
        <v>2213</v>
      </c>
      <c r="I253" s="165">
        <v>331</v>
      </c>
      <c r="J253" s="165">
        <v>1111</v>
      </c>
      <c r="K253" s="165" t="s">
        <v>20</v>
      </c>
      <c r="L253" s="165">
        <v>1</v>
      </c>
      <c r="M253" s="170">
        <v>3013</v>
      </c>
      <c r="N253" s="170">
        <f t="shared" si="17"/>
        <v>3013</v>
      </c>
      <c r="P253" s="165">
        <f t="shared" si="18"/>
        <v>69</v>
      </c>
    </row>
    <row r="254" spans="1:16" s="165" customFormat="1" ht="15" hidden="1" customHeight="1" x14ac:dyDescent="0.2">
      <c r="A254" s="165" t="s">
        <v>310</v>
      </c>
      <c r="B254" s="166">
        <v>46083</v>
      </c>
      <c r="C254" s="165">
        <f t="shared" si="19"/>
        <v>219</v>
      </c>
      <c r="D254" s="168">
        <v>1</v>
      </c>
      <c r="G254" s="175" t="s">
        <v>233</v>
      </c>
      <c r="H254" s="165" t="s">
        <v>2247</v>
      </c>
      <c r="I254" s="165">
        <v>331</v>
      </c>
      <c r="J254" s="165">
        <v>1111</v>
      </c>
      <c r="K254" s="165" t="s">
        <v>20</v>
      </c>
      <c r="L254" s="165">
        <v>1</v>
      </c>
      <c r="M254" s="170">
        <v>3013</v>
      </c>
      <c r="N254" s="170">
        <f t="shared" si="17"/>
        <v>3013</v>
      </c>
      <c r="P254" s="165">
        <f t="shared" si="18"/>
        <v>70</v>
      </c>
    </row>
    <row r="255" spans="1:16" s="165" customFormat="1" ht="15" hidden="1" customHeight="1" x14ac:dyDescent="0.2">
      <c r="A255" s="165" t="s">
        <v>310</v>
      </c>
      <c r="B255" s="166">
        <v>46036</v>
      </c>
      <c r="C255" s="165">
        <f t="shared" ref="C255:C256" si="20">C254+D255</f>
        <v>220</v>
      </c>
      <c r="D255" s="168">
        <v>1</v>
      </c>
      <c r="G255" s="175" t="s">
        <v>54</v>
      </c>
      <c r="H255" s="165" t="s">
        <v>2214</v>
      </c>
      <c r="I255" s="165">
        <v>331</v>
      </c>
      <c r="J255" s="165">
        <v>1111</v>
      </c>
      <c r="K255" s="165" t="s">
        <v>20</v>
      </c>
      <c r="L255" s="165">
        <v>1</v>
      </c>
      <c r="M255" s="170">
        <v>99000</v>
      </c>
      <c r="N255" s="170">
        <f t="shared" si="17"/>
        <v>99000</v>
      </c>
      <c r="P255" s="165">
        <f t="shared" si="18"/>
        <v>72</v>
      </c>
    </row>
    <row r="256" spans="1:16" s="165" customFormat="1" ht="15" hidden="1" customHeight="1" x14ac:dyDescent="0.2">
      <c r="A256" s="165" t="s">
        <v>310</v>
      </c>
      <c r="B256" s="166">
        <v>46037</v>
      </c>
      <c r="C256" s="165">
        <f t="shared" si="20"/>
        <v>221</v>
      </c>
      <c r="D256" s="168">
        <v>1</v>
      </c>
      <c r="G256" s="175" t="s">
        <v>54</v>
      </c>
      <c r="H256" s="165" t="s">
        <v>2215</v>
      </c>
      <c r="I256" s="165">
        <v>331</v>
      </c>
      <c r="J256" s="165">
        <v>1111</v>
      </c>
      <c r="K256" s="165" t="s">
        <v>20</v>
      </c>
      <c r="L256" s="165">
        <v>1</v>
      </c>
      <c r="M256" s="170">
        <v>824040</v>
      </c>
      <c r="N256" s="170">
        <f t="shared" si="17"/>
        <v>824040</v>
      </c>
      <c r="P256" s="165">
        <f t="shared" si="18"/>
        <v>81</v>
      </c>
    </row>
    <row r="257" spans="1:16" s="165" customFormat="1" ht="15" hidden="1" customHeight="1" x14ac:dyDescent="0.2">
      <c r="A257" s="165" t="s">
        <v>310</v>
      </c>
      <c r="B257" s="166">
        <v>46056</v>
      </c>
      <c r="C257" s="165">
        <f t="shared" ref="C257" si="21">C256+D257</f>
        <v>222</v>
      </c>
      <c r="D257" s="168">
        <v>1</v>
      </c>
      <c r="G257" s="175" t="s">
        <v>2232</v>
      </c>
      <c r="H257" s="165" t="s">
        <v>3904</v>
      </c>
      <c r="I257" s="165">
        <v>331</v>
      </c>
      <c r="J257" s="165">
        <v>1111</v>
      </c>
      <c r="K257" s="165" t="s">
        <v>20</v>
      </c>
      <c r="L257" s="165">
        <v>1</v>
      </c>
      <c r="M257" s="170">
        <v>2515000</v>
      </c>
      <c r="N257" s="170">
        <f t="shared" si="17"/>
        <v>2515000</v>
      </c>
      <c r="P257" s="165">
        <f t="shared" si="18"/>
        <v>40</v>
      </c>
    </row>
    <row r="258" spans="1:16" s="165" customFormat="1" ht="15" hidden="1" customHeight="1" x14ac:dyDescent="0.2">
      <c r="A258" s="165" t="s">
        <v>310</v>
      </c>
      <c r="B258" s="166">
        <v>46090</v>
      </c>
      <c r="C258" s="165">
        <f t="shared" ref="C258:C263" si="22">C257+D258</f>
        <v>223</v>
      </c>
      <c r="D258" s="168">
        <v>1</v>
      </c>
      <c r="G258" s="175" t="s">
        <v>2250</v>
      </c>
      <c r="H258" s="165" t="s">
        <v>2251</v>
      </c>
      <c r="I258" s="165">
        <v>331</v>
      </c>
      <c r="J258" s="165">
        <v>1111</v>
      </c>
      <c r="K258" s="165" t="s">
        <v>20</v>
      </c>
      <c r="L258" s="165">
        <v>1</v>
      </c>
      <c r="M258" s="170">
        <v>3950640</v>
      </c>
      <c r="N258" s="170">
        <f t="shared" si="17"/>
        <v>3950640</v>
      </c>
      <c r="P258" s="165">
        <f t="shared" si="18"/>
        <v>49</v>
      </c>
    </row>
    <row r="259" spans="1:16" s="165" customFormat="1" ht="15" hidden="1" customHeight="1" x14ac:dyDescent="0.2">
      <c r="A259" s="165" t="s">
        <v>310</v>
      </c>
      <c r="B259" s="166">
        <v>46039</v>
      </c>
      <c r="C259" s="165">
        <f t="shared" si="22"/>
        <v>224</v>
      </c>
      <c r="D259" s="168">
        <v>1</v>
      </c>
      <c r="G259" s="175" t="s">
        <v>2216</v>
      </c>
      <c r="H259" s="165" t="s">
        <v>2217</v>
      </c>
      <c r="I259" s="165">
        <v>331</v>
      </c>
      <c r="J259" s="165">
        <v>1111</v>
      </c>
      <c r="K259" s="165" t="s">
        <v>20</v>
      </c>
      <c r="L259" s="165">
        <v>1</v>
      </c>
      <c r="M259" s="170">
        <v>5500000</v>
      </c>
      <c r="N259" s="170">
        <f t="shared" si="17"/>
        <v>5500000</v>
      </c>
      <c r="P259" s="165">
        <f t="shared" si="18"/>
        <v>86</v>
      </c>
    </row>
    <row r="260" spans="1:16" s="165" customFormat="1" ht="15" hidden="1" customHeight="1" x14ac:dyDescent="0.2">
      <c r="A260" s="165" t="s">
        <v>310</v>
      </c>
      <c r="B260" s="166">
        <v>46065</v>
      </c>
      <c r="C260" s="165">
        <f t="shared" si="22"/>
        <v>225</v>
      </c>
      <c r="D260" s="168">
        <v>1</v>
      </c>
      <c r="G260" s="175" t="s">
        <v>2239</v>
      </c>
      <c r="H260" s="165" t="s">
        <v>2240</v>
      </c>
      <c r="I260" s="165">
        <v>331</v>
      </c>
      <c r="J260" s="165">
        <v>1111</v>
      </c>
      <c r="K260" s="165" t="s">
        <v>20</v>
      </c>
      <c r="L260" s="165">
        <v>1</v>
      </c>
      <c r="M260" s="170">
        <v>2568240</v>
      </c>
      <c r="N260" s="170">
        <f t="shared" si="17"/>
        <v>2568240</v>
      </c>
      <c r="P260" s="165">
        <f t="shared" si="18"/>
        <v>67</v>
      </c>
    </row>
    <row r="261" spans="1:16" s="165" customFormat="1" ht="15" hidden="1" customHeight="1" x14ac:dyDescent="0.2">
      <c r="A261" s="165" t="s">
        <v>310</v>
      </c>
      <c r="B261" s="166">
        <v>46091</v>
      </c>
      <c r="C261" s="165">
        <f t="shared" si="22"/>
        <v>226</v>
      </c>
      <c r="D261" s="168">
        <v>1</v>
      </c>
      <c r="G261" s="175" t="s">
        <v>2239</v>
      </c>
      <c r="H261" s="165" t="s">
        <v>2253</v>
      </c>
      <c r="I261" s="165">
        <v>331</v>
      </c>
      <c r="J261" s="165">
        <v>1111</v>
      </c>
      <c r="K261" s="165" t="s">
        <v>20</v>
      </c>
      <c r="L261" s="165">
        <v>1</v>
      </c>
      <c r="M261" s="170">
        <v>4145688</v>
      </c>
      <c r="N261" s="170">
        <f t="shared" si="17"/>
        <v>4145688</v>
      </c>
      <c r="P261" s="165">
        <f t="shared" si="18"/>
        <v>43</v>
      </c>
    </row>
    <row r="262" spans="1:16" s="165" customFormat="1" ht="15" hidden="1" customHeight="1" x14ac:dyDescent="0.2">
      <c r="A262" s="165" t="s">
        <v>310</v>
      </c>
      <c r="B262" s="166">
        <v>46041</v>
      </c>
      <c r="C262" s="165">
        <f t="shared" si="22"/>
        <v>227</v>
      </c>
      <c r="D262" s="168">
        <v>1</v>
      </c>
      <c r="G262" s="175" t="s">
        <v>43</v>
      </c>
      <c r="H262" s="175" t="s">
        <v>2219</v>
      </c>
      <c r="I262" s="165">
        <v>331</v>
      </c>
      <c r="J262" s="165">
        <v>1111</v>
      </c>
      <c r="K262" s="165" t="s">
        <v>20</v>
      </c>
      <c r="L262" s="165">
        <v>1</v>
      </c>
      <c r="M262" s="170">
        <v>31418200</v>
      </c>
      <c r="N262" s="170">
        <f t="shared" si="17"/>
        <v>31418200</v>
      </c>
      <c r="P262" s="165">
        <f t="shared" si="18"/>
        <v>117</v>
      </c>
    </row>
    <row r="263" spans="1:16" s="165" customFormat="1" ht="15" hidden="1" customHeight="1" x14ac:dyDescent="0.2">
      <c r="A263" s="165" t="s">
        <v>18</v>
      </c>
      <c r="B263" s="166">
        <v>46067</v>
      </c>
      <c r="C263" s="165">
        <f t="shared" si="22"/>
        <v>228</v>
      </c>
      <c r="D263" s="168">
        <v>1</v>
      </c>
      <c r="G263" s="175" t="s">
        <v>71</v>
      </c>
      <c r="H263" s="165" t="s">
        <v>3926</v>
      </c>
      <c r="I263" s="165">
        <v>64277</v>
      </c>
      <c r="J263" s="165">
        <v>331</v>
      </c>
      <c r="K263" s="165" t="s">
        <v>20</v>
      </c>
      <c r="L263" s="165">
        <v>1</v>
      </c>
      <c r="M263" s="170">
        <v>2314383</v>
      </c>
      <c r="N263" s="170">
        <f t="shared" si="17"/>
        <v>2314383</v>
      </c>
      <c r="P263" s="165">
        <f t="shared" si="18"/>
        <v>21</v>
      </c>
    </row>
    <row r="264" spans="1:16" s="165" customFormat="1" ht="15" hidden="1" customHeight="1" x14ac:dyDescent="0.2">
      <c r="A264" s="165" t="s">
        <v>18</v>
      </c>
      <c r="B264" s="166">
        <v>46074</v>
      </c>
      <c r="C264" s="165">
        <f t="shared" ref="C264" si="23">C263+D264</f>
        <v>229</v>
      </c>
      <c r="D264" s="168">
        <v>1</v>
      </c>
      <c r="G264" s="175" t="s">
        <v>71</v>
      </c>
      <c r="H264" s="165" t="s">
        <v>3926</v>
      </c>
      <c r="I264" s="165">
        <v>64277</v>
      </c>
      <c r="J264" s="165">
        <v>331</v>
      </c>
      <c r="K264" s="165" t="s">
        <v>20</v>
      </c>
      <c r="L264" s="165">
        <v>1</v>
      </c>
      <c r="M264" s="170">
        <v>2385600</v>
      </c>
      <c r="N264" s="170">
        <f t="shared" si="17"/>
        <v>2385600</v>
      </c>
      <c r="P264" s="165">
        <f t="shared" si="18"/>
        <v>21</v>
      </c>
    </row>
    <row r="265" spans="1:16" s="165" customFormat="1" ht="15" customHeight="1" x14ac:dyDescent="0.2">
      <c r="B265" s="166"/>
      <c r="D265" s="168"/>
      <c r="G265" s="175"/>
      <c r="M265" s="170"/>
      <c r="N265" s="170"/>
    </row>
    <row r="266" spans="1:16" s="165" customFormat="1" ht="15" customHeight="1" x14ac:dyDescent="0.2">
      <c r="B266" s="166"/>
      <c r="D266" s="168"/>
      <c r="G266" s="175"/>
      <c r="M266" s="170"/>
      <c r="N266" s="170"/>
    </row>
    <row r="267" spans="1:16" s="165" customFormat="1" ht="15" customHeight="1" x14ac:dyDescent="0.2">
      <c r="B267" s="166"/>
      <c r="D267" s="168"/>
      <c r="G267" s="175"/>
      <c r="M267" s="170"/>
      <c r="N267" s="170"/>
    </row>
    <row r="268" spans="1:16" s="165" customFormat="1" ht="15" customHeight="1" x14ac:dyDescent="0.2">
      <c r="B268" s="166"/>
      <c r="D268" s="168"/>
      <c r="G268" s="175"/>
      <c r="M268" s="170"/>
      <c r="N268" s="170"/>
    </row>
  </sheetData>
  <autoFilter ref="A3:P264" xr:uid="{00000000-0009-0000-0000-00001E000000}">
    <filterColumn colId="8">
      <filters>
        <filter val="333821"/>
      </filters>
    </filterColumn>
    <filterColumn colId="9">
      <filters>
        <filter val="131"/>
      </filters>
    </filterColumn>
    <sortState xmlns:xlrd2="http://schemas.microsoft.com/office/spreadsheetml/2017/richdata2" ref="A4:P229">
      <sortCondition ref="A4:A229"/>
      <sortCondition ref="B4:B229"/>
      <sortCondition ref="H4:H229"/>
    </sortState>
  </autoFilter>
  <mergeCells count="13">
    <mergeCell ref="N1:N2"/>
    <mergeCell ref="G1:G2"/>
    <mergeCell ref="H1:H2"/>
    <mergeCell ref="I1:J1"/>
    <mergeCell ref="K1:K2"/>
    <mergeCell ref="L1:L2"/>
    <mergeCell ref="M1:M2"/>
    <mergeCell ref="F1:F2"/>
    <mergeCell ref="A1:A2"/>
    <mergeCell ref="B1:B2"/>
    <mergeCell ref="C1:C2"/>
    <mergeCell ref="D1:D2"/>
    <mergeCell ref="E1:E2"/>
  </mergeCells>
  <hyperlinks>
    <hyperlink ref="P1" location="Summary!A1" display="Back to summary"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filterMode="1">
    <tabColor rgb="FF92D050"/>
  </sheetPr>
  <dimension ref="A1:AC143"/>
  <sheetViews>
    <sheetView topLeftCell="A3" workbookViewId="0">
      <selection activeCell="M60" sqref="M60:M136"/>
    </sheetView>
  </sheetViews>
  <sheetFormatPr defaultRowHeight="15" customHeight="1" x14ac:dyDescent="0.2"/>
  <cols>
    <col min="1" max="1" width="9.140625" style="12"/>
    <col min="2" max="2" width="9.140625" style="87"/>
    <col min="3" max="6" width="9.140625" style="12"/>
    <col min="7" max="7" width="10.42578125" style="12" bestFit="1" customWidth="1"/>
    <col min="8" max="8" width="27.7109375" style="12" customWidth="1"/>
    <col min="9" max="12" width="9.140625" style="12"/>
    <col min="13" max="14" width="10.7109375" style="17" bestFit="1" customWidth="1"/>
    <col min="15" max="16384" width="9.140625" style="12"/>
  </cols>
  <sheetData>
    <row r="1" spans="1:29" ht="15" customHeight="1" thickBot="1" x14ac:dyDescent="0.25">
      <c r="A1" s="247" t="s">
        <v>0</v>
      </c>
      <c r="B1" s="219" t="s">
        <v>1</v>
      </c>
      <c r="C1" s="247" t="s">
        <v>2</v>
      </c>
      <c r="D1" s="249" t="s">
        <v>3</v>
      </c>
      <c r="E1" s="249" t="s">
        <v>4</v>
      </c>
      <c r="F1" s="154" t="s">
        <v>5</v>
      </c>
      <c r="G1" s="241" t="s">
        <v>6</v>
      </c>
      <c r="H1" s="243" t="s">
        <v>7</v>
      </c>
      <c r="I1" s="245" t="s">
        <v>8</v>
      </c>
      <c r="J1" s="246"/>
      <c r="K1" s="247" t="s">
        <v>9</v>
      </c>
      <c r="L1" s="247" t="s">
        <v>10</v>
      </c>
      <c r="M1" s="254" t="s">
        <v>76</v>
      </c>
      <c r="N1" s="254" t="s">
        <v>77</v>
      </c>
      <c r="O1" s="45" t="s">
        <v>78</v>
      </c>
      <c r="P1" s="146" t="s">
        <v>356</v>
      </c>
    </row>
    <row r="2" spans="1:29" ht="15" customHeight="1" thickBot="1" x14ac:dyDescent="0.25">
      <c r="A2" s="248"/>
      <c r="B2" s="220"/>
      <c r="C2" s="248"/>
      <c r="D2" s="253"/>
      <c r="E2" s="253"/>
      <c r="F2" s="155"/>
      <c r="G2" s="242"/>
      <c r="H2" s="244"/>
      <c r="I2" s="46" t="s">
        <v>13</v>
      </c>
      <c r="J2" s="47" t="s">
        <v>14</v>
      </c>
      <c r="K2" s="248"/>
      <c r="L2" s="248"/>
      <c r="M2" s="255"/>
      <c r="N2" s="255"/>
      <c r="O2" s="38" t="s">
        <v>78</v>
      </c>
      <c r="P2" s="38"/>
    </row>
    <row r="3" spans="1:29" ht="15" customHeight="1" x14ac:dyDescent="0.2">
      <c r="A3" s="48"/>
      <c r="B3" s="81"/>
      <c r="C3" s="48">
        <v>0</v>
      </c>
      <c r="D3" s="49"/>
      <c r="E3" s="49"/>
      <c r="F3" s="49"/>
      <c r="G3" s="51" t="s">
        <v>15</v>
      </c>
      <c r="H3" s="52"/>
      <c r="I3" s="52"/>
      <c r="J3" s="52"/>
      <c r="K3" s="48"/>
      <c r="L3" s="48"/>
      <c r="M3" s="82"/>
      <c r="N3" s="82"/>
      <c r="O3" s="38" t="s">
        <v>16</v>
      </c>
      <c r="P3" s="38" t="s">
        <v>17</v>
      </c>
    </row>
    <row r="4" spans="1:29" ht="15" hidden="1" customHeight="1" x14ac:dyDescent="0.2">
      <c r="A4" s="12" t="s">
        <v>310</v>
      </c>
      <c r="B4" s="36">
        <v>46024</v>
      </c>
      <c r="C4" s="12">
        <f t="shared" ref="C4:C35" si="0">C3+D4</f>
        <v>1</v>
      </c>
      <c r="D4" s="38">
        <f t="shared" ref="D4:D35" si="1">IF(H4=H3,0,1)</f>
        <v>1</v>
      </c>
      <c r="E4" s="12" t="str">
        <f>TEXT(C4,"000")</f>
        <v>001</v>
      </c>
      <c r="G4" s="12" t="s">
        <v>44</v>
      </c>
      <c r="H4" s="12" t="s">
        <v>3134</v>
      </c>
      <c r="I4" s="12">
        <v>331</v>
      </c>
      <c r="J4" s="12">
        <v>1111</v>
      </c>
      <c r="K4" s="12" t="s">
        <v>20</v>
      </c>
      <c r="L4" s="12">
        <v>1</v>
      </c>
      <c r="M4" s="17">
        <v>135420</v>
      </c>
      <c r="N4" s="17">
        <f t="shared" ref="N4:N35" si="2">L4*M4</f>
        <v>135420</v>
      </c>
      <c r="P4" s="12">
        <f t="shared" ref="P4:P35" si="3">LEN(H4)</f>
        <v>64</v>
      </c>
      <c r="S4" s="12" t="s">
        <v>44</v>
      </c>
      <c r="T4" s="12" t="s">
        <v>3192</v>
      </c>
    </row>
    <row r="5" spans="1:29" ht="15" hidden="1" customHeight="1" x14ac:dyDescent="0.2">
      <c r="A5" s="12" t="s">
        <v>310</v>
      </c>
      <c r="B5" s="36">
        <v>46049</v>
      </c>
      <c r="C5" s="12">
        <f t="shared" si="0"/>
        <v>2</v>
      </c>
      <c r="D5" s="38">
        <f t="shared" si="1"/>
        <v>1</v>
      </c>
      <c r="E5" s="12" t="str">
        <f t="shared" ref="E5:E68" si="4">TEXT(C5,"000")</f>
        <v>002</v>
      </c>
      <c r="G5" s="12" t="s">
        <v>54</v>
      </c>
      <c r="H5" s="12" t="s">
        <v>3135</v>
      </c>
      <c r="I5" s="12">
        <v>331</v>
      </c>
      <c r="J5" s="12">
        <v>1111</v>
      </c>
      <c r="K5" s="12" t="s">
        <v>20</v>
      </c>
      <c r="L5" s="12">
        <v>1</v>
      </c>
      <c r="M5" s="17">
        <v>99000</v>
      </c>
      <c r="N5" s="17">
        <f t="shared" si="2"/>
        <v>99000</v>
      </c>
      <c r="P5" s="12">
        <f t="shared" si="3"/>
        <v>83</v>
      </c>
      <c r="S5" s="12" t="s">
        <v>54</v>
      </c>
      <c r="T5" s="13" t="s">
        <v>407</v>
      </c>
      <c r="Z5" s="84"/>
      <c r="AC5" s="84"/>
    </row>
    <row r="6" spans="1:29" ht="15" hidden="1" customHeight="1" x14ac:dyDescent="0.2">
      <c r="A6" s="12" t="s">
        <v>310</v>
      </c>
      <c r="B6" s="36">
        <v>46055</v>
      </c>
      <c r="C6" s="12">
        <f t="shared" si="0"/>
        <v>3</v>
      </c>
      <c r="D6" s="38">
        <f t="shared" si="1"/>
        <v>1</v>
      </c>
      <c r="E6" s="12" t="str">
        <f t="shared" si="4"/>
        <v>003</v>
      </c>
      <c r="G6" s="12" t="s">
        <v>2273</v>
      </c>
      <c r="H6" s="12" t="s">
        <v>3138</v>
      </c>
      <c r="I6" s="12">
        <v>331</v>
      </c>
      <c r="J6" s="12">
        <v>1111</v>
      </c>
      <c r="K6" s="12" t="s">
        <v>20</v>
      </c>
      <c r="L6" s="12">
        <v>1</v>
      </c>
      <c r="M6" s="17">
        <v>785000</v>
      </c>
      <c r="N6" s="17">
        <f t="shared" si="2"/>
        <v>785000</v>
      </c>
      <c r="P6" s="12">
        <f t="shared" si="3"/>
        <v>59</v>
      </c>
      <c r="S6" s="12" t="s">
        <v>2271</v>
      </c>
      <c r="T6" s="13" t="s">
        <v>3193</v>
      </c>
      <c r="Z6" s="84"/>
      <c r="AB6" s="84"/>
      <c r="AC6" s="84"/>
    </row>
    <row r="7" spans="1:29" ht="15" hidden="1" customHeight="1" x14ac:dyDescent="0.2">
      <c r="A7" s="12" t="s">
        <v>310</v>
      </c>
      <c r="B7" s="36">
        <v>46055</v>
      </c>
      <c r="C7" s="12">
        <f t="shared" si="0"/>
        <v>4</v>
      </c>
      <c r="D7" s="38">
        <f t="shared" si="1"/>
        <v>1</v>
      </c>
      <c r="E7" s="12" t="str">
        <f t="shared" si="4"/>
        <v>004</v>
      </c>
      <c r="G7" s="12" t="s">
        <v>44</v>
      </c>
      <c r="H7" s="12" t="s">
        <v>3136</v>
      </c>
      <c r="I7" s="12">
        <v>331</v>
      </c>
      <c r="J7" s="12">
        <v>1111</v>
      </c>
      <c r="K7" s="12" t="s">
        <v>20</v>
      </c>
      <c r="L7" s="12">
        <v>1</v>
      </c>
      <c r="M7" s="17">
        <v>120841</v>
      </c>
      <c r="N7" s="17">
        <f t="shared" si="2"/>
        <v>120841</v>
      </c>
      <c r="P7" s="12">
        <f t="shared" si="3"/>
        <v>109</v>
      </c>
      <c r="S7" s="12" t="s">
        <v>2273</v>
      </c>
      <c r="T7" s="13" t="s">
        <v>3194</v>
      </c>
      <c r="Z7" s="84"/>
      <c r="AB7" s="84"/>
      <c r="AC7" s="84"/>
    </row>
    <row r="8" spans="1:29" ht="15" hidden="1" customHeight="1" x14ac:dyDescent="0.2">
      <c r="A8" s="12" t="s">
        <v>310</v>
      </c>
      <c r="B8" s="36">
        <v>46055</v>
      </c>
      <c r="C8" s="12">
        <f t="shared" si="0"/>
        <v>5</v>
      </c>
      <c r="D8" s="38">
        <f t="shared" si="1"/>
        <v>1</v>
      </c>
      <c r="E8" s="12" t="str">
        <f t="shared" si="4"/>
        <v>005</v>
      </c>
      <c r="G8" s="12" t="s">
        <v>2271</v>
      </c>
      <c r="H8" s="12" t="s">
        <v>3137</v>
      </c>
      <c r="I8" s="12">
        <v>331</v>
      </c>
      <c r="J8" s="12">
        <v>1111</v>
      </c>
      <c r="K8" s="12" t="s">
        <v>20</v>
      </c>
      <c r="L8" s="12">
        <v>1</v>
      </c>
      <c r="M8" s="17">
        <v>5187000</v>
      </c>
      <c r="N8" s="17">
        <f t="shared" si="2"/>
        <v>5187000</v>
      </c>
      <c r="P8" s="12">
        <f t="shared" si="3"/>
        <v>135</v>
      </c>
      <c r="S8" s="12" t="s">
        <v>2276</v>
      </c>
      <c r="T8" s="12" t="s">
        <v>3195</v>
      </c>
    </row>
    <row r="9" spans="1:29" ht="15" hidden="1" customHeight="1" x14ac:dyDescent="0.2">
      <c r="A9" s="12" t="s">
        <v>310</v>
      </c>
      <c r="B9" s="36">
        <v>46056</v>
      </c>
      <c r="C9" s="12">
        <f t="shared" si="0"/>
        <v>6</v>
      </c>
      <c r="D9" s="38">
        <f t="shared" si="1"/>
        <v>1</v>
      </c>
      <c r="E9" s="12" t="str">
        <f t="shared" si="4"/>
        <v>006</v>
      </c>
      <c r="G9" s="12" t="s">
        <v>2276</v>
      </c>
      <c r="H9" s="12" t="s">
        <v>3140</v>
      </c>
      <c r="I9" s="12">
        <v>331</v>
      </c>
      <c r="J9" s="12">
        <v>1111</v>
      </c>
      <c r="K9" s="12" t="s">
        <v>20</v>
      </c>
      <c r="L9" s="12">
        <v>1</v>
      </c>
      <c r="M9" s="17">
        <v>3780000</v>
      </c>
      <c r="N9" s="17">
        <f t="shared" si="2"/>
        <v>3780000</v>
      </c>
      <c r="P9" s="12">
        <f t="shared" si="3"/>
        <v>103</v>
      </c>
      <c r="S9" s="12" t="s">
        <v>2278</v>
      </c>
      <c r="T9" s="12" t="s">
        <v>3196</v>
      </c>
    </row>
    <row r="10" spans="1:29" ht="15" hidden="1" customHeight="1" x14ac:dyDescent="0.2">
      <c r="A10" s="12" t="s">
        <v>310</v>
      </c>
      <c r="B10" s="36">
        <v>46056</v>
      </c>
      <c r="C10" s="12">
        <f t="shared" si="0"/>
        <v>7</v>
      </c>
      <c r="D10" s="38">
        <f t="shared" si="1"/>
        <v>1</v>
      </c>
      <c r="E10" s="12" t="str">
        <f t="shared" si="4"/>
        <v>007</v>
      </c>
      <c r="G10" s="12" t="s">
        <v>54</v>
      </c>
      <c r="H10" s="12" t="s">
        <v>3139</v>
      </c>
      <c r="I10" s="12">
        <v>331</v>
      </c>
      <c r="J10" s="12">
        <v>1111</v>
      </c>
      <c r="K10" s="12" t="s">
        <v>20</v>
      </c>
      <c r="L10" s="12">
        <v>1</v>
      </c>
      <c r="M10" s="17">
        <v>1662120</v>
      </c>
      <c r="N10" s="17">
        <f t="shared" si="2"/>
        <v>1662120</v>
      </c>
      <c r="P10" s="12">
        <f t="shared" si="3"/>
        <v>92</v>
      </c>
      <c r="S10" s="12" t="s">
        <v>2281</v>
      </c>
      <c r="T10" s="12" t="s">
        <v>3197</v>
      </c>
    </row>
    <row r="11" spans="1:29" ht="15" hidden="1" customHeight="1" x14ac:dyDescent="0.2">
      <c r="A11" s="12" t="s">
        <v>310</v>
      </c>
      <c r="B11" s="36">
        <v>46059</v>
      </c>
      <c r="C11" s="12">
        <f t="shared" si="0"/>
        <v>8</v>
      </c>
      <c r="D11" s="38">
        <f t="shared" si="1"/>
        <v>1</v>
      </c>
      <c r="E11" s="12" t="str">
        <f t="shared" si="4"/>
        <v>008</v>
      </c>
      <c r="G11" s="12" t="s">
        <v>2278</v>
      </c>
      <c r="H11" s="12" t="s">
        <v>3141</v>
      </c>
      <c r="I11" s="12">
        <v>331</v>
      </c>
      <c r="J11" s="12">
        <v>1111</v>
      </c>
      <c r="K11" s="12" t="s">
        <v>20</v>
      </c>
      <c r="L11" s="12">
        <v>1</v>
      </c>
      <c r="M11" s="17">
        <v>1051920</v>
      </c>
      <c r="N11" s="17">
        <f t="shared" si="2"/>
        <v>1051920</v>
      </c>
      <c r="P11" s="12">
        <f t="shared" si="3"/>
        <v>157</v>
      </c>
      <c r="S11" s="12" t="s">
        <v>2282</v>
      </c>
      <c r="T11" s="12" t="s">
        <v>3198</v>
      </c>
    </row>
    <row r="12" spans="1:29" ht="15" hidden="1" customHeight="1" x14ac:dyDescent="0.2">
      <c r="A12" s="12" t="s">
        <v>310</v>
      </c>
      <c r="B12" s="36">
        <v>46064</v>
      </c>
      <c r="C12" s="12">
        <f t="shared" si="0"/>
        <v>9</v>
      </c>
      <c r="D12" s="38">
        <f t="shared" si="1"/>
        <v>1</v>
      </c>
      <c r="E12" s="12" t="str">
        <f t="shared" si="4"/>
        <v>009</v>
      </c>
      <c r="G12" s="12" t="s">
        <v>2271</v>
      </c>
      <c r="H12" s="12" t="s">
        <v>3142</v>
      </c>
      <c r="I12" s="12">
        <v>331</v>
      </c>
      <c r="J12" s="12">
        <v>1111</v>
      </c>
      <c r="K12" s="12" t="s">
        <v>20</v>
      </c>
      <c r="L12" s="12">
        <v>1</v>
      </c>
      <c r="M12" s="17">
        <v>1665000</v>
      </c>
      <c r="N12" s="17">
        <f t="shared" si="2"/>
        <v>1665000</v>
      </c>
      <c r="P12" s="12">
        <f t="shared" si="3"/>
        <v>50</v>
      </c>
      <c r="S12" s="12" t="s">
        <v>24</v>
      </c>
      <c r="T12" s="12" t="s">
        <v>3199</v>
      </c>
    </row>
    <row r="13" spans="1:29" ht="15" hidden="1" customHeight="1" x14ac:dyDescent="0.2">
      <c r="A13" s="12" t="s">
        <v>310</v>
      </c>
      <c r="B13" s="36">
        <v>46066</v>
      </c>
      <c r="C13" s="12">
        <f t="shared" si="0"/>
        <v>10</v>
      </c>
      <c r="D13" s="38">
        <f t="shared" si="1"/>
        <v>1</v>
      </c>
      <c r="E13" s="12" t="str">
        <f t="shared" si="4"/>
        <v>010</v>
      </c>
      <c r="G13" s="12" t="s">
        <v>2281</v>
      </c>
      <c r="H13" s="12" t="s">
        <v>3173</v>
      </c>
      <c r="I13" s="12">
        <v>331</v>
      </c>
      <c r="J13" s="12">
        <v>1111</v>
      </c>
      <c r="K13" s="12" t="s">
        <v>20</v>
      </c>
      <c r="L13" s="12">
        <v>1</v>
      </c>
      <c r="M13" s="17">
        <v>391800</v>
      </c>
      <c r="N13" s="17">
        <f t="shared" si="2"/>
        <v>391800</v>
      </c>
      <c r="P13" s="12">
        <f t="shared" si="3"/>
        <v>53</v>
      </c>
      <c r="S13" s="12" t="s">
        <v>80</v>
      </c>
      <c r="T13" s="12" t="s">
        <v>3200</v>
      </c>
    </row>
    <row r="14" spans="1:29" ht="15" hidden="1" customHeight="1" x14ac:dyDescent="0.2">
      <c r="A14" s="12" t="s">
        <v>310</v>
      </c>
      <c r="B14" s="36">
        <v>46066</v>
      </c>
      <c r="C14" s="12">
        <f t="shared" si="0"/>
        <v>11</v>
      </c>
      <c r="D14" s="38">
        <f t="shared" si="1"/>
        <v>1</v>
      </c>
      <c r="E14" s="12" t="str">
        <f t="shared" si="4"/>
        <v>011</v>
      </c>
      <c r="G14" s="12" t="s">
        <v>2282</v>
      </c>
      <c r="H14" s="12" t="s">
        <v>3143</v>
      </c>
      <c r="I14" s="12">
        <v>331</v>
      </c>
      <c r="J14" s="12">
        <v>1111</v>
      </c>
      <c r="K14" s="12" t="s">
        <v>20</v>
      </c>
      <c r="L14" s="12">
        <v>1</v>
      </c>
      <c r="M14" s="17">
        <v>766800</v>
      </c>
      <c r="N14" s="17">
        <f t="shared" si="2"/>
        <v>766800</v>
      </c>
      <c r="P14" s="12">
        <f t="shared" si="3"/>
        <v>97</v>
      </c>
      <c r="S14" s="12" t="s">
        <v>2288</v>
      </c>
      <c r="T14" s="12" t="s">
        <v>3201</v>
      </c>
    </row>
    <row r="15" spans="1:29" ht="15" hidden="1" customHeight="1" x14ac:dyDescent="0.2">
      <c r="A15" s="12" t="s">
        <v>310</v>
      </c>
      <c r="B15" s="36">
        <v>46067</v>
      </c>
      <c r="C15" s="12">
        <f t="shared" si="0"/>
        <v>12</v>
      </c>
      <c r="D15" s="38">
        <f t="shared" si="1"/>
        <v>1</v>
      </c>
      <c r="E15" s="12" t="str">
        <f t="shared" si="4"/>
        <v>012</v>
      </c>
      <c r="G15" s="12" t="s">
        <v>24</v>
      </c>
      <c r="H15" s="12" t="s">
        <v>3144</v>
      </c>
      <c r="I15" s="12">
        <v>331</v>
      </c>
      <c r="J15" s="12">
        <v>1111</v>
      </c>
      <c r="K15" s="12" t="s">
        <v>20</v>
      </c>
      <c r="L15" s="12">
        <v>1</v>
      </c>
      <c r="M15" s="17">
        <v>109000</v>
      </c>
      <c r="N15" s="17">
        <f t="shared" si="2"/>
        <v>109000</v>
      </c>
      <c r="P15" s="12">
        <f t="shared" si="3"/>
        <v>118</v>
      </c>
      <c r="S15" s="12" t="s">
        <v>2250</v>
      </c>
      <c r="T15" s="12" t="s">
        <v>3202</v>
      </c>
    </row>
    <row r="16" spans="1:29" ht="15" hidden="1" customHeight="1" x14ac:dyDescent="0.2">
      <c r="A16" s="12" t="s">
        <v>310</v>
      </c>
      <c r="B16" s="36">
        <v>46075</v>
      </c>
      <c r="C16" s="12">
        <f t="shared" si="0"/>
        <v>13</v>
      </c>
      <c r="D16" s="38">
        <f t="shared" si="1"/>
        <v>1</v>
      </c>
      <c r="E16" s="12" t="str">
        <f t="shared" si="4"/>
        <v>013</v>
      </c>
      <c r="G16" s="12" t="s">
        <v>80</v>
      </c>
      <c r="H16" s="12" t="s">
        <v>3145</v>
      </c>
      <c r="I16" s="12">
        <v>331</v>
      </c>
      <c r="J16" s="12">
        <v>1111</v>
      </c>
      <c r="K16" s="12" t="s">
        <v>20</v>
      </c>
      <c r="L16" s="12">
        <v>1</v>
      </c>
      <c r="M16" s="17">
        <v>60000</v>
      </c>
      <c r="N16" s="17">
        <f t="shared" si="2"/>
        <v>60000</v>
      </c>
      <c r="P16" s="12">
        <f t="shared" si="3"/>
        <v>83</v>
      </c>
      <c r="S16" s="12" t="s">
        <v>35</v>
      </c>
      <c r="T16" s="12" t="s">
        <v>411</v>
      </c>
    </row>
    <row r="17" spans="1:20" ht="15" hidden="1" customHeight="1" x14ac:dyDescent="0.2">
      <c r="A17" s="12" t="s">
        <v>310</v>
      </c>
      <c r="B17" s="36">
        <v>46076</v>
      </c>
      <c r="C17" s="12">
        <f t="shared" si="0"/>
        <v>14</v>
      </c>
      <c r="D17" s="38">
        <f t="shared" si="1"/>
        <v>1</v>
      </c>
      <c r="E17" s="12" t="str">
        <f t="shared" si="4"/>
        <v>014</v>
      </c>
      <c r="G17" s="12" t="s">
        <v>2282</v>
      </c>
      <c r="H17" s="12" t="s">
        <v>3146</v>
      </c>
      <c r="I17" s="12">
        <v>331</v>
      </c>
      <c r="J17" s="12">
        <v>1111</v>
      </c>
      <c r="K17" s="12" t="s">
        <v>20</v>
      </c>
      <c r="L17" s="12">
        <v>1</v>
      </c>
      <c r="M17" s="17">
        <v>302400</v>
      </c>
      <c r="N17" s="17">
        <f t="shared" si="2"/>
        <v>302400</v>
      </c>
      <c r="P17" s="12">
        <f t="shared" si="3"/>
        <v>38</v>
      </c>
      <c r="S17" s="12" t="s">
        <v>857</v>
      </c>
      <c r="T17" s="12" t="s">
        <v>3203</v>
      </c>
    </row>
    <row r="18" spans="1:20" ht="15" hidden="1" customHeight="1" x14ac:dyDescent="0.2">
      <c r="A18" s="12" t="s">
        <v>310</v>
      </c>
      <c r="B18" s="36">
        <v>46077</v>
      </c>
      <c r="C18" s="12">
        <f t="shared" si="0"/>
        <v>15</v>
      </c>
      <c r="D18" s="38">
        <f t="shared" si="1"/>
        <v>1</v>
      </c>
      <c r="E18" s="12" t="str">
        <f t="shared" si="4"/>
        <v>015</v>
      </c>
      <c r="G18" s="12" t="s">
        <v>2282</v>
      </c>
      <c r="H18" s="12" t="s">
        <v>3147</v>
      </c>
      <c r="I18" s="12">
        <v>331</v>
      </c>
      <c r="J18" s="12">
        <v>1111</v>
      </c>
      <c r="K18" s="12" t="s">
        <v>20</v>
      </c>
      <c r="L18" s="12">
        <v>1</v>
      </c>
      <c r="M18" s="17">
        <v>766800</v>
      </c>
      <c r="N18" s="17">
        <f t="shared" si="2"/>
        <v>766800</v>
      </c>
      <c r="P18" s="12">
        <f t="shared" si="3"/>
        <v>97</v>
      </c>
      <c r="S18" s="12" t="s">
        <v>37</v>
      </c>
      <c r="T18" s="12" t="s">
        <v>3204</v>
      </c>
    </row>
    <row r="19" spans="1:20" ht="15" hidden="1" customHeight="1" x14ac:dyDescent="0.2">
      <c r="A19" s="12" t="s">
        <v>310</v>
      </c>
      <c r="B19" s="36">
        <v>46078</v>
      </c>
      <c r="C19" s="12">
        <f t="shared" si="0"/>
        <v>16</v>
      </c>
      <c r="D19" s="38">
        <f t="shared" si="1"/>
        <v>1</v>
      </c>
      <c r="E19" s="12" t="str">
        <f t="shared" si="4"/>
        <v>016</v>
      </c>
      <c r="G19" s="12" t="s">
        <v>2281</v>
      </c>
      <c r="H19" s="12" t="s">
        <v>3175</v>
      </c>
      <c r="I19" s="12">
        <v>331</v>
      </c>
      <c r="J19" s="12">
        <v>1111</v>
      </c>
      <c r="K19" s="12" t="s">
        <v>20</v>
      </c>
      <c r="L19" s="12">
        <v>1</v>
      </c>
      <c r="M19" s="17">
        <v>1260556</v>
      </c>
      <c r="N19" s="17">
        <f t="shared" si="2"/>
        <v>1260556</v>
      </c>
      <c r="P19" s="12">
        <f t="shared" si="3"/>
        <v>54</v>
      </c>
      <c r="S19" s="12" t="s">
        <v>89</v>
      </c>
      <c r="T19" s="12" t="s">
        <v>3205</v>
      </c>
    </row>
    <row r="20" spans="1:20" ht="15" hidden="1" customHeight="1" x14ac:dyDescent="0.2">
      <c r="A20" s="12" t="s">
        <v>310</v>
      </c>
      <c r="B20" s="36">
        <v>46081</v>
      </c>
      <c r="C20" s="12">
        <f t="shared" si="0"/>
        <v>17</v>
      </c>
      <c r="D20" s="38">
        <f t="shared" si="1"/>
        <v>1</v>
      </c>
      <c r="E20" s="12" t="str">
        <f t="shared" si="4"/>
        <v>017</v>
      </c>
      <c r="G20" s="12" t="s">
        <v>2288</v>
      </c>
      <c r="H20" s="12" t="s">
        <v>3177</v>
      </c>
      <c r="I20" s="12">
        <v>331</v>
      </c>
      <c r="J20" s="12">
        <v>1111</v>
      </c>
      <c r="K20" s="12" t="s">
        <v>20</v>
      </c>
      <c r="L20" s="12">
        <v>1</v>
      </c>
      <c r="M20" s="17">
        <v>962768</v>
      </c>
      <c r="N20" s="17">
        <f t="shared" si="2"/>
        <v>962768</v>
      </c>
      <c r="P20" s="12">
        <f t="shared" si="3"/>
        <v>53</v>
      </c>
      <c r="S20" s="12" t="s">
        <v>19</v>
      </c>
      <c r="T20" s="12" t="s">
        <v>412</v>
      </c>
    </row>
    <row r="21" spans="1:20" ht="15" hidden="1" customHeight="1" x14ac:dyDescent="0.2">
      <c r="A21" s="12" t="s">
        <v>310</v>
      </c>
      <c r="B21" s="36">
        <v>46083</v>
      </c>
      <c r="C21" s="12">
        <f t="shared" si="0"/>
        <v>18</v>
      </c>
      <c r="D21" s="38">
        <f t="shared" si="1"/>
        <v>1</v>
      </c>
      <c r="E21" s="12" t="str">
        <f t="shared" si="4"/>
        <v>018</v>
      </c>
      <c r="G21" s="12" t="s">
        <v>44</v>
      </c>
      <c r="H21" s="12" t="s">
        <v>3148</v>
      </c>
      <c r="I21" s="12">
        <v>331</v>
      </c>
      <c r="J21" s="12">
        <v>1111</v>
      </c>
      <c r="K21" s="12" t="s">
        <v>20</v>
      </c>
      <c r="L21" s="12">
        <v>1</v>
      </c>
      <c r="M21" s="17">
        <v>115324</v>
      </c>
      <c r="N21" s="17">
        <f t="shared" si="2"/>
        <v>115324</v>
      </c>
      <c r="P21" s="12">
        <f t="shared" si="3"/>
        <v>110</v>
      </c>
      <c r="S21" s="12" t="s">
        <v>2303</v>
      </c>
      <c r="T21" s="12" t="s">
        <v>3206</v>
      </c>
    </row>
    <row r="22" spans="1:20" ht="15" hidden="1" customHeight="1" x14ac:dyDescent="0.2">
      <c r="A22" s="12" t="s">
        <v>310</v>
      </c>
      <c r="B22" s="36">
        <v>46083</v>
      </c>
      <c r="C22" s="12">
        <f t="shared" si="0"/>
        <v>19</v>
      </c>
      <c r="D22" s="38">
        <f t="shared" si="1"/>
        <v>1</v>
      </c>
      <c r="E22" s="12" t="str">
        <f t="shared" si="4"/>
        <v>019</v>
      </c>
      <c r="G22" s="12" t="s">
        <v>2282</v>
      </c>
      <c r="H22" s="12" t="s">
        <v>3149</v>
      </c>
      <c r="I22" s="12">
        <v>331</v>
      </c>
      <c r="J22" s="12">
        <v>1111</v>
      </c>
      <c r="K22" s="12" t="s">
        <v>20</v>
      </c>
      <c r="L22" s="12">
        <v>1</v>
      </c>
      <c r="M22" s="17">
        <v>1350000</v>
      </c>
      <c r="N22" s="17">
        <f t="shared" si="2"/>
        <v>1350000</v>
      </c>
      <c r="P22" s="12">
        <f t="shared" si="3"/>
        <v>91</v>
      </c>
      <c r="S22" s="12" t="s">
        <v>49</v>
      </c>
      <c r="T22" s="12" t="s">
        <v>3207</v>
      </c>
    </row>
    <row r="23" spans="1:20" ht="15" hidden="1" customHeight="1" x14ac:dyDescent="0.2">
      <c r="A23" s="12" t="s">
        <v>310</v>
      </c>
      <c r="B23" s="36">
        <v>46084</v>
      </c>
      <c r="C23" s="12">
        <f t="shared" si="0"/>
        <v>20</v>
      </c>
      <c r="D23" s="38">
        <f t="shared" si="1"/>
        <v>1</v>
      </c>
      <c r="E23" s="12" t="str">
        <f t="shared" si="4"/>
        <v>020</v>
      </c>
      <c r="G23" s="12" t="s">
        <v>2271</v>
      </c>
      <c r="H23" s="12" t="s">
        <v>3150</v>
      </c>
      <c r="I23" s="12">
        <v>331</v>
      </c>
      <c r="J23" s="12">
        <v>1111</v>
      </c>
      <c r="K23" s="12" t="s">
        <v>20</v>
      </c>
      <c r="L23" s="12">
        <v>1</v>
      </c>
      <c r="M23" s="17">
        <v>4503000</v>
      </c>
      <c r="N23" s="17">
        <f t="shared" si="2"/>
        <v>4503000</v>
      </c>
      <c r="P23" s="12">
        <f t="shared" si="3"/>
        <v>131</v>
      </c>
      <c r="S23" s="12" t="s">
        <v>1779</v>
      </c>
      <c r="T23" s="12" t="s">
        <v>3208</v>
      </c>
    </row>
    <row r="24" spans="1:20" ht="15" hidden="1" customHeight="1" x14ac:dyDescent="0.2">
      <c r="A24" s="12" t="s">
        <v>310</v>
      </c>
      <c r="B24" s="36">
        <v>46086</v>
      </c>
      <c r="C24" s="12">
        <f t="shared" si="0"/>
        <v>21</v>
      </c>
      <c r="D24" s="38">
        <f t="shared" si="1"/>
        <v>1</v>
      </c>
      <c r="E24" s="12" t="str">
        <f t="shared" si="4"/>
        <v>021</v>
      </c>
      <c r="G24" s="12" t="s">
        <v>2282</v>
      </c>
      <c r="H24" s="12" t="s">
        <v>3151</v>
      </c>
      <c r="I24" s="12">
        <v>331</v>
      </c>
      <c r="J24" s="12">
        <v>1111</v>
      </c>
      <c r="K24" s="12" t="s">
        <v>20</v>
      </c>
      <c r="L24" s="12">
        <v>1</v>
      </c>
      <c r="M24" s="17">
        <v>766800</v>
      </c>
      <c r="N24" s="17">
        <f t="shared" si="2"/>
        <v>766800</v>
      </c>
      <c r="P24" s="12">
        <f t="shared" si="3"/>
        <v>97</v>
      </c>
      <c r="S24" s="12" t="s">
        <v>51</v>
      </c>
      <c r="T24" s="12" t="s">
        <v>3209</v>
      </c>
    </row>
    <row r="25" spans="1:20" ht="15" hidden="1" customHeight="1" x14ac:dyDescent="0.2">
      <c r="A25" s="12" t="s">
        <v>310</v>
      </c>
      <c r="B25" s="36">
        <v>46090</v>
      </c>
      <c r="C25" s="12">
        <f t="shared" si="0"/>
        <v>22</v>
      </c>
      <c r="D25" s="38">
        <f t="shared" si="1"/>
        <v>1</v>
      </c>
      <c r="E25" s="12" t="str">
        <f t="shared" si="4"/>
        <v>022</v>
      </c>
      <c r="G25" s="12" t="s">
        <v>2288</v>
      </c>
      <c r="H25" s="12" t="s">
        <v>3179</v>
      </c>
      <c r="I25" s="12">
        <v>331</v>
      </c>
      <c r="J25" s="12">
        <v>1111</v>
      </c>
      <c r="K25" s="12" t="s">
        <v>20</v>
      </c>
      <c r="L25" s="12">
        <v>1</v>
      </c>
      <c r="M25" s="17">
        <v>952119</v>
      </c>
      <c r="N25" s="17">
        <f t="shared" si="2"/>
        <v>952119</v>
      </c>
      <c r="P25" s="12">
        <f t="shared" si="3"/>
        <v>54</v>
      </c>
      <c r="S25" s="12" t="s">
        <v>71</v>
      </c>
      <c r="T25" s="12" t="s">
        <v>3210</v>
      </c>
    </row>
    <row r="26" spans="1:20" ht="15" hidden="1" customHeight="1" x14ac:dyDescent="0.2">
      <c r="A26" s="12" t="s">
        <v>310</v>
      </c>
      <c r="B26" s="36">
        <v>46090</v>
      </c>
      <c r="C26" s="12">
        <f t="shared" si="0"/>
        <v>23</v>
      </c>
      <c r="D26" s="38">
        <f t="shared" si="1"/>
        <v>1</v>
      </c>
      <c r="E26" s="12" t="str">
        <f t="shared" si="4"/>
        <v>023</v>
      </c>
      <c r="G26" s="12" t="s">
        <v>2282</v>
      </c>
      <c r="H26" s="12" t="s">
        <v>3152</v>
      </c>
      <c r="I26" s="12">
        <v>331</v>
      </c>
      <c r="J26" s="12">
        <v>1111</v>
      </c>
      <c r="K26" s="12" t="s">
        <v>20</v>
      </c>
      <c r="L26" s="12">
        <v>1</v>
      </c>
      <c r="M26" s="17">
        <v>1512000</v>
      </c>
      <c r="N26" s="17">
        <f t="shared" si="2"/>
        <v>1512000</v>
      </c>
      <c r="P26" s="12">
        <f t="shared" si="3"/>
        <v>110</v>
      </c>
      <c r="S26" s="12" t="s">
        <v>29</v>
      </c>
      <c r="T26" s="12" t="s">
        <v>388</v>
      </c>
    </row>
    <row r="27" spans="1:20" ht="15" hidden="1" customHeight="1" x14ac:dyDescent="0.2">
      <c r="A27" s="12" t="s">
        <v>310</v>
      </c>
      <c r="B27" s="36">
        <v>46091</v>
      </c>
      <c r="C27" s="12">
        <f t="shared" si="0"/>
        <v>24</v>
      </c>
      <c r="D27" s="38">
        <f t="shared" si="1"/>
        <v>1</v>
      </c>
      <c r="E27" s="12" t="str">
        <f t="shared" si="4"/>
        <v>024</v>
      </c>
      <c r="G27" s="12" t="s">
        <v>2250</v>
      </c>
      <c r="H27" s="12" t="s">
        <v>3153</v>
      </c>
      <c r="I27" s="12">
        <v>331</v>
      </c>
      <c r="J27" s="12">
        <v>1111</v>
      </c>
      <c r="K27" s="12" t="s">
        <v>20</v>
      </c>
      <c r="L27" s="12">
        <v>1</v>
      </c>
      <c r="M27" s="17">
        <v>1256040</v>
      </c>
      <c r="N27" s="17">
        <f t="shared" si="2"/>
        <v>1256040</v>
      </c>
      <c r="P27" s="12">
        <f t="shared" si="3"/>
        <v>63</v>
      </c>
      <c r="S27" s="130" t="s">
        <v>2210</v>
      </c>
      <c r="T27" s="12" t="s">
        <v>2207</v>
      </c>
    </row>
    <row r="28" spans="1:20" ht="15" hidden="1" customHeight="1" x14ac:dyDescent="0.25">
      <c r="A28" s="12" t="s">
        <v>310</v>
      </c>
      <c r="B28" s="36">
        <v>46095</v>
      </c>
      <c r="C28" s="12">
        <f t="shared" si="0"/>
        <v>25</v>
      </c>
      <c r="D28" s="38">
        <f t="shared" si="1"/>
        <v>1</v>
      </c>
      <c r="E28" s="12" t="str">
        <f t="shared" si="4"/>
        <v>025</v>
      </c>
      <c r="G28" s="12" t="s">
        <v>2281</v>
      </c>
      <c r="H28" s="12" t="s">
        <v>3181</v>
      </c>
      <c r="I28" s="12">
        <v>331</v>
      </c>
      <c r="J28" s="12">
        <v>1111</v>
      </c>
      <c r="K28" s="12" t="s">
        <v>20</v>
      </c>
      <c r="L28" s="12">
        <v>1</v>
      </c>
      <c r="M28" s="17">
        <v>1547966</v>
      </c>
      <c r="N28" s="17">
        <f t="shared" si="2"/>
        <v>1547966</v>
      </c>
      <c r="P28" s="12">
        <f t="shared" si="3"/>
        <v>55</v>
      </c>
      <c r="S28"/>
    </row>
    <row r="29" spans="1:20" ht="15" hidden="1" customHeight="1" x14ac:dyDescent="0.25">
      <c r="A29" s="12" t="s">
        <v>310</v>
      </c>
      <c r="B29" s="36">
        <v>46097</v>
      </c>
      <c r="C29" s="12">
        <f t="shared" si="0"/>
        <v>26</v>
      </c>
      <c r="D29" s="38">
        <f t="shared" si="1"/>
        <v>1</v>
      </c>
      <c r="E29" s="12" t="str">
        <f t="shared" si="4"/>
        <v>026</v>
      </c>
      <c r="G29" s="12" t="s">
        <v>35</v>
      </c>
      <c r="H29" s="12" t="s">
        <v>3154</v>
      </c>
      <c r="I29" s="12">
        <v>331</v>
      </c>
      <c r="J29" s="12">
        <v>1111</v>
      </c>
      <c r="K29" s="12" t="s">
        <v>20</v>
      </c>
      <c r="L29" s="12">
        <v>1</v>
      </c>
      <c r="M29" s="17">
        <v>3240000</v>
      </c>
      <c r="N29" s="17">
        <f t="shared" si="2"/>
        <v>3240000</v>
      </c>
      <c r="P29" s="12">
        <f t="shared" si="3"/>
        <v>52</v>
      </c>
      <c r="S29"/>
    </row>
    <row r="30" spans="1:20" ht="15" hidden="1" customHeight="1" x14ac:dyDescent="0.25">
      <c r="A30" s="12" t="s">
        <v>310</v>
      </c>
      <c r="B30" s="36">
        <v>46099</v>
      </c>
      <c r="C30" s="12">
        <f t="shared" si="0"/>
        <v>27</v>
      </c>
      <c r="D30" s="38">
        <f t="shared" si="1"/>
        <v>1</v>
      </c>
      <c r="E30" s="12" t="str">
        <f t="shared" si="4"/>
        <v>027</v>
      </c>
      <c r="G30" s="12" t="s">
        <v>2281</v>
      </c>
      <c r="H30" s="12" t="s">
        <v>3183</v>
      </c>
      <c r="I30" s="12">
        <v>331</v>
      </c>
      <c r="J30" s="12">
        <v>1111</v>
      </c>
      <c r="K30" s="12" t="s">
        <v>20</v>
      </c>
      <c r="L30" s="12">
        <v>1</v>
      </c>
      <c r="M30" s="17">
        <v>480474</v>
      </c>
      <c r="N30" s="17">
        <f t="shared" si="2"/>
        <v>480474</v>
      </c>
      <c r="P30" s="12">
        <f t="shared" si="3"/>
        <v>55</v>
      </c>
      <c r="S30"/>
    </row>
    <row r="31" spans="1:20" ht="15" hidden="1" customHeight="1" x14ac:dyDescent="0.25">
      <c r="A31" s="12" t="s">
        <v>310</v>
      </c>
      <c r="B31" s="36">
        <v>46099</v>
      </c>
      <c r="C31" s="12">
        <f t="shared" si="0"/>
        <v>28</v>
      </c>
      <c r="D31" s="38">
        <f t="shared" si="1"/>
        <v>1</v>
      </c>
      <c r="E31" s="12" t="str">
        <f t="shared" si="4"/>
        <v>028</v>
      </c>
      <c r="G31" s="12" t="s">
        <v>2271</v>
      </c>
      <c r="H31" s="12" t="s">
        <v>3155</v>
      </c>
      <c r="I31" s="12">
        <v>331</v>
      </c>
      <c r="J31" s="12">
        <v>1111</v>
      </c>
      <c r="K31" s="12" t="s">
        <v>20</v>
      </c>
      <c r="L31" s="12">
        <v>1</v>
      </c>
      <c r="M31" s="17">
        <v>1663000</v>
      </c>
      <c r="N31" s="17">
        <f t="shared" si="2"/>
        <v>1663000</v>
      </c>
      <c r="P31" s="12">
        <f t="shared" si="3"/>
        <v>65</v>
      </c>
      <c r="S31"/>
    </row>
    <row r="32" spans="1:20" ht="15" hidden="1" customHeight="1" x14ac:dyDescent="0.25">
      <c r="A32" s="12" t="s">
        <v>310</v>
      </c>
      <c r="B32" s="36">
        <v>46101</v>
      </c>
      <c r="C32" s="12">
        <f t="shared" si="0"/>
        <v>29</v>
      </c>
      <c r="D32" s="38">
        <f t="shared" si="1"/>
        <v>1</v>
      </c>
      <c r="E32" s="12" t="str">
        <f t="shared" si="4"/>
        <v>029</v>
      </c>
      <c r="G32" s="12" t="s">
        <v>2282</v>
      </c>
      <c r="H32" s="12" t="s">
        <v>3156</v>
      </c>
      <c r="I32" s="12">
        <v>331</v>
      </c>
      <c r="J32" s="12">
        <v>1111</v>
      </c>
      <c r="K32" s="12" t="s">
        <v>20</v>
      </c>
      <c r="L32" s="12">
        <v>1</v>
      </c>
      <c r="M32" s="17">
        <v>1414800</v>
      </c>
      <c r="N32" s="17">
        <f t="shared" si="2"/>
        <v>1414800</v>
      </c>
      <c r="P32" s="12">
        <f t="shared" si="3"/>
        <v>91</v>
      </c>
      <c r="S32"/>
    </row>
    <row r="33" spans="1:19" ht="15" hidden="1" customHeight="1" x14ac:dyDescent="0.25">
      <c r="A33" s="12" t="s">
        <v>310</v>
      </c>
      <c r="B33" s="36">
        <v>46103</v>
      </c>
      <c r="C33" s="12">
        <f t="shared" si="0"/>
        <v>30</v>
      </c>
      <c r="D33" s="38">
        <f t="shared" si="1"/>
        <v>1</v>
      </c>
      <c r="E33" s="12" t="str">
        <f t="shared" si="4"/>
        <v>030</v>
      </c>
      <c r="G33" s="12" t="s">
        <v>2282</v>
      </c>
      <c r="H33" s="12" t="s">
        <v>3157</v>
      </c>
      <c r="I33" s="12">
        <v>331</v>
      </c>
      <c r="J33" s="12">
        <v>1111</v>
      </c>
      <c r="K33" s="12" t="s">
        <v>20</v>
      </c>
      <c r="L33" s="12">
        <v>1</v>
      </c>
      <c r="M33" s="17">
        <v>766800</v>
      </c>
      <c r="N33" s="17">
        <f t="shared" si="2"/>
        <v>766800</v>
      </c>
      <c r="P33" s="12">
        <f t="shared" si="3"/>
        <v>72</v>
      </c>
      <c r="S33"/>
    </row>
    <row r="34" spans="1:19" ht="15" hidden="1" customHeight="1" x14ac:dyDescent="0.25">
      <c r="A34" s="12" t="s">
        <v>310</v>
      </c>
      <c r="B34" s="36">
        <v>46104</v>
      </c>
      <c r="C34" s="12">
        <f t="shared" si="0"/>
        <v>31</v>
      </c>
      <c r="D34" s="38">
        <f t="shared" si="1"/>
        <v>1</v>
      </c>
      <c r="E34" s="12" t="str">
        <f t="shared" si="4"/>
        <v>031</v>
      </c>
      <c r="G34" s="12" t="s">
        <v>857</v>
      </c>
      <c r="H34" s="12" t="s">
        <v>3159</v>
      </c>
      <c r="I34" s="12">
        <v>331</v>
      </c>
      <c r="J34" s="12">
        <v>1111</v>
      </c>
      <c r="K34" s="12" t="s">
        <v>20</v>
      </c>
      <c r="L34" s="12">
        <v>1</v>
      </c>
      <c r="M34" s="17">
        <v>298881</v>
      </c>
      <c r="N34" s="17">
        <f t="shared" si="2"/>
        <v>298881</v>
      </c>
      <c r="P34" s="12">
        <f t="shared" si="3"/>
        <v>154</v>
      </c>
      <c r="S34"/>
    </row>
    <row r="35" spans="1:19" ht="15" hidden="1" customHeight="1" x14ac:dyDescent="0.25">
      <c r="A35" s="12" t="s">
        <v>310</v>
      </c>
      <c r="B35" s="36">
        <v>46104</v>
      </c>
      <c r="C35" s="12">
        <f t="shared" si="0"/>
        <v>32</v>
      </c>
      <c r="D35" s="38">
        <f t="shared" si="1"/>
        <v>1</v>
      </c>
      <c r="E35" s="12" t="str">
        <f t="shared" si="4"/>
        <v>032</v>
      </c>
      <c r="G35" s="12" t="s">
        <v>24</v>
      </c>
      <c r="H35" s="12" t="s">
        <v>3158</v>
      </c>
      <c r="I35" s="12">
        <v>331</v>
      </c>
      <c r="J35" s="12">
        <v>1111</v>
      </c>
      <c r="K35" s="12" t="s">
        <v>20</v>
      </c>
      <c r="L35" s="12">
        <v>1</v>
      </c>
      <c r="M35" s="17">
        <v>259000</v>
      </c>
      <c r="N35" s="17">
        <f t="shared" si="2"/>
        <v>259000</v>
      </c>
      <c r="P35" s="12">
        <f t="shared" si="3"/>
        <v>137</v>
      </c>
      <c r="S35"/>
    </row>
    <row r="36" spans="1:19" ht="15" hidden="1" customHeight="1" x14ac:dyDescent="0.25">
      <c r="A36" s="12" t="s">
        <v>310</v>
      </c>
      <c r="B36" s="36">
        <v>46105</v>
      </c>
      <c r="C36" s="12">
        <f t="shared" ref="C36:C67" si="5">C35+D36</f>
        <v>33</v>
      </c>
      <c r="D36" s="38">
        <f t="shared" ref="D36:D67" si="6">IF(H36=H35,0,1)</f>
        <v>1</v>
      </c>
      <c r="E36" s="12" t="str">
        <f t="shared" si="4"/>
        <v>033</v>
      </c>
      <c r="G36" s="12" t="s">
        <v>37</v>
      </c>
      <c r="H36" s="12" t="s">
        <v>3185</v>
      </c>
      <c r="I36" s="12">
        <v>331</v>
      </c>
      <c r="J36" s="12">
        <v>1111</v>
      </c>
      <c r="K36" s="12" t="s">
        <v>20</v>
      </c>
      <c r="L36" s="12">
        <v>1</v>
      </c>
      <c r="M36" s="17">
        <v>4482000</v>
      </c>
      <c r="N36" s="17">
        <f t="shared" ref="N36:N67" si="7">L36*M36</f>
        <v>4482000</v>
      </c>
      <c r="P36" s="12">
        <f t="shared" ref="P36:P67" si="8">LEN(H36)</f>
        <v>54</v>
      </c>
      <c r="S36"/>
    </row>
    <row r="37" spans="1:19" ht="15" hidden="1" customHeight="1" x14ac:dyDescent="0.25">
      <c r="A37" s="12" t="s">
        <v>310</v>
      </c>
      <c r="B37" s="36">
        <v>46106</v>
      </c>
      <c r="C37" s="12">
        <f t="shared" si="5"/>
        <v>34</v>
      </c>
      <c r="D37" s="38">
        <f t="shared" si="6"/>
        <v>1</v>
      </c>
      <c r="E37" s="12" t="str">
        <f t="shared" si="4"/>
        <v>034</v>
      </c>
      <c r="G37" s="12" t="s">
        <v>89</v>
      </c>
      <c r="H37" s="12" t="s">
        <v>3160</v>
      </c>
      <c r="I37" s="12">
        <v>331</v>
      </c>
      <c r="J37" s="12">
        <v>1111</v>
      </c>
      <c r="K37" s="12" t="s">
        <v>20</v>
      </c>
      <c r="L37" s="12">
        <v>1</v>
      </c>
      <c r="M37" s="17">
        <v>15000</v>
      </c>
      <c r="N37" s="17">
        <f t="shared" si="7"/>
        <v>15000</v>
      </c>
      <c r="P37" s="12">
        <f t="shared" si="8"/>
        <v>84</v>
      </c>
      <c r="S37"/>
    </row>
    <row r="38" spans="1:19" ht="15" hidden="1" customHeight="1" x14ac:dyDescent="0.25">
      <c r="A38" s="12" t="s">
        <v>310</v>
      </c>
      <c r="B38" s="36">
        <v>46107</v>
      </c>
      <c r="C38" s="12">
        <f t="shared" si="5"/>
        <v>35</v>
      </c>
      <c r="D38" s="38">
        <f t="shared" si="6"/>
        <v>1</v>
      </c>
      <c r="E38" s="12" t="str">
        <f t="shared" si="4"/>
        <v>035</v>
      </c>
      <c r="G38" s="12" t="s">
        <v>2303</v>
      </c>
      <c r="H38" s="12" t="s">
        <v>3187</v>
      </c>
      <c r="I38" s="12">
        <v>331</v>
      </c>
      <c r="J38" s="12">
        <v>1111</v>
      </c>
      <c r="K38" s="12" t="s">
        <v>20</v>
      </c>
      <c r="L38" s="12">
        <v>1</v>
      </c>
      <c r="M38" s="17">
        <v>9600000</v>
      </c>
      <c r="N38" s="17">
        <f t="shared" si="7"/>
        <v>9600000</v>
      </c>
      <c r="P38" s="12">
        <f t="shared" si="8"/>
        <v>52</v>
      </c>
      <c r="S38"/>
    </row>
    <row r="39" spans="1:19" ht="15" hidden="1" customHeight="1" x14ac:dyDescent="0.25">
      <c r="A39" s="12" t="s">
        <v>310</v>
      </c>
      <c r="B39" s="36">
        <v>46107</v>
      </c>
      <c r="C39" s="12">
        <f t="shared" si="5"/>
        <v>36</v>
      </c>
      <c r="D39" s="38">
        <f t="shared" si="6"/>
        <v>1</v>
      </c>
      <c r="E39" s="12" t="str">
        <f t="shared" si="4"/>
        <v>036</v>
      </c>
      <c r="G39" s="12" t="s">
        <v>19</v>
      </c>
      <c r="H39" s="12" t="s">
        <v>3161</v>
      </c>
      <c r="I39" s="12">
        <v>331</v>
      </c>
      <c r="J39" s="12">
        <v>1111</v>
      </c>
      <c r="K39" s="12" t="s">
        <v>20</v>
      </c>
      <c r="L39" s="12">
        <v>1</v>
      </c>
      <c r="M39" s="17">
        <v>96000</v>
      </c>
      <c r="N39" s="17">
        <f t="shared" si="7"/>
        <v>96000</v>
      </c>
      <c r="P39" s="12">
        <f t="shared" si="8"/>
        <v>137</v>
      </c>
      <c r="S39"/>
    </row>
    <row r="40" spans="1:19" ht="15" hidden="1" customHeight="1" x14ac:dyDescent="0.25">
      <c r="A40" s="12" t="s">
        <v>310</v>
      </c>
      <c r="B40" s="36">
        <v>46107</v>
      </c>
      <c r="C40" s="12">
        <f t="shared" si="5"/>
        <v>37</v>
      </c>
      <c r="D40" s="38">
        <f t="shared" si="6"/>
        <v>1</v>
      </c>
      <c r="E40" s="12" t="str">
        <f t="shared" si="4"/>
        <v>037</v>
      </c>
      <c r="G40" s="12" t="s">
        <v>2303</v>
      </c>
      <c r="H40" s="12" t="s">
        <v>3162</v>
      </c>
      <c r="I40" s="12">
        <v>331</v>
      </c>
      <c r="J40" s="12">
        <v>1111</v>
      </c>
      <c r="K40" s="12" t="s">
        <v>20</v>
      </c>
      <c r="L40" s="12">
        <v>1</v>
      </c>
      <c r="M40" s="17">
        <v>2576000</v>
      </c>
      <c r="N40" s="17">
        <f t="shared" si="7"/>
        <v>2576000</v>
      </c>
      <c r="P40" s="12">
        <f t="shared" si="8"/>
        <v>119</v>
      </c>
      <c r="S40"/>
    </row>
    <row r="41" spans="1:19" ht="15" hidden="1" customHeight="1" x14ac:dyDescent="0.25">
      <c r="A41" s="12" t="s">
        <v>310</v>
      </c>
      <c r="B41" s="36">
        <v>46109</v>
      </c>
      <c r="C41" s="12">
        <f t="shared" si="5"/>
        <v>38</v>
      </c>
      <c r="D41" s="38">
        <f t="shared" si="6"/>
        <v>1</v>
      </c>
      <c r="E41" s="12" t="str">
        <f t="shared" si="4"/>
        <v>038</v>
      </c>
      <c r="G41" s="12" t="s">
        <v>2282</v>
      </c>
      <c r="H41" s="12" t="s">
        <v>3163</v>
      </c>
      <c r="I41" s="12">
        <v>331</v>
      </c>
      <c r="J41" s="12">
        <v>1111</v>
      </c>
      <c r="K41" s="12" t="s">
        <v>20</v>
      </c>
      <c r="L41" s="12">
        <v>1</v>
      </c>
      <c r="M41" s="17">
        <v>1350000</v>
      </c>
      <c r="N41" s="17">
        <f t="shared" si="7"/>
        <v>1350000</v>
      </c>
      <c r="P41" s="12">
        <f t="shared" si="8"/>
        <v>91</v>
      </c>
      <c r="S41"/>
    </row>
    <row r="42" spans="1:19" ht="15" hidden="1" customHeight="1" x14ac:dyDescent="0.25">
      <c r="A42" s="12" t="s">
        <v>310</v>
      </c>
      <c r="B42" s="36">
        <v>46110</v>
      </c>
      <c r="C42" s="12">
        <f t="shared" si="5"/>
        <v>39</v>
      </c>
      <c r="D42" s="38">
        <f t="shared" si="6"/>
        <v>1</v>
      </c>
      <c r="E42" s="12" t="str">
        <f t="shared" si="4"/>
        <v>039</v>
      </c>
      <c r="G42" s="12" t="s">
        <v>2281</v>
      </c>
      <c r="H42" s="12" t="s">
        <v>3189</v>
      </c>
      <c r="I42" s="12">
        <v>331</v>
      </c>
      <c r="J42" s="12">
        <v>1111</v>
      </c>
      <c r="K42" s="12" t="s">
        <v>20</v>
      </c>
      <c r="L42" s="12">
        <v>1</v>
      </c>
      <c r="M42" s="17">
        <v>1027140</v>
      </c>
      <c r="N42" s="17">
        <f t="shared" si="7"/>
        <v>1027140</v>
      </c>
      <c r="P42" s="12">
        <f t="shared" si="8"/>
        <v>55</v>
      </c>
      <c r="S42"/>
    </row>
    <row r="43" spans="1:19" ht="15" hidden="1" customHeight="1" x14ac:dyDescent="0.25">
      <c r="A43" s="12" t="s">
        <v>18</v>
      </c>
      <c r="B43" s="36">
        <v>46024</v>
      </c>
      <c r="C43" s="12">
        <f t="shared" si="5"/>
        <v>40</v>
      </c>
      <c r="D43" s="38">
        <f t="shared" si="6"/>
        <v>1</v>
      </c>
      <c r="E43" s="12" t="str">
        <f t="shared" si="4"/>
        <v>040</v>
      </c>
      <c r="G43" s="12" t="s">
        <v>44</v>
      </c>
      <c r="H43" s="12" t="s">
        <v>2268</v>
      </c>
      <c r="I43" s="12">
        <v>64277</v>
      </c>
      <c r="J43" s="12">
        <v>331</v>
      </c>
      <c r="K43" s="12" t="s">
        <v>20</v>
      </c>
      <c r="L43" s="12">
        <v>1</v>
      </c>
      <c r="M43" s="17">
        <v>125389</v>
      </c>
      <c r="N43" s="17">
        <f t="shared" si="7"/>
        <v>125389</v>
      </c>
      <c r="P43" s="12">
        <f t="shared" si="8"/>
        <v>53</v>
      </c>
      <c r="S43"/>
    </row>
    <row r="44" spans="1:19" ht="15" hidden="1" customHeight="1" x14ac:dyDescent="0.25">
      <c r="A44" s="12" t="s">
        <v>18</v>
      </c>
      <c r="B44" s="36">
        <v>46024</v>
      </c>
      <c r="C44" s="12">
        <f t="shared" si="5"/>
        <v>40</v>
      </c>
      <c r="D44" s="38">
        <f t="shared" si="6"/>
        <v>0</v>
      </c>
      <c r="E44" s="12" t="str">
        <f t="shared" si="4"/>
        <v>040</v>
      </c>
      <c r="G44" s="12" t="s">
        <v>44</v>
      </c>
      <c r="H44" s="12" t="s">
        <v>2268</v>
      </c>
      <c r="I44" s="12">
        <v>1331</v>
      </c>
      <c r="J44" s="12">
        <v>331</v>
      </c>
      <c r="K44" s="12" t="s">
        <v>20</v>
      </c>
      <c r="L44" s="12">
        <v>1</v>
      </c>
      <c r="M44" s="17">
        <v>10031</v>
      </c>
      <c r="N44" s="17">
        <f t="shared" si="7"/>
        <v>10031</v>
      </c>
      <c r="P44" s="12">
        <f t="shared" si="8"/>
        <v>53</v>
      </c>
      <c r="S44"/>
    </row>
    <row r="45" spans="1:19" ht="15" hidden="1" customHeight="1" x14ac:dyDescent="0.25">
      <c r="A45" s="12" t="s">
        <v>18</v>
      </c>
      <c r="B45" s="36">
        <v>46049</v>
      </c>
      <c r="C45" s="12">
        <f t="shared" si="5"/>
        <v>41</v>
      </c>
      <c r="D45" s="38">
        <f t="shared" si="6"/>
        <v>1</v>
      </c>
      <c r="E45" s="12" t="str">
        <f t="shared" si="4"/>
        <v>041</v>
      </c>
      <c r="G45" s="12" t="s">
        <v>54</v>
      </c>
      <c r="H45" s="12" t="s">
        <v>2269</v>
      </c>
      <c r="I45" s="12">
        <v>64277</v>
      </c>
      <c r="J45" s="12">
        <v>331</v>
      </c>
      <c r="K45" s="12" t="s">
        <v>20</v>
      </c>
      <c r="L45" s="12">
        <v>1</v>
      </c>
      <c r="M45" s="17">
        <v>99000</v>
      </c>
      <c r="N45" s="17">
        <f t="shared" si="7"/>
        <v>99000</v>
      </c>
      <c r="P45" s="12">
        <f t="shared" si="8"/>
        <v>72</v>
      </c>
      <c r="S45"/>
    </row>
    <row r="46" spans="1:19" ht="15" hidden="1" customHeight="1" x14ac:dyDescent="0.25">
      <c r="A46" s="12" t="s">
        <v>18</v>
      </c>
      <c r="B46" s="36">
        <v>46049</v>
      </c>
      <c r="C46" s="12">
        <f t="shared" si="5"/>
        <v>41</v>
      </c>
      <c r="D46" s="38">
        <f t="shared" si="6"/>
        <v>0</v>
      </c>
      <c r="E46" s="12" t="str">
        <f t="shared" si="4"/>
        <v>041</v>
      </c>
      <c r="G46" s="12" t="s">
        <v>54</v>
      </c>
      <c r="H46" s="12" t="s">
        <v>2269</v>
      </c>
      <c r="I46" s="12">
        <v>1331</v>
      </c>
      <c r="J46" s="12">
        <v>331</v>
      </c>
      <c r="K46" s="12" t="s">
        <v>20</v>
      </c>
      <c r="L46" s="12">
        <v>1</v>
      </c>
      <c r="M46" s="17">
        <v>0</v>
      </c>
      <c r="N46" s="17">
        <f t="shared" si="7"/>
        <v>0</v>
      </c>
      <c r="P46" s="12">
        <f t="shared" si="8"/>
        <v>72</v>
      </c>
      <c r="S46"/>
    </row>
    <row r="47" spans="1:19" ht="15" hidden="1" customHeight="1" x14ac:dyDescent="0.25">
      <c r="A47" s="12" t="s">
        <v>18</v>
      </c>
      <c r="B47" s="36">
        <v>46055</v>
      </c>
      <c r="C47" s="12">
        <f t="shared" si="5"/>
        <v>42</v>
      </c>
      <c r="D47" s="38">
        <f t="shared" si="6"/>
        <v>1</v>
      </c>
      <c r="E47" s="12" t="str">
        <f t="shared" si="4"/>
        <v>042</v>
      </c>
      <c r="G47" s="12" t="s">
        <v>2273</v>
      </c>
      <c r="H47" s="12" t="s">
        <v>2274</v>
      </c>
      <c r="I47" s="12">
        <v>64277</v>
      </c>
      <c r="J47" s="12">
        <v>331</v>
      </c>
      <c r="K47" s="12" t="s">
        <v>20</v>
      </c>
      <c r="L47" s="12">
        <v>1</v>
      </c>
      <c r="M47" s="17">
        <v>726852</v>
      </c>
      <c r="N47" s="17">
        <f t="shared" si="7"/>
        <v>726852</v>
      </c>
      <c r="P47" s="12">
        <f t="shared" si="8"/>
        <v>48</v>
      </c>
      <c r="S47"/>
    </row>
    <row r="48" spans="1:19" ht="15" hidden="1" customHeight="1" x14ac:dyDescent="0.25">
      <c r="A48" s="12" t="s">
        <v>18</v>
      </c>
      <c r="B48" s="36">
        <v>46055</v>
      </c>
      <c r="C48" s="12">
        <f t="shared" si="5"/>
        <v>42</v>
      </c>
      <c r="D48" s="38">
        <f t="shared" si="6"/>
        <v>0</v>
      </c>
      <c r="E48" s="12" t="str">
        <f t="shared" si="4"/>
        <v>042</v>
      </c>
      <c r="G48" s="12" t="s">
        <v>2273</v>
      </c>
      <c r="H48" s="12" t="s">
        <v>2274</v>
      </c>
      <c r="I48" s="12">
        <v>1331</v>
      </c>
      <c r="J48" s="12">
        <v>331</v>
      </c>
      <c r="K48" s="12" t="s">
        <v>20</v>
      </c>
      <c r="L48" s="12">
        <v>1</v>
      </c>
      <c r="M48" s="17">
        <v>58148</v>
      </c>
      <c r="N48" s="17">
        <f t="shared" si="7"/>
        <v>58148</v>
      </c>
      <c r="P48" s="12">
        <f t="shared" si="8"/>
        <v>48</v>
      </c>
      <c r="S48"/>
    </row>
    <row r="49" spans="1:19" ht="15" hidden="1" customHeight="1" x14ac:dyDescent="0.25">
      <c r="A49" s="12" t="s">
        <v>18</v>
      </c>
      <c r="B49" s="36">
        <v>46055</v>
      </c>
      <c r="C49" s="12">
        <f t="shared" si="5"/>
        <v>43</v>
      </c>
      <c r="D49" s="38">
        <f t="shared" si="6"/>
        <v>1</v>
      </c>
      <c r="E49" s="12" t="str">
        <f t="shared" si="4"/>
        <v>043</v>
      </c>
      <c r="G49" s="12" t="s">
        <v>44</v>
      </c>
      <c r="H49" s="12" t="s">
        <v>2270</v>
      </c>
      <c r="I49" s="12">
        <v>64277</v>
      </c>
      <c r="J49" s="12">
        <v>331</v>
      </c>
      <c r="K49" s="12" t="s">
        <v>20</v>
      </c>
      <c r="L49" s="12">
        <v>1</v>
      </c>
      <c r="M49" s="17">
        <v>111890</v>
      </c>
      <c r="N49" s="17">
        <f t="shared" si="7"/>
        <v>111890</v>
      </c>
      <c r="P49" s="12">
        <f t="shared" si="8"/>
        <v>98</v>
      </c>
      <c r="S49"/>
    </row>
    <row r="50" spans="1:19" ht="15" hidden="1" customHeight="1" x14ac:dyDescent="0.25">
      <c r="A50" s="12" t="s">
        <v>18</v>
      </c>
      <c r="B50" s="36">
        <v>46055</v>
      </c>
      <c r="C50" s="12">
        <f t="shared" si="5"/>
        <v>43</v>
      </c>
      <c r="D50" s="38">
        <f t="shared" si="6"/>
        <v>0</v>
      </c>
      <c r="E50" s="12" t="str">
        <f t="shared" si="4"/>
        <v>043</v>
      </c>
      <c r="G50" s="12" t="s">
        <v>44</v>
      </c>
      <c r="H50" s="12" t="s">
        <v>2270</v>
      </c>
      <c r="I50" s="12">
        <v>1331</v>
      </c>
      <c r="J50" s="12">
        <v>331</v>
      </c>
      <c r="K50" s="12" t="s">
        <v>20</v>
      </c>
      <c r="L50" s="12">
        <v>1</v>
      </c>
      <c r="M50" s="17">
        <v>8951</v>
      </c>
      <c r="N50" s="17">
        <f t="shared" si="7"/>
        <v>8951</v>
      </c>
      <c r="P50" s="12">
        <f t="shared" si="8"/>
        <v>98</v>
      </c>
      <c r="S50"/>
    </row>
    <row r="51" spans="1:19" ht="15" hidden="1" customHeight="1" x14ac:dyDescent="0.25">
      <c r="A51" s="12" t="s">
        <v>18</v>
      </c>
      <c r="B51" s="36">
        <v>46055</v>
      </c>
      <c r="C51" s="12">
        <f t="shared" si="5"/>
        <v>44</v>
      </c>
      <c r="D51" s="38">
        <f t="shared" si="6"/>
        <v>1</v>
      </c>
      <c r="E51" s="12" t="str">
        <f t="shared" si="4"/>
        <v>044</v>
      </c>
      <c r="G51" s="12" t="s">
        <v>2271</v>
      </c>
      <c r="H51" s="12" t="s">
        <v>2272</v>
      </c>
      <c r="I51" s="12">
        <v>64277</v>
      </c>
      <c r="J51" s="12">
        <v>331</v>
      </c>
      <c r="K51" s="12" t="s">
        <v>20</v>
      </c>
      <c r="L51" s="12">
        <v>1</v>
      </c>
      <c r="M51" s="17">
        <v>5187000</v>
      </c>
      <c r="N51" s="17">
        <f t="shared" si="7"/>
        <v>5187000</v>
      </c>
      <c r="P51" s="12">
        <f t="shared" si="8"/>
        <v>124</v>
      </c>
      <c r="S51"/>
    </row>
    <row r="52" spans="1:19" ht="15" hidden="1" customHeight="1" x14ac:dyDescent="0.25">
      <c r="A52" s="12" t="s">
        <v>18</v>
      </c>
      <c r="B52" s="36">
        <v>46055</v>
      </c>
      <c r="C52" s="12">
        <f t="shared" si="5"/>
        <v>44</v>
      </c>
      <c r="D52" s="38">
        <f t="shared" si="6"/>
        <v>0</v>
      </c>
      <c r="E52" s="12" t="str">
        <f t="shared" si="4"/>
        <v>044</v>
      </c>
      <c r="G52" s="12" t="s">
        <v>2271</v>
      </c>
      <c r="H52" s="12" t="s">
        <v>2272</v>
      </c>
      <c r="I52" s="12">
        <v>1331</v>
      </c>
      <c r="J52" s="12">
        <v>331</v>
      </c>
      <c r="K52" s="12" t="s">
        <v>20</v>
      </c>
      <c r="L52" s="12">
        <v>1</v>
      </c>
      <c r="M52" s="17">
        <v>384222</v>
      </c>
      <c r="N52" s="17">
        <f t="shared" si="7"/>
        <v>384222</v>
      </c>
      <c r="P52" s="12">
        <f t="shared" si="8"/>
        <v>124</v>
      </c>
      <c r="S52"/>
    </row>
    <row r="53" spans="1:19" ht="15" hidden="1" customHeight="1" x14ac:dyDescent="0.25">
      <c r="A53" s="12" t="s">
        <v>18</v>
      </c>
      <c r="B53" s="36">
        <v>46056</v>
      </c>
      <c r="C53" s="12">
        <f t="shared" si="5"/>
        <v>45</v>
      </c>
      <c r="D53" s="38">
        <f t="shared" si="6"/>
        <v>1</v>
      </c>
      <c r="E53" s="12" t="str">
        <f t="shared" si="4"/>
        <v>045</v>
      </c>
      <c r="G53" s="12" t="s">
        <v>2276</v>
      </c>
      <c r="H53" s="12" t="s">
        <v>2277</v>
      </c>
      <c r="I53" s="12">
        <v>64277</v>
      </c>
      <c r="J53" s="12">
        <v>331</v>
      </c>
      <c r="K53" s="12" t="s">
        <v>20</v>
      </c>
      <c r="L53" s="12">
        <v>1</v>
      </c>
      <c r="M53" s="17">
        <v>3500000</v>
      </c>
      <c r="N53" s="17">
        <f t="shared" si="7"/>
        <v>3500000</v>
      </c>
      <c r="P53" s="12">
        <f t="shared" si="8"/>
        <v>92</v>
      </c>
      <c r="S53"/>
    </row>
    <row r="54" spans="1:19" ht="15" hidden="1" customHeight="1" x14ac:dyDescent="0.25">
      <c r="A54" s="12" t="s">
        <v>18</v>
      </c>
      <c r="B54" s="36">
        <v>46056</v>
      </c>
      <c r="C54" s="12">
        <f t="shared" si="5"/>
        <v>45</v>
      </c>
      <c r="D54" s="38">
        <f t="shared" si="6"/>
        <v>0</v>
      </c>
      <c r="E54" s="12" t="str">
        <f t="shared" si="4"/>
        <v>045</v>
      </c>
      <c r="G54" s="12" t="s">
        <v>2276</v>
      </c>
      <c r="H54" s="12" t="s">
        <v>2277</v>
      </c>
      <c r="I54" s="12">
        <v>1331</v>
      </c>
      <c r="J54" s="12">
        <v>331</v>
      </c>
      <c r="K54" s="12" t="s">
        <v>20</v>
      </c>
      <c r="L54" s="12">
        <v>1</v>
      </c>
      <c r="M54" s="17">
        <v>280000</v>
      </c>
      <c r="N54" s="17">
        <f t="shared" si="7"/>
        <v>280000</v>
      </c>
      <c r="P54" s="12">
        <f t="shared" si="8"/>
        <v>92</v>
      </c>
      <c r="S54"/>
    </row>
    <row r="55" spans="1:19" ht="15" hidden="1" customHeight="1" x14ac:dyDescent="0.25">
      <c r="A55" s="12" t="s">
        <v>18</v>
      </c>
      <c r="B55" s="36">
        <v>46056</v>
      </c>
      <c r="C55" s="12">
        <f t="shared" si="5"/>
        <v>46</v>
      </c>
      <c r="D55" s="38">
        <f t="shared" si="6"/>
        <v>1</v>
      </c>
      <c r="E55" s="12" t="str">
        <f t="shared" si="4"/>
        <v>046</v>
      </c>
      <c r="G55" s="12" t="s">
        <v>54</v>
      </c>
      <c r="H55" s="12" t="s">
        <v>2275</v>
      </c>
      <c r="I55" s="12">
        <v>64277</v>
      </c>
      <c r="J55" s="12">
        <v>331</v>
      </c>
      <c r="K55" s="12" t="s">
        <v>20</v>
      </c>
      <c r="L55" s="12">
        <v>1</v>
      </c>
      <c r="M55" s="17">
        <v>1439000</v>
      </c>
      <c r="N55" s="17">
        <f t="shared" si="7"/>
        <v>1439000</v>
      </c>
      <c r="P55" s="12">
        <f t="shared" si="8"/>
        <v>81</v>
      </c>
      <c r="S55"/>
    </row>
    <row r="56" spans="1:19" ht="15" hidden="1" customHeight="1" x14ac:dyDescent="0.25">
      <c r="A56" s="12" t="s">
        <v>18</v>
      </c>
      <c r="B56" s="36">
        <v>46056</v>
      </c>
      <c r="C56" s="12">
        <f t="shared" si="5"/>
        <v>46</v>
      </c>
      <c r="D56" s="38">
        <f t="shared" si="6"/>
        <v>0</v>
      </c>
      <c r="E56" s="12" t="str">
        <f t="shared" si="4"/>
        <v>046</v>
      </c>
      <c r="G56" s="12" t="s">
        <v>54</v>
      </c>
      <c r="H56" s="12" t="s">
        <v>2275</v>
      </c>
      <c r="I56" s="12">
        <v>1331</v>
      </c>
      <c r="J56" s="12">
        <v>331</v>
      </c>
      <c r="K56" s="12" t="s">
        <v>20</v>
      </c>
      <c r="L56" s="12">
        <v>1</v>
      </c>
      <c r="M56" s="17">
        <v>115120</v>
      </c>
      <c r="N56" s="17">
        <f t="shared" si="7"/>
        <v>115120</v>
      </c>
      <c r="P56" s="12">
        <f t="shared" si="8"/>
        <v>81</v>
      </c>
      <c r="S56"/>
    </row>
    <row r="57" spans="1:19" ht="15" hidden="1" customHeight="1" x14ac:dyDescent="0.25">
      <c r="A57" s="12" t="s">
        <v>18</v>
      </c>
      <c r="B57" s="36">
        <v>46059</v>
      </c>
      <c r="C57" s="12">
        <f t="shared" si="5"/>
        <v>47</v>
      </c>
      <c r="D57" s="38">
        <f t="shared" si="6"/>
        <v>1</v>
      </c>
      <c r="E57" s="12" t="str">
        <f t="shared" si="4"/>
        <v>047</v>
      </c>
      <c r="G57" s="12" t="s">
        <v>2278</v>
      </c>
      <c r="H57" s="12" t="s">
        <v>2279</v>
      </c>
      <c r="I57" s="12">
        <v>64277</v>
      </c>
      <c r="J57" s="12">
        <v>331</v>
      </c>
      <c r="K57" s="12" t="s">
        <v>20</v>
      </c>
      <c r="L57" s="12">
        <v>1</v>
      </c>
      <c r="M57" s="17">
        <v>974000</v>
      </c>
      <c r="N57" s="17">
        <f t="shared" si="7"/>
        <v>974000</v>
      </c>
      <c r="P57" s="12">
        <f t="shared" si="8"/>
        <v>146</v>
      </c>
      <c r="S57"/>
    </row>
    <row r="58" spans="1:19" ht="15" hidden="1" customHeight="1" x14ac:dyDescent="0.25">
      <c r="A58" s="12" t="s">
        <v>18</v>
      </c>
      <c r="B58" s="36">
        <v>46059</v>
      </c>
      <c r="C58" s="12">
        <f t="shared" si="5"/>
        <v>47</v>
      </c>
      <c r="D58" s="38">
        <f t="shared" si="6"/>
        <v>0</v>
      </c>
      <c r="E58" s="12" t="str">
        <f t="shared" si="4"/>
        <v>047</v>
      </c>
      <c r="G58" s="12" t="s">
        <v>2278</v>
      </c>
      <c r="H58" s="12" t="s">
        <v>2279</v>
      </c>
      <c r="I58" s="12">
        <v>1331</v>
      </c>
      <c r="J58" s="12">
        <v>331</v>
      </c>
      <c r="K58" s="12" t="s">
        <v>20</v>
      </c>
      <c r="L58" s="12">
        <v>1</v>
      </c>
      <c r="M58" s="17">
        <v>77920</v>
      </c>
      <c r="N58" s="17">
        <f t="shared" si="7"/>
        <v>77920</v>
      </c>
      <c r="P58" s="12">
        <f t="shared" si="8"/>
        <v>146</v>
      </c>
      <c r="S58"/>
    </row>
    <row r="59" spans="1:19" ht="15" hidden="1" customHeight="1" x14ac:dyDescent="0.25">
      <c r="A59" s="12" t="s">
        <v>18</v>
      </c>
      <c r="B59" s="36">
        <v>46062</v>
      </c>
      <c r="C59" s="12">
        <f t="shared" si="5"/>
        <v>48</v>
      </c>
      <c r="D59" s="38">
        <f t="shared" si="6"/>
        <v>1</v>
      </c>
      <c r="E59" s="12" t="str">
        <f t="shared" si="4"/>
        <v>048</v>
      </c>
      <c r="G59" s="12" t="s">
        <v>49</v>
      </c>
      <c r="H59" s="12" t="s">
        <v>2306</v>
      </c>
      <c r="I59" s="12">
        <v>131</v>
      </c>
      <c r="J59" s="12">
        <v>5113</v>
      </c>
      <c r="K59" s="12" t="s">
        <v>20</v>
      </c>
      <c r="L59" s="12">
        <v>1</v>
      </c>
      <c r="M59" s="17">
        <v>31111111</v>
      </c>
      <c r="N59" s="17">
        <f t="shared" si="7"/>
        <v>31111111</v>
      </c>
      <c r="P59" s="12">
        <f t="shared" si="8"/>
        <v>152</v>
      </c>
      <c r="S59"/>
    </row>
    <row r="60" spans="1:19" ht="15" customHeight="1" x14ac:dyDescent="0.25">
      <c r="A60" s="12" t="s">
        <v>18</v>
      </c>
      <c r="B60" s="36">
        <v>46062</v>
      </c>
      <c r="C60" s="12">
        <f t="shared" si="5"/>
        <v>49</v>
      </c>
      <c r="D60" s="38">
        <f t="shared" si="6"/>
        <v>1</v>
      </c>
      <c r="E60" s="12" t="str">
        <f t="shared" si="4"/>
        <v>049</v>
      </c>
      <c r="G60" s="12" t="s">
        <v>49</v>
      </c>
      <c r="H60" s="12" t="s">
        <v>3164</v>
      </c>
      <c r="I60" s="12">
        <v>333821</v>
      </c>
      <c r="J60" s="12">
        <v>131</v>
      </c>
      <c r="K60" s="12" t="s">
        <v>20</v>
      </c>
      <c r="L60" s="12">
        <v>1</v>
      </c>
      <c r="M60" s="17">
        <v>311111</v>
      </c>
      <c r="N60" s="17">
        <f t="shared" si="7"/>
        <v>311111</v>
      </c>
      <c r="P60" s="12">
        <f t="shared" si="8"/>
        <v>168</v>
      </c>
      <c r="S60"/>
    </row>
    <row r="61" spans="1:19" ht="15" hidden="1" customHeight="1" x14ac:dyDescent="0.25">
      <c r="A61" s="12" t="s">
        <v>18</v>
      </c>
      <c r="B61" s="36">
        <v>46064</v>
      </c>
      <c r="C61" s="12">
        <f t="shared" si="5"/>
        <v>50</v>
      </c>
      <c r="D61" s="38">
        <f t="shared" si="6"/>
        <v>1</v>
      </c>
      <c r="E61" s="12" t="str">
        <f t="shared" si="4"/>
        <v>050</v>
      </c>
      <c r="G61" s="12" t="s">
        <v>2271</v>
      </c>
      <c r="H61" s="12" t="s">
        <v>2280</v>
      </c>
      <c r="I61" s="12">
        <v>64277</v>
      </c>
      <c r="J61" s="12">
        <v>331</v>
      </c>
      <c r="K61" s="12" t="s">
        <v>20</v>
      </c>
      <c r="L61" s="12">
        <v>1</v>
      </c>
      <c r="M61" s="17">
        <v>1633332</v>
      </c>
      <c r="N61" s="17">
        <f t="shared" si="7"/>
        <v>1633332</v>
      </c>
      <c r="P61" s="12">
        <f t="shared" si="8"/>
        <v>39</v>
      </c>
      <c r="S61"/>
    </row>
    <row r="62" spans="1:19" ht="15" hidden="1" customHeight="1" x14ac:dyDescent="0.25">
      <c r="A62" s="12" t="s">
        <v>18</v>
      </c>
      <c r="B62" s="36">
        <v>46064</v>
      </c>
      <c r="C62" s="12">
        <f t="shared" si="5"/>
        <v>50</v>
      </c>
      <c r="D62" s="38">
        <f t="shared" si="6"/>
        <v>0</v>
      </c>
      <c r="E62" s="12" t="str">
        <f t="shared" si="4"/>
        <v>050</v>
      </c>
      <c r="G62" s="12" t="s">
        <v>2271</v>
      </c>
      <c r="H62" s="12" t="s">
        <v>2280</v>
      </c>
      <c r="I62" s="12">
        <v>1331</v>
      </c>
      <c r="J62" s="12">
        <v>331</v>
      </c>
      <c r="K62" s="12" t="s">
        <v>20</v>
      </c>
      <c r="L62" s="12">
        <v>1</v>
      </c>
      <c r="M62" s="17">
        <v>123334</v>
      </c>
      <c r="N62" s="17">
        <f t="shared" si="7"/>
        <v>123334</v>
      </c>
      <c r="P62" s="12">
        <f t="shared" si="8"/>
        <v>39</v>
      </c>
      <c r="S62"/>
    </row>
    <row r="63" spans="1:19" ht="15" hidden="1" customHeight="1" x14ac:dyDescent="0.25">
      <c r="A63" s="12" t="s">
        <v>18</v>
      </c>
      <c r="B63" s="36">
        <v>46066</v>
      </c>
      <c r="C63" s="12">
        <f t="shared" si="5"/>
        <v>51</v>
      </c>
      <c r="D63" s="38">
        <f t="shared" si="6"/>
        <v>1</v>
      </c>
      <c r="E63" s="12" t="str">
        <f t="shared" si="4"/>
        <v>051</v>
      </c>
      <c r="G63" s="12" t="s">
        <v>2281</v>
      </c>
      <c r="H63" s="12" t="s">
        <v>3172</v>
      </c>
      <c r="I63" s="12">
        <v>64277</v>
      </c>
      <c r="J63" s="12">
        <v>331</v>
      </c>
      <c r="K63" s="12" t="s">
        <v>20</v>
      </c>
      <c r="L63" s="12">
        <v>1</v>
      </c>
      <c r="M63" s="17">
        <v>371429</v>
      </c>
      <c r="N63" s="17">
        <f t="shared" si="7"/>
        <v>371429</v>
      </c>
      <c r="P63" s="12">
        <f t="shared" si="8"/>
        <v>42</v>
      </c>
      <c r="S63"/>
    </row>
    <row r="64" spans="1:19" ht="15" hidden="1" customHeight="1" x14ac:dyDescent="0.25">
      <c r="A64" s="12" t="s">
        <v>18</v>
      </c>
      <c r="B64" s="36">
        <v>46066</v>
      </c>
      <c r="C64" s="12">
        <f t="shared" si="5"/>
        <v>51</v>
      </c>
      <c r="D64" s="38">
        <f t="shared" si="6"/>
        <v>0</v>
      </c>
      <c r="E64" s="12" t="str">
        <f t="shared" si="4"/>
        <v>051</v>
      </c>
      <c r="G64" s="12" t="s">
        <v>2281</v>
      </c>
      <c r="H64" s="12" t="s">
        <v>3172</v>
      </c>
      <c r="I64" s="12">
        <v>1331</v>
      </c>
      <c r="J64" s="12">
        <v>331</v>
      </c>
      <c r="K64" s="12" t="s">
        <v>20</v>
      </c>
      <c r="L64" s="12">
        <v>1</v>
      </c>
      <c r="M64" s="17">
        <v>20371</v>
      </c>
      <c r="N64" s="17">
        <f t="shared" si="7"/>
        <v>20371</v>
      </c>
      <c r="P64" s="12">
        <f t="shared" si="8"/>
        <v>42</v>
      </c>
      <c r="S64"/>
    </row>
    <row r="65" spans="1:19" ht="15" hidden="1" customHeight="1" x14ac:dyDescent="0.25">
      <c r="A65" s="12" t="s">
        <v>18</v>
      </c>
      <c r="B65" s="36">
        <v>46066</v>
      </c>
      <c r="C65" s="12">
        <f t="shared" si="5"/>
        <v>52</v>
      </c>
      <c r="D65" s="38">
        <f t="shared" si="6"/>
        <v>1</v>
      </c>
      <c r="E65" s="12" t="str">
        <f t="shared" si="4"/>
        <v>052</v>
      </c>
      <c r="G65" s="12" t="s">
        <v>2282</v>
      </c>
      <c r="H65" s="12" t="s">
        <v>2283</v>
      </c>
      <c r="I65" s="12">
        <v>64277</v>
      </c>
      <c r="J65" s="12">
        <v>331</v>
      </c>
      <c r="K65" s="12" t="s">
        <v>20</v>
      </c>
      <c r="L65" s="12">
        <v>1</v>
      </c>
      <c r="M65" s="17">
        <v>710000</v>
      </c>
      <c r="N65" s="17">
        <f t="shared" si="7"/>
        <v>710000</v>
      </c>
      <c r="P65" s="12">
        <f t="shared" si="8"/>
        <v>86</v>
      </c>
      <c r="S65"/>
    </row>
    <row r="66" spans="1:19" ht="15" hidden="1" customHeight="1" x14ac:dyDescent="0.25">
      <c r="A66" s="12" t="s">
        <v>18</v>
      </c>
      <c r="B66" s="36">
        <v>46066</v>
      </c>
      <c r="C66" s="12">
        <f t="shared" si="5"/>
        <v>52</v>
      </c>
      <c r="D66" s="38">
        <f t="shared" si="6"/>
        <v>0</v>
      </c>
      <c r="E66" s="12" t="str">
        <f t="shared" si="4"/>
        <v>052</v>
      </c>
      <c r="G66" s="12" t="s">
        <v>2282</v>
      </c>
      <c r="H66" s="12" t="s">
        <v>2283</v>
      </c>
      <c r="I66" s="12">
        <v>1331</v>
      </c>
      <c r="J66" s="12">
        <v>331</v>
      </c>
      <c r="K66" s="12" t="s">
        <v>20</v>
      </c>
      <c r="L66" s="12">
        <v>1</v>
      </c>
      <c r="M66" s="17">
        <v>56800</v>
      </c>
      <c r="N66" s="17">
        <f t="shared" si="7"/>
        <v>56800</v>
      </c>
      <c r="P66" s="12">
        <f t="shared" si="8"/>
        <v>86</v>
      </c>
      <c r="S66"/>
    </row>
    <row r="67" spans="1:19" ht="15" hidden="1" customHeight="1" x14ac:dyDescent="0.25">
      <c r="A67" s="12" t="s">
        <v>18</v>
      </c>
      <c r="B67" s="36">
        <v>46067</v>
      </c>
      <c r="C67" s="12">
        <f t="shared" si="5"/>
        <v>53</v>
      </c>
      <c r="D67" s="38">
        <f t="shared" si="6"/>
        <v>1</v>
      </c>
      <c r="E67" s="12" t="str">
        <f t="shared" si="4"/>
        <v>053</v>
      </c>
      <c r="G67" s="12" t="s">
        <v>24</v>
      </c>
      <c r="H67" s="12" t="s">
        <v>2284</v>
      </c>
      <c r="I67" s="12">
        <v>64277</v>
      </c>
      <c r="J67" s="12">
        <v>331</v>
      </c>
      <c r="K67" s="12" t="s">
        <v>20</v>
      </c>
      <c r="L67" s="12">
        <v>1</v>
      </c>
      <c r="M67" s="17">
        <v>101410</v>
      </c>
      <c r="N67" s="17">
        <f t="shared" si="7"/>
        <v>101410</v>
      </c>
      <c r="P67" s="12">
        <f t="shared" si="8"/>
        <v>107</v>
      </c>
      <c r="S67"/>
    </row>
    <row r="68" spans="1:19" ht="15" hidden="1" customHeight="1" x14ac:dyDescent="0.25">
      <c r="A68" s="12" t="s">
        <v>18</v>
      </c>
      <c r="B68" s="36">
        <v>46067</v>
      </c>
      <c r="C68" s="12">
        <f t="shared" ref="C68:C99" si="9">C67+D68</f>
        <v>53</v>
      </c>
      <c r="D68" s="38">
        <f t="shared" ref="D68:D99" si="10">IF(H68=H67,0,1)</f>
        <v>0</v>
      </c>
      <c r="E68" s="12" t="str">
        <f t="shared" si="4"/>
        <v>053</v>
      </c>
      <c r="G68" s="12" t="s">
        <v>24</v>
      </c>
      <c r="H68" s="12" t="s">
        <v>2284</v>
      </c>
      <c r="I68" s="12">
        <v>1331</v>
      </c>
      <c r="J68" s="12">
        <v>331</v>
      </c>
      <c r="K68" s="12" t="s">
        <v>20</v>
      </c>
      <c r="L68" s="12">
        <v>1</v>
      </c>
      <c r="M68" s="17">
        <v>7590</v>
      </c>
      <c r="N68" s="17">
        <f t="shared" ref="N68:N99" si="11">L68*M68</f>
        <v>7590</v>
      </c>
      <c r="P68" s="12">
        <f t="shared" ref="P68:P99" si="12">LEN(H68)</f>
        <v>107</v>
      </c>
      <c r="S68"/>
    </row>
    <row r="69" spans="1:19" ht="15" hidden="1" customHeight="1" x14ac:dyDescent="0.25">
      <c r="A69" s="12" t="s">
        <v>18</v>
      </c>
      <c r="B69" s="36">
        <v>46075</v>
      </c>
      <c r="C69" s="12">
        <f t="shared" si="9"/>
        <v>54</v>
      </c>
      <c r="D69" s="38">
        <f t="shared" si="10"/>
        <v>1</v>
      </c>
      <c r="E69" s="12" t="str">
        <f t="shared" ref="E69:E132" si="13">TEXT(C69,"000")</f>
        <v>054</v>
      </c>
      <c r="G69" s="12" t="s">
        <v>80</v>
      </c>
      <c r="H69" s="12" t="s">
        <v>2285</v>
      </c>
      <c r="I69" s="12">
        <v>64277</v>
      </c>
      <c r="J69" s="12">
        <v>331</v>
      </c>
      <c r="K69" s="12" t="s">
        <v>20</v>
      </c>
      <c r="L69" s="12">
        <v>1</v>
      </c>
      <c r="M69" s="17">
        <v>55555</v>
      </c>
      <c r="N69" s="17">
        <f t="shared" si="11"/>
        <v>55555</v>
      </c>
      <c r="P69" s="12">
        <f t="shared" si="12"/>
        <v>72</v>
      </c>
      <c r="S69"/>
    </row>
    <row r="70" spans="1:19" ht="15" hidden="1" customHeight="1" x14ac:dyDescent="0.25">
      <c r="A70" s="12" t="s">
        <v>18</v>
      </c>
      <c r="B70" s="36">
        <v>46075</v>
      </c>
      <c r="C70" s="12">
        <f t="shared" si="9"/>
        <v>54</v>
      </c>
      <c r="D70" s="38">
        <f t="shared" si="10"/>
        <v>0</v>
      </c>
      <c r="E70" s="12" t="str">
        <f t="shared" si="13"/>
        <v>054</v>
      </c>
      <c r="G70" s="12" t="s">
        <v>80</v>
      </c>
      <c r="H70" s="12" t="s">
        <v>2285</v>
      </c>
      <c r="I70" s="12">
        <v>1331</v>
      </c>
      <c r="J70" s="12">
        <v>331</v>
      </c>
      <c r="K70" s="12" t="s">
        <v>20</v>
      </c>
      <c r="L70" s="12">
        <v>1</v>
      </c>
      <c r="M70" s="17">
        <v>4445</v>
      </c>
      <c r="N70" s="17">
        <f t="shared" si="11"/>
        <v>4445</v>
      </c>
      <c r="P70" s="12">
        <f t="shared" si="12"/>
        <v>72</v>
      </c>
      <c r="S70"/>
    </row>
    <row r="71" spans="1:19" ht="15" hidden="1" customHeight="1" x14ac:dyDescent="0.25">
      <c r="A71" s="12" t="s">
        <v>18</v>
      </c>
      <c r="B71" s="36">
        <v>46076</v>
      </c>
      <c r="C71" s="12">
        <f t="shared" si="9"/>
        <v>55</v>
      </c>
      <c r="D71" s="38">
        <f t="shared" si="10"/>
        <v>1</v>
      </c>
      <c r="E71" s="12" t="str">
        <f t="shared" si="13"/>
        <v>055</v>
      </c>
      <c r="G71" s="12" t="s">
        <v>2282</v>
      </c>
      <c r="H71" s="12" t="s">
        <v>2286</v>
      </c>
      <c r="I71" s="12">
        <v>64277</v>
      </c>
      <c r="J71" s="12">
        <v>331</v>
      </c>
      <c r="K71" s="12" t="s">
        <v>20</v>
      </c>
      <c r="L71" s="12">
        <v>1</v>
      </c>
      <c r="M71" s="17">
        <v>280000</v>
      </c>
      <c r="N71" s="17">
        <f t="shared" si="11"/>
        <v>280000</v>
      </c>
      <c r="P71" s="12">
        <f t="shared" si="12"/>
        <v>27</v>
      </c>
      <c r="S71"/>
    </row>
    <row r="72" spans="1:19" ht="15" hidden="1" customHeight="1" x14ac:dyDescent="0.25">
      <c r="A72" s="12" t="s">
        <v>18</v>
      </c>
      <c r="B72" s="36">
        <v>46076</v>
      </c>
      <c r="C72" s="12">
        <f t="shared" si="9"/>
        <v>55</v>
      </c>
      <c r="D72" s="38">
        <f t="shared" si="10"/>
        <v>0</v>
      </c>
      <c r="E72" s="12" t="str">
        <f t="shared" si="13"/>
        <v>055</v>
      </c>
      <c r="G72" s="12" t="s">
        <v>2282</v>
      </c>
      <c r="H72" s="12" t="s">
        <v>2286</v>
      </c>
      <c r="I72" s="12">
        <v>1331</v>
      </c>
      <c r="J72" s="12">
        <v>331</v>
      </c>
      <c r="K72" s="12" t="s">
        <v>20</v>
      </c>
      <c r="L72" s="12">
        <v>1</v>
      </c>
      <c r="M72" s="17">
        <v>22400</v>
      </c>
      <c r="N72" s="17">
        <f t="shared" si="11"/>
        <v>22400</v>
      </c>
      <c r="P72" s="12">
        <f t="shared" si="12"/>
        <v>27</v>
      </c>
      <c r="S72"/>
    </row>
    <row r="73" spans="1:19" ht="15" hidden="1" customHeight="1" x14ac:dyDescent="0.25">
      <c r="A73" s="12" t="s">
        <v>18</v>
      </c>
      <c r="B73" s="36">
        <v>46077</v>
      </c>
      <c r="C73" s="12">
        <f t="shared" si="9"/>
        <v>56</v>
      </c>
      <c r="D73" s="38">
        <f t="shared" si="10"/>
        <v>1</v>
      </c>
      <c r="E73" s="12" t="str">
        <f t="shared" si="13"/>
        <v>056</v>
      </c>
      <c r="G73" s="12" t="s">
        <v>2282</v>
      </c>
      <c r="H73" s="12" t="s">
        <v>2287</v>
      </c>
      <c r="I73" s="12">
        <v>64277</v>
      </c>
      <c r="J73" s="12">
        <v>331</v>
      </c>
      <c r="K73" s="12" t="s">
        <v>20</v>
      </c>
      <c r="L73" s="12">
        <v>1</v>
      </c>
      <c r="M73" s="17">
        <v>710000</v>
      </c>
      <c r="N73" s="17">
        <f t="shared" si="11"/>
        <v>710000</v>
      </c>
      <c r="P73" s="12">
        <f t="shared" si="12"/>
        <v>86</v>
      </c>
      <c r="S73"/>
    </row>
    <row r="74" spans="1:19" ht="15" hidden="1" customHeight="1" x14ac:dyDescent="0.25">
      <c r="A74" s="12" t="s">
        <v>18</v>
      </c>
      <c r="B74" s="36">
        <v>46077</v>
      </c>
      <c r="C74" s="12">
        <f t="shared" si="9"/>
        <v>56</v>
      </c>
      <c r="D74" s="38">
        <f t="shared" si="10"/>
        <v>0</v>
      </c>
      <c r="E74" s="12" t="str">
        <f t="shared" si="13"/>
        <v>056</v>
      </c>
      <c r="G74" s="12" t="s">
        <v>2282</v>
      </c>
      <c r="H74" s="12" t="s">
        <v>2287</v>
      </c>
      <c r="I74" s="12">
        <v>1331</v>
      </c>
      <c r="J74" s="12">
        <v>331</v>
      </c>
      <c r="K74" s="12" t="s">
        <v>20</v>
      </c>
      <c r="L74" s="12">
        <v>1</v>
      </c>
      <c r="M74" s="17">
        <v>56800</v>
      </c>
      <c r="N74" s="17">
        <f t="shared" si="11"/>
        <v>56800</v>
      </c>
      <c r="P74" s="12">
        <f t="shared" si="12"/>
        <v>86</v>
      </c>
      <c r="S74"/>
    </row>
    <row r="75" spans="1:19" ht="15" hidden="1" customHeight="1" x14ac:dyDescent="0.25">
      <c r="A75" s="12" t="s">
        <v>18</v>
      </c>
      <c r="B75" s="36">
        <v>46078</v>
      </c>
      <c r="C75" s="12">
        <f t="shared" si="9"/>
        <v>57</v>
      </c>
      <c r="D75" s="38">
        <f t="shared" si="10"/>
        <v>1</v>
      </c>
      <c r="E75" s="12" t="str">
        <f t="shared" si="13"/>
        <v>057</v>
      </c>
      <c r="G75" s="12" t="s">
        <v>2281</v>
      </c>
      <c r="H75" s="12" t="s">
        <v>3174</v>
      </c>
      <c r="I75" s="12">
        <v>64277</v>
      </c>
      <c r="J75" s="12">
        <v>331</v>
      </c>
      <c r="K75" s="12" t="s">
        <v>20</v>
      </c>
      <c r="L75" s="12">
        <v>1</v>
      </c>
      <c r="M75" s="17">
        <v>1182155</v>
      </c>
      <c r="N75" s="17">
        <f t="shared" si="11"/>
        <v>1182155</v>
      </c>
      <c r="P75" s="12">
        <f t="shared" si="12"/>
        <v>43</v>
      </c>
      <c r="S75"/>
    </row>
    <row r="76" spans="1:19" ht="15" hidden="1" customHeight="1" x14ac:dyDescent="0.25">
      <c r="A76" s="12" t="s">
        <v>18</v>
      </c>
      <c r="B76" s="36">
        <v>46078</v>
      </c>
      <c r="C76" s="12">
        <f t="shared" si="9"/>
        <v>57</v>
      </c>
      <c r="D76" s="38">
        <f t="shared" si="10"/>
        <v>0</v>
      </c>
      <c r="E76" s="12" t="str">
        <f t="shared" si="13"/>
        <v>057</v>
      </c>
      <c r="G76" s="12" t="s">
        <v>2281</v>
      </c>
      <c r="H76" s="12" t="s">
        <v>3174</v>
      </c>
      <c r="I76" s="12">
        <v>1331</v>
      </c>
      <c r="J76" s="12">
        <v>331</v>
      </c>
      <c r="K76" s="12" t="s">
        <v>20</v>
      </c>
      <c r="L76" s="12">
        <v>1</v>
      </c>
      <c r="M76" s="17">
        <v>78401</v>
      </c>
      <c r="N76" s="17">
        <f t="shared" si="11"/>
        <v>78401</v>
      </c>
      <c r="P76" s="12">
        <f t="shared" si="12"/>
        <v>43</v>
      </c>
      <c r="S76"/>
    </row>
    <row r="77" spans="1:19" ht="15" hidden="1" customHeight="1" x14ac:dyDescent="0.25">
      <c r="A77" s="12" t="s">
        <v>18</v>
      </c>
      <c r="B77" s="36">
        <v>46081</v>
      </c>
      <c r="C77" s="12">
        <f t="shared" si="9"/>
        <v>58</v>
      </c>
      <c r="D77" s="38">
        <f t="shared" si="10"/>
        <v>1</v>
      </c>
      <c r="E77" s="12" t="str">
        <f t="shared" si="13"/>
        <v>058</v>
      </c>
      <c r="G77" s="12" t="s">
        <v>2288</v>
      </c>
      <c r="H77" s="12" t="s">
        <v>3176</v>
      </c>
      <c r="I77" s="12">
        <v>64277</v>
      </c>
      <c r="J77" s="12">
        <v>331</v>
      </c>
      <c r="K77" s="12" t="s">
        <v>20</v>
      </c>
      <c r="L77" s="12">
        <v>1</v>
      </c>
      <c r="M77" s="17">
        <v>896080</v>
      </c>
      <c r="N77" s="17">
        <f t="shared" si="11"/>
        <v>896080</v>
      </c>
      <c r="P77" s="12">
        <f t="shared" si="12"/>
        <v>42</v>
      </c>
      <c r="S77"/>
    </row>
    <row r="78" spans="1:19" ht="15" hidden="1" customHeight="1" x14ac:dyDescent="0.25">
      <c r="A78" s="12" t="s">
        <v>18</v>
      </c>
      <c r="B78" s="36">
        <v>46081</v>
      </c>
      <c r="C78" s="12">
        <f t="shared" si="9"/>
        <v>58</v>
      </c>
      <c r="D78" s="38">
        <f t="shared" si="10"/>
        <v>0</v>
      </c>
      <c r="E78" s="12" t="str">
        <f t="shared" si="13"/>
        <v>058</v>
      </c>
      <c r="G78" s="12" t="s">
        <v>2288</v>
      </c>
      <c r="H78" s="12" t="s">
        <v>3176</v>
      </c>
      <c r="I78" s="12">
        <v>1331</v>
      </c>
      <c r="J78" s="12">
        <v>331</v>
      </c>
      <c r="K78" s="12" t="s">
        <v>20</v>
      </c>
      <c r="L78" s="12">
        <v>1</v>
      </c>
      <c r="M78" s="17">
        <v>66688</v>
      </c>
      <c r="N78" s="17">
        <f t="shared" si="11"/>
        <v>66688</v>
      </c>
      <c r="P78" s="12">
        <f t="shared" si="12"/>
        <v>42</v>
      </c>
      <c r="S78"/>
    </row>
    <row r="79" spans="1:19" ht="15" hidden="1" customHeight="1" x14ac:dyDescent="0.25">
      <c r="A79" s="12" t="s">
        <v>18</v>
      </c>
      <c r="B79" s="36">
        <v>46083</v>
      </c>
      <c r="C79" s="12">
        <f t="shared" si="9"/>
        <v>59</v>
      </c>
      <c r="D79" s="38">
        <f t="shared" si="10"/>
        <v>1</v>
      </c>
      <c r="E79" s="12" t="str">
        <f t="shared" si="13"/>
        <v>059</v>
      </c>
      <c r="G79" s="12" t="s">
        <v>44</v>
      </c>
      <c r="H79" s="12" t="s">
        <v>2289</v>
      </c>
      <c r="I79" s="12">
        <v>64277</v>
      </c>
      <c r="J79" s="12">
        <v>331</v>
      </c>
      <c r="K79" s="12" t="s">
        <v>20</v>
      </c>
      <c r="L79" s="12">
        <v>1</v>
      </c>
      <c r="M79" s="17">
        <v>106783</v>
      </c>
      <c r="N79" s="17">
        <f t="shared" si="11"/>
        <v>106783</v>
      </c>
      <c r="P79" s="12">
        <f t="shared" si="12"/>
        <v>99</v>
      </c>
      <c r="S79"/>
    </row>
    <row r="80" spans="1:19" ht="15" hidden="1" customHeight="1" x14ac:dyDescent="0.25">
      <c r="A80" s="12" t="s">
        <v>18</v>
      </c>
      <c r="B80" s="36">
        <v>46083</v>
      </c>
      <c r="C80" s="12">
        <f t="shared" si="9"/>
        <v>59</v>
      </c>
      <c r="D80" s="38">
        <f t="shared" si="10"/>
        <v>0</v>
      </c>
      <c r="E80" s="12" t="str">
        <f t="shared" si="13"/>
        <v>059</v>
      </c>
      <c r="G80" s="12" t="s">
        <v>44</v>
      </c>
      <c r="H80" s="12" t="s">
        <v>2289</v>
      </c>
      <c r="I80" s="12">
        <v>1331</v>
      </c>
      <c r="J80" s="12">
        <v>331</v>
      </c>
      <c r="K80" s="12" t="s">
        <v>20</v>
      </c>
      <c r="L80" s="12">
        <v>1</v>
      </c>
      <c r="M80" s="17">
        <v>8541</v>
      </c>
      <c r="N80" s="17">
        <f t="shared" si="11"/>
        <v>8541</v>
      </c>
      <c r="P80" s="12">
        <f t="shared" si="12"/>
        <v>99</v>
      </c>
      <c r="S80"/>
    </row>
    <row r="81" spans="1:19" ht="15" hidden="1" customHeight="1" x14ac:dyDescent="0.25">
      <c r="A81" s="12" t="s">
        <v>18</v>
      </c>
      <c r="B81" s="36">
        <v>46083</v>
      </c>
      <c r="C81" s="12">
        <f t="shared" si="9"/>
        <v>60</v>
      </c>
      <c r="D81" s="38">
        <f t="shared" si="10"/>
        <v>1</v>
      </c>
      <c r="E81" s="12" t="str">
        <f t="shared" si="13"/>
        <v>060</v>
      </c>
      <c r="G81" s="12" t="s">
        <v>2282</v>
      </c>
      <c r="H81" s="12" t="s">
        <v>2290</v>
      </c>
      <c r="I81" s="12">
        <v>64277</v>
      </c>
      <c r="J81" s="12">
        <v>331</v>
      </c>
      <c r="K81" s="12" t="s">
        <v>20</v>
      </c>
      <c r="L81" s="12">
        <v>1</v>
      </c>
      <c r="M81" s="17">
        <v>1250000</v>
      </c>
      <c r="N81" s="17">
        <f t="shared" si="11"/>
        <v>1250000</v>
      </c>
      <c r="P81" s="12">
        <f t="shared" si="12"/>
        <v>80</v>
      </c>
      <c r="S81"/>
    </row>
    <row r="82" spans="1:19" ht="15" hidden="1" customHeight="1" x14ac:dyDescent="0.25">
      <c r="A82" s="12" t="s">
        <v>18</v>
      </c>
      <c r="B82" s="36">
        <v>46083</v>
      </c>
      <c r="C82" s="12">
        <f t="shared" si="9"/>
        <v>60</v>
      </c>
      <c r="D82" s="38">
        <f t="shared" si="10"/>
        <v>0</v>
      </c>
      <c r="E82" s="12" t="str">
        <f t="shared" si="13"/>
        <v>060</v>
      </c>
      <c r="G82" s="12" t="s">
        <v>2282</v>
      </c>
      <c r="H82" s="12" t="s">
        <v>2290</v>
      </c>
      <c r="I82" s="12">
        <v>1331</v>
      </c>
      <c r="J82" s="12">
        <v>331</v>
      </c>
      <c r="K82" s="12" t="s">
        <v>20</v>
      </c>
      <c r="L82" s="12">
        <v>1</v>
      </c>
      <c r="M82" s="17">
        <v>100000</v>
      </c>
      <c r="N82" s="17">
        <f t="shared" si="11"/>
        <v>100000</v>
      </c>
      <c r="P82" s="12">
        <f t="shared" si="12"/>
        <v>80</v>
      </c>
      <c r="S82"/>
    </row>
    <row r="83" spans="1:19" ht="15" hidden="1" customHeight="1" x14ac:dyDescent="0.25">
      <c r="A83" s="12" t="s">
        <v>18</v>
      </c>
      <c r="B83" s="36">
        <v>46084</v>
      </c>
      <c r="C83" s="12">
        <f t="shared" si="9"/>
        <v>61</v>
      </c>
      <c r="D83" s="38">
        <f t="shared" si="10"/>
        <v>1</v>
      </c>
      <c r="E83" s="12" t="str">
        <f t="shared" si="13"/>
        <v>061</v>
      </c>
      <c r="G83" s="12" t="s">
        <v>2271</v>
      </c>
      <c r="H83" s="12" t="s">
        <v>2291</v>
      </c>
      <c r="I83" s="12">
        <v>64277</v>
      </c>
      <c r="J83" s="12">
        <v>331</v>
      </c>
      <c r="K83" s="12" t="s">
        <v>20</v>
      </c>
      <c r="L83" s="12">
        <v>1</v>
      </c>
      <c r="M83" s="17">
        <v>4169443</v>
      </c>
      <c r="N83" s="17">
        <f t="shared" si="11"/>
        <v>4169443</v>
      </c>
      <c r="P83" s="12">
        <f t="shared" si="12"/>
        <v>120</v>
      </c>
      <c r="S83"/>
    </row>
    <row r="84" spans="1:19" ht="15" hidden="1" customHeight="1" x14ac:dyDescent="0.25">
      <c r="A84" s="12" t="s">
        <v>18</v>
      </c>
      <c r="B84" s="36">
        <v>46084</v>
      </c>
      <c r="C84" s="12">
        <f t="shared" si="9"/>
        <v>61</v>
      </c>
      <c r="D84" s="38">
        <f t="shared" si="10"/>
        <v>0</v>
      </c>
      <c r="E84" s="12" t="str">
        <f t="shared" si="13"/>
        <v>061</v>
      </c>
      <c r="G84" s="12" t="s">
        <v>2271</v>
      </c>
      <c r="H84" s="12" t="s">
        <v>2291</v>
      </c>
      <c r="I84" s="12">
        <v>1331</v>
      </c>
      <c r="J84" s="12">
        <v>331</v>
      </c>
      <c r="K84" s="12" t="s">
        <v>20</v>
      </c>
      <c r="L84" s="12">
        <v>1</v>
      </c>
      <c r="M84" s="17">
        <v>333557</v>
      </c>
      <c r="N84" s="17">
        <f t="shared" si="11"/>
        <v>333557</v>
      </c>
      <c r="P84" s="12">
        <f t="shared" si="12"/>
        <v>120</v>
      </c>
      <c r="S84"/>
    </row>
    <row r="85" spans="1:19" ht="15" hidden="1" customHeight="1" x14ac:dyDescent="0.25">
      <c r="A85" s="12" t="s">
        <v>18</v>
      </c>
      <c r="B85" s="36">
        <v>46086</v>
      </c>
      <c r="C85" s="12">
        <f t="shared" si="9"/>
        <v>62</v>
      </c>
      <c r="D85" s="38">
        <f t="shared" si="10"/>
        <v>1</v>
      </c>
      <c r="E85" s="12" t="str">
        <f t="shared" si="13"/>
        <v>062</v>
      </c>
      <c r="G85" s="12" t="s">
        <v>2282</v>
      </c>
      <c r="H85" s="12" t="s">
        <v>2292</v>
      </c>
      <c r="I85" s="12">
        <v>64277</v>
      </c>
      <c r="J85" s="12">
        <v>331</v>
      </c>
      <c r="K85" s="12" t="s">
        <v>20</v>
      </c>
      <c r="L85" s="12">
        <v>1</v>
      </c>
      <c r="M85" s="17">
        <v>710000</v>
      </c>
      <c r="N85" s="17">
        <f t="shared" si="11"/>
        <v>710000</v>
      </c>
      <c r="P85" s="12">
        <f t="shared" si="12"/>
        <v>86</v>
      </c>
      <c r="S85"/>
    </row>
    <row r="86" spans="1:19" ht="15" hidden="1" customHeight="1" x14ac:dyDescent="0.25">
      <c r="A86" s="12" t="s">
        <v>18</v>
      </c>
      <c r="B86" s="36">
        <v>46086</v>
      </c>
      <c r="C86" s="12">
        <f t="shared" si="9"/>
        <v>62</v>
      </c>
      <c r="D86" s="38">
        <f t="shared" si="10"/>
        <v>0</v>
      </c>
      <c r="E86" s="12" t="str">
        <f t="shared" si="13"/>
        <v>062</v>
      </c>
      <c r="G86" s="12" t="s">
        <v>2282</v>
      </c>
      <c r="H86" s="12" t="s">
        <v>2292</v>
      </c>
      <c r="I86" s="12">
        <v>1331</v>
      </c>
      <c r="J86" s="12">
        <v>331</v>
      </c>
      <c r="K86" s="12" t="s">
        <v>20</v>
      </c>
      <c r="L86" s="12">
        <v>1</v>
      </c>
      <c r="M86" s="17">
        <v>56800</v>
      </c>
      <c r="N86" s="17">
        <f t="shared" si="11"/>
        <v>56800</v>
      </c>
      <c r="P86" s="12">
        <f t="shared" si="12"/>
        <v>86</v>
      </c>
      <c r="S86"/>
    </row>
    <row r="87" spans="1:19" ht="15" hidden="1" customHeight="1" x14ac:dyDescent="0.25">
      <c r="A87" s="12" t="s">
        <v>18</v>
      </c>
      <c r="B87" s="36">
        <v>46090</v>
      </c>
      <c r="C87" s="12">
        <f t="shared" si="9"/>
        <v>63</v>
      </c>
      <c r="D87" s="38">
        <f t="shared" si="10"/>
        <v>1</v>
      </c>
      <c r="E87" s="12" t="str">
        <f t="shared" si="13"/>
        <v>063</v>
      </c>
      <c r="G87" s="12" t="s">
        <v>2288</v>
      </c>
      <c r="H87" s="12" t="s">
        <v>3178</v>
      </c>
      <c r="I87" s="12">
        <v>64277</v>
      </c>
      <c r="J87" s="12">
        <v>331</v>
      </c>
      <c r="K87" s="12" t="s">
        <v>20</v>
      </c>
      <c r="L87" s="12">
        <v>1</v>
      </c>
      <c r="M87" s="17">
        <v>887174</v>
      </c>
      <c r="N87" s="17">
        <f t="shared" si="11"/>
        <v>887174</v>
      </c>
      <c r="P87" s="12">
        <f t="shared" si="12"/>
        <v>43</v>
      </c>
      <c r="S87"/>
    </row>
    <row r="88" spans="1:19" ht="15" hidden="1" customHeight="1" x14ac:dyDescent="0.25">
      <c r="A88" s="12" t="s">
        <v>18</v>
      </c>
      <c r="B88" s="36">
        <v>46090</v>
      </c>
      <c r="C88" s="12">
        <f t="shared" si="9"/>
        <v>63</v>
      </c>
      <c r="D88" s="38">
        <f t="shared" si="10"/>
        <v>0</v>
      </c>
      <c r="E88" s="12" t="str">
        <f t="shared" si="13"/>
        <v>063</v>
      </c>
      <c r="G88" s="12" t="s">
        <v>2288</v>
      </c>
      <c r="H88" s="12" t="s">
        <v>3178</v>
      </c>
      <c r="I88" s="12">
        <v>1331</v>
      </c>
      <c r="J88" s="12">
        <v>331</v>
      </c>
      <c r="K88" s="12" t="s">
        <v>20</v>
      </c>
      <c r="L88" s="12">
        <v>1</v>
      </c>
      <c r="M88" s="17">
        <v>64945</v>
      </c>
      <c r="N88" s="17">
        <f t="shared" si="11"/>
        <v>64945</v>
      </c>
      <c r="P88" s="12">
        <f t="shared" si="12"/>
        <v>43</v>
      </c>
      <c r="S88"/>
    </row>
    <row r="89" spans="1:19" ht="15" hidden="1" customHeight="1" x14ac:dyDescent="0.25">
      <c r="A89" s="12" t="s">
        <v>18</v>
      </c>
      <c r="B89" s="36">
        <v>46090</v>
      </c>
      <c r="C89" s="12">
        <f t="shared" si="9"/>
        <v>64</v>
      </c>
      <c r="D89" s="38">
        <f t="shared" si="10"/>
        <v>1</v>
      </c>
      <c r="E89" s="12" t="str">
        <f t="shared" si="13"/>
        <v>064</v>
      </c>
      <c r="G89" s="12" t="s">
        <v>2282</v>
      </c>
      <c r="H89" s="12" t="s">
        <v>2293</v>
      </c>
      <c r="I89" s="12">
        <v>64277</v>
      </c>
      <c r="J89" s="12">
        <v>331</v>
      </c>
      <c r="K89" s="12" t="s">
        <v>20</v>
      </c>
      <c r="L89" s="12">
        <v>1</v>
      </c>
      <c r="M89" s="17">
        <v>1400000</v>
      </c>
      <c r="N89" s="17">
        <f t="shared" si="11"/>
        <v>1400000</v>
      </c>
      <c r="P89" s="12">
        <f t="shared" si="12"/>
        <v>99</v>
      </c>
      <c r="S89"/>
    </row>
    <row r="90" spans="1:19" ht="15" hidden="1" customHeight="1" x14ac:dyDescent="0.25">
      <c r="A90" s="12" t="s">
        <v>18</v>
      </c>
      <c r="B90" s="36">
        <v>46090</v>
      </c>
      <c r="C90" s="12">
        <f t="shared" si="9"/>
        <v>64</v>
      </c>
      <c r="D90" s="38">
        <f t="shared" si="10"/>
        <v>0</v>
      </c>
      <c r="E90" s="12" t="str">
        <f t="shared" si="13"/>
        <v>064</v>
      </c>
      <c r="G90" s="12" t="s">
        <v>2282</v>
      </c>
      <c r="H90" s="12" t="s">
        <v>2293</v>
      </c>
      <c r="I90" s="12">
        <v>1331</v>
      </c>
      <c r="J90" s="12">
        <v>331</v>
      </c>
      <c r="K90" s="12" t="s">
        <v>20</v>
      </c>
      <c r="L90" s="12">
        <v>1</v>
      </c>
      <c r="M90" s="17">
        <v>112000</v>
      </c>
      <c r="N90" s="17">
        <f t="shared" si="11"/>
        <v>112000</v>
      </c>
      <c r="P90" s="12">
        <f t="shared" si="12"/>
        <v>99</v>
      </c>
      <c r="S90"/>
    </row>
    <row r="91" spans="1:19" ht="15" hidden="1" customHeight="1" x14ac:dyDescent="0.25">
      <c r="A91" s="12" t="s">
        <v>18</v>
      </c>
      <c r="B91" s="36">
        <v>46091</v>
      </c>
      <c r="C91" s="12">
        <f t="shared" si="9"/>
        <v>65</v>
      </c>
      <c r="D91" s="38">
        <f t="shared" si="10"/>
        <v>1</v>
      </c>
      <c r="E91" s="12" t="str">
        <f t="shared" si="13"/>
        <v>065</v>
      </c>
      <c r="G91" s="12" t="s">
        <v>2250</v>
      </c>
      <c r="H91" s="12" t="s">
        <v>2294</v>
      </c>
      <c r="I91" s="12">
        <v>64277</v>
      </c>
      <c r="J91" s="12">
        <v>331</v>
      </c>
      <c r="K91" s="12" t="s">
        <v>20</v>
      </c>
      <c r="L91" s="12">
        <v>1</v>
      </c>
      <c r="M91" s="17">
        <v>1163000</v>
      </c>
      <c r="N91" s="17">
        <f t="shared" si="11"/>
        <v>1163000</v>
      </c>
      <c r="P91" s="12">
        <f t="shared" si="12"/>
        <v>52</v>
      </c>
      <c r="S91"/>
    </row>
    <row r="92" spans="1:19" ht="15" hidden="1" customHeight="1" x14ac:dyDescent="0.25">
      <c r="A92" s="12" t="s">
        <v>18</v>
      </c>
      <c r="B92" s="36">
        <v>46091</v>
      </c>
      <c r="C92" s="12">
        <f t="shared" si="9"/>
        <v>65</v>
      </c>
      <c r="D92" s="38">
        <f t="shared" si="10"/>
        <v>0</v>
      </c>
      <c r="E92" s="12" t="str">
        <f t="shared" si="13"/>
        <v>065</v>
      </c>
      <c r="G92" s="12" t="s">
        <v>2250</v>
      </c>
      <c r="H92" s="12" t="s">
        <v>2294</v>
      </c>
      <c r="I92" s="12">
        <v>1331</v>
      </c>
      <c r="J92" s="12">
        <v>331</v>
      </c>
      <c r="K92" s="12" t="s">
        <v>20</v>
      </c>
      <c r="L92" s="12">
        <v>1</v>
      </c>
      <c r="M92" s="17">
        <v>93040</v>
      </c>
      <c r="N92" s="17">
        <f t="shared" si="11"/>
        <v>93040</v>
      </c>
      <c r="P92" s="12">
        <f t="shared" si="12"/>
        <v>52</v>
      </c>
      <c r="S92"/>
    </row>
    <row r="93" spans="1:19" ht="15" hidden="1" customHeight="1" x14ac:dyDescent="0.25">
      <c r="A93" s="12" t="s">
        <v>18</v>
      </c>
      <c r="B93" s="36">
        <v>46095</v>
      </c>
      <c r="C93" s="12">
        <f t="shared" si="9"/>
        <v>66</v>
      </c>
      <c r="D93" s="38">
        <f t="shared" si="10"/>
        <v>1</v>
      </c>
      <c r="E93" s="12" t="str">
        <f t="shared" si="13"/>
        <v>066</v>
      </c>
      <c r="G93" s="12" t="s">
        <v>2281</v>
      </c>
      <c r="H93" s="12" t="s">
        <v>3180</v>
      </c>
      <c r="I93" s="12">
        <v>64277</v>
      </c>
      <c r="J93" s="12">
        <v>331</v>
      </c>
      <c r="K93" s="12" t="s">
        <v>20</v>
      </c>
      <c r="L93" s="12">
        <v>1</v>
      </c>
      <c r="M93" s="17">
        <v>1445228</v>
      </c>
      <c r="N93" s="17">
        <f t="shared" si="11"/>
        <v>1445228</v>
      </c>
      <c r="P93" s="12">
        <f t="shared" si="12"/>
        <v>44</v>
      </c>
      <c r="S93"/>
    </row>
    <row r="94" spans="1:19" ht="15" hidden="1" customHeight="1" x14ac:dyDescent="0.25">
      <c r="A94" s="12" t="s">
        <v>18</v>
      </c>
      <c r="B94" s="36">
        <v>46095</v>
      </c>
      <c r="C94" s="12">
        <f t="shared" si="9"/>
        <v>66</v>
      </c>
      <c r="D94" s="38">
        <f t="shared" si="10"/>
        <v>0</v>
      </c>
      <c r="E94" s="12" t="str">
        <f t="shared" si="13"/>
        <v>066</v>
      </c>
      <c r="G94" s="12" t="s">
        <v>2281</v>
      </c>
      <c r="H94" s="12" t="s">
        <v>3180</v>
      </c>
      <c r="I94" s="12">
        <v>1331</v>
      </c>
      <c r="J94" s="12">
        <v>331</v>
      </c>
      <c r="K94" s="12" t="s">
        <v>20</v>
      </c>
      <c r="L94" s="12">
        <v>1</v>
      </c>
      <c r="M94" s="17">
        <v>102738</v>
      </c>
      <c r="N94" s="17">
        <f t="shared" si="11"/>
        <v>102738</v>
      </c>
      <c r="P94" s="12">
        <f t="shared" si="12"/>
        <v>44</v>
      </c>
      <c r="S94"/>
    </row>
    <row r="95" spans="1:19" ht="15" hidden="1" customHeight="1" x14ac:dyDescent="0.25">
      <c r="A95" s="12" t="s">
        <v>18</v>
      </c>
      <c r="B95" s="36">
        <v>46097</v>
      </c>
      <c r="C95" s="12">
        <f t="shared" si="9"/>
        <v>67</v>
      </c>
      <c r="D95" s="38">
        <f t="shared" si="10"/>
        <v>1</v>
      </c>
      <c r="E95" s="12" t="str">
        <f t="shared" si="13"/>
        <v>067</v>
      </c>
      <c r="G95" s="12" t="s">
        <v>35</v>
      </c>
      <c r="H95" s="12" t="s">
        <v>2295</v>
      </c>
      <c r="I95" s="12">
        <v>64277</v>
      </c>
      <c r="J95" s="12">
        <v>331</v>
      </c>
      <c r="K95" s="12" t="s">
        <v>20</v>
      </c>
      <c r="L95" s="12">
        <v>1</v>
      </c>
      <c r="M95" s="17">
        <v>3000000</v>
      </c>
      <c r="N95" s="17">
        <f t="shared" si="11"/>
        <v>3000000</v>
      </c>
      <c r="P95" s="12">
        <f t="shared" si="12"/>
        <v>41</v>
      </c>
      <c r="S95"/>
    </row>
    <row r="96" spans="1:19" ht="15" hidden="1" customHeight="1" x14ac:dyDescent="0.25">
      <c r="A96" s="12" t="s">
        <v>18</v>
      </c>
      <c r="B96" s="36">
        <v>46097</v>
      </c>
      <c r="C96" s="12">
        <f t="shared" si="9"/>
        <v>67</v>
      </c>
      <c r="D96" s="38">
        <f t="shared" si="10"/>
        <v>0</v>
      </c>
      <c r="E96" s="12" t="str">
        <f t="shared" si="13"/>
        <v>067</v>
      </c>
      <c r="G96" s="12" t="s">
        <v>35</v>
      </c>
      <c r="H96" s="12" t="s">
        <v>2295</v>
      </c>
      <c r="I96" s="12">
        <v>1331</v>
      </c>
      <c r="J96" s="12">
        <v>331</v>
      </c>
      <c r="K96" s="12" t="s">
        <v>20</v>
      </c>
      <c r="L96" s="12">
        <v>1</v>
      </c>
      <c r="M96" s="17">
        <v>240000</v>
      </c>
      <c r="N96" s="17">
        <f t="shared" si="11"/>
        <v>240000</v>
      </c>
      <c r="P96" s="12">
        <f t="shared" si="12"/>
        <v>41</v>
      </c>
      <c r="S96"/>
    </row>
    <row r="97" spans="1:19" ht="15" hidden="1" customHeight="1" x14ac:dyDescent="0.25">
      <c r="A97" s="12" t="s">
        <v>18</v>
      </c>
      <c r="B97" s="36">
        <v>46099</v>
      </c>
      <c r="C97" s="12">
        <f t="shared" si="9"/>
        <v>68</v>
      </c>
      <c r="D97" s="38">
        <f t="shared" si="10"/>
        <v>1</v>
      </c>
      <c r="E97" s="12" t="str">
        <f t="shared" si="13"/>
        <v>068</v>
      </c>
      <c r="G97" s="12" t="s">
        <v>2281</v>
      </c>
      <c r="H97" s="12" t="s">
        <v>3182</v>
      </c>
      <c r="I97" s="12">
        <v>64277</v>
      </c>
      <c r="J97" s="12">
        <v>331</v>
      </c>
      <c r="K97" s="12" t="s">
        <v>20</v>
      </c>
      <c r="L97" s="12">
        <v>1</v>
      </c>
      <c r="M97" s="17">
        <v>453361</v>
      </c>
      <c r="N97" s="17">
        <f t="shared" si="11"/>
        <v>453361</v>
      </c>
      <c r="P97" s="12">
        <f t="shared" si="12"/>
        <v>44</v>
      </c>
      <c r="S97"/>
    </row>
    <row r="98" spans="1:19" ht="15" hidden="1" customHeight="1" x14ac:dyDescent="0.25">
      <c r="A98" s="12" t="s">
        <v>18</v>
      </c>
      <c r="B98" s="36">
        <v>46099</v>
      </c>
      <c r="C98" s="12">
        <f t="shared" si="9"/>
        <v>68</v>
      </c>
      <c r="D98" s="38">
        <f t="shared" si="10"/>
        <v>0</v>
      </c>
      <c r="E98" s="12" t="str">
        <f t="shared" si="13"/>
        <v>068</v>
      </c>
      <c r="G98" s="12" t="s">
        <v>2281</v>
      </c>
      <c r="H98" s="12" t="s">
        <v>3182</v>
      </c>
      <c r="I98" s="12">
        <v>1331</v>
      </c>
      <c r="J98" s="12">
        <v>331</v>
      </c>
      <c r="K98" s="12" t="s">
        <v>20</v>
      </c>
      <c r="L98" s="12">
        <v>1</v>
      </c>
      <c r="M98" s="17">
        <v>27113</v>
      </c>
      <c r="N98" s="17">
        <f t="shared" si="11"/>
        <v>27113</v>
      </c>
      <c r="P98" s="12">
        <f t="shared" si="12"/>
        <v>44</v>
      </c>
      <c r="S98"/>
    </row>
    <row r="99" spans="1:19" ht="15" hidden="1" customHeight="1" x14ac:dyDescent="0.25">
      <c r="A99" s="12" t="s">
        <v>18</v>
      </c>
      <c r="B99" s="36">
        <v>46099</v>
      </c>
      <c r="C99" s="12">
        <f t="shared" si="9"/>
        <v>69</v>
      </c>
      <c r="D99" s="38">
        <f t="shared" si="10"/>
        <v>1</v>
      </c>
      <c r="E99" s="12" t="str">
        <f t="shared" si="13"/>
        <v>069</v>
      </c>
      <c r="G99" s="12" t="s">
        <v>2271</v>
      </c>
      <c r="H99" s="12" t="s">
        <v>2296</v>
      </c>
      <c r="I99" s="12">
        <v>64277</v>
      </c>
      <c r="J99" s="12">
        <v>331</v>
      </c>
      <c r="K99" s="12" t="s">
        <v>20</v>
      </c>
      <c r="L99" s="12">
        <v>1</v>
      </c>
      <c r="M99" s="17">
        <v>1539814</v>
      </c>
      <c r="N99" s="17">
        <f t="shared" si="11"/>
        <v>1539814</v>
      </c>
      <c r="P99" s="12">
        <f t="shared" si="12"/>
        <v>54</v>
      </c>
      <c r="S99"/>
    </row>
    <row r="100" spans="1:19" ht="15" hidden="1" customHeight="1" x14ac:dyDescent="0.25">
      <c r="A100" s="12" t="s">
        <v>18</v>
      </c>
      <c r="B100" s="36">
        <v>46099</v>
      </c>
      <c r="C100" s="12">
        <f t="shared" ref="C100:C131" si="14">C99+D100</f>
        <v>69</v>
      </c>
      <c r="D100" s="38">
        <f t="shared" ref="D100:D131" si="15">IF(H100=H99,0,1)</f>
        <v>0</v>
      </c>
      <c r="E100" s="12" t="str">
        <f t="shared" si="13"/>
        <v>069</v>
      </c>
      <c r="G100" s="12" t="s">
        <v>2271</v>
      </c>
      <c r="H100" s="12" t="s">
        <v>2296</v>
      </c>
      <c r="I100" s="12">
        <v>1331</v>
      </c>
      <c r="J100" s="12">
        <v>331</v>
      </c>
      <c r="K100" s="12" t="s">
        <v>20</v>
      </c>
      <c r="L100" s="12">
        <v>1</v>
      </c>
      <c r="M100" s="17">
        <v>123186</v>
      </c>
      <c r="N100" s="17">
        <f t="shared" ref="N100:N131" si="16">L100*M100</f>
        <v>123186</v>
      </c>
      <c r="P100" s="12">
        <f t="shared" ref="P100:P131" si="17">LEN(H100)</f>
        <v>54</v>
      </c>
      <c r="S100"/>
    </row>
    <row r="101" spans="1:19" ht="15" hidden="1" customHeight="1" x14ac:dyDescent="0.25">
      <c r="A101" s="12" t="s">
        <v>18</v>
      </c>
      <c r="B101" s="36">
        <v>46100</v>
      </c>
      <c r="C101" s="12">
        <f t="shared" si="14"/>
        <v>70</v>
      </c>
      <c r="D101" s="38">
        <f t="shared" si="15"/>
        <v>1</v>
      </c>
      <c r="E101" s="12" t="str">
        <f t="shared" si="13"/>
        <v>070</v>
      </c>
      <c r="G101" s="12" t="s">
        <v>1779</v>
      </c>
      <c r="H101" s="12" t="s">
        <v>3190</v>
      </c>
      <c r="I101" s="12">
        <v>131</v>
      </c>
      <c r="J101" s="12">
        <v>5113</v>
      </c>
      <c r="K101" s="12" t="s">
        <v>20</v>
      </c>
      <c r="L101" s="12">
        <v>1</v>
      </c>
      <c r="M101" s="17">
        <v>31111111</v>
      </c>
      <c r="N101" s="17">
        <f t="shared" si="16"/>
        <v>31111111</v>
      </c>
      <c r="P101" s="12">
        <f t="shared" si="17"/>
        <v>125</v>
      </c>
      <c r="S101"/>
    </row>
    <row r="102" spans="1:19" ht="15" customHeight="1" x14ac:dyDescent="0.25">
      <c r="A102" s="12" t="s">
        <v>18</v>
      </c>
      <c r="B102" s="36">
        <v>46100</v>
      </c>
      <c r="C102" s="12">
        <f t="shared" si="14"/>
        <v>71</v>
      </c>
      <c r="D102" s="38">
        <f t="shared" si="15"/>
        <v>1</v>
      </c>
      <c r="E102" s="12" t="str">
        <f t="shared" si="13"/>
        <v>071</v>
      </c>
      <c r="G102" s="12" t="s">
        <v>1779</v>
      </c>
      <c r="H102" s="12" t="s">
        <v>3191</v>
      </c>
      <c r="I102" s="12">
        <v>333821</v>
      </c>
      <c r="J102" s="12">
        <v>131</v>
      </c>
      <c r="K102" s="12" t="s">
        <v>20</v>
      </c>
      <c r="L102" s="12">
        <v>1</v>
      </c>
      <c r="M102" s="17">
        <v>311111</v>
      </c>
      <c r="N102" s="17">
        <f t="shared" si="16"/>
        <v>311111</v>
      </c>
      <c r="P102" s="12">
        <f t="shared" si="17"/>
        <v>141</v>
      </c>
      <c r="S102"/>
    </row>
    <row r="103" spans="1:19" ht="15" hidden="1" customHeight="1" x14ac:dyDescent="0.25">
      <c r="A103" s="12" t="s">
        <v>18</v>
      </c>
      <c r="B103" s="36">
        <v>46101</v>
      </c>
      <c r="C103" s="12">
        <f t="shared" si="14"/>
        <v>72</v>
      </c>
      <c r="D103" s="38">
        <f t="shared" si="15"/>
        <v>1</v>
      </c>
      <c r="E103" s="12" t="str">
        <f t="shared" si="13"/>
        <v>072</v>
      </c>
      <c r="G103" s="12" t="s">
        <v>51</v>
      </c>
      <c r="H103" s="12" t="s">
        <v>2307</v>
      </c>
      <c r="I103" s="12">
        <v>131</v>
      </c>
      <c r="J103" s="12">
        <v>5113</v>
      </c>
      <c r="K103" s="12" t="s">
        <v>20</v>
      </c>
      <c r="L103" s="12">
        <v>1</v>
      </c>
      <c r="M103" s="17">
        <v>15555556</v>
      </c>
      <c r="N103" s="17">
        <f t="shared" si="16"/>
        <v>15555556</v>
      </c>
      <c r="P103" s="12">
        <f t="shared" si="17"/>
        <v>113</v>
      </c>
      <c r="S103"/>
    </row>
    <row r="104" spans="1:19" ht="15" customHeight="1" x14ac:dyDescent="0.25">
      <c r="A104" s="12" t="s">
        <v>18</v>
      </c>
      <c r="B104" s="36">
        <v>46101</v>
      </c>
      <c r="C104" s="12">
        <f t="shared" si="14"/>
        <v>73</v>
      </c>
      <c r="D104" s="38">
        <f t="shared" si="15"/>
        <v>1</v>
      </c>
      <c r="E104" s="12" t="str">
        <f t="shared" si="13"/>
        <v>073</v>
      </c>
      <c r="G104" s="12" t="s">
        <v>51</v>
      </c>
      <c r="H104" s="12" t="s">
        <v>3165</v>
      </c>
      <c r="I104" s="12">
        <v>333821</v>
      </c>
      <c r="J104" s="12">
        <v>131</v>
      </c>
      <c r="K104" s="12" t="s">
        <v>20</v>
      </c>
      <c r="L104" s="12">
        <v>1</v>
      </c>
      <c r="M104" s="17">
        <v>155556</v>
      </c>
      <c r="N104" s="17">
        <f t="shared" si="16"/>
        <v>155556</v>
      </c>
      <c r="P104" s="12">
        <f t="shared" si="17"/>
        <v>129</v>
      </c>
      <c r="S104"/>
    </row>
    <row r="105" spans="1:19" ht="15" hidden="1" customHeight="1" x14ac:dyDescent="0.25">
      <c r="A105" s="12" t="s">
        <v>18</v>
      </c>
      <c r="B105" s="36">
        <v>46101</v>
      </c>
      <c r="C105" s="12">
        <f t="shared" si="14"/>
        <v>74</v>
      </c>
      <c r="D105" s="38">
        <f t="shared" si="15"/>
        <v>1</v>
      </c>
      <c r="E105" s="12" t="str">
        <f t="shared" si="13"/>
        <v>074</v>
      </c>
      <c r="G105" s="12" t="s">
        <v>2282</v>
      </c>
      <c r="H105" s="12" t="s">
        <v>2297</v>
      </c>
      <c r="I105" s="12">
        <v>64277</v>
      </c>
      <c r="J105" s="12">
        <v>331</v>
      </c>
      <c r="K105" s="12" t="s">
        <v>20</v>
      </c>
      <c r="L105" s="12">
        <v>1</v>
      </c>
      <c r="M105" s="17">
        <v>1310000</v>
      </c>
      <c r="N105" s="17">
        <f t="shared" si="16"/>
        <v>1310000</v>
      </c>
      <c r="P105" s="12">
        <f t="shared" si="17"/>
        <v>80</v>
      </c>
      <c r="S105"/>
    </row>
    <row r="106" spans="1:19" ht="15" hidden="1" customHeight="1" x14ac:dyDescent="0.25">
      <c r="A106" s="12" t="s">
        <v>18</v>
      </c>
      <c r="B106" s="36">
        <v>46101</v>
      </c>
      <c r="C106" s="12">
        <f t="shared" si="14"/>
        <v>74</v>
      </c>
      <c r="D106" s="38">
        <f t="shared" si="15"/>
        <v>0</v>
      </c>
      <c r="E106" s="12" t="str">
        <f t="shared" si="13"/>
        <v>074</v>
      </c>
      <c r="G106" s="12" t="s">
        <v>2282</v>
      </c>
      <c r="H106" s="12" t="s">
        <v>2297</v>
      </c>
      <c r="I106" s="12">
        <v>1331</v>
      </c>
      <c r="J106" s="12">
        <v>331</v>
      </c>
      <c r="K106" s="12" t="s">
        <v>20</v>
      </c>
      <c r="L106" s="12">
        <v>1</v>
      </c>
      <c r="M106" s="17">
        <v>104800</v>
      </c>
      <c r="N106" s="17">
        <f t="shared" si="16"/>
        <v>104800</v>
      </c>
      <c r="P106" s="12">
        <f t="shared" si="17"/>
        <v>80</v>
      </c>
      <c r="S106"/>
    </row>
    <row r="107" spans="1:19" ht="15" hidden="1" customHeight="1" x14ac:dyDescent="0.25">
      <c r="A107" s="12" t="s">
        <v>18</v>
      </c>
      <c r="B107" s="36">
        <v>46103</v>
      </c>
      <c r="C107" s="12">
        <f t="shared" si="14"/>
        <v>75</v>
      </c>
      <c r="D107" s="38">
        <f t="shared" si="15"/>
        <v>1</v>
      </c>
      <c r="E107" s="12" t="str">
        <f t="shared" si="13"/>
        <v>075</v>
      </c>
      <c r="G107" s="12" t="s">
        <v>2282</v>
      </c>
      <c r="H107" s="12" t="s">
        <v>2298</v>
      </c>
      <c r="I107" s="12">
        <v>64277</v>
      </c>
      <c r="J107" s="12">
        <v>331</v>
      </c>
      <c r="K107" s="12" t="s">
        <v>20</v>
      </c>
      <c r="L107" s="12">
        <v>1</v>
      </c>
      <c r="M107" s="17">
        <v>710000</v>
      </c>
      <c r="N107" s="17">
        <f t="shared" si="16"/>
        <v>710000</v>
      </c>
      <c r="P107" s="12">
        <f t="shared" si="17"/>
        <v>61</v>
      </c>
      <c r="S107"/>
    </row>
    <row r="108" spans="1:19" ht="15" hidden="1" customHeight="1" x14ac:dyDescent="0.25">
      <c r="A108" s="12" t="s">
        <v>18</v>
      </c>
      <c r="B108" s="36">
        <v>46103</v>
      </c>
      <c r="C108" s="12">
        <f t="shared" si="14"/>
        <v>75</v>
      </c>
      <c r="D108" s="38">
        <f t="shared" si="15"/>
        <v>0</v>
      </c>
      <c r="E108" s="12" t="str">
        <f t="shared" si="13"/>
        <v>075</v>
      </c>
      <c r="G108" s="12" t="s">
        <v>2282</v>
      </c>
      <c r="H108" s="12" t="s">
        <v>2298</v>
      </c>
      <c r="I108" s="12">
        <v>1331</v>
      </c>
      <c r="J108" s="12">
        <v>331</v>
      </c>
      <c r="K108" s="12" t="s">
        <v>20</v>
      </c>
      <c r="L108" s="12">
        <v>1</v>
      </c>
      <c r="M108" s="17">
        <v>56800</v>
      </c>
      <c r="N108" s="17">
        <f t="shared" si="16"/>
        <v>56800</v>
      </c>
      <c r="P108" s="12">
        <f t="shared" si="17"/>
        <v>61</v>
      </c>
      <c r="S108"/>
    </row>
    <row r="109" spans="1:19" ht="15" hidden="1" customHeight="1" x14ac:dyDescent="0.25">
      <c r="A109" s="12" t="s">
        <v>18</v>
      </c>
      <c r="B109" s="36">
        <v>46104</v>
      </c>
      <c r="C109" s="12">
        <f t="shared" si="14"/>
        <v>76</v>
      </c>
      <c r="D109" s="38">
        <f t="shared" si="15"/>
        <v>1</v>
      </c>
      <c r="E109" s="12" t="str">
        <f t="shared" si="13"/>
        <v>076</v>
      </c>
      <c r="G109" s="12" t="s">
        <v>857</v>
      </c>
      <c r="H109" s="12" t="s">
        <v>2300</v>
      </c>
      <c r="I109" s="12">
        <v>64277</v>
      </c>
      <c r="J109" s="12">
        <v>331</v>
      </c>
      <c r="K109" s="12" t="s">
        <v>20</v>
      </c>
      <c r="L109" s="12">
        <v>1</v>
      </c>
      <c r="M109" s="17">
        <v>276742</v>
      </c>
      <c r="N109" s="17">
        <f t="shared" si="16"/>
        <v>276742</v>
      </c>
      <c r="P109" s="12">
        <f t="shared" si="17"/>
        <v>143</v>
      </c>
      <c r="S109"/>
    </row>
    <row r="110" spans="1:19" ht="15" hidden="1" customHeight="1" x14ac:dyDescent="0.25">
      <c r="A110" s="12" t="s">
        <v>18</v>
      </c>
      <c r="B110" s="36">
        <v>46104</v>
      </c>
      <c r="C110" s="12">
        <f t="shared" si="14"/>
        <v>76</v>
      </c>
      <c r="D110" s="38">
        <f t="shared" si="15"/>
        <v>0</v>
      </c>
      <c r="E110" s="12" t="str">
        <f t="shared" si="13"/>
        <v>076</v>
      </c>
      <c r="G110" s="12" t="s">
        <v>857</v>
      </c>
      <c r="H110" s="12" t="s">
        <v>2300</v>
      </c>
      <c r="I110" s="12">
        <v>1331</v>
      </c>
      <c r="J110" s="12">
        <v>331</v>
      </c>
      <c r="K110" s="12" t="s">
        <v>20</v>
      </c>
      <c r="L110" s="12">
        <v>1</v>
      </c>
      <c r="M110" s="17">
        <v>22139</v>
      </c>
      <c r="N110" s="17">
        <f t="shared" si="16"/>
        <v>22139</v>
      </c>
      <c r="P110" s="12">
        <f t="shared" si="17"/>
        <v>143</v>
      </c>
      <c r="S110"/>
    </row>
    <row r="111" spans="1:19" ht="15" hidden="1" customHeight="1" x14ac:dyDescent="0.25">
      <c r="A111" s="12" t="s">
        <v>18</v>
      </c>
      <c r="B111" s="36">
        <v>46104</v>
      </c>
      <c r="C111" s="12">
        <f t="shared" si="14"/>
        <v>77</v>
      </c>
      <c r="D111" s="38">
        <f t="shared" si="15"/>
        <v>1</v>
      </c>
      <c r="E111" s="12" t="str">
        <f t="shared" si="13"/>
        <v>077</v>
      </c>
      <c r="G111" s="12" t="s">
        <v>24</v>
      </c>
      <c r="H111" s="12" t="s">
        <v>2299</v>
      </c>
      <c r="I111" s="12">
        <v>64277</v>
      </c>
      <c r="J111" s="12">
        <v>331</v>
      </c>
      <c r="K111" s="12" t="s">
        <v>20</v>
      </c>
      <c r="L111" s="12">
        <v>1</v>
      </c>
      <c r="M111" s="17">
        <v>259000</v>
      </c>
      <c r="N111" s="17">
        <f t="shared" si="16"/>
        <v>259000</v>
      </c>
      <c r="P111" s="12">
        <f t="shared" si="17"/>
        <v>126</v>
      </c>
      <c r="S111"/>
    </row>
    <row r="112" spans="1:19" ht="15" hidden="1" customHeight="1" x14ac:dyDescent="0.25">
      <c r="A112" s="12" t="s">
        <v>18</v>
      </c>
      <c r="B112" s="36">
        <v>46104</v>
      </c>
      <c r="C112" s="12">
        <f t="shared" si="14"/>
        <v>77</v>
      </c>
      <c r="D112" s="38">
        <f t="shared" si="15"/>
        <v>0</v>
      </c>
      <c r="E112" s="12" t="str">
        <f t="shared" si="13"/>
        <v>077</v>
      </c>
      <c r="G112" s="12" t="s">
        <v>24</v>
      </c>
      <c r="H112" s="12" t="s">
        <v>2299</v>
      </c>
      <c r="I112" s="12">
        <v>1331</v>
      </c>
      <c r="J112" s="12">
        <v>331</v>
      </c>
      <c r="K112" s="12" t="s">
        <v>20</v>
      </c>
      <c r="L112" s="12">
        <v>1</v>
      </c>
      <c r="M112" s="17">
        <v>19185</v>
      </c>
      <c r="N112" s="17">
        <f t="shared" si="16"/>
        <v>19185</v>
      </c>
      <c r="P112" s="12">
        <f t="shared" si="17"/>
        <v>126</v>
      </c>
      <c r="S112"/>
    </row>
    <row r="113" spans="1:19" ht="15" hidden="1" customHeight="1" x14ac:dyDescent="0.25">
      <c r="A113" s="12" t="s">
        <v>18</v>
      </c>
      <c r="B113" s="36">
        <v>46105</v>
      </c>
      <c r="C113" s="12">
        <f t="shared" si="14"/>
        <v>78</v>
      </c>
      <c r="D113" s="38">
        <f t="shared" si="15"/>
        <v>1</v>
      </c>
      <c r="E113" s="12" t="str">
        <f t="shared" si="13"/>
        <v>078</v>
      </c>
      <c r="G113" s="12" t="s">
        <v>37</v>
      </c>
      <c r="H113" s="12" t="s">
        <v>3184</v>
      </c>
      <c r="I113" s="12">
        <v>64277</v>
      </c>
      <c r="J113" s="12">
        <v>331</v>
      </c>
      <c r="K113" s="12" t="s">
        <v>20</v>
      </c>
      <c r="L113" s="12">
        <v>1</v>
      </c>
      <c r="M113" s="17">
        <v>4150000</v>
      </c>
      <c r="N113" s="17">
        <f t="shared" si="16"/>
        <v>4150000</v>
      </c>
      <c r="P113" s="12">
        <f t="shared" si="17"/>
        <v>43</v>
      </c>
      <c r="S113"/>
    </row>
    <row r="114" spans="1:19" ht="15" hidden="1" customHeight="1" x14ac:dyDescent="0.25">
      <c r="A114" s="12" t="s">
        <v>18</v>
      </c>
      <c r="B114" s="36">
        <v>46105</v>
      </c>
      <c r="C114" s="12">
        <f t="shared" si="14"/>
        <v>78</v>
      </c>
      <c r="D114" s="38">
        <f t="shared" si="15"/>
        <v>0</v>
      </c>
      <c r="E114" s="12" t="str">
        <f t="shared" si="13"/>
        <v>078</v>
      </c>
      <c r="G114" s="12" t="s">
        <v>37</v>
      </c>
      <c r="H114" s="12" t="s">
        <v>3184</v>
      </c>
      <c r="I114" s="12">
        <v>1331</v>
      </c>
      <c r="J114" s="12">
        <v>331</v>
      </c>
      <c r="K114" s="12" t="s">
        <v>20</v>
      </c>
      <c r="L114" s="12">
        <v>1</v>
      </c>
      <c r="M114" s="17">
        <v>332000</v>
      </c>
      <c r="N114" s="17">
        <f t="shared" si="16"/>
        <v>332000</v>
      </c>
      <c r="P114" s="12">
        <f t="shared" si="17"/>
        <v>43</v>
      </c>
      <c r="S114"/>
    </row>
    <row r="115" spans="1:19" ht="15" hidden="1" customHeight="1" x14ac:dyDescent="0.25">
      <c r="A115" s="12" t="s">
        <v>18</v>
      </c>
      <c r="B115" s="36">
        <v>46106</v>
      </c>
      <c r="C115" s="12">
        <f t="shared" si="14"/>
        <v>79</v>
      </c>
      <c r="D115" s="38">
        <f t="shared" si="15"/>
        <v>1</v>
      </c>
      <c r="E115" s="12" t="str">
        <f t="shared" si="13"/>
        <v>079</v>
      </c>
      <c r="G115" s="12" t="s">
        <v>89</v>
      </c>
      <c r="H115" s="12" t="s">
        <v>2301</v>
      </c>
      <c r="I115" s="12">
        <v>64277</v>
      </c>
      <c r="J115" s="12">
        <v>331</v>
      </c>
      <c r="K115" s="12" t="s">
        <v>20</v>
      </c>
      <c r="L115" s="12">
        <v>1</v>
      </c>
      <c r="M115" s="17">
        <v>13889</v>
      </c>
      <c r="N115" s="17">
        <f t="shared" si="16"/>
        <v>13889</v>
      </c>
      <c r="P115" s="12">
        <f t="shared" si="17"/>
        <v>73</v>
      </c>
      <c r="S115"/>
    </row>
    <row r="116" spans="1:19" ht="15" hidden="1" customHeight="1" x14ac:dyDescent="0.25">
      <c r="A116" s="12" t="s">
        <v>18</v>
      </c>
      <c r="B116" s="36">
        <v>46106</v>
      </c>
      <c r="C116" s="12">
        <f t="shared" si="14"/>
        <v>79</v>
      </c>
      <c r="D116" s="38">
        <f t="shared" si="15"/>
        <v>0</v>
      </c>
      <c r="E116" s="12" t="str">
        <f t="shared" si="13"/>
        <v>079</v>
      </c>
      <c r="G116" s="12" t="s">
        <v>89</v>
      </c>
      <c r="H116" s="12" t="s">
        <v>2301</v>
      </c>
      <c r="I116" s="12">
        <v>1331</v>
      </c>
      <c r="J116" s="12">
        <v>331</v>
      </c>
      <c r="K116" s="12" t="s">
        <v>20</v>
      </c>
      <c r="L116" s="12">
        <v>1</v>
      </c>
      <c r="M116" s="17">
        <v>1111</v>
      </c>
      <c r="N116" s="17">
        <f t="shared" si="16"/>
        <v>1111</v>
      </c>
      <c r="P116" s="12">
        <f t="shared" si="17"/>
        <v>73</v>
      </c>
      <c r="S116"/>
    </row>
    <row r="117" spans="1:19" ht="15" hidden="1" customHeight="1" x14ac:dyDescent="0.25">
      <c r="A117" s="12" t="s">
        <v>18</v>
      </c>
      <c r="B117" s="36">
        <v>46107</v>
      </c>
      <c r="C117" s="12">
        <f t="shared" si="14"/>
        <v>80</v>
      </c>
      <c r="D117" s="38">
        <f t="shared" si="15"/>
        <v>1</v>
      </c>
      <c r="E117" s="12" t="str">
        <f t="shared" si="13"/>
        <v>080</v>
      </c>
      <c r="G117" s="12" t="s">
        <v>2303</v>
      </c>
      <c r="H117" s="12" t="s">
        <v>3186</v>
      </c>
      <c r="I117" s="12">
        <v>64277</v>
      </c>
      <c r="J117" s="12">
        <v>331</v>
      </c>
      <c r="K117" s="12" t="s">
        <v>20</v>
      </c>
      <c r="L117" s="12">
        <v>1</v>
      </c>
      <c r="M117" s="17">
        <v>8888888</v>
      </c>
      <c r="N117" s="17">
        <f t="shared" si="16"/>
        <v>8888888</v>
      </c>
      <c r="P117" s="12">
        <f t="shared" si="17"/>
        <v>41</v>
      </c>
      <c r="S117"/>
    </row>
    <row r="118" spans="1:19" ht="15" hidden="1" customHeight="1" x14ac:dyDescent="0.25">
      <c r="A118" s="12" t="s">
        <v>18</v>
      </c>
      <c r="B118" s="36">
        <v>46107</v>
      </c>
      <c r="C118" s="12">
        <f t="shared" si="14"/>
        <v>80</v>
      </c>
      <c r="D118" s="38">
        <f t="shared" si="15"/>
        <v>0</v>
      </c>
      <c r="E118" s="12" t="str">
        <f t="shared" si="13"/>
        <v>080</v>
      </c>
      <c r="G118" s="12" t="s">
        <v>2303</v>
      </c>
      <c r="H118" s="12" t="s">
        <v>3186</v>
      </c>
      <c r="I118" s="12">
        <v>1331</v>
      </c>
      <c r="J118" s="12">
        <v>331</v>
      </c>
      <c r="K118" s="12" t="s">
        <v>20</v>
      </c>
      <c r="L118" s="12">
        <v>1</v>
      </c>
      <c r="M118" s="17">
        <v>711111</v>
      </c>
      <c r="N118" s="17">
        <f t="shared" si="16"/>
        <v>711111</v>
      </c>
      <c r="P118" s="12">
        <f t="shared" si="17"/>
        <v>41</v>
      </c>
      <c r="S118"/>
    </row>
    <row r="119" spans="1:19" ht="15" hidden="1" customHeight="1" x14ac:dyDescent="0.25">
      <c r="A119" s="12" t="s">
        <v>18</v>
      </c>
      <c r="B119" s="36">
        <v>46107</v>
      </c>
      <c r="C119" s="12">
        <f t="shared" si="14"/>
        <v>81</v>
      </c>
      <c r="D119" s="38">
        <f t="shared" si="15"/>
        <v>1</v>
      </c>
      <c r="E119" s="12" t="str">
        <f t="shared" si="13"/>
        <v>081</v>
      </c>
      <c r="G119" s="12" t="s">
        <v>19</v>
      </c>
      <c r="H119" s="12" t="s">
        <v>2302</v>
      </c>
      <c r="I119" s="12">
        <v>64277</v>
      </c>
      <c r="J119" s="12">
        <v>331</v>
      </c>
      <c r="K119" s="12" t="s">
        <v>20</v>
      </c>
      <c r="L119" s="12">
        <v>1</v>
      </c>
      <c r="M119" s="17">
        <v>96000</v>
      </c>
      <c r="N119" s="17">
        <f t="shared" si="16"/>
        <v>96000</v>
      </c>
      <c r="P119" s="12">
        <f t="shared" si="17"/>
        <v>126</v>
      </c>
      <c r="S119"/>
    </row>
    <row r="120" spans="1:19" ht="15" hidden="1" customHeight="1" x14ac:dyDescent="0.25">
      <c r="A120" s="12" t="s">
        <v>18</v>
      </c>
      <c r="B120" s="36">
        <v>46107</v>
      </c>
      <c r="C120" s="12">
        <f t="shared" si="14"/>
        <v>81</v>
      </c>
      <c r="D120" s="38">
        <f t="shared" si="15"/>
        <v>0</v>
      </c>
      <c r="E120" s="12" t="str">
        <f t="shared" si="13"/>
        <v>081</v>
      </c>
      <c r="G120" s="12" t="s">
        <v>19</v>
      </c>
      <c r="H120" s="12" t="s">
        <v>2302</v>
      </c>
      <c r="I120" s="12">
        <v>1331</v>
      </c>
      <c r="J120" s="12">
        <v>331</v>
      </c>
      <c r="K120" s="12" t="s">
        <v>20</v>
      </c>
      <c r="L120" s="12">
        <v>1</v>
      </c>
      <c r="M120" s="17">
        <v>7111</v>
      </c>
      <c r="N120" s="17">
        <f t="shared" si="16"/>
        <v>7111</v>
      </c>
      <c r="P120" s="12">
        <f t="shared" si="17"/>
        <v>126</v>
      </c>
      <c r="S120"/>
    </row>
    <row r="121" spans="1:19" ht="15" hidden="1" customHeight="1" x14ac:dyDescent="0.25">
      <c r="A121" s="12" t="s">
        <v>18</v>
      </c>
      <c r="B121" s="36">
        <v>46107</v>
      </c>
      <c r="C121" s="12">
        <f t="shared" si="14"/>
        <v>82</v>
      </c>
      <c r="D121" s="38">
        <f t="shared" si="15"/>
        <v>1</v>
      </c>
      <c r="E121" s="12" t="str">
        <f t="shared" si="13"/>
        <v>082</v>
      </c>
      <c r="G121" s="12" t="s">
        <v>2303</v>
      </c>
      <c r="H121" s="12" t="s">
        <v>2304</v>
      </c>
      <c r="I121" s="12">
        <v>64277</v>
      </c>
      <c r="J121" s="12">
        <v>331</v>
      </c>
      <c r="K121" s="12" t="s">
        <v>20</v>
      </c>
      <c r="L121" s="12">
        <v>1</v>
      </c>
      <c r="M121" s="17">
        <v>2385185</v>
      </c>
      <c r="N121" s="17">
        <f t="shared" si="16"/>
        <v>2385185</v>
      </c>
      <c r="P121" s="12">
        <f t="shared" si="17"/>
        <v>108</v>
      </c>
      <c r="S121"/>
    </row>
    <row r="122" spans="1:19" ht="15" hidden="1" customHeight="1" x14ac:dyDescent="0.25">
      <c r="A122" s="12" t="s">
        <v>18</v>
      </c>
      <c r="B122" s="36">
        <v>46107</v>
      </c>
      <c r="C122" s="12">
        <f t="shared" si="14"/>
        <v>82</v>
      </c>
      <c r="D122" s="38">
        <f t="shared" si="15"/>
        <v>0</v>
      </c>
      <c r="E122" s="12" t="str">
        <f t="shared" si="13"/>
        <v>082</v>
      </c>
      <c r="G122" s="12" t="s">
        <v>2303</v>
      </c>
      <c r="H122" s="12" t="s">
        <v>2304</v>
      </c>
      <c r="I122" s="12">
        <v>1331</v>
      </c>
      <c r="J122" s="12">
        <v>331</v>
      </c>
      <c r="K122" s="12" t="s">
        <v>20</v>
      </c>
      <c r="L122" s="12">
        <v>1</v>
      </c>
      <c r="M122" s="17">
        <v>190815</v>
      </c>
      <c r="N122" s="17">
        <f t="shared" si="16"/>
        <v>190815</v>
      </c>
      <c r="P122" s="12">
        <f t="shared" si="17"/>
        <v>108</v>
      </c>
      <c r="S122"/>
    </row>
    <row r="123" spans="1:19" ht="15" hidden="1" customHeight="1" x14ac:dyDescent="0.25">
      <c r="A123" s="12" t="s">
        <v>18</v>
      </c>
      <c r="B123" s="36">
        <v>46107</v>
      </c>
      <c r="C123" s="12">
        <f t="shared" si="14"/>
        <v>83</v>
      </c>
      <c r="D123" s="38">
        <f t="shared" si="15"/>
        <v>1</v>
      </c>
      <c r="E123" s="12" t="str">
        <f t="shared" si="13"/>
        <v>083</v>
      </c>
      <c r="G123" s="130" t="s">
        <v>71</v>
      </c>
      <c r="H123" s="12" t="s">
        <v>2309</v>
      </c>
      <c r="I123" s="12">
        <v>131</v>
      </c>
      <c r="J123" s="12">
        <v>5113</v>
      </c>
      <c r="K123" s="12" t="s">
        <v>20</v>
      </c>
      <c r="L123" s="12">
        <v>1</v>
      </c>
      <c r="M123" s="17">
        <v>121111111</v>
      </c>
      <c r="N123" s="17">
        <f t="shared" si="16"/>
        <v>121111111</v>
      </c>
      <c r="P123" s="12">
        <f t="shared" si="17"/>
        <v>165</v>
      </c>
      <c r="S123"/>
    </row>
    <row r="124" spans="1:19" ht="15" hidden="1" customHeight="1" x14ac:dyDescent="0.25">
      <c r="A124" s="12" t="s">
        <v>18</v>
      </c>
      <c r="B124" s="36">
        <v>46107</v>
      </c>
      <c r="C124" s="12">
        <f t="shared" si="14"/>
        <v>84</v>
      </c>
      <c r="D124" s="38">
        <f t="shared" si="15"/>
        <v>1</v>
      </c>
      <c r="E124" s="12" t="str">
        <f t="shared" si="13"/>
        <v>084</v>
      </c>
      <c r="G124" s="12" t="s">
        <v>51</v>
      </c>
      <c r="H124" s="12" t="s">
        <v>2308</v>
      </c>
      <c r="I124" s="12">
        <v>131</v>
      </c>
      <c r="J124" s="12">
        <v>5113</v>
      </c>
      <c r="K124" s="12" t="s">
        <v>20</v>
      </c>
      <c r="L124" s="12">
        <v>1</v>
      </c>
      <c r="M124" s="17">
        <v>15555556</v>
      </c>
      <c r="N124" s="17">
        <f t="shared" si="16"/>
        <v>15555556</v>
      </c>
      <c r="P124" s="12">
        <f t="shared" si="17"/>
        <v>165</v>
      </c>
      <c r="S124"/>
    </row>
    <row r="125" spans="1:19" ht="15" customHeight="1" x14ac:dyDescent="0.25">
      <c r="A125" s="12" t="s">
        <v>18</v>
      </c>
      <c r="B125" s="36">
        <v>46107</v>
      </c>
      <c r="C125" s="12">
        <f t="shared" si="14"/>
        <v>85</v>
      </c>
      <c r="D125" s="38">
        <f t="shared" si="15"/>
        <v>1</v>
      </c>
      <c r="E125" s="12" t="str">
        <f t="shared" si="13"/>
        <v>085</v>
      </c>
      <c r="G125" s="130" t="s">
        <v>71</v>
      </c>
      <c r="H125" s="12" t="s">
        <v>3167</v>
      </c>
      <c r="I125" s="12">
        <v>333821</v>
      </c>
      <c r="J125" s="12">
        <v>131</v>
      </c>
      <c r="K125" s="12" t="s">
        <v>20</v>
      </c>
      <c r="L125" s="12">
        <v>1</v>
      </c>
      <c r="M125" s="17">
        <v>1211111</v>
      </c>
      <c r="N125" s="17">
        <f t="shared" si="16"/>
        <v>1211111</v>
      </c>
      <c r="P125" s="12">
        <f t="shared" si="17"/>
        <v>181</v>
      </c>
      <c r="S125"/>
    </row>
    <row r="126" spans="1:19" ht="15" customHeight="1" x14ac:dyDescent="0.25">
      <c r="A126" s="12" t="s">
        <v>18</v>
      </c>
      <c r="B126" s="36">
        <v>46107</v>
      </c>
      <c r="C126" s="12">
        <f t="shared" si="14"/>
        <v>86</v>
      </c>
      <c r="D126" s="38">
        <f t="shared" si="15"/>
        <v>1</v>
      </c>
      <c r="E126" s="12" t="str">
        <f t="shared" si="13"/>
        <v>086</v>
      </c>
      <c r="G126" s="12" t="s">
        <v>51</v>
      </c>
      <c r="H126" s="12" t="s">
        <v>3166</v>
      </c>
      <c r="I126" s="12">
        <v>333821</v>
      </c>
      <c r="J126" s="12">
        <v>131</v>
      </c>
      <c r="K126" s="12" t="s">
        <v>20</v>
      </c>
      <c r="L126" s="12">
        <v>1</v>
      </c>
      <c r="M126" s="17">
        <v>155556</v>
      </c>
      <c r="N126" s="17">
        <f t="shared" si="16"/>
        <v>155556</v>
      </c>
      <c r="P126" s="12">
        <f t="shared" si="17"/>
        <v>181</v>
      </c>
      <c r="S126"/>
    </row>
    <row r="127" spans="1:19" ht="15" customHeight="1" x14ac:dyDescent="0.25">
      <c r="A127" s="12" t="s">
        <v>18</v>
      </c>
      <c r="B127" s="36">
        <v>46109</v>
      </c>
      <c r="C127" s="12">
        <f t="shared" si="14"/>
        <v>87</v>
      </c>
      <c r="D127" s="38">
        <f t="shared" si="15"/>
        <v>1</v>
      </c>
      <c r="E127" s="12" t="str">
        <f t="shared" si="13"/>
        <v>087</v>
      </c>
      <c r="G127" s="12" t="s">
        <v>29</v>
      </c>
      <c r="H127" s="12" t="s">
        <v>3169</v>
      </c>
      <c r="I127" s="12">
        <v>333821</v>
      </c>
      <c r="J127" s="12">
        <v>131</v>
      </c>
      <c r="K127" s="12" t="s">
        <v>20</v>
      </c>
      <c r="L127" s="12">
        <v>1</v>
      </c>
      <c r="M127" s="17">
        <v>288889</v>
      </c>
      <c r="N127" s="17">
        <f t="shared" si="16"/>
        <v>288889</v>
      </c>
      <c r="P127" s="12">
        <f t="shared" si="17"/>
        <v>152</v>
      </c>
      <c r="S127"/>
    </row>
    <row r="128" spans="1:19" ht="15" customHeight="1" x14ac:dyDescent="0.25">
      <c r="A128" s="12" t="s">
        <v>18</v>
      </c>
      <c r="B128" s="36">
        <v>46109</v>
      </c>
      <c r="C128" s="12">
        <f t="shared" si="14"/>
        <v>88</v>
      </c>
      <c r="D128" s="38">
        <f t="shared" si="15"/>
        <v>1</v>
      </c>
      <c r="E128" s="12" t="str">
        <f t="shared" si="13"/>
        <v>088</v>
      </c>
      <c r="G128" s="12" t="s">
        <v>29</v>
      </c>
      <c r="H128" s="12" t="s">
        <v>3168</v>
      </c>
      <c r="I128" s="12">
        <v>333821</v>
      </c>
      <c r="J128" s="12">
        <v>131</v>
      </c>
      <c r="K128" s="12" t="s">
        <v>20</v>
      </c>
      <c r="L128" s="12">
        <v>1</v>
      </c>
      <c r="M128" s="17">
        <v>466667</v>
      </c>
      <c r="N128" s="17">
        <f t="shared" si="16"/>
        <v>466667</v>
      </c>
      <c r="P128" s="12">
        <f t="shared" si="17"/>
        <v>149</v>
      </c>
      <c r="S128"/>
    </row>
    <row r="129" spans="1:19" ht="15" hidden="1" customHeight="1" x14ac:dyDescent="0.25">
      <c r="A129" s="12" t="s">
        <v>18</v>
      </c>
      <c r="B129" s="36">
        <v>46109</v>
      </c>
      <c r="C129" s="12">
        <f t="shared" si="14"/>
        <v>89</v>
      </c>
      <c r="D129" s="38">
        <f t="shared" si="15"/>
        <v>1</v>
      </c>
      <c r="E129" s="12" t="str">
        <f t="shared" si="13"/>
        <v>089</v>
      </c>
      <c r="G129" s="12" t="s">
        <v>29</v>
      </c>
      <c r="H129" s="12" t="s">
        <v>2311</v>
      </c>
      <c r="I129" s="12">
        <v>131</v>
      </c>
      <c r="J129" s="12">
        <v>5113</v>
      </c>
      <c r="K129" s="12" t="s">
        <v>20</v>
      </c>
      <c r="L129" s="12">
        <v>1</v>
      </c>
      <c r="M129" s="17">
        <v>28888889</v>
      </c>
      <c r="N129" s="17">
        <f t="shared" si="16"/>
        <v>28888889</v>
      </c>
      <c r="P129" s="12">
        <f t="shared" si="17"/>
        <v>136</v>
      </c>
      <c r="S129"/>
    </row>
    <row r="130" spans="1:19" ht="15" hidden="1" customHeight="1" x14ac:dyDescent="0.25">
      <c r="A130" s="12" t="s">
        <v>18</v>
      </c>
      <c r="B130" s="36">
        <v>46109</v>
      </c>
      <c r="C130" s="12">
        <f t="shared" si="14"/>
        <v>90</v>
      </c>
      <c r="D130" s="38">
        <f t="shared" si="15"/>
        <v>1</v>
      </c>
      <c r="E130" s="12" t="str">
        <f t="shared" si="13"/>
        <v>090</v>
      </c>
      <c r="G130" s="12" t="s">
        <v>29</v>
      </c>
      <c r="H130" s="12" t="s">
        <v>2310</v>
      </c>
      <c r="I130" s="12">
        <v>131</v>
      </c>
      <c r="J130" s="12">
        <v>5113</v>
      </c>
      <c r="K130" s="12" t="s">
        <v>20</v>
      </c>
      <c r="L130" s="12">
        <v>1</v>
      </c>
      <c r="M130" s="17">
        <v>46666667</v>
      </c>
      <c r="N130" s="17">
        <f t="shared" si="16"/>
        <v>46666667</v>
      </c>
      <c r="P130" s="12">
        <f t="shared" si="17"/>
        <v>133</v>
      </c>
      <c r="S130"/>
    </row>
    <row r="131" spans="1:19" ht="15" hidden="1" customHeight="1" x14ac:dyDescent="0.25">
      <c r="A131" s="12" t="s">
        <v>18</v>
      </c>
      <c r="B131" s="36">
        <v>46109</v>
      </c>
      <c r="C131" s="12">
        <f t="shared" si="14"/>
        <v>91</v>
      </c>
      <c r="D131" s="38">
        <f t="shared" si="15"/>
        <v>1</v>
      </c>
      <c r="E131" s="12" t="str">
        <f t="shared" si="13"/>
        <v>091</v>
      </c>
      <c r="G131" s="12" t="s">
        <v>2282</v>
      </c>
      <c r="H131" s="12" t="s">
        <v>2305</v>
      </c>
      <c r="I131" s="12">
        <v>64277</v>
      </c>
      <c r="J131" s="12">
        <v>331</v>
      </c>
      <c r="K131" s="12" t="s">
        <v>20</v>
      </c>
      <c r="L131" s="12">
        <v>1</v>
      </c>
      <c r="M131" s="17">
        <v>1250000</v>
      </c>
      <c r="N131" s="17">
        <f t="shared" si="16"/>
        <v>1250000</v>
      </c>
      <c r="P131" s="12">
        <f t="shared" si="17"/>
        <v>80</v>
      </c>
      <c r="S131"/>
    </row>
    <row r="132" spans="1:19" ht="15" hidden="1" customHeight="1" x14ac:dyDescent="0.25">
      <c r="A132" s="12" t="s">
        <v>18</v>
      </c>
      <c r="B132" s="36">
        <v>46109</v>
      </c>
      <c r="C132" s="12">
        <f t="shared" ref="C132:C138" si="18">C131+D132</f>
        <v>91</v>
      </c>
      <c r="D132" s="38">
        <f t="shared" ref="D132:D138" si="19">IF(H132=H131,0,1)</f>
        <v>0</v>
      </c>
      <c r="E132" s="12" t="str">
        <f t="shared" si="13"/>
        <v>091</v>
      </c>
      <c r="G132" s="12" t="s">
        <v>2282</v>
      </c>
      <c r="H132" s="12" t="s">
        <v>2305</v>
      </c>
      <c r="I132" s="12">
        <v>1331</v>
      </c>
      <c r="J132" s="12">
        <v>331</v>
      </c>
      <c r="K132" s="12" t="s">
        <v>20</v>
      </c>
      <c r="L132" s="12">
        <v>1</v>
      </c>
      <c r="M132" s="17">
        <v>100000</v>
      </c>
      <c r="N132" s="17">
        <f t="shared" ref="N132:N138" si="20">L132*M132</f>
        <v>100000</v>
      </c>
      <c r="P132" s="12">
        <f t="shared" ref="P132:P138" si="21">LEN(H132)</f>
        <v>80</v>
      </c>
      <c r="S132"/>
    </row>
    <row r="133" spans="1:19" ht="15" hidden="1" customHeight="1" x14ac:dyDescent="0.25">
      <c r="A133" s="12" t="s">
        <v>18</v>
      </c>
      <c r="B133" s="36">
        <v>46110</v>
      </c>
      <c r="C133" s="12">
        <f t="shared" si="18"/>
        <v>92</v>
      </c>
      <c r="D133" s="38">
        <f t="shared" si="19"/>
        <v>1</v>
      </c>
      <c r="E133" s="12" t="str">
        <f t="shared" ref="E133:E143" si="22">TEXT(C133,"000")</f>
        <v>092</v>
      </c>
      <c r="G133" s="12" t="s">
        <v>2281</v>
      </c>
      <c r="H133" s="12" t="s">
        <v>3188</v>
      </c>
      <c r="I133" s="12">
        <v>64277</v>
      </c>
      <c r="J133" s="12">
        <v>331</v>
      </c>
      <c r="K133" s="12" t="s">
        <v>20</v>
      </c>
      <c r="L133" s="12">
        <v>1</v>
      </c>
      <c r="M133" s="17">
        <v>962885</v>
      </c>
      <c r="N133" s="17">
        <f t="shared" si="20"/>
        <v>962885</v>
      </c>
      <c r="P133" s="12">
        <f t="shared" si="21"/>
        <v>44</v>
      </c>
      <c r="S133"/>
    </row>
    <row r="134" spans="1:19" ht="15" hidden="1" customHeight="1" x14ac:dyDescent="0.25">
      <c r="A134" s="12" t="s">
        <v>18</v>
      </c>
      <c r="B134" s="36">
        <v>46110</v>
      </c>
      <c r="C134" s="12">
        <f t="shared" si="18"/>
        <v>92</v>
      </c>
      <c r="D134" s="38">
        <f t="shared" si="19"/>
        <v>0</v>
      </c>
      <c r="E134" s="12" t="str">
        <f t="shared" si="22"/>
        <v>092</v>
      </c>
      <c r="G134" s="12" t="s">
        <v>2281</v>
      </c>
      <c r="H134" s="12" t="s">
        <v>3188</v>
      </c>
      <c r="I134" s="12">
        <v>1331</v>
      </c>
      <c r="J134" s="12">
        <v>331</v>
      </c>
      <c r="K134" s="12" t="s">
        <v>20</v>
      </c>
      <c r="L134" s="12">
        <v>1</v>
      </c>
      <c r="M134" s="17">
        <v>64255</v>
      </c>
      <c r="N134" s="17">
        <f t="shared" si="20"/>
        <v>64255</v>
      </c>
      <c r="P134" s="12">
        <f t="shared" si="21"/>
        <v>44</v>
      </c>
      <c r="S134"/>
    </row>
    <row r="135" spans="1:19" ht="15" customHeight="1" x14ac:dyDescent="0.25">
      <c r="A135" s="12" t="s">
        <v>18</v>
      </c>
      <c r="B135" s="36">
        <v>46110</v>
      </c>
      <c r="C135" s="12">
        <f t="shared" si="18"/>
        <v>93</v>
      </c>
      <c r="D135" s="38">
        <f t="shared" si="19"/>
        <v>1</v>
      </c>
      <c r="E135" s="12" t="str">
        <f t="shared" si="22"/>
        <v>093</v>
      </c>
      <c r="G135" s="12" t="s">
        <v>29</v>
      </c>
      <c r="H135" s="12" t="s">
        <v>3171</v>
      </c>
      <c r="I135" s="12">
        <v>333821</v>
      </c>
      <c r="J135" s="12">
        <v>131</v>
      </c>
      <c r="K135" s="12" t="s">
        <v>20</v>
      </c>
      <c r="L135" s="12">
        <v>1</v>
      </c>
      <c r="M135" s="17">
        <v>266667</v>
      </c>
      <c r="N135" s="17">
        <f t="shared" si="20"/>
        <v>266667</v>
      </c>
      <c r="P135" s="12">
        <f t="shared" si="21"/>
        <v>149</v>
      </c>
      <c r="S135"/>
    </row>
    <row r="136" spans="1:19" ht="15" customHeight="1" x14ac:dyDescent="0.25">
      <c r="A136" s="12" t="s">
        <v>18</v>
      </c>
      <c r="B136" s="36">
        <v>46110</v>
      </c>
      <c r="C136" s="12">
        <f t="shared" si="18"/>
        <v>94</v>
      </c>
      <c r="D136" s="38">
        <f t="shared" si="19"/>
        <v>1</v>
      </c>
      <c r="E136" s="12" t="str">
        <f t="shared" si="22"/>
        <v>094</v>
      </c>
      <c r="G136" s="12" t="s">
        <v>29</v>
      </c>
      <c r="H136" s="12" t="s">
        <v>3170</v>
      </c>
      <c r="I136" s="12">
        <v>333821</v>
      </c>
      <c r="J136" s="12">
        <v>131</v>
      </c>
      <c r="K136" s="12" t="s">
        <v>20</v>
      </c>
      <c r="L136" s="12">
        <v>1</v>
      </c>
      <c r="M136" s="17">
        <v>311111</v>
      </c>
      <c r="N136" s="17">
        <f t="shared" si="20"/>
        <v>311111</v>
      </c>
      <c r="P136" s="12">
        <f t="shared" si="21"/>
        <v>161</v>
      </c>
      <c r="S136"/>
    </row>
    <row r="137" spans="1:19" ht="15" hidden="1" customHeight="1" x14ac:dyDescent="0.25">
      <c r="A137" s="12" t="s">
        <v>18</v>
      </c>
      <c r="B137" s="36">
        <v>46110</v>
      </c>
      <c r="C137" s="12">
        <f t="shared" si="18"/>
        <v>95</v>
      </c>
      <c r="D137" s="38">
        <f t="shared" si="19"/>
        <v>1</v>
      </c>
      <c r="E137" s="12" t="str">
        <f t="shared" si="22"/>
        <v>095</v>
      </c>
      <c r="G137" s="12" t="s">
        <v>29</v>
      </c>
      <c r="H137" s="12" t="s">
        <v>2313</v>
      </c>
      <c r="I137" s="12">
        <v>131</v>
      </c>
      <c r="J137" s="12">
        <v>5113</v>
      </c>
      <c r="K137" s="12" t="s">
        <v>20</v>
      </c>
      <c r="L137" s="12">
        <v>1</v>
      </c>
      <c r="M137" s="17">
        <v>26666667</v>
      </c>
      <c r="N137" s="17">
        <f t="shared" si="20"/>
        <v>26666667</v>
      </c>
      <c r="P137" s="12">
        <f t="shared" si="21"/>
        <v>133</v>
      </c>
      <c r="S137"/>
    </row>
    <row r="138" spans="1:19" ht="15" hidden="1" customHeight="1" x14ac:dyDescent="0.25">
      <c r="A138" s="12" t="s">
        <v>18</v>
      </c>
      <c r="B138" s="36">
        <v>46110</v>
      </c>
      <c r="C138" s="12">
        <f t="shared" si="18"/>
        <v>96</v>
      </c>
      <c r="D138" s="38">
        <f t="shared" si="19"/>
        <v>1</v>
      </c>
      <c r="E138" s="12" t="str">
        <f t="shared" si="22"/>
        <v>096</v>
      </c>
      <c r="G138" s="12" t="s">
        <v>29</v>
      </c>
      <c r="H138" s="12" t="s">
        <v>2312</v>
      </c>
      <c r="I138" s="12">
        <v>131</v>
      </c>
      <c r="J138" s="12">
        <v>5113</v>
      </c>
      <c r="K138" s="12" t="s">
        <v>20</v>
      </c>
      <c r="L138" s="12">
        <v>1</v>
      </c>
      <c r="M138" s="17">
        <v>31111111</v>
      </c>
      <c r="N138" s="17">
        <f t="shared" si="20"/>
        <v>31111111</v>
      </c>
      <c r="P138" s="12">
        <f t="shared" si="21"/>
        <v>145</v>
      </c>
      <c r="S138"/>
    </row>
    <row r="139" spans="1:19" ht="15" hidden="1" customHeight="1" x14ac:dyDescent="0.2">
      <c r="A139" s="12" t="s">
        <v>309</v>
      </c>
      <c r="B139" s="36">
        <v>46063</v>
      </c>
      <c r="C139" s="12">
        <f t="shared" ref="C139:C143" si="23">C138+D139</f>
        <v>97</v>
      </c>
      <c r="D139" s="38">
        <f t="shared" ref="D139:D143" si="24">IF(H139=H138,0,1)</f>
        <v>1</v>
      </c>
      <c r="E139" s="12" t="str">
        <f t="shared" si="22"/>
        <v>097</v>
      </c>
      <c r="G139" s="12" t="s">
        <v>49</v>
      </c>
      <c r="H139" s="12" t="s">
        <v>3249</v>
      </c>
      <c r="I139" s="12">
        <v>112111</v>
      </c>
      <c r="J139" s="12">
        <v>131</v>
      </c>
      <c r="K139" s="12" t="s">
        <v>20</v>
      </c>
      <c r="L139" s="12">
        <v>1</v>
      </c>
      <c r="M139" s="17">
        <v>30800000</v>
      </c>
      <c r="N139" s="17">
        <f t="shared" ref="N139:N143" si="25">L139*M139</f>
        <v>30800000</v>
      </c>
      <c r="P139" s="12">
        <f t="shared" ref="P139:P143" si="26">LEN(H139)</f>
        <v>157</v>
      </c>
    </row>
    <row r="140" spans="1:19" ht="15" hidden="1" customHeight="1" x14ac:dyDescent="0.2">
      <c r="A140" s="12" t="s">
        <v>309</v>
      </c>
      <c r="B140" s="36">
        <v>46081</v>
      </c>
      <c r="C140" s="12">
        <f t="shared" si="23"/>
        <v>98</v>
      </c>
      <c r="D140" s="38">
        <f t="shared" si="24"/>
        <v>1</v>
      </c>
      <c r="E140" s="12" t="str">
        <f t="shared" si="22"/>
        <v>098</v>
      </c>
      <c r="G140" s="130" t="s">
        <v>2210</v>
      </c>
      <c r="H140" s="12" t="s">
        <v>3250</v>
      </c>
      <c r="I140" s="12">
        <v>112111</v>
      </c>
      <c r="J140" s="12">
        <v>5154</v>
      </c>
      <c r="K140" s="12" t="s">
        <v>20</v>
      </c>
      <c r="L140" s="12">
        <v>1</v>
      </c>
      <c r="M140" s="17">
        <v>1519</v>
      </c>
      <c r="N140" s="17">
        <f t="shared" si="25"/>
        <v>1519</v>
      </c>
      <c r="P140" s="12">
        <f t="shared" si="26"/>
        <v>13</v>
      </c>
    </row>
    <row r="141" spans="1:19" ht="15" hidden="1" customHeight="1" x14ac:dyDescent="0.2">
      <c r="A141" s="12" t="s">
        <v>309</v>
      </c>
      <c r="B141" s="36">
        <v>46101</v>
      </c>
      <c r="C141" s="12">
        <f t="shared" si="23"/>
        <v>99</v>
      </c>
      <c r="D141" s="38">
        <f t="shared" si="24"/>
        <v>1</v>
      </c>
      <c r="E141" s="12" t="str">
        <f t="shared" si="22"/>
        <v>099</v>
      </c>
      <c r="G141" s="12" t="s">
        <v>51</v>
      </c>
      <c r="H141" s="12" t="s">
        <v>3252</v>
      </c>
      <c r="I141" s="12">
        <v>112111</v>
      </c>
      <c r="J141" s="12">
        <v>131</v>
      </c>
      <c r="K141" s="12" t="s">
        <v>20</v>
      </c>
      <c r="L141" s="12">
        <v>1</v>
      </c>
      <c r="M141" s="17">
        <v>15400000</v>
      </c>
      <c r="N141" s="17">
        <f t="shared" si="25"/>
        <v>15400000</v>
      </c>
      <c r="P141" s="12">
        <f t="shared" si="26"/>
        <v>118</v>
      </c>
    </row>
    <row r="142" spans="1:19" ht="15" hidden="1" customHeight="1" x14ac:dyDescent="0.2">
      <c r="A142" s="12" t="s">
        <v>309</v>
      </c>
      <c r="B142" s="36">
        <v>46107</v>
      </c>
      <c r="C142" s="12">
        <f t="shared" si="23"/>
        <v>100</v>
      </c>
      <c r="D142" s="38">
        <f t="shared" si="24"/>
        <v>1</v>
      </c>
      <c r="E142" s="12" t="str">
        <f t="shared" si="22"/>
        <v>100</v>
      </c>
      <c r="G142" s="130" t="s">
        <v>71</v>
      </c>
      <c r="H142" s="12" t="s">
        <v>3251</v>
      </c>
      <c r="I142" s="12">
        <v>112111</v>
      </c>
      <c r="J142" s="12">
        <v>131</v>
      </c>
      <c r="K142" s="12" t="s">
        <v>20</v>
      </c>
      <c r="L142" s="12">
        <v>1</v>
      </c>
      <c r="M142" s="17">
        <v>119900000</v>
      </c>
      <c r="N142" s="17">
        <f t="shared" si="25"/>
        <v>119900000</v>
      </c>
      <c r="P142" s="12">
        <f t="shared" si="26"/>
        <v>170</v>
      </c>
    </row>
    <row r="143" spans="1:19" ht="15" hidden="1" customHeight="1" x14ac:dyDescent="0.2">
      <c r="A143" s="12" t="s">
        <v>309</v>
      </c>
      <c r="B143" s="36">
        <v>46112</v>
      </c>
      <c r="C143" s="12">
        <f t="shared" si="23"/>
        <v>101</v>
      </c>
      <c r="D143" s="38">
        <f t="shared" si="24"/>
        <v>1</v>
      </c>
      <c r="E143" s="12" t="str">
        <f t="shared" si="22"/>
        <v>101</v>
      </c>
      <c r="G143" s="130" t="s">
        <v>2210</v>
      </c>
      <c r="H143" s="12" t="s">
        <v>3250</v>
      </c>
      <c r="I143" s="12">
        <v>112111</v>
      </c>
      <c r="J143" s="12">
        <v>5154</v>
      </c>
      <c r="K143" s="12" t="s">
        <v>20</v>
      </c>
      <c r="L143" s="12">
        <v>1</v>
      </c>
      <c r="M143" s="17">
        <v>4723</v>
      </c>
      <c r="N143" s="17">
        <f t="shared" si="25"/>
        <v>4723</v>
      </c>
      <c r="P143" s="12">
        <f t="shared" si="26"/>
        <v>13</v>
      </c>
    </row>
  </sheetData>
  <autoFilter ref="A3:P143" xr:uid="{00000000-0009-0000-0000-00001F000000}">
    <filterColumn colId="8">
      <filters>
        <filter val="333821"/>
      </filters>
    </filterColumn>
    <filterColumn colId="9">
      <filters>
        <filter val="131"/>
      </filters>
    </filterColumn>
    <sortState xmlns:xlrd2="http://schemas.microsoft.com/office/spreadsheetml/2017/richdata2" ref="A4:P138">
      <sortCondition ref="A4:A138"/>
      <sortCondition ref="B4:B138"/>
      <sortCondition ref="H4:H138"/>
    </sortState>
  </autoFilter>
  <mergeCells count="12">
    <mergeCell ref="N1:N2"/>
    <mergeCell ref="G1:G2"/>
    <mergeCell ref="H1:H2"/>
    <mergeCell ref="I1:J1"/>
    <mergeCell ref="K1:K2"/>
    <mergeCell ref="L1:L2"/>
    <mergeCell ref="M1:M2"/>
    <mergeCell ref="A1:A2"/>
    <mergeCell ref="B1:B2"/>
    <mergeCell ref="C1:C2"/>
    <mergeCell ref="D1:D2"/>
    <mergeCell ref="E1:E2"/>
  </mergeCells>
  <hyperlinks>
    <hyperlink ref="P1" location="Summary!A1" display="Back to summary"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sheetPr>
  <dimension ref="A1:AC206"/>
  <sheetViews>
    <sheetView topLeftCell="A145" workbookViewId="0">
      <selection activeCell="M156" sqref="M156"/>
    </sheetView>
  </sheetViews>
  <sheetFormatPr defaultRowHeight="15" customHeight="1" x14ac:dyDescent="0.2"/>
  <cols>
    <col min="1" max="7" width="9.140625" style="12"/>
    <col min="8" max="8" width="27.7109375" style="12" customWidth="1"/>
    <col min="9" max="12" width="9.140625" style="12"/>
    <col min="13" max="14" width="10.7109375" style="12" bestFit="1" customWidth="1"/>
    <col min="15" max="16384" width="9.140625" style="12"/>
  </cols>
  <sheetData>
    <row r="1" spans="1:29" ht="15" customHeight="1" thickBot="1" x14ac:dyDescent="0.25">
      <c r="A1" s="247" t="s">
        <v>0</v>
      </c>
      <c r="B1" s="219" t="s">
        <v>1</v>
      </c>
      <c r="C1" s="247" t="s">
        <v>2</v>
      </c>
      <c r="D1" s="249" t="s">
        <v>3</v>
      </c>
      <c r="E1" s="249" t="s">
        <v>4</v>
      </c>
      <c r="F1" s="154" t="s">
        <v>5</v>
      </c>
      <c r="G1" s="241" t="s">
        <v>6</v>
      </c>
      <c r="H1" s="243" t="s">
        <v>7</v>
      </c>
      <c r="I1" s="245" t="s">
        <v>8</v>
      </c>
      <c r="J1" s="246"/>
      <c r="K1" s="247" t="s">
        <v>9</v>
      </c>
      <c r="L1" s="247" t="s">
        <v>10</v>
      </c>
      <c r="M1" s="254" t="s">
        <v>76</v>
      </c>
      <c r="N1" s="254" t="s">
        <v>77</v>
      </c>
      <c r="O1" s="45" t="s">
        <v>78</v>
      </c>
      <c r="P1" s="146" t="s">
        <v>356</v>
      </c>
    </row>
    <row r="2" spans="1:29" ht="15" customHeight="1" thickBot="1" x14ac:dyDescent="0.25">
      <c r="A2" s="248"/>
      <c r="B2" s="220"/>
      <c r="C2" s="248"/>
      <c r="D2" s="253"/>
      <c r="E2" s="253"/>
      <c r="F2" s="155"/>
      <c r="G2" s="242"/>
      <c r="H2" s="244"/>
      <c r="I2" s="46" t="s">
        <v>13</v>
      </c>
      <c r="J2" s="47" t="s">
        <v>14</v>
      </c>
      <c r="K2" s="248"/>
      <c r="L2" s="248"/>
      <c r="M2" s="255"/>
      <c r="N2" s="255"/>
      <c r="O2" s="38" t="s">
        <v>78</v>
      </c>
      <c r="P2" s="38"/>
    </row>
    <row r="3" spans="1:29" ht="15" customHeight="1" x14ac:dyDescent="0.2">
      <c r="A3" s="48"/>
      <c r="B3" s="81"/>
      <c r="C3" s="48">
        <v>0</v>
      </c>
      <c r="D3" s="49"/>
      <c r="E3" s="49"/>
      <c r="F3" s="49"/>
      <c r="G3" s="51" t="s">
        <v>15</v>
      </c>
      <c r="H3" s="52"/>
      <c r="I3" s="52"/>
      <c r="J3" s="52"/>
      <c r="K3" s="48"/>
      <c r="L3" s="48"/>
      <c r="M3" s="82"/>
      <c r="N3" s="82"/>
      <c r="O3" s="38" t="s">
        <v>16</v>
      </c>
      <c r="P3" s="38" t="s">
        <v>17</v>
      </c>
    </row>
    <row r="4" spans="1:29" ht="15" customHeight="1" x14ac:dyDescent="0.2">
      <c r="A4" s="12" t="s">
        <v>309</v>
      </c>
      <c r="B4" s="13">
        <v>46041</v>
      </c>
      <c r="C4" s="12">
        <f>C3+D4</f>
        <v>1</v>
      </c>
      <c r="D4" s="38">
        <f>IF(H4=H3,0,1)</f>
        <v>1</v>
      </c>
      <c r="E4" s="12" t="str">
        <f t="shared" ref="E4:E67" si="0">TEXT(C4,"000")</f>
        <v>001</v>
      </c>
      <c r="G4" s="14" t="s">
        <v>311</v>
      </c>
      <c r="H4" s="12" t="s">
        <v>3343</v>
      </c>
      <c r="I4" s="12">
        <v>112111</v>
      </c>
      <c r="J4" s="12">
        <v>131</v>
      </c>
      <c r="K4" s="12" t="s">
        <v>20</v>
      </c>
      <c r="L4" s="12">
        <v>1</v>
      </c>
      <c r="M4" s="17">
        <v>31644439</v>
      </c>
      <c r="N4" s="17">
        <f t="shared" ref="N4:N67" si="1">L4*M4</f>
        <v>31644439</v>
      </c>
      <c r="P4" s="12">
        <f t="shared" ref="P4:P67" si="2">LEN(H4)</f>
        <v>21</v>
      </c>
      <c r="S4" s="12" t="s">
        <v>2314</v>
      </c>
      <c r="T4" s="12" t="s">
        <v>3346</v>
      </c>
    </row>
    <row r="5" spans="1:29" ht="15" customHeight="1" x14ac:dyDescent="0.2">
      <c r="A5" s="12" t="s">
        <v>309</v>
      </c>
      <c r="B5" s="13">
        <v>46047</v>
      </c>
      <c r="C5" s="12">
        <f t="shared" ref="C5:C68" si="3">C4+D5</f>
        <v>2</v>
      </c>
      <c r="D5" s="38">
        <f t="shared" ref="D5:D68" si="4">IF(H5=H4,0,1)</f>
        <v>1</v>
      </c>
      <c r="E5" s="12" t="str">
        <f t="shared" si="0"/>
        <v>002</v>
      </c>
      <c r="G5" s="130" t="s">
        <v>2211</v>
      </c>
      <c r="H5" s="12" t="s">
        <v>3250</v>
      </c>
      <c r="I5" s="12">
        <v>112111</v>
      </c>
      <c r="J5" s="12">
        <v>5154</v>
      </c>
      <c r="K5" s="12" t="s">
        <v>20</v>
      </c>
      <c r="L5" s="12">
        <v>1</v>
      </c>
      <c r="M5" s="17">
        <v>1040</v>
      </c>
      <c r="N5" s="17">
        <f t="shared" si="1"/>
        <v>1040</v>
      </c>
      <c r="P5" s="12">
        <f t="shared" si="2"/>
        <v>13</v>
      </c>
      <c r="S5" s="12" t="s">
        <v>54</v>
      </c>
      <c r="T5" s="13" t="s">
        <v>407</v>
      </c>
      <c r="Z5" s="84"/>
      <c r="AC5" s="84"/>
    </row>
    <row r="6" spans="1:29" ht="15" customHeight="1" x14ac:dyDescent="0.2">
      <c r="A6" s="12" t="s">
        <v>309</v>
      </c>
      <c r="B6" s="13">
        <v>46050</v>
      </c>
      <c r="C6" s="12">
        <f t="shared" si="3"/>
        <v>3</v>
      </c>
      <c r="D6" s="38">
        <f t="shared" si="4"/>
        <v>1</v>
      </c>
      <c r="E6" s="12" t="str">
        <f t="shared" si="0"/>
        <v>003</v>
      </c>
      <c r="G6" s="12" t="s">
        <v>1880</v>
      </c>
      <c r="H6" s="12" t="s">
        <v>3334</v>
      </c>
      <c r="I6" s="12">
        <v>112111</v>
      </c>
      <c r="J6" s="12">
        <v>131</v>
      </c>
      <c r="K6" s="12" t="s">
        <v>20</v>
      </c>
      <c r="L6" s="12">
        <v>1</v>
      </c>
      <c r="M6" s="17">
        <v>16500000</v>
      </c>
      <c r="N6" s="17">
        <f t="shared" si="1"/>
        <v>16500000</v>
      </c>
      <c r="P6" s="12">
        <f t="shared" si="2"/>
        <v>81</v>
      </c>
      <c r="S6" s="12" t="s">
        <v>89</v>
      </c>
      <c r="T6" s="13" t="s">
        <v>3205</v>
      </c>
      <c r="Z6" s="84"/>
      <c r="AB6" s="84"/>
      <c r="AC6" s="84"/>
    </row>
    <row r="7" spans="1:29" ht="15" customHeight="1" x14ac:dyDescent="0.2">
      <c r="A7" s="12" t="s">
        <v>309</v>
      </c>
      <c r="B7" s="13">
        <v>46057</v>
      </c>
      <c r="C7" s="12">
        <f t="shared" si="3"/>
        <v>4</v>
      </c>
      <c r="D7" s="38">
        <f t="shared" si="4"/>
        <v>1</v>
      </c>
      <c r="E7" s="12" t="str">
        <f t="shared" si="0"/>
        <v>004</v>
      </c>
      <c r="G7" s="130" t="s">
        <v>1880</v>
      </c>
      <c r="H7" s="12" t="s">
        <v>3339</v>
      </c>
      <c r="I7" s="12">
        <v>112111</v>
      </c>
      <c r="J7" s="12">
        <v>131</v>
      </c>
      <c r="K7" s="12" t="s">
        <v>20</v>
      </c>
      <c r="L7" s="12">
        <v>1</v>
      </c>
      <c r="M7" s="17">
        <v>16500000</v>
      </c>
      <c r="N7" s="17">
        <f t="shared" si="1"/>
        <v>16500000</v>
      </c>
      <c r="P7" s="12">
        <f t="shared" si="2"/>
        <v>100</v>
      </c>
      <c r="S7" s="12" t="s">
        <v>19</v>
      </c>
      <c r="T7" s="12" t="s">
        <v>412</v>
      </c>
      <c r="Z7" s="84"/>
      <c r="AB7" s="84"/>
      <c r="AC7" s="84"/>
    </row>
    <row r="8" spans="1:29" ht="15" customHeight="1" x14ac:dyDescent="0.2">
      <c r="A8" s="12" t="s">
        <v>309</v>
      </c>
      <c r="B8" s="13">
        <v>46059</v>
      </c>
      <c r="C8" s="12">
        <f t="shared" si="3"/>
        <v>5</v>
      </c>
      <c r="D8" s="38">
        <f t="shared" si="4"/>
        <v>1</v>
      </c>
      <c r="E8" s="12" t="str">
        <f t="shared" si="0"/>
        <v>005</v>
      </c>
      <c r="G8" s="130" t="s">
        <v>97</v>
      </c>
      <c r="H8" s="12" t="s">
        <v>3340</v>
      </c>
      <c r="I8" s="12">
        <v>112111</v>
      </c>
      <c r="J8" s="12">
        <v>131</v>
      </c>
      <c r="K8" s="12" t="s">
        <v>20</v>
      </c>
      <c r="L8" s="12">
        <v>1</v>
      </c>
      <c r="M8" s="17">
        <v>8800000</v>
      </c>
      <c r="N8" s="17">
        <f t="shared" si="1"/>
        <v>8800000</v>
      </c>
      <c r="P8" s="12">
        <f t="shared" si="2"/>
        <v>104</v>
      </c>
      <c r="S8" s="12" t="s">
        <v>104</v>
      </c>
      <c r="T8" s="12" t="s">
        <v>3243</v>
      </c>
    </row>
    <row r="9" spans="1:29" ht="15" customHeight="1" x14ac:dyDescent="0.2">
      <c r="A9" s="12" t="s">
        <v>309</v>
      </c>
      <c r="B9" s="13">
        <v>46062</v>
      </c>
      <c r="C9" s="12">
        <f t="shared" si="3"/>
        <v>6</v>
      </c>
      <c r="D9" s="38">
        <f t="shared" si="4"/>
        <v>1</v>
      </c>
      <c r="E9" s="12" t="str">
        <f t="shared" si="0"/>
        <v>006</v>
      </c>
      <c r="G9" s="130" t="s">
        <v>510</v>
      </c>
      <c r="H9" s="12" t="s">
        <v>3341</v>
      </c>
      <c r="I9" s="12">
        <v>112111</v>
      </c>
      <c r="J9" s="12">
        <v>131</v>
      </c>
      <c r="K9" s="12" t="s">
        <v>20</v>
      </c>
      <c r="L9" s="12">
        <v>1</v>
      </c>
      <c r="M9" s="17">
        <v>16500000</v>
      </c>
      <c r="N9" s="17">
        <f t="shared" si="1"/>
        <v>16500000</v>
      </c>
      <c r="P9" s="12">
        <f t="shared" si="2"/>
        <v>142</v>
      </c>
      <c r="S9" s="12" t="s">
        <v>37</v>
      </c>
      <c r="T9" s="12" t="s">
        <v>3204</v>
      </c>
    </row>
    <row r="10" spans="1:29" ht="15" customHeight="1" x14ac:dyDescent="0.2">
      <c r="A10" s="12" t="s">
        <v>309</v>
      </c>
      <c r="B10" s="13">
        <v>46064</v>
      </c>
      <c r="C10" s="12">
        <f t="shared" si="3"/>
        <v>7</v>
      </c>
      <c r="D10" s="38">
        <f t="shared" si="4"/>
        <v>1</v>
      </c>
      <c r="E10" s="12" t="str">
        <f t="shared" si="0"/>
        <v>007</v>
      </c>
      <c r="G10" s="130" t="s">
        <v>1777</v>
      </c>
      <c r="H10" s="12" t="s">
        <v>3342</v>
      </c>
      <c r="I10" s="12">
        <v>112111</v>
      </c>
      <c r="J10" s="12">
        <v>131</v>
      </c>
      <c r="K10" s="12" t="s">
        <v>20</v>
      </c>
      <c r="L10" s="12">
        <v>1</v>
      </c>
      <c r="M10" s="17">
        <v>8800000</v>
      </c>
      <c r="N10" s="17">
        <f t="shared" si="1"/>
        <v>8800000</v>
      </c>
      <c r="P10" s="12">
        <f t="shared" si="2"/>
        <v>152</v>
      </c>
      <c r="S10" s="12" t="s">
        <v>1040</v>
      </c>
      <c r="T10" s="12" t="s">
        <v>3347</v>
      </c>
    </row>
    <row r="11" spans="1:29" ht="15" customHeight="1" x14ac:dyDescent="0.2">
      <c r="A11" s="12" t="s">
        <v>309</v>
      </c>
      <c r="B11" s="13">
        <v>46078</v>
      </c>
      <c r="C11" s="12">
        <f t="shared" si="3"/>
        <v>8</v>
      </c>
      <c r="D11" s="38">
        <f t="shared" si="4"/>
        <v>1</v>
      </c>
      <c r="E11" s="12" t="str">
        <f t="shared" si="0"/>
        <v>008</v>
      </c>
      <c r="G11" s="12" t="s">
        <v>2211</v>
      </c>
      <c r="H11" s="12" t="s">
        <v>3250</v>
      </c>
      <c r="I11" s="12">
        <v>112111</v>
      </c>
      <c r="J11" s="12">
        <v>5154</v>
      </c>
      <c r="K11" s="12" t="s">
        <v>20</v>
      </c>
      <c r="L11" s="12">
        <v>1</v>
      </c>
      <c r="M11" s="17">
        <v>12843</v>
      </c>
      <c r="N11" s="17">
        <f t="shared" si="1"/>
        <v>12843</v>
      </c>
      <c r="P11" s="12">
        <f t="shared" si="2"/>
        <v>13</v>
      </c>
      <c r="S11" s="12" t="s">
        <v>2326</v>
      </c>
      <c r="T11" s="12" t="s">
        <v>3348</v>
      </c>
    </row>
    <row r="12" spans="1:29" ht="15" customHeight="1" x14ac:dyDescent="0.2">
      <c r="A12" s="12" t="s">
        <v>309</v>
      </c>
      <c r="B12" s="13">
        <v>46085</v>
      </c>
      <c r="C12" s="12">
        <f t="shared" si="3"/>
        <v>9</v>
      </c>
      <c r="D12" s="38">
        <f t="shared" si="4"/>
        <v>1</v>
      </c>
      <c r="E12" s="12" t="str">
        <f t="shared" si="0"/>
        <v>009</v>
      </c>
      <c r="G12" s="130" t="s">
        <v>82</v>
      </c>
      <c r="H12" s="12" t="s">
        <v>3344</v>
      </c>
      <c r="I12" s="12">
        <v>112111</v>
      </c>
      <c r="J12" s="12">
        <v>131</v>
      </c>
      <c r="K12" s="12" t="s">
        <v>20</v>
      </c>
      <c r="L12" s="12">
        <v>1</v>
      </c>
      <c r="M12" s="17">
        <v>16500000</v>
      </c>
      <c r="N12" s="17">
        <f t="shared" si="1"/>
        <v>16500000</v>
      </c>
      <c r="P12" s="12">
        <f t="shared" si="2"/>
        <v>119</v>
      </c>
      <c r="S12" s="12" t="s">
        <v>46</v>
      </c>
      <c r="T12" s="12" t="s">
        <v>429</v>
      </c>
    </row>
    <row r="13" spans="1:29" ht="15" customHeight="1" x14ac:dyDescent="0.2">
      <c r="A13" s="12" t="s">
        <v>309</v>
      </c>
      <c r="B13" s="13">
        <v>46086</v>
      </c>
      <c r="C13" s="12">
        <f t="shared" si="3"/>
        <v>10</v>
      </c>
      <c r="D13" s="38">
        <f t="shared" si="4"/>
        <v>1</v>
      </c>
      <c r="E13" s="12" t="str">
        <f t="shared" si="0"/>
        <v>010</v>
      </c>
      <c r="G13" s="12" t="s">
        <v>26</v>
      </c>
      <c r="H13" s="12" t="s">
        <v>3337</v>
      </c>
      <c r="I13" s="12">
        <v>112111</v>
      </c>
      <c r="J13" s="12">
        <v>131</v>
      </c>
      <c r="K13" s="12" t="s">
        <v>20</v>
      </c>
      <c r="L13" s="12">
        <v>1</v>
      </c>
      <c r="M13" s="17">
        <v>13200000</v>
      </c>
      <c r="N13" s="17">
        <f t="shared" si="1"/>
        <v>13200000</v>
      </c>
      <c r="P13" s="12">
        <f t="shared" si="2"/>
        <v>86</v>
      </c>
      <c r="S13" s="12" t="s">
        <v>2179</v>
      </c>
      <c r="T13" s="12" t="s">
        <v>3349</v>
      </c>
    </row>
    <row r="14" spans="1:29" ht="15" customHeight="1" x14ac:dyDescent="0.2">
      <c r="A14" s="12" t="s">
        <v>309</v>
      </c>
      <c r="B14" s="13">
        <v>46100</v>
      </c>
      <c r="C14" s="12">
        <f t="shared" si="3"/>
        <v>11</v>
      </c>
      <c r="D14" s="38">
        <f t="shared" si="4"/>
        <v>1</v>
      </c>
      <c r="E14" s="12" t="str">
        <f t="shared" si="0"/>
        <v>011</v>
      </c>
      <c r="G14" s="12" t="s">
        <v>2368</v>
      </c>
      <c r="H14" s="12" t="s">
        <v>3336</v>
      </c>
      <c r="I14" s="12">
        <v>112111</v>
      </c>
      <c r="J14" s="12">
        <v>131</v>
      </c>
      <c r="K14" s="12" t="s">
        <v>20</v>
      </c>
      <c r="L14" s="12">
        <v>1</v>
      </c>
      <c r="M14" s="17">
        <v>7000000</v>
      </c>
      <c r="N14" s="17">
        <f t="shared" si="1"/>
        <v>7000000</v>
      </c>
      <c r="P14" s="12">
        <f t="shared" si="2"/>
        <v>80</v>
      </c>
      <c r="S14" s="12" t="s">
        <v>2241</v>
      </c>
      <c r="T14" s="12" t="s">
        <v>3350</v>
      </c>
    </row>
    <row r="15" spans="1:29" ht="15" customHeight="1" x14ac:dyDescent="0.2">
      <c r="A15" s="12" t="s">
        <v>309</v>
      </c>
      <c r="B15" s="13">
        <v>46105</v>
      </c>
      <c r="C15" s="12">
        <f t="shared" si="3"/>
        <v>12</v>
      </c>
      <c r="D15" s="38">
        <f t="shared" si="4"/>
        <v>1</v>
      </c>
      <c r="E15" s="12" t="str">
        <f t="shared" si="0"/>
        <v>012</v>
      </c>
      <c r="G15" s="12" t="s">
        <v>717</v>
      </c>
      <c r="H15" s="12" t="s">
        <v>3335</v>
      </c>
      <c r="I15" s="12">
        <v>112111</v>
      </c>
      <c r="J15" s="12">
        <v>131</v>
      </c>
      <c r="K15" s="12" t="s">
        <v>20</v>
      </c>
      <c r="L15" s="12">
        <v>1</v>
      </c>
      <c r="M15" s="17">
        <v>22000000</v>
      </c>
      <c r="N15" s="17">
        <f t="shared" si="1"/>
        <v>22000000</v>
      </c>
      <c r="P15" s="12">
        <f t="shared" si="2"/>
        <v>100</v>
      </c>
      <c r="S15" s="12" t="s">
        <v>2334</v>
      </c>
      <c r="T15" s="12" t="s">
        <v>3351</v>
      </c>
    </row>
    <row r="16" spans="1:29" ht="15" customHeight="1" x14ac:dyDescent="0.2">
      <c r="A16" s="12" t="s">
        <v>309</v>
      </c>
      <c r="B16" s="13">
        <v>46106</v>
      </c>
      <c r="C16" s="12">
        <f t="shared" si="3"/>
        <v>13</v>
      </c>
      <c r="D16" s="38">
        <f t="shared" si="4"/>
        <v>1</v>
      </c>
      <c r="E16" s="12" t="str">
        <f t="shared" si="0"/>
        <v>013</v>
      </c>
      <c r="G16" s="130" t="s">
        <v>2211</v>
      </c>
      <c r="H16" s="12" t="s">
        <v>3250</v>
      </c>
      <c r="I16" s="12">
        <v>112111</v>
      </c>
      <c r="J16" s="12">
        <v>5154</v>
      </c>
      <c r="K16" s="12" t="s">
        <v>20</v>
      </c>
      <c r="L16" s="12">
        <v>1</v>
      </c>
      <c r="M16" s="17">
        <v>18391</v>
      </c>
      <c r="N16" s="17">
        <f t="shared" si="1"/>
        <v>18391</v>
      </c>
      <c r="P16" s="12">
        <f t="shared" si="2"/>
        <v>13</v>
      </c>
      <c r="S16" s="12" t="s">
        <v>261</v>
      </c>
      <c r="T16" s="12" t="s">
        <v>3352</v>
      </c>
    </row>
    <row r="17" spans="1:20" ht="15" customHeight="1" x14ac:dyDescent="0.2">
      <c r="A17" s="12" t="s">
        <v>309</v>
      </c>
      <c r="B17" s="13">
        <v>46107</v>
      </c>
      <c r="C17" s="12">
        <f t="shared" si="3"/>
        <v>14</v>
      </c>
      <c r="D17" s="38">
        <f t="shared" si="4"/>
        <v>1</v>
      </c>
      <c r="E17" s="12" t="str">
        <f t="shared" si="0"/>
        <v>014</v>
      </c>
      <c r="G17" s="130" t="s">
        <v>68</v>
      </c>
      <c r="H17" s="12" t="s">
        <v>3345</v>
      </c>
      <c r="I17" s="12">
        <v>112111</v>
      </c>
      <c r="J17" s="12">
        <v>131</v>
      </c>
      <c r="K17" s="12" t="s">
        <v>20</v>
      </c>
      <c r="L17" s="12">
        <v>1</v>
      </c>
      <c r="M17" s="17">
        <v>22000000</v>
      </c>
      <c r="N17" s="17">
        <f t="shared" si="1"/>
        <v>22000000</v>
      </c>
      <c r="P17" s="12">
        <f t="shared" si="2"/>
        <v>101</v>
      </c>
      <c r="S17" s="12" t="s">
        <v>1725</v>
      </c>
      <c r="T17" s="12" t="s">
        <v>3353</v>
      </c>
    </row>
    <row r="18" spans="1:20" ht="15" customHeight="1" x14ac:dyDescent="0.2">
      <c r="A18" s="12" t="s">
        <v>309</v>
      </c>
      <c r="B18" s="13">
        <v>46107</v>
      </c>
      <c r="C18" s="12">
        <f t="shared" si="3"/>
        <v>15</v>
      </c>
      <c r="D18" s="38">
        <f t="shared" si="4"/>
        <v>1</v>
      </c>
      <c r="E18" s="12" t="str">
        <f t="shared" si="0"/>
        <v>015</v>
      </c>
      <c r="G18" s="14" t="s">
        <v>311</v>
      </c>
      <c r="H18" s="12" t="s">
        <v>3338</v>
      </c>
      <c r="I18" s="12">
        <v>112111</v>
      </c>
      <c r="J18" s="12">
        <v>131</v>
      </c>
      <c r="K18" s="12" t="s">
        <v>20</v>
      </c>
      <c r="L18" s="12">
        <v>1</v>
      </c>
      <c r="M18" s="17">
        <v>40586753</v>
      </c>
      <c r="N18" s="17">
        <f t="shared" si="1"/>
        <v>40586753</v>
      </c>
      <c r="P18" s="12">
        <f t="shared" si="2"/>
        <v>73</v>
      </c>
      <c r="S18" s="12" t="s">
        <v>35</v>
      </c>
      <c r="T18" s="12" t="s">
        <v>411</v>
      </c>
    </row>
    <row r="19" spans="1:20" ht="15" customHeight="1" x14ac:dyDescent="0.2">
      <c r="A19" s="12" t="s">
        <v>309</v>
      </c>
      <c r="B19" s="13">
        <v>46108</v>
      </c>
      <c r="C19" s="12">
        <f t="shared" si="3"/>
        <v>16</v>
      </c>
      <c r="D19" s="38">
        <f t="shared" si="4"/>
        <v>1</v>
      </c>
      <c r="E19" s="12" t="str">
        <f t="shared" si="0"/>
        <v>016</v>
      </c>
      <c r="G19" s="130" t="s">
        <v>82</v>
      </c>
      <c r="H19" s="12" t="s">
        <v>3344</v>
      </c>
      <c r="I19" s="12">
        <v>112111</v>
      </c>
      <c r="J19" s="12">
        <v>131</v>
      </c>
      <c r="K19" s="12" t="s">
        <v>20</v>
      </c>
      <c r="L19" s="12">
        <v>1</v>
      </c>
      <c r="M19" s="17">
        <v>16500000</v>
      </c>
      <c r="N19" s="17">
        <f t="shared" si="1"/>
        <v>16500000</v>
      </c>
      <c r="P19" s="12">
        <f t="shared" si="2"/>
        <v>119</v>
      </c>
      <c r="S19" s="12" t="s">
        <v>2354</v>
      </c>
      <c r="T19" s="12" t="s">
        <v>3354</v>
      </c>
    </row>
    <row r="20" spans="1:20" ht="15" customHeight="1" x14ac:dyDescent="0.2">
      <c r="A20" s="12" t="s">
        <v>310</v>
      </c>
      <c r="B20" s="36">
        <v>46034</v>
      </c>
      <c r="C20" s="12">
        <f t="shared" si="3"/>
        <v>17</v>
      </c>
      <c r="D20" s="38">
        <f t="shared" si="4"/>
        <v>1</v>
      </c>
      <c r="E20" s="12" t="str">
        <f t="shared" si="0"/>
        <v>017</v>
      </c>
      <c r="G20" s="12" t="s">
        <v>2314</v>
      </c>
      <c r="H20" s="12" t="s">
        <v>3264</v>
      </c>
      <c r="I20" s="12">
        <v>331</v>
      </c>
      <c r="J20" s="12">
        <v>1111</v>
      </c>
      <c r="K20" s="12" t="s">
        <v>20</v>
      </c>
      <c r="L20" s="12">
        <v>1</v>
      </c>
      <c r="M20" s="17">
        <v>6600000</v>
      </c>
      <c r="N20" s="17">
        <f t="shared" si="1"/>
        <v>6600000</v>
      </c>
      <c r="P20" s="12">
        <f t="shared" si="2"/>
        <v>71</v>
      </c>
      <c r="S20" s="12" t="s">
        <v>28</v>
      </c>
      <c r="T20" s="12" t="s">
        <v>3355</v>
      </c>
    </row>
    <row r="21" spans="1:20" ht="15" customHeight="1" x14ac:dyDescent="0.2">
      <c r="A21" s="12" t="s">
        <v>310</v>
      </c>
      <c r="B21" s="36">
        <v>46038</v>
      </c>
      <c r="C21" s="12">
        <f t="shared" si="3"/>
        <v>18</v>
      </c>
      <c r="D21" s="38">
        <f t="shared" si="4"/>
        <v>1</v>
      </c>
      <c r="E21" s="12" t="str">
        <f t="shared" si="0"/>
        <v>018</v>
      </c>
      <c r="G21" s="12" t="s">
        <v>54</v>
      </c>
      <c r="H21" s="12" t="s">
        <v>3265</v>
      </c>
      <c r="I21" s="12">
        <v>331</v>
      </c>
      <c r="J21" s="12">
        <v>1111</v>
      </c>
      <c r="K21" s="12" t="s">
        <v>20</v>
      </c>
      <c r="L21" s="12">
        <v>1</v>
      </c>
      <c r="M21" s="17">
        <v>99000</v>
      </c>
      <c r="N21" s="17">
        <f t="shared" si="1"/>
        <v>99000</v>
      </c>
      <c r="P21" s="12">
        <f t="shared" si="2"/>
        <v>83</v>
      </c>
      <c r="S21" s="12" t="s">
        <v>1880</v>
      </c>
      <c r="T21" s="12" t="s">
        <v>3356</v>
      </c>
    </row>
    <row r="22" spans="1:20" ht="15" customHeight="1" x14ac:dyDescent="0.2">
      <c r="A22" s="12" t="s">
        <v>310</v>
      </c>
      <c r="B22" s="36">
        <v>46042</v>
      </c>
      <c r="C22" s="12">
        <f t="shared" si="3"/>
        <v>19</v>
      </c>
      <c r="D22" s="38">
        <f t="shared" si="4"/>
        <v>1</v>
      </c>
      <c r="E22" s="12" t="str">
        <f t="shared" si="0"/>
        <v>019</v>
      </c>
      <c r="G22" s="12" t="s">
        <v>89</v>
      </c>
      <c r="H22" s="12" t="s">
        <v>3268</v>
      </c>
      <c r="I22" s="12">
        <v>331</v>
      </c>
      <c r="J22" s="12">
        <v>1111</v>
      </c>
      <c r="K22" s="12" t="s">
        <v>20</v>
      </c>
      <c r="L22" s="12">
        <v>1</v>
      </c>
      <c r="M22" s="17">
        <v>45000</v>
      </c>
      <c r="N22" s="17">
        <f t="shared" si="1"/>
        <v>45000</v>
      </c>
      <c r="P22" s="12">
        <f t="shared" si="2"/>
        <v>83</v>
      </c>
      <c r="S22" s="12" t="s">
        <v>97</v>
      </c>
      <c r="T22" s="12" t="s">
        <v>385</v>
      </c>
    </row>
    <row r="23" spans="1:20" ht="15" customHeight="1" x14ac:dyDescent="0.2">
      <c r="A23" s="12" t="s">
        <v>310</v>
      </c>
      <c r="B23" s="36">
        <v>46042</v>
      </c>
      <c r="C23" s="12">
        <f t="shared" si="3"/>
        <v>20</v>
      </c>
      <c r="D23" s="38">
        <f t="shared" si="4"/>
        <v>1</v>
      </c>
      <c r="E23" s="12" t="str">
        <f t="shared" si="0"/>
        <v>020</v>
      </c>
      <c r="G23" s="12" t="s">
        <v>89</v>
      </c>
      <c r="H23" s="12" t="s">
        <v>3267</v>
      </c>
      <c r="I23" s="12">
        <v>331</v>
      </c>
      <c r="J23" s="12">
        <v>1111</v>
      </c>
      <c r="K23" s="12" t="s">
        <v>20</v>
      </c>
      <c r="L23" s="12">
        <v>1</v>
      </c>
      <c r="M23" s="17">
        <v>61000</v>
      </c>
      <c r="N23" s="17">
        <f t="shared" si="1"/>
        <v>61000</v>
      </c>
      <c r="P23" s="12">
        <f t="shared" si="2"/>
        <v>83</v>
      </c>
      <c r="S23" s="12" t="s">
        <v>510</v>
      </c>
      <c r="T23" s="12" t="s">
        <v>3357</v>
      </c>
    </row>
    <row r="24" spans="1:20" ht="15" customHeight="1" x14ac:dyDescent="0.2">
      <c r="A24" s="12" t="s">
        <v>310</v>
      </c>
      <c r="B24" s="36">
        <v>46042</v>
      </c>
      <c r="C24" s="12">
        <f t="shared" si="3"/>
        <v>21</v>
      </c>
      <c r="D24" s="38">
        <f t="shared" si="4"/>
        <v>1</v>
      </c>
      <c r="E24" s="12" t="str">
        <f t="shared" si="0"/>
        <v>021</v>
      </c>
      <c r="G24" s="12" t="s">
        <v>54</v>
      </c>
      <c r="H24" s="12" t="s">
        <v>3266</v>
      </c>
      <c r="I24" s="12">
        <v>331</v>
      </c>
      <c r="J24" s="12">
        <v>1111</v>
      </c>
      <c r="K24" s="12" t="s">
        <v>20</v>
      </c>
      <c r="L24" s="12">
        <v>1</v>
      </c>
      <c r="M24" s="17">
        <v>1662120</v>
      </c>
      <c r="N24" s="17">
        <f t="shared" si="1"/>
        <v>1662120</v>
      </c>
      <c r="P24" s="12">
        <f t="shared" si="2"/>
        <v>92</v>
      </c>
      <c r="S24" s="12" t="s">
        <v>714</v>
      </c>
      <c r="T24" s="12" t="s">
        <v>3358</v>
      </c>
    </row>
    <row r="25" spans="1:20" ht="15" customHeight="1" x14ac:dyDescent="0.2">
      <c r="A25" s="12" t="s">
        <v>310</v>
      </c>
      <c r="B25" s="36">
        <v>46044</v>
      </c>
      <c r="C25" s="12">
        <f t="shared" si="3"/>
        <v>22</v>
      </c>
      <c r="D25" s="38">
        <f t="shared" si="4"/>
        <v>1</v>
      </c>
      <c r="E25" s="12" t="str">
        <f t="shared" si="0"/>
        <v>022</v>
      </c>
      <c r="G25" s="12" t="s">
        <v>19</v>
      </c>
      <c r="H25" s="12" t="s">
        <v>3270</v>
      </c>
      <c r="I25" s="12">
        <v>331</v>
      </c>
      <c r="J25" s="12">
        <v>1111</v>
      </c>
      <c r="K25" s="12" t="s">
        <v>20</v>
      </c>
      <c r="L25" s="12">
        <v>1</v>
      </c>
      <c r="M25" s="17">
        <v>103000</v>
      </c>
      <c r="N25" s="17">
        <f t="shared" si="1"/>
        <v>103000</v>
      </c>
      <c r="P25" s="12">
        <f t="shared" si="2"/>
        <v>136</v>
      </c>
      <c r="S25" s="12" t="s">
        <v>26</v>
      </c>
      <c r="T25" s="12" t="s">
        <v>3247</v>
      </c>
    </row>
    <row r="26" spans="1:20" ht="15" customHeight="1" x14ac:dyDescent="0.2">
      <c r="A26" s="12" t="s">
        <v>310</v>
      </c>
      <c r="B26" s="36">
        <v>46044</v>
      </c>
      <c r="C26" s="12">
        <f t="shared" si="3"/>
        <v>23</v>
      </c>
      <c r="D26" s="38">
        <f t="shared" si="4"/>
        <v>1</v>
      </c>
      <c r="E26" s="12" t="str">
        <f t="shared" si="0"/>
        <v>023</v>
      </c>
      <c r="G26" s="12" t="s">
        <v>19</v>
      </c>
      <c r="H26" s="12" t="s">
        <v>3269</v>
      </c>
      <c r="I26" s="12">
        <v>331</v>
      </c>
      <c r="J26" s="12">
        <v>1111</v>
      </c>
      <c r="K26" s="12" t="s">
        <v>20</v>
      </c>
      <c r="L26" s="12">
        <v>1</v>
      </c>
      <c r="M26" s="17">
        <v>85000</v>
      </c>
      <c r="N26" s="17">
        <f t="shared" si="1"/>
        <v>85000</v>
      </c>
      <c r="P26" s="12">
        <f t="shared" si="2"/>
        <v>136</v>
      </c>
      <c r="S26" s="12" t="s">
        <v>1777</v>
      </c>
      <c r="T26" s="12" t="s">
        <v>3359</v>
      </c>
    </row>
    <row r="27" spans="1:20" ht="15" customHeight="1" x14ac:dyDescent="0.2">
      <c r="A27" s="12" t="s">
        <v>310</v>
      </c>
      <c r="B27" s="36">
        <v>46048</v>
      </c>
      <c r="C27" s="12">
        <f t="shared" si="3"/>
        <v>24</v>
      </c>
      <c r="D27" s="38">
        <f t="shared" si="4"/>
        <v>1</v>
      </c>
      <c r="E27" s="12" t="str">
        <f t="shared" si="0"/>
        <v>024</v>
      </c>
      <c r="G27" s="12" t="s">
        <v>19</v>
      </c>
      <c r="H27" s="12" t="s">
        <v>3271</v>
      </c>
      <c r="I27" s="12">
        <v>331</v>
      </c>
      <c r="J27" s="12">
        <v>1111</v>
      </c>
      <c r="K27" s="12" t="s">
        <v>20</v>
      </c>
      <c r="L27" s="12">
        <v>1</v>
      </c>
      <c r="M27" s="17">
        <v>87000</v>
      </c>
      <c r="N27" s="17">
        <f t="shared" si="1"/>
        <v>87000</v>
      </c>
      <c r="P27" s="12">
        <f t="shared" si="2"/>
        <v>136</v>
      </c>
      <c r="S27" s="12" t="s">
        <v>81</v>
      </c>
      <c r="T27" s="12" t="s">
        <v>3360</v>
      </c>
    </row>
    <row r="28" spans="1:20" ht="15" customHeight="1" x14ac:dyDescent="0.2">
      <c r="A28" s="12" t="s">
        <v>310</v>
      </c>
      <c r="B28" s="36">
        <v>46053</v>
      </c>
      <c r="C28" s="12">
        <f t="shared" si="3"/>
        <v>25</v>
      </c>
      <c r="D28" s="38">
        <f t="shared" si="4"/>
        <v>1</v>
      </c>
      <c r="E28" s="12" t="str">
        <f t="shared" si="0"/>
        <v>025</v>
      </c>
      <c r="G28" s="12" t="s">
        <v>104</v>
      </c>
      <c r="H28" s="12" t="s">
        <v>3272</v>
      </c>
      <c r="I28" s="12">
        <v>331</v>
      </c>
      <c r="J28" s="12">
        <v>1111</v>
      </c>
      <c r="K28" s="12" t="s">
        <v>20</v>
      </c>
      <c r="L28" s="12">
        <v>1</v>
      </c>
      <c r="M28" s="17">
        <v>225000</v>
      </c>
      <c r="N28" s="17">
        <f t="shared" si="1"/>
        <v>225000</v>
      </c>
      <c r="P28" s="12">
        <f t="shared" si="2"/>
        <v>24</v>
      </c>
      <c r="S28" s="12" t="s">
        <v>68</v>
      </c>
      <c r="T28" s="12" t="s">
        <v>3361</v>
      </c>
    </row>
    <row r="29" spans="1:20" ht="15" customHeight="1" x14ac:dyDescent="0.2">
      <c r="A29" s="12" t="s">
        <v>310</v>
      </c>
      <c r="B29" s="36">
        <v>46056</v>
      </c>
      <c r="C29" s="12">
        <f t="shared" si="3"/>
        <v>26</v>
      </c>
      <c r="D29" s="38">
        <f t="shared" si="4"/>
        <v>1</v>
      </c>
      <c r="E29" s="12" t="str">
        <f t="shared" si="0"/>
        <v>026</v>
      </c>
      <c r="G29" s="12" t="s">
        <v>37</v>
      </c>
      <c r="H29" s="12" t="s">
        <v>3273</v>
      </c>
      <c r="I29" s="12">
        <v>331</v>
      </c>
      <c r="J29" s="12">
        <v>1111</v>
      </c>
      <c r="K29" s="12" t="s">
        <v>20</v>
      </c>
      <c r="L29" s="12">
        <v>1</v>
      </c>
      <c r="M29" s="17">
        <v>788400</v>
      </c>
      <c r="N29" s="17">
        <f t="shared" si="1"/>
        <v>788400</v>
      </c>
      <c r="P29" s="12">
        <f t="shared" si="2"/>
        <v>54</v>
      </c>
      <c r="S29" s="12" t="s">
        <v>82</v>
      </c>
      <c r="T29" s="12" t="s">
        <v>3362</v>
      </c>
    </row>
    <row r="30" spans="1:20" ht="15" customHeight="1" x14ac:dyDescent="0.2">
      <c r="A30" s="12" t="s">
        <v>310</v>
      </c>
      <c r="B30" s="36">
        <v>46058</v>
      </c>
      <c r="C30" s="12">
        <f t="shared" si="3"/>
        <v>27</v>
      </c>
      <c r="D30" s="38">
        <f t="shared" si="4"/>
        <v>1</v>
      </c>
      <c r="E30" s="12" t="str">
        <f t="shared" si="0"/>
        <v>027</v>
      </c>
      <c r="G30" s="12" t="s">
        <v>1040</v>
      </c>
      <c r="H30" s="12" t="s">
        <v>3274</v>
      </c>
      <c r="I30" s="12">
        <v>331</v>
      </c>
      <c r="J30" s="12">
        <v>1111</v>
      </c>
      <c r="K30" s="12" t="s">
        <v>20</v>
      </c>
      <c r="L30" s="12">
        <v>1</v>
      </c>
      <c r="M30" s="17">
        <v>694008</v>
      </c>
      <c r="N30" s="17">
        <f t="shared" si="1"/>
        <v>694008</v>
      </c>
      <c r="P30" s="12">
        <f t="shared" si="2"/>
        <v>52</v>
      </c>
      <c r="S30" s="12" t="s">
        <v>2368</v>
      </c>
      <c r="T30" s="12" t="s">
        <v>3363</v>
      </c>
    </row>
    <row r="31" spans="1:20" ht="15" customHeight="1" x14ac:dyDescent="0.2">
      <c r="A31" s="12" t="s">
        <v>310</v>
      </c>
      <c r="B31" s="36">
        <v>46061</v>
      </c>
      <c r="C31" s="12">
        <f t="shared" si="3"/>
        <v>28</v>
      </c>
      <c r="D31" s="38">
        <f t="shared" si="4"/>
        <v>1</v>
      </c>
      <c r="E31" s="12" t="str">
        <f t="shared" si="0"/>
        <v>028</v>
      </c>
      <c r="G31" s="12" t="s">
        <v>89</v>
      </c>
      <c r="H31" s="12" t="s">
        <v>3275</v>
      </c>
      <c r="I31" s="12">
        <v>331</v>
      </c>
      <c r="J31" s="12">
        <v>1111</v>
      </c>
      <c r="K31" s="12" t="s">
        <v>20</v>
      </c>
      <c r="L31" s="12">
        <v>1</v>
      </c>
      <c r="M31" s="17">
        <v>82000</v>
      </c>
      <c r="N31" s="17">
        <f t="shared" si="1"/>
        <v>82000</v>
      </c>
      <c r="P31" s="12">
        <f t="shared" si="2"/>
        <v>83</v>
      </c>
      <c r="S31" s="12" t="s">
        <v>56</v>
      </c>
      <c r="T31" s="12" t="s">
        <v>3364</v>
      </c>
    </row>
    <row r="32" spans="1:20" ht="15" customHeight="1" x14ac:dyDescent="0.2">
      <c r="A32" s="12" t="s">
        <v>310</v>
      </c>
      <c r="B32" s="36">
        <v>46062</v>
      </c>
      <c r="C32" s="12">
        <f t="shared" si="3"/>
        <v>29</v>
      </c>
      <c r="D32" s="38">
        <f t="shared" si="4"/>
        <v>1</v>
      </c>
      <c r="E32" s="12" t="str">
        <f t="shared" si="0"/>
        <v>029</v>
      </c>
      <c r="G32" s="12" t="s">
        <v>2326</v>
      </c>
      <c r="H32" s="12" t="s">
        <v>3277</v>
      </c>
      <c r="I32" s="12">
        <v>331</v>
      </c>
      <c r="J32" s="12">
        <v>1111</v>
      </c>
      <c r="K32" s="12" t="s">
        <v>20</v>
      </c>
      <c r="L32" s="12">
        <v>1</v>
      </c>
      <c r="M32" s="17">
        <v>1258200</v>
      </c>
      <c r="N32" s="17">
        <f t="shared" si="1"/>
        <v>1258200</v>
      </c>
      <c r="P32" s="12">
        <f t="shared" si="2"/>
        <v>52</v>
      </c>
      <c r="S32" s="12" t="s">
        <v>87</v>
      </c>
      <c r="T32" s="12" t="s">
        <v>395</v>
      </c>
    </row>
    <row r="33" spans="1:20" ht="15" customHeight="1" x14ac:dyDescent="0.2">
      <c r="A33" s="12" t="s">
        <v>310</v>
      </c>
      <c r="B33" s="36">
        <v>46062</v>
      </c>
      <c r="C33" s="12">
        <f t="shared" si="3"/>
        <v>30</v>
      </c>
      <c r="D33" s="38">
        <f t="shared" si="4"/>
        <v>1</v>
      </c>
      <c r="E33" s="12" t="str">
        <f t="shared" si="0"/>
        <v>030</v>
      </c>
      <c r="G33" s="12" t="s">
        <v>89</v>
      </c>
      <c r="H33" s="12" t="s">
        <v>3276</v>
      </c>
      <c r="I33" s="12">
        <v>331</v>
      </c>
      <c r="J33" s="12">
        <v>1111</v>
      </c>
      <c r="K33" s="12" t="s">
        <v>20</v>
      </c>
      <c r="L33" s="12">
        <v>1</v>
      </c>
      <c r="M33" s="17">
        <v>112000</v>
      </c>
      <c r="N33" s="17">
        <f t="shared" si="1"/>
        <v>112000</v>
      </c>
      <c r="P33" s="12">
        <f t="shared" si="2"/>
        <v>83</v>
      </c>
      <c r="S33" s="12" t="s">
        <v>84</v>
      </c>
      <c r="T33" s="12" t="s">
        <v>3365</v>
      </c>
    </row>
    <row r="34" spans="1:20" ht="15" customHeight="1" x14ac:dyDescent="0.2">
      <c r="A34" s="12" t="s">
        <v>310</v>
      </c>
      <c r="B34" s="36">
        <v>46062</v>
      </c>
      <c r="C34" s="12">
        <f t="shared" si="3"/>
        <v>31</v>
      </c>
      <c r="D34" s="38">
        <f t="shared" si="4"/>
        <v>1</v>
      </c>
      <c r="E34" s="12" t="str">
        <f t="shared" si="0"/>
        <v>031</v>
      </c>
      <c r="G34" s="12" t="s">
        <v>46</v>
      </c>
      <c r="H34" s="12" t="s">
        <v>3278</v>
      </c>
      <c r="I34" s="12">
        <v>331</v>
      </c>
      <c r="J34" s="12">
        <v>1111</v>
      </c>
      <c r="K34" s="12" t="s">
        <v>20</v>
      </c>
      <c r="L34" s="12">
        <v>1</v>
      </c>
      <c r="M34" s="17">
        <v>474120</v>
      </c>
      <c r="N34" s="17">
        <f t="shared" si="1"/>
        <v>474120</v>
      </c>
      <c r="P34" s="12">
        <f t="shared" si="2"/>
        <v>156</v>
      </c>
      <c r="S34" s="12" t="s">
        <v>29</v>
      </c>
      <c r="T34" s="12" t="s">
        <v>388</v>
      </c>
    </row>
    <row r="35" spans="1:20" ht="15" customHeight="1" x14ac:dyDescent="0.2">
      <c r="A35" s="12" t="s">
        <v>310</v>
      </c>
      <c r="B35" s="36">
        <v>46065</v>
      </c>
      <c r="C35" s="12">
        <f t="shared" si="3"/>
        <v>32</v>
      </c>
      <c r="D35" s="38">
        <f t="shared" si="4"/>
        <v>1</v>
      </c>
      <c r="E35" s="12" t="str">
        <f t="shared" si="0"/>
        <v>032</v>
      </c>
      <c r="G35" s="12" t="s">
        <v>2179</v>
      </c>
      <c r="H35" s="12" t="s">
        <v>3279</v>
      </c>
      <c r="I35" s="12">
        <v>331</v>
      </c>
      <c r="J35" s="12">
        <v>1111</v>
      </c>
      <c r="K35" s="12" t="s">
        <v>20</v>
      </c>
      <c r="L35" s="12">
        <v>1</v>
      </c>
      <c r="M35" s="17">
        <v>0</v>
      </c>
      <c r="N35" s="17">
        <f t="shared" si="1"/>
        <v>0</v>
      </c>
      <c r="P35" s="12">
        <f t="shared" si="2"/>
        <v>185</v>
      </c>
      <c r="S35" s="12" t="s">
        <v>717</v>
      </c>
      <c r="T35" s="12" t="s">
        <v>3366</v>
      </c>
    </row>
    <row r="36" spans="1:20" ht="15" customHeight="1" x14ac:dyDescent="0.2">
      <c r="A36" s="12" t="s">
        <v>310</v>
      </c>
      <c r="B36" s="36">
        <v>46066</v>
      </c>
      <c r="C36" s="12">
        <f t="shared" si="3"/>
        <v>33</v>
      </c>
      <c r="D36" s="38">
        <f t="shared" si="4"/>
        <v>1</v>
      </c>
      <c r="E36" s="12" t="str">
        <f t="shared" si="0"/>
        <v>033</v>
      </c>
      <c r="G36" s="12" t="s">
        <v>2241</v>
      </c>
      <c r="H36" s="12" t="s">
        <v>3280</v>
      </c>
      <c r="I36" s="12">
        <v>331</v>
      </c>
      <c r="J36" s="12">
        <v>1111</v>
      </c>
      <c r="K36" s="12" t="s">
        <v>20</v>
      </c>
      <c r="L36" s="12">
        <v>1</v>
      </c>
      <c r="M36" s="17">
        <v>0</v>
      </c>
      <c r="N36" s="17">
        <f t="shared" si="1"/>
        <v>0</v>
      </c>
      <c r="P36" s="12">
        <f t="shared" si="2"/>
        <v>73</v>
      </c>
      <c r="S36" s="14" t="s">
        <v>311</v>
      </c>
      <c r="T36" s="12" t="s">
        <v>3248</v>
      </c>
    </row>
    <row r="37" spans="1:20" ht="15" customHeight="1" x14ac:dyDescent="0.2">
      <c r="A37" s="12" t="s">
        <v>310</v>
      </c>
      <c r="B37" s="36">
        <v>46078</v>
      </c>
      <c r="C37" s="12">
        <f t="shared" si="3"/>
        <v>34</v>
      </c>
      <c r="D37" s="38">
        <f t="shared" si="4"/>
        <v>1</v>
      </c>
      <c r="E37" s="12" t="str">
        <f t="shared" si="0"/>
        <v>034</v>
      </c>
      <c r="G37" s="12" t="s">
        <v>89</v>
      </c>
      <c r="H37" s="12" t="s">
        <v>3284</v>
      </c>
      <c r="I37" s="12">
        <v>331</v>
      </c>
      <c r="J37" s="12">
        <v>1111</v>
      </c>
      <c r="K37" s="12" t="s">
        <v>20</v>
      </c>
      <c r="L37" s="12">
        <v>1</v>
      </c>
      <c r="M37" s="17">
        <v>63000</v>
      </c>
      <c r="N37" s="17">
        <f t="shared" si="1"/>
        <v>63000</v>
      </c>
      <c r="P37" s="12">
        <f t="shared" si="2"/>
        <v>84</v>
      </c>
      <c r="S37" s="12" t="s">
        <v>2381</v>
      </c>
      <c r="T37" s="12" t="s">
        <v>3367</v>
      </c>
    </row>
    <row r="38" spans="1:20" ht="15" customHeight="1" x14ac:dyDescent="0.2">
      <c r="A38" s="12" t="s">
        <v>310</v>
      </c>
      <c r="B38" s="36">
        <v>46078</v>
      </c>
      <c r="C38" s="12">
        <f t="shared" si="3"/>
        <v>35</v>
      </c>
      <c r="D38" s="38">
        <f t="shared" si="4"/>
        <v>1</v>
      </c>
      <c r="E38" s="12" t="str">
        <f t="shared" si="0"/>
        <v>035</v>
      </c>
      <c r="G38" s="12" t="s">
        <v>89</v>
      </c>
      <c r="H38" s="12" t="s">
        <v>3283</v>
      </c>
      <c r="I38" s="12">
        <v>331</v>
      </c>
      <c r="J38" s="12">
        <v>1111</v>
      </c>
      <c r="K38" s="12" t="s">
        <v>20</v>
      </c>
      <c r="L38" s="12">
        <v>1</v>
      </c>
      <c r="M38" s="17">
        <v>54000</v>
      </c>
      <c r="N38" s="17">
        <f t="shared" si="1"/>
        <v>54000</v>
      </c>
      <c r="P38" s="12">
        <f t="shared" si="2"/>
        <v>84</v>
      </c>
      <c r="S38" s="130" t="s">
        <v>2211</v>
      </c>
      <c r="T38" s="12" t="s">
        <v>2208</v>
      </c>
    </row>
    <row r="39" spans="1:20" ht="15" customHeight="1" x14ac:dyDescent="0.25">
      <c r="A39" s="12" t="s">
        <v>310</v>
      </c>
      <c r="B39" s="36">
        <v>46078</v>
      </c>
      <c r="C39" s="12">
        <f t="shared" si="3"/>
        <v>36</v>
      </c>
      <c r="D39" s="38">
        <f t="shared" si="4"/>
        <v>1</v>
      </c>
      <c r="E39" s="12" t="str">
        <f t="shared" si="0"/>
        <v>036</v>
      </c>
      <c r="G39" s="12" t="s">
        <v>89</v>
      </c>
      <c r="H39" s="12" t="s">
        <v>3282</v>
      </c>
      <c r="I39" s="12">
        <v>331</v>
      </c>
      <c r="J39" s="12">
        <v>1111</v>
      </c>
      <c r="K39" s="12" t="s">
        <v>20</v>
      </c>
      <c r="L39" s="12">
        <v>1</v>
      </c>
      <c r="M39" s="17">
        <v>88000</v>
      </c>
      <c r="N39" s="17">
        <f t="shared" si="1"/>
        <v>88000</v>
      </c>
      <c r="P39" s="12">
        <f t="shared" si="2"/>
        <v>84</v>
      </c>
      <c r="S39"/>
      <c r="T39"/>
    </row>
    <row r="40" spans="1:20" ht="15" customHeight="1" x14ac:dyDescent="0.25">
      <c r="A40" s="12" t="s">
        <v>310</v>
      </c>
      <c r="B40" s="36">
        <v>46078</v>
      </c>
      <c r="C40" s="12">
        <f t="shared" si="3"/>
        <v>37</v>
      </c>
      <c r="D40" s="38">
        <f t="shared" si="4"/>
        <v>1</v>
      </c>
      <c r="E40" s="12" t="str">
        <f t="shared" si="0"/>
        <v>037</v>
      </c>
      <c r="G40" s="12" t="s">
        <v>89</v>
      </c>
      <c r="H40" s="12" t="s">
        <v>3281</v>
      </c>
      <c r="I40" s="12">
        <v>331</v>
      </c>
      <c r="J40" s="12">
        <v>1111</v>
      </c>
      <c r="K40" s="12" t="s">
        <v>20</v>
      </c>
      <c r="L40" s="12">
        <v>1</v>
      </c>
      <c r="M40" s="17">
        <v>31000</v>
      </c>
      <c r="N40" s="17">
        <f t="shared" si="1"/>
        <v>31000</v>
      </c>
      <c r="P40" s="12">
        <f t="shared" si="2"/>
        <v>84</v>
      </c>
      <c r="S40"/>
      <c r="T40"/>
    </row>
    <row r="41" spans="1:20" ht="15" customHeight="1" x14ac:dyDescent="0.25">
      <c r="A41" s="12" t="s">
        <v>310</v>
      </c>
      <c r="B41" s="36">
        <v>46079</v>
      </c>
      <c r="C41" s="12">
        <f t="shared" si="3"/>
        <v>38</v>
      </c>
      <c r="D41" s="38">
        <f t="shared" si="4"/>
        <v>1</v>
      </c>
      <c r="E41" s="12" t="str">
        <f t="shared" si="0"/>
        <v>038</v>
      </c>
      <c r="G41" s="12" t="s">
        <v>2334</v>
      </c>
      <c r="H41" s="12" t="s">
        <v>3285</v>
      </c>
      <c r="I41" s="12">
        <v>331</v>
      </c>
      <c r="J41" s="12">
        <v>1111</v>
      </c>
      <c r="K41" s="12" t="s">
        <v>20</v>
      </c>
      <c r="L41" s="12">
        <v>1</v>
      </c>
      <c r="M41" s="17">
        <v>902880</v>
      </c>
      <c r="N41" s="17">
        <f t="shared" si="1"/>
        <v>902880</v>
      </c>
      <c r="P41" s="12">
        <f t="shared" si="2"/>
        <v>52</v>
      </c>
      <c r="S41"/>
      <c r="T41"/>
    </row>
    <row r="42" spans="1:20" ht="15" customHeight="1" x14ac:dyDescent="0.25">
      <c r="A42" s="12" t="s">
        <v>310</v>
      </c>
      <c r="B42" s="36">
        <v>46081</v>
      </c>
      <c r="C42" s="12">
        <f t="shared" si="3"/>
        <v>39</v>
      </c>
      <c r="D42" s="38">
        <f t="shared" si="4"/>
        <v>1</v>
      </c>
      <c r="E42" s="12" t="str">
        <f t="shared" si="0"/>
        <v>039</v>
      </c>
      <c r="G42" s="12" t="s">
        <v>104</v>
      </c>
      <c r="H42" s="12" t="s">
        <v>3286</v>
      </c>
      <c r="I42" s="12">
        <v>331</v>
      </c>
      <c r="J42" s="12">
        <v>1111</v>
      </c>
      <c r="K42" s="12" t="s">
        <v>20</v>
      </c>
      <c r="L42" s="12">
        <v>1</v>
      </c>
      <c r="M42" s="17">
        <v>225000</v>
      </c>
      <c r="N42" s="17">
        <f t="shared" si="1"/>
        <v>225000</v>
      </c>
      <c r="P42" s="12">
        <f t="shared" si="2"/>
        <v>25</v>
      </c>
      <c r="S42"/>
      <c r="T42"/>
    </row>
    <row r="43" spans="1:20" ht="15" customHeight="1" x14ac:dyDescent="0.25">
      <c r="A43" s="12" t="s">
        <v>310</v>
      </c>
      <c r="B43" s="36">
        <v>46081</v>
      </c>
      <c r="C43" s="12">
        <f t="shared" si="3"/>
        <v>40</v>
      </c>
      <c r="D43" s="38">
        <f t="shared" si="4"/>
        <v>1</v>
      </c>
      <c r="E43" s="12" t="str">
        <f t="shared" si="0"/>
        <v>040</v>
      </c>
      <c r="G43" s="12" t="s">
        <v>261</v>
      </c>
      <c r="H43" s="12" t="s">
        <v>3287</v>
      </c>
      <c r="I43" s="12">
        <v>331</v>
      </c>
      <c r="J43" s="12">
        <v>1111</v>
      </c>
      <c r="K43" s="12" t="s">
        <v>20</v>
      </c>
      <c r="L43" s="12">
        <v>1</v>
      </c>
      <c r="M43" s="17">
        <v>5800000</v>
      </c>
      <c r="N43" s="17">
        <f t="shared" si="1"/>
        <v>5800000</v>
      </c>
      <c r="P43" s="12">
        <f t="shared" si="2"/>
        <v>77</v>
      </c>
      <c r="S43"/>
      <c r="T43"/>
    </row>
    <row r="44" spans="1:20" ht="15" customHeight="1" x14ac:dyDescent="0.25">
      <c r="A44" s="12" t="s">
        <v>310</v>
      </c>
      <c r="B44" s="36">
        <v>46083</v>
      </c>
      <c r="C44" s="12">
        <f t="shared" si="3"/>
        <v>41</v>
      </c>
      <c r="D44" s="38">
        <f t="shared" si="4"/>
        <v>1</v>
      </c>
      <c r="E44" s="12" t="str">
        <f t="shared" si="0"/>
        <v>041</v>
      </c>
      <c r="G44" s="12" t="s">
        <v>89</v>
      </c>
      <c r="H44" s="12" t="s">
        <v>3288</v>
      </c>
      <c r="I44" s="12">
        <v>331</v>
      </c>
      <c r="J44" s="12">
        <v>1111</v>
      </c>
      <c r="K44" s="12" t="s">
        <v>20</v>
      </c>
      <c r="L44" s="12">
        <v>1</v>
      </c>
      <c r="M44" s="17">
        <v>18000</v>
      </c>
      <c r="N44" s="17">
        <f t="shared" si="1"/>
        <v>18000</v>
      </c>
      <c r="P44" s="12">
        <f t="shared" si="2"/>
        <v>84</v>
      </c>
      <c r="S44"/>
      <c r="T44"/>
    </row>
    <row r="45" spans="1:20" ht="15" customHeight="1" x14ac:dyDescent="0.25">
      <c r="A45" s="12" t="s">
        <v>310</v>
      </c>
      <c r="B45" s="36">
        <v>46083</v>
      </c>
      <c r="C45" s="12">
        <f t="shared" si="3"/>
        <v>42</v>
      </c>
      <c r="D45" s="38">
        <f t="shared" si="4"/>
        <v>1</v>
      </c>
      <c r="E45" s="12" t="str">
        <f t="shared" si="0"/>
        <v>042</v>
      </c>
      <c r="G45" s="12" t="s">
        <v>1725</v>
      </c>
      <c r="H45" s="12" t="s">
        <v>3289</v>
      </c>
      <c r="I45" s="12">
        <v>331</v>
      </c>
      <c r="J45" s="12">
        <v>1111</v>
      </c>
      <c r="K45" s="12" t="s">
        <v>20</v>
      </c>
      <c r="L45" s="12">
        <v>1</v>
      </c>
      <c r="M45" s="17">
        <v>1500000</v>
      </c>
      <c r="N45" s="17">
        <f t="shared" si="1"/>
        <v>1500000</v>
      </c>
      <c r="P45" s="12">
        <f t="shared" si="2"/>
        <v>60</v>
      </c>
      <c r="S45"/>
      <c r="T45"/>
    </row>
    <row r="46" spans="1:20" ht="15" customHeight="1" x14ac:dyDescent="0.25">
      <c r="A46" s="12" t="s">
        <v>310</v>
      </c>
      <c r="B46" s="36">
        <v>46084</v>
      </c>
      <c r="C46" s="12">
        <f t="shared" si="3"/>
        <v>43</v>
      </c>
      <c r="D46" s="38">
        <f t="shared" si="4"/>
        <v>1</v>
      </c>
      <c r="E46" s="12" t="str">
        <f t="shared" si="0"/>
        <v>043</v>
      </c>
      <c r="G46" s="12" t="s">
        <v>89</v>
      </c>
      <c r="H46" s="12" t="s">
        <v>3291</v>
      </c>
      <c r="I46" s="12">
        <v>331</v>
      </c>
      <c r="J46" s="12">
        <v>1111</v>
      </c>
      <c r="K46" s="12" t="s">
        <v>20</v>
      </c>
      <c r="L46" s="12">
        <v>1</v>
      </c>
      <c r="M46" s="17">
        <v>40000</v>
      </c>
      <c r="N46" s="17">
        <f t="shared" si="1"/>
        <v>40000</v>
      </c>
      <c r="P46" s="12">
        <f t="shared" si="2"/>
        <v>84</v>
      </c>
      <c r="S46"/>
      <c r="T46"/>
    </row>
    <row r="47" spans="1:20" ht="15" customHeight="1" x14ac:dyDescent="0.25">
      <c r="A47" s="12" t="s">
        <v>310</v>
      </c>
      <c r="B47" s="36">
        <v>46084</v>
      </c>
      <c r="C47" s="12">
        <f t="shared" si="3"/>
        <v>44</v>
      </c>
      <c r="D47" s="38">
        <f t="shared" si="4"/>
        <v>1</v>
      </c>
      <c r="E47" s="12" t="str">
        <f t="shared" si="0"/>
        <v>044</v>
      </c>
      <c r="G47" s="12" t="s">
        <v>89</v>
      </c>
      <c r="H47" s="12" t="s">
        <v>3290</v>
      </c>
      <c r="I47" s="12">
        <v>331</v>
      </c>
      <c r="J47" s="12">
        <v>1111</v>
      </c>
      <c r="K47" s="12" t="s">
        <v>20</v>
      </c>
      <c r="L47" s="12">
        <v>1</v>
      </c>
      <c r="M47" s="17">
        <v>38000</v>
      </c>
      <c r="N47" s="17">
        <f t="shared" si="1"/>
        <v>38000</v>
      </c>
      <c r="P47" s="12">
        <f t="shared" si="2"/>
        <v>84</v>
      </c>
      <c r="S47"/>
      <c r="T47"/>
    </row>
    <row r="48" spans="1:20" ht="15" customHeight="1" x14ac:dyDescent="0.25">
      <c r="A48" s="12" t="s">
        <v>310</v>
      </c>
      <c r="B48" s="36">
        <v>46085</v>
      </c>
      <c r="C48" s="12">
        <f t="shared" si="3"/>
        <v>45</v>
      </c>
      <c r="D48" s="38">
        <f t="shared" si="4"/>
        <v>1</v>
      </c>
      <c r="E48" s="12" t="str">
        <f t="shared" si="0"/>
        <v>045</v>
      </c>
      <c r="G48" s="12" t="s">
        <v>35</v>
      </c>
      <c r="H48" s="12" t="s">
        <v>3292</v>
      </c>
      <c r="I48" s="12">
        <v>331</v>
      </c>
      <c r="J48" s="12">
        <v>1111</v>
      </c>
      <c r="K48" s="12" t="s">
        <v>20</v>
      </c>
      <c r="L48" s="12">
        <v>1</v>
      </c>
      <c r="M48" s="17">
        <v>3240000</v>
      </c>
      <c r="N48" s="17">
        <f t="shared" si="1"/>
        <v>3240000</v>
      </c>
      <c r="P48" s="12">
        <f t="shared" si="2"/>
        <v>52</v>
      </c>
      <c r="S48"/>
      <c r="T48"/>
    </row>
    <row r="49" spans="1:20" ht="15" customHeight="1" x14ac:dyDescent="0.25">
      <c r="A49" s="12" t="s">
        <v>310</v>
      </c>
      <c r="B49" s="36">
        <v>46086</v>
      </c>
      <c r="C49" s="12">
        <f t="shared" si="3"/>
        <v>46</v>
      </c>
      <c r="D49" s="38">
        <f t="shared" si="4"/>
        <v>1</v>
      </c>
      <c r="E49" s="12" t="str">
        <f t="shared" si="0"/>
        <v>046</v>
      </c>
      <c r="G49" s="12" t="s">
        <v>89</v>
      </c>
      <c r="H49" s="12" t="s">
        <v>3293</v>
      </c>
      <c r="I49" s="12">
        <v>331</v>
      </c>
      <c r="J49" s="12">
        <v>1111</v>
      </c>
      <c r="K49" s="12" t="s">
        <v>20</v>
      </c>
      <c r="L49" s="12">
        <v>1</v>
      </c>
      <c r="M49" s="17">
        <v>44000</v>
      </c>
      <c r="N49" s="17">
        <f t="shared" si="1"/>
        <v>44000</v>
      </c>
      <c r="P49" s="12">
        <f t="shared" si="2"/>
        <v>84</v>
      </c>
      <c r="S49"/>
      <c r="T49"/>
    </row>
    <row r="50" spans="1:20" ht="15" customHeight="1" x14ac:dyDescent="0.25">
      <c r="A50" s="12" t="s">
        <v>310</v>
      </c>
      <c r="B50" s="36">
        <v>46095</v>
      </c>
      <c r="C50" s="12">
        <f t="shared" si="3"/>
        <v>47</v>
      </c>
      <c r="D50" s="38">
        <f t="shared" si="4"/>
        <v>1</v>
      </c>
      <c r="E50" s="12" t="str">
        <f t="shared" si="0"/>
        <v>047</v>
      </c>
      <c r="G50" s="12" t="s">
        <v>89</v>
      </c>
      <c r="H50" s="12" t="s">
        <v>3294</v>
      </c>
      <c r="I50" s="12">
        <v>331</v>
      </c>
      <c r="J50" s="12">
        <v>1111</v>
      </c>
      <c r="K50" s="12" t="s">
        <v>20</v>
      </c>
      <c r="L50" s="12">
        <v>1</v>
      </c>
      <c r="M50" s="17">
        <v>59000</v>
      </c>
      <c r="N50" s="17">
        <f t="shared" si="1"/>
        <v>59000</v>
      </c>
      <c r="P50" s="12">
        <f t="shared" si="2"/>
        <v>83</v>
      </c>
      <c r="S50"/>
      <c r="T50"/>
    </row>
    <row r="51" spans="1:20" ht="15" customHeight="1" x14ac:dyDescent="0.25">
      <c r="A51" s="12" t="s">
        <v>310</v>
      </c>
      <c r="B51" s="36">
        <v>46096</v>
      </c>
      <c r="C51" s="12">
        <f t="shared" si="3"/>
        <v>48</v>
      </c>
      <c r="D51" s="38">
        <f t="shared" si="4"/>
        <v>1</v>
      </c>
      <c r="E51" s="12" t="str">
        <f t="shared" si="0"/>
        <v>048</v>
      </c>
      <c r="G51" s="12" t="s">
        <v>89</v>
      </c>
      <c r="H51" s="12" t="s">
        <v>3295</v>
      </c>
      <c r="I51" s="12">
        <v>331</v>
      </c>
      <c r="J51" s="12">
        <v>1111</v>
      </c>
      <c r="K51" s="12" t="s">
        <v>20</v>
      </c>
      <c r="L51" s="12">
        <v>1</v>
      </c>
      <c r="M51" s="17">
        <v>96000</v>
      </c>
      <c r="N51" s="17">
        <f t="shared" si="1"/>
        <v>96000</v>
      </c>
      <c r="P51" s="12">
        <f t="shared" si="2"/>
        <v>84</v>
      </c>
      <c r="S51"/>
      <c r="T51"/>
    </row>
    <row r="52" spans="1:20" ht="15" customHeight="1" x14ac:dyDescent="0.25">
      <c r="A52" s="12" t="s">
        <v>310</v>
      </c>
      <c r="B52" s="36">
        <v>46097</v>
      </c>
      <c r="C52" s="12">
        <f t="shared" si="3"/>
        <v>49</v>
      </c>
      <c r="D52" s="38">
        <f t="shared" si="4"/>
        <v>1</v>
      </c>
      <c r="E52" s="12" t="str">
        <f t="shared" si="0"/>
        <v>049</v>
      </c>
      <c r="G52" s="12" t="s">
        <v>89</v>
      </c>
      <c r="H52" s="12" t="s">
        <v>3296</v>
      </c>
      <c r="I52" s="12">
        <v>331</v>
      </c>
      <c r="J52" s="12">
        <v>1111</v>
      </c>
      <c r="K52" s="12" t="s">
        <v>20</v>
      </c>
      <c r="L52" s="12">
        <v>1</v>
      </c>
      <c r="M52" s="17">
        <v>41000</v>
      </c>
      <c r="N52" s="17">
        <f t="shared" si="1"/>
        <v>41000</v>
      </c>
      <c r="P52" s="12">
        <f t="shared" si="2"/>
        <v>84</v>
      </c>
      <c r="S52"/>
      <c r="T52"/>
    </row>
    <row r="53" spans="1:20" ht="15" customHeight="1" x14ac:dyDescent="0.25">
      <c r="A53" s="12" t="s">
        <v>310</v>
      </c>
      <c r="B53" s="36">
        <v>46097</v>
      </c>
      <c r="C53" s="12">
        <f t="shared" si="3"/>
        <v>50</v>
      </c>
      <c r="D53" s="38">
        <f t="shared" si="4"/>
        <v>1</v>
      </c>
      <c r="E53" s="12" t="str">
        <f t="shared" si="0"/>
        <v>050</v>
      </c>
      <c r="G53" s="12" t="s">
        <v>89</v>
      </c>
      <c r="H53" s="12" t="s">
        <v>3297</v>
      </c>
      <c r="I53" s="12">
        <v>331</v>
      </c>
      <c r="J53" s="12">
        <v>1111</v>
      </c>
      <c r="K53" s="12" t="s">
        <v>20</v>
      </c>
      <c r="L53" s="12">
        <v>1</v>
      </c>
      <c r="M53" s="17">
        <v>28000</v>
      </c>
      <c r="N53" s="17">
        <f t="shared" si="1"/>
        <v>28000</v>
      </c>
      <c r="P53" s="12">
        <f t="shared" si="2"/>
        <v>83</v>
      </c>
      <c r="S53"/>
      <c r="T53"/>
    </row>
    <row r="54" spans="1:20" ht="15" customHeight="1" x14ac:dyDescent="0.25">
      <c r="A54" s="12" t="s">
        <v>310</v>
      </c>
      <c r="B54" s="36">
        <v>46098</v>
      </c>
      <c r="C54" s="12">
        <f t="shared" si="3"/>
        <v>51</v>
      </c>
      <c r="D54" s="38">
        <f t="shared" si="4"/>
        <v>1</v>
      </c>
      <c r="E54" s="12" t="str">
        <f t="shared" si="0"/>
        <v>051</v>
      </c>
      <c r="G54" s="12" t="s">
        <v>2334</v>
      </c>
      <c r="H54" s="12" t="s">
        <v>3299</v>
      </c>
      <c r="I54" s="12">
        <v>331</v>
      </c>
      <c r="J54" s="12">
        <v>1111</v>
      </c>
      <c r="K54" s="12" t="s">
        <v>20</v>
      </c>
      <c r="L54" s="12">
        <v>1</v>
      </c>
      <c r="M54" s="17">
        <v>1446120</v>
      </c>
      <c r="N54" s="17">
        <f t="shared" si="1"/>
        <v>1446120</v>
      </c>
      <c r="P54" s="12">
        <f t="shared" si="2"/>
        <v>52</v>
      </c>
      <c r="S54"/>
      <c r="T54"/>
    </row>
    <row r="55" spans="1:20" ht="15" customHeight="1" x14ac:dyDescent="0.25">
      <c r="A55" s="12" t="s">
        <v>310</v>
      </c>
      <c r="B55" s="36">
        <v>46098</v>
      </c>
      <c r="C55" s="12">
        <f t="shared" si="3"/>
        <v>52</v>
      </c>
      <c r="D55" s="38">
        <f t="shared" si="4"/>
        <v>1</v>
      </c>
      <c r="E55" s="12" t="str">
        <f t="shared" si="0"/>
        <v>052</v>
      </c>
      <c r="G55" s="12" t="s">
        <v>89</v>
      </c>
      <c r="H55" s="12" t="s">
        <v>3298</v>
      </c>
      <c r="I55" s="12">
        <v>331</v>
      </c>
      <c r="J55" s="12">
        <v>1111</v>
      </c>
      <c r="K55" s="12" t="s">
        <v>20</v>
      </c>
      <c r="L55" s="12">
        <v>1</v>
      </c>
      <c r="M55" s="17">
        <v>42000</v>
      </c>
      <c r="N55" s="17">
        <f t="shared" si="1"/>
        <v>42000</v>
      </c>
      <c r="P55" s="12">
        <f t="shared" si="2"/>
        <v>83</v>
      </c>
      <c r="S55"/>
      <c r="T55"/>
    </row>
    <row r="56" spans="1:20" ht="15" customHeight="1" x14ac:dyDescent="0.25">
      <c r="A56" s="12" t="s">
        <v>310</v>
      </c>
      <c r="B56" s="36">
        <v>46099</v>
      </c>
      <c r="C56" s="12">
        <f t="shared" si="3"/>
        <v>53</v>
      </c>
      <c r="D56" s="38">
        <f t="shared" si="4"/>
        <v>1</v>
      </c>
      <c r="E56" s="12" t="str">
        <f t="shared" si="0"/>
        <v>053</v>
      </c>
      <c r="G56" s="12" t="s">
        <v>89</v>
      </c>
      <c r="H56" s="12" t="s">
        <v>3302</v>
      </c>
      <c r="I56" s="12">
        <v>331</v>
      </c>
      <c r="J56" s="12">
        <v>1111</v>
      </c>
      <c r="K56" s="12" t="s">
        <v>20</v>
      </c>
      <c r="L56" s="12">
        <v>1</v>
      </c>
      <c r="M56" s="17">
        <v>48000</v>
      </c>
      <c r="N56" s="17">
        <f t="shared" si="1"/>
        <v>48000</v>
      </c>
      <c r="P56" s="12">
        <f t="shared" si="2"/>
        <v>83</v>
      </c>
      <c r="S56"/>
      <c r="T56"/>
    </row>
    <row r="57" spans="1:20" ht="15" customHeight="1" x14ac:dyDescent="0.25">
      <c r="A57" s="12" t="s">
        <v>310</v>
      </c>
      <c r="B57" s="36">
        <v>46099</v>
      </c>
      <c r="C57" s="12">
        <f t="shared" si="3"/>
        <v>54</v>
      </c>
      <c r="D57" s="38">
        <f t="shared" si="4"/>
        <v>1</v>
      </c>
      <c r="E57" s="12" t="str">
        <f t="shared" si="0"/>
        <v>054</v>
      </c>
      <c r="G57" s="12" t="s">
        <v>89</v>
      </c>
      <c r="H57" s="12" t="s">
        <v>3301</v>
      </c>
      <c r="I57" s="12">
        <v>331</v>
      </c>
      <c r="J57" s="12">
        <v>1111</v>
      </c>
      <c r="K57" s="12" t="s">
        <v>20</v>
      </c>
      <c r="L57" s="12">
        <v>1</v>
      </c>
      <c r="M57" s="17">
        <v>64000</v>
      </c>
      <c r="N57" s="17">
        <f t="shared" si="1"/>
        <v>64000</v>
      </c>
      <c r="P57" s="12">
        <f t="shared" si="2"/>
        <v>83</v>
      </c>
      <c r="S57"/>
      <c r="T57"/>
    </row>
    <row r="58" spans="1:20" ht="15" customHeight="1" x14ac:dyDescent="0.25">
      <c r="A58" s="12" t="s">
        <v>310</v>
      </c>
      <c r="B58" s="36">
        <v>46099</v>
      </c>
      <c r="C58" s="12">
        <f t="shared" si="3"/>
        <v>55</v>
      </c>
      <c r="D58" s="38">
        <f t="shared" si="4"/>
        <v>1</v>
      </c>
      <c r="E58" s="12" t="str">
        <f t="shared" si="0"/>
        <v>055</v>
      </c>
      <c r="G58" s="12" t="s">
        <v>89</v>
      </c>
      <c r="H58" s="12" t="s">
        <v>3300</v>
      </c>
      <c r="I58" s="12">
        <v>331</v>
      </c>
      <c r="J58" s="12">
        <v>1111</v>
      </c>
      <c r="K58" s="12" t="s">
        <v>20</v>
      </c>
      <c r="L58" s="12">
        <v>1</v>
      </c>
      <c r="M58" s="17">
        <v>71000</v>
      </c>
      <c r="N58" s="17">
        <f t="shared" si="1"/>
        <v>71000</v>
      </c>
      <c r="P58" s="12">
        <f t="shared" si="2"/>
        <v>83</v>
      </c>
      <c r="S58"/>
      <c r="T58"/>
    </row>
    <row r="59" spans="1:20" ht="15" customHeight="1" x14ac:dyDescent="0.25">
      <c r="A59" s="12" t="s">
        <v>310</v>
      </c>
      <c r="B59" s="36">
        <v>46100</v>
      </c>
      <c r="C59" s="12">
        <f t="shared" si="3"/>
        <v>56</v>
      </c>
      <c r="D59" s="38">
        <f t="shared" si="4"/>
        <v>1</v>
      </c>
      <c r="E59" s="12" t="str">
        <f t="shared" si="0"/>
        <v>056</v>
      </c>
      <c r="G59" s="12" t="s">
        <v>89</v>
      </c>
      <c r="H59" s="12" t="s">
        <v>3303</v>
      </c>
      <c r="I59" s="12">
        <v>331</v>
      </c>
      <c r="J59" s="12">
        <v>1111</v>
      </c>
      <c r="K59" s="12" t="s">
        <v>20</v>
      </c>
      <c r="L59" s="12">
        <v>1</v>
      </c>
      <c r="M59" s="17">
        <v>95000</v>
      </c>
      <c r="N59" s="17">
        <f t="shared" si="1"/>
        <v>95000</v>
      </c>
      <c r="P59" s="12">
        <f t="shared" si="2"/>
        <v>84</v>
      </c>
      <c r="S59"/>
      <c r="T59"/>
    </row>
    <row r="60" spans="1:20" ht="15" customHeight="1" x14ac:dyDescent="0.25">
      <c r="A60" s="12" t="s">
        <v>310</v>
      </c>
      <c r="B60" s="13">
        <v>46101</v>
      </c>
      <c r="C60" s="12">
        <f t="shared" si="3"/>
        <v>57</v>
      </c>
      <c r="D60" s="38">
        <f t="shared" si="4"/>
        <v>1</v>
      </c>
      <c r="E60" s="12" t="str">
        <f t="shared" si="0"/>
        <v>057</v>
      </c>
      <c r="G60" s="12" t="s">
        <v>89</v>
      </c>
      <c r="H60" s="12" t="s">
        <v>3304</v>
      </c>
      <c r="I60" s="12">
        <v>331</v>
      </c>
      <c r="J60" s="12">
        <v>1111</v>
      </c>
      <c r="K60" s="12" t="s">
        <v>20</v>
      </c>
      <c r="L60" s="12">
        <v>1</v>
      </c>
      <c r="M60" s="17">
        <v>44000</v>
      </c>
      <c r="N60" s="17">
        <f t="shared" si="1"/>
        <v>44000</v>
      </c>
      <c r="P60" s="12">
        <f t="shared" si="2"/>
        <v>83</v>
      </c>
      <c r="S60"/>
      <c r="T60"/>
    </row>
    <row r="61" spans="1:20" ht="15" customHeight="1" x14ac:dyDescent="0.25">
      <c r="A61" s="12" t="s">
        <v>310</v>
      </c>
      <c r="B61" s="13">
        <v>46102</v>
      </c>
      <c r="C61" s="12">
        <f t="shared" si="3"/>
        <v>58</v>
      </c>
      <c r="D61" s="38">
        <f t="shared" si="4"/>
        <v>1</v>
      </c>
      <c r="E61" s="12" t="str">
        <f t="shared" si="0"/>
        <v>058</v>
      </c>
      <c r="G61" s="12" t="s">
        <v>2354</v>
      </c>
      <c r="H61" s="12" t="s">
        <v>3306</v>
      </c>
      <c r="I61" s="12">
        <v>331</v>
      </c>
      <c r="J61" s="12">
        <v>1111</v>
      </c>
      <c r="K61" s="12" t="s">
        <v>20</v>
      </c>
      <c r="L61" s="12">
        <v>1</v>
      </c>
      <c r="M61" s="17">
        <v>344520</v>
      </c>
      <c r="N61" s="17">
        <f t="shared" si="1"/>
        <v>344520</v>
      </c>
      <c r="P61" s="12">
        <f t="shared" si="2"/>
        <v>121</v>
      </c>
      <c r="S61"/>
      <c r="T61"/>
    </row>
    <row r="62" spans="1:20" ht="15" customHeight="1" x14ac:dyDescent="0.25">
      <c r="A62" s="12" t="s">
        <v>310</v>
      </c>
      <c r="B62" s="13">
        <v>46102</v>
      </c>
      <c r="C62" s="12">
        <f t="shared" si="3"/>
        <v>59</v>
      </c>
      <c r="D62" s="38">
        <f t="shared" si="4"/>
        <v>1</v>
      </c>
      <c r="E62" s="12" t="str">
        <f t="shared" si="0"/>
        <v>059</v>
      </c>
      <c r="G62" s="12" t="s">
        <v>1725</v>
      </c>
      <c r="H62" s="12" t="s">
        <v>3305</v>
      </c>
      <c r="I62" s="12">
        <v>331</v>
      </c>
      <c r="J62" s="12">
        <v>1111</v>
      </c>
      <c r="K62" s="12" t="s">
        <v>20</v>
      </c>
      <c r="L62" s="12">
        <v>1</v>
      </c>
      <c r="M62" s="17">
        <v>3960000</v>
      </c>
      <c r="N62" s="17">
        <f t="shared" si="1"/>
        <v>3960000</v>
      </c>
      <c r="P62" s="12">
        <f t="shared" si="2"/>
        <v>71</v>
      </c>
      <c r="S62"/>
      <c r="T62"/>
    </row>
    <row r="63" spans="1:20" ht="15" customHeight="1" x14ac:dyDescent="0.25">
      <c r="A63" s="12" t="s">
        <v>310</v>
      </c>
      <c r="B63" s="13">
        <v>46108</v>
      </c>
      <c r="C63" s="12">
        <f t="shared" si="3"/>
        <v>60</v>
      </c>
      <c r="D63" s="38">
        <f t="shared" si="4"/>
        <v>1</v>
      </c>
      <c r="E63" s="12" t="str">
        <f t="shared" si="0"/>
        <v>060</v>
      </c>
      <c r="G63" s="12" t="s">
        <v>89</v>
      </c>
      <c r="H63" s="12" t="s">
        <v>3307</v>
      </c>
      <c r="I63" s="12">
        <v>331</v>
      </c>
      <c r="J63" s="12">
        <v>1111</v>
      </c>
      <c r="K63" s="12" t="s">
        <v>20</v>
      </c>
      <c r="L63" s="12">
        <v>1</v>
      </c>
      <c r="M63" s="17">
        <v>15000</v>
      </c>
      <c r="N63" s="17">
        <f t="shared" si="1"/>
        <v>15000</v>
      </c>
      <c r="P63" s="12">
        <f t="shared" si="2"/>
        <v>84</v>
      </c>
      <c r="S63"/>
      <c r="T63"/>
    </row>
    <row r="64" spans="1:20" ht="15" customHeight="1" x14ac:dyDescent="0.25">
      <c r="A64" s="12" t="s">
        <v>310</v>
      </c>
      <c r="B64" s="13">
        <v>46109</v>
      </c>
      <c r="C64" s="12">
        <f t="shared" si="3"/>
        <v>61</v>
      </c>
      <c r="D64" s="38">
        <f t="shared" si="4"/>
        <v>1</v>
      </c>
      <c r="E64" s="12" t="str">
        <f t="shared" si="0"/>
        <v>061</v>
      </c>
      <c r="G64" s="12" t="s">
        <v>28</v>
      </c>
      <c r="H64" s="12" t="s">
        <v>3309</v>
      </c>
      <c r="I64" s="12">
        <v>331</v>
      </c>
      <c r="J64" s="12">
        <v>1111</v>
      </c>
      <c r="K64" s="12" t="s">
        <v>20</v>
      </c>
      <c r="L64" s="12">
        <v>1</v>
      </c>
      <c r="M64" s="17">
        <v>2116800</v>
      </c>
      <c r="N64" s="17">
        <f t="shared" si="1"/>
        <v>2116800</v>
      </c>
      <c r="P64" s="12">
        <f t="shared" si="2"/>
        <v>53</v>
      </c>
      <c r="S64"/>
      <c r="T64"/>
    </row>
    <row r="65" spans="1:20" ht="15" customHeight="1" x14ac:dyDescent="0.25">
      <c r="A65" s="12" t="s">
        <v>310</v>
      </c>
      <c r="B65" s="13">
        <v>46109</v>
      </c>
      <c r="C65" s="12">
        <f t="shared" si="3"/>
        <v>62</v>
      </c>
      <c r="D65" s="38">
        <f t="shared" si="4"/>
        <v>1</v>
      </c>
      <c r="E65" s="12" t="str">
        <f t="shared" si="0"/>
        <v>062</v>
      </c>
      <c r="G65" s="12" t="s">
        <v>89</v>
      </c>
      <c r="H65" s="12" t="s">
        <v>3308</v>
      </c>
      <c r="I65" s="12">
        <v>331</v>
      </c>
      <c r="J65" s="12">
        <v>1111</v>
      </c>
      <c r="K65" s="12" t="s">
        <v>20</v>
      </c>
      <c r="L65" s="12">
        <v>1</v>
      </c>
      <c r="M65" s="17">
        <v>70000</v>
      </c>
      <c r="N65" s="17">
        <f t="shared" si="1"/>
        <v>70000</v>
      </c>
      <c r="P65" s="12">
        <f t="shared" si="2"/>
        <v>84</v>
      </c>
      <c r="S65"/>
      <c r="T65"/>
    </row>
    <row r="66" spans="1:20" ht="15" customHeight="1" x14ac:dyDescent="0.25">
      <c r="A66" s="12" t="s">
        <v>18</v>
      </c>
      <c r="B66" s="36">
        <v>46034</v>
      </c>
      <c r="C66" s="12">
        <f t="shared" si="3"/>
        <v>63</v>
      </c>
      <c r="D66" s="38">
        <f t="shared" si="4"/>
        <v>1</v>
      </c>
      <c r="E66" s="12" t="str">
        <f t="shared" si="0"/>
        <v>063</v>
      </c>
      <c r="G66" s="12" t="s">
        <v>2314</v>
      </c>
      <c r="H66" s="12" t="s">
        <v>2315</v>
      </c>
      <c r="I66" s="12">
        <v>64277</v>
      </c>
      <c r="J66" s="12">
        <v>331</v>
      </c>
      <c r="K66" s="12" t="s">
        <v>20</v>
      </c>
      <c r="L66" s="12">
        <v>1</v>
      </c>
      <c r="M66" s="17">
        <v>6000000</v>
      </c>
      <c r="N66" s="17">
        <f t="shared" si="1"/>
        <v>6000000</v>
      </c>
      <c r="P66" s="12">
        <f t="shared" si="2"/>
        <v>60</v>
      </c>
      <c r="S66"/>
      <c r="T66"/>
    </row>
    <row r="67" spans="1:20" ht="15" customHeight="1" x14ac:dyDescent="0.25">
      <c r="A67" s="12" t="s">
        <v>18</v>
      </c>
      <c r="B67" s="36">
        <v>46034</v>
      </c>
      <c r="C67" s="12">
        <f t="shared" si="3"/>
        <v>63</v>
      </c>
      <c r="D67" s="38">
        <f t="shared" si="4"/>
        <v>0</v>
      </c>
      <c r="E67" s="12" t="str">
        <f t="shared" si="0"/>
        <v>063</v>
      </c>
      <c r="G67" s="12" t="s">
        <v>2314</v>
      </c>
      <c r="H67" s="12" t="s">
        <v>2315</v>
      </c>
      <c r="I67" s="12">
        <v>1331</v>
      </c>
      <c r="J67" s="12">
        <v>331</v>
      </c>
      <c r="K67" s="12" t="s">
        <v>20</v>
      </c>
      <c r="L67" s="12">
        <v>1</v>
      </c>
      <c r="M67" s="17">
        <v>600000</v>
      </c>
      <c r="N67" s="17">
        <f t="shared" si="1"/>
        <v>600000</v>
      </c>
      <c r="P67" s="12">
        <f t="shared" si="2"/>
        <v>60</v>
      </c>
      <c r="S67"/>
      <c r="T67"/>
    </row>
    <row r="68" spans="1:20" ht="15" customHeight="1" x14ac:dyDescent="0.25">
      <c r="A68" s="12" t="s">
        <v>18</v>
      </c>
      <c r="B68" s="36">
        <v>46038</v>
      </c>
      <c r="C68" s="12">
        <f t="shared" si="3"/>
        <v>64</v>
      </c>
      <c r="D68" s="38">
        <f t="shared" si="4"/>
        <v>1</v>
      </c>
      <c r="E68" s="12" t="str">
        <f t="shared" ref="E68:E131" si="5">TEXT(C68,"000")</f>
        <v>064</v>
      </c>
      <c r="G68" s="12" t="s">
        <v>54</v>
      </c>
      <c r="H68" s="12" t="s">
        <v>2316</v>
      </c>
      <c r="I68" s="12">
        <v>64277</v>
      </c>
      <c r="J68" s="12">
        <v>331</v>
      </c>
      <c r="K68" s="12" t="s">
        <v>20</v>
      </c>
      <c r="L68" s="12">
        <v>1</v>
      </c>
      <c r="M68" s="17">
        <v>99000</v>
      </c>
      <c r="N68" s="17">
        <f t="shared" ref="N68:N131" si="6">L68*M68</f>
        <v>99000</v>
      </c>
      <c r="P68" s="12">
        <f t="shared" ref="P68:P131" si="7">LEN(H68)</f>
        <v>72</v>
      </c>
      <c r="S68"/>
      <c r="T68"/>
    </row>
    <row r="69" spans="1:20" ht="15" customHeight="1" x14ac:dyDescent="0.25">
      <c r="A69" s="12" t="s">
        <v>18</v>
      </c>
      <c r="B69" s="36">
        <v>46038</v>
      </c>
      <c r="C69" s="12">
        <f t="shared" ref="C69:C132" si="8">C68+D69</f>
        <v>64</v>
      </c>
      <c r="D69" s="38">
        <f t="shared" ref="D69:D132" si="9">IF(H69=H68,0,1)</f>
        <v>0</v>
      </c>
      <c r="E69" s="12" t="str">
        <f t="shared" si="5"/>
        <v>064</v>
      </c>
      <c r="G69" s="12" t="s">
        <v>54</v>
      </c>
      <c r="H69" s="12" t="s">
        <v>2316</v>
      </c>
      <c r="I69" s="12">
        <v>1331</v>
      </c>
      <c r="J69" s="12">
        <v>331</v>
      </c>
      <c r="K69" s="12" t="s">
        <v>20</v>
      </c>
      <c r="L69" s="12">
        <v>1</v>
      </c>
      <c r="M69" s="17">
        <v>0</v>
      </c>
      <c r="N69" s="17">
        <f t="shared" si="6"/>
        <v>0</v>
      </c>
      <c r="P69" s="12">
        <f t="shared" si="7"/>
        <v>72</v>
      </c>
      <c r="S69"/>
      <c r="T69"/>
    </row>
    <row r="70" spans="1:20" ht="15" customHeight="1" x14ac:dyDescent="0.25">
      <c r="A70" s="12" t="s">
        <v>18</v>
      </c>
      <c r="B70" s="13">
        <v>46041</v>
      </c>
      <c r="C70" s="12">
        <f t="shared" si="8"/>
        <v>65</v>
      </c>
      <c r="D70" s="38">
        <f t="shared" si="9"/>
        <v>1</v>
      </c>
      <c r="E70" s="12" t="str">
        <f t="shared" si="5"/>
        <v>065</v>
      </c>
      <c r="G70" s="14" t="s">
        <v>311</v>
      </c>
      <c r="H70" s="12" t="s">
        <v>3057</v>
      </c>
      <c r="I70" s="12">
        <v>131</v>
      </c>
      <c r="J70" s="12">
        <v>5118</v>
      </c>
      <c r="K70" s="12" t="s">
        <v>20</v>
      </c>
      <c r="L70" s="12">
        <v>1</v>
      </c>
      <c r="M70" s="17">
        <v>31644439</v>
      </c>
      <c r="N70" s="17">
        <f t="shared" si="6"/>
        <v>31644439</v>
      </c>
      <c r="P70" s="12">
        <f t="shared" si="7"/>
        <v>16</v>
      </c>
      <c r="S70"/>
      <c r="T70"/>
    </row>
    <row r="71" spans="1:20" ht="15" customHeight="1" x14ac:dyDescent="0.25">
      <c r="A71" s="12" t="s">
        <v>18</v>
      </c>
      <c r="B71" s="36">
        <v>46042</v>
      </c>
      <c r="C71" s="12">
        <f t="shared" si="8"/>
        <v>66</v>
      </c>
      <c r="D71" s="38">
        <f t="shared" si="9"/>
        <v>1</v>
      </c>
      <c r="E71" s="12" t="str">
        <f t="shared" si="5"/>
        <v>066</v>
      </c>
      <c r="G71" s="12" t="s">
        <v>89</v>
      </c>
      <c r="H71" s="12" t="s">
        <v>2319</v>
      </c>
      <c r="I71" s="12">
        <v>64277</v>
      </c>
      <c r="J71" s="12">
        <v>331</v>
      </c>
      <c r="K71" s="12" t="s">
        <v>20</v>
      </c>
      <c r="L71" s="12">
        <v>1</v>
      </c>
      <c r="M71" s="17">
        <v>41667</v>
      </c>
      <c r="N71" s="17">
        <f t="shared" si="6"/>
        <v>41667</v>
      </c>
      <c r="P71" s="12">
        <f t="shared" si="7"/>
        <v>72</v>
      </c>
      <c r="S71"/>
      <c r="T71"/>
    </row>
    <row r="72" spans="1:20" ht="15" customHeight="1" x14ac:dyDescent="0.25">
      <c r="A72" s="12" t="s">
        <v>18</v>
      </c>
      <c r="B72" s="36">
        <v>46042</v>
      </c>
      <c r="C72" s="12">
        <f t="shared" si="8"/>
        <v>66</v>
      </c>
      <c r="D72" s="38">
        <f t="shared" si="9"/>
        <v>0</v>
      </c>
      <c r="E72" s="12" t="str">
        <f t="shared" si="5"/>
        <v>066</v>
      </c>
      <c r="G72" s="12" t="s">
        <v>89</v>
      </c>
      <c r="H72" s="12" t="s">
        <v>2319</v>
      </c>
      <c r="I72" s="12">
        <v>1331</v>
      </c>
      <c r="J72" s="12">
        <v>331</v>
      </c>
      <c r="K72" s="12" t="s">
        <v>20</v>
      </c>
      <c r="L72" s="12">
        <v>1</v>
      </c>
      <c r="M72" s="17">
        <v>3333</v>
      </c>
      <c r="N72" s="17">
        <f t="shared" si="6"/>
        <v>3333</v>
      </c>
      <c r="P72" s="12">
        <f t="shared" si="7"/>
        <v>72</v>
      </c>
      <c r="S72"/>
      <c r="T72"/>
    </row>
    <row r="73" spans="1:20" ht="15" customHeight="1" x14ac:dyDescent="0.25">
      <c r="A73" s="12" t="s">
        <v>18</v>
      </c>
      <c r="B73" s="36">
        <v>46042</v>
      </c>
      <c r="C73" s="12">
        <f t="shared" si="8"/>
        <v>67</v>
      </c>
      <c r="D73" s="38">
        <f t="shared" si="9"/>
        <v>1</v>
      </c>
      <c r="E73" s="12" t="str">
        <f t="shared" si="5"/>
        <v>067</v>
      </c>
      <c r="G73" s="12" t="s">
        <v>89</v>
      </c>
      <c r="H73" s="12" t="s">
        <v>2318</v>
      </c>
      <c r="I73" s="12">
        <v>64277</v>
      </c>
      <c r="J73" s="12">
        <v>331</v>
      </c>
      <c r="K73" s="12" t="s">
        <v>20</v>
      </c>
      <c r="L73" s="12">
        <v>1</v>
      </c>
      <c r="M73" s="17">
        <v>56481</v>
      </c>
      <c r="N73" s="17">
        <f t="shared" si="6"/>
        <v>56481</v>
      </c>
      <c r="P73" s="12">
        <f t="shared" si="7"/>
        <v>72</v>
      </c>
      <c r="S73"/>
      <c r="T73"/>
    </row>
    <row r="74" spans="1:20" ht="15" customHeight="1" x14ac:dyDescent="0.2">
      <c r="A74" s="12" t="s">
        <v>18</v>
      </c>
      <c r="B74" s="36">
        <v>46042</v>
      </c>
      <c r="C74" s="12">
        <f t="shared" si="8"/>
        <v>67</v>
      </c>
      <c r="D74" s="38">
        <f t="shared" si="9"/>
        <v>0</v>
      </c>
      <c r="E74" s="12" t="str">
        <f t="shared" si="5"/>
        <v>067</v>
      </c>
      <c r="G74" s="12" t="s">
        <v>89</v>
      </c>
      <c r="H74" s="12" t="s">
        <v>2318</v>
      </c>
      <c r="I74" s="12">
        <v>1331</v>
      </c>
      <c r="J74" s="12">
        <v>331</v>
      </c>
      <c r="K74" s="12" t="s">
        <v>20</v>
      </c>
      <c r="L74" s="12">
        <v>1</v>
      </c>
      <c r="M74" s="17">
        <v>4519</v>
      </c>
      <c r="N74" s="17">
        <f t="shared" si="6"/>
        <v>4519</v>
      </c>
      <c r="P74" s="12">
        <f t="shared" si="7"/>
        <v>72</v>
      </c>
    </row>
    <row r="75" spans="1:20" ht="15" customHeight="1" x14ac:dyDescent="0.2">
      <c r="A75" s="12" t="s">
        <v>18</v>
      </c>
      <c r="B75" s="36">
        <v>46042</v>
      </c>
      <c r="C75" s="12">
        <f t="shared" si="8"/>
        <v>68</v>
      </c>
      <c r="D75" s="38">
        <f t="shared" si="9"/>
        <v>1</v>
      </c>
      <c r="E75" s="12" t="str">
        <f t="shared" si="5"/>
        <v>068</v>
      </c>
      <c r="G75" s="12" t="s">
        <v>54</v>
      </c>
      <c r="H75" s="12" t="s">
        <v>2317</v>
      </c>
      <c r="I75" s="12">
        <v>64277</v>
      </c>
      <c r="J75" s="12">
        <v>331</v>
      </c>
      <c r="K75" s="12" t="s">
        <v>20</v>
      </c>
      <c r="L75" s="12">
        <v>1</v>
      </c>
      <c r="M75" s="17">
        <v>1439000</v>
      </c>
      <c r="N75" s="17">
        <f t="shared" si="6"/>
        <v>1439000</v>
      </c>
      <c r="P75" s="12">
        <f t="shared" si="7"/>
        <v>81</v>
      </c>
    </row>
    <row r="76" spans="1:20" ht="15" customHeight="1" x14ac:dyDescent="0.2">
      <c r="A76" s="12" t="s">
        <v>18</v>
      </c>
      <c r="B76" s="36">
        <v>46042</v>
      </c>
      <c r="C76" s="12">
        <f t="shared" si="8"/>
        <v>68</v>
      </c>
      <c r="D76" s="38">
        <f t="shared" si="9"/>
        <v>0</v>
      </c>
      <c r="E76" s="12" t="str">
        <f t="shared" si="5"/>
        <v>068</v>
      </c>
      <c r="G76" s="12" t="s">
        <v>54</v>
      </c>
      <c r="H76" s="12" t="s">
        <v>2317</v>
      </c>
      <c r="I76" s="12">
        <v>1331</v>
      </c>
      <c r="J76" s="12">
        <v>331</v>
      </c>
      <c r="K76" s="12" t="s">
        <v>20</v>
      </c>
      <c r="L76" s="12">
        <v>1</v>
      </c>
      <c r="M76" s="17">
        <v>115120</v>
      </c>
      <c r="N76" s="17">
        <f t="shared" si="6"/>
        <v>115120</v>
      </c>
      <c r="P76" s="12">
        <f t="shared" si="7"/>
        <v>81</v>
      </c>
    </row>
    <row r="77" spans="1:20" ht="15" customHeight="1" x14ac:dyDescent="0.2">
      <c r="A77" s="12" t="s">
        <v>18</v>
      </c>
      <c r="B77" s="36">
        <v>46044</v>
      </c>
      <c r="C77" s="12">
        <f t="shared" si="8"/>
        <v>69</v>
      </c>
      <c r="D77" s="38">
        <f t="shared" si="9"/>
        <v>1</v>
      </c>
      <c r="E77" s="12" t="str">
        <f t="shared" si="5"/>
        <v>069</v>
      </c>
      <c r="G77" s="12" t="s">
        <v>19</v>
      </c>
      <c r="H77" s="12" t="s">
        <v>2321</v>
      </c>
      <c r="I77" s="12">
        <v>64277</v>
      </c>
      <c r="J77" s="12">
        <v>331</v>
      </c>
      <c r="K77" s="12" t="s">
        <v>20</v>
      </c>
      <c r="L77" s="12">
        <v>1</v>
      </c>
      <c r="M77" s="17">
        <v>103000</v>
      </c>
      <c r="N77" s="17">
        <f t="shared" si="6"/>
        <v>103000</v>
      </c>
      <c r="P77" s="12">
        <f t="shared" si="7"/>
        <v>125</v>
      </c>
    </row>
    <row r="78" spans="1:20" ht="15" customHeight="1" x14ac:dyDescent="0.2">
      <c r="A78" s="12" t="s">
        <v>18</v>
      </c>
      <c r="B78" s="36">
        <v>46044</v>
      </c>
      <c r="C78" s="12">
        <f t="shared" si="8"/>
        <v>69</v>
      </c>
      <c r="D78" s="38">
        <f t="shared" si="9"/>
        <v>0</v>
      </c>
      <c r="E78" s="12" t="str">
        <f t="shared" si="5"/>
        <v>069</v>
      </c>
      <c r="G78" s="12" t="s">
        <v>19</v>
      </c>
      <c r="H78" s="12" t="s">
        <v>2321</v>
      </c>
      <c r="I78" s="12">
        <v>1331</v>
      </c>
      <c r="J78" s="12">
        <v>331</v>
      </c>
      <c r="K78" s="12" t="s">
        <v>20</v>
      </c>
      <c r="L78" s="12">
        <v>1</v>
      </c>
      <c r="M78" s="17">
        <v>7630</v>
      </c>
      <c r="N78" s="17">
        <f t="shared" si="6"/>
        <v>7630</v>
      </c>
      <c r="P78" s="12">
        <f t="shared" si="7"/>
        <v>125</v>
      </c>
    </row>
    <row r="79" spans="1:20" ht="15" customHeight="1" x14ac:dyDescent="0.2">
      <c r="A79" s="12" t="s">
        <v>18</v>
      </c>
      <c r="B79" s="36">
        <v>46044</v>
      </c>
      <c r="C79" s="12">
        <f t="shared" si="8"/>
        <v>70</v>
      </c>
      <c r="D79" s="38">
        <f t="shared" si="9"/>
        <v>1</v>
      </c>
      <c r="E79" s="12" t="str">
        <f t="shared" si="5"/>
        <v>070</v>
      </c>
      <c r="G79" s="12" t="s">
        <v>19</v>
      </c>
      <c r="H79" s="12" t="s">
        <v>2320</v>
      </c>
      <c r="I79" s="12">
        <v>64277</v>
      </c>
      <c r="J79" s="12">
        <v>331</v>
      </c>
      <c r="K79" s="12" t="s">
        <v>20</v>
      </c>
      <c r="L79" s="12">
        <v>1</v>
      </c>
      <c r="M79" s="17">
        <v>85000</v>
      </c>
      <c r="N79" s="17">
        <f t="shared" si="6"/>
        <v>85000</v>
      </c>
      <c r="P79" s="12">
        <f t="shared" si="7"/>
        <v>125</v>
      </c>
    </row>
    <row r="80" spans="1:20" ht="15" customHeight="1" x14ac:dyDescent="0.2">
      <c r="A80" s="12" t="s">
        <v>18</v>
      </c>
      <c r="B80" s="36">
        <v>46044</v>
      </c>
      <c r="C80" s="12">
        <f t="shared" si="8"/>
        <v>70</v>
      </c>
      <c r="D80" s="38">
        <f t="shared" si="9"/>
        <v>0</v>
      </c>
      <c r="E80" s="12" t="str">
        <f t="shared" si="5"/>
        <v>070</v>
      </c>
      <c r="G80" s="12" t="s">
        <v>19</v>
      </c>
      <c r="H80" s="12" t="s">
        <v>2320</v>
      </c>
      <c r="I80" s="12">
        <v>1331</v>
      </c>
      <c r="J80" s="12">
        <v>331</v>
      </c>
      <c r="K80" s="12" t="s">
        <v>20</v>
      </c>
      <c r="L80" s="12">
        <v>1</v>
      </c>
      <c r="M80" s="17">
        <v>6296</v>
      </c>
      <c r="N80" s="17">
        <f t="shared" si="6"/>
        <v>6296</v>
      </c>
      <c r="P80" s="12">
        <f t="shared" si="7"/>
        <v>125</v>
      </c>
    </row>
    <row r="81" spans="1:16" ht="15" customHeight="1" x14ac:dyDescent="0.2">
      <c r="A81" s="12" t="s">
        <v>18</v>
      </c>
      <c r="B81" s="36">
        <v>46048</v>
      </c>
      <c r="C81" s="12">
        <f t="shared" si="8"/>
        <v>71</v>
      </c>
      <c r="D81" s="38">
        <f t="shared" si="9"/>
        <v>1</v>
      </c>
      <c r="E81" s="12" t="str">
        <f t="shared" si="5"/>
        <v>071</v>
      </c>
      <c r="G81" s="12" t="s">
        <v>19</v>
      </c>
      <c r="H81" s="12" t="s">
        <v>2322</v>
      </c>
      <c r="I81" s="12">
        <v>64277</v>
      </c>
      <c r="J81" s="12">
        <v>331</v>
      </c>
      <c r="K81" s="12" t="s">
        <v>20</v>
      </c>
      <c r="L81" s="12">
        <v>1</v>
      </c>
      <c r="M81" s="17">
        <v>87000</v>
      </c>
      <c r="N81" s="17">
        <f t="shared" si="6"/>
        <v>87000</v>
      </c>
      <c r="P81" s="12">
        <f t="shared" si="7"/>
        <v>125</v>
      </c>
    </row>
    <row r="82" spans="1:16" ht="15" customHeight="1" x14ac:dyDescent="0.2">
      <c r="A82" s="12" t="s">
        <v>18</v>
      </c>
      <c r="B82" s="36">
        <v>46048</v>
      </c>
      <c r="C82" s="12">
        <f t="shared" si="8"/>
        <v>71</v>
      </c>
      <c r="D82" s="38">
        <f t="shared" si="9"/>
        <v>0</v>
      </c>
      <c r="E82" s="12" t="str">
        <f t="shared" si="5"/>
        <v>071</v>
      </c>
      <c r="G82" s="12" t="s">
        <v>19</v>
      </c>
      <c r="H82" s="12" t="s">
        <v>2322</v>
      </c>
      <c r="I82" s="12">
        <v>1331</v>
      </c>
      <c r="J82" s="12">
        <v>331</v>
      </c>
      <c r="K82" s="12" t="s">
        <v>20</v>
      </c>
      <c r="L82" s="12">
        <v>1</v>
      </c>
      <c r="M82" s="17">
        <v>6445</v>
      </c>
      <c r="N82" s="17">
        <f t="shared" si="6"/>
        <v>6445</v>
      </c>
      <c r="P82" s="12">
        <f t="shared" si="7"/>
        <v>125</v>
      </c>
    </row>
    <row r="83" spans="1:16" ht="15" customHeight="1" x14ac:dyDescent="0.2">
      <c r="A83" s="12" t="s">
        <v>18</v>
      </c>
      <c r="B83" s="36">
        <v>46053</v>
      </c>
      <c r="C83" s="12">
        <f t="shared" si="8"/>
        <v>72</v>
      </c>
      <c r="D83" s="38">
        <f t="shared" si="9"/>
        <v>1</v>
      </c>
      <c r="E83" s="12" t="str">
        <f t="shared" si="5"/>
        <v>072</v>
      </c>
      <c r="G83" s="12" t="s">
        <v>104</v>
      </c>
      <c r="H83" s="12" t="s">
        <v>2323</v>
      </c>
      <c r="I83" s="12">
        <v>64277</v>
      </c>
      <c r="J83" s="12">
        <v>331</v>
      </c>
      <c r="K83" s="12" t="s">
        <v>20</v>
      </c>
      <c r="L83" s="12">
        <v>1</v>
      </c>
      <c r="M83" s="17">
        <v>205818</v>
      </c>
      <c r="N83" s="17">
        <f t="shared" si="6"/>
        <v>205818</v>
      </c>
      <c r="P83" s="12">
        <f t="shared" si="7"/>
        <v>13</v>
      </c>
    </row>
    <row r="84" spans="1:16" ht="15" customHeight="1" x14ac:dyDescent="0.2">
      <c r="A84" s="12" t="s">
        <v>18</v>
      </c>
      <c r="B84" s="36">
        <v>46053</v>
      </c>
      <c r="C84" s="12">
        <f t="shared" si="8"/>
        <v>72</v>
      </c>
      <c r="D84" s="38">
        <f t="shared" si="9"/>
        <v>0</v>
      </c>
      <c r="E84" s="12" t="str">
        <f t="shared" si="5"/>
        <v>072</v>
      </c>
      <c r="G84" s="12" t="s">
        <v>104</v>
      </c>
      <c r="H84" s="12" t="s">
        <v>2323</v>
      </c>
      <c r="I84" s="12">
        <v>1331</v>
      </c>
      <c r="J84" s="12">
        <v>331</v>
      </c>
      <c r="K84" s="12" t="s">
        <v>20</v>
      </c>
      <c r="L84" s="12">
        <v>1</v>
      </c>
      <c r="M84" s="17">
        <v>19182</v>
      </c>
      <c r="N84" s="17">
        <f t="shared" si="6"/>
        <v>19182</v>
      </c>
      <c r="P84" s="12">
        <f t="shared" si="7"/>
        <v>13</v>
      </c>
    </row>
    <row r="85" spans="1:16" ht="15" customHeight="1" x14ac:dyDescent="0.2">
      <c r="A85" s="12" t="s">
        <v>18</v>
      </c>
      <c r="B85" s="36">
        <v>46056</v>
      </c>
      <c r="C85" s="12">
        <f t="shared" si="8"/>
        <v>73</v>
      </c>
      <c r="D85" s="38">
        <f t="shared" si="9"/>
        <v>1</v>
      </c>
      <c r="E85" s="12" t="str">
        <f t="shared" si="5"/>
        <v>073</v>
      </c>
      <c r="G85" s="12" t="s">
        <v>37</v>
      </c>
      <c r="H85" s="12" t="s">
        <v>3258</v>
      </c>
      <c r="I85" s="12">
        <v>64277</v>
      </c>
      <c r="J85" s="12">
        <v>331</v>
      </c>
      <c r="K85" s="12" t="s">
        <v>20</v>
      </c>
      <c r="L85" s="12">
        <v>1</v>
      </c>
      <c r="M85" s="17">
        <v>730000</v>
      </c>
      <c r="N85" s="17">
        <f t="shared" si="6"/>
        <v>730000</v>
      </c>
      <c r="P85" s="12">
        <f t="shared" si="7"/>
        <v>43</v>
      </c>
    </row>
    <row r="86" spans="1:16" ht="15" customHeight="1" x14ac:dyDescent="0.2">
      <c r="A86" s="12" t="s">
        <v>18</v>
      </c>
      <c r="B86" s="36">
        <v>46056</v>
      </c>
      <c r="C86" s="12">
        <f t="shared" si="8"/>
        <v>73</v>
      </c>
      <c r="D86" s="38">
        <f t="shared" si="9"/>
        <v>0</v>
      </c>
      <c r="E86" s="12" t="str">
        <f t="shared" si="5"/>
        <v>073</v>
      </c>
      <c r="G86" s="12" t="s">
        <v>37</v>
      </c>
      <c r="H86" s="12" t="s">
        <v>3258</v>
      </c>
      <c r="I86" s="12">
        <v>1331</v>
      </c>
      <c r="J86" s="12">
        <v>331</v>
      </c>
      <c r="K86" s="12" t="s">
        <v>20</v>
      </c>
      <c r="L86" s="12">
        <v>1</v>
      </c>
      <c r="M86" s="17">
        <v>58400</v>
      </c>
      <c r="N86" s="17">
        <f t="shared" si="6"/>
        <v>58400</v>
      </c>
      <c r="P86" s="12">
        <f t="shared" si="7"/>
        <v>43</v>
      </c>
    </row>
    <row r="87" spans="1:16" ht="15" customHeight="1" x14ac:dyDescent="0.2">
      <c r="A87" s="12" t="s">
        <v>18</v>
      </c>
      <c r="B87" s="13">
        <v>46056</v>
      </c>
      <c r="C87" s="12">
        <f t="shared" si="8"/>
        <v>74</v>
      </c>
      <c r="D87" s="38">
        <f t="shared" si="9"/>
        <v>1</v>
      </c>
      <c r="E87" s="12" t="str">
        <f t="shared" si="5"/>
        <v>074</v>
      </c>
      <c r="G87" s="12" t="s">
        <v>97</v>
      </c>
      <c r="H87" s="12" t="s">
        <v>2359</v>
      </c>
      <c r="I87" s="12">
        <v>131</v>
      </c>
      <c r="J87" s="12">
        <v>5113</v>
      </c>
      <c r="K87" s="12" t="s">
        <v>20</v>
      </c>
      <c r="L87" s="12">
        <v>1</v>
      </c>
      <c r="M87" s="17">
        <v>8888889</v>
      </c>
      <c r="N87" s="17">
        <f t="shared" si="6"/>
        <v>8888889</v>
      </c>
      <c r="P87" s="12">
        <f t="shared" si="7"/>
        <v>171</v>
      </c>
    </row>
    <row r="88" spans="1:16" ht="15" customHeight="1" x14ac:dyDescent="0.2">
      <c r="A88" s="12" t="s">
        <v>18</v>
      </c>
      <c r="B88" s="13">
        <v>46056</v>
      </c>
      <c r="C88" s="12">
        <f t="shared" si="8"/>
        <v>75</v>
      </c>
      <c r="D88" s="38">
        <f t="shared" si="9"/>
        <v>1</v>
      </c>
      <c r="E88" s="12" t="str">
        <f t="shared" si="5"/>
        <v>075</v>
      </c>
      <c r="G88" s="12" t="s">
        <v>1880</v>
      </c>
      <c r="H88" s="12" t="s">
        <v>2358</v>
      </c>
      <c r="I88" s="12">
        <v>131</v>
      </c>
      <c r="J88" s="12">
        <v>5113</v>
      </c>
      <c r="K88" s="12" t="s">
        <v>20</v>
      </c>
      <c r="L88" s="12">
        <v>1</v>
      </c>
      <c r="M88" s="17">
        <v>16666667</v>
      </c>
      <c r="N88" s="17">
        <f t="shared" si="6"/>
        <v>16666667</v>
      </c>
      <c r="P88" s="12">
        <f t="shared" si="7"/>
        <v>95</v>
      </c>
    </row>
    <row r="89" spans="1:16" ht="15" customHeight="1" x14ac:dyDescent="0.2">
      <c r="A89" s="12" t="s">
        <v>18</v>
      </c>
      <c r="B89" s="13">
        <v>46056</v>
      </c>
      <c r="C89" s="12">
        <f t="shared" si="8"/>
        <v>76</v>
      </c>
      <c r="D89" s="38">
        <f t="shared" si="9"/>
        <v>1</v>
      </c>
      <c r="E89" s="12" t="str">
        <f t="shared" si="5"/>
        <v>076</v>
      </c>
      <c r="G89" s="12" t="s">
        <v>97</v>
      </c>
      <c r="H89" s="12" t="s">
        <v>3311</v>
      </c>
      <c r="I89" s="12">
        <v>333821</v>
      </c>
      <c r="J89" s="12">
        <v>131</v>
      </c>
      <c r="K89" s="12" t="s">
        <v>20</v>
      </c>
      <c r="L89" s="12">
        <v>1</v>
      </c>
      <c r="M89" s="17">
        <v>88889</v>
      </c>
      <c r="N89" s="17">
        <f t="shared" si="6"/>
        <v>88889</v>
      </c>
      <c r="P89" s="12">
        <f t="shared" si="7"/>
        <v>187</v>
      </c>
    </row>
    <row r="90" spans="1:16" ht="15" customHeight="1" x14ac:dyDescent="0.2">
      <c r="A90" s="12" t="s">
        <v>18</v>
      </c>
      <c r="B90" s="13">
        <v>46056</v>
      </c>
      <c r="C90" s="12">
        <f t="shared" si="8"/>
        <v>77</v>
      </c>
      <c r="D90" s="38">
        <f t="shared" si="9"/>
        <v>1</v>
      </c>
      <c r="E90" s="12" t="str">
        <f t="shared" si="5"/>
        <v>077</v>
      </c>
      <c r="G90" s="12" t="s">
        <v>1880</v>
      </c>
      <c r="H90" s="12" t="s">
        <v>3310</v>
      </c>
      <c r="I90" s="12">
        <v>333821</v>
      </c>
      <c r="J90" s="12">
        <v>131</v>
      </c>
      <c r="K90" s="12" t="s">
        <v>20</v>
      </c>
      <c r="L90" s="12">
        <v>1</v>
      </c>
      <c r="M90" s="17">
        <v>166667</v>
      </c>
      <c r="N90" s="17">
        <f t="shared" si="6"/>
        <v>166667</v>
      </c>
      <c r="P90" s="12">
        <f t="shared" si="7"/>
        <v>111</v>
      </c>
    </row>
    <row r="91" spans="1:16" ht="15" customHeight="1" x14ac:dyDescent="0.2">
      <c r="A91" s="12" t="s">
        <v>18</v>
      </c>
      <c r="B91" s="13">
        <v>46057</v>
      </c>
      <c r="C91" s="12">
        <f t="shared" si="8"/>
        <v>78</v>
      </c>
      <c r="D91" s="38">
        <f t="shared" si="9"/>
        <v>1</v>
      </c>
      <c r="E91" s="12" t="str">
        <f t="shared" si="5"/>
        <v>078</v>
      </c>
      <c r="G91" s="12" t="s">
        <v>510</v>
      </c>
      <c r="H91" s="12" t="s">
        <v>2360</v>
      </c>
      <c r="I91" s="12">
        <v>131</v>
      </c>
      <c r="J91" s="12">
        <v>5113</v>
      </c>
      <c r="K91" s="12" t="s">
        <v>20</v>
      </c>
      <c r="L91" s="12">
        <v>1</v>
      </c>
      <c r="M91" s="17">
        <v>16666667</v>
      </c>
      <c r="N91" s="17">
        <f t="shared" si="6"/>
        <v>16666667</v>
      </c>
      <c r="P91" s="12">
        <f t="shared" si="7"/>
        <v>137</v>
      </c>
    </row>
    <row r="92" spans="1:16" ht="15" customHeight="1" x14ac:dyDescent="0.2">
      <c r="A92" s="12" t="s">
        <v>18</v>
      </c>
      <c r="B92" s="13">
        <v>46057</v>
      </c>
      <c r="C92" s="12">
        <f t="shared" si="8"/>
        <v>79</v>
      </c>
      <c r="D92" s="38">
        <f t="shared" si="9"/>
        <v>1</v>
      </c>
      <c r="E92" s="12" t="str">
        <f t="shared" si="5"/>
        <v>079</v>
      </c>
      <c r="G92" s="12" t="s">
        <v>714</v>
      </c>
      <c r="H92" s="12" t="s">
        <v>2361</v>
      </c>
      <c r="I92" s="12">
        <v>131</v>
      </c>
      <c r="J92" s="12">
        <v>5113</v>
      </c>
      <c r="K92" s="12" t="s">
        <v>20</v>
      </c>
      <c r="L92" s="12">
        <v>1</v>
      </c>
      <c r="M92" s="17">
        <v>16666667</v>
      </c>
      <c r="N92" s="17">
        <f t="shared" si="6"/>
        <v>16666667</v>
      </c>
      <c r="P92" s="12">
        <f t="shared" si="7"/>
        <v>150</v>
      </c>
    </row>
    <row r="93" spans="1:16" ht="15" customHeight="1" x14ac:dyDescent="0.2">
      <c r="A93" s="12" t="s">
        <v>18</v>
      </c>
      <c r="B93" s="13">
        <v>46057</v>
      </c>
      <c r="C93" s="12">
        <f t="shared" si="8"/>
        <v>80</v>
      </c>
      <c r="D93" s="38">
        <f t="shared" si="9"/>
        <v>1</v>
      </c>
      <c r="E93" s="12" t="str">
        <f t="shared" si="5"/>
        <v>080</v>
      </c>
      <c r="G93" s="12" t="s">
        <v>1777</v>
      </c>
      <c r="H93" s="12" t="s">
        <v>2363</v>
      </c>
      <c r="I93" s="12">
        <v>131</v>
      </c>
      <c r="J93" s="12">
        <v>5113</v>
      </c>
      <c r="K93" s="12" t="s">
        <v>20</v>
      </c>
      <c r="L93" s="12">
        <v>1</v>
      </c>
      <c r="M93" s="17">
        <v>8888889</v>
      </c>
      <c r="N93" s="17">
        <f t="shared" si="6"/>
        <v>8888889</v>
      </c>
      <c r="P93" s="12">
        <f t="shared" si="7"/>
        <v>147</v>
      </c>
    </row>
    <row r="94" spans="1:16" ht="15" customHeight="1" x14ac:dyDescent="0.2">
      <c r="A94" s="12" t="s">
        <v>18</v>
      </c>
      <c r="B94" s="13">
        <v>46057</v>
      </c>
      <c r="C94" s="12">
        <f t="shared" si="8"/>
        <v>81</v>
      </c>
      <c r="D94" s="38">
        <f t="shared" si="9"/>
        <v>1</v>
      </c>
      <c r="E94" s="12" t="str">
        <f t="shared" si="5"/>
        <v>081</v>
      </c>
      <c r="G94" s="12" t="s">
        <v>26</v>
      </c>
      <c r="H94" s="12" t="s">
        <v>2362</v>
      </c>
      <c r="I94" s="12">
        <v>131</v>
      </c>
      <c r="J94" s="12">
        <v>5113</v>
      </c>
      <c r="K94" s="12" t="s">
        <v>20</v>
      </c>
      <c r="L94" s="12">
        <v>1</v>
      </c>
      <c r="M94" s="17">
        <v>13333333</v>
      </c>
      <c r="N94" s="17">
        <f t="shared" si="6"/>
        <v>13333333</v>
      </c>
      <c r="P94" s="12">
        <f t="shared" si="7"/>
        <v>162</v>
      </c>
    </row>
    <row r="95" spans="1:16" ht="15" customHeight="1" x14ac:dyDescent="0.2">
      <c r="A95" s="12" t="s">
        <v>18</v>
      </c>
      <c r="B95" s="13">
        <v>46057</v>
      </c>
      <c r="C95" s="12">
        <f t="shared" si="8"/>
        <v>82</v>
      </c>
      <c r="D95" s="38">
        <f t="shared" si="9"/>
        <v>1</v>
      </c>
      <c r="E95" s="12" t="str">
        <f t="shared" si="5"/>
        <v>082</v>
      </c>
      <c r="G95" s="12" t="s">
        <v>510</v>
      </c>
      <c r="H95" s="12" t="s">
        <v>3312</v>
      </c>
      <c r="I95" s="12">
        <v>333821</v>
      </c>
      <c r="J95" s="12">
        <v>131</v>
      </c>
      <c r="K95" s="12" t="s">
        <v>20</v>
      </c>
      <c r="L95" s="12">
        <v>1</v>
      </c>
      <c r="M95" s="17">
        <v>166667</v>
      </c>
      <c r="N95" s="17">
        <f t="shared" si="6"/>
        <v>166667</v>
      </c>
      <c r="P95" s="12">
        <f t="shared" si="7"/>
        <v>153</v>
      </c>
    </row>
    <row r="96" spans="1:16" ht="15" customHeight="1" x14ac:dyDescent="0.2">
      <c r="A96" s="12" t="s">
        <v>18</v>
      </c>
      <c r="B96" s="13">
        <v>46057</v>
      </c>
      <c r="C96" s="12">
        <f t="shared" si="8"/>
        <v>83</v>
      </c>
      <c r="D96" s="38">
        <f t="shared" si="9"/>
        <v>1</v>
      </c>
      <c r="E96" s="12" t="str">
        <f t="shared" si="5"/>
        <v>083</v>
      </c>
      <c r="G96" s="12" t="s">
        <v>714</v>
      </c>
      <c r="H96" s="12" t="s">
        <v>3313</v>
      </c>
      <c r="I96" s="12">
        <v>333821</v>
      </c>
      <c r="J96" s="12">
        <v>131</v>
      </c>
      <c r="K96" s="12" t="s">
        <v>20</v>
      </c>
      <c r="L96" s="12">
        <v>1</v>
      </c>
      <c r="M96" s="17">
        <v>166667</v>
      </c>
      <c r="N96" s="17">
        <f t="shared" si="6"/>
        <v>166667</v>
      </c>
      <c r="P96" s="12">
        <f t="shared" si="7"/>
        <v>166</v>
      </c>
    </row>
    <row r="97" spans="1:16" ht="15" customHeight="1" x14ac:dyDescent="0.2">
      <c r="A97" s="12" t="s">
        <v>18</v>
      </c>
      <c r="B97" s="13">
        <v>46057</v>
      </c>
      <c r="C97" s="12">
        <f t="shared" si="8"/>
        <v>84</v>
      </c>
      <c r="D97" s="38">
        <f t="shared" si="9"/>
        <v>1</v>
      </c>
      <c r="E97" s="12" t="str">
        <f t="shared" si="5"/>
        <v>084</v>
      </c>
      <c r="G97" s="12" t="s">
        <v>1777</v>
      </c>
      <c r="H97" s="12" t="s">
        <v>3315</v>
      </c>
      <c r="I97" s="12">
        <v>333821</v>
      </c>
      <c r="J97" s="12">
        <v>131</v>
      </c>
      <c r="K97" s="12" t="s">
        <v>20</v>
      </c>
      <c r="L97" s="12">
        <v>1</v>
      </c>
      <c r="M97" s="17">
        <v>88889</v>
      </c>
      <c r="N97" s="17">
        <f t="shared" si="6"/>
        <v>88889</v>
      </c>
      <c r="P97" s="12">
        <f t="shared" si="7"/>
        <v>163</v>
      </c>
    </row>
    <row r="98" spans="1:16" ht="15" customHeight="1" x14ac:dyDescent="0.2">
      <c r="A98" s="12" t="s">
        <v>18</v>
      </c>
      <c r="B98" s="13">
        <v>46057</v>
      </c>
      <c r="C98" s="12">
        <f t="shared" si="8"/>
        <v>85</v>
      </c>
      <c r="D98" s="38">
        <f t="shared" si="9"/>
        <v>1</v>
      </c>
      <c r="E98" s="12" t="str">
        <f t="shared" si="5"/>
        <v>085</v>
      </c>
      <c r="G98" s="12" t="s">
        <v>26</v>
      </c>
      <c r="H98" s="12" t="s">
        <v>3314</v>
      </c>
      <c r="I98" s="12">
        <v>333821</v>
      </c>
      <c r="J98" s="12">
        <v>131</v>
      </c>
      <c r="K98" s="12" t="s">
        <v>20</v>
      </c>
      <c r="L98" s="12">
        <v>1</v>
      </c>
      <c r="M98" s="17">
        <v>133333</v>
      </c>
      <c r="N98" s="17">
        <f t="shared" si="6"/>
        <v>133333</v>
      </c>
      <c r="P98" s="12">
        <f t="shared" si="7"/>
        <v>178</v>
      </c>
    </row>
    <row r="99" spans="1:16" ht="15" customHeight="1" x14ac:dyDescent="0.2">
      <c r="A99" s="12" t="s">
        <v>18</v>
      </c>
      <c r="B99" s="36">
        <v>46058</v>
      </c>
      <c r="C99" s="12">
        <f t="shared" si="8"/>
        <v>86</v>
      </c>
      <c r="D99" s="38">
        <f t="shared" si="9"/>
        <v>1</v>
      </c>
      <c r="E99" s="12" t="str">
        <f t="shared" si="5"/>
        <v>086</v>
      </c>
      <c r="G99" s="12" t="s">
        <v>1040</v>
      </c>
      <c r="H99" s="12" t="s">
        <v>3259</v>
      </c>
      <c r="I99" s="12">
        <v>64277</v>
      </c>
      <c r="J99" s="12">
        <v>331</v>
      </c>
      <c r="K99" s="12" t="s">
        <v>20</v>
      </c>
      <c r="L99" s="12">
        <v>1</v>
      </c>
      <c r="M99" s="17">
        <v>642600</v>
      </c>
      <c r="N99" s="17">
        <f t="shared" si="6"/>
        <v>642600</v>
      </c>
      <c r="P99" s="12">
        <f t="shared" si="7"/>
        <v>41</v>
      </c>
    </row>
    <row r="100" spans="1:16" ht="15" customHeight="1" x14ac:dyDescent="0.2">
      <c r="A100" s="12" t="s">
        <v>18</v>
      </c>
      <c r="B100" s="36">
        <v>46058</v>
      </c>
      <c r="C100" s="12">
        <f t="shared" si="8"/>
        <v>86</v>
      </c>
      <c r="D100" s="38">
        <f t="shared" si="9"/>
        <v>0</v>
      </c>
      <c r="E100" s="12" t="str">
        <f t="shared" si="5"/>
        <v>086</v>
      </c>
      <c r="G100" s="12" t="s">
        <v>1040</v>
      </c>
      <c r="H100" s="12" t="s">
        <v>3259</v>
      </c>
      <c r="I100" s="12">
        <v>1331</v>
      </c>
      <c r="J100" s="12">
        <v>331</v>
      </c>
      <c r="K100" s="12" t="s">
        <v>20</v>
      </c>
      <c r="L100" s="12">
        <v>1</v>
      </c>
      <c r="M100" s="17">
        <v>51408</v>
      </c>
      <c r="N100" s="17">
        <f t="shared" si="6"/>
        <v>51408</v>
      </c>
      <c r="P100" s="12">
        <f t="shared" si="7"/>
        <v>41</v>
      </c>
    </row>
    <row r="101" spans="1:16" ht="15" customHeight="1" x14ac:dyDescent="0.2">
      <c r="A101" s="12" t="s">
        <v>18</v>
      </c>
      <c r="B101" s="13">
        <v>46058</v>
      </c>
      <c r="C101" s="12">
        <f t="shared" si="8"/>
        <v>87</v>
      </c>
      <c r="D101" s="38">
        <f t="shared" si="9"/>
        <v>1</v>
      </c>
      <c r="E101" s="12" t="str">
        <f t="shared" si="5"/>
        <v>087</v>
      </c>
      <c r="G101" s="12" t="s">
        <v>68</v>
      </c>
      <c r="H101" s="12" t="s">
        <v>2365</v>
      </c>
      <c r="I101" s="12">
        <v>131</v>
      </c>
      <c r="J101" s="12">
        <v>5113</v>
      </c>
      <c r="K101" s="12" t="s">
        <v>20</v>
      </c>
      <c r="L101" s="12">
        <v>1</v>
      </c>
      <c r="M101" s="17">
        <v>16666667</v>
      </c>
      <c r="N101" s="17">
        <f t="shared" si="6"/>
        <v>16666667</v>
      </c>
      <c r="P101" s="12">
        <f t="shared" si="7"/>
        <v>146</v>
      </c>
    </row>
    <row r="102" spans="1:16" ht="15" customHeight="1" x14ac:dyDescent="0.2">
      <c r="A102" s="12" t="s">
        <v>18</v>
      </c>
      <c r="B102" s="13">
        <v>46058</v>
      </c>
      <c r="C102" s="12">
        <f t="shared" si="8"/>
        <v>88</v>
      </c>
      <c r="D102" s="38">
        <f t="shared" si="9"/>
        <v>1</v>
      </c>
      <c r="E102" s="12" t="str">
        <f t="shared" si="5"/>
        <v>088</v>
      </c>
      <c r="G102" s="12" t="s">
        <v>81</v>
      </c>
      <c r="H102" s="12" t="s">
        <v>2364</v>
      </c>
      <c r="I102" s="12">
        <v>131</v>
      </c>
      <c r="J102" s="12">
        <v>5113</v>
      </c>
      <c r="K102" s="12" t="s">
        <v>20</v>
      </c>
      <c r="L102" s="12">
        <v>1</v>
      </c>
      <c r="M102" s="17">
        <v>16666667</v>
      </c>
      <c r="N102" s="17">
        <f t="shared" si="6"/>
        <v>16666667</v>
      </c>
      <c r="P102" s="12">
        <f t="shared" si="7"/>
        <v>139</v>
      </c>
    </row>
    <row r="103" spans="1:16" ht="15" customHeight="1" x14ac:dyDescent="0.2">
      <c r="A103" s="12" t="s">
        <v>18</v>
      </c>
      <c r="B103" s="13">
        <v>46058</v>
      </c>
      <c r="C103" s="12">
        <f t="shared" si="8"/>
        <v>89</v>
      </c>
      <c r="D103" s="38">
        <f t="shared" si="9"/>
        <v>1</v>
      </c>
      <c r="E103" s="12" t="str">
        <f t="shared" si="5"/>
        <v>089</v>
      </c>
      <c r="G103" s="12" t="s">
        <v>68</v>
      </c>
      <c r="H103" s="12" t="s">
        <v>3317</v>
      </c>
      <c r="I103" s="12">
        <v>333821</v>
      </c>
      <c r="J103" s="12">
        <v>131</v>
      </c>
      <c r="K103" s="12" t="s">
        <v>20</v>
      </c>
      <c r="L103" s="12">
        <v>1</v>
      </c>
      <c r="M103" s="17">
        <v>166667</v>
      </c>
      <c r="N103" s="17">
        <f t="shared" si="6"/>
        <v>166667</v>
      </c>
      <c r="P103" s="12">
        <f t="shared" si="7"/>
        <v>162</v>
      </c>
    </row>
    <row r="104" spans="1:16" ht="15" customHeight="1" x14ac:dyDescent="0.2">
      <c r="A104" s="12" t="s">
        <v>18</v>
      </c>
      <c r="B104" s="13">
        <v>46058</v>
      </c>
      <c r="C104" s="12">
        <f t="shared" si="8"/>
        <v>90</v>
      </c>
      <c r="D104" s="38">
        <f t="shared" si="9"/>
        <v>1</v>
      </c>
      <c r="E104" s="12" t="str">
        <f t="shared" si="5"/>
        <v>090</v>
      </c>
      <c r="G104" s="12" t="s">
        <v>81</v>
      </c>
      <c r="H104" s="12" t="s">
        <v>3316</v>
      </c>
      <c r="I104" s="12">
        <v>333821</v>
      </c>
      <c r="J104" s="12">
        <v>131</v>
      </c>
      <c r="K104" s="12" t="s">
        <v>20</v>
      </c>
      <c r="L104" s="12">
        <v>1</v>
      </c>
      <c r="M104" s="17">
        <v>166667</v>
      </c>
      <c r="N104" s="17">
        <f t="shared" si="6"/>
        <v>166667</v>
      </c>
      <c r="P104" s="12">
        <f t="shared" si="7"/>
        <v>155</v>
      </c>
    </row>
    <row r="105" spans="1:16" ht="15" customHeight="1" x14ac:dyDescent="0.2">
      <c r="A105" s="12" t="s">
        <v>18</v>
      </c>
      <c r="B105" s="36">
        <v>46061</v>
      </c>
      <c r="C105" s="12">
        <f t="shared" si="8"/>
        <v>91</v>
      </c>
      <c r="D105" s="38">
        <f t="shared" si="9"/>
        <v>1</v>
      </c>
      <c r="E105" s="12" t="str">
        <f t="shared" si="5"/>
        <v>091</v>
      </c>
      <c r="G105" s="12" t="s">
        <v>89</v>
      </c>
      <c r="H105" s="12" t="s">
        <v>2324</v>
      </c>
      <c r="I105" s="12">
        <v>64277</v>
      </c>
      <c r="J105" s="12">
        <v>331</v>
      </c>
      <c r="K105" s="12" t="s">
        <v>20</v>
      </c>
      <c r="L105" s="12">
        <v>1</v>
      </c>
      <c r="M105" s="17">
        <v>75926</v>
      </c>
      <c r="N105" s="17">
        <f t="shared" si="6"/>
        <v>75926</v>
      </c>
      <c r="P105" s="12">
        <f t="shared" si="7"/>
        <v>72</v>
      </c>
    </row>
    <row r="106" spans="1:16" ht="15" customHeight="1" x14ac:dyDescent="0.2">
      <c r="A106" s="12" t="s">
        <v>18</v>
      </c>
      <c r="B106" s="36">
        <v>46061</v>
      </c>
      <c r="C106" s="12">
        <f t="shared" si="8"/>
        <v>91</v>
      </c>
      <c r="D106" s="38">
        <f t="shared" si="9"/>
        <v>0</v>
      </c>
      <c r="E106" s="12" t="str">
        <f t="shared" si="5"/>
        <v>091</v>
      </c>
      <c r="G106" s="12" t="s">
        <v>89</v>
      </c>
      <c r="H106" s="12" t="s">
        <v>2324</v>
      </c>
      <c r="I106" s="12">
        <v>1331</v>
      </c>
      <c r="J106" s="12">
        <v>331</v>
      </c>
      <c r="K106" s="12" t="s">
        <v>20</v>
      </c>
      <c r="L106" s="12">
        <v>1</v>
      </c>
      <c r="M106" s="17">
        <v>6074</v>
      </c>
      <c r="N106" s="17">
        <f t="shared" si="6"/>
        <v>6074</v>
      </c>
      <c r="P106" s="12">
        <f t="shared" si="7"/>
        <v>72</v>
      </c>
    </row>
    <row r="107" spans="1:16" ht="15" customHeight="1" x14ac:dyDescent="0.2">
      <c r="A107" s="12" t="s">
        <v>18</v>
      </c>
      <c r="B107" s="36">
        <v>46062</v>
      </c>
      <c r="C107" s="12">
        <f t="shared" si="8"/>
        <v>92</v>
      </c>
      <c r="D107" s="38">
        <f t="shared" si="9"/>
        <v>1</v>
      </c>
      <c r="E107" s="12" t="str">
        <f t="shared" si="5"/>
        <v>092</v>
      </c>
      <c r="G107" s="12" t="s">
        <v>2326</v>
      </c>
      <c r="H107" s="12" t="s">
        <v>3260</v>
      </c>
      <c r="I107" s="12">
        <v>64277</v>
      </c>
      <c r="J107" s="12">
        <v>331</v>
      </c>
      <c r="K107" s="12" t="s">
        <v>20</v>
      </c>
      <c r="L107" s="12">
        <v>1</v>
      </c>
      <c r="M107" s="17">
        <v>1165000</v>
      </c>
      <c r="N107" s="17">
        <f t="shared" si="6"/>
        <v>1165000</v>
      </c>
      <c r="P107" s="12">
        <f t="shared" si="7"/>
        <v>41</v>
      </c>
    </row>
    <row r="108" spans="1:16" ht="15" customHeight="1" x14ac:dyDescent="0.2">
      <c r="A108" s="12" t="s">
        <v>18</v>
      </c>
      <c r="B108" s="36">
        <v>46062</v>
      </c>
      <c r="C108" s="12">
        <f t="shared" si="8"/>
        <v>92</v>
      </c>
      <c r="D108" s="38">
        <f t="shared" si="9"/>
        <v>0</v>
      </c>
      <c r="E108" s="12" t="str">
        <f t="shared" si="5"/>
        <v>092</v>
      </c>
      <c r="G108" s="12" t="s">
        <v>2326</v>
      </c>
      <c r="H108" s="12" t="s">
        <v>3260</v>
      </c>
      <c r="I108" s="12">
        <v>1331</v>
      </c>
      <c r="J108" s="12">
        <v>331</v>
      </c>
      <c r="K108" s="12" t="s">
        <v>20</v>
      </c>
      <c r="L108" s="12">
        <v>1</v>
      </c>
      <c r="M108" s="17">
        <v>93200</v>
      </c>
      <c r="N108" s="17">
        <f t="shared" si="6"/>
        <v>93200</v>
      </c>
      <c r="P108" s="12">
        <f t="shared" si="7"/>
        <v>41</v>
      </c>
    </row>
    <row r="109" spans="1:16" ht="15" customHeight="1" x14ac:dyDescent="0.2">
      <c r="A109" s="12" t="s">
        <v>18</v>
      </c>
      <c r="B109" s="36">
        <v>46062</v>
      </c>
      <c r="C109" s="12">
        <f t="shared" si="8"/>
        <v>93</v>
      </c>
      <c r="D109" s="38">
        <f t="shared" si="9"/>
        <v>1</v>
      </c>
      <c r="E109" s="12" t="str">
        <f t="shared" si="5"/>
        <v>093</v>
      </c>
      <c r="G109" s="12" t="s">
        <v>89</v>
      </c>
      <c r="H109" s="12" t="s">
        <v>2325</v>
      </c>
      <c r="I109" s="12">
        <v>64277</v>
      </c>
      <c r="J109" s="12">
        <v>331</v>
      </c>
      <c r="K109" s="12" t="s">
        <v>20</v>
      </c>
      <c r="L109" s="12">
        <v>1</v>
      </c>
      <c r="M109" s="17">
        <v>103704</v>
      </c>
      <c r="N109" s="17">
        <f t="shared" si="6"/>
        <v>103704</v>
      </c>
      <c r="P109" s="12">
        <f t="shared" si="7"/>
        <v>72</v>
      </c>
    </row>
    <row r="110" spans="1:16" ht="15" customHeight="1" x14ac:dyDescent="0.2">
      <c r="A110" s="12" t="s">
        <v>18</v>
      </c>
      <c r="B110" s="36">
        <v>46062</v>
      </c>
      <c r="C110" s="12">
        <f t="shared" si="8"/>
        <v>93</v>
      </c>
      <c r="D110" s="38">
        <f t="shared" si="9"/>
        <v>0</v>
      </c>
      <c r="E110" s="12" t="str">
        <f t="shared" si="5"/>
        <v>093</v>
      </c>
      <c r="G110" s="12" t="s">
        <v>89</v>
      </c>
      <c r="H110" s="12" t="s">
        <v>2325</v>
      </c>
      <c r="I110" s="12">
        <v>1331</v>
      </c>
      <c r="J110" s="12">
        <v>331</v>
      </c>
      <c r="K110" s="12" t="s">
        <v>20</v>
      </c>
      <c r="L110" s="12">
        <v>1</v>
      </c>
      <c r="M110" s="17">
        <v>8296</v>
      </c>
      <c r="N110" s="17">
        <f t="shared" si="6"/>
        <v>8296</v>
      </c>
      <c r="P110" s="12">
        <f t="shared" si="7"/>
        <v>72</v>
      </c>
    </row>
    <row r="111" spans="1:16" ht="15" customHeight="1" x14ac:dyDescent="0.2">
      <c r="A111" s="12" t="s">
        <v>18</v>
      </c>
      <c r="B111" s="36">
        <v>46062</v>
      </c>
      <c r="C111" s="12">
        <f t="shared" si="8"/>
        <v>94</v>
      </c>
      <c r="D111" s="38">
        <f t="shared" si="9"/>
        <v>1</v>
      </c>
      <c r="E111" s="12" t="str">
        <f t="shared" si="5"/>
        <v>094</v>
      </c>
      <c r="G111" s="12" t="s">
        <v>46</v>
      </c>
      <c r="H111" s="12" t="s">
        <v>2327</v>
      </c>
      <c r="I111" s="12">
        <v>64277</v>
      </c>
      <c r="J111" s="12">
        <v>331</v>
      </c>
      <c r="K111" s="12" t="s">
        <v>20</v>
      </c>
      <c r="L111" s="12">
        <v>1</v>
      </c>
      <c r="M111" s="17">
        <v>439000</v>
      </c>
      <c r="N111" s="17">
        <f t="shared" si="6"/>
        <v>439000</v>
      </c>
      <c r="P111" s="12">
        <f t="shared" si="7"/>
        <v>145</v>
      </c>
    </row>
    <row r="112" spans="1:16" ht="15" customHeight="1" x14ac:dyDescent="0.2">
      <c r="A112" s="12" t="s">
        <v>18</v>
      </c>
      <c r="B112" s="36">
        <v>46062</v>
      </c>
      <c r="C112" s="12">
        <f t="shared" si="8"/>
        <v>94</v>
      </c>
      <c r="D112" s="38">
        <f t="shared" si="9"/>
        <v>0</v>
      </c>
      <c r="E112" s="12" t="str">
        <f t="shared" si="5"/>
        <v>094</v>
      </c>
      <c r="G112" s="12" t="s">
        <v>46</v>
      </c>
      <c r="H112" s="12" t="s">
        <v>2327</v>
      </c>
      <c r="I112" s="12">
        <v>1331</v>
      </c>
      <c r="J112" s="12">
        <v>331</v>
      </c>
      <c r="K112" s="12" t="s">
        <v>20</v>
      </c>
      <c r="L112" s="12">
        <v>1</v>
      </c>
      <c r="M112" s="17">
        <v>35120</v>
      </c>
      <c r="N112" s="17">
        <f t="shared" si="6"/>
        <v>35120</v>
      </c>
      <c r="P112" s="12">
        <f t="shared" si="7"/>
        <v>145</v>
      </c>
    </row>
    <row r="113" spans="1:16" ht="15" customHeight="1" x14ac:dyDescent="0.2">
      <c r="A113" s="12" t="s">
        <v>18</v>
      </c>
      <c r="B113" s="13">
        <v>46063</v>
      </c>
      <c r="C113" s="12">
        <f t="shared" si="8"/>
        <v>95</v>
      </c>
      <c r="D113" s="38">
        <f t="shared" si="9"/>
        <v>1</v>
      </c>
      <c r="E113" s="12" t="str">
        <f t="shared" si="5"/>
        <v>095</v>
      </c>
      <c r="G113" s="12" t="s">
        <v>82</v>
      </c>
      <c r="H113" s="12" t="s">
        <v>2366</v>
      </c>
      <c r="I113" s="12">
        <v>131</v>
      </c>
      <c r="J113" s="12">
        <v>5113</v>
      </c>
      <c r="K113" s="12" t="s">
        <v>20</v>
      </c>
      <c r="L113" s="12">
        <v>1</v>
      </c>
      <c r="M113" s="17">
        <v>16666667</v>
      </c>
      <c r="N113" s="17">
        <f t="shared" si="6"/>
        <v>16666667</v>
      </c>
      <c r="P113" s="12">
        <f t="shared" si="7"/>
        <v>179</v>
      </c>
    </row>
    <row r="114" spans="1:16" ht="15" customHeight="1" x14ac:dyDescent="0.2">
      <c r="A114" s="12" t="s">
        <v>18</v>
      </c>
      <c r="B114" s="13">
        <v>46063</v>
      </c>
      <c r="C114" s="12">
        <f t="shared" si="8"/>
        <v>96</v>
      </c>
      <c r="D114" s="38">
        <f t="shared" si="9"/>
        <v>1</v>
      </c>
      <c r="E114" s="12" t="str">
        <f t="shared" si="5"/>
        <v>096</v>
      </c>
      <c r="G114" s="12" t="s">
        <v>82</v>
      </c>
      <c r="H114" s="12" t="s">
        <v>2367</v>
      </c>
      <c r="I114" s="12">
        <v>131</v>
      </c>
      <c r="J114" s="12">
        <v>5113</v>
      </c>
      <c r="K114" s="12" t="s">
        <v>20</v>
      </c>
      <c r="L114" s="12">
        <v>1</v>
      </c>
      <c r="M114" s="17">
        <v>16666667</v>
      </c>
      <c r="N114" s="17">
        <f t="shared" si="6"/>
        <v>16666667</v>
      </c>
      <c r="P114" s="12">
        <f t="shared" si="7"/>
        <v>177</v>
      </c>
    </row>
    <row r="115" spans="1:16" ht="15" customHeight="1" x14ac:dyDescent="0.2">
      <c r="A115" s="12" t="s">
        <v>18</v>
      </c>
      <c r="B115" s="13">
        <v>46063</v>
      </c>
      <c r="C115" s="12">
        <f t="shared" si="8"/>
        <v>97</v>
      </c>
      <c r="D115" s="38">
        <f t="shared" si="9"/>
        <v>1</v>
      </c>
      <c r="E115" s="12" t="str">
        <f t="shared" si="5"/>
        <v>097</v>
      </c>
      <c r="G115" s="12" t="s">
        <v>82</v>
      </c>
      <c r="H115" s="12" t="s">
        <v>3318</v>
      </c>
      <c r="I115" s="12">
        <v>333821</v>
      </c>
      <c r="J115" s="12">
        <v>131</v>
      </c>
      <c r="K115" s="12" t="s">
        <v>20</v>
      </c>
      <c r="L115" s="12">
        <v>1</v>
      </c>
      <c r="M115" s="17">
        <v>166667</v>
      </c>
      <c r="N115" s="17">
        <f t="shared" si="6"/>
        <v>166667</v>
      </c>
      <c r="P115" s="12">
        <f t="shared" si="7"/>
        <v>195</v>
      </c>
    </row>
    <row r="116" spans="1:16" ht="15" customHeight="1" x14ac:dyDescent="0.2">
      <c r="A116" s="12" t="s">
        <v>18</v>
      </c>
      <c r="B116" s="13">
        <v>46063</v>
      </c>
      <c r="C116" s="12">
        <f t="shared" si="8"/>
        <v>98</v>
      </c>
      <c r="D116" s="38">
        <f t="shared" si="9"/>
        <v>1</v>
      </c>
      <c r="E116" s="12" t="str">
        <f t="shared" si="5"/>
        <v>098</v>
      </c>
      <c r="G116" s="12" t="s">
        <v>82</v>
      </c>
      <c r="H116" s="12" t="s">
        <v>3319</v>
      </c>
      <c r="I116" s="12">
        <v>333821</v>
      </c>
      <c r="J116" s="12">
        <v>131</v>
      </c>
      <c r="K116" s="12" t="s">
        <v>20</v>
      </c>
      <c r="L116" s="12">
        <v>1</v>
      </c>
      <c r="M116" s="17">
        <v>166667</v>
      </c>
      <c r="N116" s="17">
        <f t="shared" si="6"/>
        <v>166667</v>
      </c>
      <c r="P116" s="12">
        <f t="shared" si="7"/>
        <v>193</v>
      </c>
    </row>
    <row r="117" spans="1:16" ht="15" customHeight="1" x14ac:dyDescent="0.2">
      <c r="A117" s="12" t="s">
        <v>18</v>
      </c>
      <c r="B117" s="36">
        <v>46065</v>
      </c>
      <c r="C117" s="12">
        <f t="shared" si="8"/>
        <v>99</v>
      </c>
      <c r="D117" s="38">
        <f t="shared" si="9"/>
        <v>1</v>
      </c>
      <c r="E117" s="12" t="str">
        <f t="shared" si="5"/>
        <v>099</v>
      </c>
      <c r="G117" s="12" t="s">
        <v>2179</v>
      </c>
      <c r="H117" s="12" t="s">
        <v>2328</v>
      </c>
      <c r="I117" s="12">
        <v>64277</v>
      </c>
      <c r="J117" s="12">
        <v>331</v>
      </c>
      <c r="K117" s="12" t="s">
        <v>20</v>
      </c>
      <c r="L117" s="12">
        <v>1</v>
      </c>
      <c r="M117" s="17">
        <v>0</v>
      </c>
      <c r="N117" s="17">
        <f t="shared" si="6"/>
        <v>0</v>
      </c>
      <c r="P117" s="12">
        <f t="shared" si="7"/>
        <v>174</v>
      </c>
    </row>
    <row r="118" spans="1:16" ht="15" customHeight="1" x14ac:dyDescent="0.2">
      <c r="A118" s="12" t="s">
        <v>18</v>
      </c>
      <c r="B118" s="36">
        <v>46065</v>
      </c>
      <c r="C118" s="12">
        <f t="shared" si="8"/>
        <v>99</v>
      </c>
      <c r="D118" s="38">
        <f t="shared" si="9"/>
        <v>0</v>
      </c>
      <c r="E118" s="12" t="str">
        <f t="shared" si="5"/>
        <v>099</v>
      </c>
      <c r="G118" s="12" t="s">
        <v>2179</v>
      </c>
      <c r="H118" s="12" t="s">
        <v>2328</v>
      </c>
      <c r="I118" s="12">
        <v>1331</v>
      </c>
      <c r="J118" s="12">
        <v>331</v>
      </c>
      <c r="K118" s="12" t="s">
        <v>20</v>
      </c>
      <c r="L118" s="12">
        <v>1</v>
      </c>
      <c r="M118" s="17">
        <v>0</v>
      </c>
      <c r="N118" s="17">
        <f t="shared" si="6"/>
        <v>0</v>
      </c>
      <c r="P118" s="12">
        <f t="shared" si="7"/>
        <v>174</v>
      </c>
    </row>
    <row r="119" spans="1:16" ht="15" customHeight="1" x14ac:dyDescent="0.2">
      <c r="A119" s="12" t="s">
        <v>18</v>
      </c>
      <c r="B119" s="36">
        <v>46066</v>
      </c>
      <c r="C119" s="12">
        <f t="shared" si="8"/>
        <v>100</v>
      </c>
      <c r="D119" s="38">
        <f t="shared" si="9"/>
        <v>1</v>
      </c>
      <c r="E119" s="12" t="str">
        <f t="shared" si="5"/>
        <v>100</v>
      </c>
      <c r="G119" s="12" t="s">
        <v>2241</v>
      </c>
      <c r="H119" s="12" t="s">
        <v>2329</v>
      </c>
      <c r="I119" s="12">
        <v>64277</v>
      </c>
      <c r="J119" s="12">
        <v>331</v>
      </c>
      <c r="K119" s="12" t="s">
        <v>20</v>
      </c>
      <c r="L119" s="12">
        <v>1</v>
      </c>
      <c r="M119" s="17">
        <v>0</v>
      </c>
      <c r="N119" s="17">
        <f t="shared" si="6"/>
        <v>0</v>
      </c>
      <c r="P119" s="12">
        <f t="shared" si="7"/>
        <v>62</v>
      </c>
    </row>
    <row r="120" spans="1:16" ht="15" customHeight="1" x14ac:dyDescent="0.2">
      <c r="A120" s="12" t="s">
        <v>18</v>
      </c>
      <c r="B120" s="36">
        <v>46066</v>
      </c>
      <c r="C120" s="12">
        <f t="shared" si="8"/>
        <v>100</v>
      </c>
      <c r="D120" s="38">
        <f t="shared" si="9"/>
        <v>0</v>
      </c>
      <c r="E120" s="12" t="str">
        <f t="shared" si="5"/>
        <v>100</v>
      </c>
      <c r="G120" s="12" t="s">
        <v>2241</v>
      </c>
      <c r="H120" s="12" t="s">
        <v>2329</v>
      </c>
      <c r="I120" s="12">
        <v>1331</v>
      </c>
      <c r="J120" s="12">
        <v>331</v>
      </c>
      <c r="K120" s="12" t="s">
        <v>20</v>
      </c>
      <c r="L120" s="12">
        <v>1</v>
      </c>
      <c r="M120" s="17">
        <v>0</v>
      </c>
      <c r="N120" s="17">
        <f t="shared" si="6"/>
        <v>0</v>
      </c>
      <c r="P120" s="12">
        <f t="shared" si="7"/>
        <v>62</v>
      </c>
    </row>
    <row r="121" spans="1:16" ht="15" customHeight="1" x14ac:dyDescent="0.2">
      <c r="A121" s="12" t="s">
        <v>18</v>
      </c>
      <c r="B121" s="36">
        <v>46078</v>
      </c>
      <c r="C121" s="12">
        <f t="shared" si="8"/>
        <v>101</v>
      </c>
      <c r="D121" s="38">
        <f t="shared" si="9"/>
        <v>1</v>
      </c>
      <c r="E121" s="12" t="str">
        <f t="shared" si="5"/>
        <v>101</v>
      </c>
      <c r="G121" s="12" t="s">
        <v>89</v>
      </c>
      <c r="H121" s="12" t="s">
        <v>2333</v>
      </c>
      <c r="I121" s="12">
        <v>64277</v>
      </c>
      <c r="J121" s="12">
        <v>331</v>
      </c>
      <c r="K121" s="12" t="s">
        <v>20</v>
      </c>
      <c r="L121" s="12">
        <v>1</v>
      </c>
      <c r="M121" s="17">
        <v>58333</v>
      </c>
      <c r="N121" s="17">
        <f t="shared" si="6"/>
        <v>58333</v>
      </c>
      <c r="P121" s="12">
        <f t="shared" si="7"/>
        <v>73</v>
      </c>
    </row>
    <row r="122" spans="1:16" ht="15" customHeight="1" x14ac:dyDescent="0.2">
      <c r="A122" s="12" t="s">
        <v>18</v>
      </c>
      <c r="B122" s="36">
        <v>46078</v>
      </c>
      <c r="C122" s="12">
        <f t="shared" si="8"/>
        <v>101</v>
      </c>
      <c r="D122" s="38">
        <f t="shared" si="9"/>
        <v>0</v>
      </c>
      <c r="E122" s="12" t="str">
        <f t="shared" si="5"/>
        <v>101</v>
      </c>
      <c r="G122" s="12" t="s">
        <v>89</v>
      </c>
      <c r="H122" s="12" t="s">
        <v>2333</v>
      </c>
      <c r="I122" s="12">
        <v>1331</v>
      </c>
      <c r="J122" s="12">
        <v>331</v>
      </c>
      <c r="K122" s="12" t="s">
        <v>20</v>
      </c>
      <c r="L122" s="12">
        <v>1</v>
      </c>
      <c r="M122" s="17">
        <v>4667</v>
      </c>
      <c r="N122" s="17">
        <f t="shared" si="6"/>
        <v>4667</v>
      </c>
      <c r="P122" s="12">
        <f t="shared" si="7"/>
        <v>73</v>
      </c>
    </row>
    <row r="123" spans="1:16" ht="15" customHeight="1" x14ac:dyDescent="0.2">
      <c r="A123" s="12" t="s">
        <v>18</v>
      </c>
      <c r="B123" s="36">
        <v>46078</v>
      </c>
      <c r="C123" s="12">
        <f t="shared" si="8"/>
        <v>102</v>
      </c>
      <c r="D123" s="38">
        <f t="shared" si="9"/>
        <v>1</v>
      </c>
      <c r="E123" s="12" t="str">
        <f t="shared" si="5"/>
        <v>102</v>
      </c>
      <c r="G123" s="12" t="s">
        <v>89</v>
      </c>
      <c r="H123" s="12" t="s">
        <v>2332</v>
      </c>
      <c r="I123" s="12">
        <v>64277</v>
      </c>
      <c r="J123" s="12">
        <v>331</v>
      </c>
      <c r="K123" s="12" t="s">
        <v>20</v>
      </c>
      <c r="L123" s="12">
        <v>1</v>
      </c>
      <c r="M123" s="17">
        <v>50000</v>
      </c>
      <c r="N123" s="17">
        <f t="shared" si="6"/>
        <v>50000</v>
      </c>
      <c r="P123" s="12">
        <f t="shared" si="7"/>
        <v>73</v>
      </c>
    </row>
    <row r="124" spans="1:16" ht="15" customHeight="1" x14ac:dyDescent="0.2">
      <c r="A124" s="12" t="s">
        <v>18</v>
      </c>
      <c r="B124" s="36">
        <v>46078</v>
      </c>
      <c r="C124" s="12">
        <f t="shared" si="8"/>
        <v>102</v>
      </c>
      <c r="D124" s="38">
        <f t="shared" si="9"/>
        <v>0</v>
      </c>
      <c r="E124" s="12" t="str">
        <f t="shared" si="5"/>
        <v>102</v>
      </c>
      <c r="G124" s="12" t="s">
        <v>89</v>
      </c>
      <c r="H124" s="12" t="s">
        <v>2332</v>
      </c>
      <c r="I124" s="12">
        <v>1331</v>
      </c>
      <c r="J124" s="12">
        <v>331</v>
      </c>
      <c r="K124" s="12" t="s">
        <v>20</v>
      </c>
      <c r="L124" s="12">
        <v>1</v>
      </c>
      <c r="M124" s="17">
        <v>4000</v>
      </c>
      <c r="N124" s="17">
        <f t="shared" si="6"/>
        <v>4000</v>
      </c>
      <c r="P124" s="12">
        <f t="shared" si="7"/>
        <v>73</v>
      </c>
    </row>
    <row r="125" spans="1:16" ht="15" customHeight="1" x14ac:dyDescent="0.2">
      <c r="A125" s="12" t="s">
        <v>18</v>
      </c>
      <c r="B125" s="36">
        <v>46078</v>
      </c>
      <c r="C125" s="12">
        <f t="shared" si="8"/>
        <v>103</v>
      </c>
      <c r="D125" s="38">
        <f t="shared" si="9"/>
        <v>1</v>
      </c>
      <c r="E125" s="12" t="str">
        <f t="shared" si="5"/>
        <v>103</v>
      </c>
      <c r="G125" s="12" t="s">
        <v>89</v>
      </c>
      <c r="H125" s="12" t="s">
        <v>2331</v>
      </c>
      <c r="I125" s="12">
        <v>64277</v>
      </c>
      <c r="J125" s="12">
        <v>331</v>
      </c>
      <c r="K125" s="12" t="s">
        <v>20</v>
      </c>
      <c r="L125" s="12">
        <v>1</v>
      </c>
      <c r="M125" s="17">
        <v>81481</v>
      </c>
      <c r="N125" s="17">
        <f t="shared" si="6"/>
        <v>81481</v>
      </c>
      <c r="P125" s="12">
        <f t="shared" si="7"/>
        <v>73</v>
      </c>
    </row>
    <row r="126" spans="1:16" ht="15" customHeight="1" x14ac:dyDescent="0.2">
      <c r="A126" s="12" t="s">
        <v>18</v>
      </c>
      <c r="B126" s="36">
        <v>46078</v>
      </c>
      <c r="C126" s="12">
        <f t="shared" si="8"/>
        <v>103</v>
      </c>
      <c r="D126" s="38">
        <f t="shared" si="9"/>
        <v>0</v>
      </c>
      <c r="E126" s="12" t="str">
        <f t="shared" si="5"/>
        <v>103</v>
      </c>
      <c r="G126" s="12" t="s">
        <v>89</v>
      </c>
      <c r="H126" s="12" t="s">
        <v>2331</v>
      </c>
      <c r="I126" s="12">
        <v>1331</v>
      </c>
      <c r="J126" s="12">
        <v>331</v>
      </c>
      <c r="K126" s="12" t="s">
        <v>20</v>
      </c>
      <c r="L126" s="12">
        <v>1</v>
      </c>
      <c r="M126" s="17">
        <v>6519</v>
      </c>
      <c r="N126" s="17">
        <f t="shared" si="6"/>
        <v>6519</v>
      </c>
      <c r="P126" s="12">
        <f t="shared" si="7"/>
        <v>73</v>
      </c>
    </row>
    <row r="127" spans="1:16" ht="15" customHeight="1" x14ac:dyDescent="0.2">
      <c r="A127" s="12" t="s">
        <v>18</v>
      </c>
      <c r="B127" s="36">
        <v>46078</v>
      </c>
      <c r="C127" s="12">
        <f t="shared" si="8"/>
        <v>104</v>
      </c>
      <c r="D127" s="38">
        <f t="shared" si="9"/>
        <v>1</v>
      </c>
      <c r="E127" s="12" t="str">
        <f t="shared" si="5"/>
        <v>104</v>
      </c>
      <c r="G127" s="12" t="s">
        <v>89</v>
      </c>
      <c r="H127" s="12" t="s">
        <v>2330</v>
      </c>
      <c r="I127" s="12">
        <v>64277</v>
      </c>
      <c r="J127" s="12">
        <v>331</v>
      </c>
      <c r="K127" s="12" t="s">
        <v>20</v>
      </c>
      <c r="L127" s="12">
        <v>1</v>
      </c>
      <c r="M127" s="17">
        <v>28704</v>
      </c>
      <c r="N127" s="17">
        <f t="shared" si="6"/>
        <v>28704</v>
      </c>
      <c r="P127" s="12">
        <f t="shared" si="7"/>
        <v>73</v>
      </c>
    </row>
    <row r="128" spans="1:16" ht="15" customHeight="1" x14ac:dyDescent="0.2">
      <c r="A128" s="12" t="s">
        <v>18</v>
      </c>
      <c r="B128" s="36">
        <v>46078</v>
      </c>
      <c r="C128" s="12">
        <f t="shared" si="8"/>
        <v>104</v>
      </c>
      <c r="D128" s="38">
        <f t="shared" si="9"/>
        <v>0</v>
      </c>
      <c r="E128" s="12" t="str">
        <f t="shared" si="5"/>
        <v>104</v>
      </c>
      <c r="G128" s="12" t="s">
        <v>89</v>
      </c>
      <c r="H128" s="12" t="s">
        <v>2330</v>
      </c>
      <c r="I128" s="12">
        <v>1331</v>
      </c>
      <c r="J128" s="12">
        <v>331</v>
      </c>
      <c r="K128" s="12" t="s">
        <v>20</v>
      </c>
      <c r="L128" s="12">
        <v>1</v>
      </c>
      <c r="M128" s="17">
        <v>2296</v>
      </c>
      <c r="N128" s="17">
        <f t="shared" si="6"/>
        <v>2296</v>
      </c>
      <c r="P128" s="12">
        <f t="shared" si="7"/>
        <v>73</v>
      </c>
    </row>
    <row r="129" spans="1:16" ht="15" customHeight="1" x14ac:dyDescent="0.2">
      <c r="A129" s="12" t="s">
        <v>18</v>
      </c>
      <c r="B129" s="36">
        <v>46079</v>
      </c>
      <c r="C129" s="12">
        <f t="shared" si="8"/>
        <v>105</v>
      </c>
      <c r="D129" s="38">
        <f t="shared" si="9"/>
        <v>1</v>
      </c>
      <c r="E129" s="12" t="str">
        <f t="shared" si="5"/>
        <v>105</v>
      </c>
      <c r="G129" s="12" t="s">
        <v>2334</v>
      </c>
      <c r="H129" s="12" t="s">
        <v>3261</v>
      </c>
      <c r="I129" s="12">
        <v>64277</v>
      </c>
      <c r="J129" s="12">
        <v>331</v>
      </c>
      <c r="K129" s="12" t="s">
        <v>20</v>
      </c>
      <c r="L129" s="12">
        <v>1</v>
      </c>
      <c r="M129" s="17">
        <v>836000</v>
      </c>
      <c r="N129" s="17">
        <f t="shared" si="6"/>
        <v>836000</v>
      </c>
      <c r="P129" s="12">
        <f t="shared" si="7"/>
        <v>41</v>
      </c>
    </row>
    <row r="130" spans="1:16" ht="15" customHeight="1" x14ac:dyDescent="0.2">
      <c r="A130" s="12" t="s">
        <v>18</v>
      </c>
      <c r="B130" s="36">
        <v>46079</v>
      </c>
      <c r="C130" s="12">
        <f t="shared" si="8"/>
        <v>105</v>
      </c>
      <c r="D130" s="38">
        <f t="shared" si="9"/>
        <v>0</v>
      </c>
      <c r="E130" s="12" t="str">
        <f t="shared" si="5"/>
        <v>105</v>
      </c>
      <c r="G130" s="12" t="s">
        <v>2334</v>
      </c>
      <c r="H130" s="12" t="s">
        <v>3261</v>
      </c>
      <c r="I130" s="12">
        <v>1331</v>
      </c>
      <c r="J130" s="12">
        <v>331</v>
      </c>
      <c r="K130" s="12" t="s">
        <v>20</v>
      </c>
      <c r="L130" s="12">
        <v>1</v>
      </c>
      <c r="M130" s="17">
        <v>66880</v>
      </c>
      <c r="N130" s="17">
        <f t="shared" si="6"/>
        <v>66880</v>
      </c>
      <c r="P130" s="12">
        <f t="shared" si="7"/>
        <v>41</v>
      </c>
    </row>
    <row r="131" spans="1:16" ht="15" customHeight="1" x14ac:dyDescent="0.2">
      <c r="A131" s="12" t="s">
        <v>18</v>
      </c>
      <c r="B131" s="13">
        <v>46079</v>
      </c>
      <c r="C131" s="12">
        <f t="shared" si="8"/>
        <v>106</v>
      </c>
      <c r="D131" s="38">
        <f t="shared" si="9"/>
        <v>1</v>
      </c>
      <c r="E131" s="12" t="str">
        <f t="shared" si="5"/>
        <v>106</v>
      </c>
      <c r="G131" s="12" t="s">
        <v>2368</v>
      </c>
      <c r="H131" s="12" t="s">
        <v>2369</v>
      </c>
      <c r="I131" s="12">
        <v>131</v>
      </c>
      <c r="J131" s="12">
        <v>5113</v>
      </c>
      <c r="K131" s="12" t="s">
        <v>20</v>
      </c>
      <c r="L131" s="12">
        <v>1</v>
      </c>
      <c r="M131" s="17">
        <v>7070707</v>
      </c>
      <c r="N131" s="17">
        <f t="shared" si="6"/>
        <v>7070707</v>
      </c>
      <c r="P131" s="12">
        <f t="shared" si="7"/>
        <v>136</v>
      </c>
    </row>
    <row r="132" spans="1:16" ht="15" customHeight="1" x14ac:dyDescent="0.2">
      <c r="A132" s="12" t="s">
        <v>18</v>
      </c>
      <c r="B132" s="13">
        <v>46079</v>
      </c>
      <c r="C132" s="12">
        <f t="shared" si="8"/>
        <v>107</v>
      </c>
      <c r="D132" s="38">
        <f t="shared" si="9"/>
        <v>1</v>
      </c>
      <c r="E132" s="12" t="str">
        <f t="shared" ref="E132:E195" si="10">TEXT(C132,"000")</f>
        <v>107</v>
      </c>
      <c r="G132" s="12" t="s">
        <v>2368</v>
      </c>
      <c r="H132" s="12" t="s">
        <v>3320</v>
      </c>
      <c r="I132" s="12">
        <v>333821</v>
      </c>
      <c r="J132" s="12">
        <v>131</v>
      </c>
      <c r="K132" s="12" t="s">
        <v>20</v>
      </c>
      <c r="L132" s="12">
        <v>1</v>
      </c>
      <c r="M132" s="17">
        <v>70707</v>
      </c>
      <c r="N132" s="17">
        <f t="shared" ref="N132:N195" si="11">L132*M132</f>
        <v>70707</v>
      </c>
      <c r="P132" s="12">
        <f t="shared" ref="P132:P195" si="12">LEN(H132)</f>
        <v>152</v>
      </c>
    </row>
    <row r="133" spans="1:16" ht="15" customHeight="1" x14ac:dyDescent="0.2">
      <c r="A133" s="12" t="s">
        <v>18</v>
      </c>
      <c r="B133" s="36">
        <v>46081</v>
      </c>
      <c r="C133" s="12">
        <f t="shared" ref="C133:C196" si="13">C132+D133</f>
        <v>108</v>
      </c>
      <c r="D133" s="38">
        <f t="shared" ref="D133:D196" si="14">IF(H133=H132,0,1)</f>
        <v>1</v>
      </c>
      <c r="E133" s="12" t="str">
        <f t="shared" si="10"/>
        <v>108</v>
      </c>
      <c r="G133" s="12" t="s">
        <v>104</v>
      </c>
      <c r="H133" s="12" t="s">
        <v>2335</v>
      </c>
      <c r="I133" s="12">
        <v>64277</v>
      </c>
      <c r="J133" s="12">
        <v>331</v>
      </c>
      <c r="K133" s="12" t="s">
        <v>20</v>
      </c>
      <c r="L133" s="12">
        <v>1</v>
      </c>
      <c r="M133" s="17">
        <v>205818</v>
      </c>
      <c r="N133" s="17">
        <f t="shared" si="11"/>
        <v>205818</v>
      </c>
      <c r="P133" s="12">
        <f t="shared" si="12"/>
        <v>14</v>
      </c>
    </row>
    <row r="134" spans="1:16" ht="15" customHeight="1" x14ac:dyDescent="0.2">
      <c r="A134" s="12" t="s">
        <v>18</v>
      </c>
      <c r="B134" s="36">
        <v>46081</v>
      </c>
      <c r="C134" s="12">
        <f t="shared" si="13"/>
        <v>108</v>
      </c>
      <c r="D134" s="38">
        <f t="shared" si="14"/>
        <v>0</v>
      </c>
      <c r="E134" s="12" t="str">
        <f t="shared" si="10"/>
        <v>108</v>
      </c>
      <c r="G134" s="12" t="s">
        <v>104</v>
      </c>
      <c r="H134" s="12" t="s">
        <v>2335</v>
      </c>
      <c r="I134" s="12">
        <v>1331</v>
      </c>
      <c r="J134" s="12">
        <v>331</v>
      </c>
      <c r="K134" s="12" t="s">
        <v>20</v>
      </c>
      <c r="L134" s="12">
        <v>1</v>
      </c>
      <c r="M134" s="17">
        <v>19182</v>
      </c>
      <c r="N134" s="17">
        <f t="shared" si="11"/>
        <v>19182</v>
      </c>
      <c r="P134" s="12">
        <f t="shared" si="12"/>
        <v>14</v>
      </c>
    </row>
    <row r="135" spans="1:16" ht="15" customHeight="1" x14ac:dyDescent="0.2">
      <c r="A135" s="12" t="s">
        <v>18</v>
      </c>
      <c r="B135" s="36">
        <v>46081</v>
      </c>
      <c r="C135" s="12">
        <f t="shared" si="13"/>
        <v>109</v>
      </c>
      <c r="D135" s="38">
        <f t="shared" si="14"/>
        <v>1</v>
      </c>
      <c r="E135" s="12" t="str">
        <f t="shared" si="10"/>
        <v>109</v>
      </c>
      <c r="G135" s="12" t="s">
        <v>261</v>
      </c>
      <c r="H135" s="12" t="s">
        <v>2336</v>
      </c>
      <c r="I135" s="12">
        <v>64277</v>
      </c>
      <c r="J135" s="12">
        <v>331</v>
      </c>
      <c r="K135" s="12" t="s">
        <v>20</v>
      </c>
      <c r="L135" s="12">
        <v>1</v>
      </c>
      <c r="M135" s="17">
        <v>5370370</v>
      </c>
      <c r="N135" s="17">
        <f t="shared" si="11"/>
        <v>5370370</v>
      </c>
      <c r="P135" s="12">
        <f t="shared" si="12"/>
        <v>66</v>
      </c>
    </row>
    <row r="136" spans="1:16" ht="15" customHeight="1" x14ac:dyDescent="0.2">
      <c r="A136" s="12" t="s">
        <v>18</v>
      </c>
      <c r="B136" s="36">
        <v>46081</v>
      </c>
      <c r="C136" s="12">
        <f t="shared" si="13"/>
        <v>109</v>
      </c>
      <c r="D136" s="38">
        <f t="shared" si="14"/>
        <v>0</v>
      </c>
      <c r="E136" s="12" t="str">
        <f t="shared" si="10"/>
        <v>109</v>
      </c>
      <c r="G136" s="12" t="s">
        <v>261</v>
      </c>
      <c r="H136" s="12" t="s">
        <v>2336</v>
      </c>
      <c r="I136" s="12">
        <v>1331</v>
      </c>
      <c r="J136" s="12">
        <v>331</v>
      </c>
      <c r="K136" s="12" t="s">
        <v>20</v>
      </c>
      <c r="L136" s="12">
        <v>1</v>
      </c>
      <c r="M136" s="17">
        <v>429630</v>
      </c>
      <c r="N136" s="17">
        <f t="shared" si="11"/>
        <v>429630</v>
      </c>
      <c r="P136" s="12">
        <f t="shared" si="12"/>
        <v>66</v>
      </c>
    </row>
    <row r="137" spans="1:16" ht="15" customHeight="1" x14ac:dyDescent="0.2">
      <c r="A137" s="12" t="s">
        <v>18</v>
      </c>
      <c r="B137" s="36">
        <v>46083</v>
      </c>
      <c r="C137" s="12">
        <f t="shared" si="13"/>
        <v>110</v>
      </c>
      <c r="D137" s="38">
        <f t="shared" si="14"/>
        <v>1</v>
      </c>
      <c r="E137" s="12" t="str">
        <f t="shared" si="10"/>
        <v>110</v>
      </c>
      <c r="G137" s="12" t="s">
        <v>89</v>
      </c>
      <c r="H137" s="12" t="s">
        <v>2337</v>
      </c>
      <c r="I137" s="12">
        <v>64277</v>
      </c>
      <c r="J137" s="12">
        <v>331</v>
      </c>
      <c r="K137" s="12" t="s">
        <v>20</v>
      </c>
      <c r="L137" s="12">
        <v>1</v>
      </c>
      <c r="M137" s="17">
        <v>16666</v>
      </c>
      <c r="N137" s="17">
        <f t="shared" si="11"/>
        <v>16666</v>
      </c>
      <c r="P137" s="12">
        <f t="shared" si="12"/>
        <v>73</v>
      </c>
    </row>
    <row r="138" spans="1:16" ht="15" customHeight="1" x14ac:dyDescent="0.2">
      <c r="A138" s="12" t="s">
        <v>18</v>
      </c>
      <c r="B138" s="36">
        <v>46083</v>
      </c>
      <c r="C138" s="12">
        <f t="shared" si="13"/>
        <v>110</v>
      </c>
      <c r="D138" s="38">
        <f t="shared" si="14"/>
        <v>0</v>
      </c>
      <c r="E138" s="12" t="str">
        <f t="shared" si="10"/>
        <v>110</v>
      </c>
      <c r="G138" s="12" t="s">
        <v>89</v>
      </c>
      <c r="H138" s="12" t="s">
        <v>2337</v>
      </c>
      <c r="I138" s="12">
        <v>1331</v>
      </c>
      <c r="J138" s="12">
        <v>331</v>
      </c>
      <c r="K138" s="12" t="s">
        <v>20</v>
      </c>
      <c r="L138" s="12">
        <v>1</v>
      </c>
      <c r="M138" s="17">
        <v>1334</v>
      </c>
      <c r="N138" s="17">
        <f t="shared" si="11"/>
        <v>1334</v>
      </c>
      <c r="P138" s="12">
        <f t="shared" si="12"/>
        <v>73</v>
      </c>
    </row>
    <row r="139" spans="1:16" ht="15" customHeight="1" x14ac:dyDescent="0.2">
      <c r="A139" s="12" t="s">
        <v>18</v>
      </c>
      <c r="B139" s="36">
        <v>46083</v>
      </c>
      <c r="C139" s="12">
        <f t="shared" si="13"/>
        <v>111</v>
      </c>
      <c r="D139" s="38">
        <f t="shared" si="14"/>
        <v>1</v>
      </c>
      <c r="E139" s="12" t="str">
        <f t="shared" si="10"/>
        <v>111</v>
      </c>
      <c r="G139" s="12" t="s">
        <v>1725</v>
      </c>
      <c r="H139" s="12" t="s">
        <v>2338</v>
      </c>
      <c r="I139" s="12">
        <v>64277</v>
      </c>
      <c r="J139" s="12">
        <v>331</v>
      </c>
      <c r="K139" s="12" t="s">
        <v>20</v>
      </c>
      <c r="L139" s="12">
        <v>1</v>
      </c>
      <c r="M139" s="17">
        <v>1388889</v>
      </c>
      <c r="N139" s="17">
        <f t="shared" si="11"/>
        <v>1388889</v>
      </c>
      <c r="P139" s="12">
        <f t="shared" si="12"/>
        <v>49</v>
      </c>
    </row>
    <row r="140" spans="1:16" ht="15" customHeight="1" x14ac:dyDescent="0.2">
      <c r="A140" s="12" t="s">
        <v>18</v>
      </c>
      <c r="B140" s="36">
        <v>46083</v>
      </c>
      <c r="C140" s="12">
        <f t="shared" si="13"/>
        <v>111</v>
      </c>
      <c r="D140" s="38">
        <f t="shared" si="14"/>
        <v>0</v>
      </c>
      <c r="E140" s="12" t="str">
        <f t="shared" si="10"/>
        <v>111</v>
      </c>
      <c r="G140" s="12" t="s">
        <v>1725</v>
      </c>
      <c r="H140" s="12" t="s">
        <v>2338</v>
      </c>
      <c r="I140" s="12">
        <v>1331</v>
      </c>
      <c r="J140" s="12">
        <v>331</v>
      </c>
      <c r="K140" s="12" t="s">
        <v>20</v>
      </c>
      <c r="L140" s="12">
        <v>1</v>
      </c>
      <c r="M140" s="17">
        <v>111111</v>
      </c>
      <c r="N140" s="17">
        <f t="shared" si="11"/>
        <v>111111</v>
      </c>
      <c r="P140" s="12">
        <f t="shared" si="12"/>
        <v>49</v>
      </c>
    </row>
    <row r="141" spans="1:16" ht="15" customHeight="1" x14ac:dyDescent="0.2">
      <c r="A141" s="12" t="s">
        <v>18</v>
      </c>
      <c r="B141" s="36">
        <v>46084</v>
      </c>
      <c r="C141" s="12">
        <f t="shared" si="13"/>
        <v>112</v>
      </c>
      <c r="D141" s="38">
        <f t="shared" si="14"/>
        <v>1</v>
      </c>
      <c r="E141" s="12" t="str">
        <f t="shared" si="10"/>
        <v>112</v>
      </c>
      <c r="G141" s="12" t="s">
        <v>89</v>
      </c>
      <c r="H141" s="12" t="s">
        <v>2340</v>
      </c>
      <c r="I141" s="12">
        <v>64277</v>
      </c>
      <c r="J141" s="12">
        <v>331</v>
      </c>
      <c r="K141" s="12" t="s">
        <v>20</v>
      </c>
      <c r="L141" s="12">
        <v>1</v>
      </c>
      <c r="M141" s="17">
        <v>37037</v>
      </c>
      <c r="N141" s="17">
        <f t="shared" si="11"/>
        <v>37037</v>
      </c>
      <c r="P141" s="12">
        <f t="shared" si="12"/>
        <v>73</v>
      </c>
    </row>
    <row r="142" spans="1:16" ht="15" customHeight="1" x14ac:dyDescent="0.2">
      <c r="A142" s="12" t="s">
        <v>18</v>
      </c>
      <c r="B142" s="36">
        <v>46084</v>
      </c>
      <c r="C142" s="12">
        <f t="shared" si="13"/>
        <v>112</v>
      </c>
      <c r="D142" s="38">
        <f t="shared" si="14"/>
        <v>0</v>
      </c>
      <c r="E142" s="12" t="str">
        <f t="shared" si="10"/>
        <v>112</v>
      </c>
      <c r="G142" s="12" t="s">
        <v>89</v>
      </c>
      <c r="H142" s="12" t="s">
        <v>2340</v>
      </c>
      <c r="I142" s="12">
        <v>1331</v>
      </c>
      <c r="J142" s="12">
        <v>331</v>
      </c>
      <c r="K142" s="12" t="s">
        <v>20</v>
      </c>
      <c r="L142" s="12">
        <v>1</v>
      </c>
      <c r="M142" s="17">
        <v>2963</v>
      </c>
      <c r="N142" s="17">
        <f t="shared" si="11"/>
        <v>2963</v>
      </c>
      <c r="P142" s="12">
        <f t="shared" si="12"/>
        <v>73</v>
      </c>
    </row>
    <row r="143" spans="1:16" ht="15" customHeight="1" x14ac:dyDescent="0.2">
      <c r="A143" s="12" t="s">
        <v>18</v>
      </c>
      <c r="B143" s="36">
        <v>46084</v>
      </c>
      <c r="C143" s="12">
        <f t="shared" si="13"/>
        <v>113</v>
      </c>
      <c r="D143" s="38">
        <f t="shared" si="14"/>
        <v>1</v>
      </c>
      <c r="E143" s="12" t="str">
        <f t="shared" si="10"/>
        <v>113</v>
      </c>
      <c r="G143" s="12" t="s">
        <v>89</v>
      </c>
      <c r="H143" s="12" t="s">
        <v>2339</v>
      </c>
      <c r="I143" s="12">
        <v>64277</v>
      </c>
      <c r="J143" s="12">
        <v>331</v>
      </c>
      <c r="K143" s="12" t="s">
        <v>20</v>
      </c>
      <c r="L143" s="12">
        <v>1</v>
      </c>
      <c r="M143" s="17">
        <v>35185</v>
      </c>
      <c r="N143" s="17">
        <f t="shared" si="11"/>
        <v>35185</v>
      </c>
      <c r="P143" s="12">
        <f t="shared" si="12"/>
        <v>73</v>
      </c>
    </row>
    <row r="144" spans="1:16" ht="15" customHeight="1" x14ac:dyDescent="0.2">
      <c r="A144" s="12" t="s">
        <v>18</v>
      </c>
      <c r="B144" s="36">
        <v>46084</v>
      </c>
      <c r="C144" s="12">
        <f t="shared" si="13"/>
        <v>113</v>
      </c>
      <c r="D144" s="38">
        <f t="shared" si="14"/>
        <v>0</v>
      </c>
      <c r="E144" s="12" t="str">
        <f t="shared" si="10"/>
        <v>113</v>
      </c>
      <c r="G144" s="12" t="s">
        <v>89</v>
      </c>
      <c r="H144" s="12" t="s">
        <v>2339</v>
      </c>
      <c r="I144" s="12">
        <v>1331</v>
      </c>
      <c r="J144" s="12">
        <v>331</v>
      </c>
      <c r="K144" s="12" t="s">
        <v>20</v>
      </c>
      <c r="L144" s="12">
        <v>1</v>
      </c>
      <c r="M144" s="17">
        <v>2815</v>
      </c>
      <c r="N144" s="17">
        <f t="shared" si="11"/>
        <v>2815</v>
      </c>
      <c r="P144" s="12">
        <f t="shared" si="12"/>
        <v>73</v>
      </c>
    </row>
    <row r="145" spans="1:16" ht="15" customHeight="1" x14ac:dyDescent="0.2">
      <c r="A145" s="12" t="s">
        <v>18</v>
      </c>
      <c r="B145" s="13">
        <v>46084</v>
      </c>
      <c r="C145" s="12">
        <f t="shared" si="13"/>
        <v>114</v>
      </c>
      <c r="D145" s="38">
        <f t="shared" si="14"/>
        <v>1</v>
      </c>
      <c r="E145" s="12" t="str">
        <f t="shared" si="10"/>
        <v>114</v>
      </c>
      <c r="G145" s="12" t="s">
        <v>56</v>
      </c>
      <c r="H145" s="12" t="s">
        <v>2370</v>
      </c>
      <c r="I145" s="12">
        <v>131</v>
      </c>
      <c r="J145" s="12">
        <v>5113</v>
      </c>
      <c r="K145" s="12" t="s">
        <v>20</v>
      </c>
      <c r="L145" s="12">
        <v>1</v>
      </c>
      <c r="M145" s="17">
        <v>16666667</v>
      </c>
      <c r="N145" s="17">
        <f t="shared" si="11"/>
        <v>16666667</v>
      </c>
      <c r="P145" s="12">
        <f t="shared" si="12"/>
        <v>168</v>
      </c>
    </row>
    <row r="146" spans="1:16" ht="15" customHeight="1" x14ac:dyDescent="0.2">
      <c r="A146" s="12" t="s">
        <v>18</v>
      </c>
      <c r="B146" s="13">
        <v>46084</v>
      </c>
      <c r="C146" s="12">
        <f t="shared" si="13"/>
        <v>115</v>
      </c>
      <c r="D146" s="38">
        <f t="shared" si="14"/>
        <v>1</v>
      </c>
      <c r="E146" s="12" t="str">
        <f t="shared" si="10"/>
        <v>115</v>
      </c>
      <c r="G146" s="12" t="s">
        <v>56</v>
      </c>
      <c r="H146" s="12" t="s">
        <v>3321</v>
      </c>
      <c r="I146" s="12">
        <v>333821</v>
      </c>
      <c r="J146" s="12">
        <v>131</v>
      </c>
      <c r="K146" s="12" t="s">
        <v>20</v>
      </c>
      <c r="L146" s="12">
        <v>1</v>
      </c>
      <c r="M146" s="17">
        <v>166667</v>
      </c>
      <c r="N146" s="17">
        <f t="shared" si="11"/>
        <v>166667</v>
      </c>
      <c r="P146" s="12">
        <f t="shared" si="12"/>
        <v>184</v>
      </c>
    </row>
    <row r="147" spans="1:16" ht="15" customHeight="1" x14ac:dyDescent="0.2">
      <c r="A147" s="12" t="s">
        <v>18</v>
      </c>
      <c r="B147" s="36">
        <v>46085</v>
      </c>
      <c r="C147" s="12">
        <f t="shared" si="13"/>
        <v>116</v>
      </c>
      <c r="D147" s="38">
        <f t="shared" si="14"/>
        <v>1</v>
      </c>
      <c r="E147" s="12" t="str">
        <f t="shared" si="10"/>
        <v>116</v>
      </c>
      <c r="G147" s="12" t="s">
        <v>35</v>
      </c>
      <c r="H147" s="12" t="s">
        <v>2341</v>
      </c>
      <c r="I147" s="12">
        <v>64277</v>
      </c>
      <c r="J147" s="12">
        <v>331</v>
      </c>
      <c r="K147" s="12" t="s">
        <v>20</v>
      </c>
      <c r="L147" s="12">
        <v>1</v>
      </c>
      <c r="M147" s="17">
        <v>3000000</v>
      </c>
      <c r="N147" s="17">
        <f t="shared" si="11"/>
        <v>3000000</v>
      </c>
      <c r="P147" s="12">
        <f t="shared" si="12"/>
        <v>41</v>
      </c>
    </row>
    <row r="148" spans="1:16" ht="15" customHeight="1" x14ac:dyDescent="0.2">
      <c r="A148" s="12" t="s">
        <v>18</v>
      </c>
      <c r="B148" s="36">
        <v>46085</v>
      </c>
      <c r="C148" s="12">
        <f t="shared" si="13"/>
        <v>116</v>
      </c>
      <c r="D148" s="38">
        <f t="shared" si="14"/>
        <v>0</v>
      </c>
      <c r="E148" s="12" t="str">
        <f t="shared" si="10"/>
        <v>116</v>
      </c>
      <c r="G148" s="12" t="s">
        <v>35</v>
      </c>
      <c r="H148" s="12" t="s">
        <v>2341</v>
      </c>
      <c r="I148" s="12">
        <v>1331</v>
      </c>
      <c r="J148" s="12">
        <v>331</v>
      </c>
      <c r="K148" s="12" t="s">
        <v>20</v>
      </c>
      <c r="L148" s="12">
        <v>1</v>
      </c>
      <c r="M148" s="17">
        <v>240000</v>
      </c>
      <c r="N148" s="17">
        <f t="shared" si="11"/>
        <v>240000</v>
      </c>
      <c r="P148" s="12">
        <f t="shared" si="12"/>
        <v>41</v>
      </c>
    </row>
    <row r="149" spans="1:16" ht="15" customHeight="1" x14ac:dyDescent="0.2">
      <c r="A149" s="12" t="s">
        <v>18</v>
      </c>
      <c r="B149" s="36">
        <v>46086</v>
      </c>
      <c r="C149" s="12">
        <f t="shared" si="13"/>
        <v>117</v>
      </c>
      <c r="D149" s="38">
        <f t="shared" si="14"/>
        <v>1</v>
      </c>
      <c r="E149" s="12" t="str">
        <f t="shared" si="10"/>
        <v>117</v>
      </c>
      <c r="G149" s="12" t="s">
        <v>89</v>
      </c>
      <c r="H149" s="12" t="s">
        <v>2342</v>
      </c>
      <c r="I149" s="12">
        <v>64277</v>
      </c>
      <c r="J149" s="12">
        <v>331</v>
      </c>
      <c r="K149" s="12" t="s">
        <v>20</v>
      </c>
      <c r="L149" s="12">
        <v>1</v>
      </c>
      <c r="M149" s="17">
        <v>40741</v>
      </c>
      <c r="N149" s="17">
        <f t="shared" si="11"/>
        <v>40741</v>
      </c>
      <c r="P149" s="12">
        <f t="shared" si="12"/>
        <v>73</v>
      </c>
    </row>
    <row r="150" spans="1:16" ht="15" customHeight="1" x14ac:dyDescent="0.2">
      <c r="A150" s="12" t="s">
        <v>18</v>
      </c>
      <c r="B150" s="36">
        <v>46086</v>
      </c>
      <c r="C150" s="12">
        <f t="shared" si="13"/>
        <v>117</v>
      </c>
      <c r="D150" s="38">
        <f t="shared" si="14"/>
        <v>0</v>
      </c>
      <c r="E150" s="12" t="str">
        <f t="shared" si="10"/>
        <v>117</v>
      </c>
      <c r="G150" s="12" t="s">
        <v>89</v>
      </c>
      <c r="H150" s="12" t="s">
        <v>2342</v>
      </c>
      <c r="I150" s="12">
        <v>1331</v>
      </c>
      <c r="J150" s="12">
        <v>331</v>
      </c>
      <c r="K150" s="12" t="s">
        <v>20</v>
      </c>
      <c r="L150" s="12">
        <v>1</v>
      </c>
      <c r="M150" s="17">
        <v>3259</v>
      </c>
      <c r="N150" s="17">
        <f t="shared" si="11"/>
        <v>3259</v>
      </c>
      <c r="P150" s="12">
        <f t="shared" si="12"/>
        <v>73</v>
      </c>
    </row>
    <row r="151" spans="1:16" ht="15" customHeight="1" x14ac:dyDescent="0.2">
      <c r="A151" s="12" t="s">
        <v>18</v>
      </c>
      <c r="B151" s="13">
        <v>46090</v>
      </c>
      <c r="C151" s="12">
        <f t="shared" si="13"/>
        <v>118</v>
      </c>
      <c r="D151" s="38">
        <f t="shared" si="14"/>
        <v>1</v>
      </c>
      <c r="E151" s="12" t="str">
        <f t="shared" si="10"/>
        <v>118</v>
      </c>
      <c r="G151" s="12" t="s">
        <v>87</v>
      </c>
      <c r="H151" s="12" t="s">
        <v>2371</v>
      </c>
      <c r="I151" s="12">
        <v>131</v>
      </c>
      <c r="J151" s="12">
        <v>5113</v>
      </c>
      <c r="K151" s="12" t="s">
        <v>20</v>
      </c>
      <c r="L151" s="12">
        <v>1</v>
      </c>
      <c r="M151" s="17">
        <v>8888889</v>
      </c>
      <c r="N151" s="17">
        <f t="shared" si="11"/>
        <v>8888889</v>
      </c>
      <c r="P151" s="12">
        <f t="shared" si="12"/>
        <v>152</v>
      </c>
    </row>
    <row r="152" spans="1:16" ht="15" customHeight="1" x14ac:dyDescent="0.2">
      <c r="A152" s="12" t="s">
        <v>18</v>
      </c>
      <c r="B152" s="13">
        <v>46090</v>
      </c>
      <c r="C152" s="12">
        <f t="shared" si="13"/>
        <v>119</v>
      </c>
      <c r="D152" s="38">
        <f t="shared" si="14"/>
        <v>1</v>
      </c>
      <c r="E152" s="12" t="str">
        <f t="shared" si="10"/>
        <v>119</v>
      </c>
      <c r="G152" s="12" t="s">
        <v>87</v>
      </c>
      <c r="H152" s="12" t="s">
        <v>2374</v>
      </c>
      <c r="I152" s="12">
        <v>131</v>
      </c>
      <c r="J152" s="12">
        <v>5113</v>
      </c>
      <c r="K152" s="12" t="s">
        <v>20</v>
      </c>
      <c r="L152" s="12">
        <v>1</v>
      </c>
      <c r="M152" s="17">
        <v>8888889</v>
      </c>
      <c r="N152" s="17">
        <f t="shared" si="11"/>
        <v>8888889</v>
      </c>
      <c r="P152" s="12">
        <f t="shared" si="12"/>
        <v>151</v>
      </c>
    </row>
    <row r="153" spans="1:16" ht="15" customHeight="1" x14ac:dyDescent="0.2">
      <c r="A153" s="12" t="s">
        <v>18</v>
      </c>
      <c r="B153" s="13">
        <v>46090</v>
      </c>
      <c r="C153" s="12">
        <f t="shared" si="13"/>
        <v>120</v>
      </c>
      <c r="D153" s="38">
        <f t="shared" si="14"/>
        <v>1</v>
      </c>
      <c r="E153" s="12" t="str">
        <f t="shared" si="10"/>
        <v>120</v>
      </c>
      <c r="G153" s="12" t="s">
        <v>84</v>
      </c>
      <c r="H153" s="12" t="s">
        <v>2373</v>
      </c>
      <c r="I153" s="12">
        <v>131</v>
      </c>
      <c r="J153" s="12">
        <v>5113</v>
      </c>
      <c r="K153" s="12" t="s">
        <v>20</v>
      </c>
      <c r="L153" s="12">
        <v>1</v>
      </c>
      <c r="M153" s="17">
        <v>16129032</v>
      </c>
      <c r="N153" s="17">
        <f t="shared" si="11"/>
        <v>16129032</v>
      </c>
      <c r="P153" s="12">
        <f t="shared" si="12"/>
        <v>152</v>
      </c>
    </row>
    <row r="154" spans="1:16" ht="15" customHeight="1" x14ac:dyDescent="0.2">
      <c r="A154" s="12" t="s">
        <v>18</v>
      </c>
      <c r="B154" s="13">
        <v>46090</v>
      </c>
      <c r="C154" s="12">
        <f t="shared" si="13"/>
        <v>121</v>
      </c>
      <c r="D154" s="38">
        <f t="shared" si="14"/>
        <v>1</v>
      </c>
      <c r="E154" s="12" t="str">
        <f t="shared" si="10"/>
        <v>121</v>
      </c>
      <c r="G154" s="12" t="s">
        <v>87</v>
      </c>
      <c r="H154" s="12" t="s">
        <v>3322</v>
      </c>
      <c r="I154" s="12">
        <v>333821</v>
      </c>
      <c r="J154" s="12">
        <v>131</v>
      </c>
      <c r="K154" s="12" t="s">
        <v>20</v>
      </c>
      <c r="L154" s="12">
        <v>1</v>
      </c>
      <c r="M154" s="17">
        <v>88889</v>
      </c>
      <c r="N154" s="17">
        <f t="shared" si="11"/>
        <v>88889</v>
      </c>
      <c r="P154" s="12">
        <f t="shared" si="12"/>
        <v>168</v>
      </c>
    </row>
    <row r="155" spans="1:16" ht="15" customHeight="1" x14ac:dyDescent="0.2">
      <c r="A155" s="12" t="s">
        <v>18</v>
      </c>
      <c r="B155" s="13">
        <v>46090</v>
      </c>
      <c r="C155" s="12">
        <f t="shared" si="13"/>
        <v>122</v>
      </c>
      <c r="D155" s="38">
        <f t="shared" si="14"/>
        <v>1</v>
      </c>
      <c r="E155" s="12" t="str">
        <f t="shared" si="10"/>
        <v>122</v>
      </c>
      <c r="G155" s="12" t="s">
        <v>87</v>
      </c>
      <c r="H155" s="12" t="s">
        <v>3325</v>
      </c>
      <c r="I155" s="12">
        <v>333821</v>
      </c>
      <c r="J155" s="12">
        <v>131</v>
      </c>
      <c r="K155" s="12" t="s">
        <v>20</v>
      </c>
      <c r="L155" s="12">
        <v>1</v>
      </c>
      <c r="M155" s="17">
        <v>88889</v>
      </c>
      <c r="N155" s="17">
        <f t="shared" si="11"/>
        <v>88889</v>
      </c>
      <c r="P155" s="12">
        <f t="shared" si="12"/>
        <v>167</v>
      </c>
    </row>
    <row r="156" spans="1:16" ht="15" customHeight="1" x14ac:dyDescent="0.2">
      <c r="A156" s="12" t="s">
        <v>18</v>
      </c>
      <c r="B156" s="13">
        <v>46090</v>
      </c>
      <c r="C156" s="12">
        <f t="shared" si="13"/>
        <v>123</v>
      </c>
      <c r="D156" s="38">
        <f t="shared" si="14"/>
        <v>1</v>
      </c>
      <c r="E156" s="12" t="str">
        <f t="shared" si="10"/>
        <v>123</v>
      </c>
      <c r="G156" s="12" t="s">
        <v>84</v>
      </c>
      <c r="H156" s="12" t="s">
        <v>3324</v>
      </c>
      <c r="I156" s="12">
        <v>333821</v>
      </c>
      <c r="J156" s="12">
        <v>131</v>
      </c>
      <c r="K156" s="12" t="s">
        <v>20</v>
      </c>
      <c r="L156" s="12">
        <v>1</v>
      </c>
      <c r="M156" s="17">
        <v>161290</v>
      </c>
      <c r="N156" s="17">
        <f t="shared" si="11"/>
        <v>161290</v>
      </c>
      <c r="P156" s="12">
        <f t="shared" si="12"/>
        <v>168</v>
      </c>
    </row>
    <row r="157" spans="1:16" ht="15" customHeight="1" x14ac:dyDescent="0.2">
      <c r="A157" s="12" t="s">
        <v>18</v>
      </c>
      <c r="B157" s="13">
        <v>46090</v>
      </c>
      <c r="C157" s="12">
        <f t="shared" si="13"/>
        <v>124</v>
      </c>
      <c r="D157" s="38">
        <f t="shared" si="14"/>
        <v>1</v>
      </c>
      <c r="E157" s="12" t="str">
        <f t="shared" si="10"/>
        <v>124</v>
      </c>
      <c r="G157" s="12" t="s">
        <v>87</v>
      </c>
      <c r="H157" s="12" t="s">
        <v>3323</v>
      </c>
      <c r="I157" s="12">
        <v>333821</v>
      </c>
      <c r="J157" s="12">
        <v>131</v>
      </c>
      <c r="K157" s="12" t="s">
        <v>20</v>
      </c>
      <c r="L157" s="12">
        <v>1</v>
      </c>
      <c r="M157" s="17">
        <v>0</v>
      </c>
      <c r="N157" s="17">
        <f t="shared" si="11"/>
        <v>0</v>
      </c>
      <c r="P157" s="12">
        <f t="shared" si="12"/>
        <v>192</v>
      </c>
    </row>
    <row r="158" spans="1:16" ht="15" customHeight="1" x14ac:dyDescent="0.2">
      <c r="A158" s="12" t="s">
        <v>18</v>
      </c>
      <c r="B158" s="13">
        <v>46090</v>
      </c>
      <c r="C158" s="12">
        <f t="shared" si="13"/>
        <v>125</v>
      </c>
      <c r="D158" s="38">
        <f t="shared" si="14"/>
        <v>1</v>
      </c>
      <c r="E158" s="12" t="str">
        <f t="shared" si="10"/>
        <v>125</v>
      </c>
      <c r="G158" s="12" t="s">
        <v>87</v>
      </c>
      <c r="H158" s="12" t="s">
        <v>2372</v>
      </c>
      <c r="I158" s="12">
        <v>131</v>
      </c>
      <c r="J158" s="12">
        <v>5113</v>
      </c>
      <c r="K158" s="12" t="s">
        <v>20</v>
      </c>
      <c r="L158" s="12">
        <v>1</v>
      </c>
      <c r="M158" s="17">
        <v>-8888889</v>
      </c>
      <c r="N158" s="17">
        <f t="shared" si="11"/>
        <v>-8888889</v>
      </c>
      <c r="P158" s="12">
        <f t="shared" si="12"/>
        <v>176</v>
      </c>
    </row>
    <row r="159" spans="1:16" ht="15" customHeight="1" x14ac:dyDescent="0.2">
      <c r="A159" s="12" t="s">
        <v>18</v>
      </c>
      <c r="B159" s="13">
        <v>46092</v>
      </c>
      <c r="C159" s="12">
        <f t="shared" si="13"/>
        <v>126</v>
      </c>
      <c r="D159" s="38">
        <f t="shared" si="14"/>
        <v>1</v>
      </c>
      <c r="E159" s="12" t="str">
        <f t="shared" si="10"/>
        <v>126</v>
      </c>
      <c r="G159" s="12" t="s">
        <v>29</v>
      </c>
      <c r="H159" s="12" t="s">
        <v>3326</v>
      </c>
      <c r="I159" s="12">
        <v>333821</v>
      </c>
      <c r="J159" s="12">
        <v>131</v>
      </c>
      <c r="K159" s="12" t="s">
        <v>20</v>
      </c>
      <c r="L159" s="12">
        <v>1</v>
      </c>
      <c r="M159" s="17">
        <v>77778</v>
      </c>
      <c r="N159" s="17">
        <f t="shared" si="11"/>
        <v>77778</v>
      </c>
      <c r="P159" s="12">
        <f t="shared" si="12"/>
        <v>147</v>
      </c>
    </row>
    <row r="160" spans="1:16" ht="15" customHeight="1" x14ac:dyDescent="0.2">
      <c r="A160" s="12" t="s">
        <v>18</v>
      </c>
      <c r="B160" s="13">
        <v>46092</v>
      </c>
      <c r="C160" s="12">
        <f t="shared" si="13"/>
        <v>127</v>
      </c>
      <c r="D160" s="38">
        <f t="shared" si="14"/>
        <v>1</v>
      </c>
      <c r="E160" s="12" t="str">
        <f t="shared" si="10"/>
        <v>127</v>
      </c>
      <c r="G160" s="12" t="s">
        <v>29</v>
      </c>
      <c r="H160" s="12" t="s">
        <v>2375</v>
      </c>
      <c r="I160" s="12">
        <v>131</v>
      </c>
      <c r="J160" s="12">
        <v>5113</v>
      </c>
      <c r="K160" s="12" t="s">
        <v>20</v>
      </c>
      <c r="L160" s="12">
        <v>1</v>
      </c>
      <c r="M160" s="17">
        <v>7777778</v>
      </c>
      <c r="N160" s="17">
        <f t="shared" si="11"/>
        <v>7777778</v>
      </c>
      <c r="P160" s="12">
        <f t="shared" si="12"/>
        <v>131</v>
      </c>
    </row>
    <row r="161" spans="1:16" ht="15" customHeight="1" x14ac:dyDescent="0.2">
      <c r="A161" s="12" t="s">
        <v>18</v>
      </c>
      <c r="B161" s="36">
        <v>46095</v>
      </c>
      <c r="C161" s="12">
        <f t="shared" si="13"/>
        <v>128</v>
      </c>
      <c r="D161" s="38">
        <f t="shared" si="14"/>
        <v>1</v>
      </c>
      <c r="E161" s="12" t="str">
        <f t="shared" si="10"/>
        <v>128</v>
      </c>
      <c r="G161" s="12" t="s">
        <v>89</v>
      </c>
      <c r="H161" s="12" t="s">
        <v>2343</v>
      </c>
      <c r="I161" s="12">
        <v>64277</v>
      </c>
      <c r="J161" s="12">
        <v>331</v>
      </c>
      <c r="K161" s="12" t="s">
        <v>20</v>
      </c>
      <c r="L161" s="12">
        <v>1</v>
      </c>
      <c r="M161" s="17">
        <v>54630</v>
      </c>
      <c r="N161" s="17">
        <f t="shared" si="11"/>
        <v>54630</v>
      </c>
      <c r="P161" s="12">
        <f t="shared" si="12"/>
        <v>72</v>
      </c>
    </row>
    <row r="162" spans="1:16" ht="15" customHeight="1" x14ac:dyDescent="0.2">
      <c r="A162" s="12" t="s">
        <v>18</v>
      </c>
      <c r="B162" s="36">
        <v>46095</v>
      </c>
      <c r="C162" s="12">
        <f t="shared" si="13"/>
        <v>128</v>
      </c>
      <c r="D162" s="38">
        <f t="shared" si="14"/>
        <v>0</v>
      </c>
      <c r="E162" s="12" t="str">
        <f t="shared" si="10"/>
        <v>128</v>
      </c>
      <c r="G162" s="12" t="s">
        <v>89</v>
      </c>
      <c r="H162" s="12" t="s">
        <v>2343</v>
      </c>
      <c r="I162" s="12">
        <v>1331</v>
      </c>
      <c r="J162" s="12">
        <v>331</v>
      </c>
      <c r="K162" s="12" t="s">
        <v>20</v>
      </c>
      <c r="L162" s="12">
        <v>1</v>
      </c>
      <c r="M162" s="17">
        <v>4370</v>
      </c>
      <c r="N162" s="17">
        <f t="shared" si="11"/>
        <v>4370</v>
      </c>
      <c r="P162" s="12">
        <f t="shared" si="12"/>
        <v>72</v>
      </c>
    </row>
    <row r="163" spans="1:16" ht="15" customHeight="1" x14ac:dyDescent="0.2">
      <c r="A163" s="12" t="s">
        <v>18</v>
      </c>
      <c r="B163" s="36">
        <v>46096</v>
      </c>
      <c r="C163" s="12">
        <f t="shared" si="13"/>
        <v>129</v>
      </c>
      <c r="D163" s="38">
        <f t="shared" si="14"/>
        <v>1</v>
      </c>
      <c r="E163" s="12" t="str">
        <f t="shared" si="10"/>
        <v>129</v>
      </c>
      <c r="G163" s="12" t="s">
        <v>89</v>
      </c>
      <c r="H163" s="12" t="s">
        <v>2344</v>
      </c>
      <c r="I163" s="12">
        <v>64277</v>
      </c>
      <c r="J163" s="12">
        <v>331</v>
      </c>
      <c r="K163" s="12" t="s">
        <v>20</v>
      </c>
      <c r="L163" s="12">
        <v>1</v>
      </c>
      <c r="M163" s="17">
        <v>88888</v>
      </c>
      <c r="N163" s="17">
        <f t="shared" si="11"/>
        <v>88888</v>
      </c>
      <c r="P163" s="12">
        <f t="shared" si="12"/>
        <v>73</v>
      </c>
    </row>
    <row r="164" spans="1:16" ht="15" customHeight="1" x14ac:dyDescent="0.2">
      <c r="A164" s="12" t="s">
        <v>18</v>
      </c>
      <c r="B164" s="36">
        <v>46096</v>
      </c>
      <c r="C164" s="12">
        <f t="shared" si="13"/>
        <v>129</v>
      </c>
      <c r="D164" s="38">
        <f t="shared" si="14"/>
        <v>0</v>
      </c>
      <c r="E164" s="12" t="str">
        <f t="shared" si="10"/>
        <v>129</v>
      </c>
      <c r="G164" s="12" t="s">
        <v>89</v>
      </c>
      <c r="H164" s="12" t="s">
        <v>2344</v>
      </c>
      <c r="I164" s="12">
        <v>1331</v>
      </c>
      <c r="J164" s="12">
        <v>331</v>
      </c>
      <c r="K164" s="12" t="s">
        <v>20</v>
      </c>
      <c r="L164" s="12">
        <v>1</v>
      </c>
      <c r="M164" s="17">
        <v>7112</v>
      </c>
      <c r="N164" s="17">
        <f t="shared" si="11"/>
        <v>7112</v>
      </c>
      <c r="P164" s="12">
        <f t="shared" si="12"/>
        <v>73</v>
      </c>
    </row>
    <row r="165" spans="1:16" ht="15" customHeight="1" x14ac:dyDescent="0.2">
      <c r="A165" s="12" t="s">
        <v>18</v>
      </c>
      <c r="B165" s="36">
        <v>46097</v>
      </c>
      <c r="C165" s="12">
        <f t="shared" si="13"/>
        <v>130</v>
      </c>
      <c r="D165" s="38">
        <f t="shared" si="14"/>
        <v>1</v>
      </c>
      <c r="E165" s="12" t="str">
        <f t="shared" si="10"/>
        <v>130</v>
      </c>
      <c r="G165" s="12" t="s">
        <v>89</v>
      </c>
      <c r="H165" s="12" t="s">
        <v>2345</v>
      </c>
      <c r="I165" s="12">
        <v>64277</v>
      </c>
      <c r="J165" s="12">
        <v>331</v>
      </c>
      <c r="K165" s="12" t="s">
        <v>20</v>
      </c>
      <c r="L165" s="12">
        <v>1</v>
      </c>
      <c r="M165" s="17">
        <v>37963</v>
      </c>
      <c r="N165" s="17">
        <f t="shared" si="11"/>
        <v>37963</v>
      </c>
      <c r="P165" s="12">
        <f t="shared" si="12"/>
        <v>73</v>
      </c>
    </row>
    <row r="166" spans="1:16" ht="15" customHeight="1" x14ac:dyDescent="0.2">
      <c r="A166" s="12" t="s">
        <v>18</v>
      </c>
      <c r="B166" s="36">
        <v>46097</v>
      </c>
      <c r="C166" s="12">
        <f t="shared" si="13"/>
        <v>130</v>
      </c>
      <c r="D166" s="38">
        <f t="shared" si="14"/>
        <v>0</v>
      </c>
      <c r="E166" s="12" t="str">
        <f t="shared" si="10"/>
        <v>130</v>
      </c>
      <c r="G166" s="12" t="s">
        <v>89</v>
      </c>
      <c r="H166" s="12" t="s">
        <v>2345</v>
      </c>
      <c r="I166" s="12">
        <v>1331</v>
      </c>
      <c r="J166" s="12">
        <v>331</v>
      </c>
      <c r="K166" s="12" t="s">
        <v>20</v>
      </c>
      <c r="L166" s="12">
        <v>1</v>
      </c>
      <c r="M166" s="17">
        <v>3037</v>
      </c>
      <c r="N166" s="17">
        <f t="shared" si="11"/>
        <v>3037</v>
      </c>
      <c r="P166" s="12">
        <f t="shared" si="12"/>
        <v>73</v>
      </c>
    </row>
    <row r="167" spans="1:16" ht="15" customHeight="1" x14ac:dyDescent="0.2">
      <c r="A167" s="12" t="s">
        <v>18</v>
      </c>
      <c r="B167" s="36">
        <v>46097</v>
      </c>
      <c r="C167" s="12">
        <f t="shared" si="13"/>
        <v>131</v>
      </c>
      <c r="D167" s="38">
        <f t="shared" si="14"/>
        <v>1</v>
      </c>
      <c r="E167" s="12" t="str">
        <f t="shared" si="10"/>
        <v>131</v>
      </c>
      <c r="G167" s="12" t="s">
        <v>89</v>
      </c>
      <c r="H167" s="12" t="s">
        <v>2346</v>
      </c>
      <c r="I167" s="12">
        <v>64277</v>
      </c>
      <c r="J167" s="12">
        <v>331</v>
      </c>
      <c r="K167" s="12" t="s">
        <v>20</v>
      </c>
      <c r="L167" s="12">
        <v>1</v>
      </c>
      <c r="M167" s="17">
        <v>25926</v>
      </c>
      <c r="N167" s="17">
        <f t="shared" si="11"/>
        <v>25926</v>
      </c>
      <c r="P167" s="12">
        <f t="shared" si="12"/>
        <v>72</v>
      </c>
    </row>
    <row r="168" spans="1:16" ht="15" customHeight="1" x14ac:dyDescent="0.2">
      <c r="A168" s="12" t="s">
        <v>18</v>
      </c>
      <c r="B168" s="36">
        <v>46097</v>
      </c>
      <c r="C168" s="12">
        <f t="shared" si="13"/>
        <v>131</v>
      </c>
      <c r="D168" s="38">
        <f t="shared" si="14"/>
        <v>0</v>
      </c>
      <c r="E168" s="12" t="str">
        <f t="shared" si="10"/>
        <v>131</v>
      </c>
      <c r="G168" s="12" t="s">
        <v>89</v>
      </c>
      <c r="H168" s="12" t="s">
        <v>2346</v>
      </c>
      <c r="I168" s="12">
        <v>1331</v>
      </c>
      <c r="J168" s="12">
        <v>331</v>
      </c>
      <c r="K168" s="12" t="s">
        <v>20</v>
      </c>
      <c r="L168" s="12">
        <v>1</v>
      </c>
      <c r="M168" s="17">
        <v>2074</v>
      </c>
      <c r="N168" s="17">
        <f t="shared" si="11"/>
        <v>2074</v>
      </c>
      <c r="P168" s="12">
        <f t="shared" si="12"/>
        <v>72</v>
      </c>
    </row>
    <row r="169" spans="1:16" ht="15" customHeight="1" x14ac:dyDescent="0.2">
      <c r="A169" s="12" t="s">
        <v>18</v>
      </c>
      <c r="B169" s="13">
        <v>46097</v>
      </c>
      <c r="C169" s="12">
        <f t="shared" si="13"/>
        <v>132</v>
      </c>
      <c r="D169" s="38">
        <f t="shared" si="14"/>
        <v>1</v>
      </c>
      <c r="E169" s="12" t="str">
        <f t="shared" si="10"/>
        <v>132</v>
      </c>
      <c r="G169" s="12" t="s">
        <v>29</v>
      </c>
      <c r="H169" s="12" t="s">
        <v>3327</v>
      </c>
      <c r="I169" s="12">
        <v>333821</v>
      </c>
      <c r="J169" s="12">
        <v>131</v>
      </c>
      <c r="K169" s="12" t="s">
        <v>20</v>
      </c>
      <c r="L169" s="12">
        <v>1</v>
      </c>
      <c r="M169" s="17">
        <v>66667</v>
      </c>
      <c r="N169" s="17">
        <f t="shared" si="11"/>
        <v>66667</v>
      </c>
      <c r="P169" s="12">
        <f t="shared" si="12"/>
        <v>172</v>
      </c>
    </row>
    <row r="170" spans="1:16" ht="15" customHeight="1" x14ac:dyDescent="0.2">
      <c r="A170" s="12" t="s">
        <v>18</v>
      </c>
      <c r="B170" s="13">
        <v>46097</v>
      </c>
      <c r="C170" s="12">
        <f t="shared" si="13"/>
        <v>133</v>
      </c>
      <c r="D170" s="38">
        <f t="shared" si="14"/>
        <v>1</v>
      </c>
      <c r="E170" s="12" t="str">
        <f t="shared" si="10"/>
        <v>133</v>
      </c>
      <c r="G170" s="12" t="s">
        <v>29</v>
      </c>
      <c r="H170" s="12" t="s">
        <v>2376</v>
      </c>
      <c r="I170" s="12">
        <v>131</v>
      </c>
      <c r="J170" s="12">
        <v>5113</v>
      </c>
      <c r="K170" s="12" t="s">
        <v>20</v>
      </c>
      <c r="L170" s="12">
        <v>1</v>
      </c>
      <c r="M170" s="17">
        <v>6666667</v>
      </c>
      <c r="N170" s="17">
        <f t="shared" si="11"/>
        <v>6666667</v>
      </c>
      <c r="P170" s="12">
        <f t="shared" si="12"/>
        <v>156</v>
      </c>
    </row>
    <row r="171" spans="1:16" ht="15" customHeight="1" x14ac:dyDescent="0.2">
      <c r="A171" s="12" t="s">
        <v>18</v>
      </c>
      <c r="B171" s="36">
        <v>46098</v>
      </c>
      <c r="C171" s="12">
        <f t="shared" si="13"/>
        <v>134</v>
      </c>
      <c r="D171" s="38">
        <f t="shared" si="14"/>
        <v>1</v>
      </c>
      <c r="E171" s="12" t="str">
        <f t="shared" si="10"/>
        <v>134</v>
      </c>
      <c r="G171" s="12" t="s">
        <v>2334</v>
      </c>
      <c r="H171" s="12" t="s">
        <v>3262</v>
      </c>
      <c r="I171" s="12">
        <v>64277</v>
      </c>
      <c r="J171" s="12">
        <v>331</v>
      </c>
      <c r="K171" s="12" t="s">
        <v>20</v>
      </c>
      <c r="L171" s="12">
        <v>1</v>
      </c>
      <c r="M171" s="17">
        <v>1339000</v>
      </c>
      <c r="N171" s="17">
        <f t="shared" si="11"/>
        <v>1339000</v>
      </c>
      <c r="P171" s="12">
        <f t="shared" si="12"/>
        <v>41</v>
      </c>
    </row>
    <row r="172" spans="1:16" ht="15" customHeight="1" x14ac:dyDescent="0.2">
      <c r="A172" s="12" t="s">
        <v>18</v>
      </c>
      <c r="B172" s="36">
        <v>46098</v>
      </c>
      <c r="C172" s="12">
        <f t="shared" si="13"/>
        <v>134</v>
      </c>
      <c r="D172" s="38">
        <f t="shared" si="14"/>
        <v>0</v>
      </c>
      <c r="E172" s="12" t="str">
        <f t="shared" si="10"/>
        <v>134</v>
      </c>
      <c r="G172" s="12" t="s">
        <v>2334</v>
      </c>
      <c r="H172" s="12" t="s">
        <v>3262</v>
      </c>
      <c r="I172" s="12">
        <v>1331</v>
      </c>
      <c r="J172" s="12">
        <v>331</v>
      </c>
      <c r="K172" s="12" t="s">
        <v>20</v>
      </c>
      <c r="L172" s="12">
        <v>1</v>
      </c>
      <c r="M172" s="17">
        <v>107120</v>
      </c>
      <c r="N172" s="17">
        <f t="shared" si="11"/>
        <v>107120</v>
      </c>
      <c r="P172" s="12">
        <f t="shared" si="12"/>
        <v>41</v>
      </c>
    </row>
    <row r="173" spans="1:16" ht="15" customHeight="1" x14ac:dyDescent="0.2">
      <c r="A173" s="12" t="s">
        <v>18</v>
      </c>
      <c r="B173" s="36">
        <v>46098</v>
      </c>
      <c r="C173" s="12">
        <f t="shared" si="13"/>
        <v>135</v>
      </c>
      <c r="D173" s="38">
        <f t="shared" si="14"/>
        <v>1</v>
      </c>
      <c r="E173" s="12" t="str">
        <f t="shared" si="10"/>
        <v>135</v>
      </c>
      <c r="G173" s="12" t="s">
        <v>89</v>
      </c>
      <c r="H173" s="12" t="s">
        <v>2347</v>
      </c>
      <c r="I173" s="12">
        <v>64277</v>
      </c>
      <c r="J173" s="12">
        <v>331</v>
      </c>
      <c r="K173" s="12" t="s">
        <v>20</v>
      </c>
      <c r="L173" s="12">
        <v>1</v>
      </c>
      <c r="M173" s="17">
        <v>38889</v>
      </c>
      <c r="N173" s="17">
        <f t="shared" si="11"/>
        <v>38889</v>
      </c>
      <c r="P173" s="12">
        <f t="shared" si="12"/>
        <v>72</v>
      </c>
    </row>
    <row r="174" spans="1:16" ht="15" customHeight="1" x14ac:dyDescent="0.2">
      <c r="A174" s="12" t="s">
        <v>18</v>
      </c>
      <c r="B174" s="36">
        <v>46098</v>
      </c>
      <c r="C174" s="12">
        <f t="shared" si="13"/>
        <v>135</v>
      </c>
      <c r="D174" s="38">
        <f t="shared" si="14"/>
        <v>0</v>
      </c>
      <c r="E174" s="12" t="str">
        <f t="shared" si="10"/>
        <v>135</v>
      </c>
      <c r="G174" s="12" t="s">
        <v>89</v>
      </c>
      <c r="H174" s="12" t="s">
        <v>2347</v>
      </c>
      <c r="I174" s="12">
        <v>1331</v>
      </c>
      <c r="J174" s="12">
        <v>331</v>
      </c>
      <c r="K174" s="12" t="s">
        <v>20</v>
      </c>
      <c r="L174" s="12">
        <v>1</v>
      </c>
      <c r="M174" s="17">
        <v>3111</v>
      </c>
      <c r="N174" s="17">
        <f t="shared" si="11"/>
        <v>3111</v>
      </c>
      <c r="P174" s="12">
        <f t="shared" si="12"/>
        <v>72</v>
      </c>
    </row>
    <row r="175" spans="1:16" ht="15" customHeight="1" x14ac:dyDescent="0.2">
      <c r="A175" s="12" t="s">
        <v>18</v>
      </c>
      <c r="B175" s="36">
        <v>46099</v>
      </c>
      <c r="C175" s="12">
        <f t="shared" si="13"/>
        <v>136</v>
      </c>
      <c r="D175" s="38">
        <f t="shared" si="14"/>
        <v>1</v>
      </c>
      <c r="E175" s="12" t="str">
        <f t="shared" si="10"/>
        <v>136</v>
      </c>
      <c r="G175" s="12" t="s">
        <v>89</v>
      </c>
      <c r="H175" s="12" t="s">
        <v>2350</v>
      </c>
      <c r="I175" s="12">
        <v>64277</v>
      </c>
      <c r="J175" s="12">
        <v>331</v>
      </c>
      <c r="K175" s="12" t="s">
        <v>20</v>
      </c>
      <c r="L175" s="12">
        <v>1</v>
      </c>
      <c r="M175" s="17">
        <v>44445</v>
      </c>
      <c r="N175" s="17">
        <f t="shared" si="11"/>
        <v>44445</v>
      </c>
      <c r="P175" s="12">
        <f t="shared" si="12"/>
        <v>72</v>
      </c>
    </row>
    <row r="176" spans="1:16" ht="15" customHeight="1" x14ac:dyDescent="0.2">
      <c r="A176" s="12" t="s">
        <v>18</v>
      </c>
      <c r="B176" s="36">
        <v>46099</v>
      </c>
      <c r="C176" s="12">
        <f t="shared" si="13"/>
        <v>136</v>
      </c>
      <c r="D176" s="38">
        <f t="shared" si="14"/>
        <v>0</v>
      </c>
      <c r="E176" s="12" t="str">
        <f t="shared" si="10"/>
        <v>136</v>
      </c>
      <c r="G176" s="12" t="s">
        <v>89</v>
      </c>
      <c r="H176" s="12" t="s">
        <v>2350</v>
      </c>
      <c r="I176" s="12">
        <v>1331</v>
      </c>
      <c r="J176" s="12">
        <v>331</v>
      </c>
      <c r="K176" s="12" t="s">
        <v>20</v>
      </c>
      <c r="L176" s="12">
        <v>1</v>
      </c>
      <c r="M176" s="17">
        <v>3555</v>
      </c>
      <c r="N176" s="17">
        <f t="shared" si="11"/>
        <v>3555</v>
      </c>
      <c r="P176" s="12">
        <f t="shared" si="12"/>
        <v>72</v>
      </c>
    </row>
    <row r="177" spans="1:16" ht="15" customHeight="1" x14ac:dyDescent="0.2">
      <c r="A177" s="12" t="s">
        <v>18</v>
      </c>
      <c r="B177" s="36">
        <v>46099</v>
      </c>
      <c r="C177" s="12">
        <f t="shared" si="13"/>
        <v>137</v>
      </c>
      <c r="D177" s="38">
        <f t="shared" si="14"/>
        <v>1</v>
      </c>
      <c r="E177" s="12" t="str">
        <f t="shared" si="10"/>
        <v>137</v>
      </c>
      <c r="G177" s="12" t="s">
        <v>89</v>
      </c>
      <c r="H177" s="12" t="s">
        <v>2349</v>
      </c>
      <c r="I177" s="12">
        <v>64277</v>
      </c>
      <c r="J177" s="12">
        <v>331</v>
      </c>
      <c r="K177" s="12" t="s">
        <v>20</v>
      </c>
      <c r="L177" s="12">
        <v>1</v>
      </c>
      <c r="M177" s="17">
        <v>59259</v>
      </c>
      <c r="N177" s="17">
        <f t="shared" si="11"/>
        <v>59259</v>
      </c>
      <c r="P177" s="12">
        <f t="shared" si="12"/>
        <v>72</v>
      </c>
    </row>
    <row r="178" spans="1:16" ht="15" customHeight="1" x14ac:dyDescent="0.2">
      <c r="A178" s="12" t="s">
        <v>18</v>
      </c>
      <c r="B178" s="36">
        <v>46099</v>
      </c>
      <c r="C178" s="12">
        <f t="shared" si="13"/>
        <v>137</v>
      </c>
      <c r="D178" s="38">
        <f t="shared" si="14"/>
        <v>0</v>
      </c>
      <c r="E178" s="12" t="str">
        <f t="shared" si="10"/>
        <v>137</v>
      </c>
      <c r="G178" s="12" t="s">
        <v>89</v>
      </c>
      <c r="H178" s="12" t="s">
        <v>2349</v>
      </c>
      <c r="I178" s="12">
        <v>1331</v>
      </c>
      <c r="J178" s="12">
        <v>331</v>
      </c>
      <c r="K178" s="12" t="s">
        <v>20</v>
      </c>
      <c r="L178" s="12">
        <v>1</v>
      </c>
      <c r="M178" s="17">
        <v>4741</v>
      </c>
      <c r="N178" s="17">
        <f t="shared" si="11"/>
        <v>4741</v>
      </c>
      <c r="P178" s="12">
        <f t="shared" si="12"/>
        <v>72</v>
      </c>
    </row>
    <row r="179" spans="1:16" ht="15" customHeight="1" x14ac:dyDescent="0.2">
      <c r="A179" s="12" t="s">
        <v>18</v>
      </c>
      <c r="B179" s="36">
        <v>46099</v>
      </c>
      <c r="C179" s="12">
        <f t="shared" si="13"/>
        <v>138</v>
      </c>
      <c r="D179" s="38">
        <f t="shared" si="14"/>
        <v>1</v>
      </c>
      <c r="E179" s="12" t="str">
        <f t="shared" si="10"/>
        <v>138</v>
      </c>
      <c r="G179" s="12" t="s">
        <v>89</v>
      </c>
      <c r="H179" s="12" t="s">
        <v>2348</v>
      </c>
      <c r="I179" s="12">
        <v>64277</v>
      </c>
      <c r="J179" s="12">
        <v>331</v>
      </c>
      <c r="K179" s="12" t="s">
        <v>20</v>
      </c>
      <c r="L179" s="12">
        <v>1</v>
      </c>
      <c r="M179" s="17">
        <v>65741</v>
      </c>
      <c r="N179" s="17">
        <f t="shared" si="11"/>
        <v>65741</v>
      </c>
      <c r="P179" s="12">
        <f t="shared" si="12"/>
        <v>72</v>
      </c>
    </row>
    <row r="180" spans="1:16" ht="15" customHeight="1" x14ac:dyDescent="0.2">
      <c r="A180" s="12" t="s">
        <v>18</v>
      </c>
      <c r="B180" s="36">
        <v>46099</v>
      </c>
      <c r="C180" s="12">
        <f t="shared" si="13"/>
        <v>138</v>
      </c>
      <c r="D180" s="38">
        <f t="shared" si="14"/>
        <v>0</v>
      </c>
      <c r="E180" s="12" t="str">
        <f t="shared" si="10"/>
        <v>138</v>
      </c>
      <c r="G180" s="12" t="s">
        <v>89</v>
      </c>
      <c r="H180" s="12" t="s">
        <v>2348</v>
      </c>
      <c r="I180" s="12">
        <v>1331</v>
      </c>
      <c r="J180" s="12">
        <v>331</v>
      </c>
      <c r="K180" s="12" t="s">
        <v>20</v>
      </c>
      <c r="L180" s="12">
        <v>1</v>
      </c>
      <c r="M180" s="17">
        <v>5259</v>
      </c>
      <c r="N180" s="17">
        <f t="shared" si="11"/>
        <v>5259</v>
      </c>
      <c r="P180" s="12">
        <f t="shared" si="12"/>
        <v>72</v>
      </c>
    </row>
    <row r="181" spans="1:16" ht="15" customHeight="1" x14ac:dyDescent="0.2">
      <c r="A181" s="12" t="s">
        <v>18</v>
      </c>
      <c r="B181" s="36">
        <v>46100</v>
      </c>
      <c r="C181" s="12">
        <f t="shared" si="13"/>
        <v>139</v>
      </c>
      <c r="D181" s="38">
        <f t="shared" si="14"/>
        <v>1</v>
      </c>
      <c r="E181" s="12" t="str">
        <f t="shared" si="10"/>
        <v>139</v>
      </c>
      <c r="G181" s="12" t="s">
        <v>89</v>
      </c>
      <c r="H181" s="12" t="s">
        <v>2351</v>
      </c>
      <c r="I181" s="12">
        <v>64277</v>
      </c>
      <c r="J181" s="12">
        <v>331</v>
      </c>
      <c r="K181" s="12" t="s">
        <v>20</v>
      </c>
      <c r="L181" s="12">
        <v>1</v>
      </c>
      <c r="M181" s="17">
        <v>87963</v>
      </c>
      <c r="N181" s="17">
        <f t="shared" si="11"/>
        <v>87963</v>
      </c>
      <c r="P181" s="12">
        <f t="shared" si="12"/>
        <v>73</v>
      </c>
    </row>
    <row r="182" spans="1:16" ht="15" customHeight="1" x14ac:dyDescent="0.2">
      <c r="A182" s="12" t="s">
        <v>18</v>
      </c>
      <c r="B182" s="36">
        <v>46100</v>
      </c>
      <c r="C182" s="12">
        <f t="shared" si="13"/>
        <v>139</v>
      </c>
      <c r="D182" s="38">
        <f t="shared" si="14"/>
        <v>0</v>
      </c>
      <c r="E182" s="12" t="str">
        <f t="shared" si="10"/>
        <v>139</v>
      </c>
      <c r="G182" s="12" t="s">
        <v>89</v>
      </c>
      <c r="H182" s="12" t="s">
        <v>2351</v>
      </c>
      <c r="I182" s="12">
        <v>1331</v>
      </c>
      <c r="J182" s="12">
        <v>331</v>
      </c>
      <c r="K182" s="12" t="s">
        <v>20</v>
      </c>
      <c r="L182" s="12">
        <v>1</v>
      </c>
      <c r="M182" s="17">
        <v>7037</v>
      </c>
      <c r="N182" s="17">
        <f t="shared" si="11"/>
        <v>7037</v>
      </c>
      <c r="P182" s="12">
        <f t="shared" si="12"/>
        <v>73</v>
      </c>
    </row>
    <row r="183" spans="1:16" ht="15" customHeight="1" x14ac:dyDescent="0.2">
      <c r="A183" s="12" t="s">
        <v>18</v>
      </c>
      <c r="B183" s="36">
        <v>46101</v>
      </c>
      <c r="C183" s="12">
        <f t="shared" si="13"/>
        <v>140</v>
      </c>
      <c r="D183" s="38">
        <f t="shared" si="14"/>
        <v>1</v>
      </c>
      <c r="E183" s="12" t="str">
        <f t="shared" si="10"/>
        <v>140</v>
      </c>
      <c r="G183" s="12" t="s">
        <v>89</v>
      </c>
      <c r="H183" s="12" t="s">
        <v>2352</v>
      </c>
      <c r="I183" s="12">
        <v>64277</v>
      </c>
      <c r="J183" s="12">
        <v>331</v>
      </c>
      <c r="K183" s="12" t="s">
        <v>20</v>
      </c>
      <c r="L183" s="12">
        <v>1</v>
      </c>
      <c r="M183" s="17">
        <v>40741</v>
      </c>
      <c r="N183" s="17">
        <f t="shared" si="11"/>
        <v>40741</v>
      </c>
      <c r="P183" s="12">
        <f t="shared" si="12"/>
        <v>72</v>
      </c>
    </row>
    <row r="184" spans="1:16" ht="15" customHeight="1" x14ac:dyDescent="0.2">
      <c r="A184" s="12" t="s">
        <v>18</v>
      </c>
      <c r="B184" s="13">
        <v>46101</v>
      </c>
      <c r="C184" s="12">
        <f t="shared" si="13"/>
        <v>140</v>
      </c>
      <c r="D184" s="38">
        <f t="shared" si="14"/>
        <v>0</v>
      </c>
      <c r="E184" s="12" t="str">
        <f t="shared" si="10"/>
        <v>140</v>
      </c>
      <c r="G184" s="12" t="s">
        <v>89</v>
      </c>
      <c r="H184" s="12" t="s">
        <v>2352</v>
      </c>
      <c r="I184" s="12">
        <v>1331</v>
      </c>
      <c r="J184" s="12">
        <v>331</v>
      </c>
      <c r="K184" s="12" t="s">
        <v>20</v>
      </c>
      <c r="L184" s="12">
        <v>1</v>
      </c>
      <c r="M184" s="17">
        <v>3259</v>
      </c>
      <c r="N184" s="17">
        <f t="shared" si="11"/>
        <v>3259</v>
      </c>
      <c r="P184" s="12">
        <f t="shared" si="12"/>
        <v>72</v>
      </c>
    </row>
    <row r="185" spans="1:16" ht="15" customHeight="1" x14ac:dyDescent="0.2">
      <c r="A185" s="12" t="s">
        <v>18</v>
      </c>
      <c r="B185" s="13">
        <v>46102</v>
      </c>
      <c r="C185" s="12">
        <f t="shared" si="13"/>
        <v>141</v>
      </c>
      <c r="D185" s="38">
        <f t="shared" si="14"/>
        <v>1</v>
      </c>
      <c r="E185" s="12" t="str">
        <f t="shared" si="10"/>
        <v>141</v>
      </c>
      <c r="G185" s="12" t="s">
        <v>2354</v>
      </c>
      <c r="H185" s="12" t="s">
        <v>2355</v>
      </c>
      <c r="I185" s="12">
        <v>64277</v>
      </c>
      <c r="J185" s="12">
        <v>331</v>
      </c>
      <c r="K185" s="12" t="s">
        <v>20</v>
      </c>
      <c r="L185" s="12">
        <v>1</v>
      </c>
      <c r="M185" s="17">
        <v>319000</v>
      </c>
      <c r="N185" s="17">
        <f t="shared" si="11"/>
        <v>319000</v>
      </c>
      <c r="P185" s="12">
        <f t="shared" si="12"/>
        <v>110</v>
      </c>
    </row>
    <row r="186" spans="1:16" ht="15" customHeight="1" x14ac:dyDescent="0.2">
      <c r="A186" s="12" t="s">
        <v>18</v>
      </c>
      <c r="B186" s="13">
        <v>46102</v>
      </c>
      <c r="C186" s="12">
        <f t="shared" si="13"/>
        <v>141</v>
      </c>
      <c r="D186" s="38">
        <f t="shared" si="14"/>
        <v>0</v>
      </c>
      <c r="E186" s="12" t="str">
        <f t="shared" si="10"/>
        <v>141</v>
      </c>
      <c r="G186" s="12" t="s">
        <v>2354</v>
      </c>
      <c r="H186" s="12" t="s">
        <v>2355</v>
      </c>
      <c r="I186" s="12">
        <v>1331</v>
      </c>
      <c r="J186" s="12">
        <v>331</v>
      </c>
      <c r="K186" s="12" t="s">
        <v>20</v>
      </c>
      <c r="L186" s="12">
        <v>1</v>
      </c>
      <c r="M186" s="17">
        <v>25520</v>
      </c>
      <c r="N186" s="17">
        <f t="shared" si="11"/>
        <v>25520</v>
      </c>
      <c r="P186" s="12">
        <f t="shared" si="12"/>
        <v>110</v>
      </c>
    </row>
    <row r="187" spans="1:16" ht="15" customHeight="1" x14ac:dyDescent="0.2">
      <c r="A187" s="12" t="s">
        <v>18</v>
      </c>
      <c r="B187" s="13">
        <v>46102</v>
      </c>
      <c r="C187" s="12">
        <f t="shared" si="13"/>
        <v>142</v>
      </c>
      <c r="D187" s="38">
        <f t="shared" si="14"/>
        <v>1</v>
      </c>
      <c r="E187" s="12" t="str">
        <f t="shared" si="10"/>
        <v>142</v>
      </c>
      <c r="G187" s="12" t="s">
        <v>1725</v>
      </c>
      <c r="H187" s="12" t="s">
        <v>2353</v>
      </c>
      <c r="I187" s="12">
        <v>64277</v>
      </c>
      <c r="J187" s="12">
        <v>331</v>
      </c>
      <c r="K187" s="12" t="s">
        <v>20</v>
      </c>
      <c r="L187" s="12">
        <v>1</v>
      </c>
      <c r="M187" s="17">
        <v>3666667</v>
      </c>
      <c r="N187" s="17">
        <f t="shared" si="11"/>
        <v>3666667</v>
      </c>
      <c r="P187" s="12">
        <f t="shared" si="12"/>
        <v>60</v>
      </c>
    </row>
    <row r="188" spans="1:16" ht="15" customHeight="1" x14ac:dyDescent="0.2">
      <c r="A188" s="12" t="s">
        <v>18</v>
      </c>
      <c r="B188" s="13">
        <v>46102</v>
      </c>
      <c r="C188" s="12">
        <f t="shared" si="13"/>
        <v>142</v>
      </c>
      <c r="D188" s="38">
        <f t="shared" si="14"/>
        <v>0</v>
      </c>
      <c r="E188" s="12" t="str">
        <f t="shared" si="10"/>
        <v>142</v>
      </c>
      <c r="G188" s="12" t="s">
        <v>1725</v>
      </c>
      <c r="H188" s="12" t="s">
        <v>2353</v>
      </c>
      <c r="I188" s="12">
        <v>1331</v>
      </c>
      <c r="J188" s="12">
        <v>331</v>
      </c>
      <c r="K188" s="12" t="s">
        <v>20</v>
      </c>
      <c r="L188" s="12">
        <v>1</v>
      </c>
      <c r="M188" s="17">
        <v>293333</v>
      </c>
      <c r="N188" s="17">
        <f t="shared" si="11"/>
        <v>293333</v>
      </c>
      <c r="P188" s="12">
        <f t="shared" si="12"/>
        <v>60</v>
      </c>
    </row>
    <row r="189" spans="1:16" ht="15" customHeight="1" x14ac:dyDescent="0.2">
      <c r="A189" s="12" t="s">
        <v>18</v>
      </c>
      <c r="B189" s="13">
        <v>46104</v>
      </c>
      <c r="C189" s="12">
        <f t="shared" si="13"/>
        <v>143</v>
      </c>
      <c r="D189" s="38">
        <f t="shared" si="14"/>
        <v>1</v>
      </c>
      <c r="E189" s="12" t="str">
        <f t="shared" si="10"/>
        <v>143</v>
      </c>
      <c r="G189" s="12" t="s">
        <v>717</v>
      </c>
      <c r="H189" s="12" t="s">
        <v>2378</v>
      </c>
      <c r="I189" s="12">
        <v>131</v>
      </c>
      <c r="J189" s="12">
        <v>5113</v>
      </c>
      <c r="K189" s="12" t="s">
        <v>20</v>
      </c>
      <c r="L189" s="12">
        <v>1</v>
      </c>
      <c r="M189" s="17">
        <v>22222222</v>
      </c>
      <c r="N189" s="17">
        <f t="shared" si="11"/>
        <v>22222222</v>
      </c>
      <c r="P189" s="12">
        <f t="shared" si="12"/>
        <v>114</v>
      </c>
    </row>
    <row r="190" spans="1:16" ht="15" customHeight="1" x14ac:dyDescent="0.2">
      <c r="A190" s="12" t="s">
        <v>18</v>
      </c>
      <c r="B190" s="13">
        <v>46104</v>
      </c>
      <c r="C190" s="12">
        <f t="shared" si="13"/>
        <v>144</v>
      </c>
      <c r="D190" s="38">
        <f t="shared" si="14"/>
        <v>1</v>
      </c>
      <c r="E190" s="12" t="str">
        <f t="shared" si="10"/>
        <v>144</v>
      </c>
      <c r="G190" s="12" t="s">
        <v>717</v>
      </c>
      <c r="H190" s="12" t="s">
        <v>3329</v>
      </c>
      <c r="I190" s="12">
        <v>333821</v>
      </c>
      <c r="J190" s="12">
        <v>131</v>
      </c>
      <c r="K190" s="12" t="s">
        <v>20</v>
      </c>
      <c r="L190" s="12">
        <v>1</v>
      </c>
      <c r="M190" s="17">
        <v>222222</v>
      </c>
      <c r="N190" s="17">
        <f t="shared" si="11"/>
        <v>222222</v>
      </c>
      <c r="P190" s="12">
        <f t="shared" si="12"/>
        <v>130</v>
      </c>
    </row>
    <row r="191" spans="1:16" ht="15" customHeight="1" x14ac:dyDescent="0.2">
      <c r="A191" s="12" t="s">
        <v>18</v>
      </c>
      <c r="B191" s="13">
        <v>46104</v>
      </c>
      <c r="C191" s="12">
        <f t="shared" si="13"/>
        <v>145</v>
      </c>
      <c r="D191" s="38">
        <f t="shared" si="14"/>
        <v>1</v>
      </c>
      <c r="E191" s="12" t="str">
        <f t="shared" si="10"/>
        <v>145</v>
      </c>
      <c r="G191" s="12" t="s">
        <v>29</v>
      </c>
      <c r="H191" s="12" t="s">
        <v>3328</v>
      </c>
      <c r="I191" s="12">
        <v>333821</v>
      </c>
      <c r="J191" s="12">
        <v>131</v>
      </c>
      <c r="K191" s="12" t="s">
        <v>20</v>
      </c>
      <c r="L191" s="12">
        <v>1</v>
      </c>
      <c r="M191" s="17">
        <v>144444</v>
      </c>
      <c r="N191" s="17">
        <f t="shared" si="11"/>
        <v>144444</v>
      </c>
      <c r="P191" s="12">
        <f t="shared" si="12"/>
        <v>181</v>
      </c>
    </row>
    <row r="192" spans="1:16" ht="15" customHeight="1" x14ac:dyDescent="0.2">
      <c r="A192" s="12" t="s">
        <v>18</v>
      </c>
      <c r="B192" s="13">
        <v>46104</v>
      </c>
      <c r="C192" s="12">
        <f t="shared" si="13"/>
        <v>146</v>
      </c>
      <c r="D192" s="38">
        <f t="shared" si="14"/>
        <v>1</v>
      </c>
      <c r="E192" s="12" t="str">
        <f t="shared" si="10"/>
        <v>146</v>
      </c>
      <c r="G192" s="12" t="s">
        <v>29</v>
      </c>
      <c r="H192" s="12" t="s">
        <v>2377</v>
      </c>
      <c r="I192" s="12">
        <v>131</v>
      </c>
      <c r="J192" s="12">
        <v>5113</v>
      </c>
      <c r="K192" s="12" t="s">
        <v>20</v>
      </c>
      <c r="L192" s="12">
        <v>1</v>
      </c>
      <c r="M192" s="17">
        <v>14444444</v>
      </c>
      <c r="N192" s="17">
        <f t="shared" si="11"/>
        <v>14444444</v>
      </c>
      <c r="P192" s="12">
        <f t="shared" si="12"/>
        <v>165</v>
      </c>
    </row>
    <row r="193" spans="1:16" ht="15" customHeight="1" x14ac:dyDescent="0.2">
      <c r="A193" s="12" t="s">
        <v>18</v>
      </c>
      <c r="B193" s="13">
        <v>46106</v>
      </c>
      <c r="C193" s="12">
        <f t="shared" si="13"/>
        <v>147</v>
      </c>
      <c r="D193" s="38">
        <f t="shared" si="14"/>
        <v>1</v>
      </c>
      <c r="E193" s="12" t="str">
        <f t="shared" si="10"/>
        <v>147</v>
      </c>
      <c r="G193" s="12" t="s">
        <v>68</v>
      </c>
      <c r="H193" s="12" t="s">
        <v>2379</v>
      </c>
      <c r="I193" s="12">
        <v>131</v>
      </c>
      <c r="J193" s="12">
        <v>5113</v>
      </c>
      <c r="K193" s="12" t="s">
        <v>20</v>
      </c>
      <c r="L193" s="12">
        <v>1</v>
      </c>
      <c r="M193" s="17">
        <v>22222222</v>
      </c>
      <c r="N193" s="17">
        <f t="shared" si="11"/>
        <v>22222222</v>
      </c>
      <c r="P193" s="12">
        <f t="shared" si="12"/>
        <v>147</v>
      </c>
    </row>
    <row r="194" spans="1:16" ht="15" customHeight="1" x14ac:dyDescent="0.2">
      <c r="A194" s="12" t="s">
        <v>18</v>
      </c>
      <c r="B194" s="13">
        <v>46106</v>
      </c>
      <c r="C194" s="12">
        <f t="shared" si="13"/>
        <v>148</v>
      </c>
      <c r="D194" s="38">
        <f t="shared" si="14"/>
        <v>1</v>
      </c>
      <c r="E194" s="12" t="str">
        <f t="shared" si="10"/>
        <v>148</v>
      </c>
      <c r="G194" s="12" t="s">
        <v>68</v>
      </c>
      <c r="H194" s="12" t="s">
        <v>3330</v>
      </c>
      <c r="I194" s="12">
        <v>333821</v>
      </c>
      <c r="J194" s="12">
        <v>131</v>
      </c>
      <c r="K194" s="12" t="s">
        <v>20</v>
      </c>
      <c r="L194" s="12">
        <v>1</v>
      </c>
      <c r="M194" s="17">
        <v>222222</v>
      </c>
      <c r="N194" s="17">
        <f t="shared" si="11"/>
        <v>222222</v>
      </c>
      <c r="P194" s="12">
        <f t="shared" si="12"/>
        <v>163</v>
      </c>
    </row>
    <row r="195" spans="1:16" ht="15" customHeight="1" x14ac:dyDescent="0.2">
      <c r="A195" s="12" t="s">
        <v>18</v>
      </c>
      <c r="B195" s="13">
        <v>46107</v>
      </c>
      <c r="C195" s="12">
        <f t="shared" si="13"/>
        <v>149</v>
      </c>
      <c r="D195" s="38">
        <f t="shared" si="14"/>
        <v>1</v>
      </c>
      <c r="E195" s="12" t="str">
        <f t="shared" si="10"/>
        <v>149</v>
      </c>
      <c r="G195" s="14" t="s">
        <v>311</v>
      </c>
      <c r="H195" s="12" t="s">
        <v>3331</v>
      </c>
      <c r="I195" s="12">
        <v>333821</v>
      </c>
      <c r="J195" s="12">
        <v>131</v>
      </c>
      <c r="K195" s="12" t="s">
        <v>20</v>
      </c>
      <c r="L195" s="12">
        <v>1</v>
      </c>
      <c r="M195" s="17">
        <v>414141</v>
      </c>
      <c r="N195" s="17">
        <f t="shared" si="11"/>
        <v>414141</v>
      </c>
      <c r="P195" s="12">
        <f t="shared" si="12"/>
        <v>84</v>
      </c>
    </row>
    <row r="196" spans="1:16" ht="15" customHeight="1" x14ac:dyDescent="0.2">
      <c r="A196" s="12" t="s">
        <v>18</v>
      </c>
      <c r="B196" s="13">
        <v>46107</v>
      </c>
      <c r="C196" s="12">
        <f t="shared" si="13"/>
        <v>150</v>
      </c>
      <c r="D196" s="38">
        <f t="shared" si="14"/>
        <v>1</v>
      </c>
      <c r="E196" s="12" t="str">
        <f t="shared" ref="E196:E206" si="15">TEXT(C196,"000")</f>
        <v>150</v>
      </c>
      <c r="G196" s="14" t="s">
        <v>311</v>
      </c>
      <c r="H196" s="12" t="s">
        <v>2380</v>
      </c>
      <c r="I196" s="12">
        <v>131</v>
      </c>
      <c r="J196" s="12">
        <v>5118</v>
      </c>
      <c r="K196" s="12" t="s">
        <v>20</v>
      </c>
      <c r="L196" s="12">
        <v>1</v>
      </c>
      <c r="M196" s="17">
        <v>41414141</v>
      </c>
      <c r="N196" s="17">
        <f t="shared" ref="N196:N206" si="16">L196*M196</f>
        <v>41414141</v>
      </c>
      <c r="P196" s="12">
        <f t="shared" ref="P196:P206" si="17">LEN(H196)</f>
        <v>68</v>
      </c>
    </row>
    <row r="197" spans="1:16" ht="15" customHeight="1" x14ac:dyDescent="0.2">
      <c r="A197" s="12" t="s">
        <v>18</v>
      </c>
      <c r="B197" s="13">
        <v>46108</v>
      </c>
      <c r="C197" s="12">
        <f t="shared" ref="C197:C206" si="18">C196+D197</f>
        <v>151</v>
      </c>
      <c r="D197" s="38">
        <f t="shared" ref="D197:D206" si="19">IF(H197=H196,0,1)</f>
        <v>1</v>
      </c>
      <c r="E197" s="12" t="str">
        <f t="shared" si="15"/>
        <v>151</v>
      </c>
      <c r="G197" s="12" t="s">
        <v>89</v>
      </c>
      <c r="H197" s="12" t="s">
        <v>2356</v>
      </c>
      <c r="I197" s="12">
        <v>64277</v>
      </c>
      <c r="J197" s="12">
        <v>331</v>
      </c>
      <c r="K197" s="12" t="s">
        <v>20</v>
      </c>
      <c r="L197" s="12">
        <v>1</v>
      </c>
      <c r="M197" s="17">
        <v>13889</v>
      </c>
      <c r="N197" s="17">
        <f t="shared" si="16"/>
        <v>13889</v>
      </c>
      <c r="P197" s="12">
        <f t="shared" si="17"/>
        <v>73</v>
      </c>
    </row>
    <row r="198" spans="1:16" ht="15" customHeight="1" x14ac:dyDescent="0.2">
      <c r="A198" s="12" t="s">
        <v>18</v>
      </c>
      <c r="B198" s="13">
        <v>46108</v>
      </c>
      <c r="C198" s="12">
        <f t="shared" si="18"/>
        <v>151</v>
      </c>
      <c r="D198" s="38">
        <f t="shared" si="19"/>
        <v>0</v>
      </c>
      <c r="E198" s="12" t="str">
        <f t="shared" si="15"/>
        <v>151</v>
      </c>
      <c r="G198" s="12" t="s">
        <v>89</v>
      </c>
      <c r="H198" s="12" t="s">
        <v>2356</v>
      </c>
      <c r="I198" s="12">
        <v>1331</v>
      </c>
      <c r="J198" s="12">
        <v>331</v>
      </c>
      <c r="K198" s="12" t="s">
        <v>20</v>
      </c>
      <c r="L198" s="12">
        <v>1</v>
      </c>
      <c r="M198" s="17">
        <v>1111</v>
      </c>
      <c r="N198" s="17">
        <f t="shared" si="16"/>
        <v>1111</v>
      </c>
      <c r="P198" s="12">
        <f t="shared" si="17"/>
        <v>73</v>
      </c>
    </row>
    <row r="199" spans="1:16" ht="15" customHeight="1" x14ac:dyDescent="0.2">
      <c r="A199" s="12" t="s">
        <v>18</v>
      </c>
      <c r="B199" s="13">
        <v>46108</v>
      </c>
      <c r="C199" s="12">
        <f t="shared" si="18"/>
        <v>152</v>
      </c>
      <c r="D199" s="38">
        <f t="shared" si="19"/>
        <v>1</v>
      </c>
      <c r="E199" s="12" t="str">
        <f t="shared" si="15"/>
        <v>152</v>
      </c>
      <c r="G199" s="12" t="s">
        <v>2381</v>
      </c>
      <c r="H199" s="12" t="s">
        <v>2382</v>
      </c>
      <c r="I199" s="12">
        <v>131</v>
      </c>
      <c r="J199" s="12">
        <v>5113</v>
      </c>
      <c r="K199" s="12" t="s">
        <v>20</v>
      </c>
      <c r="L199" s="12">
        <v>1</v>
      </c>
      <c r="M199" s="17">
        <v>16666667</v>
      </c>
      <c r="N199" s="17">
        <f t="shared" si="16"/>
        <v>16666667</v>
      </c>
      <c r="P199" s="12">
        <f t="shared" si="17"/>
        <v>149</v>
      </c>
    </row>
    <row r="200" spans="1:16" ht="15" customHeight="1" x14ac:dyDescent="0.2">
      <c r="A200" s="12" t="s">
        <v>18</v>
      </c>
      <c r="B200" s="13">
        <v>46108</v>
      </c>
      <c r="C200" s="12">
        <f t="shared" si="18"/>
        <v>153</v>
      </c>
      <c r="D200" s="38">
        <f t="shared" si="19"/>
        <v>1</v>
      </c>
      <c r="E200" s="12" t="str">
        <f t="shared" si="15"/>
        <v>153</v>
      </c>
      <c r="G200" s="12" t="s">
        <v>2381</v>
      </c>
      <c r="H200" s="12" t="s">
        <v>3332</v>
      </c>
      <c r="I200" s="12">
        <v>333821</v>
      </c>
      <c r="J200" s="12">
        <v>131</v>
      </c>
      <c r="K200" s="12" t="s">
        <v>20</v>
      </c>
      <c r="L200" s="12">
        <v>1</v>
      </c>
      <c r="M200" s="17">
        <v>166667</v>
      </c>
      <c r="N200" s="17">
        <f t="shared" si="16"/>
        <v>166667</v>
      </c>
      <c r="P200" s="12">
        <f t="shared" si="17"/>
        <v>165</v>
      </c>
    </row>
    <row r="201" spans="1:16" ht="15" customHeight="1" x14ac:dyDescent="0.2">
      <c r="A201" s="12" t="s">
        <v>18</v>
      </c>
      <c r="B201" s="13">
        <v>46109</v>
      </c>
      <c r="C201" s="12">
        <f t="shared" si="18"/>
        <v>154</v>
      </c>
      <c r="D201" s="38">
        <f t="shared" si="19"/>
        <v>1</v>
      </c>
      <c r="E201" s="12" t="str">
        <f t="shared" si="15"/>
        <v>154</v>
      </c>
      <c r="G201" s="12" t="s">
        <v>28</v>
      </c>
      <c r="H201" s="12" t="s">
        <v>3263</v>
      </c>
      <c r="I201" s="12">
        <v>64277</v>
      </c>
      <c r="J201" s="12">
        <v>331</v>
      </c>
      <c r="K201" s="12" t="s">
        <v>20</v>
      </c>
      <c r="L201" s="12">
        <v>1</v>
      </c>
      <c r="M201" s="17">
        <v>1960000</v>
      </c>
      <c r="N201" s="17">
        <f t="shared" si="16"/>
        <v>1960000</v>
      </c>
      <c r="P201" s="12">
        <f t="shared" si="17"/>
        <v>42</v>
      </c>
    </row>
    <row r="202" spans="1:16" ht="15" customHeight="1" x14ac:dyDescent="0.2">
      <c r="A202" s="12" t="s">
        <v>18</v>
      </c>
      <c r="B202" s="13">
        <v>46109</v>
      </c>
      <c r="C202" s="12">
        <f t="shared" si="18"/>
        <v>154</v>
      </c>
      <c r="D202" s="38">
        <f t="shared" si="19"/>
        <v>0</v>
      </c>
      <c r="E202" s="12" t="str">
        <f t="shared" si="15"/>
        <v>154</v>
      </c>
      <c r="G202" s="12" t="s">
        <v>28</v>
      </c>
      <c r="H202" s="12" t="s">
        <v>3263</v>
      </c>
      <c r="I202" s="12">
        <v>1331</v>
      </c>
      <c r="J202" s="12">
        <v>331</v>
      </c>
      <c r="K202" s="12" t="s">
        <v>20</v>
      </c>
      <c r="L202" s="12">
        <v>1</v>
      </c>
      <c r="M202" s="17">
        <v>156800</v>
      </c>
      <c r="N202" s="17">
        <f t="shared" si="16"/>
        <v>156800</v>
      </c>
      <c r="P202" s="12">
        <f t="shared" si="17"/>
        <v>42</v>
      </c>
    </row>
    <row r="203" spans="1:16" ht="15" customHeight="1" x14ac:dyDescent="0.2">
      <c r="A203" s="12" t="s">
        <v>18</v>
      </c>
      <c r="B203" s="13">
        <v>46109</v>
      </c>
      <c r="C203" s="12">
        <f t="shared" si="18"/>
        <v>155</v>
      </c>
      <c r="D203" s="38">
        <f t="shared" si="19"/>
        <v>1</v>
      </c>
      <c r="E203" s="12" t="str">
        <f t="shared" si="15"/>
        <v>155</v>
      </c>
      <c r="G203" s="12" t="s">
        <v>89</v>
      </c>
      <c r="H203" s="12" t="s">
        <v>2357</v>
      </c>
      <c r="I203" s="12">
        <v>64277</v>
      </c>
      <c r="J203" s="12">
        <v>331</v>
      </c>
      <c r="K203" s="12" t="s">
        <v>20</v>
      </c>
      <c r="L203" s="12">
        <v>1</v>
      </c>
      <c r="M203" s="17">
        <v>64814</v>
      </c>
      <c r="N203" s="17">
        <f t="shared" si="16"/>
        <v>64814</v>
      </c>
      <c r="P203" s="12">
        <f t="shared" si="17"/>
        <v>73</v>
      </c>
    </row>
    <row r="204" spans="1:16" ht="15" customHeight="1" x14ac:dyDescent="0.2">
      <c r="A204" s="12" t="s">
        <v>18</v>
      </c>
      <c r="B204" s="13">
        <v>46109</v>
      </c>
      <c r="C204" s="12">
        <f t="shared" si="18"/>
        <v>155</v>
      </c>
      <c r="D204" s="38">
        <f t="shared" si="19"/>
        <v>0</v>
      </c>
      <c r="E204" s="12" t="str">
        <f t="shared" si="15"/>
        <v>155</v>
      </c>
      <c r="G204" s="12" t="s">
        <v>89</v>
      </c>
      <c r="H204" s="12" t="s">
        <v>2357</v>
      </c>
      <c r="I204" s="12">
        <v>1331</v>
      </c>
      <c r="J204" s="12">
        <v>331</v>
      </c>
      <c r="K204" s="12" t="s">
        <v>20</v>
      </c>
      <c r="L204" s="12">
        <v>1</v>
      </c>
      <c r="M204" s="17">
        <v>5186</v>
      </c>
      <c r="N204" s="17">
        <f t="shared" si="16"/>
        <v>5186</v>
      </c>
      <c r="P204" s="12">
        <f t="shared" si="17"/>
        <v>73</v>
      </c>
    </row>
    <row r="205" spans="1:16" ht="15" customHeight="1" x14ac:dyDescent="0.2">
      <c r="A205" s="12" t="s">
        <v>18</v>
      </c>
      <c r="B205" s="13">
        <v>46112</v>
      </c>
      <c r="C205" s="12">
        <f t="shared" si="18"/>
        <v>156</v>
      </c>
      <c r="D205" s="38">
        <f t="shared" si="19"/>
        <v>1</v>
      </c>
      <c r="E205" s="12" t="str">
        <f t="shared" si="15"/>
        <v>156</v>
      </c>
      <c r="G205" s="12" t="s">
        <v>68</v>
      </c>
      <c r="H205" s="12" t="s">
        <v>2383</v>
      </c>
      <c r="I205" s="12">
        <v>131</v>
      </c>
      <c r="J205" s="12">
        <v>5113</v>
      </c>
      <c r="K205" s="12" t="s">
        <v>20</v>
      </c>
      <c r="L205" s="12">
        <v>1</v>
      </c>
      <c r="M205" s="17">
        <v>22222222</v>
      </c>
      <c r="N205" s="17">
        <f t="shared" si="16"/>
        <v>22222222</v>
      </c>
      <c r="P205" s="12">
        <f t="shared" si="17"/>
        <v>152</v>
      </c>
    </row>
    <row r="206" spans="1:16" ht="15" customHeight="1" x14ac:dyDescent="0.2">
      <c r="A206" s="12" t="s">
        <v>18</v>
      </c>
      <c r="B206" s="13">
        <v>46112</v>
      </c>
      <c r="C206" s="12">
        <f t="shared" si="18"/>
        <v>157</v>
      </c>
      <c r="D206" s="38">
        <f t="shared" si="19"/>
        <v>1</v>
      </c>
      <c r="E206" s="12" t="str">
        <f t="shared" si="15"/>
        <v>157</v>
      </c>
      <c r="G206" s="12" t="s">
        <v>68</v>
      </c>
      <c r="H206" s="12" t="s">
        <v>3333</v>
      </c>
      <c r="I206" s="12">
        <v>333821</v>
      </c>
      <c r="J206" s="12">
        <v>131</v>
      </c>
      <c r="K206" s="12" t="s">
        <v>20</v>
      </c>
      <c r="L206" s="12">
        <v>1</v>
      </c>
      <c r="M206" s="17">
        <v>222222</v>
      </c>
      <c r="N206" s="17">
        <f t="shared" si="16"/>
        <v>222222</v>
      </c>
      <c r="P206" s="12">
        <f t="shared" si="17"/>
        <v>168</v>
      </c>
    </row>
  </sheetData>
  <autoFilter ref="A3:P206" xr:uid="{00000000-0009-0000-0000-000020000000}">
    <sortState xmlns:xlrd2="http://schemas.microsoft.com/office/spreadsheetml/2017/richdata2" ref="A4:P206">
      <sortCondition ref="A4:A206"/>
      <sortCondition ref="B4:B206"/>
      <sortCondition ref="H4:H206"/>
    </sortState>
  </autoFilter>
  <mergeCells count="12">
    <mergeCell ref="N1:N2"/>
    <mergeCell ref="G1:G2"/>
    <mergeCell ref="H1:H2"/>
    <mergeCell ref="I1:J1"/>
    <mergeCell ref="K1:K2"/>
    <mergeCell ref="L1:L2"/>
    <mergeCell ref="M1:M2"/>
    <mergeCell ref="A1:A2"/>
    <mergeCell ref="B1:B2"/>
    <mergeCell ref="C1:C2"/>
    <mergeCell ref="D1:D2"/>
    <mergeCell ref="E1:E2"/>
  </mergeCells>
  <hyperlinks>
    <hyperlink ref="P1" location="Summary!A1" display="Back to summary"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filterMode="1">
    <tabColor rgb="FF92D050"/>
  </sheetPr>
  <dimension ref="A1:AC74"/>
  <sheetViews>
    <sheetView workbookViewId="0">
      <selection activeCell="M50" sqref="M50:M66"/>
    </sheetView>
  </sheetViews>
  <sheetFormatPr defaultRowHeight="15" customHeight="1" x14ac:dyDescent="0.2"/>
  <cols>
    <col min="1" max="5" width="9.140625" style="12"/>
    <col min="6" max="6" width="9.85546875" style="12" bestFit="1" customWidth="1"/>
    <col min="7" max="7" width="9.140625" style="12"/>
    <col min="8" max="8" width="27.7109375" style="12" customWidth="1"/>
    <col min="9" max="12" width="9.140625" style="12"/>
    <col min="13" max="14" width="10.7109375" style="12" bestFit="1" customWidth="1"/>
    <col min="15" max="16384" width="9.140625" style="12"/>
  </cols>
  <sheetData>
    <row r="1" spans="1:29" ht="15" customHeight="1" thickBot="1" x14ac:dyDescent="0.25">
      <c r="A1" s="247" t="s">
        <v>0</v>
      </c>
      <c r="B1" s="219" t="s">
        <v>1</v>
      </c>
      <c r="C1" s="247" t="s">
        <v>2</v>
      </c>
      <c r="D1" s="249" t="s">
        <v>3</v>
      </c>
      <c r="E1" s="249" t="s">
        <v>4</v>
      </c>
      <c r="F1" s="249" t="s">
        <v>5</v>
      </c>
      <c r="G1" s="241" t="s">
        <v>6</v>
      </c>
      <c r="H1" s="243" t="s">
        <v>7</v>
      </c>
      <c r="I1" s="245" t="s">
        <v>8</v>
      </c>
      <c r="J1" s="246"/>
      <c r="K1" s="247" t="s">
        <v>9</v>
      </c>
      <c r="L1" s="247" t="s">
        <v>10</v>
      </c>
      <c r="M1" s="254" t="s">
        <v>76</v>
      </c>
      <c r="N1" s="254" t="s">
        <v>77</v>
      </c>
      <c r="O1" s="45" t="s">
        <v>78</v>
      </c>
      <c r="P1" s="146" t="s">
        <v>356</v>
      </c>
    </row>
    <row r="2" spans="1:29" ht="15" customHeight="1" thickBot="1" x14ac:dyDescent="0.25">
      <c r="A2" s="248"/>
      <c r="B2" s="220"/>
      <c r="C2" s="248"/>
      <c r="D2" s="253"/>
      <c r="E2" s="253"/>
      <c r="F2" s="250"/>
      <c r="G2" s="242"/>
      <c r="H2" s="244"/>
      <c r="I2" s="46" t="s">
        <v>13</v>
      </c>
      <c r="J2" s="47" t="s">
        <v>14</v>
      </c>
      <c r="K2" s="248"/>
      <c r="L2" s="248"/>
      <c r="M2" s="255"/>
      <c r="N2" s="255"/>
      <c r="O2" s="38" t="s">
        <v>78</v>
      </c>
      <c r="P2" s="38"/>
    </row>
    <row r="3" spans="1:29" ht="15" customHeight="1" x14ac:dyDescent="0.2">
      <c r="A3" s="48"/>
      <c r="B3" s="81"/>
      <c r="C3" s="48">
        <v>0</v>
      </c>
      <c r="D3" s="49"/>
      <c r="E3" s="49"/>
      <c r="F3" s="49"/>
      <c r="G3" s="51" t="s">
        <v>15</v>
      </c>
      <c r="H3" s="52"/>
      <c r="I3" s="52" t="s">
        <v>4358</v>
      </c>
      <c r="J3" s="52"/>
      <c r="K3" s="48"/>
      <c r="L3" s="48"/>
      <c r="M3" s="82"/>
      <c r="N3" s="82"/>
      <c r="O3" s="38" t="s">
        <v>16</v>
      </c>
      <c r="P3" s="38" t="s">
        <v>17</v>
      </c>
    </row>
    <row r="4" spans="1:29" ht="15" hidden="1" customHeight="1" x14ac:dyDescent="0.2">
      <c r="A4" s="12" t="s">
        <v>18</v>
      </c>
      <c r="B4" s="36">
        <v>46025</v>
      </c>
      <c r="C4" s="12">
        <f t="shared" ref="C4:C67" si="0">C3+D4</f>
        <v>1</v>
      </c>
      <c r="D4" s="38">
        <f t="shared" ref="D4:D67" si="1">IF(H4=H3,0,1)</f>
        <v>1</v>
      </c>
      <c r="E4" s="12" t="str">
        <f>TEXT(C4,"000")</f>
        <v>001</v>
      </c>
      <c r="G4" s="12" t="s">
        <v>44</v>
      </c>
      <c r="H4" s="12" t="s">
        <v>2384</v>
      </c>
      <c r="I4" s="12">
        <v>64277</v>
      </c>
      <c r="J4" s="12">
        <v>331</v>
      </c>
      <c r="K4" s="12" t="s">
        <v>20</v>
      </c>
      <c r="L4" s="12">
        <v>1</v>
      </c>
      <c r="M4" s="17">
        <v>5850</v>
      </c>
      <c r="N4" s="17">
        <f t="shared" ref="N4:N67" si="2">L4*M4</f>
        <v>5850</v>
      </c>
      <c r="P4" s="12">
        <f>LEN(H4)</f>
        <v>54</v>
      </c>
    </row>
    <row r="5" spans="1:29" ht="15" hidden="1" customHeight="1" x14ac:dyDescent="0.2">
      <c r="A5" s="12" t="s">
        <v>18</v>
      </c>
      <c r="B5" s="36">
        <v>46025</v>
      </c>
      <c r="C5" s="12">
        <f t="shared" si="0"/>
        <v>1</v>
      </c>
      <c r="D5" s="38">
        <f t="shared" si="1"/>
        <v>0</v>
      </c>
      <c r="E5" s="12" t="str">
        <f t="shared" ref="E5:E68" si="3">TEXT(C5,"000")</f>
        <v>001</v>
      </c>
      <c r="G5" s="12" t="s">
        <v>44</v>
      </c>
      <c r="H5" s="12" t="s">
        <v>2384</v>
      </c>
      <c r="I5" s="12">
        <v>1331</v>
      </c>
      <c r="J5" s="12">
        <v>331</v>
      </c>
      <c r="K5" s="12" t="s">
        <v>20</v>
      </c>
      <c r="L5" s="12">
        <v>1</v>
      </c>
      <c r="M5" s="17">
        <v>468</v>
      </c>
      <c r="N5" s="17">
        <f t="shared" si="2"/>
        <v>468</v>
      </c>
      <c r="P5" s="12">
        <f t="shared" ref="P5:P68" si="4">LEN(H5)</f>
        <v>54</v>
      </c>
      <c r="T5" s="13"/>
      <c r="Z5" s="84"/>
      <c r="AC5" s="84"/>
    </row>
    <row r="6" spans="1:29" ht="15" hidden="1" customHeight="1" x14ac:dyDescent="0.2">
      <c r="A6" s="12" t="s">
        <v>310</v>
      </c>
      <c r="B6" s="36">
        <v>46025</v>
      </c>
      <c r="C6" s="12">
        <f t="shared" si="0"/>
        <v>2</v>
      </c>
      <c r="D6" s="38">
        <f t="shared" si="1"/>
        <v>1</v>
      </c>
      <c r="E6" s="12" t="str">
        <f t="shared" si="3"/>
        <v>002</v>
      </c>
      <c r="G6" s="12" t="s">
        <v>44</v>
      </c>
      <c r="H6" s="12" t="s">
        <v>4359</v>
      </c>
      <c r="I6" s="12">
        <v>331</v>
      </c>
      <c r="J6" s="12">
        <v>1111</v>
      </c>
      <c r="K6" s="12" t="s">
        <v>20</v>
      </c>
      <c r="L6" s="12">
        <v>1</v>
      </c>
      <c r="M6" s="17">
        <v>6318</v>
      </c>
      <c r="N6" s="17">
        <f t="shared" si="2"/>
        <v>6318</v>
      </c>
      <c r="P6" s="12">
        <f t="shared" si="4"/>
        <v>65</v>
      </c>
      <c r="T6" s="13"/>
      <c r="Z6" s="84"/>
      <c r="AB6" s="84"/>
      <c r="AC6" s="84"/>
    </row>
    <row r="7" spans="1:29" ht="15" hidden="1" customHeight="1" x14ac:dyDescent="0.2">
      <c r="A7" s="12" t="s">
        <v>18</v>
      </c>
      <c r="B7" s="36">
        <v>46055</v>
      </c>
      <c r="C7" s="12">
        <f t="shared" si="0"/>
        <v>3</v>
      </c>
      <c r="D7" s="38">
        <f t="shared" si="1"/>
        <v>1</v>
      </c>
      <c r="E7" s="12" t="str">
        <f t="shared" si="3"/>
        <v>003</v>
      </c>
      <c r="G7" s="12" t="s">
        <v>44</v>
      </c>
      <c r="H7" s="12" t="s">
        <v>2385</v>
      </c>
      <c r="I7" s="12">
        <v>64277</v>
      </c>
      <c r="J7" s="12">
        <v>331</v>
      </c>
      <c r="K7" s="12" t="s">
        <v>20</v>
      </c>
      <c r="L7" s="12">
        <v>1</v>
      </c>
      <c r="M7" s="17">
        <v>2057</v>
      </c>
      <c r="N7" s="17">
        <f t="shared" si="2"/>
        <v>2057</v>
      </c>
      <c r="P7" s="12">
        <f t="shared" si="4"/>
        <v>98</v>
      </c>
      <c r="T7" s="13"/>
      <c r="Z7" s="84"/>
      <c r="AB7" s="84"/>
      <c r="AC7" s="84"/>
    </row>
    <row r="8" spans="1:29" ht="15" hidden="1" customHeight="1" x14ac:dyDescent="0.2">
      <c r="A8" s="12" t="s">
        <v>18</v>
      </c>
      <c r="B8" s="36">
        <v>46055</v>
      </c>
      <c r="C8" s="12">
        <f t="shared" si="0"/>
        <v>3</v>
      </c>
      <c r="D8" s="38">
        <f t="shared" si="1"/>
        <v>0</v>
      </c>
      <c r="E8" s="12" t="str">
        <f t="shared" si="3"/>
        <v>003</v>
      </c>
      <c r="G8" s="12" t="s">
        <v>44</v>
      </c>
      <c r="H8" s="12" t="s">
        <v>2385</v>
      </c>
      <c r="I8" s="12">
        <v>1331</v>
      </c>
      <c r="J8" s="12">
        <v>331</v>
      </c>
      <c r="K8" s="12" t="s">
        <v>20</v>
      </c>
      <c r="L8" s="12">
        <v>1</v>
      </c>
      <c r="M8" s="17">
        <v>167</v>
      </c>
      <c r="N8" s="17">
        <f t="shared" si="2"/>
        <v>167</v>
      </c>
      <c r="P8" s="12">
        <f t="shared" si="4"/>
        <v>98</v>
      </c>
    </row>
    <row r="9" spans="1:29" ht="15" hidden="1" customHeight="1" x14ac:dyDescent="0.2">
      <c r="A9" s="12" t="s">
        <v>310</v>
      </c>
      <c r="B9" s="36">
        <v>46055</v>
      </c>
      <c r="C9" s="12">
        <f t="shared" si="0"/>
        <v>4</v>
      </c>
      <c r="D9" s="38">
        <f t="shared" si="1"/>
        <v>1</v>
      </c>
      <c r="E9" s="12" t="str">
        <f t="shared" si="3"/>
        <v>004</v>
      </c>
      <c r="G9" s="12" t="s">
        <v>44</v>
      </c>
      <c r="H9" s="12" t="s">
        <v>4360</v>
      </c>
      <c r="I9" s="12">
        <v>331</v>
      </c>
      <c r="J9" s="12">
        <v>1111</v>
      </c>
      <c r="K9" s="12" t="s">
        <v>20</v>
      </c>
      <c r="L9" s="12">
        <v>1</v>
      </c>
      <c r="M9" s="17">
        <v>2224</v>
      </c>
      <c r="N9" s="17">
        <f t="shared" si="2"/>
        <v>2224</v>
      </c>
      <c r="P9" s="12">
        <f t="shared" si="4"/>
        <v>109</v>
      </c>
    </row>
    <row r="10" spans="1:29" ht="15" hidden="1" customHeight="1" x14ac:dyDescent="0.2">
      <c r="A10" s="12" t="s">
        <v>18</v>
      </c>
      <c r="B10" s="36">
        <v>46057</v>
      </c>
      <c r="C10" s="12">
        <f t="shared" si="0"/>
        <v>5</v>
      </c>
      <c r="D10" s="38">
        <f t="shared" si="1"/>
        <v>1</v>
      </c>
      <c r="E10" s="12" t="str">
        <f t="shared" si="3"/>
        <v>005</v>
      </c>
      <c r="G10" s="12" t="s">
        <v>54</v>
      </c>
      <c r="H10" s="12" t="s">
        <v>2386</v>
      </c>
      <c r="I10" s="12">
        <v>64277</v>
      </c>
      <c r="J10" s="12">
        <v>331</v>
      </c>
      <c r="K10" s="12" t="s">
        <v>20</v>
      </c>
      <c r="L10" s="12">
        <v>1</v>
      </c>
      <c r="M10" s="17">
        <v>1439000</v>
      </c>
      <c r="N10" s="17">
        <f t="shared" si="2"/>
        <v>1439000</v>
      </c>
      <c r="P10" s="12">
        <f t="shared" si="4"/>
        <v>81</v>
      </c>
    </row>
    <row r="11" spans="1:29" ht="15" hidden="1" customHeight="1" x14ac:dyDescent="0.2">
      <c r="A11" s="12" t="s">
        <v>18</v>
      </c>
      <c r="B11" s="36">
        <v>46057</v>
      </c>
      <c r="C11" s="12">
        <f t="shared" si="0"/>
        <v>5</v>
      </c>
      <c r="D11" s="38">
        <f t="shared" si="1"/>
        <v>0</v>
      </c>
      <c r="E11" s="12" t="str">
        <f t="shared" si="3"/>
        <v>005</v>
      </c>
      <c r="G11" s="12" t="s">
        <v>54</v>
      </c>
      <c r="H11" s="12" t="s">
        <v>2386</v>
      </c>
      <c r="I11" s="12">
        <v>1331</v>
      </c>
      <c r="J11" s="12">
        <v>331</v>
      </c>
      <c r="K11" s="12" t="s">
        <v>20</v>
      </c>
      <c r="L11" s="12">
        <v>1</v>
      </c>
      <c r="M11" s="17">
        <v>115120</v>
      </c>
      <c r="N11" s="17">
        <f t="shared" si="2"/>
        <v>115120</v>
      </c>
      <c r="P11" s="12">
        <f t="shared" si="4"/>
        <v>81</v>
      </c>
    </row>
    <row r="12" spans="1:29" ht="15" hidden="1" customHeight="1" x14ac:dyDescent="0.2">
      <c r="A12" s="12" t="s">
        <v>310</v>
      </c>
      <c r="B12" s="36">
        <v>46057</v>
      </c>
      <c r="C12" s="12">
        <f t="shared" si="0"/>
        <v>6</v>
      </c>
      <c r="D12" s="38">
        <f t="shared" si="1"/>
        <v>1</v>
      </c>
      <c r="E12" s="12" t="str">
        <f t="shared" si="3"/>
        <v>006</v>
      </c>
      <c r="G12" s="12" t="s">
        <v>54</v>
      </c>
      <c r="H12" s="12" t="s">
        <v>4361</v>
      </c>
      <c r="I12" s="12">
        <v>331</v>
      </c>
      <c r="J12" s="12">
        <v>1111</v>
      </c>
      <c r="K12" s="12" t="s">
        <v>20</v>
      </c>
      <c r="L12" s="12">
        <v>1</v>
      </c>
      <c r="M12" s="17">
        <v>1662120</v>
      </c>
      <c r="N12" s="17">
        <f t="shared" si="2"/>
        <v>1662120</v>
      </c>
      <c r="P12" s="12">
        <f t="shared" si="4"/>
        <v>92</v>
      </c>
    </row>
    <row r="13" spans="1:29" ht="15" hidden="1" customHeight="1" x14ac:dyDescent="0.2">
      <c r="A13" s="12" t="s">
        <v>18</v>
      </c>
      <c r="B13" s="36">
        <v>46057</v>
      </c>
      <c r="C13" s="12">
        <f t="shared" si="0"/>
        <v>7</v>
      </c>
      <c r="D13" s="38">
        <f t="shared" si="1"/>
        <v>1</v>
      </c>
      <c r="E13" s="12" t="str">
        <f t="shared" si="3"/>
        <v>007</v>
      </c>
      <c r="G13" s="12" t="s">
        <v>54</v>
      </c>
      <c r="H13" s="12" t="s">
        <v>2387</v>
      </c>
      <c r="I13" s="12">
        <v>64277</v>
      </c>
      <c r="J13" s="12">
        <v>331</v>
      </c>
      <c r="K13" s="12" t="s">
        <v>20</v>
      </c>
      <c r="L13" s="12">
        <v>1</v>
      </c>
      <c r="M13" s="17">
        <v>99000</v>
      </c>
      <c r="N13" s="17">
        <f t="shared" si="2"/>
        <v>99000</v>
      </c>
      <c r="P13" s="12">
        <f t="shared" si="4"/>
        <v>72</v>
      </c>
    </row>
    <row r="14" spans="1:29" ht="15" hidden="1" customHeight="1" x14ac:dyDescent="0.2">
      <c r="A14" s="12" t="s">
        <v>18</v>
      </c>
      <c r="B14" s="36">
        <v>46057</v>
      </c>
      <c r="C14" s="12">
        <f t="shared" si="0"/>
        <v>7</v>
      </c>
      <c r="D14" s="38">
        <f t="shared" si="1"/>
        <v>0</v>
      </c>
      <c r="E14" s="12" t="str">
        <f t="shared" si="3"/>
        <v>007</v>
      </c>
      <c r="G14" s="12" t="s">
        <v>54</v>
      </c>
      <c r="H14" s="12" t="s">
        <v>2387</v>
      </c>
      <c r="I14" s="12">
        <v>1331</v>
      </c>
      <c r="J14" s="12">
        <v>331</v>
      </c>
      <c r="K14" s="12" t="s">
        <v>20</v>
      </c>
      <c r="L14" s="12">
        <v>1</v>
      </c>
      <c r="M14" s="17">
        <v>0</v>
      </c>
      <c r="N14" s="17">
        <f t="shared" si="2"/>
        <v>0</v>
      </c>
      <c r="P14" s="12">
        <f t="shared" si="4"/>
        <v>72</v>
      </c>
    </row>
    <row r="15" spans="1:29" ht="15" hidden="1" customHeight="1" x14ac:dyDescent="0.2">
      <c r="A15" s="12" t="s">
        <v>310</v>
      </c>
      <c r="B15" s="36">
        <v>46057</v>
      </c>
      <c r="C15" s="12">
        <f t="shared" si="0"/>
        <v>8</v>
      </c>
      <c r="D15" s="38">
        <f t="shared" si="1"/>
        <v>1</v>
      </c>
      <c r="E15" s="12" t="str">
        <f t="shared" si="3"/>
        <v>008</v>
      </c>
      <c r="G15" s="12" t="s">
        <v>54</v>
      </c>
      <c r="H15" s="12" t="s">
        <v>4362</v>
      </c>
      <c r="I15" s="12">
        <v>331</v>
      </c>
      <c r="J15" s="12">
        <v>1111</v>
      </c>
      <c r="K15" s="12" t="s">
        <v>20</v>
      </c>
      <c r="L15" s="12">
        <v>1</v>
      </c>
      <c r="M15" s="17">
        <v>99000</v>
      </c>
      <c r="N15" s="17">
        <f t="shared" si="2"/>
        <v>99000</v>
      </c>
      <c r="P15" s="12">
        <f t="shared" si="4"/>
        <v>83</v>
      </c>
    </row>
    <row r="16" spans="1:29" ht="15" hidden="1" customHeight="1" x14ac:dyDescent="0.2">
      <c r="A16" s="12" t="s">
        <v>18</v>
      </c>
      <c r="B16" s="36">
        <v>46065</v>
      </c>
      <c r="C16" s="12">
        <f t="shared" si="0"/>
        <v>9</v>
      </c>
      <c r="D16" s="38">
        <f t="shared" si="1"/>
        <v>1</v>
      </c>
      <c r="E16" s="12" t="str">
        <f t="shared" si="3"/>
        <v>009</v>
      </c>
      <c r="G16" s="12" t="s">
        <v>2179</v>
      </c>
      <c r="H16" s="12" t="s">
        <v>2388</v>
      </c>
      <c r="I16" s="12">
        <v>64277</v>
      </c>
      <c r="J16" s="12">
        <v>331</v>
      </c>
      <c r="K16" s="12" t="s">
        <v>20</v>
      </c>
      <c r="L16" s="12">
        <v>1</v>
      </c>
      <c r="M16" s="17">
        <v>0</v>
      </c>
      <c r="N16" s="17">
        <f t="shared" si="2"/>
        <v>0</v>
      </c>
      <c r="P16" s="12">
        <f t="shared" si="4"/>
        <v>176</v>
      </c>
    </row>
    <row r="17" spans="1:16" ht="15" hidden="1" customHeight="1" x14ac:dyDescent="0.2">
      <c r="A17" s="12" t="s">
        <v>18</v>
      </c>
      <c r="B17" s="36">
        <v>46065</v>
      </c>
      <c r="C17" s="12">
        <f t="shared" si="0"/>
        <v>9</v>
      </c>
      <c r="D17" s="38">
        <f t="shared" si="1"/>
        <v>0</v>
      </c>
      <c r="E17" s="12" t="str">
        <f t="shared" si="3"/>
        <v>009</v>
      </c>
      <c r="G17" s="12" t="s">
        <v>2179</v>
      </c>
      <c r="H17" s="12" t="s">
        <v>2388</v>
      </c>
      <c r="I17" s="12">
        <v>1331</v>
      </c>
      <c r="J17" s="12">
        <v>331</v>
      </c>
      <c r="K17" s="12" t="s">
        <v>20</v>
      </c>
      <c r="L17" s="12">
        <v>1</v>
      </c>
      <c r="M17" s="17">
        <v>0</v>
      </c>
      <c r="N17" s="17">
        <f t="shared" si="2"/>
        <v>0</v>
      </c>
      <c r="P17" s="12">
        <f t="shared" si="4"/>
        <v>176</v>
      </c>
    </row>
    <row r="18" spans="1:16" ht="15" hidden="1" customHeight="1" x14ac:dyDescent="0.2">
      <c r="A18" s="12" t="s">
        <v>310</v>
      </c>
      <c r="B18" s="36">
        <v>46065</v>
      </c>
      <c r="C18" s="12">
        <f t="shared" si="0"/>
        <v>10</v>
      </c>
      <c r="D18" s="38">
        <f t="shared" si="1"/>
        <v>1</v>
      </c>
      <c r="E18" s="12" t="str">
        <f t="shared" si="3"/>
        <v>010</v>
      </c>
      <c r="G18" s="12" t="s">
        <v>2179</v>
      </c>
      <c r="H18" s="12" t="s">
        <v>4363</v>
      </c>
      <c r="I18" s="12">
        <v>331</v>
      </c>
      <c r="J18" s="12">
        <v>1111</v>
      </c>
      <c r="K18" s="12" t="s">
        <v>20</v>
      </c>
      <c r="L18" s="12">
        <v>1</v>
      </c>
      <c r="M18" s="17">
        <v>0</v>
      </c>
      <c r="N18" s="17">
        <f t="shared" si="2"/>
        <v>0</v>
      </c>
      <c r="P18" s="12">
        <f t="shared" si="4"/>
        <v>187</v>
      </c>
    </row>
    <row r="19" spans="1:16" ht="15" hidden="1" customHeight="1" x14ac:dyDescent="0.2">
      <c r="A19" s="12" t="s">
        <v>18</v>
      </c>
      <c r="B19" s="36">
        <v>46083</v>
      </c>
      <c r="C19" s="12">
        <f t="shared" si="0"/>
        <v>11</v>
      </c>
      <c r="D19" s="38">
        <f t="shared" si="1"/>
        <v>1</v>
      </c>
      <c r="E19" s="12" t="str">
        <f t="shared" si="3"/>
        <v>011</v>
      </c>
      <c r="G19" s="12" t="s">
        <v>44</v>
      </c>
      <c r="H19" s="12" t="s">
        <v>2389</v>
      </c>
      <c r="I19" s="12">
        <v>64277</v>
      </c>
      <c r="J19" s="12">
        <v>331</v>
      </c>
      <c r="K19" s="12" t="s">
        <v>20</v>
      </c>
      <c r="L19" s="12">
        <v>1</v>
      </c>
      <c r="M19" s="17">
        <v>1468</v>
      </c>
      <c r="N19" s="17">
        <f t="shared" si="2"/>
        <v>1468</v>
      </c>
      <c r="P19" s="12">
        <f t="shared" si="4"/>
        <v>99</v>
      </c>
    </row>
    <row r="20" spans="1:16" ht="15" hidden="1" customHeight="1" x14ac:dyDescent="0.2">
      <c r="A20" s="12" t="s">
        <v>18</v>
      </c>
      <c r="B20" s="36">
        <v>46083</v>
      </c>
      <c r="C20" s="12">
        <f t="shared" si="0"/>
        <v>11</v>
      </c>
      <c r="D20" s="38">
        <f t="shared" si="1"/>
        <v>0</v>
      </c>
      <c r="E20" s="12" t="str">
        <f t="shared" si="3"/>
        <v>011</v>
      </c>
      <c r="G20" s="12" t="s">
        <v>44</v>
      </c>
      <c r="H20" s="12" t="s">
        <v>2389</v>
      </c>
      <c r="I20" s="12">
        <v>1331</v>
      </c>
      <c r="J20" s="12">
        <v>331</v>
      </c>
      <c r="K20" s="12" t="s">
        <v>20</v>
      </c>
      <c r="L20" s="12">
        <v>1</v>
      </c>
      <c r="M20" s="17">
        <v>118</v>
      </c>
      <c r="N20" s="17">
        <f t="shared" si="2"/>
        <v>118</v>
      </c>
      <c r="P20" s="12">
        <f t="shared" si="4"/>
        <v>99</v>
      </c>
    </row>
    <row r="21" spans="1:16" ht="15" hidden="1" customHeight="1" x14ac:dyDescent="0.2">
      <c r="A21" s="12" t="s">
        <v>310</v>
      </c>
      <c r="B21" s="36">
        <v>46083</v>
      </c>
      <c r="C21" s="12">
        <f t="shared" si="0"/>
        <v>12</v>
      </c>
      <c r="D21" s="38">
        <f t="shared" si="1"/>
        <v>1</v>
      </c>
      <c r="E21" s="12" t="str">
        <f t="shared" si="3"/>
        <v>012</v>
      </c>
      <c r="G21" s="12" t="s">
        <v>44</v>
      </c>
      <c r="H21" s="12" t="s">
        <v>4364</v>
      </c>
      <c r="I21" s="12">
        <v>331</v>
      </c>
      <c r="J21" s="12">
        <v>1111</v>
      </c>
      <c r="K21" s="12" t="s">
        <v>20</v>
      </c>
      <c r="L21" s="12">
        <v>1</v>
      </c>
      <c r="M21" s="17">
        <v>1586</v>
      </c>
      <c r="N21" s="17">
        <f t="shared" si="2"/>
        <v>1586</v>
      </c>
      <c r="P21" s="12">
        <f t="shared" si="4"/>
        <v>110</v>
      </c>
    </row>
    <row r="22" spans="1:16" ht="15" hidden="1" customHeight="1" x14ac:dyDescent="0.2">
      <c r="A22" s="12" t="s">
        <v>18</v>
      </c>
      <c r="B22" s="36">
        <v>46085</v>
      </c>
      <c r="C22" s="12">
        <f t="shared" si="0"/>
        <v>13</v>
      </c>
      <c r="D22" s="38">
        <f t="shared" si="1"/>
        <v>1</v>
      </c>
      <c r="E22" s="12" t="str">
        <f t="shared" si="3"/>
        <v>013</v>
      </c>
      <c r="G22" s="12" t="s">
        <v>35</v>
      </c>
      <c r="H22" s="12" t="s">
        <v>2390</v>
      </c>
      <c r="I22" s="12">
        <v>64277</v>
      </c>
      <c r="J22" s="12">
        <v>331</v>
      </c>
      <c r="K22" s="12" t="s">
        <v>20</v>
      </c>
      <c r="L22" s="12">
        <v>1</v>
      </c>
      <c r="M22" s="17">
        <v>3000000</v>
      </c>
      <c r="N22" s="17">
        <f t="shared" si="2"/>
        <v>3000000</v>
      </c>
      <c r="P22" s="12">
        <f t="shared" si="4"/>
        <v>41</v>
      </c>
    </row>
    <row r="23" spans="1:16" ht="15" hidden="1" customHeight="1" x14ac:dyDescent="0.2">
      <c r="A23" s="12" t="s">
        <v>18</v>
      </c>
      <c r="B23" s="36">
        <v>46085</v>
      </c>
      <c r="C23" s="12">
        <f t="shared" si="0"/>
        <v>13</v>
      </c>
      <c r="D23" s="38">
        <f t="shared" si="1"/>
        <v>0</v>
      </c>
      <c r="E23" s="12" t="str">
        <f t="shared" si="3"/>
        <v>013</v>
      </c>
      <c r="G23" s="12" t="s">
        <v>35</v>
      </c>
      <c r="H23" s="12" t="s">
        <v>2390</v>
      </c>
      <c r="I23" s="12">
        <v>1331</v>
      </c>
      <c r="J23" s="12">
        <v>331</v>
      </c>
      <c r="K23" s="12" t="s">
        <v>20</v>
      </c>
      <c r="L23" s="12">
        <v>1</v>
      </c>
      <c r="M23" s="17">
        <v>240000</v>
      </c>
      <c r="N23" s="17">
        <f t="shared" si="2"/>
        <v>240000</v>
      </c>
      <c r="P23" s="12">
        <f t="shared" si="4"/>
        <v>41</v>
      </c>
    </row>
    <row r="24" spans="1:16" ht="15" hidden="1" customHeight="1" x14ac:dyDescent="0.2">
      <c r="A24" s="12" t="s">
        <v>310</v>
      </c>
      <c r="B24" s="36">
        <v>46085</v>
      </c>
      <c r="C24" s="12">
        <f t="shared" si="0"/>
        <v>14</v>
      </c>
      <c r="D24" s="38">
        <f t="shared" si="1"/>
        <v>1</v>
      </c>
      <c r="E24" s="12" t="str">
        <f t="shared" si="3"/>
        <v>014</v>
      </c>
      <c r="G24" s="12" t="s">
        <v>35</v>
      </c>
      <c r="H24" s="12" t="s">
        <v>4365</v>
      </c>
      <c r="I24" s="12">
        <v>331</v>
      </c>
      <c r="J24" s="12">
        <v>1111</v>
      </c>
      <c r="K24" s="12" t="s">
        <v>20</v>
      </c>
      <c r="L24" s="12">
        <v>1</v>
      </c>
      <c r="M24" s="17">
        <v>3240000</v>
      </c>
      <c r="N24" s="17">
        <f t="shared" si="2"/>
        <v>3240000</v>
      </c>
      <c r="P24" s="12">
        <f t="shared" si="4"/>
        <v>52</v>
      </c>
    </row>
    <row r="25" spans="1:16" ht="15" hidden="1" customHeight="1" x14ac:dyDescent="0.2">
      <c r="A25" s="12" t="s">
        <v>18</v>
      </c>
      <c r="B25" s="36">
        <v>46087</v>
      </c>
      <c r="C25" s="12">
        <f t="shared" si="0"/>
        <v>15</v>
      </c>
      <c r="D25" s="38">
        <f t="shared" si="1"/>
        <v>1</v>
      </c>
      <c r="E25" s="12" t="str">
        <f t="shared" si="3"/>
        <v>015</v>
      </c>
      <c r="G25" s="12" t="s">
        <v>37</v>
      </c>
      <c r="H25" s="12" t="s">
        <v>4355</v>
      </c>
      <c r="I25" s="12">
        <v>64277</v>
      </c>
      <c r="J25" s="12">
        <v>331</v>
      </c>
      <c r="K25" s="12" t="s">
        <v>20</v>
      </c>
      <c r="L25" s="12">
        <v>1</v>
      </c>
      <c r="M25" s="17">
        <v>3398500</v>
      </c>
      <c r="N25" s="17">
        <f t="shared" si="2"/>
        <v>3398500</v>
      </c>
      <c r="P25" s="12">
        <f t="shared" si="4"/>
        <v>43</v>
      </c>
    </row>
    <row r="26" spans="1:16" ht="15" hidden="1" customHeight="1" x14ac:dyDescent="0.2">
      <c r="A26" s="12" t="s">
        <v>18</v>
      </c>
      <c r="B26" s="36">
        <v>46087</v>
      </c>
      <c r="C26" s="12">
        <f t="shared" si="0"/>
        <v>15</v>
      </c>
      <c r="D26" s="38">
        <f t="shared" si="1"/>
        <v>0</v>
      </c>
      <c r="E26" s="12" t="str">
        <f t="shared" si="3"/>
        <v>015</v>
      </c>
      <c r="G26" s="12" t="s">
        <v>37</v>
      </c>
      <c r="H26" s="12" t="s">
        <v>4355</v>
      </c>
      <c r="I26" s="12">
        <v>1331</v>
      </c>
      <c r="J26" s="12">
        <v>331</v>
      </c>
      <c r="K26" s="12" t="s">
        <v>20</v>
      </c>
      <c r="L26" s="12">
        <v>1</v>
      </c>
      <c r="M26" s="17">
        <v>271880</v>
      </c>
      <c r="N26" s="17">
        <f t="shared" si="2"/>
        <v>271880</v>
      </c>
      <c r="P26" s="12">
        <f t="shared" si="4"/>
        <v>43</v>
      </c>
    </row>
    <row r="27" spans="1:16" ht="15" hidden="1" customHeight="1" x14ac:dyDescent="0.2">
      <c r="A27" s="12" t="s">
        <v>310</v>
      </c>
      <c r="B27" s="36">
        <v>46087</v>
      </c>
      <c r="C27" s="12">
        <f t="shared" si="0"/>
        <v>16</v>
      </c>
      <c r="D27" s="38">
        <f t="shared" si="1"/>
        <v>1</v>
      </c>
      <c r="E27" s="12" t="str">
        <f t="shared" si="3"/>
        <v>016</v>
      </c>
      <c r="G27" s="12" t="s">
        <v>37</v>
      </c>
      <c r="H27" s="12" t="s">
        <v>4366</v>
      </c>
      <c r="I27" s="12">
        <v>331</v>
      </c>
      <c r="J27" s="12">
        <v>1111</v>
      </c>
      <c r="K27" s="12" t="s">
        <v>20</v>
      </c>
      <c r="L27" s="12">
        <v>1</v>
      </c>
      <c r="M27" s="17">
        <v>3670380</v>
      </c>
      <c r="N27" s="17">
        <f t="shared" si="2"/>
        <v>3670380</v>
      </c>
      <c r="P27" s="12">
        <f t="shared" si="4"/>
        <v>54</v>
      </c>
    </row>
    <row r="28" spans="1:16" ht="15" hidden="1" customHeight="1" x14ac:dyDescent="0.2">
      <c r="A28" s="12" t="s">
        <v>18</v>
      </c>
      <c r="B28" s="36">
        <v>46096</v>
      </c>
      <c r="C28" s="12">
        <f t="shared" si="0"/>
        <v>17</v>
      </c>
      <c r="D28" s="38">
        <f t="shared" si="1"/>
        <v>1</v>
      </c>
      <c r="E28" s="12" t="str">
        <f t="shared" si="3"/>
        <v>017</v>
      </c>
      <c r="G28" s="12" t="s">
        <v>2391</v>
      </c>
      <c r="H28" s="12" t="s">
        <v>2392</v>
      </c>
      <c r="I28" s="12">
        <v>64277</v>
      </c>
      <c r="J28" s="12">
        <v>331</v>
      </c>
      <c r="K28" s="12" t="s">
        <v>20</v>
      </c>
      <c r="L28" s="12">
        <v>1</v>
      </c>
      <c r="M28" s="17">
        <v>540000</v>
      </c>
      <c r="N28" s="17">
        <f t="shared" si="2"/>
        <v>540000</v>
      </c>
      <c r="P28" s="12">
        <f t="shared" si="4"/>
        <v>175</v>
      </c>
    </row>
    <row r="29" spans="1:16" ht="15" hidden="1" customHeight="1" x14ac:dyDescent="0.2">
      <c r="A29" s="12" t="s">
        <v>18</v>
      </c>
      <c r="B29" s="36">
        <v>46096</v>
      </c>
      <c r="C29" s="12">
        <f t="shared" si="0"/>
        <v>17</v>
      </c>
      <c r="D29" s="38">
        <f t="shared" si="1"/>
        <v>0</v>
      </c>
      <c r="E29" s="12" t="str">
        <f t="shared" si="3"/>
        <v>017</v>
      </c>
      <c r="G29" s="12" t="s">
        <v>2391</v>
      </c>
      <c r="H29" s="12" t="s">
        <v>2392</v>
      </c>
      <c r="I29" s="12">
        <v>1331</v>
      </c>
      <c r="J29" s="12">
        <v>331</v>
      </c>
      <c r="K29" s="12" t="s">
        <v>20</v>
      </c>
      <c r="L29" s="12">
        <v>1</v>
      </c>
      <c r="M29" s="17">
        <v>43200</v>
      </c>
      <c r="N29" s="17">
        <f t="shared" si="2"/>
        <v>43200</v>
      </c>
      <c r="P29" s="12">
        <f t="shared" si="4"/>
        <v>175</v>
      </c>
    </row>
    <row r="30" spans="1:16" ht="15" hidden="1" customHeight="1" x14ac:dyDescent="0.2">
      <c r="A30" s="12" t="s">
        <v>310</v>
      </c>
      <c r="B30" s="36">
        <v>46096</v>
      </c>
      <c r="C30" s="12">
        <f t="shared" si="0"/>
        <v>18</v>
      </c>
      <c r="D30" s="38">
        <f t="shared" si="1"/>
        <v>1</v>
      </c>
      <c r="E30" s="12" t="str">
        <f t="shared" si="3"/>
        <v>018</v>
      </c>
      <c r="G30" s="12" t="s">
        <v>2391</v>
      </c>
      <c r="H30" s="12" t="s">
        <v>4367</v>
      </c>
      <c r="I30" s="12">
        <v>331</v>
      </c>
      <c r="J30" s="12">
        <v>1111</v>
      </c>
      <c r="K30" s="12" t="s">
        <v>20</v>
      </c>
      <c r="L30" s="12">
        <v>1</v>
      </c>
      <c r="M30" s="17">
        <v>583200</v>
      </c>
      <c r="N30" s="17">
        <f t="shared" si="2"/>
        <v>583200</v>
      </c>
      <c r="P30" s="12">
        <f t="shared" si="4"/>
        <v>186</v>
      </c>
    </row>
    <row r="31" spans="1:16" ht="15" hidden="1" customHeight="1" x14ac:dyDescent="0.2">
      <c r="A31" s="12" t="s">
        <v>18</v>
      </c>
      <c r="B31" s="36">
        <v>46103</v>
      </c>
      <c r="C31" s="12">
        <f t="shared" si="0"/>
        <v>19</v>
      </c>
      <c r="D31" s="38">
        <f t="shared" si="1"/>
        <v>1</v>
      </c>
      <c r="E31" s="12" t="str">
        <f t="shared" si="3"/>
        <v>019</v>
      </c>
      <c r="G31" s="12" t="s">
        <v>47</v>
      </c>
      <c r="H31" s="12" t="s">
        <v>2393</v>
      </c>
      <c r="I31" s="12">
        <v>64277</v>
      </c>
      <c r="J31" s="12">
        <v>331</v>
      </c>
      <c r="K31" s="12" t="s">
        <v>20</v>
      </c>
      <c r="L31" s="12">
        <v>1</v>
      </c>
      <c r="M31" s="17">
        <v>1282000</v>
      </c>
      <c r="N31" s="17">
        <f t="shared" si="2"/>
        <v>1282000</v>
      </c>
      <c r="P31" s="12">
        <f t="shared" si="4"/>
        <v>168</v>
      </c>
    </row>
    <row r="32" spans="1:16" ht="15" hidden="1" customHeight="1" x14ac:dyDescent="0.2">
      <c r="A32" s="12" t="s">
        <v>18</v>
      </c>
      <c r="B32" s="36">
        <v>46103</v>
      </c>
      <c r="C32" s="12">
        <f t="shared" si="0"/>
        <v>19</v>
      </c>
      <c r="D32" s="38">
        <f t="shared" si="1"/>
        <v>0</v>
      </c>
      <c r="E32" s="12" t="str">
        <f t="shared" si="3"/>
        <v>019</v>
      </c>
      <c r="G32" s="12" t="s">
        <v>47</v>
      </c>
      <c r="H32" s="12" t="s">
        <v>2393</v>
      </c>
      <c r="I32" s="12">
        <v>1331</v>
      </c>
      <c r="J32" s="12">
        <v>331</v>
      </c>
      <c r="K32" s="12" t="s">
        <v>20</v>
      </c>
      <c r="L32" s="12">
        <v>1</v>
      </c>
      <c r="M32" s="17">
        <v>102560</v>
      </c>
      <c r="N32" s="17">
        <f t="shared" si="2"/>
        <v>102560</v>
      </c>
      <c r="P32" s="12">
        <f t="shared" si="4"/>
        <v>168</v>
      </c>
    </row>
    <row r="33" spans="1:16" ht="15" hidden="1" customHeight="1" x14ac:dyDescent="0.2">
      <c r="A33" s="12" t="s">
        <v>310</v>
      </c>
      <c r="B33" s="36">
        <v>46103</v>
      </c>
      <c r="C33" s="12">
        <f t="shared" si="0"/>
        <v>20</v>
      </c>
      <c r="D33" s="38">
        <f t="shared" si="1"/>
        <v>1</v>
      </c>
      <c r="E33" s="12" t="str">
        <f t="shared" si="3"/>
        <v>020</v>
      </c>
      <c r="G33" s="12" t="s">
        <v>47</v>
      </c>
      <c r="H33" s="12" t="s">
        <v>4368</v>
      </c>
      <c r="I33" s="12">
        <v>331</v>
      </c>
      <c r="J33" s="12">
        <v>1111</v>
      </c>
      <c r="K33" s="12" t="s">
        <v>20</v>
      </c>
      <c r="L33" s="12">
        <v>1</v>
      </c>
      <c r="M33" s="17">
        <v>1384560</v>
      </c>
      <c r="N33" s="17">
        <f t="shared" si="2"/>
        <v>1384560</v>
      </c>
      <c r="P33" s="12">
        <f t="shared" si="4"/>
        <v>179</v>
      </c>
    </row>
    <row r="34" spans="1:16" ht="15" hidden="1" customHeight="1" x14ac:dyDescent="0.2">
      <c r="A34" s="12" t="s">
        <v>18</v>
      </c>
      <c r="B34" s="36">
        <v>46105</v>
      </c>
      <c r="C34" s="12">
        <f t="shared" si="0"/>
        <v>21</v>
      </c>
      <c r="D34" s="38">
        <f t="shared" si="1"/>
        <v>1</v>
      </c>
      <c r="E34" s="12" t="str">
        <f t="shared" si="3"/>
        <v>021</v>
      </c>
      <c r="G34" s="12" t="s">
        <v>37</v>
      </c>
      <c r="H34" s="12" t="s">
        <v>4356</v>
      </c>
      <c r="I34" s="12">
        <v>64277</v>
      </c>
      <c r="J34" s="12">
        <v>331</v>
      </c>
      <c r="K34" s="12" t="s">
        <v>20</v>
      </c>
      <c r="L34" s="12">
        <v>1</v>
      </c>
      <c r="M34" s="17">
        <v>5340500</v>
      </c>
      <c r="N34" s="17">
        <f t="shared" si="2"/>
        <v>5340500</v>
      </c>
      <c r="P34" s="12">
        <f t="shared" si="4"/>
        <v>43</v>
      </c>
    </row>
    <row r="35" spans="1:16" ht="15" hidden="1" customHeight="1" x14ac:dyDescent="0.2">
      <c r="A35" s="12" t="s">
        <v>18</v>
      </c>
      <c r="B35" s="36">
        <v>46105</v>
      </c>
      <c r="C35" s="12">
        <f t="shared" si="0"/>
        <v>21</v>
      </c>
      <c r="D35" s="38">
        <f t="shared" si="1"/>
        <v>0</v>
      </c>
      <c r="E35" s="12" t="str">
        <f t="shared" si="3"/>
        <v>021</v>
      </c>
      <c r="G35" s="12" t="s">
        <v>37</v>
      </c>
      <c r="H35" s="12" t="s">
        <v>4356</v>
      </c>
      <c r="I35" s="12">
        <v>1331</v>
      </c>
      <c r="J35" s="12">
        <v>331</v>
      </c>
      <c r="K35" s="12" t="s">
        <v>20</v>
      </c>
      <c r="L35" s="12">
        <v>1</v>
      </c>
      <c r="M35" s="17">
        <v>427240</v>
      </c>
      <c r="N35" s="17">
        <f t="shared" si="2"/>
        <v>427240</v>
      </c>
      <c r="P35" s="12">
        <f t="shared" si="4"/>
        <v>43</v>
      </c>
    </row>
    <row r="36" spans="1:16" ht="15" hidden="1" customHeight="1" x14ac:dyDescent="0.2">
      <c r="A36" s="12" t="s">
        <v>310</v>
      </c>
      <c r="B36" s="36">
        <v>46105</v>
      </c>
      <c r="C36" s="12">
        <f t="shared" si="0"/>
        <v>22</v>
      </c>
      <c r="D36" s="38">
        <f t="shared" si="1"/>
        <v>1</v>
      </c>
      <c r="E36" s="12" t="str">
        <f t="shared" si="3"/>
        <v>022</v>
      </c>
      <c r="G36" s="12" t="s">
        <v>37</v>
      </c>
      <c r="H36" s="12" t="s">
        <v>4369</v>
      </c>
      <c r="I36" s="12">
        <v>331</v>
      </c>
      <c r="J36" s="12">
        <v>1111</v>
      </c>
      <c r="K36" s="12" t="s">
        <v>20</v>
      </c>
      <c r="L36" s="12">
        <v>1</v>
      </c>
      <c r="M36" s="17">
        <v>5767740</v>
      </c>
      <c r="N36" s="17">
        <f t="shared" si="2"/>
        <v>5767740</v>
      </c>
      <c r="P36" s="12">
        <f t="shared" si="4"/>
        <v>54</v>
      </c>
    </row>
    <row r="37" spans="1:16" ht="15" hidden="1" customHeight="1" x14ac:dyDescent="0.2">
      <c r="A37" s="12" t="s">
        <v>18</v>
      </c>
      <c r="B37" s="36">
        <v>46106</v>
      </c>
      <c r="C37" s="12">
        <f t="shared" si="0"/>
        <v>23</v>
      </c>
      <c r="D37" s="38">
        <f t="shared" si="1"/>
        <v>1</v>
      </c>
      <c r="E37" s="12" t="str">
        <f t="shared" si="3"/>
        <v>023</v>
      </c>
      <c r="G37" s="12" t="s">
        <v>2047</v>
      </c>
      <c r="H37" s="12" t="s">
        <v>2394</v>
      </c>
      <c r="I37" s="12">
        <v>64277</v>
      </c>
      <c r="J37" s="12">
        <v>331</v>
      </c>
      <c r="K37" s="12" t="s">
        <v>20</v>
      </c>
      <c r="L37" s="12">
        <v>1</v>
      </c>
      <c r="M37" s="17">
        <v>273000</v>
      </c>
      <c r="N37" s="17">
        <f t="shared" si="2"/>
        <v>273000</v>
      </c>
      <c r="P37" s="12">
        <f t="shared" si="4"/>
        <v>37</v>
      </c>
    </row>
    <row r="38" spans="1:16" ht="15" hidden="1" customHeight="1" x14ac:dyDescent="0.2">
      <c r="A38" s="12" t="s">
        <v>18</v>
      </c>
      <c r="B38" s="36">
        <v>46106</v>
      </c>
      <c r="C38" s="12">
        <f t="shared" si="0"/>
        <v>23</v>
      </c>
      <c r="D38" s="38">
        <f t="shared" si="1"/>
        <v>0</v>
      </c>
      <c r="E38" s="12" t="str">
        <f t="shared" si="3"/>
        <v>023</v>
      </c>
      <c r="G38" s="12" t="s">
        <v>2047</v>
      </c>
      <c r="H38" s="12" t="s">
        <v>2394</v>
      </c>
      <c r="I38" s="12">
        <v>1331</v>
      </c>
      <c r="J38" s="12">
        <v>331</v>
      </c>
      <c r="K38" s="12" t="s">
        <v>20</v>
      </c>
      <c r="L38" s="12">
        <v>1</v>
      </c>
      <c r="M38" s="17">
        <v>21840</v>
      </c>
      <c r="N38" s="17">
        <f t="shared" si="2"/>
        <v>21840</v>
      </c>
      <c r="P38" s="12">
        <f t="shared" si="4"/>
        <v>37</v>
      </c>
    </row>
    <row r="39" spans="1:16" ht="15" hidden="1" customHeight="1" x14ac:dyDescent="0.2">
      <c r="A39" s="12" t="s">
        <v>310</v>
      </c>
      <c r="B39" s="36">
        <v>46106</v>
      </c>
      <c r="C39" s="12">
        <f t="shared" si="0"/>
        <v>24</v>
      </c>
      <c r="D39" s="38">
        <f t="shared" si="1"/>
        <v>1</v>
      </c>
      <c r="E39" s="12" t="str">
        <f t="shared" si="3"/>
        <v>024</v>
      </c>
      <c r="G39" s="12" t="s">
        <v>2047</v>
      </c>
      <c r="H39" s="12" t="s">
        <v>4370</v>
      </c>
      <c r="I39" s="12">
        <v>331</v>
      </c>
      <c r="J39" s="12">
        <v>1111</v>
      </c>
      <c r="K39" s="12" t="s">
        <v>20</v>
      </c>
      <c r="L39" s="12">
        <v>1</v>
      </c>
      <c r="M39" s="17">
        <v>294840</v>
      </c>
      <c r="N39" s="17">
        <f t="shared" si="2"/>
        <v>294840</v>
      </c>
      <c r="P39" s="12">
        <f t="shared" si="4"/>
        <v>48</v>
      </c>
    </row>
    <row r="40" spans="1:16" ht="15" hidden="1" customHeight="1" x14ac:dyDescent="0.2">
      <c r="A40" s="12" t="s">
        <v>18</v>
      </c>
      <c r="B40" s="36">
        <v>46106</v>
      </c>
      <c r="C40" s="12">
        <f t="shared" si="0"/>
        <v>25</v>
      </c>
      <c r="D40" s="38">
        <f t="shared" si="1"/>
        <v>1</v>
      </c>
      <c r="E40" s="12" t="str">
        <f t="shared" si="3"/>
        <v>025</v>
      </c>
      <c r="G40" s="12" t="s">
        <v>2047</v>
      </c>
      <c r="H40" s="12" t="s">
        <v>4357</v>
      </c>
      <c r="I40" s="12">
        <v>64277</v>
      </c>
      <c r="J40" s="12">
        <v>331</v>
      </c>
      <c r="K40" s="12" t="s">
        <v>20</v>
      </c>
      <c r="L40" s="12">
        <v>1</v>
      </c>
      <c r="M40" s="17">
        <v>2079000</v>
      </c>
      <c r="N40" s="17">
        <f t="shared" si="2"/>
        <v>2079000</v>
      </c>
      <c r="P40" s="12">
        <f t="shared" si="4"/>
        <v>41</v>
      </c>
    </row>
    <row r="41" spans="1:16" ht="15" hidden="1" customHeight="1" x14ac:dyDescent="0.2">
      <c r="A41" s="12" t="s">
        <v>18</v>
      </c>
      <c r="B41" s="36">
        <v>46106</v>
      </c>
      <c r="C41" s="12">
        <f t="shared" si="0"/>
        <v>25</v>
      </c>
      <c r="D41" s="38">
        <f t="shared" si="1"/>
        <v>0</v>
      </c>
      <c r="E41" s="12" t="str">
        <f t="shared" si="3"/>
        <v>025</v>
      </c>
      <c r="G41" s="12" t="s">
        <v>2047</v>
      </c>
      <c r="H41" s="12" t="s">
        <v>4357</v>
      </c>
      <c r="I41" s="12">
        <v>1331</v>
      </c>
      <c r="J41" s="12">
        <v>331</v>
      </c>
      <c r="K41" s="12" t="s">
        <v>20</v>
      </c>
      <c r="L41" s="12">
        <v>1</v>
      </c>
      <c r="M41" s="17">
        <v>166320</v>
      </c>
      <c r="N41" s="17">
        <f t="shared" si="2"/>
        <v>166320</v>
      </c>
      <c r="P41" s="12">
        <f t="shared" si="4"/>
        <v>41</v>
      </c>
    </row>
    <row r="42" spans="1:16" ht="15" hidden="1" customHeight="1" x14ac:dyDescent="0.2">
      <c r="A42" s="12" t="s">
        <v>310</v>
      </c>
      <c r="B42" s="36">
        <v>46106</v>
      </c>
      <c r="C42" s="12">
        <f t="shared" si="0"/>
        <v>26</v>
      </c>
      <c r="D42" s="38">
        <f t="shared" si="1"/>
        <v>1</v>
      </c>
      <c r="E42" s="12" t="str">
        <f t="shared" si="3"/>
        <v>026</v>
      </c>
      <c r="G42" s="12" t="s">
        <v>2047</v>
      </c>
      <c r="H42" s="12" t="s">
        <v>4371</v>
      </c>
      <c r="I42" s="12">
        <v>331</v>
      </c>
      <c r="J42" s="12">
        <v>1111</v>
      </c>
      <c r="K42" s="12" t="s">
        <v>20</v>
      </c>
      <c r="L42" s="12">
        <v>1</v>
      </c>
      <c r="M42" s="17">
        <v>2245320</v>
      </c>
      <c r="N42" s="17">
        <f t="shared" si="2"/>
        <v>2245320</v>
      </c>
      <c r="P42" s="12">
        <f t="shared" si="4"/>
        <v>52</v>
      </c>
    </row>
    <row r="43" spans="1:16" ht="15" hidden="1" customHeight="1" x14ac:dyDescent="0.2">
      <c r="A43" s="12" t="s">
        <v>18</v>
      </c>
      <c r="B43" s="36">
        <v>46107</v>
      </c>
      <c r="C43" s="12">
        <f t="shared" si="0"/>
        <v>27</v>
      </c>
      <c r="D43" s="38">
        <f t="shared" si="1"/>
        <v>1</v>
      </c>
      <c r="E43" s="12" t="str">
        <f t="shared" si="3"/>
        <v>027</v>
      </c>
      <c r="G43" s="12" t="s">
        <v>2395</v>
      </c>
      <c r="H43" s="12" t="s">
        <v>2396</v>
      </c>
      <c r="I43" s="12">
        <v>64277</v>
      </c>
      <c r="J43" s="12">
        <v>331</v>
      </c>
      <c r="K43" s="12" t="s">
        <v>20</v>
      </c>
      <c r="L43" s="12">
        <v>1</v>
      </c>
      <c r="M43" s="17">
        <v>939250</v>
      </c>
      <c r="N43" s="17">
        <f t="shared" si="2"/>
        <v>939250</v>
      </c>
      <c r="P43" s="12">
        <f t="shared" si="4"/>
        <v>153</v>
      </c>
    </row>
    <row r="44" spans="1:16" ht="15" hidden="1" customHeight="1" x14ac:dyDescent="0.2">
      <c r="A44" s="12" t="s">
        <v>18</v>
      </c>
      <c r="B44" s="36">
        <v>46107</v>
      </c>
      <c r="C44" s="12">
        <f t="shared" si="0"/>
        <v>27</v>
      </c>
      <c r="D44" s="38">
        <f t="shared" si="1"/>
        <v>0</v>
      </c>
      <c r="E44" s="12" t="str">
        <f t="shared" si="3"/>
        <v>027</v>
      </c>
      <c r="G44" s="12" t="s">
        <v>2395</v>
      </c>
      <c r="H44" s="12" t="s">
        <v>2396</v>
      </c>
      <c r="I44" s="12">
        <v>1331</v>
      </c>
      <c r="J44" s="12">
        <v>331</v>
      </c>
      <c r="K44" s="12" t="s">
        <v>20</v>
      </c>
      <c r="L44" s="12">
        <v>1</v>
      </c>
      <c r="M44" s="17">
        <v>75565</v>
      </c>
      <c r="N44" s="17">
        <f t="shared" si="2"/>
        <v>75565</v>
      </c>
      <c r="P44" s="12">
        <f t="shared" si="4"/>
        <v>153</v>
      </c>
    </row>
    <row r="45" spans="1:16" ht="15" hidden="1" customHeight="1" x14ac:dyDescent="0.2">
      <c r="A45" s="12" t="s">
        <v>310</v>
      </c>
      <c r="B45" s="36">
        <v>46107</v>
      </c>
      <c r="C45" s="12">
        <f t="shared" si="0"/>
        <v>28</v>
      </c>
      <c r="D45" s="38">
        <f t="shared" si="1"/>
        <v>1</v>
      </c>
      <c r="E45" s="12" t="str">
        <f t="shared" si="3"/>
        <v>028</v>
      </c>
      <c r="G45" s="12" t="s">
        <v>2395</v>
      </c>
      <c r="H45" s="12" t="s">
        <v>4372</v>
      </c>
      <c r="I45" s="12">
        <v>331</v>
      </c>
      <c r="J45" s="12">
        <v>1111</v>
      </c>
      <c r="K45" s="12" t="s">
        <v>20</v>
      </c>
      <c r="L45" s="12">
        <v>1</v>
      </c>
      <c r="M45" s="17">
        <v>1014815</v>
      </c>
      <c r="N45" s="17">
        <f t="shared" si="2"/>
        <v>1014815</v>
      </c>
      <c r="P45" s="12">
        <f t="shared" si="4"/>
        <v>164</v>
      </c>
    </row>
    <row r="46" spans="1:16" ht="15" hidden="1" customHeight="1" x14ac:dyDescent="0.2">
      <c r="A46" s="12" t="s">
        <v>18</v>
      </c>
      <c r="B46" s="36">
        <v>46109</v>
      </c>
      <c r="C46" s="12">
        <f t="shared" si="0"/>
        <v>29</v>
      </c>
      <c r="D46" s="38">
        <f t="shared" si="1"/>
        <v>1</v>
      </c>
      <c r="E46" s="12" t="str">
        <f t="shared" si="3"/>
        <v>029</v>
      </c>
      <c r="G46" s="12" t="s">
        <v>35</v>
      </c>
      <c r="H46" s="12" t="s">
        <v>2397</v>
      </c>
      <c r="I46" s="12">
        <v>64277</v>
      </c>
      <c r="J46" s="12">
        <v>331</v>
      </c>
      <c r="K46" s="12" t="s">
        <v>20</v>
      </c>
      <c r="L46" s="12">
        <v>1</v>
      </c>
      <c r="M46" s="17">
        <v>3000000</v>
      </c>
      <c r="N46" s="17">
        <f t="shared" si="2"/>
        <v>3000000</v>
      </c>
      <c r="P46" s="12">
        <f t="shared" si="4"/>
        <v>42</v>
      </c>
    </row>
    <row r="47" spans="1:16" ht="15" hidden="1" customHeight="1" x14ac:dyDescent="0.2">
      <c r="A47" s="12" t="s">
        <v>18</v>
      </c>
      <c r="B47" s="36">
        <v>46109</v>
      </c>
      <c r="C47" s="12">
        <f t="shared" si="0"/>
        <v>29</v>
      </c>
      <c r="D47" s="38">
        <f t="shared" si="1"/>
        <v>0</v>
      </c>
      <c r="E47" s="12" t="str">
        <f t="shared" si="3"/>
        <v>029</v>
      </c>
      <c r="G47" s="12" t="s">
        <v>35</v>
      </c>
      <c r="H47" s="12" t="s">
        <v>2397</v>
      </c>
      <c r="I47" s="12">
        <v>1331</v>
      </c>
      <c r="J47" s="12">
        <v>331</v>
      </c>
      <c r="K47" s="12" t="s">
        <v>20</v>
      </c>
      <c r="L47" s="12">
        <v>1</v>
      </c>
      <c r="M47" s="17">
        <v>240000</v>
      </c>
      <c r="N47" s="17">
        <f t="shared" si="2"/>
        <v>240000</v>
      </c>
      <c r="P47" s="12">
        <f t="shared" si="4"/>
        <v>42</v>
      </c>
    </row>
    <row r="48" spans="1:16" ht="15" hidden="1" customHeight="1" x14ac:dyDescent="0.2">
      <c r="A48" s="12" t="s">
        <v>310</v>
      </c>
      <c r="B48" s="36">
        <v>46109</v>
      </c>
      <c r="C48" s="12">
        <f t="shared" si="0"/>
        <v>30</v>
      </c>
      <c r="D48" s="38">
        <f t="shared" si="1"/>
        <v>1</v>
      </c>
      <c r="E48" s="12" t="str">
        <f t="shared" si="3"/>
        <v>030</v>
      </c>
      <c r="G48" s="12" t="s">
        <v>35</v>
      </c>
      <c r="H48" s="12" t="s">
        <v>4373</v>
      </c>
      <c r="I48" s="12">
        <v>331</v>
      </c>
      <c r="J48" s="12">
        <v>1111</v>
      </c>
      <c r="K48" s="12" t="s">
        <v>20</v>
      </c>
      <c r="L48" s="12">
        <v>1</v>
      </c>
      <c r="M48" s="17">
        <v>3240000</v>
      </c>
      <c r="N48" s="17">
        <f t="shared" si="2"/>
        <v>3240000</v>
      </c>
      <c r="P48" s="12">
        <f t="shared" si="4"/>
        <v>53</v>
      </c>
    </row>
    <row r="49" spans="1:16" ht="15" hidden="1" customHeight="1" x14ac:dyDescent="0.2">
      <c r="A49" s="12" t="s">
        <v>18</v>
      </c>
      <c r="B49" s="36">
        <v>46077</v>
      </c>
      <c r="C49" s="12">
        <f t="shared" si="0"/>
        <v>31</v>
      </c>
      <c r="D49" s="38">
        <f t="shared" si="1"/>
        <v>1</v>
      </c>
      <c r="E49" s="12" t="str">
        <f t="shared" si="3"/>
        <v>031</v>
      </c>
      <c r="F49" s="17"/>
      <c r="G49" s="12" t="s">
        <v>1654</v>
      </c>
      <c r="H49" s="12" t="s">
        <v>2398</v>
      </c>
      <c r="I49" s="12">
        <v>131</v>
      </c>
      <c r="J49" s="12">
        <v>5113</v>
      </c>
      <c r="K49" s="12" t="s">
        <v>20</v>
      </c>
      <c r="L49" s="12">
        <v>1</v>
      </c>
      <c r="M49" s="17">
        <v>8333333</v>
      </c>
      <c r="N49" s="17">
        <f t="shared" si="2"/>
        <v>8333333</v>
      </c>
      <c r="P49" s="12">
        <f t="shared" si="4"/>
        <v>116</v>
      </c>
    </row>
    <row r="50" spans="1:16" ht="15" customHeight="1" x14ac:dyDescent="0.2">
      <c r="A50" s="12" t="s">
        <v>18</v>
      </c>
      <c r="B50" s="36">
        <v>46077</v>
      </c>
      <c r="C50" s="12">
        <f t="shared" si="0"/>
        <v>32</v>
      </c>
      <c r="D50" s="38">
        <f t="shared" si="1"/>
        <v>1</v>
      </c>
      <c r="E50" s="12" t="str">
        <f t="shared" si="3"/>
        <v>032</v>
      </c>
      <c r="G50" s="12" t="s">
        <v>1654</v>
      </c>
      <c r="H50" s="12" t="s">
        <v>4374</v>
      </c>
      <c r="I50" s="12">
        <v>333821</v>
      </c>
      <c r="J50" s="12">
        <v>131</v>
      </c>
      <c r="K50" s="12" t="s">
        <v>20</v>
      </c>
      <c r="L50" s="12">
        <v>1</v>
      </c>
      <c r="M50" s="17">
        <v>83333</v>
      </c>
      <c r="N50" s="17">
        <f t="shared" si="2"/>
        <v>83333</v>
      </c>
      <c r="P50" s="12">
        <f t="shared" si="4"/>
        <v>132</v>
      </c>
    </row>
    <row r="51" spans="1:16" ht="15" hidden="1" customHeight="1" x14ac:dyDescent="0.2">
      <c r="A51" s="12" t="s">
        <v>18</v>
      </c>
      <c r="B51" s="36">
        <v>46084</v>
      </c>
      <c r="C51" s="12">
        <f t="shared" si="0"/>
        <v>33</v>
      </c>
      <c r="D51" s="38">
        <f t="shared" si="1"/>
        <v>1</v>
      </c>
      <c r="E51" s="12" t="str">
        <f t="shared" si="3"/>
        <v>033</v>
      </c>
      <c r="F51" s="17"/>
      <c r="G51" s="12" t="s">
        <v>2399</v>
      </c>
      <c r="H51" s="12" t="s">
        <v>2400</v>
      </c>
      <c r="I51" s="12">
        <v>131</v>
      </c>
      <c r="J51" s="12">
        <v>5113</v>
      </c>
      <c r="K51" s="12" t="s">
        <v>20</v>
      </c>
      <c r="L51" s="12">
        <v>1</v>
      </c>
      <c r="M51" s="17">
        <v>11111111</v>
      </c>
      <c r="N51" s="17">
        <f t="shared" si="2"/>
        <v>11111111</v>
      </c>
      <c r="P51" s="12">
        <f t="shared" si="4"/>
        <v>183</v>
      </c>
    </row>
    <row r="52" spans="1:16" ht="15" customHeight="1" x14ac:dyDescent="0.2">
      <c r="A52" s="12" t="s">
        <v>18</v>
      </c>
      <c r="B52" s="36">
        <v>46084</v>
      </c>
      <c r="C52" s="12">
        <f t="shared" si="0"/>
        <v>34</v>
      </c>
      <c r="D52" s="38">
        <f t="shared" si="1"/>
        <v>1</v>
      </c>
      <c r="E52" s="12" t="str">
        <f t="shared" si="3"/>
        <v>034</v>
      </c>
      <c r="G52" s="12" t="s">
        <v>2399</v>
      </c>
      <c r="H52" s="12" t="s">
        <v>4375</v>
      </c>
      <c r="I52" s="12">
        <v>333821</v>
      </c>
      <c r="J52" s="12">
        <v>131</v>
      </c>
      <c r="K52" s="12" t="s">
        <v>20</v>
      </c>
      <c r="L52" s="12">
        <v>1</v>
      </c>
      <c r="M52" s="17">
        <v>111111</v>
      </c>
      <c r="N52" s="17">
        <f t="shared" si="2"/>
        <v>111111</v>
      </c>
      <c r="P52" s="12">
        <f t="shared" si="4"/>
        <v>199</v>
      </c>
    </row>
    <row r="53" spans="1:16" ht="15" hidden="1" customHeight="1" x14ac:dyDescent="0.2">
      <c r="A53" s="12" t="s">
        <v>18</v>
      </c>
      <c r="B53" s="36">
        <v>46086</v>
      </c>
      <c r="C53" s="12">
        <f t="shared" si="0"/>
        <v>35</v>
      </c>
      <c r="D53" s="38">
        <f t="shared" si="1"/>
        <v>1</v>
      </c>
      <c r="E53" s="12" t="str">
        <f t="shared" si="3"/>
        <v>035</v>
      </c>
      <c r="F53" s="17"/>
      <c r="G53" s="12" t="s">
        <v>57</v>
      </c>
      <c r="H53" s="12" t="s">
        <v>2401</v>
      </c>
      <c r="I53" s="12">
        <v>131</v>
      </c>
      <c r="J53" s="12">
        <v>5113</v>
      </c>
      <c r="K53" s="12" t="s">
        <v>20</v>
      </c>
      <c r="L53" s="12">
        <v>1</v>
      </c>
      <c r="M53" s="17">
        <v>7777778</v>
      </c>
      <c r="N53" s="17">
        <f t="shared" si="2"/>
        <v>7777778</v>
      </c>
      <c r="P53" s="12">
        <f t="shared" si="4"/>
        <v>176</v>
      </c>
    </row>
    <row r="54" spans="1:16" ht="15" customHeight="1" x14ac:dyDescent="0.2">
      <c r="A54" s="12" t="s">
        <v>18</v>
      </c>
      <c r="B54" s="36">
        <v>46086</v>
      </c>
      <c r="C54" s="12">
        <f t="shared" si="0"/>
        <v>36</v>
      </c>
      <c r="D54" s="38">
        <f t="shared" si="1"/>
        <v>1</v>
      </c>
      <c r="E54" s="12" t="str">
        <f t="shared" si="3"/>
        <v>036</v>
      </c>
      <c r="G54" s="12" t="s">
        <v>57</v>
      </c>
      <c r="H54" s="12" t="s">
        <v>4376</v>
      </c>
      <c r="I54" s="12">
        <v>333821</v>
      </c>
      <c r="J54" s="12">
        <v>131</v>
      </c>
      <c r="K54" s="12" t="s">
        <v>20</v>
      </c>
      <c r="L54" s="12">
        <v>1</v>
      </c>
      <c r="M54" s="17">
        <v>77778</v>
      </c>
      <c r="N54" s="17">
        <f t="shared" si="2"/>
        <v>77778</v>
      </c>
      <c r="P54" s="12">
        <f t="shared" si="4"/>
        <v>192</v>
      </c>
    </row>
    <row r="55" spans="1:16" ht="15" hidden="1" customHeight="1" x14ac:dyDescent="0.2">
      <c r="A55" s="12" t="s">
        <v>18</v>
      </c>
      <c r="B55" s="36">
        <v>46090</v>
      </c>
      <c r="C55" s="12">
        <f t="shared" si="0"/>
        <v>37</v>
      </c>
      <c r="D55" s="38">
        <f t="shared" si="1"/>
        <v>1</v>
      </c>
      <c r="E55" s="12" t="str">
        <f t="shared" si="3"/>
        <v>037</v>
      </c>
      <c r="F55" s="17"/>
      <c r="G55" s="12" t="s">
        <v>43</v>
      </c>
      <c r="H55" s="12" t="s">
        <v>2402</v>
      </c>
      <c r="I55" s="12">
        <v>131</v>
      </c>
      <c r="J55" s="12">
        <v>5113</v>
      </c>
      <c r="K55" s="12" t="s">
        <v>20</v>
      </c>
      <c r="L55" s="12">
        <v>1</v>
      </c>
      <c r="M55" s="17">
        <v>8333333</v>
      </c>
      <c r="N55" s="17">
        <f t="shared" si="2"/>
        <v>8333333</v>
      </c>
      <c r="P55" s="12">
        <f t="shared" si="4"/>
        <v>170</v>
      </c>
    </row>
    <row r="56" spans="1:16" ht="15" customHeight="1" x14ac:dyDescent="0.2">
      <c r="A56" s="12" t="s">
        <v>18</v>
      </c>
      <c r="B56" s="36">
        <v>46090</v>
      </c>
      <c r="C56" s="12">
        <f t="shared" si="0"/>
        <v>38</v>
      </c>
      <c r="D56" s="38">
        <f t="shared" si="1"/>
        <v>1</v>
      </c>
      <c r="E56" s="12" t="str">
        <f t="shared" si="3"/>
        <v>038</v>
      </c>
      <c r="G56" s="12" t="s">
        <v>43</v>
      </c>
      <c r="H56" s="12" t="s">
        <v>4377</v>
      </c>
      <c r="I56" s="12">
        <v>333821</v>
      </c>
      <c r="J56" s="12">
        <v>131</v>
      </c>
      <c r="K56" s="12" t="s">
        <v>20</v>
      </c>
      <c r="L56" s="12">
        <v>1</v>
      </c>
      <c r="M56" s="17">
        <v>83333</v>
      </c>
      <c r="N56" s="17">
        <f t="shared" si="2"/>
        <v>83333</v>
      </c>
      <c r="P56" s="12">
        <f t="shared" si="4"/>
        <v>186</v>
      </c>
    </row>
    <row r="57" spans="1:16" ht="15" hidden="1" customHeight="1" x14ac:dyDescent="0.2">
      <c r="A57" s="12" t="s">
        <v>18</v>
      </c>
      <c r="B57" s="36">
        <v>46092</v>
      </c>
      <c r="C57" s="12">
        <f t="shared" si="0"/>
        <v>39</v>
      </c>
      <c r="D57" s="38">
        <f t="shared" si="1"/>
        <v>1</v>
      </c>
      <c r="E57" s="12" t="str">
        <f t="shared" si="3"/>
        <v>039</v>
      </c>
      <c r="F57" s="17"/>
      <c r="G57" s="12" t="s">
        <v>96</v>
      </c>
      <c r="H57" s="12" t="s">
        <v>2403</v>
      </c>
      <c r="I57" s="12">
        <v>131</v>
      </c>
      <c r="J57" s="12">
        <v>5113</v>
      </c>
      <c r="K57" s="12" t="s">
        <v>20</v>
      </c>
      <c r="L57" s="12">
        <v>1</v>
      </c>
      <c r="M57" s="17">
        <v>7777778</v>
      </c>
      <c r="N57" s="17">
        <f t="shared" si="2"/>
        <v>7777778</v>
      </c>
      <c r="P57" s="12">
        <f t="shared" si="4"/>
        <v>174</v>
      </c>
    </row>
    <row r="58" spans="1:16" ht="15" customHeight="1" x14ac:dyDescent="0.2">
      <c r="A58" s="12" t="s">
        <v>18</v>
      </c>
      <c r="B58" s="36">
        <v>46092</v>
      </c>
      <c r="C58" s="12">
        <f t="shared" si="0"/>
        <v>40</v>
      </c>
      <c r="D58" s="38">
        <f t="shared" si="1"/>
        <v>1</v>
      </c>
      <c r="E58" s="12" t="str">
        <f t="shared" si="3"/>
        <v>040</v>
      </c>
      <c r="G58" s="12" t="s">
        <v>96</v>
      </c>
      <c r="H58" s="12" t="s">
        <v>4378</v>
      </c>
      <c r="I58" s="12">
        <v>333821</v>
      </c>
      <c r="J58" s="12">
        <v>131</v>
      </c>
      <c r="K58" s="12" t="s">
        <v>20</v>
      </c>
      <c r="L58" s="12">
        <v>1</v>
      </c>
      <c r="M58" s="17">
        <v>77778</v>
      </c>
      <c r="N58" s="17">
        <f t="shared" si="2"/>
        <v>77778</v>
      </c>
      <c r="P58" s="12">
        <f t="shared" si="4"/>
        <v>190</v>
      </c>
    </row>
    <row r="59" spans="1:16" ht="15" hidden="1" customHeight="1" x14ac:dyDescent="0.2">
      <c r="A59" s="12" t="s">
        <v>18</v>
      </c>
      <c r="B59" s="36">
        <v>46092</v>
      </c>
      <c r="C59" s="12">
        <f t="shared" si="0"/>
        <v>41</v>
      </c>
      <c r="D59" s="38">
        <f t="shared" si="1"/>
        <v>1</v>
      </c>
      <c r="E59" s="12" t="str">
        <f t="shared" si="3"/>
        <v>041</v>
      </c>
      <c r="F59" s="17"/>
      <c r="G59" s="12" t="s">
        <v>2404</v>
      </c>
      <c r="H59" s="12" t="s">
        <v>2405</v>
      </c>
      <c r="I59" s="12">
        <v>131</v>
      </c>
      <c r="J59" s="12">
        <v>5113</v>
      </c>
      <c r="K59" s="12" t="s">
        <v>20</v>
      </c>
      <c r="L59" s="12">
        <v>1</v>
      </c>
      <c r="M59" s="17">
        <v>7777778</v>
      </c>
      <c r="N59" s="17">
        <f t="shared" si="2"/>
        <v>7777778</v>
      </c>
      <c r="P59" s="12">
        <f t="shared" si="4"/>
        <v>146</v>
      </c>
    </row>
    <row r="60" spans="1:16" ht="15" customHeight="1" x14ac:dyDescent="0.2">
      <c r="A60" s="12" t="s">
        <v>18</v>
      </c>
      <c r="B60" s="36">
        <v>46092</v>
      </c>
      <c r="C60" s="12">
        <f t="shared" si="0"/>
        <v>42</v>
      </c>
      <c r="D60" s="38">
        <f t="shared" si="1"/>
        <v>1</v>
      </c>
      <c r="E60" s="12" t="str">
        <f t="shared" si="3"/>
        <v>042</v>
      </c>
      <c r="G60" s="12" t="s">
        <v>2404</v>
      </c>
      <c r="H60" s="12" t="s">
        <v>4379</v>
      </c>
      <c r="I60" s="12">
        <v>333821</v>
      </c>
      <c r="J60" s="12">
        <v>131</v>
      </c>
      <c r="K60" s="12" t="s">
        <v>20</v>
      </c>
      <c r="L60" s="12">
        <v>1</v>
      </c>
      <c r="M60" s="17">
        <v>77778</v>
      </c>
      <c r="N60" s="17">
        <f t="shared" si="2"/>
        <v>77778</v>
      </c>
      <c r="P60" s="12">
        <f t="shared" si="4"/>
        <v>162</v>
      </c>
    </row>
    <row r="61" spans="1:16" ht="15" hidden="1" customHeight="1" x14ac:dyDescent="0.2">
      <c r="A61" s="12" t="s">
        <v>18</v>
      </c>
      <c r="B61" s="36">
        <v>46092</v>
      </c>
      <c r="C61" s="12">
        <f t="shared" si="0"/>
        <v>43</v>
      </c>
      <c r="D61" s="38">
        <f t="shared" si="1"/>
        <v>1</v>
      </c>
      <c r="E61" s="12" t="str">
        <f t="shared" si="3"/>
        <v>043</v>
      </c>
      <c r="F61" s="17"/>
      <c r="G61" s="12" t="s">
        <v>1785</v>
      </c>
      <c r="H61" s="12" t="s">
        <v>2406</v>
      </c>
      <c r="I61" s="12">
        <v>131</v>
      </c>
      <c r="J61" s="12">
        <v>5113</v>
      </c>
      <c r="K61" s="12" t="s">
        <v>20</v>
      </c>
      <c r="L61" s="12">
        <v>1</v>
      </c>
      <c r="M61" s="17">
        <v>7777778</v>
      </c>
      <c r="N61" s="17">
        <f t="shared" si="2"/>
        <v>7777778</v>
      </c>
      <c r="P61" s="12">
        <f t="shared" si="4"/>
        <v>107</v>
      </c>
    </row>
    <row r="62" spans="1:16" ht="15" customHeight="1" x14ac:dyDescent="0.2">
      <c r="A62" s="12" t="s">
        <v>18</v>
      </c>
      <c r="B62" s="36">
        <v>46092</v>
      </c>
      <c r="C62" s="12">
        <f t="shared" si="0"/>
        <v>44</v>
      </c>
      <c r="D62" s="38">
        <f t="shared" si="1"/>
        <v>1</v>
      </c>
      <c r="E62" s="12" t="str">
        <f t="shared" si="3"/>
        <v>044</v>
      </c>
      <c r="G62" s="12" t="s">
        <v>1785</v>
      </c>
      <c r="H62" s="12" t="s">
        <v>4380</v>
      </c>
      <c r="I62" s="12">
        <v>333821</v>
      </c>
      <c r="J62" s="12">
        <v>131</v>
      </c>
      <c r="K62" s="12" t="s">
        <v>20</v>
      </c>
      <c r="L62" s="12">
        <v>1</v>
      </c>
      <c r="M62" s="17">
        <v>77778</v>
      </c>
      <c r="N62" s="17">
        <f t="shared" si="2"/>
        <v>77778</v>
      </c>
      <c r="P62" s="12">
        <f t="shared" si="4"/>
        <v>123</v>
      </c>
    </row>
    <row r="63" spans="1:16" ht="15" hidden="1" customHeight="1" x14ac:dyDescent="0.2">
      <c r="A63" s="12" t="s">
        <v>18</v>
      </c>
      <c r="B63" s="36">
        <v>46107</v>
      </c>
      <c r="C63" s="12">
        <f t="shared" si="0"/>
        <v>45</v>
      </c>
      <c r="D63" s="38">
        <f t="shared" si="1"/>
        <v>1</v>
      </c>
      <c r="E63" s="12" t="str">
        <f t="shared" si="3"/>
        <v>045</v>
      </c>
      <c r="F63" s="17"/>
      <c r="G63" s="12" t="s">
        <v>88</v>
      </c>
      <c r="H63" s="12" t="s">
        <v>2407</v>
      </c>
      <c r="I63" s="12">
        <v>131</v>
      </c>
      <c r="J63" s="12">
        <v>5113</v>
      </c>
      <c r="K63" s="12" t="s">
        <v>20</v>
      </c>
      <c r="L63" s="12">
        <v>1</v>
      </c>
      <c r="M63" s="17">
        <v>7777778</v>
      </c>
      <c r="N63" s="17">
        <f t="shared" si="2"/>
        <v>7777778</v>
      </c>
      <c r="P63" s="12">
        <f t="shared" si="4"/>
        <v>126</v>
      </c>
    </row>
    <row r="64" spans="1:16" ht="15" customHeight="1" x14ac:dyDescent="0.2">
      <c r="A64" s="12" t="s">
        <v>18</v>
      </c>
      <c r="B64" s="36">
        <v>46107</v>
      </c>
      <c r="C64" s="12">
        <f t="shared" si="0"/>
        <v>46</v>
      </c>
      <c r="D64" s="38">
        <f t="shared" si="1"/>
        <v>1</v>
      </c>
      <c r="E64" s="12" t="str">
        <f t="shared" si="3"/>
        <v>046</v>
      </c>
      <c r="G64" s="12" t="s">
        <v>88</v>
      </c>
      <c r="H64" s="12" t="s">
        <v>4381</v>
      </c>
      <c r="I64" s="12">
        <v>333821</v>
      </c>
      <c r="J64" s="12">
        <v>131</v>
      </c>
      <c r="K64" s="12" t="s">
        <v>20</v>
      </c>
      <c r="L64" s="12">
        <v>1</v>
      </c>
      <c r="M64" s="17">
        <v>77778</v>
      </c>
      <c r="N64" s="17">
        <f t="shared" si="2"/>
        <v>77778</v>
      </c>
      <c r="P64" s="12">
        <f t="shared" si="4"/>
        <v>142</v>
      </c>
    </row>
    <row r="65" spans="1:16" ht="15" hidden="1" customHeight="1" x14ac:dyDescent="0.2">
      <c r="A65" s="12" t="s">
        <v>18</v>
      </c>
      <c r="B65" s="36">
        <v>46112</v>
      </c>
      <c r="C65" s="12">
        <f t="shared" si="0"/>
        <v>47</v>
      </c>
      <c r="D65" s="38">
        <f t="shared" si="1"/>
        <v>1</v>
      </c>
      <c r="E65" s="12" t="str">
        <f t="shared" si="3"/>
        <v>047</v>
      </c>
      <c r="F65" s="17"/>
      <c r="G65" s="12" t="s">
        <v>92</v>
      </c>
      <c r="H65" s="12" t="s">
        <v>2408</v>
      </c>
      <c r="I65" s="12">
        <v>131</v>
      </c>
      <c r="J65" s="12">
        <v>5113</v>
      </c>
      <c r="K65" s="12" t="s">
        <v>20</v>
      </c>
      <c r="L65" s="12">
        <v>1</v>
      </c>
      <c r="M65" s="17">
        <v>8333333</v>
      </c>
      <c r="N65" s="17">
        <f t="shared" si="2"/>
        <v>8333333</v>
      </c>
      <c r="P65" s="12">
        <f t="shared" si="4"/>
        <v>160</v>
      </c>
    </row>
    <row r="66" spans="1:16" ht="15" customHeight="1" x14ac:dyDescent="0.2">
      <c r="A66" s="12" t="s">
        <v>18</v>
      </c>
      <c r="B66" s="36">
        <v>46112</v>
      </c>
      <c r="C66" s="12">
        <f t="shared" si="0"/>
        <v>48</v>
      </c>
      <c r="D66" s="38">
        <f t="shared" si="1"/>
        <v>1</v>
      </c>
      <c r="E66" s="12" t="str">
        <f t="shared" si="3"/>
        <v>048</v>
      </c>
      <c r="G66" s="12" t="s">
        <v>92</v>
      </c>
      <c r="H66" s="12" t="s">
        <v>4382</v>
      </c>
      <c r="I66" s="12">
        <v>333821</v>
      </c>
      <c r="J66" s="12">
        <v>131</v>
      </c>
      <c r="K66" s="12" t="s">
        <v>20</v>
      </c>
      <c r="L66" s="12">
        <v>1</v>
      </c>
      <c r="M66" s="17">
        <v>83333</v>
      </c>
      <c r="N66" s="17">
        <f t="shared" si="2"/>
        <v>83333</v>
      </c>
      <c r="P66" s="12">
        <f t="shared" si="4"/>
        <v>176</v>
      </c>
    </row>
    <row r="67" spans="1:16" ht="15" hidden="1" customHeight="1" x14ac:dyDescent="0.2">
      <c r="A67" s="12" t="s">
        <v>309</v>
      </c>
      <c r="B67" s="36">
        <v>46086</v>
      </c>
      <c r="C67" s="12">
        <f t="shared" si="0"/>
        <v>49</v>
      </c>
      <c r="D67" s="38">
        <f t="shared" si="1"/>
        <v>1</v>
      </c>
      <c r="E67" s="12" t="str">
        <f t="shared" si="3"/>
        <v>049</v>
      </c>
      <c r="G67" s="12" t="s">
        <v>2399</v>
      </c>
      <c r="H67" s="12" t="s">
        <v>4383</v>
      </c>
      <c r="I67" s="12">
        <v>112111</v>
      </c>
      <c r="J67" s="12">
        <v>131</v>
      </c>
      <c r="K67" s="12" t="s">
        <v>20</v>
      </c>
      <c r="L67" s="12">
        <v>1</v>
      </c>
      <c r="M67" s="17">
        <v>11000000</v>
      </c>
      <c r="N67" s="17">
        <f t="shared" si="2"/>
        <v>11000000</v>
      </c>
      <c r="P67" s="12">
        <f t="shared" si="4"/>
        <v>188</v>
      </c>
    </row>
    <row r="68" spans="1:16" ht="15" hidden="1" customHeight="1" x14ac:dyDescent="0.2">
      <c r="A68" s="12" t="s">
        <v>309</v>
      </c>
      <c r="B68" s="36">
        <v>46093</v>
      </c>
      <c r="C68" s="12">
        <f t="shared" ref="C68:C74" si="5">C67+D68</f>
        <v>50</v>
      </c>
      <c r="D68" s="38">
        <f t="shared" ref="D68:D74" si="6">IF(H68=H67,0,1)</f>
        <v>1</v>
      </c>
      <c r="E68" s="12" t="str">
        <f t="shared" si="3"/>
        <v>050</v>
      </c>
      <c r="G68" s="12" t="s">
        <v>57</v>
      </c>
      <c r="H68" s="12" t="s">
        <v>4384</v>
      </c>
      <c r="I68" s="12">
        <v>112111</v>
      </c>
      <c r="J68" s="12">
        <v>131</v>
      </c>
      <c r="K68" s="12" t="s">
        <v>20</v>
      </c>
      <c r="L68" s="12">
        <v>1</v>
      </c>
      <c r="M68" s="17">
        <v>7700000</v>
      </c>
      <c r="N68" s="17">
        <f t="shared" ref="N68:N74" si="7">L68*M68</f>
        <v>7700000</v>
      </c>
      <c r="P68" s="12">
        <f t="shared" si="4"/>
        <v>181</v>
      </c>
    </row>
    <row r="69" spans="1:16" ht="15" hidden="1" customHeight="1" x14ac:dyDescent="0.2">
      <c r="A69" s="12" t="s">
        <v>309</v>
      </c>
      <c r="B69" s="36">
        <v>46093</v>
      </c>
      <c r="C69" s="12">
        <f t="shared" si="5"/>
        <v>51</v>
      </c>
      <c r="D69" s="38">
        <f t="shared" si="6"/>
        <v>1</v>
      </c>
      <c r="E69" s="12" t="str">
        <f t="shared" ref="E69:E74" si="8">TEXT(C69,"000")</f>
        <v>051</v>
      </c>
      <c r="G69" s="12" t="s">
        <v>1654</v>
      </c>
      <c r="H69" s="12" t="s">
        <v>4385</v>
      </c>
      <c r="I69" s="12">
        <v>112111</v>
      </c>
      <c r="J69" s="12">
        <v>131</v>
      </c>
      <c r="K69" s="12" t="s">
        <v>20</v>
      </c>
      <c r="L69" s="12">
        <v>1</v>
      </c>
      <c r="M69" s="17">
        <v>8250000</v>
      </c>
      <c r="N69" s="17">
        <f t="shared" si="7"/>
        <v>8250000</v>
      </c>
      <c r="P69" s="12">
        <f t="shared" ref="P69:P74" si="9">LEN(H69)</f>
        <v>121</v>
      </c>
    </row>
    <row r="70" spans="1:16" ht="15" hidden="1" customHeight="1" x14ac:dyDescent="0.2">
      <c r="A70" s="12" t="s">
        <v>309</v>
      </c>
      <c r="B70" s="36">
        <v>46095</v>
      </c>
      <c r="C70" s="12">
        <f t="shared" si="5"/>
        <v>52</v>
      </c>
      <c r="D70" s="38">
        <f t="shared" si="6"/>
        <v>1</v>
      </c>
      <c r="E70" s="12" t="str">
        <f t="shared" si="8"/>
        <v>052</v>
      </c>
      <c r="G70" s="12" t="s">
        <v>43</v>
      </c>
      <c r="H70" s="12" t="s">
        <v>2402</v>
      </c>
      <c r="I70" s="12">
        <v>112111</v>
      </c>
      <c r="J70" s="12">
        <v>131</v>
      </c>
      <c r="K70" s="12" t="s">
        <v>20</v>
      </c>
      <c r="L70" s="12">
        <v>1</v>
      </c>
      <c r="M70" s="17">
        <v>8250000</v>
      </c>
      <c r="N70" s="17">
        <f t="shared" si="7"/>
        <v>8250000</v>
      </c>
      <c r="P70" s="12">
        <f t="shared" si="9"/>
        <v>170</v>
      </c>
    </row>
    <row r="71" spans="1:16" ht="15" hidden="1" customHeight="1" x14ac:dyDescent="0.2">
      <c r="A71" s="12" t="s">
        <v>309</v>
      </c>
      <c r="B71" s="36">
        <v>46098</v>
      </c>
      <c r="C71" s="12">
        <f t="shared" si="5"/>
        <v>53</v>
      </c>
      <c r="D71" s="38">
        <f t="shared" si="6"/>
        <v>1</v>
      </c>
      <c r="E71" s="12" t="str">
        <f t="shared" si="8"/>
        <v>053</v>
      </c>
      <c r="G71" s="12" t="s">
        <v>96</v>
      </c>
      <c r="H71" s="12" t="s">
        <v>4386</v>
      </c>
      <c r="I71" s="12">
        <v>112111</v>
      </c>
      <c r="J71" s="12">
        <v>131</v>
      </c>
      <c r="K71" s="12" t="s">
        <v>20</v>
      </c>
      <c r="L71" s="12">
        <v>1</v>
      </c>
      <c r="M71" s="17">
        <v>7700000</v>
      </c>
      <c r="N71" s="17">
        <f t="shared" si="7"/>
        <v>7700000</v>
      </c>
      <c r="P71" s="12">
        <f t="shared" si="9"/>
        <v>179</v>
      </c>
    </row>
    <row r="72" spans="1:16" ht="15" hidden="1" customHeight="1" x14ac:dyDescent="0.2">
      <c r="A72" s="12" t="s">
        <v>309</v>
      </c>
      <c r="B72" s="36">
        <v>46100</v>
      </c>
      <c r="C72" s="12">
        <f t="shared" si="5"/>
        <v>54</v>
      </c>
      <c r="D72" s="38">
        <f t="shared" si="6"/>
        <v>1</v>
      </c>
      <c r="E72" s="12" t="str">
        <f t="shared" si="8"/>
        <v>054</v>
      </c>
      <c r="G72" s="12" t="s">
        <v>2404</v>
      </c>
      <c r="H72" s="12" t="s">
        <v>4387</v>
      </c>
      <c r="I72" s="12">
        <v>112111</v>
      </c>
      <c r="J72" s="12">
        <v>131</v>
      </c>
      <c r="K72" s="12" t="s">
        <v>20</v>
      </c>
      <c r="L72" s="12">
        <v>1</v>
      </c>
      <c r="M72" s="17">
        <v>7700000</v>
      </c>
      <c r="N72" s="17">
        <f t="shared" si="7"/>
        <v>7700000</v>
      </c>
      <c r="P72" s="12">
        <f t="shared" si="9"/>
        <v>151</v>
      </c>
    </row>
    <row r="73" spans="1:16" ht="15" hidden="1" customHeight="1" x14ac:dyDescent="0.2">
      <c r="A73" s="12" t="s">
        <v>309</v>
      </c>
      <c r="B73" s="36">
        <v>46106</v>
      </c>
      <c r="C73" s="12">
        <f t="shared" si="5"/>
        <v>55</v>
      </c>
      <c r="D73" s="38">
        <f t="shared" si="6"/>
        <v>1</v>
      </c>
      <c r="E73" s="12" t="str">
        <f t="shared" si="8"/>
        <v>055</v>
      </c>
      <c r="G73" s="130" t="s">
        <v>2212</v>
      </c>
      <c r="H73" s="12" t="s">
        <v>3561</v>
      </c>
      <c r="I73" s="12">
        <v>112111</v>
      </c>
      <c r="J73" s="12">
        <v>5154</v>
      </c>
      <c r="K73" s="12" t="s">
        <v>20</v>
      </c>
      <c r="L73" s="12">
        <v>1</v>
      </c>
      <c r="M73" s="17">
        <v>3430</v>
      </c>
      <c r="N73" s="17">
        <f t="shared" si="7"/>
        <v>3430</v>
      </c>
      <c r="P73" s="12">
        <f t="shared" si="9"/>
        <v>22</v>
      </c>
    </row>
    <row r="74" spans="1:16" ht="15" hidden="1" customHeight="1" x14ac:dyDescent="0.2">
      <c r="A74" s="12" t="s">
        <v>309</v>
      </c>
      <c r="B74" s="36">
        <v>46108</v>
      </c>
      <c r="C74" s="12">
        <f t="shared" si="5"/>
        <v>56</v>
      </c>
      <c r="D74" s="38">
        <f t="shared" si="6"/>
        <v>1</v>
      </c>
      <c r="E74" s="12" t="str">
        <f t="shared" si="8"/>
        <v>056</v>
      </c>
      <c r="G74" s="12" t="s">
        <v>1785</v>
      </c>
      <c r="H74" s="12" t="s">
        <v>4388</v>
      </c>
      <c r="I74" s="12">
        <v>112111</v>
      </c>
      <c r="J74" s="12">
        <v>131</v>
      </c>
      <c r="K74" s="12" t="s">
        <v>20</v>
      </c>
      <c r="L74" s="12">
        <v>1</v>
      </c>
      <c r="M74" s="17">
        <v>7700000</v>
      </c>
      <c r="N74" s="17">
        <f t="shared" si="7"/>
        <v>7700000</v>
      </c>
      <c r="P74" s="12">
        <f t="shared" si="9"/>
        <v>112</v>
      </c>
    </row>
  </sheetData>
  <autoFilter ref="A3:P74" xr:uid="{00000000-0009-0000-0000-000021000000}">
    <filterColumn colId="8">
      <filters>
        <filter val="333821"/>
      </filters>
    </filterColumn>
    <filterColumn colId="9">
      <filters>
        <filter val="131"/>
      </filters>
    </filterColumn>
    <sortState xmlns:xlrd2="http://schemas.microsoft.com/office/spreadsheetml/2017/richdata2" ref="A4:P74">
      <sortCondition ref="P3:P74"/>
    </sortState>
  </autoFilter>
  <mergeCells count="13">
    <mergeCell ref="N1:N2"/>
    <mergeCell ref="G1:G2"/>
    <mergeCell ref="H1:H2"/>
    <mergeCell ref="I1:J1"/>
    <mergeCell ref="K1:K2"/>
    <mergeCell ref="L1:L2"/>
    <mergeCell ref="M1:M2"/>
    <mergeCell ref="F1:F2"/>
    <mergeCell ref="A1:A2"/>
    <mergeCell ref="B1:B2"/>
    <mergeCell ref="C1:C2"/>
    <mergeCell ref="D1:D2"/>
    <mergeCell ref="E1:E2"/>
  </mergeCells>
  <hyperlinks>
    <hyperlink ref="P1" location="Summary!A1" display="Back to summary"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40320-3566-4740-9999-C253D5C097B1}">
  <sheetPr filterMode="1">
    <tabColor rgb="FF92D050"/>
  </sheetPr>
  <dimension ref="A1:AC51"/>
  <sheetViews>
    <sheetView workbookViewId="0">
      <selection activeCell="M33" sqref="M33:M45"/>
    </sheetView>
  </sheetViews>
  <sheetFormatPr defaultRowHeight="15" customHeight="1" x14ac:dyDescent="0.2"/>
  <cols>
    <col min="1" max="6" width="9.140625" style="12"/>
    <col min="7" max="7" width="10.42578125" style="12" bestFit="1" customWidth="1"/>
    <col min="8" max="8" width="27.7109375" style="12" customWidth="1"/>
    <col min="9" max="12" width="9.140625" style="12"/>
    <col min="13" max="14" width="10.7109375" style="12" bestFit="1" customWidth="1"/>
    <col min="15" max="16384" width="9.140625" style="12"/>
  </cols>
  <sheetData>
    <row r="1" spans="1:29" ht="15" customHeight="1" thickBot="1" x14ac:dyDescent="0.25">
      <c r="A1" s="247" t="s">
        <v>0</v>
      </c>
      <c r="B1" s="219" t="s">
        <v>1</v>
      </c>
      <c r="C1" s="247" t="s">
        <v>2</v>
      </c>
      <c r="D1" s="249" t="s">
        <v>3</v>
      </c>
      <c r="E1" s="249" t="s">
        <v>4</v>
      </c>
      <c r="F1" s="154" t="s">
        <v>5</v>
      </c>
      <c r="G1" s="241" t="s">
        <v>6</v>
      </c>
      <c r="H1" s="243" t="s">
        <v>7</v>
      </c>
      <c r="I1" s="245" t="s">
        <v>8</v>
      </c>
      <c r="J1" s="246"/>
      <c r="K1" s="247" t="s">
        <v>9</v>
      </c>
      <c r="L1" s="247" t="s">
        <v>10</v>
      </c>
      <c r="M1" s="254" t="s">
        <v>76</v>
      </c>
      <c r="N1" s="254" t="s">
        <v>77</v>
      </c>
      <c r="O1" s="45" t="s">
        <v>78</v>
      </c>
      <c r="P1" s="146" t="s">
        <v>356</v>
      </c>
    </row>
    <row r="2" spans="1:29" ht="15" customHeight="1" thickBot="1" x14ac:dyDescent="0.25">
      <c r="A2" s="248"/>
      <c r="B2" s="220"/>
      <c r="C2" s="248"/>
      <c r="D2" s="253"/>
      <c r="E2" s="253"/>
      <c r="F2" s="155"/>
      <c r="G2" s="242"/>
      <c r="H2" s="244"/>
      <c r="I2" s="46" t="s">
        <v>13</v>
      </c>
      <c r="J2" s="47" t="s">
        <v>14</v>
      </c>
      <c r="K2" s="248"/>
      <c r="L2" s="248"/>
      <c r="M2" s="255"/>
      <c r="N2" s="255"/>
      <c r="O2" s="38" t="s">
        <v>78</v>
      </c>
      <c r="P2" s="38"/>
    </row>
    <row r="3" spans="1:29" ht="15" customHeight="1" x14ac:dyDescent="0.2">
      <c r="A3" s="48"/>
      <c r="B3" s="81"/>
      <c r="C3" s="48">
        <v>0</v>
      </c>
      <c r="D3" s="49"/>
      <c r="E3" s="49"/>
      <c r="F3" s="49"/>
      <c r="G3" s="51" t="s">
        <v>15</v>
      </c>
      <c r="H3" s="52"/>
      <c r="I3" s="52"/>
      <c r="J3" s="52"/>
      <c r="K3" s="48"/>
      <c r="L3" s="48"/>
      <c r="M3" s="82"/>
      <c r="N3" s="82"/>
      <c r="O3" s="38" t="s">
        <v>16</v>
      </c>
      <c r="P3" s="38" t="s">
        <v>17</v>
      </c>
    </row>
    <row r="4" spans="1:29" ht="15" hidden="1" customHeight="1" x14ac:dyDescent="0.2">
      <c r="A4" s="12" t="s">
        <v>309</v>
      </c>
      <c r="B4" s="36">
        <v>46105.465717592589</v>
      </c>
      <c r="C4" s="12">
        <f t="shared" ref="C4:C50" si="0">C3+D4</f>
        <v>1</v>
      </c>
      <c r="D4" s="38">
        <f t="shared" ref="D4:D50" si="1">IF(H4=H3,0,1)</f>
        <v>1</v>
      </c>
      <c r="E4" s="12" t="str">
        <f>TEXT(C4,"000")</f>
        <v>001</v>
      </c>
      <c r="G4" s="12" t="s">
        <v>311</v>
      </c>
      <c r="H4" s="12" t="s">
        <v>3254</v>
      </c>
      <c r="I4" s="12">
        <v>112111</v>
      </c>
      <c r="J4" s="12">
        <v>131</v>
      </c>
      <c r="K4" s="12" t="s">
        <v>20</v>
      </c>
      <c r="L4" s="12">
        <v>1</v>
      </c>
      <c r="M4" s="17">
        <v>22111428</v>
      </c>
      <c r="N4" s="17">
        <f t="shared" ref="N4:N50" si="2">L4*M4</f>
        <v>22111428</v>
      </c>
      <c r="P4" s="12">
        <f t="shared" ref="P4:P50" si="3">LEN(H4)</f>
        <v>72</v>
      </c>
      <c r="S4" s="12" t="s">
        <v>104</v>
      </c>
      <c r="T4" s="12" t="s">
        <v>3243</v>
      </c>
    </row>
    <row r="5" spans="1:29" ht="15" hidden="1" customHeight="1" x14ac:dyDescent="0.2">
      <c r="A5" s="12" t="s">
        <v>309</v>
      </c>
      <c r="B5" s="36">
        <v>46106.781793981485</v>
      </c>
      <c r="C5" s="12">
        <f t="shared" si="0"/>
        <v>2</v>
      </c>
      <c r="D5" s="38">
        <f t="shared" si="1"/>
        <v>1</v>
      </c>
      <c r="E5" s="12" t="str">
        <f t="shared" ref="E5:E50" si="4">TEXT(C5,"000")</f>
        <v>002</v>
      </c>
      <c r="G5" s="12" t="s">
        <v>67</v>
      </c>
      <c r="H5" s="12" t="s">
        <v>3253</v>
      </c>
      <c r="I5" s="12">
        <v>112111</v>
      </c>
      <c r="J5" s="12">
        <v>131</v>
      </c>
      <c r="K5" s="12" t="s">
        <v>20</v>
      </c>
      <c r="L5" s="12">
        <v>1</v>
      </c>
      <c r="M5" s="17">
        <v>11000000</v>
      </c>
      <c r="N5" s="17">
        <f t="shared" si="2"/>
        <v>11000000</v>
      </c>
      <c r="P5" s="12">
        <f t="shared" si="3"/>
        <v>125</v>
      </c>
      <c r="S5" s="12" t="s">
        <v>54</v>
      </c>
      <c r="T5" s="13" t="s">
        <v>407</v>
      </c>
      <c r="Z5" s="84"/>
      <c r="AC5" s="84"/>
    </row>
    <row r="6" spans="1:29" ht="15" hidden="1" customHeight="1" x14ac:dyDescent="0.2">
      <c r="A6" s="12" t="s">
        <v>309</v>
      </c>
      <c r="B6" s="36">
        <v>46112.555474537039</v>
      </c>
      <c r="C6" s="12">
        <f t="shared" si="0"/>
        <v>3</v>
      </c>
      <c r="D6" s="38">
        <f t="shared" si="1"/>
        <v>1</v>
      </c>
      <c r="E6" s="12" t="str">
        <f t="shared" si="4"/>
        <v>003</v>
      </c>
      <c r="G6" s="12" t="s">
        <v>26</v>
      </c>
      <c r="H6" s="12" t="s">
        <v>3255</v>
      </c>
      <c r="I6" s="12">
        <v>112111</v>
      </c>
      <c r="J6" s="12">
        <v>131</v>
      </c>
      <c r="K6" s="12" t="s">
        <v>20</v>
      </c>
      <c r="L6" s="12">
        <v>1</v>
      </c>
      <c r="M6" s="17">
        <v>8800000</v>
      </c>
      <c r="N6" s="17">
        <f t="shared" si="2"/>
        <v>8800000</v>
      </c>
      <c r="P6" s="12">
        <f t="shared" si="3"/>
        <v>157</v>
      </c>
      <c r="S6" s="12" t="s">
        <v>3211</v>
      </c>
      <c r="T6" s="13" t="s">
        <v>3244</v>
      </c>
      <c r="Z6" s="84"/>
      <c r="AB6" s="84"/>
      <c r="AC6" s="84"/>
    </row>
    <row r="7" spans="1:29" ht="15" hidden="1" customHeight="1" x14ac:dyDescent="0.2">
      <c r="A7" s="12" t="s">
        <v>308</v>
      </c>
      <c r="B7" s="36">
        <v>46105.470370370371</v>
      </c>
      <c r="C7" s="12">
        <f t="shared" si="0"/>
        <v>4</v>
      </c>
      <c r="D7" s="38">
        <f t="shared" si="1"/>
        <v>1</v>
      </c>
      <c r="E7" s="12" t="str">
        <f t="shared" si="4"/>
        <v>004</v>
      </c>
      <c r="G7" s="130" t="s">
        <v>3133</v>
      </c>
      <c r="H7" s="12" t="s">
        <v>3032</v>
      </c>
      <c r="I7" s="12">
        <v>1111</v>
      </c>
      <c r="J7" s="12">
        <v>112111</v>
      </c>
      <c r="K7" s="12" t="s">
        <v>20</v>
      </c>
      <c r="L7" s="12">
        <v>1</v>
      </c>
      <c r="M7" s="17">
        <v>10000000</v>
      </c>
      <c r="N7" s="17">
        <f t="shared" si="2"/>
        <v>10000000</v>
      </c>
      <c r="P7" s="12">
        <f t="shared" si="3"/>
        <v>40</v>
      </c>
      <c r="S7" s="12" t="s">
        <v>990</v>
      </c>
      <c r="T7" s="12" t="s">
        <v>3245</v>
      </c>
      <c r="Z7" s="84"/>
      <c r="AB7" s="84"/>
      <c r="AC7" s="84"/>
    </row>
    <row r="8" spans="1:29" ht="15" hidden="1" customHeight="1" x14ac:dyDescent="0.2">
      <c r="A8" s="12" t="s">
        <v>308</v>
      </c>
      <c r="B8" s="36">
        <v>46107.697615740741</v>
      </c>
      <c r="C8" s="12">
        <f t="shared" si="0"/>
        <v>4</v>
      </c>
      <c r="D8" s="38">
        <f t="shared" si="1"/>
        <v>0</v>
      </c>
      <c r="E8" s="12" t="str">
        <f t="shared" si="4"/>
        <v>004</v>
      </c>
      <c r="G8" s="130" t="s">
        <v>3133</v>
      </c>
      <c r="H8" s="12" t="s">
        <v>3032</v>
      </c>
      <c r="I8" s="12">
        <v>1111</v>
      </c>
      <c r="J8" s="12">
        <v>112111</v>
      </c>
      <c r="K8" s="12" t="s">
        <v>20</v>
      </c>
      <c r="L8" s="12">
        <v>1</v>
      </c>
      <c r="M8" s="17">
        <v>23000000</v>
      </c>
      <c r="N8" s="17">
        <f t="shared" si="2"/>
        <v>23000000</v>
      </c>
      <c r="P8" s="12">
        <f t="shared" si="3"/>
        <v>40</v>
      </c>
      <c r="S8" s="12" t="s">
        <v>46</v>
      </c>
      <c r="T8" s="12" t="s">
        <v>429</v>
      </c>
    </row>
    <row r="9" spans="1:29" ht="15" hidden="1" customHeight="1" x14ac:dyDescent="0.2">
      <c r="A9" s="12" t="s">
        <v>310</v>
      </c>
      <c r="B9" s="36" t="s">
        <v>496</v>
      </c>
      <c r="C9" s="12">
        <f t="shared" si="0"/>
        <v>5</v>
      </c>
      <c r="D9" s="38">
        <f t="shared" si="1"/>
        <v>1</v>
      </c>
      <c r="E9" s="12" t="str">
        <f t="shared" si="4"/>
        <v>005</v>
      </c>
      <c r="G9" s="12" t="s">
        <v>104</v>
      </c>
      <c r="H9" s="12" t="s">
        <v>3221</v>
      </c>
      <c r="I9" s="12">
        <v>331</v>
      </c>
      <c r="J9" s="12">
        <v>1111</v>
      </c>
      <c r="K9" s="12" t="s">
        <v>20</v>
      </c>
      <c r="L9" s="12">
        <v>1</v>
      </c>
      <c r="M9" s="17">
        <v>243600</v>
      </c>
      <c r="N9" s="17">
        <f t="shared" si="2"/>
        <v>243600</v>
      </c>
      <c r="P9" s="12">
        <f t="shared" si="3"/>
        <v>25</v>
      </c>
      <c r="S9" s="12" t="s">
        <v>3212</v>
      </c>
      <c r="T9" s="12" t="s">
        <v>3246</v>
      </c>
    </row>
    <row r="10" spans="1:29" ht="15" hidden="1" customHeight="1" x14ac:dyDescent="0.2">
      <c r="A10" s="12" t="s">
        <v>310</v>
      </c>
      <c r="B10" s="36" t="s">
        <v>828</v>
      </c>
      <c r="C10" s="12">
        <f t="shared" si="0"/>
        <v>6</v>
      </c>
      <c r="D10" s="38">
        <f t="shared" si="1"/>
        <v>1</v>
      </c>
      <c r="E10" s="12" t="str">
        <f t="shared" si="4"/>
        <v>006</v>
      </c>
      <c r="G10" s="12" t="s">
        <v>104</v>
      </c>
      <c r="H10" s="12" t="s">
        <v>3222</v>
      </c>
      <c r="I10" s="12">
        <v>331</v>
      </c>
      <c r="J10" s="12">
        <v>1111</v>
      </c>
      <c r="K10" s="12" t="s">
        <v>20</v>
      </c>
      <c r="L10" s="12">
        <v>1</v>
      </c>
      <c r="M10" s="17">
        <v>243600</v>
      </c>
      <c r="N10" s="17">
        <f t="shared" si="2"/>
        <v>243600</v>
      </c>
      <c r="P10" s="12">
        <f t="shared" si="3"/>
        <v>25</v>
      </c>
      <c r="S10" s="12" t="s">
        <v>37</v>
      </c>
      <c r="T10" s="12" t="s">
        <v>3204</v>
      </c>
    </row>
    <row r="11" spans="1:29" ht="15" hidden="1" customHeight="1" x14ac:dyDescent="0.2">
      <c r="A11" s="12" t="s">
        <v>310</v>
      </c>
      <c r="B11" s="36" t="s">
        <v>503</v>
      </c>
      <c r="C11" s="12">
        <f t="shared" si="0"/>
        <v>7</v>
      </c>
      <c r="D11" s="38">
        <f t="shared" si="1"/>
        <v>1</v>
      </c>
      <c r="E11" s="12" t="str">
        <f t="shared" si="4"/>
        <v>007</v>
      </c>
      <c r="G11" s="12" t="s">
        <v>54</v>
      </c>
      <c r="H11" s="12" t="s">
        <v>3223</v>
      </c>
      <c r="I11" s="12">
        <v>331</v>
      </c>
      <c r="J11" s="12">
        <v>1111</v>
      </c>
      <c r="K11" s="12" t="s">
        <v>20</v>
      </c>
      <c r="L11" s="12">
        <v>1</v>
      </c>
      <c r="M11" s="17">
        <v>99000</v>
      </c>
      <c r="N11" s="17">
        <f t="shared" si="2"/>
        <v>99000</v>
      </c>
      <c r="P11" s="12">
        <f t="shared" si="3"/>
        <v>84</v>
      </c>
      <c r="S11" s="12" t="s">
        <v>275</v>
      </c>
      <c r="T11" s="12" t="s">
        <v>399</v>
      </c>
    </row>
    <row r="12" spans="1:29" ht="15" hidden="1" customHeight="1" x14ac:dyDescent="0.2">
      <c r="A12" s="12" t="s">
        <v>310</v>
      </c>
      <c r="B12" s="36" t="s">
        <v>503</v>
      </c>
      <c r="C12" s="12">
        <f t="shared" si="0"/>
        <v>8</v>
      </c>
      <c r="D12" s="38">
        <f t="shared" si="1"/>
        <v>1</v>
      </c>
      <c r="E12" s="12" t="str">
        <f t="shared" si="4"/>
        <v>008</v>
      </c>
      <c r="G12" s="12" t="s">
        <v>3211</v>
      </c>
      <c r="H12" s="12" t="s">
        <v>3224</v>
      </c>
      <c r="I12" s="12">
        <v>331</v>
      </c>
      <c r="J12" s="12">
        <v>1111</v>
      </c>
      <c r="K12" s="12" t="s">
        <v>20</v>
      </c>
      <c r="L12" s="12">
        <v>1</v>
      </c>
      <c r="M12" s="17">
        <v>5002800</v>
      </c>
      <c r="N12" s="17">
        <f t="shared" si="2"/>
        <v>5002800</v>
      </c>
      <c r="P12" s="12">
        <f t="shared" si="3"/>
        <v>113</v>
      </c>
      <c r="S12" s="12" t="s">
        <v>26</v>
      </c>
      <c r="T12" s="12" t="s">
        <v>3247</v>
      </c>
    </row>
    <row r="13" spans="1:29" ht="15" hidden="1" customHeight="1" x14ac:dyDescent="0.2">
      <c r="A13" s="12" t="s">
        <v>310</v>
      </c>
      <c r="B13" s="36" t="s">
        <v>549</v>
      </c>
      <c r="C13" s="12">
        <f t="shared" si="0"/>
        <v>9</v>
      </c>
      <c r="D13" s="38">
        <f t="shared" si="1"/>
        <v>1</v>
      </c>
      <c r="E13" s="12" t="str">
        <f t="shared" si="4"/>
        <v>009</v>
      </c>
      <c r="G13" s="12" t="s">
        <v>54</v>
      </c>
      <c r="H13" s="12" t="s">
        <v>3225</v>
      </c>
      <c r="I13" s="12">
        <v>331</v>
      </c>
      <c r="J13" s="12">
        <v>1111</v>
      </c>
      <c r="K13" s="12" t="s">
        <v>20</v>
      </c>
      <c r="L13" s="12">
        <v>1</v>
      </c>
      <c r="M13" s="17">
        <v>860040</v>
      </c>
      <c r="N13" s="17">
        <f t="shared" si="2"/>
        <v>860040</v>
      </c>
      <c r="P13" s="12">
        <f t="shared" si="3"/>
        <v>93</v>
      </c>
      <c r="S13" s="12" t="s">
        <v>67</v>
      </c>
      <c r="T13" s="12" t="s">
        <v>402</v>
      </c>
    </row>
    <row r="14" spans="1:29" ht="15" hidden="1" customHeight="1" x14ac:dyDescent="0.2">
      <c r="A14" s="12" t="s">
        <v>310</v>
      </c>
      <c r="B14" s="36" t="s">
        <v>549</v>
      </c>
      <c r="C14" s="12">
        <f t="shared" si="0"/>
        <v>10</v>
      </c>
      <c r="D14" s="38">
        <f t="shared" si="1"/>
        <v>1</v>
      </c>
      <c r="E14" s="12" t="str">
        <f t="shared" si="4"/>
        <v>010</v>
      </c>
      <c r="G14" s="12" t="s">
        <v>990</v>
      </c>
      <c r="H14" s="12" t="s">
        <v>3226</v>
      </c>
      <c r="I14" s="12">
        <v>331</v>
      </c>
      <c r="J14" s="12">
        <v>1111</v>
      </c>
      <c r="K14" s="12" t="s">
        <v>20</v>
      </c>
      <c r="L14" s="12">
        <v>1</v>
      </c>
      <c r="M14" s="17">
        <v>489000</v>
      </c>
      <c r="N14" s="17">
        <f t="shared" si="2"/>
        <v>489000</v>
      </c>
      <c r="P14" s="12">
        <f t="shared" si="3"/>
        <v>31</v>
      </c>
      <c r="S14" s="12" t="s">
        <v>311</v>
      </c>
      <c r="T14" s="12" t="s">
        <v>3248</v>
      </c>
    </row>
    <row r="15" spans="1:29" ht="15" hidden="1" customHeight="1" x14ac:dyDescent="0.2">
      <c r="A15" s="12" t="s">
        <v>310</v>
      </c>
      <c r="B15" s="36" t="s">
        <v>553</v>
      </c>
      <c r="C15" s="12">
        <f t="shared" si="0"/>
        <v>11</v>
      </c>
      <c r="D15" s="38">
        <f t="shared" si="1"/>
        <v>1</v>
      </c>
      <c r="E15" s="12" t="str">
        <f t="shared" si="4"/>
        <v>011</v>
      </c>
      <c r="G15" s="12" t="s">
        <v>46</v>
      </c>
      <c r="H15" s="12" t="s">
        <v>3236</v>
      </c>
      <c r="I15" s="12">
        <v>331</v>
      </c>
      <c r="J15" s="12">
        <v>1111</v>
      </c>
      <c r="K15" s="12" t="s">
        <v>20</v>
      </c>
      <c r="L15" s="12">
        <v>1</v>
      </c>
      <c r="M15" s="17">
        <v>1371600</v>
      </c>
      <c r="N15" s="17">
        <f t="shared" si="2"/>
        <v>1371600</v>
      </c>
      <c r="P15" s="12">
        <f t="shared" si="3"/>
        <v>52</v>
      </c>
      <c r="S15" s="12" t="s">
        <v>29</v>
      </c>
      <c r="T15" s="12" t="s">
        <v>388</v>
      </c>
    </row>
    <row r="16" spans="1:29" ht="15" hidden="1" customHeight="1" x14ac:dyDescent="0.2">
      <c r="A16" s="12" t="s">
        <v>310</v>
      </c>
      <c r="B16" s="36" t="s">
        <v>555</v>
      </c>
      <c r="C16" s="12">
        <f t="shared" si="0"/>
        <v>12</v>
      </c>
      <c r="D16" s="38">
        <f t="shared" si="1"/>
        <v>1</v>
      </c>
      <c r="E16" s="12" t="str">
        <f t="shared" si="4"/>
        <v>012</v>
      </c>
      <c r="G16" s="12" t="s">
        <v>3212</v>
      </c>
      <c r="H16" s="12" t="s">
        <v>3237</v>
      </c>
      <c r="I16" s="12">
        <v>331</v>
      </c>
      <c r="J16" s="12">
        <v>1111</v>
      </c>
      <c r="K16" s="12" t="s">
        <v>20</v>
      </c>
      <c r="L16" s="12">
        <v>1</v>
      </c>
      <c r="M16" s="17">
        <v>1564920</v>
      </c>
      <c r="N16" s="17">
        <f t="shared" si="2"/>
        <v>1564920</v>
      </c>
      <c r="P16" s="12">
        <f t="shared" si="3"/>
        <v>52</v>
      </c>
      <c r="S16" s="130" t="s">
        <v>3133</v>
      </c>
      <c r="T16" s="12" t="s">
        <v>3132</v>
      </c>
    </row>
    <row r="17" spans="1:20" ht="15" hidden="1" customHeight="1" x14ac:dyDescent="0.25">
      <c r="A17" s="12" t="s">
        <v>310</v>
      </c>
      <c r="B17" s="36" t="s">
        <v>558</v>
      </c>
      <c r="C17" s="12">
        <f t="shared" si="0"/>
        <v>13</v>
      </c>
      <c r="D17" s="38">
        <f t="shared" si="1"/>
        <v>1</v>
      </c>
      <c r="E17" s="12" t="str">
        <f t="shared" si="4"/>
        <v>013</v>
      </c>
      <c r="G17" s="12" t="s">
        <v>37</v>
      </c>
      <c r="H17" s="12" t="s">
        <v>3238</v>
      </c>
      <c r="I17" s="12">
        <v>331</v>
      </c>
      <c r="J17" s="12">
        <v>1111</v>
      </c>
      <c r="K17" s="12" t="s">
        <v>20</v>
      </c>
      <c r="L17" s="12">
        <v>1</v>
      </c>
      <c r="M17" s="17">
        <v>2205200</v>
      </c>
      <c r="N17" s="17">
        <f t="shared" si="2"/>
        <v>2205200</v>
      </c>
      <c r="P17" s="12">
        <f t="shared" si="3"/>
        <v>54</v>
      </c>
      <c r="S17"/>
      <c r="T17"/>
    </row>
    <row r="18" spans="1:20" ht="15" hidden="1" customHeight="1" x14ac:dyDescent="0.25">
      <c r="A18" s="12" t="s">
        <v>310</v>
      </c>
      <c r="B18" s="36" t="s">
        <v>559</v>
      </c>
      <c r="C18" s="12">
        <f t="shared" si="0"/>
        <v>14</v>
      </c>
      <c r="D18" s="38">
        <f t="shared" si="1"/>
        <v>1</v>
      </c>
      <c r="E18" s="12" t="str">
        <f t="shared" si="4"/>
        <v>014</v>
      </c>
      <c r="G18" s="12" t="s">
        <v>46</v>
      </c>
      <c r="H18" s="12" t="s">
        <v>3239</v>
      </c>
      <c r="I18" s="12">
        <v>331</v>
      </c>
      <c r="J18" s="12">
        <v>1111</v>
      </c>
      <c r="K18" s="12" t="s">
        <v>20</v>
      </c>
      <c r="L18" s="12">
        <v>1</v>
      </c>
      <c r="M18" s="17">
        <v>834840</v>
      </c>
      <c r="N18" s="17">
        <f t="shared" si="2"/>
        <v>834840</v>
      </c>
      <c r="P18" s="12">
        <f t="shared" si="3"/>
        <v>53</v>
      </c>
      <c r="S18"/>
      <c r="T18"/>
    </row>
    <row r="19" spans="1:20" ht="15" hidden="1" customHeight="1" x14ac:dyDescent="0.2">
      <c r="A19" s="12" t="s">
        <v>310</v>
      </c>
      <c r="B19" s="36" t="s">
        <v>561</v>
      </c>
      <c r="C19" s="12">
        <f t="shared" si="0"/>
        <v>15</v>
      </c>
      <c r="D19" s="38">
        <f t="shared" si="1"/>
        <v>1</v>
      </c>
      <c r="E19" s="12" t="str">
        <f t="shared" si="4"/>
        <v>015</v>
      </c>
      <c r="G19" s="12" t="s">
        <v>275</v>
      </c>
      <c r="H19" s="12" t="s">
        <v>3227</v>
      </c>
      <c r="I19" s="12">
        <v>331</v>
      </c>
      <c r="J19" s="12">
        <v>1111</v>
      </c>
      <c r="K19" s="12" t="s">
        <v>20</v>
      </c>
      <c r="L19" s="12">
        <v>1</v>
      </c>
      <c r="M19" s="17">
        <v>2590000</v>
      </c>
      <c r="N19" s="17">
        <f t="shared" si="2"/>
        <v>2590000</v>
      </c>
      <c r="P19" s="12">
        <f t="shared" si="3"/>
        <v>103</v>
      </c>
    </row>
    <row r="20" spans="1:20" ht="15" hidden="1" customHeight="1" x14ac:dyDescent="0.2">
      <c r="A20" s="12" t="s">
        <v>18</v>
      </c>
      <c r="B20" s="36" t="s">
        <v>496</v>
      </c>
      <c r="C20" s="12">
        <f t="shared" si="0"/>
        <v>16</v>
      </c>
      <c r="D20" s="38">
        <f t="shared" si="1"/>
        <v>1</v>
      </c>
      <c r="E20" s="12" t="str">
        <f t="shared" si="4"/>
        <v>016</v>
      </c>
      <c r="G20" s="12" t="s">
        <v>104</v>
      </c>
      <c r="H20" s="12" t="s">
        <v>3213</v>
      </c>
      <c r="I20" s="12">
        <v>64277</v>
      </c>
      <c r="J20" s="12">
        <v>331</v>
      </c>
      <c r="K20" s="12" t="s">
        <v>20</v>
      </c>
      <c r="L20" s="12">
        <v>1</v>
      </c>
      <c r="M20" s="17">
        <v>222727</v>
      </c>
      <c r="N20" s="17">
        <f t="shared" si="2"/>
        <v>222727</v>
      </c>
      <c r="P20" s="12">
        <f t="shared" si="3"/>
        <v>14</v>
      </c>
    </row>
    <row r="21" spans="1:20" ht="15" hidden="1" customHeight="1" x14ac:dyDescent="0.2">
      <c r="A21" s="12" t="s">
        <v>18</v>
      </c>
      <c r="B21" s="36" t="s">
        <v>496</v>
      </c>
      <c r="C21" s="12">
        <f t="shared" si="0"/>
        <v>16</v>
      </c>
      <c r="D21" s="38">
        <f t="shared" si="1"/>
        <v>0</v>
      </c>
      <c r="E21" s="12" t="str">
        <f t="shared" si="4"/>
        <v>016</v>
      </c>
      <c r="G21" s="12" t="s">
        <v>104</v>
      </c>
      <c r="H21" s="12" t="s">
        <v>3213</v>
      </c>
      <c r="I21" s="12">
        <v>1331</v>
      </c>
      <c r="J21" s="12">
        <v>331</v>
      </c>
      <c r="K21" s="12" t="s">
        <v>20</v>
      </c>
      <c r="L21" s="12">
        <v>1</v>
      </c>
      <c r="M21" s="17">
        <v>20873</v>
      </c>
      <c r="N21" s="17">
        <f t="shared" si="2"/>
        <v>20873</v>
      </c>
      <c r="P21" s="12">
        <f t="shared" si="3"/>
        <v>14</v>
      </c>
    </row>
    <row r="22" spans="1:20" ht="15" hidden="1" customHeight="1" x14ac:dyDescent="0.2">
      <c r="A22" s="12" t="s">
        <v>18</v>
      </c>
      <c r="B22" s="36" t="s">
        <v>828</v>
      </c>
      <c r="C22" s="12">
        <f t="shared" si="0"/>
        <v>17</v>
      </c>
      <c r="D22" s="38">
        <f t="shared" si="1"/>
        <v>1</v>
      </c>
      <c r="E22" s="12" t="str">
        <f t="shared" si="4"/>
        <v>017</v>
      </c>
      <c r="G22" s="12" t="s">
        <v>104</v>
      </c>
      <c r="H22" s="12" t="s">
        <v>3214</v>
      </c>
      <c r="I22" s="12">
        <v>64277</v>
      </c>
      <c r="J22" s="12">
        <v>331</v>
      </c>
      <c r="K22" s="12" t="s">
        <v>20</v>
      </c>
      <c r="L22" s="12">
        <v>1</v>
      </c>
      <c r="M22" s="17">
        <v>222727</v>
      </c>
      <c r="N22" s="17">
        <f t="shared" si="2"/>
        <v>222727</v>
      </c>
      <c r="P22" s="12">
        <f t="shared" si="3"/>
        <v>14</v>
      </c>
    </row>
    <row r="23" spans="1:20" ht="15" hidden="1" customHeight="1" x14ac:dyDescent="0.2">
      <c r="A23" s="12" t="s">
        <v>18</v>
      </c>
      <c r="B23" s="36" t="s">
        <v>828</v>
      </c>
      <c r="C23" s="12">
        <f t="shared" si="0"/>
        <v>17</v>
      </c>
      <c r="D23" s="38">
        <f t="shared" si="1"/>
        <v>0</v>
      </c>
      <c r="E23" s="12" t="str">
        <f t="shared" si="4"/>
        <v>017</v>
      </c>
      <c r="G23" s="12" t="s">
        <v>104</v>
      </c>
      <c r="H23" s="12" t="s">
        <v>3214</v>
      </c>
      <c r="I23" s="12">
        <v>1331</v>
      </c>
      <c r="J23" s="12">
        <v>331</v>
      </c>
      <c r="K23" s="12" t="s">
        <v>20</v>
      </c>
      <c r="L23" s="12">
        <v>1</v>
      </c>
      <c r="M23" s="17">
        <v>20873</v>
      </c>
      <c r="N23" s="17">
        <f t="shared" si="2"/>
        <v>20873</v>
      </c>
      <c r="P23" s="12">
        <f t="shared" si="3"/>
        <v>14</v>
      </c>
    </row>
    <row r="24" spans="1:20" ht="15" hidden="1" customHeight="1" x14ac:dyDescent="0.2">
      <c r="A24" s="12" t="s">
        <v>18</v>
      </c>
      <c r="B24" s="36" t="s">
        <v>503</v>
      </c>
      <c r="C24" s="12">
        <f t="shared" si="0"/>
        <v>18</v>
      </c>
      <c r="D24" s="38">
        <f t="shared" si="1"/>
        <v>1</v>
      </c>
      <c r="E24" s="12" t="str">
        <f t="shared" si="4"/>
        <v>018</v>
      </c>
      <c r="G24" s="12" t="s">
        <v>54</v>
      </c>
      <c r="H24" s="12" t="s">
        <v>3215</v>
      </c>
      <c r="I24" s="12">
        <v>64277</v>
      </c>
      <c r="J24" s="12">
        <v>331</v>
      </c>
      <c r="K24" s="12" t="s">
        <v>20</v>
      </c>
      <c r="L24" s="12">
        <v>1</v>
      </c>
      <c r="M24" s="17">
        <v>99000</v>
      </c>
      <c r="N24" s="17">
        <f t="shared" si="2"/>
        <v>99000</v>
      </c>
      <c r="P24" s="12">
        <f t="shared" si="3"/>
        <v>73</v>
      </c>
    </row>
    <row r="25" spans="1:20" ht="15" hidden="1" customHeight="1" x14ac:dyDescent="0.2">
      <c r="A25" s="12" t="s">
        <v>18</v>
      </c>
      <c r="B25" s="36" t="s">
        <v>503</v>
      </c>
      <c r="C25" s="12">
        <f t="shared" si="0"/>
        <v>18</v>
      </c>
      <c r="D25" s="38">
        <f t="shared" si="1"/>
        <v>0</v>
      </c>
      <c r="E25" s="12" t="str">
        <f t="shared" si="4"/>
        <v>018</v>
      </c>
      <c r="G25" s="12" t="s">
        <v>54</v>
      </c>
      <c r="H25" s="12" t="s">
        <v>3215</v>
      </c>
      <c r="I25" s="12">
        <v>1331</v>
      </c>
      <c r="J25" s="12">
        <v>331</v>
      </c>
      <c r="K25" s="12" t="s">
        <v>20</v>
      </c>
      <c r="L25" s="12">
        <v>1</v>
      </c>
      <c r="M25" s="17">
        <v>0</v>
      </c>
      <c r="N25" s="17">
        <f t="shared" si="2"/>
        <v>0</v>
      </c>
      <c r="P25" s="12">
        <f t="shared" si="3"/>
        <v>73</v>
      </c>
    </row>
    <row r="26" spans="1:20" ht="15" hidden="1" customHeight="1" x14ac:dyDescent="0.2">
      <c r="A26" s="12" t="s">
        <v>18</v>
      </c>
      <c r="B26" s="36" t="s">
        <v>503</v>
      </c>
      <c r="C26" s="12">
        <f t="shared" si="0"/>
        <v>19</v>
      </c>
      <c r="D26" s="38">
        <f t="shared" si="1"/>
        <v>1</v>
      </c>
      <c r="E26" s="12" t="str">
        <f t="shared" si="4"/>
        <v>019</v>
      </c>
      <c r="G26" s="12" t="s">
        <v>3211</v>
      </c>
      <c r="H26" s="12" t="s">
        <v>3216</v>
      </c>
      <c r="I26" s="12">
        <v>64277</v>
      </c>
      <c r="J26" s="12">
        <v>331</v>
      </c>
      <c r="K26" s="12" t="s">
        <v>20</v>
      </c>
      <c r="L26" s="12">
        <v>1</v>
      </c>
      <c r="M26" s="17">
        <v>4548000</v>
      </c>
      <c r="N26" s="17">
        <f t="shared" si="2"/>
        <v>4548000</v>
      </c>
      <c r="P26" s="12">
        <f t="shared" si="3"/>
        <v>102</v>
      </c>
    </row>
    <row r="27" spans="1:20" ht="15" hidden="1" customHeight="1" x14ac:dyDescent="0.25">
      <c r="A27" s="12" t="s">
        <v>18</v>
      </c>
      <c r="B27" s="36" t="s">
        <v>503</v>
      </c>
      <c r="C27" s="12">
        <f t="shared" si="0"/>
        <v>19</v>
      </c>
      <c r="D27" s="38">
        <f t="shared" si="1"/>
        <v>0</v>
      </c>
      <c r="E27" s="12" t="str">
        <f t="shared" si="4"/>
        <v>019</v>
      </c>
      <c r="G27" s="12" t="s">
        <v>3211</v>
      </c>
      <c r="H27" s="12" t="s">
        <v>3216</v>
      </c>
      <c r="I27" s="12">
        <v>1331</v>
      </c>
      <c r="J27" s="12">
        <v>331</v>
      </c>
      <c r="K27" s="12" t="s">
        <v>20</v>
      </c>
      <c r="L27" s="12">
        <v>1</v>
      </c>
      <c r="M27" s="17">
        <v>454800</v>
      </c>
      <c r="N27" s="17">
        <f t="shared" si="2"/>
        <v>454800</v>
      </c>
      <c r="P27" s="12">
        <f t="shared" si="3"/>
        <v>102</v>
      </c>
      <c r="S27"/>
    </row>
    <row r="28" spans="1:20" ht="15" hidden="1" customHeight="1" x14ac:dyDescent="0.25">
      <c r="A28" s="12" t="s">
        <v>18</v>
      </c>
      <c r="B28" s="36" t="s">
        <v>549</v>
      </c>
      <c r="C28" s="12">
        <f t="shared" si="0"/>
        <v>20</v>
      </c>
      <c r="D28" s="38">
        <f t="shared" si="1"/>
        <v>1</v>
      </c>
      <c r="E28" s="12" t="str">
        <f t="shared" si="4"/>
        <v>020</v>
      </c>
      <c r="G28" s="12" t="s">
        <v>54</v>
      </c>
      <c r="H28" s="12" t="s">
        <v>3217</v>
      </c>
      <c r="I28" s="12">
        <v>64277</v>
      </c>
      <c r="J28" s="12">
        <v>331</v>
      </c>
      <c r="K28" s="12" t="s">
        <v>20</v>
      </c>
      <c r="L28" s="12">
        <v>1</v>
      </c>
      <c r="M28" s="17">
        <v>763000</v>
      </c>
      <c r="N28" s="17">
        <f t="shared" si="2"/>
        <v>763000</v>
      </c>
      <c r="P28" s="12">
        <f t="shared" si="3"/>
        <v>82</v>
      </c>
      <c r="S28"/>
    </row>
    <row r="29" spans="1:20" ht="15" hidden="1" customHeight="1" x14ac:dyDescent="0.25">
      <c r="A29" s="12" t="s">
        <v>18</v>
      </c>
      <c r="B29" s="36" t="s">
        <v>549</v>
      </c>
      <c r="C29" s="12">
        <f t="shared" si="0"/>
        <v>20</v>
      </c>
      <c r="D29" s="38">
        <f t="shared" si="1"/>
        <v>0</v>
      </c>
      <c r="E29" s="12" t="str">
        <f t="shared" si="4"/>
        <v>020</v>
      </c>
      <c r="G29" s="12" t="s">
        <v>54</v>
      </c>
      <c r="H29" s="12" t="s">
        <v>3217</v>
      </c>
      <c r="I29" s="12">
        <v>1331</v>
      </c>
      <c r="J29" s="12">
        <v>331</v>
      </c>
      <c r="K29" s="12" t="s">
        <v>20</v>
      </c>
      <c r="L29" s="12">
        <v>1</v>
      </c>
      <c r="M29" s="17">
        <v>61040</v>
      </c>
      <c r="N29" s="17">
        <f t="shared" si="2"/>
        <v>61040</v>
      </c>
      <c r="P29" s="12">
        <f t="shared" si="3"/>
        <v>82</v>
      </c>
      <c r="S29"/>
    </row>
    <row r="30" spans="1:20" ht="15" hidden="1" customHeight="1" x14ac:dyDescent="0.25">
      <c r="A30" s="12" t="s">
        <v>18</v>
      </c>
      <c r="B30" s="36" t="s">
        <v>549</v>
      </c>
      <c r="C30" s="12">
        <f t="shared" si="0"/>
        <v>21</v>
      </c>
      <c r="D30" s="38">
        <f t="shared" si="1"/>
        <v>1</v>
      </c>
      <c r="E30" s="12" t="str">
        <f t="shared" si="4"/>
        <v>021</v>
      </c>
      <c r="G30" s="12" t="s">
        <v>990</v>
      </c>
      <c r="H30" s="12" t="s">
        <v>3218</v>
      </c>
      <c r="I30" s="12">
        <v>64277</v>
      </c>
      <c r="J30" s="12">
        <v>331</v>
      </c>
      <c r="K30" s="12" t="s">
        <v>20</v>
      </c>
      <c r="L30" s="12">
        <v>1</v>
      </c>
      <c r="M30" s="17">
        <v>452778</v>
      </c>
      <c r="N30" s="17">
        <f t="shared" si="2"/>
        <v>452778</v>
      </c>
      <c r="P30" s="12">
        <f t="shared" si="3"/>
        <v>20</v>
      </c>
      <c r="S30"/>
    </row>
    <row r="31" spans="1:20" ht="15" hidden="1" customHeight="1" x14ac:dyDescent="0.25">
      <c r="A31" s="12" t="s">
        <v>18</v>
      </c>
      <c r="B31" s="36" t="s">
        <v>549</v>
      </c>
      <c r="C31" s="12">
        <f t="shared" si="0"/>
        <v>21</v>
      </c>
      <c r="D31" s="38">
        <f t="shared" si="1"/>
        <v>0</v>
      </c>
      <c r="E31" s="12" t="str">
        <f t="shared" si="4"/>
        <v>021</v>
      </c>
      <c r="G31" s="12" t="s">
        <v>990</v>
      </c>
      <c r="H31" s="12" t="s">
        <v>3218</v>
      </c>
      <c r="I31" s="12">
        <v>1331</v>
      </c>
      <c r="J31" s="12">
        <v>331</v>
      </c>
      <c r="K31" s="12" t="s">
        <v>20</v>
      </c>
      <c r="L31" s="12">
        <v>1</v>
      </c>
      <c r="M31" s="17">
        <v>36222</v>
      </c>
      <c r="N31" s="17">
        <f t="shared" si="2"/>
        <v>36222</v>
      </c>
      <c r="P31" s="12">
        <f t="shared" si="3"/>
        <v>20</v>
      </c>
      <c r="S31"/>
    </row>
    <row r="32" spans="1:20" ht="15" hidden="1" customHeight="1" x14ac:dyDescent="0.25">
      <c r="A32" s="12" t="s">
        <v>18</v>
      </c>
      <c r="B32" s="36" t="s">
        <v>504</v>
      </c>
      <c r="C32" s="12">
        <f t="shared" si="0"/>
        <v>22</v>
      </c>
      <c r="D32" s="38">
        <f t="shared" si="1"/>
        <v>1</v>
      </c>
      <c r="E32" s="12" t="str">
        <f t="shared" si="4"/>
        <v>022</v>
      </c>
      <c r="G32" s="12" t="s">
        <v>26</v>
      </c>
      <c r="H32" s="12" t="s">
        <v>3228</v>
      </c>
      <c r="I32" s="12">
        <v>131</v>
      </c>
      <c r="J32" s="12">
        <v>5113</v>
      </c>
      <c r="K32" s="12" t="s">
        <v>20</v>
      </c>
      <c r="L32" s="12">
        <v>1</v>
      </c>
      <c r="M32" s="17">
        <v>8888889</v>
      </c>
      <c r="N32" s="17">
        <f t="shared" si="2"/>
        <v>8888889</v>
      </c>
      <c r="P32" s="12">
        <f t="shared" si="3"/>
        <v>152</v>
      </c>
      <c r="S32"/>
    </row>
    <row r="33" spans="1:19" ht="15" customHeight="1" x14ac:dyDescent="0.25">
      <c r="A33" s="12" t="s">
        <v>18</v>
      </c>
      <c r="B33" s="36" t="s">
        <v>504</v>
      </c>
      <c r="C33" s="12">
        <f t="shared" si="0"/>
        <v>23</v>
      </c>
      <c r="D33" s="38">
        <f t="shared" si="1"/>
        <v>1</v>
      </c>
      <c r="E33" s="12" t="str">
        <f t="shared" si="4"/>
        <v>023</v>
      </c>
      <c r="G33" s="12" t="s">
        <v>26</v>
      </c>
      <c r="H33" s="12" t="s">
        <v>3232</v>
      </c>
      <c r="I33" s="12">
        <v>333821</v>
      </c>
      <c r="J33" s="12">
        <v>131</v>
      </c>
      <c r="K33" s="12" t="s">
        <v>20</v>
      </c>
      <c r="L33" s="12">
        <v>1</v>
      </c>
      <c r="M33" s="17">
        <v>88889</v>
      </c>
      <c r="N33" s="17">
        <f t="shared" si="2"/>
        <v>88889</v>
      </c>
      <c r="P33" s="12">
        <f t="shared" si="3"/>
        <v>168</v>
      </c>
      <c r="S33"/>
    </row>
    <row r="34" spans="1:19" ht="15" hidden="1" customHeight="1" x14ac:dyDescent="0.25">
      <c r="A34" s="12" t="s">
        <v>18</v>
      </c>
      <c r="B34" s="36" t="s">
        <v>553</v>
      </c>
      <c r="C34" s="12">
        <f t="shared" si="0"/>
        <v>24</v>
      </c>
      <c r="D34" s="38">
        <f t="shared" si="1"/>
        <v>1</v>
      </c>
      <c r="E34" s="12" t="str">
        <f t="shared" si="4"/>
        <v>024</v>
      </c>
      <c r="G34" s="12" t="s">
        <v>46</v>
      </c>
      <c r="H34" s="12" t="s">
        <v>3240</v>
      </c>
      <c r="I34" s="12">
        <v>64277</v>
      </c>
      <c r="J34" s="12">
        <v>331</v>
      </c>
      <c r="K34" s="12" t="s">
        <v>20</v>
      </c>
      <c r="L34" s="12">
        <v>1</v>
      </c>
      <c r="M34" s="17">
        <v>1270000</v>
      </c>
      <c r="N34" s="17">
        <f t="shared" si="2"/>
        <v>1270000</v>
      </c>
      <c r="P34" s="12">
        <f t="shared" si="3"/>
        <v>38</v>
      </c>
      <c r="S34"/>
    </row>
    <row r="35" spans="1:19" ht="15" hidden="1" customHeight="1" x14ac:dyDescent="0.25">
      <c r="A35" s="12" t="s">
        <v>18</v>
      </c>
      <c r="B35" s="36" t="s">
        <v>553</v>
      </c>
      <c r="C35" s="12">
        <f t="shared" si="0"/>
        <v>24</v>
      </c>
      <c r="D35" s="38">
        <f t="shared" si="1"/>
        <v>0</v>
      </c>
      <c r="E35" s="12" t="str">
        <f t="shared" si="4"/>
        <v>024</v>
      </c>
      <c r="G35" s="12" t="s">
        <v>46</v>
      </c>
      <c r="H35" s="12" t="s">
        <v>3240</v>
      </c>
      <c r="I35" s="12">
        <v>1331</v>
      </c>
      <c r="J35" s="12">
        <v>331</v>
      </c>
      <c r="K35" s="12" t="s">
        <v>20</v>
      </c>
      <c r="L35" s="12">
        <v>1</v>
      </c>
      <c r="M35" s="17">
        <v>101600</v>
      </c>
      <c r="N35" s="17">
        <f t="shared" si="2"/>
        <v>101600</v>
      </c>
      <c r="P35" s="12">
        <f t="shared" si="3"/>
        <v>38</v>
      </c>
      <c r="S35"/>
    </row>
    <row r="36" spans="1:19" ht="15" hidden="1" customHeight="1" x14ac:dyDescent="0.25">
      <c r="A36" s="12" t="s">
        <v>18</v>
      </c>
      <c r="B36" s="36" t="s">
        <v>555</v>
      </c>
      <c r="C36" s="12">
        <f t="shared" si="0"/>
        <v>25</v>
      </c>
      <c r="D36" s="38">
        <f t="shared" si="1"/>
        <v>1</v>
      </c>
      <c r="E36" s="12" t="str">
        <f t="shared" si="4"/>
        <v>025</v>
      </c>
      <c r="G36" s="12" t="s">
        <v>3212</v>
      </c>
      <c r="H36" s="12" t="s">
        <v>3241</v>
      </c>
      <c r="I36" s="12">
        <v>64277</v>
      </c>
      <c r="J36" s="12">
        <v>331</v>
      </c>
      <c r="K36" s="12" t="s">
        <v>20</v>
      </c>
      <c r="L36" s="12">
        <v>1</v>
      </c>
      <c r="M36" s="17">
        <v>1449000</v>
      </c>
      <c r="N36" s="17">
        <f t="shared" si="2"/>
        <v>1449000</v>
      </c>
      <c r="P36" s="12">
        <f t="shared" si="3"/>
        <v>41</v>
      </c>
      <c r="S36"/>
    </row>
    <row r="37" spans="1:19" ht="15" hidden="1" customHeight="1" x14ac:dyDescent="0.25">
      <c r="A37" s="12" t="s">
        <v>18</v>
      </c>
      <c r="B37" s="36" t="s">
        <v>555</v>
      </c>
      <c r="C37" s="12">
        <f t="shared" si="0"/>
        <v>25</v>
      </c>
      <c r="D37" s="38">
        <f t="shared" si="1"/>
        <v>0</v>
      </c>
      <c r="E37" s="12" t="str">
        <f t="shared" si="4"/>
        <v>025</v>
      </c>
      <c r="G37" s="12" t="s">
        <v>3212</v>
      </c>
      <c r="H37" s="12" t="s">
        <v>3241</v>
      </c>
      <c r="I37" s="12">
        <v>1331</v>
      </c>
      <c r="J37" s="12">
        <v>331</v>
      </c>
      <c r="K37" s="12" t="s">
        <v>20</v>
      </c>
      <c r="L37" s="12">
        <v>1</v>
      </c>
      <c r="M37" s="17">
        <v>115920</v>
      </c>
      <c r="N37" s="17">
        <f t="shared" si="2"/>
        <v>115920</v>
      </c>
      <c r="P37" s="12">
        <f t="shared" si="3"/>
        <v>41</v>
      </c>
      <c r="S37"/>
    </row>
    <row r="38" spans="1:19" ht="15" hidden="1" customHeight="1" x14ac:dyDescent="0.25">
      <c r="A38" s="12" t="s">
        <v>18</v>
      </c>
      <c r="B38" s="36" t="s">
        <v>505</v>
      </c>
      <c r="C38" s="12">
        <f t="shared" si="0"/>
        <v>26</v>
      </c>
      <c r="D38" s="38">
        <f t="shared" si="1"/>
        <v>1</v>
      </c>
      <c r="E38" s="12" t="str">
        <f t="shared" si="4"/>
        <v>026</v>
      </c>
      <c r="G38" s="12" t="s">
        <v>67</v>
      </c>
      <c r="H38" s="12" t="s">
        <v>3229</v>
      </c>
      <c r="I38" s="12">
        <v>131</v>
      </c>
      <c r="J38" s="12">
        <v>5113</v>
      </c>
      <c r="K38" s="12" t="s">
        <v>20</v>
      </c>
      <c r="L38" s="12">
        <v>1</v>
      </c>
      <c r="M38" s="17">
        <v>11111111</v>
      </c>
      <c r="N38" s="17">
        <f t="shared" si="2"/>
        <v>11111111</v>
      </c>
      <c r="P38" s="12">
        <f t="shared" si="3"/>
        <v>120</v>
      </c>
      <c r="S38"/>
    </row>
    <row r="39" spans="1:19" ht="15" customHeight="1" x14ac:dyDescent="0.25">
      <c r="A39" s="12" t="s">
        <v>18</v>
      </c>
      <c r="B39" s="36" t="s">
        <v>505</v>
      </c>
      <c r="C39" s="12">
        <f t="shared" si="0"/>
        <v>27</v>
      </c>
      <c r="D39" s="38">
        <f t="shared" si="1"/>
        <v>1</v>
      </c>
      <c r="E39" s="12" t="str">
        <f t="shared" si="4"/>
        <v>027</v>
      </c>
      <c r="G39" s="12" t="s">
        <v>67</v>
      </c>
      <c r="H39" s="12" t="s">
        <v>3233</v>
      </c>
      <c r="I39" s="12">
        <v>333821</v>
      </c>
      <c r="J39" s="12">
        <v>131</v>
      </c>
      <c r="K39" s="12" t="s">
        <v>20</v>
      </c>
      <c r="L39" s="12">
        <v>1</v>
      </c>
      <c r="M39" s="17">
        <v>111111</v>
      </c>
      <c r="N39" s="17">
        <f t="shared" si="2"/>
        <v>111111</v>
      </c>
      <c r="P39" s="12">
        <f t="shared" si="3"/>
        <v>136</v>
      </c>
      <c r="S39"/>
    </row>
    <row r="40" spans="1:19" ht="15" hidden="1" customHeight="1" x14ac:dyDescent="0.25">
      <c r="A40" s="12" t="s">
        <v>18</v>
      </c>
      <c r="B40" s="36" t="s">
        <v>558</v>
      </c>
      <c r="C40" s="12">
        <f t="shared" si="0"/>
        <v>28</v>
      </c>
      <c r="D40" s="38">
        <f t="shared" si="1"/>
        <v>1</v>
      </c>
      <c r="E40" s="12" t="str">
        <f t="shared" si="4"/>
        <v>028</v>
      </c>
      <c r="G40" s="12" t="s">
        <v>37</v>
      </c>
      <c r="H40" s="12" t="s">
        <v>3242</v>
      </c>
      <c r="I40" s="12">
        <v>64277</v>
      </c>
      <c r="J40" s="12">
        <v>331</v>
      </c>
      <c r="K40" s="12" t="s">
        <v>20</v>
      </c>
      <c r="L40" s="12">
        <v>1</v>
      </c>
      <c r="M40" s="17">
        <v>2041851.86</v>
      </c>
      <c r="N40" s="17">
        <f t="shared" si="2"/>
        <v>2041851.86</v>
      </c>
      <c r="P40" s="12">
        <f t="shared" si="3"/>
        <v>43</v>
      </c>
      <c r="S40"/>
    </row>
    <row r="41" spans="1:19" ht="15" hidden="1" customHeight="1" x14ac:dyDescent="0.25">
      <c r="A41" s="12" t="s">
        <v>18</v>
      </c>
      <c r="B41" s="36" t="s">
        <v>558</v>
      </c>
      <c r="C41" s="12">
        <f t="shared" si="0"/>
        <v>28</v>
      </c>
      <c r="D41" s="38">
        <f t="shared" si="1"/>
        <v>0</v>
      </c>
      <c r="E41" s="12" t="str">
        <f t="shared" si="4"/>
        <v>028</v>
      </c>
      <c r="G41" s="12" t="s">
        <v>37</v>
      </c>
      <c r="H41" s="12" t="s">
        <v>3242</v>
      </c>
      <c r="I41" s="12">
        <v>1331</v>
      </c>
      <c r="J41" s="12">
        <v>331</v>
      </c>
      <c r="K41" s="12" t="s">
        <v>20</v>
      </c>
      <c r="L41" s="12">
        <v>1</v>
      </c>
      <c r="M41" s="17">
        <v>163348.14000000001</v>
      </c>
      <c r="N41" s="17">
        <f t="shared" si="2"/>
        <v>163348.14000000001</v>
      </c>
      <c r="P41" s="12">
        <f t="shared" si="3"/>
        <v>43</v>
      </c>
      <c r="S41"/>
    </row>
    <row r="42" spans="1:19" ht="15" hidden="1" customHeight="1" x14ac:dyDescent="0.25">
      <c r="A42" s="12" t="s">
        <v>18</v>
      </c>
      <c r="B42" s="36" t="s">
        <v>559</v>
      </c>
      <c r="C42" s="12">
        <f t="shared" si="0"/>
        <v>29</v>
      </c>
      <c r="D42" s="38">
        <f t="shared" si="1"/>
        <v>1</v>
      </c>
      <c r="E42" s="12" t="str">
        <f t="shared" si="4"/>
        <v>029</v>
      </c>
      <c r="G42" s="12" t="s">
        <v>46</v>
      </c>
      <c r="H42" s="12" t="s">
        <v>3219</v>
      </c>
      <c r="I42" s="12">
        <v>64277</v>
      </c>
      <c r="J42" s="12">
        <v>331</v>
      </c>
      <c r="K42" s="12" t="s">
        <v>20</v>
      </c>
      <c r="L42" s="12">
        <v>1</v>
      </c>
      <c r="M42" s="17">
        <v>773000</v>
      </c>
      <c r="N42" s="17">
        <f t="shared" si="2"/>
        <v>773000</v>
      </c>
      <c r="P42" s="12">
        <f t="shared" si="3"/>
        <v>200</v>
      </c>
      <c r="S42"/>
    </row>
    <row r="43" spans="1:19" ht="15" hidden="1" customHeight="1" x14ac:dyDescent="0.25">
      <c r="A43" s="12" t="s">
        <v>18</v>
      </c>
      <c r="B43" s="36" t="s">
        <v>559</v>
      </c>
      <c r="C43" s="12">
        <f t="shared" si="0"/>
        <v>29</v>
      </c>
      <c r="D43" s="38">
        <f t="shared" si="1"/>
        <v>0</v>
      </c>
      <c r="E43" s="12" t="str">
        <f t="shared" si="4"/>
        <v>029</v>
      </c>
      <c r="G43" s="12" t="s">
        <v>46</v>
      </c>
      <c r="H43" s="12" t="s">
        <v>3219</v>
      </c>
      <c r="I43" s="12">
        <v>1331</v>
      </c>
      <c r="J43" s="12">
        <v>331</v>
      </c>
      <c r="K43" s="12" t="s">
        <v>20</v>
      </c>
      <c r="L43" s="12">
        <v>1</v>
      </c>
      <c r="M43" s="17">
        <v>61840</v>
      </c>
      <c r="N43" s="17">
        <f t="shared" si="2"/>
        <v>61840</v>
      </c>
      <c r="P43" s="12">
        <f t="shared" si="3"/>
        <v>200</v>
      </c>
      <c r="S43"/>
    </row>
    <row r="44" spans="1:19" ht="15" customHeight="1" x14ac:dyDescent="0.25">
      <c r="A44" s="12" t="s">
        <v>18</v>
      </c>
      <c r="B44" s="36" t="s">
        <v>663</v>
      </c>
      <c r="C44" s="12">
        <f t="shared" si="0"/>
        <v>30</v>
      </c>
      <c r="D44" s="38">
        <f t="shared" si="1"/>
        <v>1</v>
      </c>
      <c r="E44" s="12" t="str">
        <f t="shared" si="4"/>
        <v>030</v>
      </c>
      <c r="G44" s="12" t="s">
        <v>311</v>
      </c>
      <c r="H44" s="12" t="s">
        <v>3234</v>
      </c>
      <c r="I44" s="12">
        <v>333821</v>
      </c>
      <c r="J44" s="12">
        <v>131</v>
      </c>
      <c r="K44" s="12" t="s">
        <v>20</v>
      </c>
      <c r="L44" s="12">
        <v>1</v>
      </c>
      <c r="M44" s="17">
        <v>225637</v>
      </c>
      <c r="N44" s="17">
        <f t="shared" si="2"/>
        <v>225637</v>
      </c>
      <c r="P44" s="12">
        <f t="shared" si="3"/>
        <v>83</v>
      </c>
      <c r="S44"/>
    </row>
    <row r="45" spans="1:19" ht="15" customHeight="1" x14ac:dyDescent="0.25">
      <c r="A45" s="12" t="s">
        <v>18</v>
      </c>
      <c r="B45" s="36" t="s">
        <v>663</v>
      </c>
      <c r="C45" s="12">
        <f t="shared" si="0"/>
        <v>31</v>
      </c>
      <c r="D45" s="38">
        <f t="shared" si="1"/>
        <v>1</v>
      </c>
      <c r="E45" s="12" t="str">
        <f t="shared" si="4"/>
        <v>031</v>
      </c>
      <c r="G45" s="12" t="s">
        <v>29</v>
      </c>
      <c r="H45" s="12" t="s">
        <v>3235</v>
      </c>
      <c r="I45" s="12">
        <v>333821</v>
      </c>
      <c r="J45" s="12">
        <v>131</v>
      </c>
      <c r="K45" s="12" t="s">
        <v>20</v>
      </c>
      <c r="L45" s="12">
        <v>1</v>
      </c>
      <c r="M45" s="17">
        <v>233333</v>
      </c>
      <c r="N45" s="17">
        <f t="shared" si="2"/>
        <v>233333</v>
      </c>
      <c r="P45" s="12">
        <f t="shared" si="3"/>
        <v>147</v>
      </c>
      <c r="S45"/>
    </row>
    <row r="46" spans="1:19" ht="15" hidden="1" customHeight="1" x14ac:dyDescent="0.25">
      <c r="A46" s="12" t="s">
        <v>18</v>
      </c>
      <c r="B46" s="36" t="s">
        <v>663</v>
      </c>
      <c r="C46" s="12">
        <f t="shared" si="0"/>
        <v>32</v>
      </c>
      <c r="D46" s="38">
        <f t="shared" si="1"/>
        <v>1</v>
      </c>
      <c r="E46" s="12" t="str">
        <f t="shared" si="4"/>
        <v>032</v>
      </c>
      <c r="G46" s="12" t="s">
        <v>311</v>
      </c>
      <c r="H46" s="12" t="s">
        <v>3230</v>
      </c>
      <c r="I46" s="12">
        <v>131</v>
      </c>
      <c r="J46" s="12">
        <v>5118</v>
      </c>
      <c r="K46" s="12" t="s">
        <v>20</v>
      </c>
      <c r="L46" s="12">
        <v>1</v>
      </c>
      <c r="M46" s="17">
        <v>22563692</v>
      </c>
      <c r="N46" s="17">
        <f t="shared" si="2"/>
        <v>22563692</v>
      </c>
      <c r="P46" s="12">
        <f t="shared" si="3"/>
        <v>67</v>
      </c>
      <c r="S46"/>
    </row>
    <row r="47" spans="1:19" ht="15" hidden="1" customHeight="1" x14ac:dyDescent="0.25">
      <c r="A47" s="12" t="s">
        <v>18</v>
      </c>
      <c r="B47" s="36" t="s">
        <v>663</v>
      </c>
      <c r="C47" s="12">
        <f t="shared" si="0"/>
        <v>33</v>
      </c>
      <c r="D47" s="38">
        <f t="shared" si="1"/>
        <v>1</v>
      </c>
      <c r="E47" s="12" t="str">
        <f t="shared" si="4"/>
        <v>033</v>
      </c>
      <c r="G47" s="12" t="s">
        <v>29</v>
      </c>
      <c r="H47" s="12" t="s">
        <v>3231</v>
      </c>
      <c r="I47" s="12">
        <v>131</v>
      </c>
      <c r="J47" s="12">
        <v>5113</v>
      </c>
      <c r="K47" s="12" t="s">
        <v>20</v>
      </c>
      <c r="L47" s="12">
        <v>1</v>
      </c>
      <c r="M47" s="17">
        <v>23333333</v>
      </c>
      <c r="N47" s="17">
        <f t="shared" si="2"/>
        <v>23333333</v>
      </c>
      <c r="P47" s="12">
        <f t="shared" si="3"/>
        <v>131</v>
      </c>
      <c r="S47"/>
    </row>
    <row r="48" spans="1:19" ht="15" hidden="1" customHeight="1" x14ac:dyDescent="0.25">
      <c r="A48" s="12" t="s">
        <v>18</v>
      </c>
      <c r="B48" s="36" t="s">
        <v>561</v>
      </c>
      <c r="C48" s="12">
        <f t="shared" si="0"/>
        <v>34</v>
      </c>
      <c r="D48" s="38">
        <f t="shared" si="1"/>
        <v>1</v>
      </c>
      <c r="E48" s="12" t="str">
        <f t="shared" si="4"/>
        <v>034</v>
      </c>
      <c r="G48" s="12" t="s">
        <v>275</v>
      </c>
      <c r="H48" s="12" t="s">
        <v>3220</v>
      </c>
      <c r="I48" s="12">
        <v>64277</v>
      </c>
      <c r="J48" s="12">
        <v>331</v>
      </c>
      <c r="K48" s="12" t="s">
        <v>20</v>
      </c>
      <c r="L48" s="12">
        <v>1</v>
      </c>
      <c r="M48" s="17">
        <v>2398148</v>
      </c>
      <c r="N48" s="17">
        <f t="shared" si="2"/>
        <v>2398148</v>
      </c>
      <c r="P48" s="12">
        <f t="shared" si="3"/>
        <v>92</v>
      </c>
      <c r="S48"/>
    </row>
    <row r="49" spans="1:19" ht="15" hidden="1" customHeight="1" x14ac:dyDescent="0.25">
      <c r="A49" s="12" t="s">
        <v>18</v>
      </c>
      <c r="B49" s="36" t="s">
        <v>561</v>
      </c>
      <c r="C49" s="12">
        <f t="shared" si="0"/>
        <v>34</v>
      </c>
      <c r="D49" s="38">
        <f t="shared" si="1"/>
        <v>0</v>
      </c>
      <c r="E49" s="12" t="str">
        <f t="shared" si="4"/>
        <v>034</v>
      </c>
      <c r="G49" s="12" t="s">
        <v>275</v>
      </c>
      <c r="H49" s="12" t="s">
        <v>3220</v>
      </c>
      <c r="I49" s="12">
        <v>1331</v>
      </c>
      <c r="J49" s="12">
        <v>331</v>
      </c>
      <c r="K49" s="12" t="s">
        <v>20</v>
      </c>
      <c r="L49" s="12">
        <v>1</v>
      </c>
      <c r="M49" s="17">
        <v>191852</v>
      </c>
      <c r="N49" s="17">
        <f t="shared" si="2"/>
        <v>191852</v>
      </c>
      <c r="P49" s="12">
        <f t="shared" si="3"/>
        <v>92</v>
      </c>
      <c r="S49"/>
    </row>
    <row r="50" spans="1:19" ht="15" hidden="1" customHeight="1" x14ac:dyDescent="0.25">
      <c r="A50" s="12" t="s">
        <v>3256</v>
      </c>
      <c r="B50" s="36">
        <v>46023</v>
      </c>
      <c r="C50" s="12">
        <f t="shared" si="0"/>
        <v>35</v>
      </c>
      <c r="D50" s="38">
        <f t="shared" si="1"/>
        <v>1</v>
      </c>
      <c r="E50" s="12" t="str">
        <f t="shared" si="4"/>
        <v>035</v>
      </c>
      <c r="G50" s="130" t="s">
        <v>3133</v>
      </c>
      <c r="H50" s="12" t="s">
        <v>3257</v>
      </c>
      <c r="I50" s="12">
        <v>1111</v>
      </c>
      <c r="J50" s="12">
        <v>41111</v>
      </c>
      <c r="K50" s="12" t="s">
        <v>20</v>
      </c>
      <c r="L50" s="12">
        <v>1</v>
      </c>
      <c r="M50" s="17">
        <v>100000000</v>
      </c>
      <c r="N50" s="17">
        <f t="shared" si="2"/>
        <v>100000000</v>
      </c>
      <c r="P50" s="12">
        <f t="shared" si="3"/>
        <v>26</v>
      </c>
      <c r="S50"/>
    </row>
    <row r="51" spans="1:19" ht="15" customHeight="1" x14ac:dyDescent="0.2">
      <c r="M51" s="17"/>
    </row>
  </sheetData>
  <autoFilter ref="A3:P50" xr:uid="{00000000-0009-0000-0000-00001F000000}">
    <filterColumn colId="8">
      <filters>
        <filter val="333821"/>
      </filters>
    </filterColumn>
    <filterColumn colId="9">
      <filters>
        <filter val="131"/>
      </filters>
    </filterColumn>
    <sortState xmlns:xlrd2="http://schemas.microsoft.com/office/spreadsheetml/2017/richdata2" ref="A4:P50">
      <sortCondition ref="A4:A50"/>
      <sortCondition ref="B4:B50"/>
      <sortCondition ref="H4:H50"/>
    </sortState>
  </autoFilter>
  <mergeCells count="12">
    <mergeCell ref="N1:N2"/>
    <mergeCell ref="A1:A2"/>
    <mergeCell ref="B1:B2"/>
    <mergeCell ref="C1:C2"/>
    <mergeCell ref="D1:D2"/>
    <mergeCell ref="E1:E2"/>
    <mergeCell ref="G1:G2"/>
    <mergeCell ref="H1:H2"/>
    <mergeCell ref="I1:J1"/>
    <mergeCell ref="K1:K2"/>
    <mergeCell ref="L1:L2"/>
    <mergeCell ref="M1:M2"/>
  </mergeCells>
  <hyperlinks>
    <hyperlink ref="P1" location="Summary!A1" display="Back to summary" xr:uid="{6E1C9C8C-7E1C-4D2F-8056-AF89E4A292D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Summary</vt:lpstr>
      <vt:lpstr>8443847047-001</vt:lpstr>
      <vt:lpstr>8710040770-001</vt:lpstr>
      <vt:lpstr>8836978269-001</vt:lpstr>
      <vt:lpstr>8785516231-001</vt:lpstr>
      <vt:lpstr>8417307084-001</vt:lpstr>
      <vt:lpstr>8339629042-001</vt:lpstr>
      <vt:lpstr>8077953218-001</vt:lpstr>
      <vt:lpstr>8307704000-002</vt:lpstr>
      <vt:lpstr>8568979698-001</vt:lpstr>
      <vt:lpstr>8456794480-001</vt:lpstr>
      <vt:lpstr>8427727031-001</vt:lpstr>
      <vt:lpstr>8423525669-001</vt:lpstr>
      <vt:lpstr>8336384757-001</vt:lpstr>
      <vt:lpstr>8783523554-001</vt:lpstr>
      <vt:lpstr>8537932805-001</vt:lpstr>
      <vt:lpstr>8548655046-002</vt:lpstr>
      <vt:lpstr>070095006110</vt:lpstr>
      <vt:lpstr>079200020738</vt:lpstr>
      <vt:lpstr>072098001948</vt:lpstr>
      <vt:lpstr>079302004855</vt:lpstr>
      <vt:lpstr>079098009021</vt:lpstr>
      <vt:lpstr>014198000033</vt:lpstr>
      <vt:lpstr>052300008705</vt:lpstr>
      <vt:lpstr>068199000053</vt:lpstr>
      <vt:lpstr>092097002234</vt:lpstr>
      <vt:lpstr>082198013719</vt:lpstr>
      <vt:lpstr>031196005568</vt:lpstr>
      <vt:lpstr>089200016993</vt:lpstr>
      <vt:lpstr>079195008785</vt:lpstr>
      <vt:lpstr>001095012873</vt:lpstr>
      <vt:lpstr>019303002169</vt:lpstr>
      <vt:lpstr>089202017472</vt:lpstr>
      <vt:lpstr>079302025196</vt:lpstr>
      <vt:lpstr>051198010997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Joker</dc:creator>
  <cp:keywords/>
  <dc:description/>
  <cp:lastModifiedBy>JOKER SON</cp:lastModifiedBy>
  <cp:revision/>
  <dcterms:created xsi:type="dcterms:W3CDTF">2025-10-06T13:37:40Z</dcterms:created>
  <dcterms:modified xsi:type="dcterms:W3CDTF">2026-07-02T14:53:37Z</dcterms:modified>
  <cp:category/>
  <cp:contentStatus/>
</cp:coreProperties>
</file>