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ELOPER\3.accounting_excel\src\8785516231-001\2026.Q2\"/>
    </mc:Choice>
  </mc:AlternateContent>
  <xr:revisionPtr revIDLastSave="0" documentId="13_ncr:1_{9C5274D6-3633-438D-B7D0-17F581758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o Ke Toan Bo 40 Trang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2" i="1"/>
  <c r="G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3" i="1"/>
  <c r="G2" i="1"/>
  <c r="C13" i="1"/>
</calcChain>
</file>

<file path=xl/sharedStrings.xml><?xml version="1.0" encoding="utf-8"?>
<sst xmlns="http://schemas.openxmlformats.org/spreadsheetml/2006/main" count="80" uniqueCount="59">
  <si>
    <t>Số dư cuối (VND)</t>
  </si>
  <si>
    <t>Nội dung giao dịch</t>
  </si>
  <si>
    <t>Thời gian giao dịch</t>
  </si>
  <si>
    <t>Số tiền (VND)</t>
  </si>
  <si>
    <t>ONEPRO thanh toán phần còn lại HD</t>
  </si>
  <si>
    <t>03/04/2026 19:xx</t>
  </si>
  <si>
    <t>Rút tiền mặt nhập quỹ Techcombank (KIEU NGOC LAN)</t>
  </si>
  <si>
    <t>TikTok Shop</t>
  </si>
  <si>
    <t>BrainAd thanh toán chi phí Job Vigo (KIEU NGOC LAN)</t>
  </si>
  <si>
    <t>3Brothers TT SIMPLE THANG 2 (KIEU NGOC LAN)</t>
  </si>
  <si>
    <t>Chuyển tiền cho DO VAN THANH</t>
  </si>
  <si>
    <t>Công ty Minh Dương thanh toán HD</t>
  </si>
  <si>
    <t>VIC ADVO Video Scope 2.1004 beautytips4.0</t>
  </si>
  <si>
    <t>KIE UFM Video Scope 2.1003 beautytips4.0</t>
  </si>
  <si>
    <t>KIE ADVO AWO JAN26 PHASE1 Video Scope 2.1003</t>
  </si>
  <si>
    <t>TT CP KOL CAMP Neutrogena (KIEU NGOC LAN)</t>
  </si>
  <si>
    <t>MAKE SENSE TT CP BOOKING TRD-T3 (KIEU NGOC LAN)</t>
  </si>
  <si>
    <t>3Brothers TT VIDEO MCL HONG GARNIER</t>
  </si>
  <si>
    <t>CTY EZS TT PHI DV 4.4 MR-HKD KIEU NGOC LAN</t>
  </si>
  <si>
    <t>Brand Geekasc38Gogeous thanh toán HD KOC</t>
  </si>
  <si>
    <t>CTY TV TT HD 48 CHO HKD KIEU NGOC LAN</t>
  </si>
  <si>
    <t>Thanh toán lại tháng 04/2026</t>
  </si>
  <si>
    <t>KIEU NGOC LAN chuyển tiền</t>
  </si>
  <si>
    <t>Nộp thuế tại Phú Thọ (MST: 025300006441)</t>
  </si>
  <si>
    <t>Nộp thuế TNCN tại Phú Thọ</t>
  </si>
  <si>
    <t>Nộp thuế (Quyết toán thuế TNCN)</t>
  </si>
  <si>
    <t>GRN KOC Hub Mochi Scope 3.100426 beautytips4.0</t>
  </si>
  <si>
    <t>Elva tt cast koc T4.26</t>
  </si>
  <si>
    <t>3Brothers TT GRN LIVESTREAM T03</t>
  </si>
  <si>
    <t>Waldencast thanh toán chi phí Booking KOL</t>
  </si>
  <si>
    <t>HYAESTIC VIET NAM chuyển tiền HKD KIEU NGOC LAN</t>
  </si>
  <si>
    <t>TDIC thanh toán HD</t>
  </si>
  <si>
    <t>Thanh toán lại tháng 05/2026</t>
  </si>
  <si>
    <t>3Brothers TT PURCELL TI HO KINH DOANH</t>
  </si>
  <si>
    <t>Revu thanh toán chiến dịch MURAD</t>
  </si>
  <si>
    <t>Rút tiền mặt nhập quỹ</t>
  </si>
  <si>
    <t>Link Viet Nam thanh toán KOL Kieu Ngoc Lan</t>
  </si>
  <si>
    <t>Công ty CP Tcell ho kinh doanh kieu ngoc lan</t>
  </si>
  <si>
    <t>OAP LUMI CAMPAIGN 2026 VIDEO SCOPE 3.3004</t>
  </si>
  <si>
    <t>MAKE SENSE TT CP BOOKING OT-T4 HD 46 HD 07</t>
  </si>
  <si>
    <t>CT CP SOCIAL ELITE thanh toán KOL Booking</t>
  </si>
  <si>
    <t>CT CP SOCIAL ELITE thanh toán KOL HD57</t>
  </si>
  <si>
    <t>3Brothers TT EVENT DRPEPT I T3</t>
  </si>
  <si>
    <t>BrainAd tt cho Kieu Lan Beauty job FUSION MESO</t>
  </si>
  <si>
    <t>Cty TNHH TM QC SANG TAO NAO BRAINAD TT</t>
  </si>
  <si>
    <t>MD THANH TOAN BOOKING KIEU NGOC LAN T5</t>
  </si>
  <si>
    <t>PHAM THI HOA CHUYEN TIEN</t>
  </si>
  <si>
    <t>Kieu Ngoc Lan chuyen khoan nhanh qua Zalo (LPBank)</t>
  </si>
  <si>
    <t>Kieu Ngoc Lan chuyen khoan nhanh qua Zalo (MSCB)</t>
  </si>
  <si>
    <t>Công ty CP Metub TT 100PT HD SO</t>
  </si>
  <si>
    <t>Chuyển tiền cho HO KINH DOANH GAC NHO</t>
  </si>
  <si>
    <t>Chuyển khoản nhanh qua Zalo</t>
  </si>
  <si>
    <t>DAI ICHI LIFE VN ho kinh doanh Kieu Ngoc Lan</t>
  </si>
  <si>
    <t>NGUYEN VAN THANH chuyển tiền</t>
  </si>
  <si>
    <t>ICON MEDIA TT HD 100526 (EUCERIN)</t>
  </si>
  <si>
    <t>Cty Co Na Pi thanh toán dịch vụ quảng cáo TikTok</t>
  </si>
  <si>
    <t>TDIC thanh toán HD (KLAIRS)</t>
  </si>
  <si>
    <t>Thanh toán lại tháng 06/2026</t>
  </si>
  <si>
    <t>LRP UVAir KOL and Derm AWO Video Scope 11004 beautytips4.0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</si>
</sst>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40" workbookViewId="0">
      <selection activeCell="C73" sqref="C73"/>
    </sheetView>
  </sheetViews>
  <sheetFormatPr defaultRowHeight="15" x14ac:dyDescent="0.25"/>
  <cols>
    <col min="1" max="1" width="56" customWidth="1"/>
    <col min="2" max="4" width="19" customWidth="1"/>
    <col min="5" max="5" width="60" customWidth="1"/>
    <col min="6" max="6" width="11.140625" bestFit="1" customWidth="1"/>
    <col min="7" max="7" width="10.85546875" bestFit="1" customWidth="1"/>
    <col min="8" max="8" width="10.140625" bestFit="1" customWidth="1"/>
  </cols>
  <sheetData>
    <row r="1" spans="1:8" x14ac:dyDescent="0.25">
      <c r="A1" t="s">
        <v>2</v>
      </c>
      <c r="B1" t="s">
        <v>3</v>
      </c>
      <c r="C1" t="s">
        <v>0</v>
      </c>
      <c r="D1" t="s">
        <v>1</v>
      </c>
    </row>
    <row r="2" spans="1:8" x14ac:dyDescent="0.25">
      <c r="A2" s="1">
        <v>46115.775000000001</v>
      </c>
      <c r="B2" s="2">
        <v>12500000</v>
      </c>
      <c r="C2" s="2">
        <v>61118558</v>
      </c>
      <c r="D2" t="s">
        <v>4</v>
      </c>
      <c r="F2" s="2"/>
      <c r="G2" s="2">
        <f>C2</f>
        <v>61118558</v>
      </c>
      <c r="H2" s="2">
        <f>G2-C2</f>
        <v>0</v>
      </c>
    </row>
    <row r="3" spans="1:8" x14ac:dyDescent="0.25">
      <c r="A3" t="s">
        <v>5</v>
      </c>
      <c r="B3" s="2">
        <v>-60000000</v>
      </c>
      <c r="C3" s="2">
        <v>1118558</v>
      </c>
      <c r="D3" t="s">
        <v>6</v>
      </c>
      <c r="F3" s="2"/>
      <c r="G3" s="2">
        <f>G2+B3</f>
        <v>1118558</v>
      </c>
      <c r="H3" s="2">
        <f t="shared" ref="H3:H66" si="0">G3-C3</f>
        <v>0</v>
      </c>
    </row>
    <row r="4" spans="1:8" x14ac:dyDescent="0.25">
      <c r="A4" s="1">
        <v>46116.731944444444</v>
      </c>
      <c r="B4" s="2">
        <v>61376751</v>
      </c>
      <c r="C4" s="2">
        <v>62495309</v>
      </c>
      <c r="D4" t="s">
        <v>7</v>
      </c>
      <c r="F4" s="2"/>
      <c r="G4" s="2">
        <f t="shared" ref="G4:G67" si="1">G3+B4</f>
        <v>62495309</v>
      </c>
      <c r="H4" s="2">
        <f t="shared" si="0"/>
        <v>0</v>
      </c>
    </row>
    <row r="5" spans="1:8" x14ac:dyDescent="0.25">
      <c r="A5" s="1">
        <v>46116.732638888891</v>
      </c>
      <c r="B5" s="2">
        <v>-60000000</v>
      </c>
      <c r="C5" s="2">
        <v>2495309</v>
      </c>
      <c r="D5" t="s">
        <v>6</v>
      </c>
      <c r="F5" s="2"/>
      <c r="G5" s="2">
        <f t="shared" si="1"/>
        <v>2495309</v>
      </c>
      <c r="H5" s="2">
        <f t="shared" si="0"/>
        <v>0</v>
      </c>
    </row>
    <row r="6" spans="1:8" x14ac:dyDescent="0.25">
      <c r="A6" s="1">
        <v>46119.604166666664</v>
      </c>
      <c r="B6" s="2">
        <v>8800000</v>
      </c>
      <c r="C6" s="2">
        <v>11295309</v>
      </c>
      <c r="D6" t="s">
        <v>8</v>
      </c>
      <c r="F6" s="2"/>
      <c r="G6" s="2">
        <f t="shared" si="1"/>
        <v>11295309</v>
      </c>
      <c r="H6" s="2">
        <f t="shared" si="0"/>
        <v>0</v>
      </c>
    </row>
    <row r="7" spans="1:8" x14ac:dyDescent="0.25">
      <c r="A7" s="1">
        <v>46119.747916666667</v>
      </c>
      <c r="B7" s="2">
        <v>10526316</v>
      </c>
      <c r="C7" s="2">
        <v>21821625</v>
      </c>
      <c r="D7" t="s">
        <v>9</v>
      </c>
      <c r="F7" s="2"/>
      <c r="G7" s="2">
        <f t="shared" si="1"/>
        <v>21821625</v>
      </c>
      <c r="H7" s="2">
        <f t="shared" si="0"/>
        <v>0</v>
      </c>
    </row>
    <row r="8" spans="1:8" x14ac:dyDescent="0.25">
      <c r="A8" s="1">
        <v>46121.602083333331</v>
      </c>
      <c r="B8" s="2">
        <v>-14118000</v>
      </c>
      <c r="C8" s="2">
        <v>7703625</v>
      </c>
      <c r="D8" t="s">
        <v>10</v>
      </c>
      <c r="F8" s="2"/>
      <c r="G8" s="2">
        <f t="shared" si="1"/>
        <v>7703625</v>
      </c>
      <c r="H8" s="2">
        <f t="shared" si="0"/>
        <v>0</v>
      </c>
    </row>
    <row r="9" spans="1:8" x14ac:dyDescent="0.25">
      <c r="A9" s="1">
        <v>46121.717361111114</v>
      </c>
      <c r="B9" s="2">
        <v>16500000</v>
      </c>
      <c r="C9" s="2">
        <v>24203625</v>
      </c>
      <c r="D9" t="s">
        <v>11</v>
      </c>
      <c r="F9" s="2"/>
      <c r="G9" s="2">
        <f t="shared" si="1"/>
        <v>24203625</v>
      </c>
      <c r="H9" s="2">
        <f t="shared" si="0"/>
        <v>0</v>
      </c>
    </row>
    <row r="10" spans="1:8" x14ac:dyDescent="0.25">
      <c r="A10" s="1">
        <v>46122.725694444445</v>
      </c>
      <c r="B10" s="2">
        <v>11000000</v>
      </c>
      <c r="C10" s="2">
        <v>35203625</v>
      </c>
      <c r="D10" t="s">
        <v>12</v>
      </c>
      <c r="F10" s="2"/>
      <c r="G10" s="2">
        <f t="shared" si="1"/>
        <v>35203625</v>
      </c>
      <c r="H10" s="2">
        <f t="shared" si="0"/>
        <v>0</v>
      </c>
    </row>
    <row r="11" spans="1:8" x14ac:dyDescent="0.25">
      <c r="A11" s="1">
        <v>46122.741666666669</v>
      </c>
      <c r="B11" s="2">
        <v>11000000</v>
      </c>
      <c r="C11" s="2">
        <v>46203625</v>
      </c>
      <c r="D11" t="s">
        <v>13</v>
      </c>
      <c r="F11" s="2"/>
      <c r="G11" s="2">
        <f t="shared" si="1"/>
        <v>46203625</v>
      </c>
      <c r="H11" s="2">
        <f t="shared" si="0"/>
        <v>0</v>
      </c>
    </row>
    <row r="12" spans="1:8" x14ac:dyDescent="0.25">
      <c r="A12" s="1">
        <v>46122.742361111108</v>
      </c>
      <c r="B12" s="2">
        <v>11000000</v>
      </c>
      <c r="C12" s="2">
        <v>57203625</v>
      </c>
      <c r="D12" t="s">
        <v>14</v>
      </c>
      <c r="F12" s="2"/>
      <c r="G12" s="2">
        <f t="shared" si="1"/>
        <v>57203625</v>
      </c>
      <c r="H12" s="2">
        <f t="shared" si="0"/>
        <v>0</v>
      </c>
    </row>
    <row r="13" spans="1:8" x14ac:dyDescent="0.25">
      <c r="A13" s="1">
        <v>46122.742361111108</v>
      </c>
      <c r="B13" s="2">
        <v>11000000</v>
      </c>
      <c r="C13" s="2">
        <f>C12+B13</f>
        <v>68203625</v>
      </c>
      <c r="D13" t="s">
        <v>58</v>
      </c>
      <c r="F13" s="2"/>
      <c r="G13" s="2">
        <f t="shared" si="1"/>
        <v>68203625</v>
      </c>
      <c r="H13" s="2">
        <f t="shared" si="0"/>
        <v>0</v>
      </c>
    </row>
    <row r="14" spans="1:8" x14ac:dyDescent="0.25">
      <c r="A14" s="1">
        <v>46123.131249999999</v>
      </c>
      <c r="B14" s="2">
        <v>-68000000</v>
      </c>
      <c r="C14" s="2">
        <v>203625</v>
      </c>
      <c r="D14" t="s">
        <v>6</v>
      </c>
      <c r="F14" s="2"/>
      <c r="G14" s="2">
        <f t="shared" si="1"/>
        <v>203625</v>
      </c>
      <c r="H14" s="2">
        <f t="shared" si="0"/>
        <v>0</v>
      </c>
    </row>
    <row r="15" spans="1:8" x14ac:dyDescent="0.25">
      <c r="A15" s="1">
        <v>46125.770138888889</v>
      </c>
      <c r="B15" s="2">
        <v>11000000</v>
      </c>
      <c r="C15" s="2">
        <v>11203625</v>
      </c>
      <c r="D15" t="s">
        <v>15</v>
      </c>
      <c r="F15" s="2"/>
      <c r="G15" s="2">
        <f t="shared" si="1"/>
        <v>11203625</v>
      </c>
      <c r="H15" s="2">
        <f t="shared" si="0"/>
        <v>0</v>
      </c>
    </row>
    <row r="16" spans="1:8" x14ac:dyDescent="0.25">
      <c r="A16" s="1">
        <v>46129.720833333333</v>
      </c>
      <c r="B16" s="2">
        <v>-11000000</v>
      </c>
      <c r="C16" s="2">
        <v>203625</v>
      </c>
      <c r="D16" t="s">
        <v>6</v>
      </c>
      <c r="F16" s="2"/>
      <c r="G16" s="2">
        <f t="shared" si="1"/>
        <v>203625</v>
      </c>
      <c r="H16" s="2">
        <f t="shared" si="0"/>
        <v>0</v>
      </c>
    </row>
    <row r="17" spans="1:8" x14ac:dyDescent="0.25">
      <c r="A17" s="1">
        <v>46131.55</v>
      </c>
      <c r="B17" s="2">
        <v>16500000</v>
      </c>
      <c r="C17" s="2">
        <v>16703625</v>
      </c>
      <c r="D17" t="s">
        <v>16</v>
      </c>
      <c r="F17" s="2"/>
      <c r="G17" s="2">
        <f t="shared" si="1"/>
        <v>16703625</v>
      </c>
      <c r="H17" s="2">
        <f t="shared" si="0"/>
        <v>0</v>
      </c>
    </row>
    <row r="18" spans="1:8" x14ac:dyDescent="0.25">
      <c r="A18" s="1">
        <v>46132.055555555555</v>
      </c>
      <c r="B18" s="2">
        <v>25698364</v>
      </c>
      <c r="C18" s="2">
        <v>42401989</v>
      </c>
      <c r="D18" t="s">
        <v>7</v>
      </c>
      <c r="F18" s="2"/>
      <c r="G18" s="2">
        <f t="shared" si="1"/>
        <v>42401989</v>
      </c>
      <c r="H18" s="2">
        <f t="shared" si="0"/>
        <v>0</v>
      </c>
    </row>
    <row r="19" spans="1:8" x14ac:dyDescent="0.25">
      <c r="A19" s="1">
        <v>46132.059027777781</v>
      </c>
      <c r="B19" s="2">
        <v>-42000000</v>
      </c>
      <c r="C19" s="2">
        <v>401989</v>
      </c>
      <c r="D19" t="s">
        <v>6</v>
      </c>
      <c r="F19" s="2"/>
      <c r="G19" s="2">
        <f t="shared" si="1"/>
        <v>401989</v>
      </c>
      <c r="H19" s="2">
        <f t="shared" si="0"/>
        <v>0</v>
      </c>
    </row>
    <row r="20" spans="1:8" x14ac:dyDescent="0.25">
      <c r="A20" s="1">
        <v>46134.452777777777</v>
      </c>
      <c r="B20" s="2">
        <v>11000000</v>
      </c>
      <c r="C20" s="2">
        <v>11401989</v>
      </c>
      <c r="D20" t="s">
        <v>17</v>
      </c>
      <c r="F20" s="2"/>
      <c r="G20" s="2">
        <f t="shared" si="1"/>
        <v>11401989</v>
      </c>
      <c r="H20" s="2">
        <f t="shared" si="0"/>
        <v>0</v>
      </c>
    </row>
    <row r="21" spans="1:8" x14ac:dyDescent="0.25">
      <c r="A21" s="1">
        <v>46134.820138888892</v>
      </c>
      <c r="B21" s="2">
        <v>13200000</v>
      </c>
      <c r="C21" s="2">
        <v>24601989</v>
      </c>
      <c r="D21" t="s">
        <v>18</v>
      </c>
      <c r="F21" s="2"/>
      <c r="G21" s="2">
        <f t="shared" si="1"/>
        <v>24601989</v>
      </c>
      <c r="H21" s="2">
        <f t="shared" si="0"/>
        <v>0</v>
      </c>
    </row>
    <row r="22" spans="1:8" x14ac:dyDescent="0.25">
      <c r="A22" s="1">
        <v>46135.814583333333</v>
      </c>
      <c r="B22" s="2">
        <v>11000000</v>
      </c>
      <c r="C22" s="2">
        <v>35601989</v>
      </c>
      <c r="D22" t="s">
        <v>19</v>
      </c>
      <c r="F22" s="2"/>
      <c r="G22" s="2">
        <f t="shared" si="1"/>
        <v>35601989</v>
      </c>
      <c r="H22" s="2">
        <f t="shared" si="0"/>
        <v>0</v>
      </c>
    </row>
    <row r="23" spans="1:8" x14ac:dyDescent="0.25">
      <c r="A23" s="1">
        <v>46136.688194444447</v>
      </c>
      <c r="B23" s="2">
        <v>16500000</v>
      </c>
      <c r="C23" s="2">
        <v>52101989</v>
      </c>
      <c r="D23" t="s">
        <v>20</v>
      </c>
      <c r="F23" s="2"/>
      <c r="G23" s="2">
        <f t="shared" si="1"/>
        <v>52101989</v>
      </c>
      <c r="H23" s="2">
        <f t="shared" si="0"/>
        <v>0</v>
      </c>
    </row>
    <row r="24" spans="1:8" x14ac:dyDescent="0.25">
      <c r="A24" s="1">
        <v>46138.088888888888</v>
      </c>
      <c r="B24" s="2">
        <v>8998</v>
      </c>
      <c r="C24" s="2">
        <v>52110987</v>
      </c>
      <c r="D24" t="s">
        <v>21</v>
      </c>
      <c r="F24" s="2"/>
      <c r="G24" s="2">
        <f t="shared" si="1"/>
        <v>52110987</v>
      </c>
      <c r="H24" s="2">
        <f t="shared" si="0"/>
        <v>0</v>
      </c>
    </row>
    <row r="25" spans="1:8" x14ac:dyDescent="0.25">
      <c r="A25" s="1">
        <v>46138.322916666664</v>
      </c>
      <c r="B25" s="2">
        <v>-5000000</v>
      </c>
      <c r="C25" s="2">
        <v>47110987</v>
      </c>
      <c r="D25" t="s">
        <v>6</v>
      </c>
      <c r="F25" s="2"/>
      <c r="G25" s="2">
        <f t="shared" si="1"/>
        <v>47110987</v>
      </c>
      <c r="H25" s="2">
        <f t="shared" si="0"/>
        <v>0</v>
      </c>
    </row>
    <row r="26" spans="1:8" x14ac:dyDescent="0.25">
      <c r="A26" s="1">
        <v>46146.669444444444</v>
      </c>
      <c r="B26" s="2">
        <v>40000000</v>
      </c>
      <c r="C26" s="2">
        <v>87110987</v>
      </c>
      <c r="D26" t="s">
        <v>22</v>
      </c>
      <c r="F26" s="2"/>
      <c r="G26" s="2">
        <f t="shared" si="1"/>
        <v>87110987</v>
      </c>
      <c r="H26" s="2">
        <f t="shared" si="0"/>
        <v>0</v>
      </c>
    </row>
    <row r="27" spans="1:8" x14ac:dyDescent="0.25">
      <c r="A27" s="1">
        <v>46146.67083333333</v>
      </c>
      <c r="B27" s="2">
        <v>-1640000</v>
      </c>
      <c r="C27" s="2">
        <v>85470987</v>
      </c>
      <c r="D27" t="s">
        <v>23</v>
      </c>
      <c r="F27" s="2"/>
      <c r="G27" s="2">
        <f t="shared" si="1"/>
        <v>85470987</v>
      </c>
      <c r="H27" s="2">
        <f t="shared" si="0"/>
        <v>0</v>
      </c>
    </row>
    <row r="28" spans="1:8" x14ac:dyDescent="0.25">
      <c r="A28" s="1">
        <v>46146.67083333333</v>
      </c>
      <c r="B28" s="2">
        <v>-22441541</v>
      </c>
      <c r="C28" s="2">
        <v>63029446</v>
      </c>
      <c r="D28" t="s">
        <v>24</v>
      </c>
      <c r="F28" s="2"/>
      <c r="G28" s="2">
        <f t="shared" si="1"/>
        <v>63029446</v>
      </c>
      <c r="H28" s="2">
        <f t="shared" si="0"/>
        <v>0</v>
      </c>
    </row>
    <row r="29" spans="1:8" x14ac:dyDescent="0.25">
      <c r="A29" s="1">
        <v>46146.67083333333</v>
      </c>
      <c r="B29" s="2">
        <v>-62004389</v>
      </c>
      <c r="C29" s="2">
        <v>1025057</v>
      </c>
      <c r="D29" t="s">
        <v>25</v>
      </c>
      <c r="F29" s="2"/>
      <c r="G29" s="2">
        <f t="shared" si="1"/>
        <v>1025057</v>
      </c>
      <c r="H29" s="2">
        <f t="shared" si="0"/>
        <v>0</v>
      </c>
    </row>
    <row r="30" spans="1:8" x14ac:dyDescent="0.25">
      <c r="A30" s="1">
        <v>46147.729861111111</v>
      </c>
      <c r="B30" s="2">
        <v>28600000</v>
      </c>
      <c r="C30" s="2">
        <v>29625057</v>
      </c>
      <c r="D30" t="s">
        <v>26</v>
      </c>
      <c r="F30" s="2"/>
      <c r="G30" s="2">
        <f t="shared" si="1"/>
        <v>29625057</v>
      </c>
      <c r="H30" s="2">
        <f t="shared" si="0"/>
        <v>0</v>
      </c>
    </row>
    <row r="31" spans="1:8" x14ac:dyDescent="0.25">
      <c r="A31" s="1">
        <v>46148.359722222223</v>
      </c>
      <c r="B31" s="2">
        <v>-29000000</v>
      </c>
      <c r="C31" s="2">
        <v>625057</v>
      </c>
      <c r="D31" t="s">
        <v>6</v>
      </c>
      <c r="F31" s="2"/>
      <c r="G31" s="2">
        <f t="shared" si="1"/>
        <v>625057</v>
      </c>
      <c r="H31" s="2">
        <f t="shared" si="0"/>
        <v>0</v>
      </c>
    </row>
    <row r="32" spans="1:8" x14ac:dyDescent="0.25">
      <c r="A32" s="1">
        <v>46149.706250000003</v>
      </c>
      <c r="B32" s="2">
        <v>13200000</v>
      </c>
      <c r="C32" s="2">
        <v>13825057</v>
      </c>
      <c r="D32" t="s">
        <v>27</v>
      </c>
      <c r="F32" s="2"/>
      <c r="G32" s="2">
        <f t="shared" si="1"/>
        <v>13825057</v>
      </c>
      <c r="H32" s="2">
        <f t="shared" si="0"/>
        <v>0</v>
      </c>
    </row>
    <row r="33" spans="1:8" x14ac:dyDescent="0.25">
      <c r="A33" s="1">
        <v>46149.731249999997</v>
      </c>
      <c r="B33" s="2">
        <v>15000000</v>
      </c>
      <c r="C33" s="2">
        <v>28825057</v>
      </c>
      <c r="D33" t="s">
        <v>28</v>
      </c>
      <c r="F33" s="2"/>
      <c r="G33" s="2">
        <f t="shared" si="1"/>
        <v>28825057</v>
      </c>
      <c r="H33" s="2">
        <f t="shared" si="0"/>
        <v>0</v>
      </c>
    </row>
    <row r="34" spans="1:8" x14ac:dyDescent="0.25">
      <c r="A34" s="1">
        <v>46152.484027777777</v>
      </c>
      <c r="B34" s="2">
        <v>-28000000</v>
      </c>
      <c r="C34" s="2">
        <v>825057</v>
      </c>
      <c r="D34" t="s">
        <v>6</v>
      </c>
      <c r="F34" s="2"/>
      <c r="G34" s="2">
        <f t="shared" si="1"/>
        <v>825057</v>
      </c>
      <c r="H34" s="2">
        <f t="shared" si="0"/>
        <v>0</v>
      </c>
    </row>
    <row r="35" spans="1:8" x14ac:dyDescent="0.25">
      <c r="A35" s="1">
        <v>46154.957638888889</v>
      </c>
      <c r="B35" s="2">
        <v>46040642</v>
      </c>
      <c r="C35" s="2">
        <v>46865699</v>
      </c>
      <c r="D35" t="s">
        <v>7</v>
      </c>
      <c r="F35" s="2"/>
      <c r="G35" s="2">
        <f t="shared" si="1"/>
        <v>46865699</v>
      </c>
      <c r="H35" s="2">
        <f t="shared" si="0"/>
        <v>0</v>
      </c>
    </row>
    <row r="36" spans="1:8" x14ac:dyDescent="0.25">
      <c r="A36" s="1">
        <v>46154.958333333336</v>
      </c>
      <c r="B36" s="2">
        <v>-46000000</v>
      </c>
      <c r="C36" s="2">
        <v>865699</v>
      </c>
      <c r="D36" t="s">
        <v>6</v>
      </c>
      <c r="F36" s="2"/>
      <c r="G36" s="2">
        <f t="shared" si="1"/>
        <v>865699</v>
      </c>
      <c r="H36" s="2">
        <f t="shared" si="0"/>
        <v>0</v>
      </c>
    </row>
    <row r="37" spans="1:8" x14ac:dyDescent="0.25">
      <c r="A37" s="1">
        <v>46155.665972222225</v>
      </c>
      <c r="B37" s="2">
        <v>26400000</v>
      </c>
      <c r="C37" s="2">
        <v>27265699</v>
      </c>
      <c r="D37" t="s">
        <v>29</v>
      </c>
      <c r="F37" s="2"/>
      <c r="G37" s="2">
        <f t="shared" si="1"/>
        <v>27265699</v>
      </c>
      <c r="H37" s="2">
        <f t="shared" si="0"/>
        <v>0</v>
      </c>
    </row>
    <row r="38" spans="1:8" x14ac:dyDescent="0.25">
      <c r="A38" s="1">
        <v>46160.625694444447</v>
      </c>
      <c r="B38" s="2">
        <v>16500000</v>
      </c>
      <c r="C38" s="2">
        <v>43765699</v>
      </c>
      <c r="D38" t="s">
        <v>30</v>
      </c>
      <c r="F38" s="2"/>
      <c r="G38" s="2">
        <f t="shared" si="1"/>
        <v>43765699</v>
      </c>
      <c r="H38" s="2">
        <f t="shared" si="0"/>
        <v>0</v>
      </c>
    </row>
    <row r="39" spans="1:8" x14ac:dyDescent="0.25">
      <c r="A39" s="1">
        <v>46164.413194444445</v>
      </c>
      <c r="B39" s="2">
        <v>16500000</v>
      </c>
      <c r="C39" s="2">
        <v>60265699</v>
      </c>
      <c r="D39" t="s">
        <v>31</v>
      </c>
      <c r="F39" s="2"/>
      <c r="G39" s="2">
        <f t="shared" si="1"/>
        <v>60265699</v>
      </c>
      <c r="H39" s="2">
        <f t="shared" si="0"/>
        <v>0</v>
      </c>
    </row>
    <row r="40" spans="1:8" x14ac:dyDescent="0.25">
      <c r="A40" s="1">
        <v>46164.551388888889</v>
      </c>
      <c r="B40" s="2">
        <v>-60000000</v>
      </c>
      <c r="C40" s="2">
        <v>265699</v>
      </c>
      <c r="D40" t="s">
        <v>6</v>
      </c>
      <c r="F40" s="2"/>
      <c r="G40" s="2">
        <f t="shared" si="1"/>
        <v>265699</v>
      </c>
      <c r="H40" s="2">
        <f t="shared" si="0"/>
        <v>0</v>
      </c>
    </row>
    <row r="41" spans="1:8" x14ac:dyDescent="0.25">
      <c r="A41" s="1">
        <v>46168.078472222223</v>
      </c>
      <c r="B41" s="2">
        <v>11091</v>
      </c>
      <c r="C41" s="2">
        <v>276790</v>
      </c>
      <c r="D41" t="s">
        <v>32</v>
      </c>
      <c r="F41" s="2"/>
      <c r="G41" s="2">
        <f t="shared" si="1"/>
        <v>276790</v>
      </c>
      <c r="H41" s="2">
        <f t="shared" si="0"/>
        <v>0</v>
      </c>
    </row>
    <row r="42" spans="1:8" x14ac:dyDescent="0.25">
      <c r="A42" s="1">
        <v>46168.693055555559</v>
      </c>
      <c r="B42" s="2">
        <v>11000000</v>
      </c>
      <c r="C42" s="2">
        <v>11276790</v>
      </c>
      <c r="D42" t="s">
        <v>33</v>
      </c>
      <c r="F42" s="2"/>
      <c r="G42" s="2">
        <f t="shared" si="1"/>
        <v>11276790</v>
      </c>
      <c r="H42" s="2">
        <f t="shared" si="0"/>
        <v>0</v>
      </c>
    </row>
    <row r="43" spans="1:8" x14ac:dyDescent="0.25">
      <c r="A43" s="1">
        <v>46168.703472222223</v>
      </c>
      <c r="B43" s="2">
        <v>11000000</v>
      </c>
      <c r="C43" s="2">
        <v>22276790</v>
      </c>
      <c r="D43" t="s">
        <v>34</v>
      </c>
      <c r="F43" s="2"/>
      <c r="G43" s="2">
        <f t="shared" si="1"/>
        <v>22276790</v>
      </c>
      <c r="H43" s="2">
        <f t="shared" si="0"/>
        <v>0</v>
      </c>
    </row>
    <row r="44" spans="1:8" x14ac:dyDescent="0.25">
      <c r="A44" s="1">
        <v>46169.646527777775</v>
      </c>
      <c r="B44" s="2">
        <v>27538883</v>
      </c>
      <c r="C44" s="2">
        <v>49815673</v>
      </c>
      <c r="D44" t="s">
        <v>7</v>
      </c>
      <c r="F44" s="2"/>
      <c r="G44" s="2">
        <f t="shared" si="1"/>
        <v>49815673</v>
      </c>
      <c r="H44" s="2">
        <f t="shared" si="0"/>
        <v>0</v>
      </c>
    </row>
    <row r="45" spans="1:8" x14ac:dyDescent="0.25">
      <c r="A45" s="1">
        <v>46169.65347222222</v>
      </c>
      <c r="B45" s="2">
        <v>-31000000</v>
      </c>
      <c r="C45" s="2">
        <v>18815673</v>
      </c>
      <c r="D45" t="s">
        <v>35</v>
      </c>
      <c r="F45" s="2"/>
      <c r="G45" s="2">
        <f t="shared" si="1"/>
        <v>18815673</v>
      </c>
      <c r="H45" s="2">
        <f t="shared" si="0"/>
        <v>0</v>
      </c>
    </row>
    <row r="46" spans="1:8" x14ac:dyDescent="0.25">
      <c r="A46" s="1">
        <v>46169.959027777775</v>
      </c>
      <c r="B46" s="2">
        <v>-5000000</v>
      </c>
      <c r="C46" s="2">
        <v>13815673</v>
      </c>
      <c r="D46" t="s">
        <v>35</v>
      </c>
      <c r="F46" s="2"/>
      <c r="G46" s="2">
        <f t="shared" si="1"/>
        <v>13815673</v>
      </c>
      <c r="H46" s="2">
        <f t="shared" si="0"/>
        <v>0</v>
      </c>
    </row>
    <row r="47" spans="1:8" x14ac:dyDescent="0.25">
      <c r="A47" s="1">
        <v>46170.713888888888</v>
      </c>
      <c r="B47" s="2">
        <v>10000000</v>
      </c>
      <c r="C47" s="2">
        <v>23815673</v>
      </c>
      <c r="D47" t="s">
        <v>36</v>
      </c>
      <c r="F47" s="2"/>
      <c r="G47" s="2">
        <f t="shared" si="1"/>
        <v>23815673</v>
      </c>
      <c r="H47" s="2">
        <f t="shared" si="0"/>
        <v>0</v>
      </c>
    </row>
    <row r="48" spans="1:8" x14ac:dyDescent="0.25">
      <c r="A48" s="1">
        <v>46171.609722222223</v>
      </c>
      <c r="B48" s="2">
        <v>16500000</v>
      </c>
      <c r="C48" s="2">
        <v>40315673</v>
      </c>
      <c r="D48" t="s">
        <v>37</v>
      </c>
      <c r="F48" s="2"/>
      <c r="G48" s="2">
        <f t="shared" si="1"/>
        <v>40315673</v>
      </c>
      <c r="H48" s="2">
        <f t="shared" si="0"/>
        <v>0</v>
      </c>
    </row>
    <row r="49" spans="1:8" x14ac:dyDescent="0.25">
      <c r="A49" s="1">
        <v>46171.682638888888</v>
      </c>
      <c r="B49" s="2">
        <v>-40000000</v>
      </c>
      <c r="C49" s="2">
        <v>315673</v>
      </c>
      <c r="D49" t="s">
        <v>6</v>
      </c>
      <c r="F49" s="2"/>
      <c r="G49" s="2">
        <f t="shared" si="1"/>
        <v>315673</v>
      </c>
      <c r="H49" s="2">
        <f t="shared" si="0"/>
        <v>0</v>
      </c>
    </row>
    <row r="50" spans="1:8" x14ac:dyDescent="0.25">
      <c r="A50" s="1">
        <v>46171.807638888888</v>
      </c>
      <c r="B50" s="2">
        <v>16500000</v>
      </c>
      <c r="C50" s="2">
        <v>16815673</v>
      </c>
      <c r="D50" t="s">
        <v>38</v>
      </c>
      <c r="F50" s="2"/>
      <c r="G50" s="2">
        <f t="shared" si="1"/>
        <v>16815673</v>
      </c>
      <c r="H50" s="2">
        <f t="shared" si="0"/>
        <v>0</v>
      </c>
    </row>
    <row r="51" spans="1:8" x14ac:dyDescent="0.25">
      <c r="A51" s="1">
        <v>46173.955555555556</v>
      </c>
      <c r="B51" s="2">
        <v>13200000</v>
      </c>
      <c r="C51" s="2">
        <v>13515673</v>
      </c>
      <c r="D51" t="s">
        <v>39</v>
      </c>
      <c r="F51" s="2"/>
      <c r="G51" s="2">
        <f t="shared" si="1"/>
        <v>30015673</v>
      </c>
      <c r="H51" s="2">
        <f t="shared" si="0"/>
        <v>16500000</v>
      </c>
    </row>
    <row r="52" spans="1:8" x14ac:dyDescent="0.25">
      <c r="A52" s="1">
        <v>46174.685416666667</v>
      </c>
      <c r="B52" s="2">
        <v>11000000</v>
      </c>
      <c r="C52" s="2">
        <v>24515673</v>
      </c>
      <c r="D52" t="s">
        <v>40</v>
      </c>
      <c r="F52" s="2"/>
      <c r="G52" s="2">
        <f t="shared" si="1"/>
        <v>41015673</v>
      </c>
      <c r="H52" s="2">
        <f t="shared" si="0"/>
        <v>16500000</v>
      </c>
    </row>
    <row r="53" spans="1:8" x14ac:dyDescent="0.25">
      <c r="A53" s="1">
        <v>46174.686111111114</v>
      </c>
      <c r="B53" s="2">
        <v>24200000</v>
      </c>
      <c r="C53" s="2">
        <v>48715673</v>
      </c>
      <c r="D53" t="s">
        <v>41</v>
      </c>
      <c r="F53" s="2"/>
      <c r="G53" s="2">
        <f t="shared" si="1"/>
        <v>65215673</v>
      </c>
      <c r="H53" s="2">
        <f t="shared" si="0"/>
        <v>16500000</v>
      </c>
    </row>
    <row r="54" spans="1:8" x14ac:dyDescent="0.25">
      <c r="A54" s="1">
        <v>46175.037499999999</v>
      </c>
      <c r="B54" s="2">
        <v>-48000000</v>
      </c>
      <c r="C54" s="2">
        <v>715673</v>
      </c>
      <c r="D54" t="s">
        <v>6</v>
      </c>
      <c r="F54" s="2"/>
      <c r="G54" s="2">
        <f t="shared" si="1"/>
        <v>17215673</v>
      </c>
      <c r="H54" s="2">
        <f t="shared" si="0"/>
        <v>16500000</v>
      </c>
    </row>
    <row r="55" spans="1:8" x14ac:dyDescent="0.25">
      <c r="A55" s="1">
        <v>46177.745833333334</v>
      </c>
      <c r="B55" s="2">
        <v>16500000</v>
      </c>
      <c r="C55" s="2">
        <v>17215673</v>
      </c>
      <c r="D55" t="s">
        <v>42</v>
      </c>
      <c r="F55" s="2"/>
      <c r="G55" s="2">
        <f t="shared" si="1"/>
        <v>33715673</v>
      </c>
      <c r="H55" s="2">
        <f t="shared" si="0"/>
        <v>16500000</v>
      </c>
    </row>
    <row r="56" spans="1:8" x14ac:dyDescent="0.25">
      <c r="A56" s="1">
        <v>46178.734027777777</v>
      </c>
      <c r="B56" s="2">
        <v>22000000</v>
      </c>
      <c r="C56" s="2">
        <v>39215673</v>
      </c>
      <c r="D56" t="s">
        <v>43</v>
      </c>
      <c r="F56" s="2"/>
      <c r="G56" s="2">
        <f t="shared" si="1"/>
        <v>55715673</v>
      </c>
      <c r="H56" s="2">
        <f t="shared" si="0"/>
        <v>16500000</v>
      </c>
    </row>
    <row r="57" spans="1:8" x14ac:dyDescent="0.25">
      <c r="A57" s="1">
        <v>46183.340277777781</v>
      </c>
      <c r="B57" s="2">
        <v>16500000</v>
      </c>
      <c r="C57" s="2">
        <v>55715673</v>
      </c>
      <c r="D57" t="s">
        <v>44</v>
      </c>
      <c r="F57" s="2"/>
      <c r="G57" s="2">
        <f t="shared" si="1"/>
        <v>72215673</v>
      </c>
      <c r="H57" s="2">
        <f t="shared" si="0"/>
        <v>16500000</v>
      </c>
    </row>
    <row r="58" spans="1:8" x14ac:dyDescent="0.25">
      <c r="A58" s="1">
        <v>46184.581250000003</v>
      </c>
      <c r="B58" s="2">
        <v>16500000</v>
      </c>
      <c r="C58" s="2">
        <v>72215673</v>
      </c>
      <c r="D58" t="s">
        <v>45</v>
      </c>
      <c r="F58" s="2"/>
      <c r="G58" s="2">
        <f t="shared" si="1"/>
        <v>88715673</v>
      </c>
      <c r="H58" s="2">
        <f t="shared" si="0"/>
        <v>16500000</v>
      </c>
    </row>
    <row r="59" spans="1:8" x14ac:dyDescent="0.25">
      <c r="A59" s="1">
        <v>46189.104861111111</v>
      </c>
      <c r="B59" s="2">
        <v>-500000</v>
      </c>
      <c r="C59" s="2">
        <v>88215673</v>
      </c>
      <c r="D59" t="s">
        <v>46</v>
      </c>
      <c r="F59" s="2"/>
      <c r="G59" s="2">
        <f t="shared" si="1"/>
        <v>88215673</v>
      </c>
      <c r="H59" s="2">
        <f t="shared" si="0"/>
        <v>0</v>
      </c>
    </row>
    <row r="60" spans="1:8" x14ac:dyDescent="0.25">
      <c r="A60" s="1">
        <v>46189.65347222222</v>
      </c>
      <c r="B60" s="2">
        <v>-2000000</v>
      </c>
      <c r="C60" s="2">
        <v>86215673</v>
      </c>
      <c r="D60" t="s">
        <v>47</v>
      </c>
      <c r="F60" s="2"/>
      <c r="G60" s="2">
        <f t="shared" si="1"/>
        <v>86215673</v>
      </c>
      <c r="H60" s="2">
        <f t="shared" si="0"/>
        <v>0</v>
      </c>
    </row>
    <row r="61" spans="1:8" x14ac:dyDescent="0.25">
      <c r="A61" s="1">
        <v>46189.938888888886</v>
      </c>
      <c r="B61" s="2">
        <v>-300000</v>
      </c>
      <c r="C61" s="2">
        <v>85915673</v>
      </c>
      <c r="D61" t="s">
        <v>48</v>
      </c>
      <c r="F61" s="2"/>
      <c r="G61" s="2">
        <f t="shared" si="1"/>
        <v>85915673</v>
      </c>
      <c r="H61" s="2">
        <f t="shared" si="0"/>
        <v>0</v>
      </c>
    </row>
    <row r="62" spans="1:8" x14ac:dyDescent="0.25">
      <c r="A62" s="1">
        <v>46190.135416666664</v>
      </c>
      <c r="B62" s="2">
        <v>-10000000</v>
      </c>
      <c r="C62" s="2">
        <v>75915673</v>
      </c>
      <c r="D62" t="s">
        <v>6</v>
      </c>
      <c r="F62" s="2"/>
      <c r="G62" s="2">
        <f t="shared" si="1"/>
        <v>75915673</v>
      </c>
      <c r="H62" s="2">
        <f t="shared" si="0"/>
        <v>0</v>
      </c>
    </row>
    <row r="63" spans="1:8" x14ac:dyDescent="0.25">
      <c r="A63" s="1">
        <v>46190.551388888889</v>
      </c>
      <c r="B63" s="2">
        <v>11871832</v>
      </c>
      <c r="C63" s="2">
        <v>87787505</v>
      </c>
      <c r="D63" t="s">
        <v>49</v>
      </c>
      <c r="F63" s="2"/>
      <c r="G63" s="2">
        <f t="shared" si="1"/>
        <v>87787505</v>
      </c>
      <c r="H63" s="2">
        <f t="shared" si="0"/>
        <v>0</v>
      </c>
    </row>
    <row r="64" spans="1:8" x14ac:dyDescent="0.25">
      <c r="A64" s="1">
        <v>46190.799305555556</v>
      </c>
      <c r="B64" s="2">
        <v>-865000</v>
      </c>
      <c r="C64" s="2">
        <v>86922505</v>
      </c>
      <c r="D64" t="s">
        <v>50</v>
      </c>
      <c r="F64" s="2"/>
      <c r="G64" s="2">
        <f t="shared" si="1"/>
        <v>86922505</v>
      </c>
      <c r="H64" s="2">
        <f t="shared" si="0"/>
        <v>0</v>
      </c>
    </row>
    <row r="65" spans="1:8" x14ac:dyDescent="0.25">
      <c r="A65" s="1">
        <v>46190.806944444441</v>
      </c>
      <c r="B65" s="2">
        <v>-85000</v>
      </c>
      <c r="C65" s="2">
        <v>86837505</v>
      </c>
      <c r="D65" t="s">
        <v>51</v>
      </c>
      <c r="F65" s="2"/>
      <c r="G65" s="2">
        <f t="shared" si="1"/>
        <v>86837505</v>
      </c>
      <c r="H65" s="2">
        <f t="shared" si="0"/>
        <v>0</v>
      </c>
    </row>
    <row r="66" spans="1:8" x14ac:dyDescent="0.25">
      <c r="A66" s="1">
        <v>46190.820833333331</v>
      </c>
      <c r="B66" s="2">
        <v>-20237000</v>
      </c>
      <c r="C66" s="2">
        <v>66600505</v>
      </c>
      <c r="D66" t="s">
        <v>52</v>
      </c>
      <c r="F66" s="2"/>
      <c r="G66" s="2">
        <f t="shared" si="1"/>
        <v>66600505</v>
      </c>
      <c r="H66" s="2">
        <f t="shared" si="0"/>
        <v>0</v>
      </c>
    </row>
    <row r="67" spans="1:8" x14ac:dyDescent="0.25">
      <c r="A67" s="1">
        <v>46190.850694444445</v>
      </c>
      <c r="B67" s="2">
        <v>-10000000</v>
      </c>
      <c r="C67" s="2">
        <v>56600505</v>
      </c>
      <c r="D67" t="s">
        <v>6</v>
      </c>
      <c r="F67" s="2"/>
      <c r="G67" s="2">
        <f t="shared" si="1"/>
        <v>56600505</v>
      </c>
      <c r="H67" s="2">
        <f t="shared" ref="H67:H76" si="2">G67-C67</f>
        <v>0</v>
      </c>
    </row>
    <row r="68" spans="1:8" x14ac:dyDescent="0.25">
      <c r="A68" s="1">
        <v>46190.850694444445</v>
      </c>
      <c r="B68" s="2">
        <v>-680000</v>
      </c>
      <c r="C68" s="2">
        <v>55920505</v>
      </c>
      <c r="D68" t="s">
        <v>53</v>
      </c>
      <c r="F68" s="2"/>
      <c r="G68" s="2">
        <f t="shared" ref="G68:G76" si="3">G67+B68</f>
        <v>55920505</v>
      </c>
      <c r="H68" s="2">
        <f t="shared" si="2"/>
        <v>0</v>
      </c>
    </row>
    <row r="69" spans="1:8" x14ac:dyDescent="0.25">
      <c r="A69" s="1">
        <v>46192.785416666666</v>
      </c>
      <c r="B69" s="2">
        <v>16500000</v>
      </c>
      <c r="C69" s="2">
        <v>72420505</v>
      </c>
      <c r="D69" t="s">
        <v>54</v>
      </c>
      <c r="F69" s="2"/>
      <c r="G69" s="2">
        <f t="shared" si="3"/>
        <v>72420505</v>
      </c>
      <c r="H69" s="2">
        <f t="shared" si="2"/>
        <v>0</v>
      </c>
    </row>
    <row r="70" spans="1:8" x14ac:dyDescent="0.25">
      <c r="A70" s="1">
        <v>46196.574305555558</v>
      </c>
      <c r="B70" s="2">
        <v>16500000</v>
      </c>
      <c r="C70" s="2">
        <v>88920505</v>
      </c>
      <c r="D70" t="s">
        <v>55</v>
      </c>
      <c r="F70" s="2"/>
      <c r="G70" s="2">
        <f t="shared" si="3"/>
        <v>88920505</v>
      </c>
      <c r="H70" s="2">
        <f t="shared" si="2"/>
        <v>0</v>
      </c>
    </row>
    <row r="71" spans="1:8" x14ac:dyDescent="0.25">
      <c r="A71" s="1">
        <v>46196.669444444444</v>
      </c>
      <c r="B71" s="2">
        <v>16500000</v>
      </c>
      <c r="C71" s="2">
        <v>105420505</v>
      </c>
      <c r="D71" t="s">
        <v>56</v>
      </c>
      <c r="F71" s="2"/>
      <c r="G71" s="2">
        <f t="shared" si="3"/>
        <v>105420505</v>
      </c>
      <c r="H71" s="2">
        <f t="shared" si="2"/>
        <v>0</v>
      </c>
    </row>
    <row r="72" spans="1:8" x14ac:dyDescent="0.25">
      <c r="A72" s="1">
        <v>46197.405555555553</v>
      </c>
      <c r="B72" s="2">
        <v>-100000000</v>
      </c>
      <c r="C72" s="2">
        <v>5420505</v>
      </c>
      <c r="D72" t="s">
        <v>6</v>
      </c>
      <c r="F72" s="2"/>
      <c r="G72" s="2">
        <f t="shared" si="3"/>
        <v>5420505</v>
      </c>
      <c r="H72" s="2">
        <f t="shared" si="2"/>
        <v>0</v>
      </c>
    </row>
    <row r="73" spans="1:8" x14ac:dyDescent="0.25">
      <c r="A73" s="1">
        <v>46199.079861111109</v>
      </c>
      <c r="B73" s="2">
        <v>19055</v>
      </c>
      <c r="C73" s="2">
        <v>5439560</v>
      </c>
      <c r="D73" t="s">
        <v>57</v>
      </c>
      <c r="F73" s="2"/>
      <c r="G73" s="2">
        <f t="shared" si="3"/>
        <v>5439560</v>
      </c>
      <c r="H73" s="2">
        <f t="shared" si="2"/>
        <v>0</v>
      </c>
    </row>
    <row r="74" spans="1:8" x14ac:dyDescent="0.25">
      <c r="A74" s="1">
        <v>46203.556944444441</v>
      </c>
      <c r="B74" s="2">
        <v>-5000000</v>
      </c>
      <c r="C74" s="2">
        <v>439560</v>
      </c>
      <c r="D74" t="s">
        <v>6</v>
      </c>
      <c r="F74" s="2"/>
      <c r="G74" s="2">
        <f t="shared" si="3"/>
        <v>439560</v>
      </c>
      <c r="H74" s="2">
        <f t="shared" si="2"/>
        <v>0</v>
      </c>
    </row>
    <row r="75" spans="1:8" x14ac:dyDescent="0.25">
      <c r="A75" s="1">
        <v>46203.955555555556</v>
      </c>
      <c r="B75" s="2">
        <v>66474901</v>
      </c>
      <c r="C75" s="2">
        <v>66914461</v>
      </c>
      <c r="D75" t="s">
        <v>7</v>
      </c>
      <c r="F75" s="2"/>
      <c r="G75" s="2">
        <f t="shared" si="3"/>
        <v>66914461</v>
      </c>
      <c r="H75" s="2">
        <f t="shared" si="2"/>
        <v>0</v>
      </c>
    </row>
    <row r="76" spans="1:8" x14ac:dyDescent="0.25">
      <c r="A76" s="1">
        <v>46203.955555555556</v>
      </c>
      <c r="B76" s="2">
        <v>-10000000</v>
      </c>
      <c r="C76" s="2">
        <v>56914461</v>
      </c>
      <c r="D76" t="s">
        <v>6</v>
      </c>
      <c r="F76" s="2"/>
      <c r="G76" s="2">
        <f t="shared" si="3"/>
        <v>56914461</v>
      </c>
      <c r="H76" s="2">
        <f t="shared" si="2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Sao Ke Toan Bo 40 Trang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JOKER SON</cp:lastModifiedBy>
  <dcterms:created xsi:type="dcterms:W3CDTF">2026-07-09T13:46:13Z</dcterms:created>
  <dcterms:modified xsi:type="dcterms:W3CDTF">2026-07-11T13:59:53Z</dcterms:modified>
</cp:coreProperties>
</file>